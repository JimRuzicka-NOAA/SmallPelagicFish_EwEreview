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OtherRegions/"/>
    </mc:Choice>
  </mc:AlternateContent>
  <xr:revisionPtr revIDLastSave="0" documentId="13_ncr:1_{97510AFB-6306-AA48-B5AB-3B71EC99CC53}" xr6:coauthVersionLast="45" xr6:coauthVersionMax="45" xr10:uidLastSave="{00000000-0000-0000-0000-000000000000}"/>
  <bookViews>
    <workbookView xWindow="0" yWindow="460" windowWidth="25600" windowHeight="14240" tabRatio="728" firstSheet="3" activeTab="1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Main!$C$2:$N$30</definedName>
    <definedName name="matDetritus">Detritus!$C$2:$E$30</definedName>
    <definedName name="matDiet">Diets!$B$2:$AA$30</definedName>
    <definedName name="matDiscards">Discards!$C$2:$C$29</definedName>
    <definedName name="matFishery">Fishing!$C$2:$C$29</definedName>
    <definedName name="matFishing">Fishing!#REF!</definedName>
    <definedName name="matMort">Mortalities!$A$1:$AF$29</definedName>
    <definedName name="matOut">MainOutputs!$A$2:$I$30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<sst xmlns="http://schemas.openxmlformats.org/spreadsheetml/2006/main" count="893" uniqueCount="226">
  <si>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</si>
  <si>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</si>
  <si>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</si>
  <si>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</si>
  <si>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</si>
  <si>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</si>
  <si>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</si>
  <si>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</si>
  <si>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</si>
  <si>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</si>
  <si>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</si>
  <si>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</si>
  <si>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</si>
  <si>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</si>
  <si>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</si>
  <si>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</si>
  <si>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</si>
  <si>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</si>
  <si>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</si>
  <si>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</si>
  <si>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</si>
  <si>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</si>
  <si>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</si>
  <si>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</si>
  <si>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</si>
  <si>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</si>
  <si>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</si>
  <si>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</si>
  <si>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</si>
  <si>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</si>
  <si>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</si>
  <si>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</si>
  <si>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</si>
  <si>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</si>
  <si>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</si>
  <si>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</si>
  <si>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</si>
  <si>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</si>
  <si>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</si>
  <si>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</si>
  <si>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</si>
  <si>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</si>
  <si>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</si>
  <si>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</si>
  <si>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</si>
  <si>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</si>
  <si>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</si>
  <si>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</si>
  <si>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</si>
  <si>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</si>
  <si>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</si>
  <si>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</si>
  <si>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</si>
  <si>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</si>
  <si>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</si>
  <si>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</si>
  <si>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</si>
  <si>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</si>
  <si>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</si>
  <si>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</si>
  <si>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</si>
  <si>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</si>
  <si>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</si>
  <si>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</si>
  <si>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</si>
  <si>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</si>
  <si>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</si>
  <si>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</si>
  <si>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</si>
  <si>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</si>
  <si>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</si>
  <si>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</si>
  <si>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</si>
  <si>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</si>
  <si>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</si>
  <si>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</si>
  <si>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</si>
  <si>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</si>
  <si>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</si>
  <si>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</si>
  <si>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</si>
  <si>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</si>
  <si>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</si>
  <si>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</si>
  <si>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</si>
  <si>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</si>
  <si>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</si>
  <si>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</si>
  <si>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</si>
  <si>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</si>
  <si>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</si>
  <si>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</si>
  <si>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</si>
  <si>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</si>
  <si>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</si>
  <si>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</si>
  <si>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</si>
  <si>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</si>
  <si>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</si>
  <si>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</si>
  <si>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</si>
  <si>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</si>
  <si>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</si>
  <si>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</si>
  <si>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</si>
  <si>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</si>
  <si>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</si>
  <si>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</si>
  <si>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</si>
  <si>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</si>
  <si>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</si>
  <si>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</si>
  <si>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</si>
  <si>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</si>
  <si>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</si>
  <si>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</si>
  <si>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</si>
  <si>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</si>
  <si>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</si>
  <si>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</si>
  <si>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</si>
  <si>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</si>
  <si>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</si>
  <si>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</si>
  <si>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</si>
  <si>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</si>
  <si>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</si>
  <si>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</si>
  <si>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</si>
  <si>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</si>
  <si>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</si>
  <si>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</si>
  <si>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</si>
  <si>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</si>
  <si>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</si>
  <si>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</si>
  <si>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</si>
  <si>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</si>
  <si>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</si>
  <si>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</si>
  <si>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</si>
  <si>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</si>
  <si>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</si>
  <si>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</si>
  <si>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</si>
  <si>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</si>
  <si>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</si>
  <si>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</si>
  <si>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</si>
  <si>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</si>
  <si>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</si>
  <si>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</si>
  <si>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</si>
  <si>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</si>
  <si>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</si>
  <si>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</si>
  <si>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</si>
  <si>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</si>
  <si>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</si>
  <si>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</si>
  <si>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</si>
  <si>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</si>
  <si>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</si>
  <si>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</si>
  <si>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</si>
  <si>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</si>
  <si>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</si>
  <si>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</si>
  <si>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</si>
  <si>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</si>
  <si>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</si>
  <si>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</si>
  <si>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</si>
  <si>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</si>
  <si>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</si>
  <si>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</si>
  <si>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</si>
  <si>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</si>
  <si>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</si>
  <si>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</si>
  <si>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</si>
  <si>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</si>
  <si>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</si>
  <si>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</si>
  <si>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</si>
  <si>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Calvi Bay</t>
  </si>
  <si>
    <t>France</t>
  </si>
  <si>
    <t>BOX(8.69308 42.5339,8.821139 42.59964)</t>
  </si>
  <si>
    <t>bay/fjord</t>
  </si>
  <si>
    <t>WetWeight</t>
  </si>
  <si>
    <t>; 26/03/01 17:49:53</t>
  </si>
  <si>
    <t>Pinnegar J.K.,Polunin N.V.C.(2004). Predicting indirect effects of fishing in Mediterranean rocky littoral communities using a dynamic simulation model Ecological Modelling. pp 249-267</t>
  </si>
  <si>
    <t>Cephalopods</t>
  </si>
  <si>
    <t>Sea Birds</t>
  </si>
  <si>
    <t>Piscivores</t>
  </si>
  <si>
    <t>M-carnivores</t>
  </si>
  <si>
    <t>Inv. Feeders 1</t>
  </si>
  <si>
    <t>Inv. Feeders 2</t>
  </si>
  <si>
    <t>Inv. Feeders 3</t>
  </si>
  <si>
    <t>D. puntazzo</t>
  </si>
  <si>
    <t>Inv. Feeders 4</t>
  </si>
  <si>
    <t>Blennies</t>
  </si>
  <si>
    <t>Herb. Fish</t>
  </si>
  <si>
    <t>Plankt. Fish</t>
  </si>
  <si>
    <t>Mugil spp.</t>
  </si>
  <si>
    <t>Pel. Bacteria</t>
  </si>
  <si>
    <t>Zooplankton</t>
  </si>
  <si>
    <t>Macro-Plankton</t>
  </si>
  <si>
    <t>Protozoa</t>
  </si>
  <si>
    <t>Phytoplankton</t>
  </si>
  <si>
    <t>Susp. Feeders</t>
  </si>
  <si>
    <t>Echinoderms</t>
  </si>
  <si>
    <t>Ot. Crustacea</t>
  </si>
  <si>
    <t>Amphipods</t>
  </si>
  <si>
    <t>Decapods</t>
  </si>
  <si>
    <t>Polychaetes</t>
  </si>
  <si>
    <t>Gastropods</t>
  </si>
  <si>
    <t>Macroalgae</t>
  </si>
  <si>
    <t>Detritus</t>
  </si>
  <si>
    <t>detritus_TerminalBenthic</t>
  </si>
  <si>
    <t>Fleet 1</t>
  </si>
  <si>
    <t>Import</t>
  </si>
  <si>
    <t>export</t>
  </si>
  <si>
    <t>sum</t>
  </si>
  <si>
    <t>TOTAL</t>
  </si>
  <si>
    <t>F Fleet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</si>
</sst>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22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97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C1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9AFF00"/>
        <bgColor indexed="64"/>
      </patternFill>
    </fill>
    <fill>
      <patternFill patternType="solid">
        <fgColor rgb="FFFF0600"/>
        <bgColor indexed="64"/>
      </patternFill>
    </fill>
    <fill>
      <patternFill patternType="solid">
        <fgColor rgb="FF76FF00"/>
        <bgColor indexed="64"/>
      </patternFill>
    </fill>
    <fill>
      <patternFill patternType="solid">
        <fgColor rgb="FFFF7A00"/>
        <bgColor indexed="64"/>
      </patternFill>
    </fill>
    <fill>
      <patternFill patternType="solid">
        <fgColor rgb="FF91FF00"/>
        <bgColor indexed="64"/>
      </patternFill>
    </fill>
    <fill>
      <patternFill patternType="solid">
        <fgColor rgb="FFD3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5B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67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FFEB00"/>
        <bgColor indexed="64"/>
      </patternFill>
    </fill>
    <fill>
      <patternFill patternType="solid">
        <fgColor rgb="FF60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FF3D00"/>
        <bgColor indexed="64"/>
      </patternFill>
    </fill>
    <fill>
      <patternFill patternType="solid">
        <fgColor rgb="FFB2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61FF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B3FF00"/>
        <bgColor indexed="64"/>
      </patternFill>
    </fill>
    <fill>
      <patternFill patternType="solid">
        <fgColor rgb="FF84FF00"/>
        <bgColor indexed="64"/>
      </patternFill>
    </fill>
    <fill>
      <patternFill patternType="solid">
        <fgColor rgb="FF73FF00"/>
        <bgColor indexed="64"/>
      </patternFill>
    </fill>
    <fill>
      <patternFill patternType="solid">
        <fgColor rgb="FF70FF00"/>
        <bgColor indexed="64"/>
      </patternFill>
    </fill>
    <fill>
      <patternFill patternType="solid">
        <fgColor rgb="FF9EFF00"/>
        <bgColor indexed="64"/>
      </patternFill>
    </fill>
    <fill>
      <patternFill patternType="solid">
        <fgColor rgb="FFCFFF00"/>
        <bgColor indexed="64"/>
      </patternFill>
    </fill>
    <fill>
      <patternFill patternType="solid">
        <fgColor rgb="FFA7FF00"/>
        <bgColor indexed="64"/>
      </patternFill>
    </fill>
    <fill>
      <patternFill patternType="solid">
        <fgColor rgb="FF92FF00"/>
        <bgColor indexed="64"/>
      </patternFill>
    </fill>
    <fill>
      <patternFill patternType="solid">
        <fgColor rgb="FFFFF500"/>
        <bgColor indexed="64"/>
      </patternFill>
    </fill>
    <fill>
      <patternFill patternType="solid">
        <fgColor rgb="FFB9FF00"/>
        <bgColor indexed="64"/>
      </patternFill>
    </fill>
    <fill>
      <patternFill patternType="solid">
        <fgColor rgb="FFC7FF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DBFF00"/>
        <bgColor indexed="64"/>
      </patternFill>
    </fill>
    <fill>
      <patternFill patternType="solid">
        <fgColor rgb="FFFFDC00"/>
        <bgColor indexed="64"/>
      </patternFill>
    </fill>
    <fill>
      <patternFill patternType="solid">
        <fgColor rgb="FF6B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FFC200"/>
        <bgColor indexed="64"/>
      </patternFill>
    </fill>
    <fill>
      <patternFill patternType="solid">
        <fgColor rgb="FFD6FF00"/>
        <bgColor indexed="64"/>
      </patternFill>
    </fill>
    <fill>
      <patternFill patternType="solid">
        <fgColor rgb="FF89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44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2" borderId="2" xfId="0" applyFont="1" applyFill="1" applyBorder="1" applyAlignment="1">
      <alignment horizontal="center"/>
    </xf>
    <xf numFmtId="0" fontId="1" fillId="22" borderId="4" xfId="0" applyFont="1" applyFill="1" applyBorder="1" applyAlignment="1">
      <alignment horizontal="center"/>
    </xf>
    <xf numFmtId="0" fontId="1" fillId="22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2" borderId="5" xfId="0" applyFill="1" applyBorder="1"/>
    <xf numFmtId="0" fontId="0" fillId="22" borderId="6" xfId="0" applyFill="1" applyBorder="1"/>
    <xf numFmtId="0" fontId="0" fillId="22" borderId="7" xfId="0" applyFill="1" applyBorder="1"/>
    <xf numFmtId="0" fontId="0" fillId="22" borderId="8" xfId="0" applyFill="1" applyBorder="1"/>
    <xf numFmtId="0" fontId="0" fillId="22" borderId="9" xfId="0" applyFill="1" applyBorder="1"/>
    <xf numFmtId="0" fontId="0" fillId="22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1" fillId="0" borderId="0" xfId="0" applyFont="1" applyAlignment="1">
      <alignment horizontal="center"/>
    </xf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4" borderId="0" xfId="0" applyFill="1"/>
    <xf numFmtId="0" fontId="0" fillId="0" borderId="0" xfId="0" applyFont="1" applyFill="1" applyAlignment="1">
      <alignment horizontal="center"/>
    </xf>
    <xf numFmtId="0" fontId="0" fillId="35" borderId="0" xfId="0" applyFill="1"/>
    <xf numFmtId="0" fontId="0" fillId="36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3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3" borderId="3" xfId="0" applyNumberFormat="1" applyFont="1" applyFill="1" applyBorder="1"/>
    <xf numFmtId="0" fontId="0" fillId="33" borderId="2" xfId="0" applyFont="1" applyFill="1" applyBorder="1"/>
    <xf numFmtId="0" fontId="0" fillId="33" borderId="3" xfId="0" applyFont="1" applyFill="1" applyBorder="1"/>
    <xf numFmtId="0" fontId="0" fillId="33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37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3" borderId="0" xfId="0" applyFont="1" applyFill="1" applyAlignment="1">
      <alignment horizontal="center"/>
    </xf>
    <xf numFmtId="0" fontId="12" fillId="24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2" borderId="2" xfId="0" applyFill="1" applyBorder="1" applyAlignment="1">
      <alignment horizontal="center"/>
    </xf>
    <xf numFmtId="0" fontId="0" fillId="22" borderId="4" xfId="0" applyFill="1" applyBorder="1" applyAlignment="1">
      <alignment horizontal="center"/>
    </xf>
    <xf numFmtId="0" fontId="0" fillId="22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53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59" t="s">
        <v>164</v>
      </c>
    </row>
    <row r="6" spans="2:4" ht="14" thickBot="1" x14ac:dyDescent="0.2">
      <c r="B6" s="43" t="s">
        <v>141</v>
      </c>
    </row>
    <row r="7" spans="2:4" x14ac:dyDescent="0.15">
      <c r="B7" s="59" t="s">
        <v>143</v>
      </c>
    </row>
    <row r="8" spans="2:4" x14ac:dyDescent="0.15">
      <c r="B8" s="59" t="s">
        <v>142</v>
      </c>
    </row>
    <row r="9" spans="2:4" x14ac:dyDescent="0.15">
      <c r="B9" s="59" t="s">
        <v>144</v>
      </c>
    </row>
    <row r="10" spans="2:4" x14ac:dyDescent="0.15">
      <c r="B10" s="59" t="s">
        <v>147</v>
      </c>
    </row>
    <row r="11" spans="2:4" x14ac:dyDescent="0.15">
      <c r="B11" s="59" t="s">
        <v>151</v>
      </c>
    </row>
    <row r="12" spans="2:4" x14ac:dyDescent="0.15">
      <c r="B12" s="59" t="s">
        <v>153</v>
      </c>
    </row>
    <row r="13" spans="2:4" x14ac:dyDescent="0.15">
      <c r="B13" s="59" t="s">
        <v>165</v>
      </c>
    </row>
    <row r="15" spans="2:4" ht="14" thickBot="1" x14ac:dyDescent="0.2"/>
    <row r="16" spans="2:4" ht="14" thickBot="1" x14ac:dyDescent="0.2">
      <c r="B16" s="44" t="s">
        <v>137</v>
      </c>
      <c r="C16" s="45"/>
      <c r="D16" s="27">
        <v>41373</v>
      </c>
    </row>
    <row r="17" spans="2:4" x14ac:dyDescent="0.15">
      <c r="B17" s="46" t="s">
        <v>58</v>
      </c>
      <c r="C17" s="30">
        <v>0</v>
      </c>
    </row>
    <row r="18" spans="2:4" x14ac:dyDescent="0.15">
      <c r="B18" s="46" t="s">
        <v>59</v>
      </c>
      <c r="C18" s="30">
        <v>1</v>
      </c>
    </row>
    <row r="19" spans="2:4" x14ac:dyDescent="0.15">
      <c r="B19" s="46" t="s">
        <v>60</v>
      </c>
      <c r="C19" s="30">
        <v>2</v>
      </c>
    </row>
    <row r="20" spans="2:4" ht="14" thickBot="1" x14ac:dyDescent="0.2">
      <c r="B20" s="47" t="s">
        <v>44</v>
      </c>
      <c r="C20" s="31">
        <v>3</v>
      </c>
    </row>
    <row r="21" spans="2:4" x14ac:dyDescent="0.15">
      <c r="B21" s="48" t="s">
        <v>140</v>
      </c>
    </row>
    <row r="22" spans="2:4" ht="14" thickBot="1" x14ac:dyDescent="0.2"/>
    <row r="23" spans="2:4" ht="14" thickBot="1" x14ac:dyDescent="0.2">
      <c r="B23" s="44" t="s">
        <v>65</v>
      </c>
      <c r="C23" s="45"/>
      <c r="D23" s="27" t="s">
        <v>148</v>
      </c>
    </row>
    <row r="24" spans="2:4" x14ac:dyDescent="0.15">
      <c r="B24" s="50" t="s">
        <v>38</v>
      </c>
      <c r="C24" s="28">
        <v>1</v>
      </c>
    </row>
    <row r="25" spans="2:4" x14ac:dyDescent="0.15">
      <c r="B25" s="46" t="s">
        <v>40</v>
      </c>
      <c r="C25" s="30">
        <v>1.1000000000000001</v>
      </c>
    </row>
    <row r="26" spans="2:4" x14ac:dyDescent="0.15">
      <c r="B26" s="46" t="s">
        <v>41</v>
      </c>
      <c r="C26" s="30">
        <v>1.2</v>
      </c>
    </row>
    <row r="27" spans="2:4" x14ac:dyDescent="0.15">
      <c r="B27" s="46"/>
      <c r="C27" s="30"/>
    </row>
    <row r="28" spans="2:4" x14ac:dyDescent="0.15">
      <c r="B28" s="46" t="s">
        <v>42</v>
      </c>
      <c r="C28" s="30">
        <v>2.1</v>
      </c>
    </row>
    <row r="29" spans="2:4" x14ac:dyDescent="0.15">
      <c r="B29" s="46" t="s">
        <v>43</v>
      </c>
      <c r="C29" s="30">
        <v>2.2000000000000002</v>
      </c>
    </row>
    <row r="30" spans="2:4" x14ac:dyDescent="0.15">
      <c r="B30" s="46" t="s">
        <v>67</v>
      </c>
      <c r="C30" s="30">
        <v>2.2999999999999998</v>
      </c>
    </row>
    <row r="31" spans="2:4" x14ac:dyDescent="0.15">
      <c r="B31" s="46"/>
      <c r="C31" s="30"/>
    </row>
    <row r="32" spans="2:4" x14ac:dyDescent="0.15">
      <c r="B32" s="46" t="s">
        <v>62</v>
      </c>
      <c r="C32" s="30">
        <v>3.11</v>
      </c>
    </row>
    <row r="33" spans="2:3" x14ac:dyDescent="0.15">
      <c r="B33" s="46" t="s">
        <v>61</v>
      </c>
      <c r="C33" s="30">
        <v>3.12</v>
      </c>
    </row>
    <row r="34" spans="2:3" x14ac:dyDescent="0.15">
      <c r="B34" s="46" t="s">
        <v>68</v>
      </c>
      <c r="C34" s="30">
        <v>3.13</v>
      </c>
    </row>
    <row r="35" spans="2:3" x14ac:dyDescent="0.15">
      <c r="B35" s="46"/>
      <c r="C35" s="30"/>
    </row>
    <row r="36" spans="2:3" x14ac:dyDescent="0.15">
      <c r="B36" s="46" t="s">
        <v>66</v>
      </c>
      <c r="C36" s="30">
        <v>3.21</v>
      </c>
    </row>
    <row r="37" spans="2:3" x14ac:dyDescent="0.15">
      <c r="B37" s="46" t="s">
        <v>63</v>
      </c>
      <c r="C37" s="30">
        <v>3.22</v>
      </c>
    </row>
    <row r="38" spans="2:3" x14ac:dyDescent="0.15">
      <c r="B38" s="46" t="s">
        <v>69</v>
      </c>
      <c r="C38" s="30">
        <v>3.23</v>
      </c>
    </row>
    <row r="39" spans="2:3" x14ac:dyDescent="0.15">
      <c r="B39" s="46"/>
      <c r="C39" s="30"/>
    </row>
    <row r="40" spans="2:3" x14ac:dyDescent="0.15">
      <c r="B40" s="46" t="s">
        <v>64</v>
      </c>
      <c r="C40" s="30">
        <v>8</v>
      </c>
    </row>
    <row r="41" spans="2:3" x14ac:dyDescent="0.15">
      <c r="B41" s="46"/>
      <c r="C41" s="30"/>
    </row>
    <row r="42" spans="2:3" x14ac:dyDescent="0.15">
      <c r="B42" s="46" t="s">
        <v>71</v>
      </c>
      <c r="C42" s="30">
        <v>4.0999999999999996</v>
      </c>
    </row>
    <row r="43" spans="2:3" x14ac:dyDescent="0.15">
      <c r="B43" s="46" t="s">
        <v>70</v>
      </c>
      <c r="C43" s="30">
        <v>4.2</v>
      </c>
    </row>
    <row r="44" spans="2:3" x14ac:dyDescent="0.15">
      <c r="B44" s="46" t="s">
        <v>72</v>
      </c>
      <c r="C44" s="30">
        <v>4.3</v>
      </c>
    </row>
    <row r="45" spans="2:3" x14ac:dyDescent="0.15">
      <c r="B45" s="29"/>
      <c r="C45" s="30"/>
    </row>
    <row r="46" spans="2:3" x14ac:dyDescent="0.15">
      <c r="B46" s="46" t="s">
        <v>138</v>
      </c>
      <c r="C46" s="30">
        <v>6.1</v>
      </c>
    </row>
    <row r="47" spans="2:3" x14ac:dyDescent="0.15">
      <c r="B47" s="46" t="s">
        <v>45</v>
      </c>
      <c r="C47" s="30">
        <v>6.2</v>
      </c>
    </row>
    <row r="48" spans="2:3" x14ac:dyDescent="0.15">
      <c r="B48" s="46"/>
      <c r="C48" s="30"/>
    </row>
    <row r="49" spans="2:4" x14ac:dyDescent="0.15">
      <c r="B49" s="46" t="s">
        <v>44</v>
      </c>
      <c r="C49" s="30">
        <v>5</v>
      </c>
    </row>
    <row r="50" spans="2:4" x14ac:dyDescent="0.15">
      <c r="B50" s="46"/>
      <c r="C50" s="30"/>
    </row>
    <row r="51" spans="2:4" ht="14" thickBot="1" x14ac:dyDescent="0.2">
      <c r="B51" s="47" t="s">
        <v>73</v>
      </c>
      <c r="C51" s="31">
        <v>7</v>
      </c>
    </row>
    <row r="53" spans="2:4" x14ac:dyDescent="0.15">
      <c r="B53" s="169" t="s">
        <v>171</v>
      </c>
      <c r="C53" s="102">
        <v>473</v>
      </c>
      <c r="D53" s="102"/>
    </row>
    <row r="54" spans="2:4" x14ac:dyDescent="0.15">
      <c r="B54" s="169" t="s">
        <v>172</v>
      </c>
      <c r="C54" s="169" t="s">
        <v>185</v>
      </c>
      <c r="D54" s="102"/>
    </row>
    <row r="55" spans="2:4" x14ac:dyDescent="0.15">
      <c r="B55" s="169" t="s">
        <v>173</v>
      </c>
      <c r="C55" s="169" t="s">
        <v>186</v>
      </c>
      <c r="D55" s="102"/>
    </row>
    <row r="56" spans="2:4" x14ac:dyDescent="0.15">
      <c r="B56" s="169" t="s">
        <v>174</v>
      </c>
      <c r="C56" s="102">
        <v>22</v>
      </c>
      <c r="D56" s="102"/>
    </row>
    <row r="57" spans="2:4" x14ac:dyDescent="0.15">
      <c r="B57" s="169" t="s">
        <v>175</v>
      </c>
      <c r="C57" s="169" t="s">
        <v>187</v>
      </c>
      <c r="D57" s="102"/>
    </row>
    <row r="58" spans="2:4" x14ac:dyDescent="0.15">
      <c r="B58" s="169" t="s">
        <v>176</v>
      </c>
      <c r="C58" s="169" t="s">
        <v>188</v>
      </c>
      <c r="D58" s="102"/>
    </row>
    <row r="59" spans="2:4" x14ac:dyDescent="0.15">
      <c r="B59" s="169" t="s">
        <v>177</v>
      </c>
      <c r="C59" s="169" t="s">
        <v>189</v>
      </c>
      <c r="D59" s="102"/>
    </row>
    <row r="60" spans="2:4" x14ac:dyDescent="0.15">
      <c r="B60" s="169" t="s">
        <v>178</v>
      </c>
      <c r="C60" s="169" t="s">
        <v>190</v>
      </c>
      <c r="D60" s="102"/>
    </row>
    <row r="61" spans="2:4" x14ac:dyDescent="0.15">
      <c r="B61" s="169" t="s">
        <v>179</v>
      </c>
      <c r="C61" s="102">
        <v>27</v>
      </c>
      <c r="D61" s="102"/>
    </row>
    <row r="62" spans="2:4" x14ac:dyDescent="0.15">
      <c r="B62" s="169" t="s">
        <v>180</v>
      </c>
      <c r="C62" s="102">
        <v>1</v>
      </c>
      <c r="D62" s="102"/>
    </row>
    <row r="63" spans="2:4" x14ac:dyDescent="0.15">
      <c r="B63" s="169" t="s">
        <v>181</v>
      </c>
      <c r="C63" s="102">
        <v>1998</v>
      </c>
      <c r="D63" s="102"/>
    </row>
    <row r="64" spans="2:4" x14ac:dyDescent="0.15">
      <c r="B64" s="169" t="s">
        <v>182</v>
      </c>
      <c r="C64" s="102">
        <v>1</v>
      </c>
      <c r="D64" s="102"/>
    </row>
    <row r="65" spans="2:4" x14ac:dyDescent="0.15">
      <c r="B65" s="169" t="s">
        <v>183</v>
      </c>
      <c r="C65" s="169" t="s">
        <v>191</v>
      </c>
      <c r="D65" s="102"/>
    </row>
    <row r="66" spans="2:4" x14ac:dyDescent="0.15">
      <c r="B66" s="169" t="s">
        <v>184</v>
      </c>
      <c r="D66" s="102"/>
    </row>
    <row r="67" spans="2:4" x14ac:dyDescent="0.15">
      <c r="B67" s="102"/>
      <c r="C67" s="102"/>
      <c r="D67" s="102"/>
    </row>
    <row r="68" spans="2:4" x14ac:dyDescent="0.15">
      <c r="B68" s="102"/>
      <c r="C68" s="102"/>
      <c r="D68" s="102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6" sqref="Q6"/>
    </sheetView>
  </sheetViews>
  <sheetFormatPr baseColWidth="10" defaultColWidth="8.83203125" defaultRowHeight="15" customHeight="1" x14ac:dyDescent="0.15"/>
  <cols>
    <col min="1" max="1" width="22.5" style="77" customWidth="1"/>
    <col min="2" max="3" width="3.33203125" style="77" customWidth="1"/>
    <col min="4" max="4" width="14.33203125" style="77" customWidth="1"/>
    <col min="5" max="5" width="21.6640625" style="77" bestFit="1" customWidth="1"/>
    <col min="6" max="6" width="2.33203125" style="77" bestFit="1" customWidth="1"/>
    <col min="7" max="7" width="10.83203125" style="77" bestFit="1" customWidth="1"/>
    <col min="8" max="8" width="6.83203125" style="77" customWidth="1"/>
    <col min="9" max="9" width="7.83203125" style="77" customWidth="1"/>
    <col min="10" max="11" width="12.83203125" style="77" customWidth="1"/>
    <col min="12" max="12" width="2.33203125" style="77" customWidth="1"/>
    <col min="13" max="13" width="5.83203125" style="77" customWidth="1"/>
    <col min="14" max="14" width="2.33203125" style="77" customWidth="1"/>
    <col min="16" max="25" width="8.83203125" style="77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77"/>
  </cols>
  <sheetData>
    <row r="1" spans="1:46" s="94" customFormat="1" ht="15" customHeight="1" x14ac:dyDescent="0.15">
      <c r="A1" s="73" t="s">
        <v>18</v>
      </c>
      <c r="C1" s="74" t="s">
        <v>8</v>
      </c>
      <c r="D1" s="73" t="s">
        <v>23</v>
      </c>
      <c r="E1" s="73" t="s">
        <v>0</v>
      </c>
      <c r="F1" s="73" t="s">
        <v>7</v>
      </c>
      <c r="G1" s="75" t="s">
        <v>13</v>
      </c>
      <c r="H1" s="73" t="s">
        <v>1</v>
      </c>
      <c r="I1" s="73" t="s">
        <v>2</v>
      </c>
      <c r="J1" s="73" t="s">
        <v>14</v>
      </c>
      <c r="K1" s="73" t="s">
        <v>3</v>
      </c>
      <c r="L1" s="73" t="s">
        <v>4</v>
      </c>
      <c r="M1" s="73" t="s">
        <v>5</v>
      </c>
      <c r="N1" s="73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4">
        <v>1</v>
      </c>
      <c r="D2"/>
      <c r="E2" s="170" t="s">
        <v>192</v>
      </c>
      <c r="F2" s="77">
        <v>0</v>
      </c>
      <c r="G2" s="77">
        <v>6.6779999999999999</v>
      </c>
      <c r="H2" s="77">
        <v>0.89100000000000001</v>
      </c>
      <c r="I2" s="6">
        <v>5.1760000000000002</v>
      </c>
      <c r="J2" s="6">
        <v>0.94592636799999996</v>
      </c>
      <c r="K2" s="6">
        <v>0.17214064300000001</v>
      </c>
      <c r="L2" s="6">
        <v>0</v>
      </c>
      <c r="M2" s="77">
        <v>0.112</v>
      </c>
      <c r="N2" s="77">
        <v>0</v>
      </c>
    </row>
    <row r="3" spans="1:46" ht="15" customHeight="1" x14ac:dyDescent="0.15">
      <c r="A3" s="1" t="s">
        <v>9</v>
      </c>
      <c r="B3" s="4">
        <v>26</v>
      </c>
      <c r="C3" s="77">
        <v>2</v>
      </c>
      <c r="D3"/>
      <c r="E3" s="170" t="s">
        <v>193</v>
      </c>
      <c r="F3" s="77">
        <v>0</v>
      </c>
      <c r="G3" s="77">
        <v>8.9999999999999993E-3</v>
      </c>
      <c r="H3" s="77">
        <v>5.4</v>
      </c>
      <c r="I3" s="77">
        <v>80</v>
      </c>
      <c r="J3" s="77">
        <v>0</v>
      </c>
      <c r="K3" s="77">
        <v>6.7500000000000004E-2</v>
      </c>
      <c r="L3" s="77">
        <v>0</v>
      </c>
      <c r="M3" s="77">
        <v>0.112</v>
      </c>
      <c r="N3" s="77">
        <v>0</v>
      </c>
    </row>
    <row r="4" spans="1:46" ht="15" customHeight="1" x14ac:dyDescent="0.15">
      <c r="A4" s="1" t="s">
        <v>10</v>
      </c>
      <c r="B4" s="4">
        <v>2</v>
      </c>
      <c r="C4" s="77">
        <v>3</v>
      </c>
      <c r="D4"/>
      <c r="E4" s="170" t="s">
        <v>194</v>
      </c>
      <c r="F4" s="77">
        <v>0</v>
      </c>
      <c r="G4" s="77">
        <v>1.9219999999999999</v>
      </c>
      <c r="H4" s="77">
        <v>0.72899999999999998</v>
      </c>
      <c r="I4" s="77">
        <v>4.8869999999999996</v>
      </c>
      <c r="J4" s="77">
        <v>0.37897769999999997</v>
      </c>
      <c r="K4" s="77">
        <v>0.149171263</v>
      </c>
      <c r="L4" s="77">
        <v>0</v>
      </c>
      <c r="M4" s="77">
        <v>0.112</v>
      </c>
      <c r="N4" s="77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77">
        <v>4</v>
      </c>
      <c r="D5"/>
      <c r="E5" s="170" t="s">
        <v>195</v>
      </c>
      <c r="F5" s="77">
        <v>0</v>
      </c>
      <c r="G5" s="77">
        <v>2.3119999999999998</v>
      </c>
      <c r="H5" s="77">
        <v>0.76200000000000001</v>
      </c>
      <c r="I5" s="77">
        <v>5.7350000000000003</v>
      </c>
      <c r="J5" s="77">
        <v>0.38469567900000001</v>
      </c>
      <c r="K5" s="77">
        <v>0.13286835</v>
      </c>
      <c r="L5" s="77">
        <v>0</v>
      </c>
      <c r="M5" s="77">
        <v>0.112</v>
      </c>
      <c r="N5" s="77">
        <v>0</v>
      </c>
      <c r="P5" s="67"/>
      <c r="Q5" s="67"/>
      <c r="R5" s="67"/>
    </row>
    <row r="6" spans="1:46" ht="15" customHeight="1" thickBot="1" x14ac:dyDescent="0.2">
      <c r="B6" s="1"/>
      <c r="C6" s="77">
        <v>5</v>
      </c>
      <c r="D6"/>
      <c r="E6" s="170" t="s">
        <v>196</v>
      </c>
      <c r="F6" s="77">
        <v>0</v>
      </c>
      <c r="G6" s="77">
        <v>12.3852739</v>
      </c>
      <c r="H6" s="77">
        <v>0.51400000000000001</v>
      </c>
      <c r="I6" s="77">
        <v>6.2510000000000003</v>
      </c>
      <c r="J6" s="77">
        <v>0.95</v>
      </c>
      <c r="K6" s="77">
        <v>8.2226839999999995E-2</v>
      </c>
      <c r="L6" s="77">
        <v>0</v>
      </c>
      <c r="M6" s="77">
        <v>0.112</v>
      </c>
      <c r="N6" s="77">
        <v>0</v>
      </c>
      <c r="P6" s="67"/>
      <c r="Q6" s="67"/>
      <c r="R6" s="67"/>
      <c r="W6" s="33" t="s">
        <v>31</v>
      </c>
      <c r="X6" s="49">
        <f>MAX(MainOutputs!G:G)</f>
        <v>0.9921233057975769</v>
      </c>
    </row>
    <row r="7" spans="1:46" ht="15" customHeight="1" x14ac:dyDescent="0.15">
      <c r="A7" s="2" t="s">
        <v>27</v>
      </c>
      <c r="B7" s="77">
        <f ca="1">COUNTIF(OFFSET(cornerDiets,1,1,NumLiving+NumDead+1,NumLiving+NumDead),"&gt;0")+NumLiving+NumDead+1</f>
        <v>217</v>
      </c>
      <c r="C7" s="77">
        <v>6</v>
      </c>
      <c r="D7"/>
      <c r="E7" s="170" t="s">
        <v>197</v>
      </c>
      <c r="F7" s="77">
        <v>0</v>
      </c>
      <c r="G7" s="77">
        <v>2.9</v>
      </c>
      <c r="H7" s="77">
        <v>0.39100000000000001</v>
      </c>
      <c r="I7" s="77">
        <v>5.3659999999999997</v>
      </c>
      <c r="J7" s="77">
        <v>0.100576833</v>
      </c>
      <c r="K7" s="77">
        <v>7.2866193999999995E-2</v>
      </c>
      <c r="L7" s="77">
        <v>0</v>
      </c>
      <c r="M7" s="77">
        <v>0.112</v>
      </c>
      <c r="N7" s="77">
        <v>0</v>
      </c>
      <c r="P7" s="67"/>
      <c r="Q7" s="67"/>
      <c r="R7" s="67"/>
    </row>
    <row r="8" spans="1:46" ht="15" customHeight="1" x14ac:dyDescent="0.15">
      <c r="A8" s="2" t="s">
        <v>28</v>
      </c>
      <c r="B8" s="77">
        <f ca="1">COUNTIF(OFFSET(cornerFishing,1,2,NumLiving+NumDead,NumGears),"&gt;0")+NumDead*COUNTIF(OFFSET(cornerDiscards,1,2,NumLiving+NumDead,NumGears),"&gt;0")+NumLiving+NumDead+1</f>
        <v>39</v>
      </c>
      <c r="C8" s="77">
        <v>7</v>
      </c>
      <c r="D8"/>
      <c r="E8" s="170" t="s">
        <v>198</v>
      </c>
      <c r="F8" s="77">
        <v>0</v>
      </c>
      <c r="G8" s="77">
        <v>7.4720000000000004</v>
      </c>
      <c r="H8" s="77">
        <v>0.75600000000000001</v>
      </c>
      <c r="I8" s="77">
        <v>7.149</v>
      </c>
      <c r="J8" s="77">
        <v>0.31171268200000002</v>
      </c>
      <c r="K8" s="77">
        <v>0.105749048</v>
      </c>
      <c r="L8" s="77">
        <v>0</v>
      </c>
      <c r="M8" s="77">
        <v>0.112</v>
      </c>
      <c r="N8" s="77">
        <v>0</v>
      </c>
      <c r="P8" s="67"/>
      <c r="Q8" s="67"/>
      <c r="R8" s="67"/>
    </row>
    <row r="9" spans="1:46" ht="15" customHeight="1" x14ac:dyDescent="0.15">
      <c r="B9" s="1"/>
      <c r="C9" s="77">
        <v>8</v>
      </c>
      <c r="D9"/>
      <c r="E9" s="170" t="s">
        <v>199</v>
      </c>
      <c r="F9" s="77">
        <v>0</v>
      </c>
      <c r="G9" s="77">
        <v>0.64</v>
      </c>
      <c r="H9" s="77">
        <v>0.47499999999999998</v>
      </c>
      <c r="I9" s="77">
        <v>5.7610000000000001</v>
      </c>
      <c r="J9" s="77">
        <v>6.4318470000000003E-2</v>
      </c>
      <c r="K9" s="77">
        <v>8.2450960000000004E-2</v>
      </c>
      <c r="L9" s="77">
        <v>0</v>
      </c>
      <c r="M9" s="77">
        <v>0.112</v>
      </c>
      <c r="N9" s="77">
        <v>0</v>
      </c>
      <c r="P9" s="67"/>
      <c r="Q9" s="67"/>
      <c r="R9" s="67"/>
    </row>
    <row r="10" spans="1:46" ht="15" customHeight="1" x14ac:dyDescent="0.15">
      <c r="B10" s="1"/>
      <c r="C10" s="77">
        <v>9</v>
      </c>
      <c r="D10"/>
      <c r="E10" s="170" t="s">
        <v>200</v>
      </c>
      <c r="F10" s="77">
        <v>0</v>
      </c>
      <c r="G10" s="77">
        <v>3.5999999999999997E-2</v>
      </c>
      <c r="H10" s="77">
        <v>1.8280000000000001</v>
      </c>
      <c r="I10" s="77">
        <v>7.3769999999999998</v>
      </c>
      <c r="J10" s="77">
        <v>0.98772190000000004</v>
      </c>
      <c r="K10" s="77">
        <v>0.2477972</v>
      </c>
      <c r="L10" s="77">
        <v>0</v>
      </c>
      <c r="M10" s="77">
        <v>0.112</v>
      </c>
      <c r="N10" s="77">
        <v>0</v>
      </c>
    </row>
    <row r="11" spans="1:46" ht="15" customHeight="1" x14ac:dyDescent="0.15">
      <c r="C11" s="77">
        <v>10</v>
      </c>
      <c r="D11"/>
      <c r="E11" s="170" t="s">
        <v>201</v>
      </c>
      <c r="F11" s="77">
        <v>0</v>
      </c>
      <c r="G11" s="77">
        <v>0.61738740000000003</v>
      </c>
      <c r="H11" s="77">
        <v>0.60499999999999998</v>
      </c>
      <c r="I11" s="77">
        <v>13.170999999999999</v>
      </c>
      <c r="J11" s="77">
        <v>0.95</v>
      </c>
      <c r="K11" s="77">
        <v>4.59342524E-2</v>
      </c>
      <c r="L11" s="77">
        <v>0</v>
      </c>
      <c r="M11" s="77">
        <v>0.112</v>
      </c>
      <c r="N11" s="77">
        <v>0</v>
      </c>
    </row>
    <row r="12" spans="1:46" ht="15" customHeight="1" x14ac:dyDescent="0.15">
      <c r="C12" s="77">
        <v>11</v>
      </c>
      <c r="D12"/>
      <c r="E12" s="170" t="s">
        <v>202</v>
      </c>
      <c r="F12" s="77">
        <v>0</v>
      </c>
      <c r="G12" s="77">
        <v>4.74</v>
      </c>
      <c r="H12" s="77">
        <v>0.78</v>
      </c>
      <c r="I12" s="77">
        <v>12.025</v>
      </c>
      <c r="J12" s="77">
        <v>3.9515972099999998E-2</v>
      </c>
      <c r="K12" s="77">
        <v>6.4864870000000005E-2</v>
      </c>
      <c r="L12" s="77">
        <v>0</v>
      </c>
      <c r="M12" s="77">
        <v>0.55000000000000004</v>
      </c>
      <c r="N12" s="77">
        <v>0</v>
      </c>
    </row>
    <row r="13" spans="1:46" ht="15" customHeight="1" x14ac:dyDescent="0.15">
      <c r="C13" s="77">
        <v>12</v>
      </c>
      <c r="D13"/>
      <c r="E13" s="170" t="s">
        <v>203</v>
      </c>
      <c r="F13" s="77">
        <v>0</v>
      </c>
      <c r="G13" s="77">
        <v>15.401</v>
      </c>
      <c r="H13" s="77">
        <v>0.93700000000000006</v>
      </c>
      <c r="I13" s="77">
        <v>10.284000000000001</v>
      </c>
      <c r="J13" s="77">
        <v>0.16914172499999999</v>
      </c>
      <c r="K13" s="77">
        <v>9.1112405100000002E-2</v>
      </c>
      <c r="L13" s="77">
        <v>0</v>
      </c>
      <c r="M13" s="77">
        <v>0.112</v>
      </c>
      <c r="N13" s="77">
        <v>0</v>
      </c>
    </row>
    <row r="14" spans="1:46" ht="15" customHeight="1" x14ac:dyDescent="0.15">
      <c r="C14" s="77">
        <v>13</v>
      </c>
      <c r="D14"/>
      <c r="E14" s="170" t="s">
        <v>204</v>
      </c>
      <c r="F14" s="77">
        <v>0</v>
      </c>
      <c r="G14" s="77">
        <v>0.153</v>
      </c>
      <c r="H14" s="77">
        <v>0.624</v>
      </c>
      <c r="I14" s="77">
        <v>8.5869999999999997</v>
      </c>
      <c r="J14" s="77">
        <v>0.99212330000000004</v>
      </c>
      <c r="K14" s="77">
        <v>7.2667986200000007E-2</v>
      </c>
      <c r="L14" s="77">
        <v>0</v>
      </c>
      <c r="M14" s="77">
        <v>0.55000000000000004</v>
      </c>
      <c r="N14" s="77">
        <v>0</v>
      </c>
    </row>
    <row r="15" spans="1:46" ht="15" customHeight="1" x14ac:dyDescent="0.15">
      <c r="C15" s="77">
        <v>14</v>
      </c>
      <c r="D15"/>
      <c r="E15" s="170" t="s">
        <v>205</v>
      </c>
      <c r="F15" s="77">
        <v>0</v>
      </c>
      <c r="G15" s="77">
        <v>0.87560159999999998</v>
      </c>
      <c r="H15" s="77">
        <v>284.8</v>
      </c>
      <c r="I15" s="77">
        <v>1898.73</v>
      </c>
      <c r="J15" s="77">
        <v>0.95</v>
      </c>
      <c r="K15" s="77">
        <v>0.14999499999999999</v>
      </c>
      <c r="L15" s="77">
        <v>0</v>
      </c>
      <c r="M15" s="77">
        <v>0.4</v>
      </c>
      <c r="N15" s="77">
        <v>0</v>
      </c>
    </row>
    <row r="16" spans="1:46" ht="15" customHeight="1" x14ac:dyDescent="0.15">
      <c r="C16" s="77">
        <v>15</v>
      </c>
      <c r="D16"/>
      <c r="E16" s="170" t="s">
        <v>206</v>
      </c>
      <c r="F16" s="77">
        <v>0</v>
      </c>
      <c r="G16" s="77">
        <v>3.2629082199999999</v>
      </c>
      <c r="H16" s="77">
        <v>50</v>
      </c>
      <c r="I16" s="77">
        <v>170</v>
      </c>
      <c r="J16" s="77">
        <v>0.95</v>
      </c>
      <c r="K16" s="77">
        <v>0.29411765899999998</v>
      </c>
      <c r="L16" s="77">
        <v>0</v>
      </c>
      <c r="M16" s="77">
        <v>0.39600000000000002</v>
      </c>
      <c r="N16" s="77">
        <v>0</v>
      </c>
    </row>
    <row r="17" spans="1:22" ht="15" customHeight="1" x14ac:dyDescent="0.15">
      <c r="C17" s="77">
        <v>16</v>
      </c>
      <c r="D17"/>
      <c r="E17" s="170" t="s">
        <v>207</v>
      </c>
      <c r="F17" s="77">
        <v>0</v>
      </c>
      <c r="G17" s="77">
        <v>0.745</v>
      </c>
      <c r="H17" s="77">
        <v>25</v>
      </c>
      <c r="I17" s="77">
        <v>70</v>
      </c>
      <c r="J17" s="77">
        <v>0.67584599999999995</v>
      </c>
      <c r="K17" s="77">
        <v>0.357142866</v>
      </c>
      <c r="L17" s="77">
        <v>0</v>
      </c>
      <c r="M17" s="77">
        <v>0.13</v>
      </c>
      <c r="N17" s="77">
        <v>0</v>
      </c>
      <c r="V17" s="1" t="s">
        <v>30</v>
      </c>
    </row>
    <row r="18" spans="1:22" ht="15" customHeight="1" x14ac:dyDescent="0.15">
      <c r="C18" s="77">
        <v>17</v>
      </c>
      <c r="D18"/>
      <c r="E18" s="170" t="s">
        <v>208</v>
      </c>
      <c r="F18" s="77">
        <v>0</v>
      </c>
      <c r="G18" s="77">
        <v>1.4276646399999999</v>
      </c>
      <c r="H18" s="77">
        <v>150</v>
      </c>
      <c r="I18" s="77">
        <v>300</v>
      </c>
      <c r="J18" s="77">
        <v>0.99</v>
      </c>
      <c r="K18" s="77">
        <v>0.5</v>
      </c>
      <c r="L18" s="77">
        <v>0</v>
      </c>
      <c r="M18" s="77">
        <v>0.40500000000000003</v>
      </c>
      <c r="N18" s="77">
        <v>0</v>
      </c>
      <c r="V18" s="1"/>
    </row>
    <row r="19" spans="1:22" ht="15" customHeight="1" x14ac:dyDescent="0.15">
      <c r="C19" s="77">
        <v>18</v>
      </c>
      <c r="D19"/>
      <c r="E19" s="170" t="s">
        <v>209</v>
      </c>
      <c r="F19" s="77">
        <v>1</v>
      </c>
      <c r="G19" s="77">
        <v>5.3749332399999998</v>
      </c>
      <c r="H19" s="77">
        <v>112.65</v>
      </c>
      <c r="I19" s="77">
        <v>0</v>
      </c>
      <c r="J19" s="77">
        <v>0.95</v>
      </c>
      <c r="K19" s="77">
        <v>0</v>
      </c>
      <c r="L19" s="77">
        <v>0</v>
      </c>
      <c r="M19" s="77">
        <v>0</v>
      </c>
      <c r="N19" s="77">
        <v>0</v>
      </c>
    </row>
    <row r="20" spans="1:22" ht="15" customHeight="1" thickBot="1" x14ac:dyDescent="0.2">
      <c r="C20" s="77">
        <v>19</v>
      </c>
      <c r="D20"/>
      <c r="E20" s="170" t="s">
        <v>210</v>
      </c>
      <c r="F20" s="77">
        <v>0</v>
      </c>
      <c r="G20" s="77">
        <v>70</v>
      </c>
      <c r="H20" s="77">
        <v>2.5</v>
      </c>
      <c r="I20" s="77">
        <v>10</v>
      </c>
      <c r="J20" s="77">
        <v>0.71029734600000005</v>
      </c>
      <c r="K20" s="77">
        <v>0.25</v>
      </c>
      <c r="L20" s="77">
        <v>0</v>
      </c>
      <c r="M20" s="77">
        <v>0.1</v>
      </c>
      <c r="N20" s="77">
        <v>0</v>
      </c>
    </row>
    <row r="21" spans="1:22" ht="15" customHeight="1" thickBot="1" x14ac:dyDescent="0.2">
      <c r="A21" s="44" t="s">
        <v>137</v>
      </c>
      <c r="B21" s="95"/>
      <c r="C21" s="77">
        <v>20</v>
      </c>
      <c r="D21"/>
      <c r="E21" s="170" t="s">
        <v>211</v>
      </c>
      <c r="F21" s="77">
        <v>0</v>
      </c>
      <c r="G21" s="77">
        <v>64.426000000000002</v>
      </c>
      <c r="H21" s="77">
        <v>0.69299999999999995</v>
      </c>
      <c r="I21" s="77">
        <v>2.7719999999999998</v>
      </c>
      <c r="J21" s="77">
        <v>0.77866210000000002</v>
      </c>
      <c r="K21" s="77">
        <v>0.25</v>
      </c>
      <c r="L21" s="77">
        <v>0</v>
      </c>
      <c r="M21" s="77">
        <v>0.4</v>
      </c>
      <c r="N21" s="77">
        <v>0</v>
      </c>
    </row>
    <row r="22" spans="1:22" ht="15" customHeight="1" x14ac:dyDescent="0.15">
      <c r="A22" s="96" t="s">
        <v>58</v>
      </c>
      <c r="B22" s="97">
        <v>0</v>
      </c>
      <c r="C22" s="77">
        <v>21</v>
      </c>
      <c r="D22"/>
      <c r="E22" s="170" t="s">
        <v>212</v>
      </c>
      <c r="F22" s="77">
        <v>0</v>
      </c>
      <c r="G22" s="77">
        <v>10.002000000000001</v>
      </c>
      <c r="H22" s="77">
        <v>20.21</v>
      </c>
      <c r="I22" s="77">
        <v>92.594999999999999</v>
      </c>
      <c r="J22" s="77">
        <v>0.83384899999999995</v>
      </c>
      <c r="K22" s="77">
        <v>0.21826231500000001</v>
      </c>
      <c r="L22" s="77">
        <v>0</v>
      </c>
      <c r="M22" s="77">
        <v>0.2</v>
      </c>
      <c r="N22" s="77">
        <v>0</v>
      </c>
    </row>
    <row r="23" spans="1:22" ht="15" customHeight="1" x14ac:dyDescent="0.15">
      <c r="A23" s="96" t="s">
        <v>59</v>
      </c>
      <c r="B23" s="97">
        <v>1</v>
      </c>
      <c r="C23" s="77">
        <v>22</v>
      </c>
      <c r="D23"/>
      <c r="E23" s="170" t="s">
        <v>213</v>
      </c>
      <c r="F23" s="77">
        <v>0</v>
      </c>
      <c r="G23" s="77">
        <v>21.401367199999999</v>
      </c>
      <c r="H23" s="77">
        <v>9</v>
      </c>
      <c r="I23" s="77">
        <v>21.744</v>
      </c>
      <c r="J23" s="77">
        <v>0.95</v>
      </c>
      <c r="K23" s="77">
        <v>0.41390729999999998</v>
      </c>
      <c r="L23" s="77">
        <v>0</v>
      </c>
      <c r="M23" s="77">
        <v>0.27</v>
      </c>
      <c r="N23" s="77">
        <v>0</v>
      </c>
    </row>
    <row r="24" spans="1:22" ht="15" customHeight="1" x14ac:dyDescent="0.15">
      <c r="A24" s="96" t="s">
        <v>60</v>
      </c>
      <c r="B24" s="97">
        <v>2</v>
      </c>
      <c r="C24" s="77">
        <v>23</v>
      </c>
      <c r="D24"/>
      <c r="E24" s="170" t="s">
        <v>214</v>
      </c>
      <c r="F24" s="77">
        <v>0</v>
      </c>
      <c r="G24" s="77">
        <v>24.63</v>
      </c>
      <c r="H24" s="77">
        <v>4.7225000000000001</v>
      </c>
      <c r="I24" s="77">
        <v>18.89</v>
      </c>
      <c r="J24" s="77">
        <v>0.62918540000000001</v>
      </c>
      <c r="K24" s="77">
        <v>0.25</v>
      </c>
      <c r="L24" s="77">
        <v>0</v>
      </c>
      <c r="M24" s="77">
        <v>0.2</v>
      </c>
      <c r="N24" s="77">
        <v>0</v>
      </c>
    </row>
    <row r="25" spans="1:22" ht="15" customHeight="1" thickBot="1" x14ac:dyDescent="0.2">
      <c r="A25" s="98" t="s">
        <v>44</v>
      </c>
      <c r="B25" s="99">
        <v>3</v>
      </c>
      <c r="C25" s="77">
        <v>24</v>
      </c>
      <c r="D25"/>
      <c r="E25" s="170" t="s">
        <v>215</v>
      </c>
      <c r="F25" s="77">
        <v>0</v>
      </c>
      <c r="G25" s="77">
        <v>62.338999999999999</v>
      </c>
      <c r="H25" s="77">
        <v>3.36</v>
      </c>
      <c r="I25" s="77">
        <v>19.260000000000002</v>
      </c>
      <c r="J25" s="77">
        <v>0.92447686200000001</v>
      </c>
      <c r="K25" s="77">
        <v>0.17445482300000001</v>
      </c>
      <c r="L25" s="77">
        <v>0</v>
      </c>
      <c r="M25" s="77">
        <v>0.57999999999999996</v>
      </c>
      <c r="N25" s="77">
        <v>0</v>
      </c>
    </row>
    <row r="26" spans="1:22" ht="15" customHeight="1" x14ac:dyDescent="0.15">
      <c r="A26" s="100" t="s">
        <v>140</v>
      </c>
      <c r="C26" s="77">
        <v>25</v>
      </c>
      <c r="D26"/>
      <c r="E26" s="170" t="s">
        <v>216</v>
      </c>
      <c r="F26" s="77">
        <v>0</v>
      </c>
      <c r="G26" s="77">
        <v>76.389210000000006</v>
      </c>
      <c r="H26" s="77">
        <v>1.913</v>
      </c>
      <c r="I26" s="77">
        <v>10.71</v>
      </c>
      <c r="J26" s="77">
        <v>0.95</v>
      </c>
      <c r="K26" s="77">
        <v>0.17861811799999999</v>
      </c>
      <c r="L26" s="77">
        <v>0</v>
      </c>
      <c r="M26" s="77">
        <v>0.38</v>
      </c>
      <c r="N26" s="77">
        <v>0</v>
      </c>
    </row>
    <row r="27" spans="1:22" ht="15" customHeight="1" x14ac:dyDescent="0.15">
      <c r="C27" s="77">
        <v>26</v>
      </c>
      <c r="D27"/>
      <c r="E27" s="170" t="s">
        <v>217</v>
      </c>
      <c r="F27" s="77">
        <v>1</v>
      </c>
      <c r="G27" s="77">
        <v>970.74475099999995</v>
      </c>
      <c r="H27" s="77">
        <v>1.573</v>
      </c>
      <c r="I27" s="77">
        <v>0</v>
      </c>
      <c r="J27" s="77">
        <v>0.95</v>
      </c>
      <c r="K27" s="77">
        <v>0</v>
      </c>
      <c r="L27" s="77">
        <v>0</v>
      </c>
      <c r="M27" s="77">
        <v>0</v>
      </c>
      <c r="N27" s="77">
        <v>0</v>
      </c>
    </row>
    <row r="28" spans="1:22" ht="15" customHeight="1" x14ac:dyDescent="0.15">
      <c r="C28" s="77">
        <v>27</v>
      </c>
      <c r="D28"/>
      <c r="E28" s="170" t="s">
        <v>218</v>
      </c>
      <c r="F28" s="77">
        <v>2</v>
      </c>
      <c r="G28" s="77">
        <v>230.85</v>
      </c>
      <c r="H28" s="77">
        <v>0</v>
      </c>
      <c r="I28" s="77">
        <v>0</v>
      </c>
      <c r="J28" s="77">
        <v>0.76769006299999998</v>
      </c>
      <c r="K28" s="77">
        <v>0</v>
      </c>
      <c r="L28" s="77">
        <v>0</v>
      </c>
      <c r="M28" s="77">
        <v>0</v>
      </c>
      <c r="N28" s="77">
        <v>0</v>
      </c>
    </row>
    <row r="29" spans="1:22" customFormat="1" ht="15" customHeight="1" x14ac:dyDescent="0.15">
      <c r="C29" s="77">
        <v>28</v>
      </c>
      <c r="E29" s="170" t="s">
        <v>219</v>
      </c>
      <c r="F29" s="77">
        <v>2</v>
      </c>
      <c r="G29" s="77">
        <v>5</v>
      </c>
      <c r="H29" s="77">
        <v>0</v>
      </c>
      <c r="I29" s="77">
        <v>0</v>
      </c>
      <c r="J29" s="77">
        <v>0</v>
      </c>
      <c r="K29" s="77">
        <v>0</v>
      </c>
      <c r="L29" s="77">
        <v>0</v>
      </c>
      <c r="M29" s="77">
        <v>0</v>
      </c>
      <c r="N29" s="77">
        <v>0</v>
      </c>
    </row>
    <row r="30" spans="1:22" customFormat="1" ht="15" customHeight="1" x14ac:dyDescent="0.15">
      <c r="C30" s="77">
        <v>29</v>
      </c>
      <c r="E30" s="170" t="s">
        <v>220</v>
      </c>
      <c r="F30" s="77">
        <v>3</v>
      </c>
      <c r="G30" s="77">
        <v>0</v>
      </c>
      <c r="H30" s="77">
        <v>0</v>
      </c>
      <c r="I30" s="77">
        <v>0</v>
      </c>
      <c r="J30" s="77">
        <v>0</v>
      </c>
      <c r="K30" s="77">
        <v>0</v>
      </c>
      <c r="L30" s="77">
        <v>0</v>
      </c>
      <c r="M30" s="77">
        <v>0</v>
      </c>
      <c r="N30" s="77">
        <v>0</v>
      </c>
    </row>
    <row r="31" spans="1:22" customFormat="1" ht="15" customHeight="1" x14ac:dyDescent="0.15"/>
    <row r="32" spans="1:22" customFormat="1" ht="15" customHeight="1" x14ac:dyDescent="0.15"/>
    <row r="33" customFormat="1" ht="15" customHeight="1" x14ac:dyDescent="0.15"/>
    <row r="34" customFormat="1" ht="15" customHeight="1" x14ac:dyDescent="0.15"/>
    <row r="35" customFormat="1" ht="15" customHeight="1" x14ac:dyDescent="0.15"/>
    <row r="36" customFormat="1" ht="15" customHeight="1" x14ac:dyDescent="0.15"/>
    <row r="37" customFormat="1" ht="15" customHeight="1" x14ac:dyDescent="0.15"/>
    <row r="38" customFormat="1" ht="15" customHeight="1" x14ac:dyDescent="0.15"/>
    <row r="39" customFormat="1" ht="15" customHeight="1" x14ac:dyDescent="0.15"/>
    <row r="40" customFormat="1" ht="15" customHeight="1" x14ac:dyDescent="0.15"/>
    <row r="41" customFormat="1" ht="15" customHeight="1" x14ac:dyDescent="0.15"/>
    <row r="42" customFormat="1" ht="15" customHeight="1" x14ac:dyDescent="0.15"/>
    <row r="43" customFormat="1" ht="15" customHeight="1" x14ac:dyDescent="0.15"/>
    <row r="44" customFormat="1" ht="15" customHeight="1" x14ac:dyDescent="0.15"/>
    <row r="45" customFormat="1" ht="15" customHeight="1" x14ac:dyDescent="0.15"/>
    <row r="46" customFormat="1" ht="15" customHeight="1" x14ac:dyDescent="0.15"/>
    <row r="47" customFormat="1" ht="15" customHeight="1" x14ac:dyDescent="0.15"/>
    <row r="48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36" bestFit="1" customWidth="1"/>
    <col min="2" max="2" width="4.83203125" style="136" bestFit="1" customWidth="1"/>
    <col min="3" max="5" width="5.83203125" style="136" bestFit="1" customWidth="1"/>
    <col min="6" max="7" width="14.83203125" style="136" bestFit="1" customWidth="1"/>
    <col min="8" max="8" width="13.83203125" style="136" bestFit="1" customWidth="1"/>
    <col min="9" max="10" width="5.83203125" style="136" bestFit="1" customWidth="1"/>
    <col min="11" max="11" width="14.83203125" style="136" bestFit="1" customWidth="1"/>
    <col min="12" max="12" width="5.83203125" style="136" bestFit="1" customWidth="1"/>
    <col min="13" max="13" width="14.83203125" style="136" bestFit="1" customWidth="1"/>
    <col min="14" max="14" width="5.83203125" style="136" bestFit="1" customWidth="1"/>
    <col min="15" max="15" width="2.33203125" style="136" bestFit="1" customWidth="1"/>
    <col min="16" max="17" width="5.83203125" style="136" bestFit="1" customWidth="1"/>
    <col min="18" max="18" width="4.83203125" style="136" bestFit="1" customWidth="1"/>
    <col min="19" max="19" width="2.33203125" style="136" bestFit="1" customWidth="1"/>
    <col min="20" max="21" width="5.83203125" style="136" bestFit="1" customWidth="1"/>
    <col min="22" max="22" width="14.83203125" style="136" bestFit="1" customWidth="1"/>
    <col min="23" max="23" width="5.83203125" style="136" bestFit="1" customWidth="1"/>
    <col min="24" max="26" width="14.83203125" style="136" bestFit="1" customWidth="1"/>
    <col min="27" max="29" width="2.33203125" style="136" bestFit="1" customWidth="1"/>
    <col min="30" max="16384" width="8.83203125" style="136"/>
  </cols>
  <sheetData>
    <row r="1" spans="1:34" x14ac:dyDescent="0.15">
      <c r="A1" s="135" t="s">
        <v>19</v>
      </c>
      <c r="B1" s="172" t="s">
        <v>192</v>
      </c>
      <c r="C1" s="172" t="s">
        <v>193</v>
      </c>
      <c r="D1" s="172" t="s">
        <v>194</v>
      </c>
      <c r="E1" s="172" t="s">
        <v>195</v>
      </c>
      <c r="F1" s="172" t="s">
        <v>196</v>
      </c>
      <c r="G1" s="172" t="s">
        <v>197</v>
      </c>
      <c r="H1" s="172" t="s">
        <v>198</v>
      </c>
      <c r="I1" s="172" t="s">
        <v>199</v>
      </c>
      <c r="J1" s="172" t="s">
        <v>200</v>
      </c>
      <c r="K1" s="172" t="s">
        <v>201</v>
      </c>
      <c r="L1" s="172" t="s">
        <v>202</v>
      </c>
      <c r="M1" s="172" t="s">
        <v>203</v>
      </c>
      <c r="N1" s="172" t="s">
        <v>204</v>
      </c>
      <c r="O1" s="172" t="s">
        <v>205</v>
      </c>
      <c r="P1" s="172" t="s">
        <v>206</v>
      </c>
      <c r="Q1" s="172" t="s">
        <v>207</v>
      </c>
      <c r="R1" s="172" t="s">
        <v>208</v>
      </c>
      <c r="S1" s="172" t="s">
        <v>209</v>
      </c>
      <c r="T1" s="172" t="s">
        <v>210</v>
      </c>
      <c r="U1" s="172" t="s">
        <v>211</v>
      </c>
      <c r="V1" s="172" t="s">
        <v>212</v>
      </c>
      <c r="W1" s="172" t="s">
        <v>213</v>
      </c>
      <c r="X1" s="172" t="s">
        <v>214</v>
      </c>
      <c r="Y1" s="172" t="s">
        <v>215</v>
      </c>
      <c r="Z1" s="172" t="s">
        <v>216</v>
      </c>
      <c r="AA1" s="172" t="s">
        <v>217</v>
      </c>
      <c r="AB1" s="172" t="s">
        <v>218</v>
      </c>
      <c r="AC1" s="172" t="s">
        <v>219</v>
      </c>
      <c r="AD1"/>
      <c r="AE1"/>
      <c r="AF1"/>
      <c r="AG1"/>
      <c r="AH1"/>
    </row>
    <row r="2" spans="1:34" customFormat="1" x14ac:dyDescent="0.15">
      <c r="A2" s="171" t="s">
        <v>192</v>
      </c>
      <c r="B2" s="136">
        <v>0</v>
      </c>
      <c r="C2" s="136">
        <v>0</v>
      </c>
      <c r="D2" s="136">
        <v>2.8000000000000004E-2</v>
      </c>
      <c r="E2" s="136">
        <v>4.0000000000000001E-3</v>
      </c>
      <c r="F2" s="136">
        <v>1.0000000037E-3</v>
      </c>
      <c r="G2" s="136">
        <v>0</v>
      </c>
      <c r="H2" s="136">
        <v>9.799999902000002E-2</v>
      </c>
      <c r="I2" s="136">
        <v>0</v>
      </c>
      <c r="J2" s="136">
        <v>0</v>
      </c>
      <c r="K2" s="136">
        <v>0</v>
      </c>
      <c r="L2" s="136">
        <v>0</v>
      </c>
      <c r="M2" s="136">
        <v>0</v>
      </c>
      <c r="N2" s="136">
        <v>0</v>
      </c>
      <c r="O2" s="136">
        <v>0</v>
      </c>
      <c r="P2" s="136">
        <v>0</v>
      </c>
      <c r="Q2" s="136">
        <v>0</v>
      </c>
      <c r="R2" s="136">
        <v>0</v>
      </c>
      <c r="S2" s="136">
        <v>0</v>
      </c>
      <c r="T2" s="136">
        <v>0</v>
      </c>
      <c r="U2" s="136">
        <v>0</v>
      </c>
      <c r="V2" s="136">
        <v>0</v>
      </c>
      <c r="W2" s="136">
        <v>0</v>
      </c>
      <c r="X2" s="136">
        <v>0</v>
      </c>
      <c r="Y2" s="136">
        <v>0</v>
      </c>
      <c r="Z2" s="136">
        <v>0</v>
      </c>
      <c r="AA2" s="136">
        <v>0</v>
      </c>
      <c r="AB2" s="136">
        <v>0</v>
      </c>
      <c r="AC2" s="136">
        <v>0</v>
      </c>
    </row>
    <row r="3" spans="1:34" customFormat="1" x14ac:dyDescent="0.15">
      <c r="A3" s="171" t="s">
        <v>193</v>
      </c>
      <c r="B3" s="136">
        <v>0</v>
      </c>
      <c r="C3" s="136">
        <v>0</v>
      </c>
      <c r="D3" s="136">
        <v>0</v>
      </c>
      <c r="E3" s="136">
        <v>0</v>
      </c>
      <c r="F3" s="136">
        <v>0</v>
      </c>
      <c r="G3" s="136">
        <v>0</v>
      </c>
      <c r="H3" s="136">
        <v>0</v>
      </c>
      <c r="I3" s="136">
        <v>0</v>
      </c>
      <c r="J3" s="136">
        <v>0</v>
      </c>
      <c r="K3" s="136">
        <v>0</v>
      </c>
      <c r="L3" s="136">
        <v>0</v>
      </c>
      <c r="M3" s="136">
        <v>0</v>
      </c>
      <c r="N3" s="136">
        <v>0</v>
      </c>
      <c r="O3" s="136">
        <v>0</v>
      </c>
      <c r="P3" s="136">
        <v>0</v>
      </c>
      <c r="Q3" s="136">
        <v>0</v>
      </c>
      <c r="R3" s="136">
        <v>0</v>
      </c>
      <c r="S3" s="136">
        <v>0</v>
      </c>
      <c r="T3" s="136">
        <v>0</v>
      </c>
      <c r="U3" s="136">
        <v>0</v>
      </c>
      <c r="V3" s="136">
        <v>0</v>
      </c>
      <c r="W3" s="136">
        <v>0</v>
      </c>
      <c r="X3" s="136">
        <v>0</v>
      </c>
      <c r="Y3" s="136">
        <v>0</v>
      </c>
      <c r="Z3" s="136">
        <v>0</v>
      </c>
      <c r="AA3" s="136">
        <v>0</v>
      </c>
      <c r="AB3" s="136">
        <v>0</v>
      </c>
      <c r="AC3" s="136">
        <v>0</v>
      </c>
    </row>
    <row r="4" spans="1:34" customFormat="1" x14ac:dyDescent="0.15">
      <c r="A4" s="171" t="s">
        <v>194</v>
      </c>
      <c r="B4" s="136">
        <v>0</v>
      </c>
      <c r="C4" s="136">
        <v>0</v>
      </c>
      <c r="D4" s="136">
        <v>0</v>
      </c>
      <c r="E4" s="136">
        <v>0</v>
      </c>
      <c r="F4" s="136">
        <v>0</v>
      </c>
      <c r="G4" s="136">
        <v>0</v>
      </c>
      <c r="H4" s="136">
        <v>0</v>
      </c>
      <c r="I4" s="136">
        <v>0</v>
      </c>
      <c r="J4" s="136">
        <v>0</v>
      </c>
      <c r="K4" s="136">
        <v>0</v>
      </c>
      <c r="L4" s="136">
        <v>0</v>
      </c>
      <c r="M4" s="136">
        <v>0</v>
      </c>
      <c r="N4" s="136">
        <v>0</v>
      </c>
      <c r="O4" s="136">
        <v>0</v>
      </c>
      <c r="P4" s="136">
        <v>0</v>
      </c>
      <c r="Q4" s="136">
        <v>0</v>
      </c>
      <c r="R4" s="136">
        <v>0</v>
      </c>
      <c r="S4" s="136">
        <v>0</v>
      </c>
      <c r="T4" s="136">
        <v>0</v>
      </c>
      <c r="U4" s="136">
        <v>0</v>
      </c>
      <c r="V4" s="136">
        <v>0</v>
      </c>
      <c r="W4" s="136">
        <v>0</v>
      </c>
      <c r="X4" s="136">
        <v>0</v>
      </c>
      <c r="Y4" s="136">
        <v>0</v>
      </c>
      <c r="Z4" s="136">
        <v>0</v>
      </c>
      <c r="AA4" s="136">
        <v>0</v>
      </c>
      <c r="AB4" s="136">
        <v>0</v>
      </c>
      <c r="AC4" s="136">
        <v>0</v>
      </c>
    </row>
    <row r="5" spans="1:34" customFormat="1" x14ac:dyDescent="0.15">
      <c r="A5" s="171" t="s">
        <v>195</v>
      </c>
      <c r="B5" s="136">
        <v>0</v>
      </c>
      <c r="C5" s="136">
        <v>8.500000000000002E-2</v>
      </c>
      <c r="D5" s="136">
        <v>9.0000000000000011E-3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  <c r="N5" s="136">
        <v>0</v>
      </c>
      <c r="O5" s="136">
        <v>0</v>
      </c>
      <c r="P5" s="136">
        <v>0</v>
      </c>
      <c r="Q5" s="136">
        <v>0</v>
      </c>
      <c r="R5" s="136">
        <v>0</v>
      </c>
      <c r="S5" s="136">
        <v>0</v>
      </c>
      <c r="T5" s="136">
        <v>0</v>
      </c>
      <c r="U5" s="136">
        <v>0</v>
      </c>
      <c r="V5" s="136">
        <v>0</v>
      </c>
      <c r="W5" s="136">
        <v>0</v>
      </c>
      <c r="X5" s="136">
        <v>0</v>
      </c>
      <c r="Y5" s="136">
        <v>0</v>
      </c>
      <c r="Z5" s="136">
        <v>0</v>
      </c>
      <c r="AA5" s="136">
        <v>0</v>
      </c>
      <c r="AB5" s="136">
        <v>0</v>
      </c>
      <c r="AC5" s="136">
        <v>0</v>
      </c>
    </row>
    <row r="6" spans="1:34" customFormat="1" x14ac:dyDescent="0.15">
      <c r="A6" s="171" t="s">
        <v>196</v>
      </c>
      <c r="B6" s="136">
        <v>0</v>
      </c>
      <c r="C6" s="136">
        <v>0.18600000000000003</v>
      </c>
      <c r="D6" s="136">
        <v>0.36500000000000005</v>
      </c>
      <c r="E6" s="136">
        <v>9.7000000000000003E-2</v>
      </c>
      <c r="F6" s="136">
        <v>1.0000000037E-3</v>
      </c>
      <c r="G6" s="136">
        <v>0</v>
      </c>
      <c r="H6" s="136">
        <v>0</v>
      </c>
      <c r="I6" s="136">
        <v>0</v>
      </c>
      <c r="J6" s="136">
        <v>1.0000000000000002E-3</v>
      </c>
      <c r="K6" s="136">
        <v>0</v>
      </c>
      <c r="L6" s="136">
        <v>0</v>
      </c>
      <c r="M6" s="136">
        <v>0</v>
      </c>
      <c r="N6" s="136">
        <v>0</v>
      </c>
      <c r="O6" s="136">
        <v>0</v>
      </c>
      <c r="P6" s="136">
        <v>0</v>
      </c>
      <c r="Q6" s="136">
        <v>0</v>
      </c>
      <c r="R6" s="136">
        <v>0</v>
      </c>
      <c r="S6" s="136">
        <v>0</v>
      </c>
      <c r="T6" s="136">
        <v>0</v>
      </c>
      <c r="U6" s="136">
        <v>0</v>
      </c>
      <c r="V6" s="136">
        <v>0</v>
      </c>
      <c r="W6" s="136">
        <v>0</v>
      </c>
      <c r="X6" s="136">
        <v>1.9980019720279721E-3</v>
      </c>
      <c r="Y6" s="136">
        <v>0</v>
      </c>
      <c r="Z6" s="136">
        <v>0</v>
      </c>
      <c r="AA6" s="136">
        <v>0</v>
      </c>
      <c r="AB6" s="136">
        <v>0</v>
      </c>
      <c r="AC6" s="136">
        <v>0</v>
      </c>
    </row>
    <row r="7" spans="1:34" customFormat="1" x14ac:dyDescent="0.15">
      <c r="A7" s="171" t="s">
        <v>197</v>
      </c>
      <c r="B7" s="136">
        <v>0</v>
      </c>
      <c r="C7" s="136">
        <v>3.9000000000000007E-2</v>
      </c>
      <c r="D7" s="136">
        <v>5.000000000000001E-3</v>
      </c>
      <c r="E7" s="136">
        <v>0</v>
      </c>
      <c r="F7" s="136">
        <v>0</v>
      </c>
      <c r="G7" s="136">
        <v>0</v>
      </c>
      <c r="H7" s="136">
        <v>0</v>
      </c>
      <c r="I7" s="136">
        <v>0</v>
      </c>
      <c r="J7" s="136">
        <v>0</v>
      </c>
      <c r="K7" s="136">
        <v>0</v>
      </c>
      <c r="L7" s="136">
        <v>0</v>
      </c>
      <c r="M7" s="136">
        <v>0</v>
      </c>
      <c r="N7" s="136">
        <v>0</v>
      </c>
      <c r="O7" s="136">
        <v>0</v>
      </c>
      <c r="P7" s="136">
        <v>0</v>
      </c>
      <c r="Q7" s="136">
        <v>0</v>
      </c>
      <c r="R7" s="136">
        <v>0</v>
      </c>
      <c r="S7" s="136">
        <v>0</v>
      </c>
      <c r="T7" s="136">
        <v>0</v>
      </c>
      <c r="U7" s="136">
        <v>0</v>
      </c>
      <c r="V7" s="136">
        <v>0</v>
      </c>
      <c r="W7" s="136">
        <v>0</v>
      </c>
      <c r="X7" s="136">
        <v>0</v>
      </c>
      <c r="Y7" s="136">
        <v>0</v>
      </c>
      <c r="Z7" s="136">
        <v>0</v>
      </c>
      <c r="AA7" s="136">
        <v>0</v>
      </c>
      <c r="AB7" s="136">
        <v>0</v>
      </c>
      <c r="AC7" s="136">
        <v>0</v>
      </c>
    </row>
    <row r="8" spans="1:34" customFormat="1" x14ac:dyDescent="0.15">
      <c r="A8" s="171" t="s">
        <v>198</v>
      </c>
      <c r="B8" s="136">
        <v>0</v>
      </c>
      <c r="C8" s="136">
        <v>0.19500000000000003</v>
      </c>
      <c r="D8" s="136">
        <v>4.4000000000000004E-2</v>
      </c>
      <c r="E8" s="136">
        <v>7.5999999999999998E-2</v>
      </c>
      <c r="F8" s="136">
        <v>1.0000000037E-3</v>
      </c>
      <c r="G8" s="136">
        <v>0</v>
      </c>
      <c r="H8" s="136">
        <v>0</v>
      </c>
      <c r="I8" s="136">
        <v>0</v>
      </c>
      <c r="J8" s="136">
        <v>0</v>
      </c>
      <c r="K8" s="136">
        <v>0</v>
      </c>
      <c r="L8" s="136">
        <v>0</v>
      </c>
      <c r="M8" s="136">
        <v>0</v>
      </c>
      <c r="N8" s="136">
        <v>0</v>
      </c>
      <c r="O8" s="136">
        <v>0</v>
      </c>
      <c r="P8" s="136">
        <v>0</v>
      </c>
      <c r="Q8" s="136">
        <v>0</v>
      </c>
      <c r="R8" s="136">
        <v>0</v>
      </c>
      <c r="S8" s="136">
        <v>0</v>
      </c>
      <c r="T8" s="136">
        <v>0</v>
      </c>
      <c r="U8" s="136">
        <v>0</v>
      </c>
      <c r="V8" s="136">
        <v>0</v>
      </c>
      <c r="W8" s="136">
        <v>0</v>
      </c>
      <c r="X8" s="136">
        <v>0</v>
      </c>
      <c r="Y8" s="136">
        <v>0</v>
      </c>
      <c r="Z8" s="136">
        <v>0</v>
      </c>
      <c r="AA8" s="136">
        <v>0</v>
      </c>
      <c r="AB8" s="136">
        <v>0</v>
      </c>
      <c r="AC8" s="136">
        <v>0</v>
      </c>
    </row>
    <row r="9" spans="1:34" customFormat="1" x14ac:dyDescent="0.15">
      <c r="A9" s="171" t="s">
        <v>199</v>
      </c>
      <c r="B9" s="136">
        <v>0</v>
      </c>
      <c r="C9" s="136">
        <v>3.0000000000000005E-3</v>
      </c>
      <c r="D9" s="136">
        <v>1.0000000000000002E-3</v>
      </c>
      <c r="E9" s="136">
        <v>0</v>
      </c>
      <c r="F9" s="136">
        <v>0</v>
      </c>
      <c r="G9" s="136">
        <v>0</v>
      </c>
      <c r="H9" s="136">
        <v>0</v>
      </c>
      <c r="I9" s="136">
        <v>0</v>
      </c>
      <c r="J9" s="136">
        <v>0</v>
      </c>
      <c r="K9" s="136">
        <v>0</v>
      </c>
      <c r="L9" s="136">
        <v>0</v>
      </c>
      <c r="M9" s="136">
        <v>0</v>
      </c>
      <c r="N9" s="136">
        <v>0</v>
      </c>
      <c r="O9" s="136">
        <v>0</v>
      </c>
      <c r="P9" s="136">
        <v>0</v>
      </c>
      <c r="Q9" s="136">
        <v>0</v>
      </c>
      <c r="R9" s="136">
        <v>0</v>
      </c>
      <c r="S9" s="136">
        <v>0</v>
      </c>
      <c r="T9" s="136">
        <v>0</v>
      </c>
      <c r="U9" s="136">
        <v>0</v>
      </c>
      <c r="V9" s="136">
        <v>0</v>
      </c>
      <c r="W9" s="136">
        <v>0</v>
      </c>
      <c r="X9" s="136">
        <v>0</v>
      </c>
      <c r="Y9" s="136">
        <v>0</v>
      </c>
      <c r="Z9" s="136">
        <v>0</v>
      </c>
      <c r="AA9" s="136">
        <v>0</v>
      </c>
      <c r="AB9" s="136">
        <v>0</v>
      </c>
      <c r="AC9" s="136">
        <v>0</v>
      </c>
    </row>
    <row r="10" spans="1:34" customFormat="1" x14ac:dyDescent="0.15">
      <c r="A10" s="171" t="s">
        <v>200</v>
      </c>
      <c r="B10" s="136">
        <v>0</v>
      </c>
      <c r="C10" s="136">
        <v>0</v>
      </c>
      <c r="D10" s="136">
        <v>0</v>
      </c>
      <c r="E10" s="136">
        <v>0</v>
      </c>
      <c r="F10" s="136">
        <v>0</v>
      </c>
      <c r="G10" s="136">
        <v>0</v>
      </c>
      <c r="H10" s="136">
        <v>0</v>
      </c>
      <c r="I10" s="136">
        <v>0</v>
      </c>
      <c r="J10" s="136">
        <v>0</v>
      </c>
      <c r="K10" s="136">
        <v>0</v>
      </c>
      <c r="L10" s="136">
        <v>0</v>
      </c>
      <c r="M10" s="136">
        <v>0</v>
      </c>
      <c r="N10" s="136">
        <v>0</v>
      </c>
      <c r="O10" s="136">
        <v>0</v>
      </c>
      <c r="P10" s="136">
        <v>0</v>
      </c>
      <c r="Q10" s="136">
        <v>0</v>
      </c>
      <c r="R10" s="136">
        <v>0</v>
      </c>
      <c r="S10" s="136">
        <v>0</v>
      </c>
      <c r="T10" s="136">
        <v>0</v>
      </c>
      <c r="U10" s="136">
        <v>0</v>
      </c>
      <c r="V10" s="136">
        <v>0</v>
      </c>
      <c r="W10" s="136">
        <v>0</v>
      </c>
      <c r="X10" s="136">
        <v>0</v>
      </c>
      <c r="Y10" s="136">
        <v>0</v>
      </c>
      <c r="Z10" s="136">
        <v>0</v>
      </c>
      <c r="AA10" s="136">
        <v>0</v>
      </c>
      <c r="AB10" s="136">
        <v>0</v>
      </c>
      <c r="AC10" s="136">
        <v>0</v>
      </c>
    </row>
    <row r="11" spans="1:34" customFormat="1" x14ac:dyDescent="0.15">
      <c r="A11" s="171" t="s">
        <v>201</v>
      </c>
      <c r="B11" s="136">
        <v>0</v>
      </c>
      <c r="C11" s="136">
        <v>0</v>
      </c>
      <c r="D11" s="136">
        <v>1.0000000000000002E-2</v>
      </c>
      <c r="E11" s="136">
        <v>8.0000000000000002E-3</v>
      </c>
      <c r="F11" s="136">
        <v>2.0000000073999999E-3</v>
      </c>
      <c r="G11" s="136">
        <v>0</v>
      </c>
      <c r="H11" s="136">
        <v>0</v>
      </c>
      <c r="I11" s="136">
        <v>0</v>
      </c>
      <c r="J11" s="136">
        <v>0</v>
      </c>
      <c r="K11" s="136">
        <v>0</v>
      </c>
      <c r="L11" s="136">
        <v>0</v>
      </c>
      <c r="M11" s="136">
        <v>0</v>
      </c>
      <c r="N11" s="136">
        <v>0</v>
      </c>
      <c r="O11" s="136">
        <v>0</v>
      </c>
      <c r="P11" s="136">
        <v>0</v>
      </c>
      <c r="Q11" s="136">
        <v>0</v>
      </c>
      <c r="R11" s="136">
        <v>0</v>
      </c>
      <c r="S11" s="136">
        <v>0</v>
      </c>
      <c r="T11" s="136">
        <v>0</v>
      </c>
      <c r="U11" s="136">
        <v>0</v>
      </c>
      <c r="V11" s="136">
        <v>0</v>
      </c>
      <c r="W11" s="136">
        <v>0</v>
      </c>
      <c r="X11" s="136">
        <v>0</v>
      </c>
      <c r="Y11" s="136">
        <v>0</v>
      </c>
      <c r="Z11" s="136">
        <v>0</v>
      </c>
      <c r="AA11" s="136">
        <v>0</v>
      </c>
      <c r="AB11" s="136">
        <v>0</v>
      </c>
      <c r="AC11" s="136">
        <v>0</v>
      </c>
    </row>
    <row r="12" spans="1:34" customFormat="1" x14ac:dyDescent="0.15">
      <c r="A12" s="171" t="s">
        <v>202</v>
      </c>
      <c r="B12" s="136">
        <v>0</v>
      </c>
      <c r="C12" s="136">
        <v>6.1000000000000006E-2</v>
      </c>
      <c r="D12" s="136">
        <v>3.0000000000000005E-3</v>
      </c>
      <c r="E12" s="136">
        <v>0</v>
      </c>
      <c r="F12" s="136">
        <v>0</v>
      </c>
      <c r="G12" s="136">
        <v>0</v>
      </c>
      <c r="H12" s="136">
        <v>0</v>
      </c>
      <c r="I12" s="136">
        <v>0</v>
      </c>
      <c r="J12" s="136">
        <v>0</v>
      </c>
      <c r="K12" s="136">
        <v>0</v>
      </c>
      <c r="L12" s="136">
        <v>0</v>
      </c>
      <c r="M12" s="136">
        <v>0</v>
      </c>
      <c r="N12" s="136">
        <v>0</v>
      </c>
      <c r="O12" s="136">
        <v>0</v>
      </c>
      <c r="P12" s="136">
        <v>0</v>
      </c>
      <c r="Q12" s="136">
        <v>0</v>
      </c>
      <c r="R12" s="136">
        <v>0</v>
      </c>
      <c r="S12" s="136">
        <v>0</v>
      </c>
      <c r="T12" s="136">
        <v>0</v>
      </c>
      <c r="U12" s="136">
        <v>0</v>
      </c>
      <c r="V12" s="136">
        <v>0</v>
      </c>
      <c r="W12" s="136">
        <v>0</v>
      </c>
      <c r="X12" s="136">
        <v>0</v>
      </c>
      <c r="Y12" s="136">
        <v>0</v>
      </c>
      <c r="Z12" s="136">
        <v>0</v>
      </c>
      <c r="AA12" s="136">
        <v>0</v>
      </c>
      <c r="AB12" s="136">
        <v>0</v>
      </c>
      <c r="AC12" s="136">
        <v>0</v>
      </c>
    </row>
    <row r="13" spans="1:34" customFormat="1" x14ac:dyDescent="0.15">
      <c r="A13" s="171" t="s">
        <v>203</v>
      </c>
      <c r="B13" s="136">
        <v>0</v>
      </c>
      <c r="C13" s="136">
        <v>0.11700000000000002</v>
      </c>
      <c r="D13" s="136">
        <v>8.2000000000000017E-2</v>
      </c>
      <c r="E13" s="136">
        <v>8.1000000000000003E-2</v>
      </c>
      <c r="F13" s="136">
        <v>0</v>
      </c>
      <c r="G13" s="136">
        <v>0</v>
      </c>
      <c r="H13" s="136">
        <v>0</v>
      </c>
      <c r="I13" s="136">
        <v>0</v>
      </c>
      <c r="J13" s="136">
        <v>0</v>
      </c>
      <c r="K13" s="136">
        <v>0</v>
      </c>
      <c r="L13" s="136">
        <v>0</v>
      </c>
      <c r="M13" s="136">
        <v>1.0000001278899959E-3</v>
      </c>
      <c r="N13" s="136">
        <v>0</v>
      </c>
      <c r="O13" s="136">
        <v>0</v>
      </c>
      <c r="P13" s="136">
        <v>0</v>
      </c>
      <c r="Q13" s="136">
        <v>0</v>
      </c>
      <c r="R13" s="136">
        <v>0</v>
      </c>
      <c r="S13" s="136">
        <v>0</v>
      </c>
      <c r="T13" s="136">
        <v>0</v>
      </c>
      <c r="U13" s="136">
        <v>0</v>
      </c>
      <c r="V13" s="136">
        <v>0</v>
      </c>
      <c r="W13" s="136">
        <v>0</v>
      </c>
      <c r="X13" s="136">
        <v>0</v>
      </c>
      <c r="Y13" s="136">
        <v>0</v>
      </c>
      <c r="Z13" s="136">
        <v>0</v>
      </c>
      <c r="AA13" s="136">
        <v>0</v>
      </c>
      <c r="AB13" s="136">
        <v>0</v>
      </c>
      <c r="AC13" s="136">
        <v>0</v>
      </c>
    </row>
    <row r="14" spans="1:34" customFormat="1" x14ac:dyDescent="0.15">
      <c r="A14" s="171" t="s">
        <v>204</v>
      </c>
      <c r="B14" s="136">
        <v>0</v>
      </c>
      <c r="C14" s="136">
        <v>0.10100000000000002</v>
      </c>
      <c r="D14" s="136">
        <v>0</v>
      </c>
      <c r="E14" s="136">
        <v>0</v>
      </c>
      <c r="F14" s="136">
        <v>0</v>
      </c>
      <c r="G14" s="136">
        <v>0</v>
      </c>
      <c r="H14" s="136">
        <v>0</v>
      </c>
      <c r="I14" s="136">
        <v>0</v>
      </c>
      <c r="J14" s="136">
        <v>0</v>
      </c>
      <c r="K14" s="136">
        <v>0</v>
      </c>
      <c r="L14" s="136">
        <v>0</v>
      </c>
      <c r="M14" s="136">
        <v>0</v>
      </c>
      <c r="N14" s="136">
        <v>0</v>
      </c>
      <c r="O14" s="136">
        <v>0</v>
      </c>
      <c r="P14" s="136">
        <v>0</v>
      </c>
      <c r="Q14" s="136">
        <v>0</v>
      </c>
      <c r="R14" s="136">
        <v>0</v>
      </c>
      <c r="S14" s="136">
        <v>0</v>
      </c>
      <c r="T14" s="136">
        <v>0</v>
      </c>
      <c r="U14" s="136">
        <v>0</v>
      </c>
      <c r="V14" s="136">
        <v>0</v>
      </c>
      <c r="W14" s="136">
        <v>0</v>
      </c>
      <c r="X14" s="136">
        <v>0</v>
      </c>
      <c r="Y14" s="136">
        <v>0</v>
      </c>
      <c r="Z14" s="136">
        <v>0</v>
      </c>
      <c r="AA14" s="136">
        <v>0</v>
      </c>
      <c r="AB14" s="136">
        <v>0</v>
      </c>
      <c r="AC14" s="136">
        <v>0</v>
      </c>
    </row>
    <row r="15" spans="1:34" customFormat="1" x14ac:dyDescent="0.15">
      <c r="A15" s="171" t="s">
        <v>205</v>
      </c>
      <c r="B15" s="136">
        <v>0</v>
      </c>
      <c r="C15" s="136">
        <v>0</v>
      </c>
      <c r="D15" s="136">
        <v>0</v>
      </c>
      <c r="E15" s="136">
        <v>0</v>
      </c>
      <c r="F15" s="136">
        <v>0</v>
      </c>
      <c r="G15" s="136">
        <v>0</v>
      </c>
      <c r="H15" s="136">
        <v>0</v>
      </c>
      <c r="I15" s="136">
        <v>0</v>
      </c>
      <c r="J15" s="136">
        <v>0</v>
      </c>
      <c r="K15" s="136">
        <v>0</v>
      </c>
      <c r="L15" s="136">
        <v>0</v>
      </c>
      <c r="M15" s="136">
        <v>0</v>
      </c>
      <c r="N15" s="136">
        <v>0</v>
      </c>
      <c r="O15" s="136">
        <v>0</v>
      </c>
      <c r="P15" s="136">
        <v>0</v>
      </c>
      <c r="Q15" s="136">
        <v>0</v>
      </c>
      <c r="R15" s="136">
        <v>0.25</v>
      </c>
      <c r="S15" s="136">
        <v>0</v>
      </c>
      <c r="T15" s="136">
        <v>7.8E-2</v>
      </c>
      <c r="U15" s="136">
        <v>1.0999999999999999E-2</v>
      </c>
      <c r="V15" s="136">
        <v>0</v>
      </c>
      <c r="W15" s="136">
        <v>0</v>
      </c>
      <c r="X15" s="136">
        <v>3.9960039440559442E-3</v>
      </c>
      <c r="Y15" s="136">
        <v>5.9471363916519866E-2</v>
      </c>
      <c r="Z15" s="136">
        <v>0</v>
      </c>
      <c r="AA15" s="136">
        <v>0</v>
      </c>
      <c r="AB15" s="136">
        <v>0</v>
      </c>
      <c r="AC15" s="136">
        <v>0</v>
      </c>
    </row>
    <row r="16" spans="1:34" customFormat="1" x14ac:dyDescent="0.15">
      <c r="A16" s="171" t="s">
        <v>206</v>
      </c>
      <c r="B16" s="136">
        <v>0</v>
      </c>
      <c r="C16" s="136">
        <v>0</v>
      </c>
      <c r="D16" s="136">
        <v>0</v>
      </c>
      <c r="E16" s="136">
        <v>0</v>
      </c>
      <c r="F16" s="136">
        <v>0</v>
      </c>
      <c r="G16" s="136">
        <v>0</v>
      </c>
      <c r="H16" s="136">
        <v>0</v>
      </c>
      <c r="I16" s="136">
        <v>0</v>
      </c>
      <c r="J16" s="136">
        <v>5.7000000000000009E-2</v>
      </c>
      <c r="K16" s="136">
        <v>1.5999999946400001E-2</v>
      </c>
      <c r="L16" s="136">
        <v>0</v>
      </c>
      <c r="M16" s="136">
        <v>8.0000027431199119E-2</v>
      </c>
      <c r="N16" s="136">
        <v>6.4000000000000001E-2</v>
      </c>
      <c r="O16" s="136">
        <v>0</v>
      </c>
      <c r="P16" s="136">
        <v>4.0000000000000001E-3</v>
      </c>
      <c r="Q16" s="136">
        <v>0.18</v>
      </c>
      <c r="R16" s="136">
        <v>0</v>
      </c>
      <c r="S16" s="136">
        <v>0</v>
      </c>
      <c r="T16" s="136">
        <v>2.5999999999999999E-2</v>
      </c>
      <c r="U16" s="136">
        <v>1E-3</v>
      </c>
      <c r="V16" s="136">
        <v>8.9910093776223929E-3</v>
      </c>
      <c r="W16" s="136">
        <v>2.4E-2</v>
      </c>
      <c r="X16" s="136">
        <v>5.6943059202797165E-2</v>
      </c>
      <c r="Y16" s="136">
        <v>5.5066078904185044E-2</v>
      </c>
      <c r="Z16" s="136">
        <v>0</v>
      </c>
      <c r="AA16" s="136">
        <v>0</v>
      </c>
      <c r="AB16" s="136">
        <v>0</v>
      </c>
      <c r="AC16" s="136">
        <v>0</v>
      </c>
    </row>
    <row r="17" spans="1:29" customFormat="1" x14ac:dyDescent="0.15">
      <c r="A17" s="171" t="s">
        <v>207</v>
      </c>
      <c r="B17" s="136">
        <v>0</v>
      </c>
      <c r="C17" s="136">
        <v>0</v>
      </c>
      <c r="D17" s="136">
        <v>0</v>
      </c>
      <c r="E17" s="136">
        <v>0</v>
      </c>
      <c r="F17" s="136">
        <v>0</v>
      </c>
      <c r="G17" s="136">
        <v>0</v>
      </c>
      <c r="H17" s="136">
        <v>0</v>
      </c>
      <c r="I17" s="136">
        <v>0</v>
      </c>
      <c r="J17" s="136">
        <v>0</v>
      </c>
      <c r="K17" s="136">
        <v>0</v>
      </c>
      <c r="L17" s="136">
        <v>0</v>
      </c>
      <c r="M17" s="136">
        <v>1.3000000782569975E-2</v>
      </c>
      <c r="N17" s="136">
        <v>0</v>
      </c>
      <c r="O17" s="136">
        <v>0</v>
      </c>
      <c r="P17" s="136">
        <v>0</v>
      </c>
      <c r="Q17" s="136">
        <v>0.01</v>
      </c>
      <c r="R17" s="136">
        <v>0</v>
      </c>
      <c r="S17" s="136">
        <v>0</v>
      </c>
      <c r="T17" s="136">
        <v>5.0000000000000001E-3</v>
      </c>
      <c r="U17" s="136">
        <v>0</v>
      </c>
      <c r="V17" s="136">
        <v>0</v>
      </c>
      <c r="W17" s="136">
        <v>0</v>
      </c>
      <c r="X17" s="136">
        <v>1.3986009804195862E-2</v>
      </c>
      <c r="Y17" s="136">
        <v>0</v>
      </c>
      <c r="Z17" s="136">
        <v>0</v>
      </c>
      <c r="AA17" s="136">
        <v>0</v>
      </c>
      <c r="AB17" s="136">
        <v>0</v>
      </c>
      <c r="AC17" s="136">
        <v>0</v>
      </c>
    </row>
    <row r="18" spans="1:29" customFormat="1" x14ac:dyDescent="0.15">
      <c r="A18" s="171" t="s">
        <v>208</v>
      </c>
      <c r="B18" s="136">
        <v>0</v>
      </c>
      <c r="C18" s="136">
        <v>0</v>
      </c>
      <c r="D18" s="136">
        <v>0</v>
      </c>
      <c r="E18" s="136">
        <v>0</v>
      </c>
      <c r="F18" s="136">
        <v>0</v>
      </c>
      <c r="G18" s="136">
        <v>0</v>
      </c>
      <c r="H18" s="136">
        <v>0</v>
      </c>
      <c r="I18" s="136">
        <v>0</v>
      </c>
      <c r="J18" s="136">
        <v>0</v>
      </c>
      <c r="K18" s="136">
        <v>0</v>
      </c>
      <c r="L18" s="136">
        <v>0</v>
      </c>
      <c r="M18" s="136">
        <v>0</v>
      </c>
      <c r="N18" s="136">
        <v>0</v>
      </c>
      <c r="O18" s="136">
        <v>0</v>
      </c>
      <c r="P18" s="136">
        <v>0.23899999999999999</v>
      </c>
      <c r="Q18" s="136">
        <v>0</v>
      </c>
      <c r="R18" s="136">
        <v>0.05</v>
      </c>
      <c r="S18" s="136">
        <v>0</v>
      </c>
      <c r="T18" s="136">
        <v>6.9000000000000006E-2</v>
      </c>
      <c r="U18" s="136">
        <v>0</v>
      </c>
      <c r="V18" s="136">
        <v>8.9910093776223929E-3</v>
      </c>
      <c r="W18" s="136">
        <v>0</v>
      </c>
      <c r="X18" s="136">
        <v>2.9970029580419582E-3</v>
      </c>
      <c r="Y18" s="136">
        <v>0</v>
      </c>
      <c r="Z18" s="136">
        <v>0</v>
      </c>
      <c r="AA18" s="136">
        <v>0</v>
      </c>
      <c r="AB18" s="136">
        <v>0</v>
      </c>
      <c r="AC18" s="136">
        <v>0</v>
      </c>
    </row>
    <row r="19" spans="1:29" customFormat="1" x14ac:dyDescent="0.15">
      <c r="A19" s="171" t="s">
        <v>209</v>
      </c>
      <c r="B19" s="136">
        <v>0</v>
      </c>
      <c r="C19" s="136">
        <v>0</v>
      </c>
      <c r="D19" s="136">
        <v>0</v>
      </c>
      <c r="E19" s="136">
        <v>0</v>
      </c>
      <c r="F19" s="136">
        <v>0</v>
      </c>
      <c r="G19" s="136">
        <v>0</v>
      </c>
      <c r="H19" s="136">
        <v>0</v>
      </c>
      <c r="I19" s="136">
        <v>0</v>
      </c>
      <c r="J19" s="136">
        <v>0</v>
      </c>
      <c r="K19" s="136">
        <v>0</v>
      </c>
      <c r="L19" s="136">
        <v>0</v>
      </c>
      <c r="M19" s="136">
        <v>0</v>
      </c>
      <c r="N19" s="136">
        <v>0.108</v>
      </c>
      <c r="O19" s="136">
        <v>0</v>
      </c>
      <c r="P19" s="136">
        <v>0.45700000000000002</v>
      </c>
      <c r="Q19" s="136">
        <v>0</v>
      </c>
      <c r="R19" s="136">
        <v>0.2</v>
      </c>
      <c r="S19" s="136">
        <v>0</v>
      </c>
      <c r="T19" s="136">
        <v>0.18099999999999999</v>
      </c>
      <c r="U19" s="136">
        <v>0</v>
      </c>
      <c r="V19" s="136">
        <v>1.7982020755244875E-2</v>
      </c>
      <c r="W19" s="136">
        <v>0</v>
      </c>
      <c r="X19" s="136">
        <v>0</v>
      </c>
      <c r="Y19" s="136">
        <v>7.7092504465859177E-2</v>
      </c>
      <c r="Z19" s="136">
        <v>0</v>
      </c>
      <c r="AA19" s="136">
        <v>0</v>
      </c>
      <c r="AB19" s="136">
        <v>0</v>
      </c>
      <c r="AC19" s="136">
        <v>0</v>
      </c>
    </row>
    <row r="20" spans="1:29" customFormat="1" x14ac:dyDescent="0.15">
      <c r="A20" s="171" t="s">
        <v>210</v>
      </c>
      <c r="B20" s="136">
        <v>0.72000000000000008</v>
      </c>
      <c r="C20" s="136">
        <v>0</v>
      </c>
      <c r="D20" s="136">
        <v>0</v>
      </c>
      <c r="E20" s="136">
        <v>0</v>
      </c>
      <c r="F20" s="136">
        <v>7.8000010288600027E-2</v>
      </c>
      <c r="G20" s="136">
        <v>0.41999999496000007</v>
      </c>
      <c r="H20" s="136">
        <v>0.11899999881000001</v>
      </c>
      <c r="I20" s="136">
        <v>0.67800000000000005</v>
      </c>
      <c r="J20" s="136">
        <v>0</v>
      </c>
      <c r="K20" s="136">
        <v>4.0000002665999984E-2</v>
      </c>
      <c r="L20" s="136">
        <v>1.4999999999999999E-2</v>
      </c>
      <c r="M20" s="136">
        <v>0</v>
      </c>
      <c r="N20" s="136">
        <v>0</v>
      </c>
      <c r="O20" s="136">
        <v>0</v>
      </c>
      <c r="P20" s="136">
        <v>0</v>
      </c>
      <c r="Q20" s="136">
        <v>0</v>
      </c>
      <c r="R20" s="136">
        <v>0</v>
      </c>
      <c r="S20" s="136">
        <v>0</v>
      </c>
      <c r="T20" s="136">
        <v>0</v>
      </c>
      <c r="U20" s="136">
        <v>2.9000000000000001E-2</v>
      </c>
      <c r="V20" s="136">
        <v>0</v>
      </c>
      <c r="W20" s="136">
        <v>0</v>
      </c>
      <c r="X20" s="136">
        <v>3.396602952447559E-2</v>
      </c>
      <c r="Y20" s="136">
        <v>8.8105728246696026E-3</v>
      </c>
      <c r="Z20" s="136">
        <v>5.5300818423537554E-2</v>
      </c>
      <c r="AA20" s="136">
        <v>0</v>
      </c>
      <c r="AB20" s="136">
        <v>0</v>
      </c>
      <c r="AC20" s="136">
        <v>0</v>
      </c>
    </row>
    <row r="21" spans="1:29" customFormat="1" x14ac:dyDescent="0.15">
      <c r="A21" s="171" t="s">
        <v>211</v>
      </c>
      <c r="B21" s="136">
        <v>0</v>
      </c>
      <c r="C21" s="136">
        <v>0</v>
      </c>
      <c r="D21" s="136">
        <v>0</v>
      </c>
      <c r="E21" s="136">
        <v>0</v>
      </c>
      <c r="F21" s="136">
        <v>4.6000000170199999E-2</v>
      </c>
      <c r="G21" s="136">
        <v>0.13699999835600005</v>
      </c>
      <c r="H21" s="136">
        <v>1.5999999840000004E-2</v>
      </c>
      <c r="I21" s="136">
        <v>4.0000000000000001E-3</v>
      </c>
      <c r="J21" s="136">
        <v>0</v>
      </c>
      <c r="K21" s="136">
        <v>0</v>
      </c>
      <c r="L21" s="136">
        <v>0</v>
      </c>
      <c r="M21" s="136">
        <v>0</v>
      </c>
      <c r="N21" s="136">
        <v>0</v>
      </c>
      <c r="O21" s="136">
        <v>0</v>
      </c>
      <c r="P21" s="136">
        <v>0</v>
      </c>
      <c r="Q21" s="136">
        <v>0</v>
      </c>
      <c r="R21" s="136">
        <v>0</v>
      </c>
      <c r="S21" s="136">
        <v>0</v>
      </c>
      <c r="T21" s="136">
        <v>0</v>
      </c>
      <c r="U21" s="136">
        <v>0</v>
      </c>
      <c r="V21" s="136">
        <v>0</v>
      </c>
      <c r="W21" s="136">
        <v>0</v>
      </c>
      <c r="X21" s="136">
        <v>4.9950049300699307E-3</v>
      </c>
      <c r="Y21" s="136">
        <v>1.1013215180837019E-2</v>
      </c>
      <c r="Z21" s="136">
        <v>1.5468767326164541E-2</v>
      </c>
      <c r="AA21" s="136">
        <v>0</v>
      </c>
      <c r="AB21" s="136">
        <v>0</v>
      </c>
      <c r="AC21" s="136">
        <v>0</v>
      </c>
    </row>
    <row r="22" spans="1:29" customFormat="1" x14ac:dyDescent="0.15">
      <c r="A22" s="171" t="s">
        <v>212</v>
      </c>
      <c r="B22" s="136">
        <v>0</v>
      </c>
      <c r="C22" s="136">
        <v>0</v>
      </c>
      <c r="D22" s="136">
        <v>0</v>
      </c>
      <c r="E22" s="136">
        <v>1.4E-2</v>
      </c>
      <c r="F22" s="136">
        <v>5.1999997492399995E-2</v>
      </c>
      <c r="G22" s="136">
        <v>2.9999999640000007E-2</v>
      </c>
      <c r="H22" s="136">
        <v>6.0999999390000011E-2</v>
      </c>
      <c r="I22" s="136">
        <v>0.01</v>
      </c>
      <c r="J22" s="136">
        <v>0.38000000000000006</v>
      </c>
      <c r="K22" s="136">
        <v>0.33200001588779993</v>
      </c>
      <c r="L22" s="136">
        <v>2E-3</v>
      </c>
      <c r="M22" s="136">
        <v>3.0000001636699947E-3</v>
      </c>
      <c r="N22" s="136">
        <v>4.0000000000000001E-3</v>
      </c>
      <c r="O22" s="136">
        <v>0</v>
      </c>
      <c r="P22" s="136">
        <v>0</v>
      </c>
      <c r="Q22" s="136">
        <v>0</v>
      </c>
      <c r="R22" s="136">
        <v>0</v>
      </c>
      <c r="S22" s="136">
        <v>0</v>
      </c>
      <c r="T22" s="136">
        <v>0.01</v>
      </c>
      <c r="U22" s="136">
        <v>3.0000000000000001E-3</v>
      </c>
      <c r="V22" s="136">
        <v>0</v>
      </c>
      <c r="W22" s="136">
        <v>0</v>
      </c>
      <c r="X22" s="136">
        <v>0.16983019762237722</v>
      </c>
      <c r="Y22" s="136">
        <v>5.5066078904185044E-2</v>
      </c>
      <c r="Z22" s="136">
        <v>5.5245571522015502E-3</v>
      </c>
      <c r="AA22" s="136">
        <v>0</v>
      </c>
      <c r="AB22" s="136">
        <v>0</v>
      </c>
      <c r="AC22" s="136">
        <v>0</v>
      </c>
    </row>
    <row r="23" spans="1:29" customFormat="1" x14ac:dyDescent="0.15">
      <c r="A23" s="171" t="s">
        <v>213</v>
      </c>
      <c r="B23" s="136">
        <v>0</v>
      </c>
      <c r="C23" s="136">
        <v>0</v>
      </c>
      <c r="D23" s="136">
        <v>0</v>
      </c>
      <c r="E23" s="136">
        <v>5.0000000000000001E-3</v>
      </c>
      <c r="F23" s="136">
        <v>0.1280000004736</v>
      </c>
      <c r="G23" s="136">
        <v>8.0000009039999896E-3</v>
      </c>
      <c r="H23" s="136">
        <v>1.5999999840000004E-2</v>
      </c>
      <c r="I23" s="136">
        <v>4.0000000000000001E-3</v>
      </c>
      <c r="J23" s="136">
        <v>0.12300000000000001</v>
      </c>
      <c r="K23" s="136">
        <v>5.2999999822449996E-2</v>
      </c>
      <c r="L23" s="136">
        <v>4.0000000000000001E-3</v>
      </c>
      <c r="M23" s="136">
        <v>2.0000002657799914E-3</v>
      </c>
      <c r="N23" s="136">
        <v>0</v>
      </c>
      <c r="O23" s="136">
        <v>0</v>
      </c>
      <c r="P23" s="136">
        <v>0</v>
      </c>
      <c r="Q23" s="136">
        <v>0</v>
      </c>
      <c r="R23" s="136">
        <v>0</v>
      </c>
      <c r="S23" s="136">
        <v>0</v>
      </c>
      <c r="T23" s="136">
        <v>0</v>
      </c>
      <c r="U23" s="136">
        <v>0</v>
      </c>
      <c r="V23" s="136">
        <v>0</v>
      </c>
      <c r="W23" s="136">
        <v>0</v>
      </c>
      <c r="X23" s="136">
        <v>0.23576419669930124</v>
      </c>
      <c r="Y23" s="136">
        <v>4.9559473013766495E-2</v>
      </c>
      <c r="Z23" s="136">
        <v>2.2098227108806158E-3</v>
      </c>
      <c r="AA23" s="136">
        <v>0</v>
      </c>
      <c r="AB23" s="136">
        <v>0</v>
      </c>
      <c r="AC23" s="136">
        <v>0</v>
      </c>
    </row>
    <row r="24" spans="1:29" customFormat="1" x14ac:dyDescent="0.15">
      <c r="A24" s="171" t="s">
        <v>214</v>
      </c>
      <c r="B24" s="136">
        <v>0.19000000000000003</v>
      </c>
      <c r="C24" s="136">
        <v>0</v>
      </c>
      <c r="D24" s="136">
        <v>0.10200000000000001</v>
      </c>
      <c r="E24" s="136">
        <v>0.46</v>
      </c>
      <c r="F24" s="136">
        <v>8.8000010325600037E-2</v>
      </c>
      <c r="G24" s="136">
        <v>1.0999999868000002E-2</v>
      </c>
      <c r="H24" s="136">
        <v>8.0000009199999902E-2</v>
      </c>
      <c r="I24" s="136">
        <v>0</v>
      </c>
      <c r="J24" s="136">
        <v>8.0000000000000016E-2</v>
      </c>
      <c r="K24" s="136">
        <v>4.0000019865999931E-3</v>
      </c>
      <c r="L24" s="136">
        <v>2E-3</v>
      </c>
      <c r="M24" s="136">
        <v>0</v>
      </c>
      <c r="N24" s="136">
        <v>0</v>
      </c>
      <c r="O24" s="136">
        <v>0</v>
      </c>
      <c r="P24" s="136">
        <v>0</v>
      </c>
      <c r="Q24" s="136">
        <v>0</v>
      </c>
      <c r="R24" s="136">
        <v>0</v>
      </c>
      <c r="S24" s="136">
        <v>0</v>
      </c>
      <c r="T24" s="136">
        <v>0</v>
      </c>
      <c r="U24" s="136">
        <v>0</v>
      </c>
      <c r="V24" s="136">
        <v>0</v>
      </c>
      <c r="W24" s="136">
        <v>0</v>
      </c>
      <c r="X24" s="136">
        <v>8.7912078769230892E-2</v>
      </c>
      <c r="Y24" s="136">
        <v>0</v>
      </c>
      <c r="Z24" s="136">
        <v>8.8392912435224756E-3</v>
      </c>
      <c r="AA24" s="136">
        <v>0</v>
      </c>
      <c r="AB24" s="136">
        <v>0</v>
      </c>
      <c r="AC24" s="136">
        <v>0</v>
      </c>
    </row>
    <row r="25" spans="1:29" customFormat="1" x14ac:dyDescent="0.15">
      <c r="A25" s="171" t="s">
        <v>215</v>
      </c>
      <c r="B25" s="136">
        <v>0</v>
      </c>
      <c r="C25" s="136">
        <v>0</v>
      </c>
      <c r="D25" s="136">
        <v>1.0000000000000002E-3</v>
      </c>
      <c r="E25" s="136">
        <v>0</v>
      </c>
      <c r="F25" s="136">
        <v>0.45299998067609992</v>
      </c>
      <c r="G25" s="136">
        <v>1.6999999796000007E-2</v>
      </c>
      <c r="H25" s="136">
        <v>4.699999953000001E-2</v>
      </c>
      <c r="I25" s="136">
        <v>3.3000000000000002E-2</v>
      </c>
      <c r="J25" s="136">
        <v>1.0000000000000002E-3</v>
      </c>
      <c r="K25" s="136">
        <v>0.16300001645394993</v>
      </c>
      <c r="L25" s="136">
        <v>2E-3</v>
      </c>
      <c r="M25" s="136">
        <v>0</v>
      </c>
      <c r="N25" s="136">
        <v>0</v>
      </c>
      <c r="O25" s="136">
        <v>0</v>
      </c>
      <c r="P25" s="136">
        <v>0</v>
      </c>
      <c r="Q25" s="136">
        <v>0</v>
      </c>
      <c r="R25" s="136">
        <v>0</v>
      </c>
      <c r="S25" s="136">
        <v>0</v>
      </c>
      <c r="T25" s="136">
        <v>0</v>
      </c>
      <c r="U25" s="136">
        <v>1E-3</v>
      </c>
      <c r="V25" s="136">
        <v>0</v>
      </c>
      <c r="W25" s="136">
        <v>2.9000000000000001E-2</v>
      </c>
      <c r="X25" s="136">
        <v>1.0989009846153861E-2</v>
      </c>
      <c r="Y25" s="136">
        <v>4.9559473013766495E-2</v>
      </c>
      <c r="Z25" s="136">
        <v>9.2812552556985825E-2</v>
      </c>
      <c r="AA25" s="136">
        <v>0</v>
      </c>
      <c r="AB25" s="136">
        <v>0</v>
      </c>
      <c r="AC25" s="136">
        <v>0</v>
      </c>
    </row>
    <row r="26" spans="1:29" customFormat="1" x14ac:dyDescent="0.15">
      <c r="A26" s="171" t="s">
        <v>216</v>
      </c>
      <c r="B26" s="136">
        <v>9.0000000000000011E-2</v>
      </c>
      <c r="C26" s="136">
        <v>0</v>
      </c>
      <c r="D26" s="136">
        <v>0</v>
      </c>
      <c r="E26" s="136">
        <v>4.0000000000000001E-3</v>
      </c>
      <c r="F26" s="136">
        <v>1.10000000407E-2</v>
      </c>
      <c r="G26" s="136">
        <v>6.0000009279999895E-3</v>
      </c>
      <c r="H26" s="136">
        <v>0.32499999675000008</v>
      </c>
      <c r="I26" s="136">
        <v>0</v>
      </c>
      <c r="J26" s="136">
        <v>0</v>
      </c>
      <c r="K26" s="136">
        <v>5.000000333249998E-3</v>
      </c>
      <c r="L26" s="136">
        <v>2E-3</v>
      </c>
      <c r="M26" s="136">
        <v>1.0000001278899959E-3</v>
      </c>
      <c r="N26" s="136">
        <v>0</v>
      </c>
      <c r="O26" s="136">
        <v>0</v>
      </c>
      <c r="P26" s="136">
        <v>0</v>
      </c>
      <c r="Q26" s="136">
        <v>0</v>
      </c>
      <c r="R26" s="136">
        <v>0</v>
      </c>
      <c r="S26" s="136">
        <v>0</v>
      </c>
      <c r="T26" s="136">
        <v>0</v>
      </c>
      <c r="U26" s="136">
        <v>0</v>
      </c>
      <c r="V26" s="136">
        <v>0</v>
      </c>
      <c r="W26" s="136">
        <v>0</v>
      </c>
      <c r="X26" s="136">
        <v>5.9940059160839172E-2</v>
      </c>
      <c r="Y26" s="136">
        <v>1.1013215180837019E-2</v>
      </c>
      <c r="Z26" s="136">
        <v>9.2812552556985825E-2</v>
      </c>
      <c r="AA26" s="136">
        <v>0</v>
      </c>
      <c r="AB26" s="136">
        <v>0</v>
      </c>
      <c r="AC26" s="136">
        <v>0</v>
      </c>
    </row>
    <row r="27" spans="1:29" customFormat="1" x14ac:dyDescent="0.15">
      <c r="A27" s="171" t="s">
        <v>217</v>
      </c>
      <c r="B27" s="136">
        <v>0</v>
      </c>
      <c r="C27" s="136">
        <v>0</v>
      </c>
      <c r="D27" s="136">
        <v>0</v>
      </c>
      <c r="E27" s="136">
        <v>1E-3</v>
      </c>
      <c r="F27" s="136">
        <v>9.9000000366300009E-2</v>
      </c>
      <c r="G27" s="136">
        <v>7.1000009147999907E-2</v>
      </c>
      <c r="H27" s="136">
        <v>3.7999999620000002E-2</v>
      </c>
      <c r="I27" s="136">
        <v>0.27100000000000002</v>
      </c>
      <c r="J27" s="136">
        <v>3.0000000000000005E-3</v>
      </c>
      <c r="K27" s="136">
        <v>0.28699999903854995</v>
      </c>
      <c r="L27" s="136">
        <v>0.66200000000000003</v>
      </c>
      <c r="M27" s="136">
        <v>0</v>
      </c>
      <c r="N27" s="136">
        <v>2.4E-2</v>
      </c>
      <c r="O27" s="136">
        <v>0</v>
      </c>
      <c r="P27" s="136">
        <v>0</v>
      </c>
      <c r="Q27" s="136">
        <v>5.0000000000000001E-3</v>
      </c>
      <c r="R27" s="136">
        <v>0</v>
      </c>
      <c r="S27" s="136">
        <v>0</v>
      </c>
      <c r="T27" s="136">
        <v>0</v>
      </c>
      <c r="U27" s="136">
        <v>0.74099999999999999</v>
      </c>
      <c r="V27" s="136">
        <v>0.44355641862936962</v>
      </c>
      <c r="W27" s="136">
        <v>0.5</v>
      </c>
      <c r="X27" s="136">
        <v>6.2937059118881172E-2</v>
      </c>
      <c r="Y27" s="136">
        <v>0.16519823371255518</v>
      </c>
      <c r="Z27" s="136">
        <v>0.48284624330241405</v>
      </c>
      <c r="AA27" s="136">
        <v>0</v>
      </c>
      <c r="AB27" s="136">
        <v>0</v>
      </c>
      <c r="AC27" s="136">
        <v>0</v>
      </c>
    </row>
    <row r="28" spans="1:29" customFormat="1" x14ac:dyDescent="0.15">
      <c r="A28" s="171" t="s">
        <v>218</v>
      </c>
      <c r="B28" s="136">
        <v>0</v>
      </c>
      <c r="C28" s="136">
        <v>0</v>
      </c>
      <c r="D28" s="136">
        <v>0</v>
      </c>
      <c r="E28" s="136">
        <v>0</v>
      </c>
      <c r="F28" s="136">
        <v>0</v>
      </c>
      <c r="G28" s="136">
        <v>0</v>
      </c>
      <c r="H28" s="136">
        <v>0</v>
      </c>
      <c r="I28" s="136">
        <v>0</v>
      </c>
      <c r="J28" s="136">
        <v>0.22500000000000003</v>
      </c>
      <c r="K28" s="136">
        <v>0</v>
      </c>
      <c r="L28" s="136">
        <v>1.0999999999999999E-2</v>
      </c>
      <c r="M28" s="136">
        <v>0</v>
      </c>
      <c r="N28" s="136">
        <v>0</v>
      </c>
      <c r="O28" s="136">
        <v>1</v>
      </c>
      <c r="P28" s="136">
        <v>0</v>
      </c>
      <c r="Q28" s="136">
        <v>0</v>
      </c>
      <c r="R28" s="136">
        <v>0.3</v>
      </c>
      <c r="S28" s="136">
        <v>0</v>
      </c>
      <c r="T28" s="136">
        <v>0.13100000000000001</v>
      </c>
      <c r="U28" s="136">
        <v>7.8E-2</v>
      </c>
      <c r="V28" s="136">
        <v>2.097902088111888E-2</v>
      </c>
      <c r="W28" s="136">
        <v>0.36699999999999999</v>
      </c>
      <c r="X28" s="136">
        <v>0.1648351976923072</v>
      </c>
      <c r="Y28" s="136">
        <v>0.45814979088281921</v>
      </c>
      <c r="Z28" s="136">
        <v>0.24418539472730763</v>
      </c>
      <c r="AA28" s="136">
        <v>0</v>
      </c>
      <c r="AB28" s="136">
        <v>0</v>
      </c>
      <c r="AC28" s="136">
        <v>0</v>
      </c>
    </row>
    <row r="29" spans="1:29" customFormat="1" x14ac:dyDescent="0.15">
      <c r="A29" s="171" t="s">
        <v>219</v>
      </c>
      <c r="B29" s="136">
        <v>0</v>
      </c>
      <c r="C29" s="136">
        <v>0</v>
      </c>
      <c r="D29" s="136">
        <v>0</v>
      </c>
      <c r="E29" s="136">
        <v>0</v>
      </c>
      <c r="F29" s="136">
        <v>0</v>
      </c>
      <c r="G29" s="136">
        <v>0</v>
      </c>
      <c r="H29" s="136">
        <v>0</v>
      </c>
      <c r="I29" s="136">
        <v>0</v>
      </c>
      <c r="J29" s="136">
        <v>0</v>
      </c>
      <c r="K29" s="136">
        <v>0</v>
      </c>
      <c r="L29" s="136">
        <v>0</v>
      </c>
      <c r="M29" s="136">
        <v>0</v>
      </c>
      <c r="N29" s="136">
        <v>0</v>
      </c>
      <c r="O29" s="136">
        <v>0</v>
      </c>
      <c r="P29" s="136">
        <v>0</v>
      </c>
      <c r="Q29" s="136">
        <v>0</v>
      </c>
      <c r="R29" s="136">
        <v>0</v>
      </c>
      <c r="S29" s="136">
        <v>0</v>
      </c>
      <c r="T29" s="136">
        <v>0</v>
      </c>
      <c r="U29" s="136">
        <v>0</v>
      </c>
      <c r="V29" s="136">
        <v>0</v>
      </c>
      <c r="W29" s="136">
        <v>0</v>
      </c>
      <c r="X29" s="136">
        <v>0</v>
      </c>
      <c r="Y29" s="136">
        <v>0</v>
      </c>
      <c r="Z29" s="136">
        <v>0</v>
      </c>
      <c r="AA29" s="136">
        <v>0</v>
      </c>
      <c r="AB29" s="136">
        <v>0</v>
      </c>
      <c r="AC29" s="136">
        <v>0</v>
      </c>
    </row>
    <row r="30" spans="1:29" customFormat="1" x14ac:dyDescent="0.15">
      <c r="A30" s="171" t="s">
        <v>221</v>
      </c>
      <c r="B30" s="136">
        <v>0</v>
      </c>
      <c r="C30" s="136">
        <v>0.21300000000000002</v>
      </c>
      <c r="D30" s="136">
        <v>0.35000000000000003</v>
      </c>
      <c r="E30" s="136">
        <v>0.25</v>
      </c>
      <c r="F30" s="136">
        <v>4.0000000148000002E-2</v>
      </c>
      <c r="G30" s="136">
        <v>0.29999999640000008</v>
      </c>
      <c r="H30" s="136">
        <v>0.19999999800000004</v>
      </c>
      <c r="I30" s="136">
        <v>0</v>
      </c>
      <c r="J30" s="136">
        <v>0.13000000000000003</v>
      </c>
      <c r="K30" s="136">
        <v>9.999996386500011E-2</v>
      </c>
      <c r="L30" s="136">
        <v>0.3</v>
      </c>
      <c r="M30" s="136">
        <v>0.89999997110100094</v>
      </c>
      <c r="N30" s="136">
        <v>0.8</v>
      </c>
      <c r="O30" s="136">
        <v>0</v>
      </c>
      <c r="P30" s="136">
        <v>0.3</v>
      </c>
      <c r="Q30" s="136">
        <v>0.80500000000000005</v>
      </c>
      <c r="R30" s="136">
        <v>0.2</v>
      </c>
      <c r="S30" s="136">
        <v>0</v>
      </c>
      <c r="T30" s="136">
        <v>0.5</v>
      </c>
      <c r="U30" s="136">
        <v>0.13600000000000001</v>
      </c>
      <c r="V30" s="136">
        <v>0.49950052097902192</v>
      </c>
      <c r="W30" s="136">
        <v>0.08</v>
      </c>
      <c r="X30" s="136">
        <v>8.8911088755244755E-2</v>
      </c>
      <c r="Y30" s="136">
        <v>0</v>
      </c>
      <c r="Z30" s="136">
        <v>0</v>
      </c>
      <c r="AA30" s="136">
        <v>0</v>
      </c>
      <c r="AB30" s="136">
        <v>0</v>
      </c>
      <c r="AC30" s="136">
        <v>0</v>
      </c>
    </row>
    <row r="31" spans="1:29" customFormat="1" x14ac:dyDescent="0.15"/>
    <row r="32" spans="1:29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2.33203125" style="104" customWidth="1"/>
    <col min="5" max="6" width="2.33203125" style="103" bestFit="1" customWidth="1"/>
    <col min="7" max="8" width="8.83203125" style="104"/>
  </cols>
  <sheetData>
    <row r="1" spans="1:8" ht="70" x14ac:dyDescent="0.15">
      <c r="A1" s="5" t="s">
        <v>20</v>
      </c>
      <c r="B1" s="1" t="s">
        <v>0</v>
      </c>
      <c r="C1" s="174" t="s">
        <v>218</v>
      </c>
      <c r="D1" s="174" t="s">
        <v>219</v>
      </c>
      <c r="E1" s="174" t="s">
        <v>222</v>
      </c>
      <c r="F1" s="174" t="s">
        <v>223</v>
      </c>
      <c r="G1"/>
      <c r="H1"/>
    </row>
    <row r="2" spans="1:8" x14ac:dyDescent="0.15">
      <c r="A2">
        <v>1</v>
      </c>
      <c r="B2" s="173" t="s">
        <v>192</v>
      </c>
      <c r="C2" s="104">
        <v>1</v>
      </c>
      <c r="D2" s="104">
        <v>0</v>
      </c>
      <c r="E2" s="103">
        <v>0</v>
      </c>
      <c r="F2" s="103">
        <v>1</v>
      </c>
      <c r="G2"/>
      <c r="H2"/>
    </row>
    <row r="3" spans="1:8" x14ac:dyDescent="0.15">
      <c r="A3">
        <v>2</v>
      </c>
      <c r="B3" s="173" t="s">
        <v>193</v>
      </c>
      <c r="C3" s="104">
        <v>1</v>
      </c>
      <c r="D3" s="104">
        <v>0</v>
      </c>
      <c r="E3" s="103">
        <v>0</v>
      </c>
      <c r="F3" s="103">
        <v>1</v>
      </c>
      <c r="G3"/>
      <c r="H3"/>
    </row>
    <row r="4" spans="1:8" x14ac:dyDescent="0.15">
      <c r="A4">
        <v>3</v>
      </c>
      <c r="B4" s="173" t="s">
        <v>194</v>
      </c>
      <c r="C4" s="104">
        <v>1</v>
      </c>
      <c r="D4" s="104">
        <v>0</v>
      </c>
      <c r="E4" s="103">
        <v>0</v>
      </c>
      <c r="F4" s="103">
        <v>1</v>
      </c>
      <c r="G4"/>
      <c r="H4"/>
    </row>
    <row r="5" spans="1:8" x14ac:dyDescent="0.15">
      <c r="A5">
        <v>4</v>
      </c>
      <c r="B5" s="173" t="s">
        <v>195</v>
      </c>
      <c r="C5" s="104">
        <v>1</v>
      </c>
      <c r="D5" s="104">
        <v>0</v>
      </c>
      <c r="E5" s="103">
        <v>0</v>
      </c>
      <c r="F5" s="103">
        <v>1</v>
      </c>
      <c r="G5"/>
      <c r="H5"/>
    </row>
    <row r="6" spans="1:8" x14ac:dyDescent="0.15">
      <c r="A6">
        <v>5</v>
      </c>
      <c r="B6" s="173" t="s">
        <v>196</v>
      </c>
      <c r="C6" s="104">
        <v>1</v>
      </c>
      <c r="D6" s="104">
        <v>0</v>
      </c>
      <c r="E6" s="103">
        <v>0</v>
      </c>
      <c r="F6" s="103">
        <v>1</v>
      </c>
      <c r="G6"/>
      <c r="H6"/>
    </row>
    <row r="7" spans="1:8" x14ac:dyDescent="0.15">
      <c r="A7">
        <v>6</v>
      </c>
      <c r="B7" s="173" t="s">
        <v>197</v>
      </c>
      <c r="C7" s="104">
        <v>1</v>
      </c>
      <c r="D7" s="104">
        <v>0</v>
      </c>
      <c r="E7" s="103">
        <v>0</v>
      </c>
      <c r="F7" s="103">
        <v>1</v>
      </c>
      <c r="G7"/>
      <c r="H7"/>
    </row>
    <row r="8" spans="1:8" x14ac:dyDescent="0.15">
      <c r="A8">
        <v>7</v>
      </c>
      <c r="B8" s="173" t="s">
        <v>198</v>
      </c>
      <c r="C8" s="104">
        <v>1</v>
      </c>
      <c r="D8" s="104">
        <v>0</v>
      </c>
      <c r="E8" s="103">
        <v>0</v>
      </c>
      <c r="F8" s="103">
        <v>1</v>
      </c>
      <c r="G8"/>
      <c r="H8"/>
    </row>
    <row r="9" spans="1:8" x14ac:dyDescent="0.15">
      <c r="A9">
        <v>8</v>
      </c>
      <c r="B9" s="173" t="s">
        <v>199</v>
      </c>
      <c r="C9" s="104">
        <v>1</v>
      </c>
      <c r="D9" s="104">
        <v>0</v>
      </c>
      <c r="E9" s="103">
        <v>0</v>
      </c>
      <c r="F9" s="103">
        <v>1</v>
      </c>
      <c r="G9"/>
      <c r="H9"/>
    </row>
    <row r="10" spans="1:8" x14ac:dyDescent="0.15">
      <c r="A10">
        <v>9</v>
      </c>
      <c r="B10" s="173" t="s">
        <v>200</v>
      </c>
      <c r="C10" s="104">
        <v>1</v>
      </c>
      <c r="D10" s="104">
        <v>0</v>
      </c>
      <c r="E10" s="103">
        <v>0</v>
      </c>
      <c r="F10" s="103">
        <v>1</v>
      </c>
      <c r="G10"/>
      <c r="H10"/>
    </row>
    <row r="11" spans="1:8" x14ac:dyDescent="0.15">
      <c r="A11">
        <v>10</v>
      </c>
      <c r="B11" s="173" t="s">
        <v>201</v>
      </c>
      <c r="C11" s="104">
        <v>1</v>
      </c>
      <c r="D11" s="104">
        <v>0</v>
      </c>
      <c r="E11" s="103">
        <v>0</v>
      </c>
      <c r="F11" s="103">
        <v>1</v>
      </c>
      <c r="G11"/>
      <c r="H11"/>
    </row>
    <row r="12" spans="1:8" x14ac:dyDescent="0.15">
      <c r="A12">
        <v>11</v>
      </c>
      <c r="B12" s="173" t="s">
        <v>202</v>
      </c>
      <c r="C12" s="104">
        <v>1</v>
      </c>
      <c r="D12" s="104">
        <v>0</v>
      </c>
      <c r="E12" s="103">
        <v>0</v>
      </c>
      <c r="F12" s="103">
        <v>1</v>
      </c>
      <c r="G12"/>
      <c r="H12"/>
    </row>
    <row r="13" spans="1:8" x14ac:dyDescent="0.15">
      <c r="A13">
        <v>12</v>
      </c>
      <c r="B13" s="173" t="s">
        <v>203</v>
      </c>
      <c r="C13" s="104">
        <v>1</v>
      </c>
      <c r="D13" s="104">
        <v>0</v>
      </c>
      <c r="E13" s="103">
        <v>0</v>
      </c>
      <c r="F13" s="103">
        <v>1</v>
      </c>
      <c r="G13"/>
      <c r="H13"/>
    </row>
    <row r="14" spans="1:8" x14ac:dyDescent="0.15">
      <c r="A14">
        <v>13</v>
      </c>
      <c r="B14" s="173" t="s">
        <v>204</v>
      </c>
      <c r="C14" s="104">
        <v>1</v>
      </c>
      <c r="D14" s="104">
        <v>0</v>
      </c>
      <c r="E14" s="103">
        <v>0</v>
      </c>
      <c r="F14" s="103">
        <v>1</v>
      </c>
      <c r="G14"/>
      <c r="H14"/>
    </row>
    <row r="15" spans="1:8" x14ac:dyDescent="0.15">
      <c r="A15">
        <v>14</v>
      </c>
      <c r="B15" s="173" t="s">
        <v>205</v>
      </c>
      <c r="C15" s="104">
        <v>1</v>
      </c>
      <c r="D15" s="104">
        <v>0</v>
      </c>
      <c r="E15" s="103">
        <v>0</v>
      </c>
      <c r="F15" s="103">
        <v>1</v>
      </c>
      <c r="G15"/>
      <c r="H15"/>
    </row>
    <row r="16" spans="1:8" x14ac:dyDescent="0.15">
      <c r="A16">
        <v>15</v>
      </c>
      <c r="B16" s="173" t="s">
        <v>206</v>
      </c>
      <c r="C16" s="104">
        <v>1</v>
      </c>
      <c r="D16" s="104">
        <v>0</v>
      </c>
      <c r="E16" s="103">
        <v>0</v>
      </c>
      <c r="F16" s="103">
        <v>1</v>
      </c>
      <c r="G16"/>
      <c r="H16"/>
    </row>
    <row r="17" spans="1:8" ht="15" customHeight="1" x14ac:dyDescent="0.15">
      <c r="A17">
        <v>16</v>
      </c>
      <c r="B17" s="173" t="s">
        <v>207</v>
      </c>
      <c r="C17" s="104">
        <v>1</v>
      </c>
      <c r="D17" s="104">
        <v>0</v>
      </c>
      <c r="E17" s="103">
        <v>0</v>
      </c>
      <c r="F17" s="103">
        <v>1</v>
      </c>
      <c r="G17"/>
      <c r="H17"/>
    </row>
    <row r="18" spans="1:8" ht="15" customHeight="1" x14ac:dyDescent="0.15">
      <c r="A18">
        <v>17</v>
      </c>
      <c r="B18" s="173" t="s">
        <v>208</v>
      </c>
      <c r="C18" s="104">
        <v>1</v>
      </c>
      <c r="D18" s="104">
        <v>0</v>
      </c>
      <c r="E18" s="103">
        <v>0</v>
      </c>
      <c r="F18" s="103">
        <v>1</v>
      </c>
      <c r="G18"/>
      <c r="H18"/>
    </row>
    <row r="19" spans="1:8" ht="15" customHeight="1" x14ac:dyDescent="0.15">
      <c r="A19">
        <v>18</v>
      </c>
      <c r="B19" s="173" t="s">
        <v>209</v>
      </c>
      <c r="C19" s="104">
        <v>1</v>
      </c>
      <c r="D19" s="104">
        <v>0</v>
      </c>
      <c r="E19" s="103">
        <v>0</v>
      </c>
      <c r="F19" s="103">
        <v>1</v>
      </c>
      <c r="G19"/>
      <c r="H19"/>
    </row>
    <row r="20" spans="1:8" ht="15" customHeight="1" x14ac:dyDescent="0.15">
      <c r="A20">
        <v>19</v>
      </c>
      <c r="B20" s="173" t="s">
        <v>210</v>
      </c>
      <c r="C20" s="104">
        <v>1</v>
      </c>
      <c r="D20" s="104">
        <v>0</v>
      </c>
      <c r="E20" s="103">
        <v>0</v>
      </c>
      <c r="F20" s="103">
        <v>1</v>
      </c>
      <c r="G20"/>
      <c r="H20"/>
    </row>
    <row r="21" spans="1:8" ht="15" customHeight="1" x14ac:dyDescent="0.15">
      <c r="A21">
        <v>20</v>
      </c>
      <c r="B21" s="173" t="s">
        <v>211</v>
      </c>
      <c r="C21" s="104">
        <v>1</v>
      </c>
      <c r="D21" s="104">
        <v>0</v>
      </c>
      <c r="E21" s="103">
        <v>0</v>
      </c>
      <c r="F21" s="103">
        <v>1</v>
      </c>
      <c r="G21"/>
      <c r="H21"/>
    </row>
    <row r="22" spans="1:8" ht="15" customHeight="1" x14ac:dyDescent="0.15">
      <c r="A22">
        <v>21</v>
      </c>
      <c r="B22" s="173" t="s">
        <v>212</v>
      </c>
      <c r="C22" s="104">
        <v>1</v>
      </c>
      <c r="D22" s="104">
        <v>0</v>
      </c>
      <c r="E22" s="103">
        <v>0</v>
      </c>
      <c r="F22" s="103">
        <v>1</v>
      </c>
      <c r="G22"/>
      <c r="H22"/>
    </row>
    <row r="23" spans="1:8" ht="15" customHeight="1" x14ac:dyDescent="0.15">
      <c r="A23">
        <v>22</v>
      </c>
      <c r="B23" s="173" t="s">
        <v>213</v>
      </c>
      <c r="C23" s="104">
        <v>1</v>
      </c>
      <c r="D23" s="104">
        <v>0</v>
      </c>
      <c r="E23" s="103">
        <v>0</v>
      </c>
      <c r="F23" s="103">
        <v>1</v>
      </c>
      <c r="G23"/>
      <c r="H23"/>
    </row>
    <row r="24" spans="1:8" ht="15" customHeight="1" x14ac:dyDescent="0.15">
      <c r="A24">
        <v>23</v>
      </c>
      <c r="B24" s="173" t="s">
        <v>214</v>
      </c>
      <c r="C24" s="104">
        <v>1</v>
      </c>
      <c r="D24" s="104">
        <v>0</v>
      </c>
      <c r="E24" s="103">
        <v>0</v>
      </c>
      <c r="F24" s="103">
        <v>1</v>
      </c>
      <c r="G24"/>
      <c r="H24"/>
    </row>
    <row r="25" spans="1:8" ht="15" customHeight="1" x14ac:dyDescent="0.15">
      <c r="A25">
        <v>24</v>
      </c>
      <c r="B25" s="173" t="s">
        <v>215</v>
      </c>
      <c r="C25" s="104">
        <v>1</v>
      </c>
      <c r="D25" s="104">
        <v>0</v>
      </c>
      <c r="E25" s="103">
        <v>0</v>
      </c>
      <c r="F25" s="103">
        <v>1</v>
      </c>
      <c r="G25"/>
      <c r="H25"/>
    </row>
    <row r="26" spans="1:8" ht="15" customHeight="1" x14ac:dyDescent="0.15">
      <c r="A26">
        <v>25</v>
      </c>
      <c r="B26" s="173" t="s">
        <v>216</v>
      </c>
      <c r="C26" s="104">
        <v>1</v>
      </c>
      <c r="D26" s="104">
        <v>0</v>
      </c>
      <c r="E26" s="103">
        <v>0</v>
      </c>
      <c r="F26" s="103">
        <v>1</v>
      </c>
      <c r="G26"/>
      <c r="H26"/>
    </row>
    <row r="27" spans="1:8" ht="15" customHeight="1" x14ac:dyDescent="0.15">
      <c r="A27">
        <v>26</v>
      </c>
      <c r="B27" s="173" t="s">
        <v>217</v>
      </c>
      <c r="C27" s="104">
        <v>1</v>
      </c>
      <c r="D27" s="104">
        <v>0</v>
      </c>
      <c r="E27" s="103">
        <v>0</v>
      </c>
      <c r="F27" s="103">
        <v>1</v>
      </c>
      <c r="G27"/>
      <c r="H27"/>
    </row>
    <row r="28" spans="1:8" ht="15" customHeight="1" x14ac:dyDescent="0.15">
      <c r="A28">
        <v>27</v>
      </c>
      <c r="B28" s="173" t="s">
        <v>218</v>
      </c>
      <c r="C28" s="104">
        <v>0</v>
      </c>
      <c r="D28" s="104">
        <v>1</v>
      </c>
      <c r="E28" s="103">
        <v>0</v>
      </c>
      <c r="F28" s="103">
        <v>1</v>
      </c>
      <c r="G28"/>
      <c r="H28"/>
    </row>
    <row r="29" spans="1:8" ht="15" customHeight="1" x14ac:dyDescent="0.15">
      <c r="A29">
        <v>28</v>
      </c>
      <c r="B29" s="173" t="s">
        <v>219</v>
      </c>
      <c r="C29" s="104">
        <v>0</v>
      </c>
      <c r="D29" s="104">
        <v>0</v>
      </c>
      <c r="E29" s="103">
        <v>1</v>
      </c>
      <c r="F29" s="103">
        <v>1</v>
      </c>
      <c r="G29"/>
      <c r="H29"/>
    </row>
    <row r="30" spans="1:8" ht="15" customHeight="1" x14ac:dyDescent="0.15">
      <c r="A30">
        <v>29</v>
      </c>
      <c r="B30" s="173" t="s">
        <v>220</v>
      </c>
      <c r="C30" s="104">
        <v>0</v>
      </c>
      <c r="D30" s="104">
        <v>1</v>
      </c>
      <c r="E30" s="103">
        <v>0</v>
      </c>
      <c r="F30" s="103">
        <v>1</v>
      </c>
      <c r="G30"/>
      <c r="H30"/>
    </row>
    <row r="31" spans="1:8" ht="15" customHeight="1" x14ac:dyDescent="0.15">
      <c r="C31"/>
      <c r="D31"/>
      <c r="E31"/>
      <c r="F31"/>
      <c r="G31"/>
      <c r="H31"/>
    </row>
    <row r="32" spans="1:8" ht="15" customHeight="1" x14ac:dyDescent="0.15"/>
    <row r="33" spans="3:8" ht="15" customHeight="1" x14ac:dyDescent="0.15"/>
    <row r="34" spans="3:8" ht="15" customHeight="1" x14ac:dyDescent="0.15"/>
    <row r="35" spans="3:8" ht="15" customHeight="1" x14ac:dyDescent="0.15"/>
    <row r="36" spans="3:8" ht="15" customHeight="1" x14ac:dyDescent="0.15">
      <c r="C36"/>
      <c r="D36"/>
      <c r="E36" s="104"/>
      <c r="F36" s="104"/>
      <c r="G36"/>
      <c r="H36"/>
    </row>
    <row r="37" spans="3:8" ht="15" customHeight="1" x14ac:dyDescent="0.15">
      <c r="C37"/>
      <c r="D37"/>
      <c r="E37" s="104"/>
      <c r="F37" s="104"/>
      <c r="G37"/>
      <c r="H37"/>
    </row>
    <row r="38" spans="3:8" ht="15" customHeight="1" x14ac:dyDescent="0.15">
      <c r="C38"/>
      <c r="D38"/>
      <c r="E38" s="104"/>
      <c r="F38" s="104"/>
      <c r="G38"/>
      <c r="H38"/>
    </row>
    <row r="39" spans="3:8" ht="15" customHeight="1" x14ac:dyDescent="0.15">
      <c r="C39"/>
      <c r="D39"/>
      <c r="E39" s="104"/>
      <c r="F39" s="104"/>
      <c r="G39"/>
      <c r="H39"/>
    </row>
    <row r="40" spans="3:8" ht="15" customHeight="1" x14ac:dyDescent="0.15">
      <c r="C40"/>
      <c r="D40"/>
      <c r="E40" s="104"/>
      <c r="F40" s="104"/>
      <c r="G40"/>
      <c r="H40"/>
    </row>
    <row r="41" spans="3:8" ht="15" customHeight="1" x14ac:dyDescent="0.15">
      <c r="C41"/>
      <c r="D41"/>
      <c r="E41" s="104"/>
      <c r="F41" s="104"/>
      <c r="G41"/>
      <c r="H41"/>
    </row>
    <row r="42" spans="3:8" ht="15" customHeight="1" x14ac:dyDescent="0.15">
      <c r="C42"/>
      <c r="D42"/>
      <c r="E42" s="104"/>
      <c r="F42" s="104"/>
      <c r="G42"/>
      <c r="H42"/>
    </row>
    <row r="43" spans="3:8" ht="15" customHeight="1" x14ac:dyDescent="0.15">
      <c r="C43"/>
      <c r="D43"/>
      <c r="E43" s="104"/>
      <c r="F43" s="104"/>
      <c r="G43"/>
      <c r="H43"/>
    </row>
    <row r="44" spans="3:8" ht="15" customHeight="1" x14ac:dyDescent="0.15">
      <c r="C44"/>
      <c r="D44"/>
      <c r="G44"/>
      <c r="H44"/>
    </row>
    <row r="45" spans="3:8" ht="15" customHeight="1" x14ac:dyDescent="0.15">
      <c r="C45"/>
      <c r="D45"/>
      <c r="G45"/>
      <c r="H45"/>
    </row>
    <row r="46" spans="3:8" ht="15" customHeight="1" x14ac:dyDescent="0.15">
      <c r="C46"/>
      <c r="D46"/>
      <c r="E46" s="104"/>
      <c r="F46" s="104"/>
      <c r="G46"/>
      <c r="H46"/>
    </row>
    <row r="47" spans="3:8" ht="15" customHeight="1" x14ac:dyDescent="0.15">
      <c r="C47"/>
      <c r="D47"/>
      <c r="G47"/>
      <c r="H47"/>
    </row>
    <row r="48" spans="3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4.33203125" bestFit="1" customWidth="1"/>
    <col min="3" max="4" width="5.83203125" bestFit="1" customWidth="1"/>
    <col min="5" max="5" width="12.1640625" bestFit="1" customWidth="1"/>
  </cols>
  <sheetData>
    <row r="1" spans="1:5" s="105" customFormat="1" ht="112" x14ac:dyDescent="0.15">
      <c r="A1" s="5" t="s">
        <v>21</v>
      </c>
      <c r="B1" s="3" t="s">
        <v>0</v>
      </c>
      <c r="C1" s="176" t="s">
        <v>220</v>
      </c>
      <c r="D1" s="176" t="s">
        <v>224</v>
      </c>
      <c r="E1"/>
    </row>
    <row r="2" spans="1:5" ht="15" customHeight="1" x14ac:dyDescent="0.15">
      <c r="A2">
        <v>1</v>
      </c>
      <c r="B2" s="175" t="s">
        <v>192</v>
      </c>
      <c r="C2">
        <v>0</v>
      </c>
      <c r="D2">
        <v>0</v>
      </c>
    </row>
    <row r="3" spans="1:5" ht="15" customHeight="1" x14ac:dyDescent="0.15">
      <c r="A3">
        <v>2</v>
      </c>
      <c r="B3" s="175" t="s">
        <v>193</v>
      </c>
      <c r="C3">
        <v>0</v>
      </c>
      <c r="D3">
        <v>0</v>
      </c>
    </row>
    <row r="4" spans="1:5" ht="15" customHeight="1" x14ac:dyDescent="0.15">
      <c r="A4">
        <v>3</v>
      </c>
      <c r="B4" s="175" t="s">
        <v>194</v>
      </c>
      <c r="C4">
        <v>0.53100000000000003</v>
      </c>
      <c r="D4">
        <v>0.53100000000000003</v>
      </c>
    </row>
    <row r="5" spans="1:5" ht="15" customHeight="1" x14ac:dyDescent="0.15">
      <c r="A5">
        <v>4</v>
      </c>
      <c r="B5" s="175" t="s">
        <v>195</v>
      </c>
      <c r="C5">
        <v>0.53200000000000003</v>
      </c>
      <c r="D5">
        <v>0.53200000000000003</v>
      </c>
    </row>
    <row r="6" spans="1:5" ht="15" customHeight="1" x14ac:dyDescent="0.15">
      <c r="A6">
        <v>5</v>
      </c>
      <c r="B6" s="175" t="s">
        <v>196</v>
      </c>
      <c r="C6">
        <v>0.192</v>
      </c>
      <c r="D6">
        <v>0.192</v>
      </c>
    </row>
    <row r="7" spans="1:5" ht="15" customHeight="1" x14ac:dyDescent="0.15">
      <c r="A7">
        <v>6</v>
      </c>
      <c r="B7" s="175" t="s">
        <v>197</v>
      </c>
      <c r="C7">
        <v>3.9E-2</v>
      </c>
      <c r="D7">
        <v>3.9E-2</v>
      </c>
    </row>
    <row r="8" spans="1:5" ht="15" customHeight="1" x14ac:dyDescent="0.15">
      <c r="A8">
        <v>7</v>
      </c>
      <c r="B8" s="175" t="s">
        <v>198</v>
      </c>
      <c r="C8">
        <v>0.122</v>
      </c>
      <c r="D8">
        <v>0.122</v>
      </c>
    </row>
    <row r="9" spans="1:5" ht="15" customHeight="1" x14ac:dyDescent="0.15">
      <c r="A9">
        <v>8</v>
      </c>
      <c r="B9" s="175" t="s">
        <v>199</v>
      </c>
      <c r="C9">
        <v>8.0000000000000002E-3</v>
      </c>
      <c r="D9">
        <v>8.0000000000000002E-3</v>
      </c>
    </row>
    <row r="10" spans="1:5" ht="15" customHeight="1" x14ac:dyDescent="0.15">
      <c r="A10">
        <v>9</v>
      </c>
      <c r="B10" s="175" t="s">
        <v>200</v>
      </c>
      <c r="C10">
        <v>6.5000000000000002E-2</v>
      </c>
      <c r="D10">
        <v>6.5000000000000002E-2</v>
      </c>
    </row>
    <row r="11" spans="1:5" ht="15" customHeight="1" x14ac:dyDescent="0.15">
      <c r="A11">
        <v>10</v>
      </c>
      <c r="B11" s="175" t="s">
        <v>201</v>
      </c>
      <c r="C11">
        <v>0</v>
      </c>
      <c r="D11">
        <v>0</v>
      </c>
    </row>
    <row r="12" spans="1:5" ht="15" customHeight="1" x14ac:dyDescent="0.15">
      <c r="A12">
        <v>11</v>
      </c>
      <c r="B12" s="175" t="s">
        <v>202</v>
      </c>
      <c r="C12">
        <v>7.3999999999999996E-2</v>
      </c>
      <c r="D12">
        <v>7.3999999999999996E-2</v>
      </c>
    </row>
    <row r="13" spans="1:5" ht="15" customHeight="1" x14ac:dyDescent="0.15">
      <c r="A13">
        <v>12</v>
      </c>
      <c r="B13" s="175" t="s">
        <v>203</v>
      </c>
      <c r="C13">
        <v>0.35399999999999998</v>
      </c>
      <c r="D13">
        <v>0.35399999999999998</v>
      </c>
    </row>
    <row r="14" spans="1:5" ht="15" customHeight="1" x14ac:dyDescent="0.15">
      <c r="A14">
        <v>13</v>
      </c>
      <c r="B14" s="175" t="s">
        <v>204</v>
      </c>
      <c r="C14">
        <v>2.1999999999999999E-2</v>
      </c>
      <c r="D14">
        <v>2.1999999999999999E-2</v>
      </c>
    </row>
    <row r="15" spans="1:5" ht="15" customHeight="1" x14ac:dyDescent="0.15">
      <c r="A15">
        <v>14</v>
      </c>
      <c r="B15" s="175" t="s">
        <v>205</v>
      </c>
      <c r="C15">
        <v>0</v>
      </c>
      <c r="D15">
        <v>0</v>
      </c>
    </row>
    <row r="16" spans="1:5" ht="15" customHeight="1" x14ac:dyDescent="0.15">
      <c r="A16">
        <v>15</v>
      </c>
      <c r="B16" s="175" t="s">
        <v>206</v>
      </c>
      <c r="C16">
        <v>0</v>
      </c>
      <c r="D16">
        <v>0</v>
      </c>
    </row>
    <row r="17" spans="1:4" ht="15" customHeight="1" x14ac:dyDescent="0.15">
      <c r="A17">
        <v>16</v>
      </c>
      <c r="B17" s="175" t="s">
        <v>207</v>
      </c>
      <c r="C17">
        <v>0</v>
      </c>
      <c r="D17">
        <v>0</v>
      </c>
    </row>
    <row r="18" spans="1:4" ht="15" customHeight="1" x14ac:dyDescent="0.15">
      <c r="A18">
        <v>17</v>
      </c>
      <c r="B18" s="175" t="s">
        <v>208</v>
      </c>
      <c r="C18">
        <v>0</v>
      </c>
      <c r="D18">
        <v>0</v>
      </c>
    </row>
    <row r="19" spans="1:4" ht="15" customHeight="1" x14ac:dyDescent="0.15">
      <c r="A19">
        <v>18</v>
      </c>
      <c r="B19" s="175" t="s">
        <v>209</v>
      </c>
      <c r="C19">
        <v>0</v>
      </c>
      <c r="D19">
        <v>0</v>
      </c>
    </row>
    <row r="20" spans="1:4" ht="15" customHeight="1" x14ac:dyDescent="0.15">
      <c r="A20">
        <v>19</v>
      </c>
      <c r="B20" s="175" t="s">
        <v>210</v>
      </c>
      <c r="C20">
        <v>0</v>
      </c>
      <c r="D20">
        <v>0</v>
      </c>
    </row>
    <row r="21" spans="1:4" ht="15" customHeight="1" x14ac:dyDescent="0.15">
      <c r="A21">
        <v>20</v>
      </c>
      <c r="B21" s="175" t="s">
        <v>211</v>
      </c>
      <c r="C21">
        <v>0</v>
      </c>
      <c r="D21">
        <v>0</v>
      </c>
    </row>
    <row r="22" spans="1:4" ht="15" customHeight="1" x14ac:dyDescent="0.15">
      <c r="A22">
        <v>21</v>
      </c>
      <c r="B22" s="175" t="s">
        <v>212</v>
      </c>
      <c r="C22">
        <v>0</v>
      </c>
      <c r="D22">
        <v>0</v>
      </c>
    </row>
    <row r="23" spans="1:4" ht="15" customHeight="1" x14ac:dyDescent="0.15">
      <c r="A23">
        <v>22</v>
      </c>
      <c r="B23" s="175" t="s">
        <v>213</v>
      </c>
      <c r="C23">
        <v>0</v>
      </c>
      <c r="D23">
        <v>0</v>
      </c>
    </row>
    <row r="24" spans="1:4" ht="15" customHeight="1" x14ac:dyDescent="0.15">
      <c r="A24">
        <v>23</v>
      </c>
      <c r="B24" s="175" t="s">
        <v>214</v>
      </c>
      <c r="C24">
        <v>0</v>
      </c>
      <c r="D24">
        <v>0</v>
      </c>
    </row>
    <row r="25" spans="1:4" ht="15" customHeight="1" x14ac:dyDescent="0.15">
      <c r="A25">
        <v>24</v>
      </c>
      <c r="B25" s="175" t="s">
        <v>215</v>
      </c>
      <c r="C25">
        <v>0</v>
      </c>
      <c r="D25">
        <v>0</v>
      </c>
    </row>
    <row r="26" spans="1:4" ht="15" customHeight="1" x14ac:dyDescent="0.15">
      <c r="A26">
        <v>25</v>
      </c>
      <c r="B26" s="175" t="s">
        <v>216</v>
      </c>
      <c r="C26">
        <v>0</v>
      </c>
      <c r="D26">
        <v>0</v>
      </c>
    </row>
    <row r="27" spans="1:4" ht="15" customHeight="1" x14ac:dyDescent="0.15">
      <c r="A27">
        <v>26</v>
      </c>
      <c r="B27" s="175" t="s">
        <v>217</v>
      </c>
      <c r="C27">
        <v>0</v>
      </c>
      <c r="D27">
        <v>0</v>
      </c>
    </row>
    <row r="28" spans="1:4" ht="15" customHeight="1" x14ac:dyDescent="0.15">
      <c r="A28">
        <v>27</v>
      </c>
      <c r="B28" s="175" t="s">
        <v>218</v>
      </c>
      <c r="C28">
        <v>0</v>
      </c>
      <c r="D28">
        <v>0</v>
      </c>
    </row>
    <row r="29" spans="1:4" ht="15" customHeight="1" x14ac:dyDescent="0.15">
      <c r="A29">
        <v>28</v>
      </c>
      <c r="B29" s="175" t="s">
        <v>219</v>
      </c>
      <c r="C29">
        <v>0</v>
      </c>
      <c r="D29">
        <v>0</v>
      </c>
    </row>
    <row r="30" spans="1:4" ht="15" customHeight="1" x14ac:dyDescent="0.15"/>
    <row r="31" spans="1:4" ht="15" customHeight="1" x14ac:dyDescent="0.15"/>
    <row r="32" spans="1:4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29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4.33203125" bestFit="1" customWidth="1"/>
    <col min="3" max="4" width="2.33203125" bestFit="1" customWidth="1"/>
    <col min="5" max="5" width="12.1640625" bestFit="1" customWidth="1"/>
  </cols>
  <sheetData>
    <row r="1" spans="1:4" s="105" customFormat="1" ht="112" x14ac:dyDescent="0.15">
      <c r="A1" s="5" t="s">
        <v>22</v>
      </c>
      <c r="B1" s="3" t="s">
        <v>0</v>
      </c>
      <c r="C1" s="178" t="s">
        <v>220</v>
      </c>
      <c r="D1" s="178" t="s">
        <v>224</v>
      </c>
    </row>
    <row r="2" spans="1:4" x14ac:dyDescent="0.15">
      <c r="A2">
        <v>1</v>
      </c>
      <c r="B2" s="177" t="s">
        <v>192</v>
      </c>
      <c r="C2">
        <v>0</v>
      </c>
      <c r="D2">
        <v>0</v>
      </c>
    </row>
    <row r="3" spans="1:4" x14ac:dyDescent="0.15">
      <c r="A3">
        <v>2</v>
      </c>
      <c r="B3" s="177" t="s">
        <v>193</v>
      </c>
      <c r="C3">
        <v>0</v>
      </c>
      <c r="D3">
        <v>0</v>
      </c>
    </row>
    <row r="4" spans="1:4" x14ac:dyDescent="0.15">
      <c r="A4">
        <v>3</v>
      </c>
      <c r="B4" s="177" t="s">
        <v>194</v>
      </c>
      <c r="C4">
        <v>0</v>
      </c>
      <c r="D4">
        <v>0</v>
      </c>
    </row>
    <row r="5" spans="1:4" x14ac:dyDescent="0.15">
      <c r="A5">
        <v>4</v>
      </c>
      <c r="B5" s="177" t="s">
        <v>195</v>
      </c>
      <c r="C5">
        <v>0</v>
      </c>
      <c r="D5">
        <v>0</v>
      </c>
    </row>
    <row r="6" spans="1:4" x14ac:dyDescent="0.15">
      <c r="A6">
        <v>5</v>
      </c>
      <c r="B6" s="177" t="s">
        <v>196</v>
      </c>
      <c r="C6">
        <v>0</v>
      </c>
      <c r="D6">
        <v>0</v>
      </c>
    </row>
    <row r="7" spans="1:4" x14ac:dyDescent="0.15">
      <c r="A7">
        <v>6</v>
      </c>
      <c r="B7" s="177" t="s">
        <v>197</v>
      </c>
      <c r="C7">
        <v>0</v>
      </c>
      <c r="D7">
        <v>0</v>
      </c>
    </row>
    <row r="8" spans="1:4" x14ac:dyDescent="0.15">
      <c r="A8">
        <v>7</v>
      </c>
      <c r="B8" s="177" t="s">
        <v>198</v>
      </c>
      <c r="C8">
        <v>0</v>
      </c>
      <c r="D8">
        <v>0</v>
      </c>
    </row>
    <row r="9" spans="1:4" x14ac:dyDescent="0.15">
      <c r="A9">
        <v>8</v>
      </c>
      <c r="B9" s="177" t="s">
        <v>199</v>
      </c>
      <c r="C9">
        <v>0</v>
      </c>
      <c r="D9">
        <v>0</v>
      </c>
    </row>
    <row r="10" spans="1:4" x14ac:dyDescent="0.15">
      <c r="A10">
        <v>9</v>
      </c>
      <c r="B10" s="177" t="s">
        <v>200</v>
      </c>
      <c r="C10">
        <v>0</v>
      </c>
      <c r="D10">
        <v>0</v>
      </c>
    </row>
    <row r="11" spans="1:4" x14ac:dyDescent="0.15">
      <c r="A11">
        <v>10</v>
      </c>
      <c r="B11" s="177" t="s">
        <v>201</v>
      </c>
      <c r="C11">
        <v>0</v>
      </c>
      <c r="D11">
        <v>0</v>
      </c>
    </row>
    <row r="12" spans="1:4" x14ac:dyDescent="0.15">
      <c r="A12">
        <v>11</v>
      </c>
      <c r="B12" s="177" t="s">
        <v>202</v>
      </c>
      <c r="C12">
        <v>0</v>
      </c>
      <c r="D12">
        <v>0</v>
      </c>
    </row>
    <row r="13" spans="1:4" x14ac:dyDescent="0.15">
      <c r="A13">
        <v>12</v>
      </c>
      <c r="B13" s="177" t="s">
        <v>203</v>
      </c>
      <c r="C13">
        <v>0</v>
      </c>
      <c r="D13">
        <v>0</v>
      </c>
    </row>
    <row r="14" spans="1:4" x14ac:dyDescent="0.15">
      <c r="A14">
        <v>13</v>
      </c>
      <c r="B14" s="177" t="s">
        <v>204</v>
      </c>
      <c r="C14">
        <v>0</v>
      </c>
      <c r="D14">
        <v>0</v>
      </c>
    </row>
    <row r="15" spans="1:4" x14ac:dyDescent="0.15">
      <c r="A15">
        <v>14</v>
      </c>
      <c r="B15" s="177" t="s">
        <v>205</v>
      </c>
      <c r="C15">
        <v>0</v>
      </c>
      <c r="D15">
        <v>0</v>
      </c>
    </row>
    <row r="16" spans="1:4" x14ac:dyDescent="0.15">
      <c r="A16">
        <v>15</v>
      </c>
      <c r="B16" s="177" t="s">
        <v>206</v>
      </c>
      <c r="C16">
        <v>0</v>
      </c>
      <c r="D16">
        <v>0</v>
      </c>
    </row>
    <row r="17" spans="1:4" x14ac:dyDescent="0.15">
      <c r="A17">
        <v>16</v>
      </c>
      <c r="B17" s="177" t="s">
        <v>207</v>
      </c>
      <c r="C17">
        <v>0</v>
      </c>
      <c r="D17">
        <v>0</v>
      </c>
    </row>
    <row r="18" spans="1:4" x14ac:dyDescent="0.15">
      <c r="A18">
        <v>17</v>
      </c>
      <c r="B18" s="177" t="s">
        <v>208</v>
      </c>
      <c r="C18">
        <v>0</v>
      </c>
      <c r="D18">
        <v>0</v>
      </c>
    </row>
    <row r="19" spans="1:4" x14ac:dyDescent="0.15">
      <c r="A19">
        <v>18</v>
      </c>
      <c r="B19" s="177" t="s">
        <v>209</v>
      </c>
      <c r="C19">
        <v>0</v>
      </c>
      <c r="D19">
        <v>0</v>
      </c>
    </row>
    <row r="20" spans="1:4" x14ac:dyDescent="0.15">
      <c r="A20">
        <v>19</v>
      </c>
      <c r="B20" s="177" t="s">
        <v>210</v>
      </c>
      <c r="C20">
        <v>0</v>
      </c>
      <c r="D20">
        <v>0</v>
      </c>
    </row>
    <row r="21" spans="1:4" x14ac:dyDescent="0.15">
      <c r="A21">
        <v>20</v>
      </c>
      <c r="B21" s="177" t="s">
        <v>211</v>
      </c>
      <c r="C21">
        <v>0</v>
      </c>
      <c r="D21">
        <v>0</v>
      </c>
    </row>
    <row r="22" spans="1:4" x14ac:dyDescent="0.15">
      <c r="A22">
        <v>21</v>
      </c>
      <c r="B22" s="177" t="s">
        <v>212</v>
      </c>
      <c r="C22">
        <v>0</v>
      </c>
      <c r="D22">
        <v>0</v>
      </c>
    </row>
    <row r="23" spans="1:4" x14ac:dyDescent="0.15">
      <c r="A23">
        <v>22</v>
      </c>
      <c r="B23" s="177" t="s">
        <v>213</v>
      </c>
      <c r="C23">
        <v>0</v>
      </c>
      <c r="D23">
        <v>0</v>
      </c>
    </row>
    <row r="24" spans="1:4" x14ac:dyDescent="0.15">
      <c r="A24">
        <v>23</v>
      </c>
      <c r="B24" s="177" t="s">
        <v>214</v>
      </c>
      <c r="C24">
        <v>0</v>
      </c>
      <c r="D24">
        <v>0</v>
      </c>
    </row>
    <row r="25" spans="1:4" x14ac:dyDescent="0.15">
      <c r="A25">
        <v>24</v>
      </c>
      <c r="B25" s="177" t="s">
        <v>215</v>
      </c>
      <c r="C25">
        <v>0</v>
      </c>
      <c r="D25">
        <v>0</v>
      </c>
    </row>
    <row r="26" spans="1:4" x14ac:dyDescent="0.15">
      <c r="A26">
        <v>25</v>
      </c>
      <c r="B26" s="177" t="s">
        <v>216</v>
      </c>
      <c r="C26">
        <v>0</v>
      </c>
      <c r="D26">
        <v>0</v>
      </c>
    </row>
    <row r="27" spans="1:4" x14ac:dyDescent="0.15">
      <c r="A27">
        <v>26</v>
      </c>
      <c r="B27" s="177" t="s">
        <v>217</v>
      </c>
      <c r="C27">
        <v>0</v>
      </c>
      <c r="D27">
        <v>0</v>
      </c>
    </row>
    <row r="28" spans="1:4" x14ac:dyDescent="0.15">
      <c r="A28">
        <v>27</v>
      </c>
      <c r="B28" s="177" t="s">
        <v>218</v>
      </c>
      <c r="C28">
        <v>0</v>
      </c>
      <c r="D28">
        <v>0</v>
      </c>
    </row>
    <row r="29" spans="1:4" x14ac:dyDescent="0.15">
      <c r="A29">
        <v>28</v>
      </c>
      <c r="B29" s="177" t="s">
        <v>219</v>
      </c>
      <c r="C29">
        <v>0</v>
      </c>
      <c r="D29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4.33203125" bestFit="1" customWidth="1"/>
    <col min="6" max="6" width="4.83203125" bestFit="1" customWidth="1"/>
    <col min="7" max="9" width="3.83203125" bestFit="1" customWidth="1"/>
    <col min="10" max="11" width="4.83203125" style="104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06" customFormat="1" ht="14" thickBot="1" x14ac:dyDescent="0.2">
      <c r="D1" s="107" t="s">
        <v>8</v>
      </c>
      <c r="E1" s="107" t="s">
        <v>0</v>
      </c>
      <c r="F1" s="108" t="s">
        <v>99</v>
      </c>
      <c r="G1" s="109" t="s">
        <v>84</v>
      </c>
      <c r="H1" s="109" t="s">
        <v>85</v>
      </c>
      <c r="I1" s="109" t="s">
        <v>86</v>
      </c>
      <c r="J1" s="109" t="s">
        <v>87</v>
      </c>
      <c r="K1" s="109" t="s">
        <v>88</v>
      </c>
      <c r="L1" s="110" t="s">
        <v>89</v>
      </c>
      <c r="M1" s="110" t="s">
        <v>93</v>
      </c>
      <c r="N1" s="110" t="s">
        <v>92</v>
      </c>
      <c r="O1" s="110" t="s">
        <v>90</v>
      </c>
      <c r="P1" s="110" t="s">
        <v>91</v>
      </c>
      <c r="Q1" s="111" t="s">
        <v>94</v>
      </c>
      <c r="R1" s="111" t="s">
        <v>95</v>
      </c>
      <c r="S1" s="111" t="s">
        <v>96</v>
      </c>
      <c r="T1" s="111" t="s">
        <v>97</v>
      </c>
      <c r="U1" s="111" t="s">
        <v>98</v>
      </c>
      <c r="V1" s="109" t="s">
        <v>100</v>
      </c>
      <c r="W1" s="109" t="s">
        <v>101</v>
      </c>
      <c r="X1" s="109" t="s">
        <v>102</v>
      </c>
      <c r="Y1" s="109" t="s">
        <v>134</v>
      </c>
      <c r="Z1" s="110" t="s">
        <v>103</v>
      </c>
      <c r="AA1" s="110" t="s">
        <v>104</v>
      </c>
      <c r="AB1" s="110" t="s">
        <v>105</v>
      </c>
      <c r="AC1" s="112" t="s">
        <v>135</v>
      </c>
      <c r="AD1" s="111" t="s">
        <v>106</v>
      </c>
      <c r="AE1" s="111" t="s">
        <v>107</v>
      </c>
      <c r="AF1" s="111" t="s">
        <v>108</v>
      </c>
      <c r="AG1" s="111" t="s">
        <v>136</v>
      </c>
      <c r="AH1" s="109" t="s">
        <v>109</v>
      </c>
      <c r="AI1" s="109" t="s">
        <v>111</v>
      </c>
      <c r="AJ1" s="109" t="s">
        <v>110</v>
      </c>
      <c r="AK1" s="110" t="s">
        <v>115</v>
      </c>
      <c r="AL1" s="110" t="s">
        <v>116</v>
      </c>
      <c r="AM1" s="110" t="s">
        <v>117</v>
      </c>
      <c r="AN1" s="111" t="s">
        <v>112</v>
      </c>
      <c r="AO1" s="111" t="s">
        <v>113</v>
      </c>
      <c r="AP1" s="111" t="s">
        <v>114</v>
      </c>
    </row>
    <row r="2" spans="1:42" x14ac:dyDescent="0.15">
      <c r="A2" s="113" t="s">
        <v>74</v>
      </c>
      <c r="B2" s="114">
        <v>1</v>
      </c>
      <c r="D2">
        <v>1</v>
      </c>
      <c r="E2" s="179" t="s">
        <v>192</v>
      </c>
      <c r="F2">
        <v>0.98</v>
      </c>
      <c r="G2">
        <v>0.8</v>
      </c>
      <c r="H2">
        <v>0.8</v>
      </c>
      <c r="I2">
        <v>0.8</v>
      </c>
      <c r="J2" s="104">
        <v>0.25</v>
      </c>
      <c r="K2" s="104">
        <v>0.05</v>
      </c>
    </row>
    <row r="3" spans="1:42" x14ac:dyDescent="0.15">
      <c r="A3" s="113" t="s">
        <v>75</v>
      </c>
      <c r="B3" s="115">
        <v>1</v>
      </c>
      <c r="D3">
        <v>2</v>
      </c>
      <c r="E3" s="179" t="s">
        <v>193</v>
      </c>
      <c r="F3">
        <v>0.98</v>
      </c>
      <c r="G3">
        <v>0.8</v>
      </c>
      <c r="H3">
        <v>0.8</v>
      </c>
      <c r="I3">
        <v>0.8</v>
      </c>
      <c r="J3" s="104">
        <v>0.25</v>
      </c>
      <c r="K3" s="104">
        <v>0.05</v>
      </c>
    </row>
    <row r="4" spans="1:42" x14ac:dyDescent="0.15">
      <c r="A4" s="113" t="s">
        <v>76</v>
      </c>
      <c r="B4" s="115">
        <v>1</v>
      </c>
      <c r="D4">
        <v>3</v>
      </c>
      <c r="E4" s="179" t="s">
        <v>194</v>
      </c>
      <c r="F4">
        <v>0.98</v>
      </c>
      <c r="G4">
        <v>0.8</v>
      </c>
      <c r="H4">
        <v>0.8</v>
      </c>
      <c r="I4">
        <v>0.8</v>
      </c>
      <c r="J4" s="104">
        <v>0.25</v>
      </c>
      <c r="K4" s="104">
        <v>0.05</v>
      </c>
    </row>
    <row r="5" spans="1:42" x14ac:dyDescent="0.15">
      <c r="A5" s="113" t="s">
        <v>77</v>
      </c>
      <c r="B5" s="115">
        <v>1</v>
      </c>
      <c r="D5">
        <v>4</v>
      </c>
      <c r="E5" s="179" t="s">
        <v>195</v>
      </c>
      <c r="F5">
        <v>0.98</v>
      </c>
      <c r="G5">
        <v>0.8</v>
      </c>
      <c r="H5">
        <v>0.8</v>
      </c>
      <c r="I5">
        <v>0.8</v>
      </c>
      <c r="J5" s="104">
        <v>0.25</v>
      </c>
      <c r="K5" s="104">
        <v>0.05</v>
      </c>
    </row>
    <row r="6" spans="1:42" x14ac:dyDescent="0.15">
      <c r="A6" s="113" t="s">
        <v>78</v>
      </c>
      <c r="B6" s="115">
        <v>1</v>
      </c>
      <c r="D6">
        <v>5</v>
      </c>
      <c r="E6" s="179" t="s">
        <v>196</v>
      </c>
      <c r="F6">
        <v>0.98</v>
      </c>
      <c r="G6">
        <v>0.8</v>
      </c>
      <c r="H6">
        <v>0.8</v>
      </c>
      <c r="I6">
        <v>0.8</v>
      </c>
      <c r="J6" s="104">
        <v>0.25</v>
      </c>
      <c r="K6" s="104">
        <v>0.05</v>
      </c>
    </row>
    <row r="7" spans="1:42" x14ac:dyDescent="0.15">
      <c r="A7" s="113" t="s">
        <v>79</v>
      </c>
      <c r="B7" s="115">
        <v>1</v>
      </c>
      <c r="D7">
        <v>6</v>
      </c>
      <c r="E7" s="179" t="s">
        <v>197</v>
      </c>
      <c r="F7">
        <v>0.98</v>
      </c>
      <c r="G7">
        <v>0.8</v>
      </c>
      <c r="H7">
        <v>0.8</v>
      </c>
      <c r="I7">
        <v>0.8</v>
      </c>
      <c r="J7" s="104">
        <v>0.25</v>
      </c>
      <c r="K7" s="104">
        <v>0.05</v>
      </c>
    </row>
    <row r="8" spans="1:42" x14ac:dyDescent="0.15">
      <c r="A8" s="113" t="s">
        <v>80</v>
      </c>
      <c r="B8" s="115">
        <v>1</v>
      </c>
      <c r="D8">
        <v>7</v>
      </c>
      <c r="E8" s="179" t="s">
        <v>198</v>
      </c>
      <c r="F8">
        <v>0.98</v>
      </c>
      <c r="G8">
        <v>0.8</v>
      </c>
      <c r="H8">
        <v>0.8</v>
      </c>
      <c r="I8">
        <v>0.8</v>
      </c>
      <c r="J8" s="104">
        <v>0.25</v>
      </c>
      <c r="K8" s="104">
        <v>0.05</v>
      </c>
    </row>
    <row r="9" spans="1:42" x14ac:dyDescent="0.15">
      <c r="A9" s="113" t="s">
        <v>81</v>
      </c>
      <c r="B9" s="115">
        <v>0.1</v>
      </c>
      <c r="C9" s="58" t="s">
        <v>150</v>
      </c>
      <c r="D9">
        <v>8</v>
      </c>
      <c r="E9" s="179" t="s">
        <v>199</v>
      </c>
      <c r="F9">
        <v>0.98</v>
      </c>
      <c r="G9">
        <v>0.8</v>
      </c>
      <c r="H9">
        <v>0.8</v>
      </c>
      <c r="I9">
        <v>0.8</v>
      </c>
      <c r="J9" s="104">
        <v>0.25</v>
      </c>
      <c r="K9" s="104">
        <v>0.05</v>
      </c>
    </row>
    <row r="10" spans="1:42" ht="14" thickBot="1" x14ac:dyDescent="0.2">
      <c r="A10" s="113" t="s">
        <v>149</v>
      </c>
      <c r="B10" s="116">
        <f>1/3</f>
        <v>0.33333333333333331</v>
      </c>
      <c r="C10" s="58" t="s">
        <v>150</v>
      </c>
      <c r="D10">
        <v>9</v>
      </c>
      <c r="E10" s="179" t="s">
        <v>200</v>
      </c>
      <c r="F10">
        <v>0.98</v>
      </c>
      <c r="G10">
        <v>0.8</v>
      </c>
      <c r="H10">
        <v>0.8</v>
      </c>
      <c r="I10">
        <v>0.8</v>
      </c>
      <c r="J10" s="104">
        <v>0.25</v>
      </c>
      <c r="K10" s="104">
        <v>0.05</v>
      </c>
    </row>
    <row r="11" spans="1:42" x14ac:dyDescent="0.15">
      <c r="D11">
        <v>10</v>
      </c>
      <c r="E11" s="179" t="s">
        <v>201</v>
      </c>
      <c r="F11">
        <v>0.98</v>
      </c>
      <c r="G11">
        <v>0.8</v>
      </c>
      <c r="H11">
        <v>0.8</v>
      </c>
      <c r="I11">
        <v>0.8</v>
      </c>
      <c r="J11" s="104">
        <v>0.25</v>
      </c>
      <c r="K11" s="104">
        <v>0.05</v>
      </c>
    </row>
    <row r="12" spans="1:42" x14ac:dyDescent="0.15">
      <c r="D12">
        <v>11</v>
      </c>
      <c r="E12" s="179" t="s">
        <v>202</v>
      </c>
      <c r="F12">
        <v>0.98</v>
      </c>
      <c r="G12">
        <v>0.8</v>
      </c>
      <c r="H12">
        <v>0.8</v>
      </c>
      <c r="I12">
        <v>0.8</v>
      </c>
      <c r="J12" s="104">
        <v>0.25</v>
      </c>
      <c r="K12" s="104">
        <v>0.05</v>
      </c>
    </row>
    <row r="13" spans="1:42" x14ac:dyDescent="0.15">
      <c r="D13">
        <v>12</v>
      </c>
      <c r="E13" s="179" t="s">
        <v>203</v>
      </c>
      <c r="F13">
        <v>0.98</v>
      </c>
      <c r="G13">
        <v>0.8</v>
      </c>
      <c r="H13">
        <v>0.8</v>
      </c>
      <c r="I13">
        <v>0.8</v>
      </c>
      <c r="J13" s="104">
        <v>0.25</v>
      </c>
      <c r="K13" s="104">
        <v>0.05</v>
      </c>
    </row>
    <row r="14" spans="1:42" x14ac:dyDescent="0.15">
      <c r="D14">
        <v>13</v>
      </c>
      <c r="E14" s="179" t="s">
        <v>204</v>
      </c>
      <c r="F14">
        <v>0.98</v>
      </c>
      <c r="G14">
        <v>0.8</v>
      </c>
      <c r="H14">
        <v>0.8</v>
      </c>
      <c r="I14">
        <v>0.8</v>
      </c>
      <c r="J14" s="104">
        <v>0.25</v>
      </c>
      <c r="K14" s="104">
        <v>0.05</v>
      </c>
    </row>
    <row r="15" spans="1:42" x14ac:dyDescent="0.15">
      <c r="D15">
        <v>14</v>
      </c>
      <c r="E15" s="179" t="s">
        <v>205</v>
      </c>
      <c r="F15">
        <v>0.98</v>
      </c>
      <c r="G15">
        <v>0.8</v>
      </c>
      <c r="H15">
        <v>0.8</v>
      </c>
      <c r="I15">
        <v>0.8</v>
      </c>
      <c r="J15" s="104">
        <v>0.25</v>
      </c>
      <c r="K15" s="104">
        <v>0.05</v>
      </c>
    </row>
    <row r="16" spans="1:42" x14ac:dyDescent="0.15">
      <c r="D16">
        <v>15</v>
      </c>
      <c r="E16" s="179" t="s">
        <v>206</v>
      </c>
      <c r="F16">
        <v>0.98</v>
      </c>
      <c r="G16">
        <v>0.8</v>
      </c>
      <c r="H16">
        <v>0.8</v>
      </c>
      <c r="I16">
        <v>0.8</v>
      </c>
      <c r="J16" s="104">
        <v>0.25</v>
      </c>
      <c r="K16" s="104">
        <v>0.05</v>
      </c>
    </row>
    <row r="17" spans="4:33" ht="15" customHeight="1" x14ac:dyDescent="0.15">
      <c r="D17">
        <v>16</v>
      </c>
      <c r="E17" s="179" t="s">
        <v>207</v>
      </c>
      <c r="F17">
        <v>0.98</v>
      </c>
      <c r="G17">
        <v>0.8</v>
      </c>
      <c r="H17">
        <v>0.8</v>
      </c>
      <c r="I17">
        <v>0.8</v>
      </c>
      <c r="J17" s="104">
        <v>0.25</v>
      </c>
      <c r="K17" s="104">
        <v>0.05</v>
      </c>
    </row>
    <row r="18" spans="4:33" ht="15" customHeight="1" x14ac:dyDescent="0.15">
      <c r="D18">
        <v>17</v>
      </c>
      <c r="E18" s="179" t="s">
        <v>208</v>
      </c>
      <c r="F18">
        <v>0.98</v>
      </c>
      <c r="G18">
        <v>0.8</v>
      </c>
      <c r="H18">
        <v>0.8</v>
      </c>
      <c r="I18">
        <v>0.8</v>
      </c>
      <c r="J18" s="104">
        <v>0.25</v>
      </c>
      <c r="K18" s="104">
        <v>0.05</v>
      </c>
    </row>
    <row r="19" spans="4:33" ht="15" customHeight="1" x14ac:dyDescent="0.15">
      <c r="D19">
        <v>18</v>
      </c>
      <c r="E19" s="179" t="s">
        <v>209</v>
      </c>
      <c r="F19">
        <v>0.98</v>
      </c>
      <c r="G19">
        <v>0.8</v>
      </c>
      <c r="H19">
        <v>0.8</v>
      </c>
      <c r="I19">
        <v>0</v>
      </c>
      <c r="J19" s="104">
        <v>0</v>
      </c>
      <c r="K19" s="104">
        <v>0</v>
      </c>
    </row>
    <row r="20" spans="4:33" ht="15" customHeight="1" x14ac:dyDescent="0.15">
      <c r="D20">
        <v>19</v>
      </c>
      <c r="E20" s="179" t="s">
        <v>210</v>
      </c>
      <c r="F20">
        <v>0.98</v>
      </c>
      <c r="G20">
        <v>0.8</v>
      </c>
      <c r="H20">
        <v>0.8</v>
      </c>
      <c r="I20">
        <v>0.8</v>
      </c>
      <c r="J20" s="104">
        <v>0.25</v>
      </c>
      <c r="K20" s="104">
        <v>0.05</v>
      </c>
    </row>
    <row r="21" spans="4:33" ht="15" customHeight="1" x14ac:dyDescent="0.15">
      <c r="D21">
        <v>20</v>
      </c>
      <c r="E21" s="179" t="s">
        <v>211</v>
      </c>
      <c r="F21">
        <v>0.98</v>
      </c>
      <c r="G21">
        <v>0.8</v>
      </c>
      <c r="H21">
        <v>0.8</v>
      </c>
      <c r="I21">
        <v>0.8</v>
      </c>
      <c r="J21" s="104">
        <v>0.25</v>
      </c>
      <c r="K21" s="104">
        <v>0.05</v>
      </c>
    </row>
    <row r="22" spans="4:33" ht="15" customHeight="1" x14ac:dyDescent="0.15">
      <c r="D22">
        <v>21</v>
      </c>
      <c r="E22" s="179" t="s">
        <v>212</v>
      </c>
      <c r="F22">
        <v>0.98</v>
      </c>
      <c r="G22">
        <v>0.8</v>
      </c>
      <c r="H22">
        <v>0.8</v>
      </c>
      <c r="I22">
        <v>0.8</v>
      </c>
      <c r="J22" s="104">
        <v>0.25</v>
      </c>
      <c r="K22" s="104">
        <v>0.05</v>
      </c>
    </row>
    <row r="23" spans="4:33" ht="15" customHeight="1" x14ac:dyDescent="0.15">
      <c r="D23">
        <v>22</v>
      </c>
      <c r="E23" s="179" t="s">
        <v>213</v>
      </c>
      <c r="F23">
        <v>0.98</v>
      </c>
      <c r="G23">
        <v>0.8</v>
      </c>
      <c r="H23">
        <v>0.8</v>
      </c>
      <c r="I23">
        <v>0.8</v>
      </c>
      <c r="J23" s="104">
        <v>0.25</v>
      </c>
      <c r="K23" s="104">
        <v>0.05</v>
      </c>
    </row>
    <row r="24" spans="4:33" ht="15" customHeight="1" x14ac:dyDescent="0.15">
      <c r="D24">
        <v>23</v>
      </c>
      <c r="E24" s="179" t="s">
        <v>214</v>
      </c>
      <c r="F24">
        <v>0.98</v>
      </c>
      <c r="G24">
        <v>0.8</v>
      </c>
      <c r="H24">
        <v>0.8</v>
      </c>
      <c r="I24">
        <v>0.8</v>
      </c>
      <c r="J24" s="104">
        <v>0.25</v>
      </c>
      <c r="K24" s="104">
        <v>0.05</v>
      </c>
    </row>
    <row r="25" spans="4:33" ht="15" customHeight="1" x14ac:dyDescent="0.15">
      <c r="D25">
        <v>24</v>
      </c>
      <c r="E25" s="179" t="s">
        <v>215</v>
      </c>
      <c r="F25">
        <v>0.98</v>
      </c>
      <c r="G25">
        <v>0.8</v>
      </c>
      <c r="H25">
        <v>0.8</v>
      </c>
      <c r="I25">
        <v>0.8</v>
      </c>
      <c r="J25" s="104">
        <v>0.25</v>
      </c>
      <c r="K25" s="104">
        <v>0.05</v>
      </c>
    </row>
    <row r="26" spans="4:33" ht="15" customHeight="1" x14ac:dyDescent="0.15">
      <c r="D26">
        <v>25</v>
      </c>
      <c r="E26" s="179" t="s">
        <v>216</v>
      </c>
      <c r="F26">
        <v>0.98</v>
      </c>
      <c r="G26">
        <v>0.8</v>
      </c>
      <c r="H26">
        <v>0.8</v>
      </c>
      <c r="I26">
        <v>0.8</v>
      </c>
      <c r="J26" s="104">
        <v>0.25</v>
      </c>
      <c r="K26" s="104">
        <v>0.05</v>
      </c>
    </row>
    <row r="27" spans="4:33" ht="15" customHeight="1" x14ac:dyDescent="0.15">
      <c r="D27">
        <v>26</v>
      </c>
      <c r="E27" s="179" t="s">
        <v>217</v>
      </c>
      <c r="F27">
        <v>0.98</v>
      </c>
      <c r="G27">
        <v>0.8</v>
      </c>
      <c r="H27">
        <v>0.8</v>
      </c>
      <c r="I27">
        <v>0</v>
      </c>
      <c r="J27" s="104">
        <v>0</v>
      </c>
      <c r="K27" s="104">
        <v>0</v>
      </c>
    </row>
    <row r="28" spans="4:33" ht="15" customHeight="1" x14ac:dyDescent="0.15">
      <c r="D28">
        <v>27</v>
      </c>
      <c r="E28" s="179" t="s">
        <v>218</v>
      </c>
      <c r="F28">
        <v>0.98</v>
      </c>
      <c r="G28">
        <v>0.8</v>
      </c>
      <c r="H28">
        <v>0</v>
      </c>
      <c r="I28">
        <v>0</v>
      </c>
      <c r="J28" s="104">
        <v>0</v>
      </c>
      <c r="K28" s="104">
        <v>0</v>
      </c>
    </row>
    <row r="29" spans="4:33" ht="15" customHeight="1" x14ac:dyDescent="0.15">
      <c r="D29">
        <v>28</v>
      </c>
      <c r="E29" s="179" t="s">
        <v>219</v>
      </c>
      <c r="F29">
        <v>0.98</v>
      </c>
      <c r="G29">
        <v>0.8</v>
      </c>
      <c r="H29">
        <v>0</v>
      </c>
      <c r="I29">
        <v>0</v>
      </c>
      <c r="J29" s="104">
        <v>0</v>
      </c>
      <c r="K29" s="104">
        <v>0</v>
      </c>
      <c r="Y29"/>
      <c r="AC29"/>
      <c r="AG29"/>
    </row>
    <row r="30" spans="4:33" ht="15" customHeight="1" x14ac:dyDescent="0.15">
      <c r="J30"/>
      <c r="K30"/>
      <c r="Y30"/>
      <c r="AC30"/>
      <c r="AG30"/>
    </row>
    <row r="31" spans="4:33" ht="15" customHeight="1" x14ac:dyDescent="0.15">
      <c r="J31"/>
      <c r="K31"/>
      <c r="Y31"/>
      <c r="AC31"/>
      <c r="AG31"/>
    </row>
    <row r="32" spans="4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D32"/>
  <sheetViews>
    <sheetView workbookViewId="0">
      <selection activeCell="A3" sqref="A3"/>
    </sheetView>
  </sheetViews>
  <sheetFormatPr baseColWidth="10" defaultRowHeight="13" x14ac:dyDescent="0.15"/>
  <cols>
    <col min="1" max="1" width="21.6640625" style="102" bestFit="1" customWidth="1"/>
    <col min="2" max="18" width="3.83203125" style="102" customWidth="1"/>
    <col min="19" max="19" width="2.33203125" style="102" customWidth="1"/>
    <col min="20" max="26" width="3.83203125" style="102" customWidth="1"/>
    <col min="27" max="29" width="2.33203125" style="102" customWidth="1"/>
    <col min="30" max="16384" width="10.83203125" style="102"/>
  </cols>
  <sheetData>
    <row r="1" spans="1:30" x14ac:dyDescent="0.15">
      <c r="A1" s="60" t="s">
        <v>118</v>
      </c>
      <c r="B1" s="181" t="s">
        <v>192</v>
      </c>
      <c r="C1" s="181" t="s">
        <v>193</v>
      </c>
      <c r="D1" s="181" t="s">
        <v>194</v>
      </c>
      <c r="E1" s="181" t="s">
        <v>195</v>
      </c>
      <c r="F1" s="181" t="s">
        <v>196</v>
      </c>
      <c r="G1" s="181" t="s">
        <v>197</v>
      </c>
      <c r="H1" s="181" t="s">
        <v>198</v>
      </c>
      <c r="I1" s="181" t="s">
        <v>199</v>
      </c>
      <c r="J1" s="181" t="s">
        <v>200</v>
      </c>
      <c r="K1" s="181" t="s">
        <v>201</v>
      </c>
      <c r="L1" s="181" t="s">
        <v>202</v>
      </c>
      <c r="M1" s="181" t="s">
        <v>203</v>
      </c>
      <c r="N1" s="181" t="s">
        <v>204</v>
      </c>
      <c r="O1" s="181" t="s">
        <v>205</v>
      </c>
      <c r="P1" s="181" t="s">
        <v>206</v>
      </c>
      <c r="Q1" s="181" t="s">
        <v>207</v>
      </c>
      <c r="R1" s="181" t="s">
        <v>208</v>
      </c>
      <c r="S1" s="181" t="s">
        <v>209</v>
      </c>
      <c r="T1" s="181" t="s">
        <v>210</v>
      </c>
      <c r="U1" s="181" t="s">
        <v>211</v>
      </c>
      <c r="V1" s="181" t="s">
        <v>212</v>
      </c>
      <c r="W1" s="181" t="s">
        <v>213</v>
      </c>
      <c r="X1" s="181" t="s">
        <v>214</v>
      </c>
      <c r="Y1" s="181" t="s">
        <v>215</v>
      </c>
      <c r="Z1" s="181" t="s">
        <v>216</v>
      </c>
      <c r="AA1" s="181" t="s">
        <v>217</v>
      </c>
      <c r="AB1" s="181" t="s">
        <v>218</v>
      </c>
      <c r="AC1" s="181" t="s">
        <v>219</v>
      </c>
      <c r="AD1"/>
    </row>
    <row r="2" spans="1:30" customFormat="1" x14ac:dyDescent="0.15">
      <c r="A2" s="180" t="s">
        <v>192</v>
      </c>
      <c r="B2" s="102">
        <v>0</v>
      </c>
      <c r="C2" s="102">
        <v>0</v>
      </c>
      <c r="D2" s="102">
        <v>0.8</v>
      </c>
      <c r="E2" s="102">
        <v>0.8</v>
      </c>
      <c r="F2" s="102">
        <v>0.8</v>
      </c>
      <c r="G2" s="102">
        <v>0</v>
      </c>
      <c r="H2" s="102">
        <v>0.8</v>
      </c>
      <c r="I2" s="102">
        <v>0</v>
      </c>
      <c r="J2" s="102">
        <v>0</v>
      </c>
      <c r="K2" s="102">
        <v>0</v>
      </c>
      <c r="L2" s="102">
        <v>0</v>
      </c>
      <c r="M2" s="102">
        <v>0</v>
      </c>
      <c r="N2" s="102">
        <v>0</v>
      </c>
      <c r="O2" s="102">
        <v>0</v>
      </c>
      <c r="P2" s="102">
        <v>0</v>
      </c>
      <c r="Q2" s="102">
        <v>0</v>
      </c>
      <c r="R2" s="102">
        <v>0</v>
      </c>
      <c r="S2" s="102">
        <v>0</v>
      </c>
      <c r="T2" s="102">
        <v>0</v>
      </c>
      <c r="U2" s="102">
        <v>0</v>
      </c>
      <c r="V2" s="102">
        <v>0</v>
      </c>
      <c r="W2" s="102">
        <v>0</v>
      </c>
      <c r="X2" s="102">
        <v>0</v>
      </c>
      <c r="Y2" s="102">
        <v>0</v>
      </c>
      <c r="Z2" s="102">
        <v>0</v>
      </c>
      <c r="AA2" s="102">
        <v>0</v>
      </c>
      <c r="AB2" s="102">
        <v>0</v>
      </c>
      <c r="AC2" s="102">
        <v>0</v>
      </c>
    </row>
    <row r="3" spans="1:30" customFormat="1" x14ac:dyDescent="0.15">
      <c r="A3" s="180" t="s">
        <v>193</v>
      </c>
      <c r="B3" s="102">
        <v>0</v>
      </c>
      <c r="C3" s="102">
        <v>0</v>
      </c>
      <c r="D3" s="102">
        <v>0</v>
      </c>
      <c r="E3" s="102">
        <v>0</v>
      </c>
      <c r="F3" s="102">
        <v>0</v>
      </c>
      <c r="G3" s="102">
        <v>0</v>
      </c>
      <c r="H3" s="102">
        <v>0</v>
      </c>
      <c r="I3" s="102">
        <v>0</v>
      </c>
      <c r="J3" s="102">
        <v>0</v>
      </c>
      <c r="K3" s="102">
        <v>0</v>
      </c>
      <c r="L3" s="102">
        <v>0</v>
      </c>
      <c r="M3" s="102">
        <v>0</v>
      </c>
      <c r="N3" s="102">
        <v>0</v>
      </c>
      <c r="O3" s="102">
        <v>0</v>
      </c>
      <c r="P3" s="102">
        <v>0</v>
      </c>
      <c r="Q3" s="102">
        <v>0</v>
      </c>
      <c r="R3" s="102">
        <v>0</v>
      </c>
      <c r="S3" s="102">
        <v>0</v>
      </c>
      <c r="T3" s="102">
        <v>0</v>
      </c>
      <c r="U3" s="102">
        <v>0</v>
      </c>
      <c r="V3" s="102">
        <v>0</v>
      </c>
      <c r="W3" s="102">
        <v>0</v>
      </c>
      <c r="X3" s="102">
        <v>0</v>
      </c>
      <c r="Y3" s="102">
        <v>0</v>
      </c>
      <c r="Z3" s="102">
        <v>0</v>
      </c>
      <c r="AA3" s="102">
        <v>0</v>
      </c>
      <c r="AB3" s="102">
        <v>0</v>
      </c>
      <c r="AC3" s="102">
        <v>0</v>
      </c>
    </row>
    <row r="4" spans="1:30" customFormat="1" x14ac:dyDescent="0.15">
      <c r="A4" s="180" t="s">
        <v>194</v>
      </c>
      <c r="B4" s="102">
        <v>0</v>
      </c>
      <c r="C4" s="102">
        <v>0</v>
      </c>
      <c r="D4" s="102">
        <v>0</v>
      </c>
      <c r="E4" s="102">
        <v>0</v>
      </c>
      <c r="F4" s="102">
        <v>0</v>
      </c>
      <c r="G4" s="102">
        <v>0</v>
      </c>
      <c r="H4" s="102">
        <v>0</v>
      </c>
      <c r="I4" s="102">
        <v>0</v>
      </c>
      <c r="J4" s="102">
        <v>0</v>
      </c>
      <c r="K4" s="102">
        <v>0</v>
      </c>
      <c r="L4" s="102">
        <v>0</v>
      </c>
      <c r="M4" s="102">
        <v>0</v>
      </c>
      <c r="N4" s="102">
        <v>0</v>
      </c>
      <c r="O4" s="102">
        <v>0</v>
      </c>
      <c r="P4" s="102">
        <v>0</v>
      </c>
      <c r="Q4" s="102">
        <v>0</v>
      </c>
      <c r="R4" s="102">
        <v>0</v>
      </c>
      <c r="S4" s="102">
        <v>0</v>
      </c>
      <c r="T4" s="102">
        <v>0</v>
      </c>
      <c r="U4" s="102">
        <v>0</v>
      </c>
      <c r="V4" s="102">
        <v>0</v>
      </c>
      <c r="W4" s="102">
        <v>0</v>
      </c>
      <c r="X4" s="102">
        <v>0</v>
      </c>
      <c r="Y4" s="102">
        <v>0</v>
      </c>
      <c r="Z4" s="102">
        <v>0</v>
      </c>
      <c r="AA4" s="102">
        <v>0</v>
      </c>
      <c r="AB4" s="102">
        <v>0</v>
      </c>
      <c r="AC4" s="102">
        <v>0</v>
      </c>
    </row>
    <row r="5" spans="1:30" customFormat="1" x14ac:dyDescent="0.15">
      <c r="A5" s="180" t="s">
        <v>195</v>
      </c>
      <c r="B5" s="102">
        <v>0</v>
      </c>
      <c r="C5" s="102">
        <v>0.8</v>
      </c>
      <c r="D5" s="102">
        <v>0.8</v>
      </c>
      <c r="E5" s="102">
        <v>0</v>
      </c>
      <c r="F5" s="102">
        <v>0</v>
      </c>
      <c r="G5" s="102">
        <v>0</v>
      </c>
      <c r="H5" s="102">
        <v>0</v>
      </c>
      <c r="I5" s="102">
        <v>0</v>
      </c>
      <c r="J5" s="102">
        <v>0</v>
      </c>
      <c r="K5" s="102">
        <v>0</v>
      </c>
      <c r="L5" s="102">
        <v>0</v>
      </c>
      <c r="M5" s="102">
        <v>0</v>
      </c>
      <c r="N5" s="102">
        <v>0</v>
      </c>
      <c r="O5" s="102">
        <v>0</v>
      </c>
      <c r="P5" s="102">
        <v>0</v>
      </c>
      <c r="Q5" s="102">
        <v>0</v>
      </c>
      <c r="R5" s="102">
        <v>0</v>
      </c>
      <c r="S5" s="102">
        <v>0</v>
      </c>
      <c r="T5" s="102">
        <v>0</v>
      </c>
      <c r="U5" s="102">
        <v>0</v>
      </c>
      <c r="V5" s="102">
        <v>0</v>
      </c>
      <c r="W5" s="102">
        <v>0</v>
      </c>
      <c r="X5" s="102">
        <v>0</v>
      </c>
      <c r="Y5" s="102">
        <v>0</v>
      </c>
      <c r="Z5" s="102">
        <v>0</v>
      </c>
      <c r="AA5" s="102">
        <v>0</v>
      </c>
      <c r="AB5" s="102">
        <v>0</v>
      </c>
      <c r="AC5" s="102">
        <v>0</v>
      </c>
    </row>
    <row r="6" spans="1:30" customFormat="1" x14ac:dyDescent="0.15">
      <c r="A6" s="180" t="s">
        <v>196</v>
      </c>
      <c r="B6" s="102">
        <v>0</v>
      </c>
      <c r="C6" s="102">
        <v>0.8</v>
      </c>
      <c r="D6" s="102">
        <v>0.8</v>
      </c>
      <c r="E6" s="102">
        <v>0.8</v>
      </c>
      <c r="F6" s="102">
        <v>0.8</v>
      </c>
      <c r="G6" s="102">
        <v>0</v>
      </c>
      <c r="H6" s="102">
        <v>0</v>
      </c>
      <c r="I6" s="102">
        <v>0</v>
      </c>
      <c r="J6" s="102">
        <v>0.8</v>
      </c>
      <c r="K6" s="102">
        <v>0</v>
      </c>
      <c r="L6" s="102">
        <v>0</v>
      </c>
      <c r="M6" s="102">
        <v>0</v>
      </c>
      <c r="N6" s="102">
        <v>0</v>
      </c>
      <c r="O6" s="102">
        <v>0</v>
      </c>
      <c r="P6" s="102">
        <v>0</v>
      </c>
      <c r="Q6" s="102">
        <v>0</v>
      </c>
      <c r="R6" s="102">
        <v>0</v>
      </c>
      <c r="S6" s="102">
        <v>0</v>
      </c>
      <c r="T6" s="102">
        <v>0</v>
      </c>
      <c r="U6" s="102">
        <v>0</v>
      </c>
      <c r="V6" s="102">
        <v>0</v>
      </c>
      <c r="W6" s="102">
        <v>0</v>
      </c>
      <c r="X6" s="102">
        <v>0.8</v>
      </c>
      <c r="Y6" s="102">
        <v>0</v>
      </c>
      <c r="Z6" s="102">
        <v>0</v>
      </c>
      <c r="AA6" s="102">
        <v>0</v>
      </c>
      <c r="AB6" s="102">
        <v>0</v>
      </c>
      <c r="AC6" s="102">
        <v>0</v>
      </c>
    </row>
    <row r="7" spans="1:30" customFormat="1" x14ac:dyDescent="0.15">
      <c r="A7" s="180" t="s">
        <v>197</v>
      </c>
      <c r="B7" s="102">
        <v>0</v>
      </c>
      <c r="C7" s="102">
        <v>0.8</v>
      </c>
      <c r="D7" s="102">
        <v>0.8</v>
      </c>
      <c r="E7" s="102">
        <v>0</v>
      </c>
      <c r="F7" s="102">
        <v>0</v>
      </c>
      <c r="G7" s="102">
        <v>0</v>
      </c>
      <c r="H7" s="102">
        <v>0</v>
      </c>
      <c r="I7" s="102">
        <v>0</v>
      </c>
      <c r="J7" s="102">
        <v>0</v>
      </c>
      <c r="K7" s="102">
        <v>0</v>
      </c>
      <c r="L7" s="102">
        <v>0</v>
      </c>
      <c r="M7" s="102">
        <v>0</v>
      </c>
      <c r="N7" s="102">
        <v>0</v>
      </c>
      <c r="O7" s="102">
        <v>0</v>
      </c>
      <c r="P7" s="102">
        <v>0</v>
      </c>
      <c r="Q7" s="102">
        <v>0</v>
      </c>
      <c r="R7" s="102">
        <v>0</v>
      </c>
      <c r="S7" s="102">
        <v>0</v>
      </c>
      <c r="T7" s="102">
        <v>0</v>
      </c>
      <c r="U7" s="102">
        <v>0</v>
      </c>
      <c r="V7" s="102">
        <v>0</v>
      </c>
      <c r="W7" s="102">
        <v>0</v>
      </c>
      <c r="X7" s="102">
        <v>0</v>
      </c>
      <c r="Y7" s="102">
        <v>0</v>
      </c>
      <c r="Z7" s="102">
        <v>0</v>
      </c>
      <c r="AA7" s="102">
        <v>0</v>
      </c>
      <c r="AB7" s="102">
        <v>0</v>
      </c>
      <c r="AC7" s="102">
        <v>0</v>
      </c>
    </row>
    <row r="8" spans="1:30" customFormat="1" x14ac:dyDescent="0.15">
      <c r="A8" s="180" t="s">
        <v>198</v>
      </c>
      <c r="B8" s="102">
        <v>0</v>
      </c>
      <c r="C8" s="102">
        <v>0.8</v>
      </c>
      <c r="D8" s="102">
        <v>0.8</v>
      </c>
      <c r="E8" s="102">
        <v>0.8</v>
      </c>
      <c r="F8" s="102">
        <v>0.8</v>
      </c>
      <c r="G8" s="102">
        <v>0</v>
      </c>
      <c r="H8" s="102">
        <v>0</v>
      </c>
      <c r="I8" s="102">
        <v>0</v>
      </c>
      <c r="J8" s="102">
        <v>0</v>
      </c>
      <c r="K8" s="102">
        <v>0</v>
      </c>
      <c r="L8" s="102">
        <v>0</v>
      </c>
      <c r="M8" s="102">
        <v>0</v>
      </c>
      <c r="N8" s="102">
        <v>0</v>
      </c>
      <c r="O8" s="102">
        <v>0</v>
      </c>
      <c r="P8" s="102">
        <v>0</v>
      </c>
      <c r="Q8" s="102">
        <v>0</v>
      </c>
      <c r="R8" s="102">
        <v>0</v>
      </c>
      <c r="S8" s="102">
        <v>0</v>
      </c>
      <c r="T8" s="102">
        <v>0</v>
      </c>
      <c r="U8" s="102">
        <v>0</v>
      </c>
      <c r="V8" s="102">
        <v>0</v>
      </c>
      <c r="W8" s="102">
        <v>0</v>
      </c>
      <c r="X8" s="102">
        <v>0</v>
      </c>
      <c r="Y8" s="102">
        <v>0</v>
      </c>
      <c r="Z8" s="102">
        <v>0</v>
      </c>
      <c r="AA8" s="102">
        <v>0</v>
      </c>
      <c r="AB8" s="102">
        <v>0</v>
      </c>
      <c r="AC8" s="102">
        <v>0</v>
      </c>
    </row>
    <row r="9" spans="1:30" customFormat="1" x14ac:dyDescent="0.15">
      <c r="A9" s="180" t="s">
        <v>199</v>
      </c>
      <c r="B9" s="102">
        <v>0</v>
      </c>
      <c r="C9" s="102">
        <v>0.8</v>
      </c>
      <c r="D9" s="102">
        <v>0.8</v>
      </c>
      <c r="E9" s="102">
        <v>0</v>
      </c>
      <c r="F9" s="102">
        <v>0</v>
      </c>
      <c r="G9" s="102">
        <v>0</v>
      </c>
      <c r="H9" s="102">
        <v>0</v>
      </c>
      <c r="I9" s="102">
        <v>0</v>
      </c>
      <c r="J9" s="102">
        <v>0</v>
      </c>
      <c r="K9" s="102">
        <v>0</v>
      </c>
      <c r="L9" s="102">
        <v>0</v>
      </c>
      <c r="M9" s="102">
        <v>0</v>
      </c>
      <c r="N9" s="102">
        <v>0</v>
      </c>
      <c r="O9" s="102">
        <v>0</v>
      </c>
      <c r="P9" s="102">
        <v>0</v>
      </c>
      <c r="Q9" s="102">
        <v>0</v>
      </c>
      <c r="R9" s="102">
        <v>0</v>
      </c>
      <c r="S9" s="102">
        <v>0</v>
      </c>
      <c r="T9" s="102">
        <v>0</v>
      </c>
      <c r="U9" s="102">
        <v>0</v>
      </c>
      <c r="V9" s="102">
        <v>0</v>
      </c>
      <c r="W9" s="102">
        <v>0</v>
      </c>
      <c r="X9" s="102">
        <v>0</v>
      </c>
      <c r="Y9" s="102">
        <v>0</v>
      </c>
      <c r="Z9" s="102">
        <v>0</v>
      </c>
      <c r="AA9" s="102">
        <v>0</v>
      </c>
      <c r="AB9" s="102">
        <v>0</v>
      </c>
      <c r="AC9" s="102">
        <v>0</v>
      </c>
    </row>
    <row r="10" spans="1:30" customFormat="1" x14ac:dyDescent="0.15">
      <c r="A10" s="180" t="s">
        <v>200</v>
      </c>
      <c r="B10" s="102">
        <v>0</v>
      </c>
      <c r="C10" s="102">
        <v>0</v>
      </c>
      <c r="D10" s="102">
        <v>0</v>
      </c>
      <c r="E10" s="102">
        <v>0</v>
      </c>
      <c r="F10" s="102">
        <v>0</v>
      </c>
      <c r="G10" s="102">
        <v>0</v>
      </c>
      <c r="H10" s="102">
        <v>0</v>
      </c>
      <c r="I10" s="102">
        <v>0</v>
      </c>
      <c r="J10" s="102">
        <v>0</v>
      </c>
      <c r="K10" s="102">
        <v>0</v>
      </c>
      <c r="L10" s="102">
        <v>0</v>
      </c>
      <c r="M10" s="102">
        <v>0</v>
      </c>
      <c r="N10" s="102">
        <v>0</v>
      </c>
      <c r="O10" s="102">
        <v>0</v>
      </c>
      <c r="P10" s="102">
        <v>0</v>
      </c>
      <c r="Q10" s="102">
        <v>0</v>
      </c>
      <c r="R10" s="102">
        <v>0</v>
      </c>
      <c r="S10" s="102">
        <v>0</v>
      </c>
      <c r="T10" s="102">
        <v>0</v>
      </c>
      <c r="U10" s="102">
        <v>0</v>
      </c>
      <c r="V10" s="102">
        <v>0</v>
      </c>
      <c r="W10" s="102">
        <v>0</v>
      </c>
      <c r="X10" s="102">
        <v>0</v>
      </c>
      <c r="Y10" s="102">
        <v>0</v>
      </c>
      <c r="Z10" s="102">
        <v>0</v>
      </c>
      <c r="AA10" s="102">
        <v>0</v>
      </c>
      <c r="AB10" s="102">
        <v>0</v>
      </c>
      <c r="AC10" s="102">
        <v>0</v>
      </c>
    </row>
    <row r="11" spans="1:30" customFormat="1" x14ac:dyDescent="0.15">
      <c r="A11" s="180" t="s">
        <v>201</v>
      </c>
      <c r="B11" s="102">
        <v>0</v>
      </c>
      <c r="C11" s="102">
        <v>0</v>
      </c>
      <c r="D11" s="102">
        <v>0.8</v>
      </c>
      <c r="E11" s="102">
        <v>0.8</v>
      </c>
      <c r="F11" s="102">
        <v>0.8</v>
      </c>
      <c r="G11" s="102">
        <v>0</v>
      </c>
      <c r="H11" s="102">
        <v>0</v>
      </c>
      <c r="I11" s="102">
        <v>0</v>
      </c>
      <c r="J11" s="102">
        <v>0</v>
      </c>
      <c r="K11" s="102">
        <v>0</v>
      </c>
      <c r="L11" s="102">
        <v>0</v>
      </c>
      <c r="M11" s="102">
        <v>0</v>
      </c>
      <c r="N11" s="102">
        <v>0</v>
      </c>
      <c r="O11" s="102">
        <v>0</v>
      </c>
      <c r="P11" s="102">
        <v>0</v>
      </c>
      <c r="Q11" s="102">
        <v>0</v>
      </c>
      <c r="R11" s="102">
        <v>0</v>
      </c>
      <c r="S11" s="102">
        <v>0</v>
      </c>
      <c r="T11" s="102">
        <v>0</v>
      </c>
      <c r="U11" s="102">
        <v>0</v>
      </c>
      <c r="V11" s="102">
        <v>0</v>
      </c>
      <c r="W11" s="102">
        <v>0</v>
      </c>
      <c r="X11" s="102">
        <v>0</v>
      </c>
      <c r="Y11" s="102">
        <v>0</v>
      </c>
      <c r="Z11" s="102">
        <v>0</v>
      </c>
      <c r="AA11" s="102">
        <v>0</v>
      </c>
      <c r="AB11" s="102">
        <v>0</v>
      </c>
      <c r="AC11" s="102">
        <v>0</v>
      </c>
    </row>
    <row r="12" spans="1:30" customFormat="1" x14ac:dyDescent="0.15">
      <c r="A12" s="180" t="s">
        <v>202</v>
      </c>
      <c r="B12" s="102">
        <v>0</v>
      </c>
      <c r="C12" s="102">
        <v>0.8</v>
      </c>
      <c r="D12" s="102">
        <v>0.8</v>
      </c>
      <c r="E12" s="102">
        <v>0</v>
      </c>
      <c r="F12" s="102">
        <v>0</v>
      </c>
      <c r="G12" s="102">
        <v>0</v>
      </c>
      <c r="H12" s="102">
        <v>0</v>
      </c>
      <c r="I12" s="102">
        <v>0</v>
      </c>
      <c r="J12" s="102">
        <v>0</v>
      </c>
      <c r="K12" s="102">
        <v>0</v>
      </c>
      <c r="L12" s="102">
        <v>0</v>
      </c>
      <c r="M12" s="102">
        <v>0</v>
      </c>
      <c r="N12" s="102">
        <v>0</v>
      </c>
      <c r="O12" s="102">
        <v>0</v>
      </c>
      <c r="P12" s="102">
        <v>0</v>
      </c>
      <c r="Q12" s="102">
        <v>0</v>
      </c>
      <c r="R12" s="102">
        <v>0</v>
      </c>
      <c r="S12" s="102">
        <v>0</v>
      </c>
      <c r="T12" s="102">
        <v>0</v>
      </c>
      <c r="U12" s="102">
        <v>0</v>
      </c>
      <c r="V12" s="102">
        <v>0</v>
      </c>
      <c r="W12" s="102">
        <v>0</v>
      </c>
      <c r="X12" s="102">
        <v>0</v>
      </c>
      <c r="Y12" s="102">
        <v>0</v>
      </c>
      <c r="Z12" s="102">
        <v>0</v>
      </c>
      <c r="AA12" s="102">
        <v>0</v>
      </c>
      <c r="AB12" s="102">
        <v>0</v>
      </c>
      <c r="AC12" s="102">
        <v>0</v>
      </c>
    </row>
    <row r="13" spans="1:30" customFormat="1" x14ac:dyDescent="0.15">
      <c r="A13" s="180" t="s">
        <v>203</v>
      </c>
      <c r="B13" s="102">
        <v>0</v>
      </c>
      <c r="C13" s="102">
        <v>0.8</v>
      </c>
      <c r="D13" s="102">
        <v>0.8</v>
      </c>
      <c r="E13" s="102">
        <v>0.8</v>
      </c>
      <c r="F13" s="102">
        <v>0</v>
      </c>
      <c r="G13" s="102">
        <v>0</v>
      </c>
      <c r="H13" s="102">
        <v>0</v>
      </c>
      <c r="I13" s="102">
        <v>0</v>
      </c>
      <c r="J13" s="102">
        <v>0</v>
      </c>
      <c r="K13" s="102">
        <v>0</v>
      </c>
      <c r="L13" s="102">
        <v>0</v>
      </c>
      <c r="M13" s="102">
        <v>0.8</v>
      </c>
      <c r="N13" s="102">
        <v>0</v>
      </c>
      <c r="O13" s="102">
        <v>0</v>
      </c>
      <c r="P13" s="102">
        <v>0</v>
      </c>
      <c r="Q13" s="102">
        <v>0</v>
      </c>
      <c r="R13" s="102">
        <v>0</v>
      </c>
      <c r="S13" s="102">
        <v>0</v>
      </c>
      <c r="T13" s="102">
        <v>0</v>
      </c>
      <c r="U13" s="102">
        <v>0</v>
      </c>
      <c r="V13" s="102">
        <v>0</v>
      </c>
      <c r="W13" s="102">
        <v>0</v>
      </c>
      <c r="X13" s="102">
        <v>0</v>
      </c>
      <c r="Y13" s="102">
        <v>0</v>
      </c>
      <c r="Z13" s="102">
        <v>0</v>
      </c>
      <c r="AA13" s="102">
        <v>0</v>
      </c>
      <c r="AB13" s="102">
        <v>0</v>
      </c>
      <c r="AC13" s="102">
        <v>0</v>
      </c>
    </row>
    <row r="14" spans="1:30" customFormat="1" x14ac:dyDescent="0.15">
      <c r="A14" s="180" t="s">
        <v>204</v>
      </c>
      <c r="B14" s="102">
        <v>0</v>
      </c>
      <c r="C14" s="102">
        <v>0.8</v>
      </c>
      <c r="D14" s="102">
        <v>0</v>
      </c>
      <c r="E14" s="102">
        <v>0</v>
      </c>
      <c r="F14" s="102">
        <v>0</v>
      </c>
      <c r="G14" s="102">
        <v>0</v>
      </c>
      <c r="H14" s="102">
        <v>0</v>
      </c>
      <c r="I14" s="102">
        <v>0</v>
      </c>
      <c r="J14" s="102">
        <v>0</v>
      </c>
      <c r="K14" s="102">
        <v>0</v>
      </c>
      <c r="L14" s="102">
        <v>0</v>
      </c>
      <c r="M14" s="102">
        <v>0</v>
      </c>
      <c r="N14" s="102">
        <v>0</v>
      </c>
      <c r="O14" s="102">
        <v>0</v>
      </c>
      <c r="P14" s="102">
        <v>0</v>
      </c>
      <c r="Q14" s="102">
        <v>0</v>
      </c>
      <c r="R14" s="102">
        <v>0</v>
      </c>
      <c r="S14" s="102">
        <v>0</v>
      </c>
      <c r="T14" s="102">
        <v>0</v>
      </c>
      <c r="U14" s="102">
        <v>0</v>
      </c>
      <c r="V14" s="102">
        <v>0</v>
      </c>
      <c r="W14" s="102">
        <v>0</v>
      </c>
      <c r="X14" s="102">
        <v>0</v>
      </c>
      <c r="Y14" s="102">
        <v>0</v>
      </c>
      <c r="Z14" s="102">
        <v>0</v>
      </c>
      <c r="AA14" s="102">
        <v>0</v>
      </c>
      <c r="AB14" s="102">
        <v>0</v>
      </c>
      <c r="AC14" s="102">
        <v>0</v>
      </c>
    </row>
    <row r="15" spans="1:30" customFormat="1" x14ac:dyDescent="0.15">
      <c r="A15" s="180" t="s">
        <v>205</v>
      </c>
      <c r="B15" s="102">
        <v>0</v>
      </c>
      <c r="C15" s="102">
        <v>0</v>
      </c>
      <c r="D15" s="102">
        <v>0</v>
      </c>
      <c r="E15" s="102">
        <v>0</v>
      </c>
      <c r="F15" s="102">
        <v>0</v>
      </c>
      <c r="G15" s="102">
        <v>0</v>
      </c>
      <c r="H15" s="102">
        <v>0</v>
      </c>
      <c r="I15" s="102">
        <v>0</v>
      </c>
      <c r="J15" s="102">
        <v>0</v>
      </c>
      <c r="K15" s="102">
        <v>0</v>
      </c>
      <c r="L15" s="102">
        <v>0</v>
      </c>
      <c r="M15" s="102">
        <v>0</v>
      </c>
      <c r="N15" s="102">
        <v>0</v>
      </c>
      <c r="O15" s="102">
        <v>0</v>
      </c>
      <c r="P15" s="102">
        <v>0</v>
      </c>
      <c r="Q15" s="102">
        <v>0</v>
      </c>
      <c r="R15" s="102">
        <v>0.8</v>
      </c>
      <c r="S15" s="102">
        <v>0</v>
      </c>
      <c r="T15" s="102">
        <v>0.8</v>
      </c>
      <c r="U15" s="102">
        <v>0.8</v>
      </c>
      <c r="V15" s="102">
        <v>0</v>
      </c>
      <c r="W15" s="102">
        <v>0</v>
      </c>
      <c r="X15" s="102">
        <v>0.8</v>
      </c>
      <c r="Y15" s="102">
        <v>0.8</v>
      </c>
      <c r="Z15" s="102">
        <v>0</v>
      </c>
      <c r="AA15" s="102">
        <v>0</v>
      </c>
      <c r="AB15" s="102">
        <v>0</v>
      </c>
      <c r="AC15" s="102">
        <v>0</v>
      </c>
    </row>
    <row r="16" spans="1:30" customFormat="1" x14ac:dyDescent="0.15">
      <c r="A16" s="180" t="s">
        <v>206</v>
      </c>
      <c r="B16" s="102">
        <v>0</v>
      </c>
      <c r="C16" s="102">
        <v>0</v>
      </c>
      <c r="D16" s="102">
        <v>0</v>
      </c>
      <c r="E16" s="102">
        <v>0</v>
      </c>
      <c r="F16" s="102">
        <v>0</v>
      </c>
      <c r="G16" s="102">
        <v>0</v>
      </c>
      <c r="H16" s="102">
        <v>0</v>
      </c>
      <c r="I16" s="102">
        <v>0</v>
      </c>
      <c r="J16" s="102">
        <v>0.8</v>
      </c>
      <c r="K16" s="102">
        <v>0.8</v>
      </c>
      <c r="L16" s="102">
        <v>0</v>
      </c>
      <c r="M16" s="102">
        <v>0.8</v>
      </c>
      <c r="N16" s="102">
        <v>0.8</v>
      </c>
      <c r="O16" s="102">
        <v>0</v>
      </c>
      <c r="P16" s="102">
        <v>0.8</v>
      </c>
      <c r="Q16" s="102">
        <v>0.8</v>
      </c>
      <c r="R16" s="102">
        <v>0</v>
      </c>
      <c r="S16" s="102">
        <v>0</v>
      </c>
      <c r="T16" s="102">
        <v>0.8</v>
      </c>
      <c r="U16" s="102">
        <v>0.8</v>
      </c>
      <c r="V16" s="102">
        <v>0.8</v>
      </c>
      <c r="W16" s="102">
        <v>0.8</v>
      </c>
      <c r="X16" s="102">
        <v>0.8</v>
      </c>
      <c r="Y16" s="102">
        <v>0.8</v>
      </c>
      <c r="Z16" s="102">
        <v>0</v>
      </c>
      <c r="AA16" s="102">
        <v>0</v>
      </c>
      <c r="AB16" s="102">
        <v>0</v>
      </c>
      <c r="AC16" s="102">
        <v>0</v>
      </c>
    </row>
    <row r="17" spans="1:29" customFormat="1" x14ac:dyDescent="0.15">
      <c r="A17" s="180" t="s">
        <v>207</v>
      </c>
      <c r="B17" s="102">
        <v>0</v>
      </c>
      <c r="C17" s="102">
        <v>0</v>
      </c>
      <c r="D17" s="102">
        <v>0</v>
      </c>
      <c r="E17" s="102">
        <v>0</v>
      </c>
      <c r="F17" s="102">
        <v>0</v>
      </c>
      <c r="G17" s="102">
        <v>0</v>
      </c>
      <c r="H17" s="102">
        <v>0</v>
      </c>
      <c r="I17" s="102">
        <v>0</v>
      </c>
      <c r="J17" s="102">
        <v>0</v>
      </c>
      <c r="K17" s="102">
        <v>0</v>
      </c>
      <c r="L17" s="102">
        <v>0</v>
      </c>
      <c r="M17" s="102">
        <v>0.8</v>
      </c>
      <c r="N17" s="102">
        <v>0</v>
      </c>
      <c r="O17" s="102">
        <v>0</v>
      </c>
      <c r="P17" s="102">
        <v>0</v>
      </c>
      <c r="Q17" s="102">
        <v>0.8</v>
      </c>
      <c r="R17" s="102">
        <v>0</v>
      </c>
      <c r="S17" s="102">
        <v>0</v>
      </c>
      <c r="T17" s="102">
        <v>0.8</v>
      </c>
      <c r="U17" s="102">
        <v>0</v>
      </c>
      <c r="V17" s="102">
        <v>0</v>
      </c>
      <c r="W17" s="102">
        <v>0</v>
      </c>
      <c r="X17" s="102">
        <v>0.8</v>
      </c>
      <c r="Y17" s="102">
        <v>0</v>
      </c>
      <c r="Z17" s="102">
        <v>0</v>
      </c>
      <c r="AA17" s="102">
        <v>0</v>
      </c>
      <c r="AB17" s="102">
        <v>0</v>
      </c>
      <c r="AC17" s="102">
        <v>0</v>
      </c>
    </row>
    <row r="18" spans="1:29" customFormat="1" x14ac:dyDescent="0.15">
      <c r="A18" s="180" t="s">
        <v>208</v>
      </c>
      <c r="B18" s="102">
        <v>0</v>
      </c>
      <c r="C18" s="102">
        <v>0</v>
      </c>
      <c r="D18" s="102">
        <v>0</v>
      </c>
      <c r="E18" s="102">
        <v>0</v>
      </c>
      <c r="F18" s="102">
        <v>0</v>
      </c>
      <c r="G18" s="102">
        <v>0</v>
      </c>
      <c r="H18" s="102">
        <v>0</v>
      </c>
      <c r="I18" s="102">
        <v>0</v>
      </c>
      <c r="J18" s="102">
        <v>0</v>
      </c>
      <c r="K18" s="102">
        <v>0</v>
      </c>
      <c r="L18" s="102">
        <v>0</v>
      </c>
      <c r="M18" s="102">
        <v>0</v>
      </c>
      <c r="N18" s="102">
        <v>0</v>
      </c>
      <c r="O18" s="102">
        <v>0</v>
      </c>
      <c r="P18" s="102">
        <v>0.8</v>
      </c>
      <c r="Q18" s="102">
        <v>0</v>
      </c>
      <c r="R18" s="102">
        <v>0.8</v>
      </c>
      <c r="S18" s="102">
        <v>0</v>
      </c>
      <c r="T18" s="102">
        <v>0.8</v>
      </c>
      <c r="U18" s="102">
        <v>0</v>
      </c>
      <c r="V18" s="102">
        <v>0.8</v>
      </c>
      <c r="W18" s="102">
        <v>0</v>
      </c>
      <c r="X18" s="102">
        <v>0.8</v>
      </c>
      <c r="Y18" s="102">
        <v>0</v>
      </c>
      <c r="Z18" s="102">
        <v>0</v>
      </c>
      <c r="AA18" s="102">
        <v>0</v>
      </c>
      <c r="AB18" s="102">
        <v>0</v>
      </c>
      <c r="AC18" s="102">
        <v>0</v>
      </c>
    </row>
    <row r="19" spans="1:29" customFormat="1" x14ac:dyDescent="0.15">
      <c r="A19" s="180" t="s">
        <v>209</v>
      </c>
      <c r="B19" s="102">
        <v>0</v>
      </c>
      <c r="C19" s="102">
        <v>0</v>
      </c>
      <c r="D19" s="102">
        <v>0</v>
      </c>
      <c r="E19" s="102">
        <v>0</v>
      </c>
      <c r="F19" s="102">
        <v>0</v>
      </c>
      <c r="G19" s="102">
        <v>0</v>
      </c>
      <c r="H19" s="102">
        <v>0</v>
      </c>
      <c r="I19" s="102">
        <v>0</v>
      </c>
      <c r="J19" s="102">
        <v>0</v>
      </c>
      <c r="K19" s="102">
        <v>0</v>
      </c>
      <c r="L19" s="102">
        <v>0</v>
      </c>
      <c r="M19" s="102">
        <v>0</v>
      </c>
      <c r="N19" s="102">
        <v>0.8</v>
      </c>
      <c r="O19" s="102">
        <v>0</v>
      </c>
      <c r="P19" s="102">
        <v>0.8</v>
      </c>
      <c r="Q19" s="102">
        <v>0</v>
      </c>
      <c r="R19" s="102">
        <v>0.8</v>
      </c>
      <c r="S19" s="102">
        <v>0</v>
      </c>
      <c r="T19" s="102">
        <v>0.8</v>
      </c>
      <c r="U19" s="102">
        <v>0</v>
      </c>
      <c r="V19" s="102">
        <v>0.8</v>
      </c>
      <c r="W19" s="102">
        <v>0</v>
      </c>
      <c r="X19" s="102">
        <v>0</v>
      </c>
      <c r="Y19" s="102">
        <v>0.8</v>
      </c>
      <c r="Z19" s="102">
        <v>0</v>
      </c>
      <c r="AA19" s="102">
        <v>0</v>
      </c>
      <c r="AB19" s="102">
        <v>0</v>
      </c>
      <c r="AC19" s="102">
        <v>0</v>
      </c>
    </row>
    <row r="20" spans="1:29" customFormat="1" x14ac:dyDescent="0.15">
      <c r="A20" s="180" t="s">
        <v>210</v>
      </c>
      <c r="B20" s="102">
        <v>0.8</v>
      </c>
      <c r="C20" s="102">
        <v>0</v>
      </c>
      <c r="D20" s="102">
        <v>0</v>
      </c>
      <c r="E20" s="102">
        <v>0</v>
      </c>
      <c r="F20" s="102">
        <v>0.8</v>
      </c>
      <c r="G20" s="102">
        <v>0.8</v>
      </c>
      <c r="H20" s="102">
        <v>0.8</v>
      </c>
      <c r="I20" s="102">
        <v>0.8</v>
      </c>
      <c r="J20" s="102">
        <v>0</v>
      </c>
      <c r="K20" s="102">
        <v>0.8</v>
      </c>
      <c r="L20" s="102">
        <v>0.8</v>
      </c>
      <c r="M20" s="102">
        <v>0</v>
      </c>
      <c r="N20" s="102">
        <v>0</v>
      </c>
      <c r="O20" s="102">
        <v>0</v>
      </c>
      <c r="P20" s="102">
        <v>0</v>
      </c>
      <c r="Q20" s="102">
        <v>0</v>
      </c>
      <c r="R20" s="102">
        <v>0</v>
      </c>
      <c r="S20" s="102">
        <v>0</v>
      </c>
      <c r="T20" s="102">
        <v>0</v>
      </c>
      <c r="U20" s="102">
        <v>0.8</v>
      </c>
      <c r="V20" s="102">
        <v>0</v>
      </c>
      <c r="W20" s="102">
        <v>0</v>
      </c>
      <c r="X20" s="102">
        <v>0.8</v>
      </c>
      <c r="Y20" s="102">
        <v>0.8</v>
      </c>
      <c r="Z20" s="102">
        <v>0.8</v>
      </c>
      <c r="AA20" s="102">
        <v>0</v>
      </c>
      <c r="AB20" s="102">
        <v>0</v>
      </c>
      <c r="AC20" s="102">
        <v>0</v>
      </c>
    </row>
    <row r="21" spans="1:29" customFormat="1" x14ac:dyDescent="0.15">
      <c r="A21" s="180" t="s">
        <v>211</v>
      </c>
      <c r="B21" s="102">
        <v>0</v>
      </c>
      <c r="C21" s="102">
        <v>0</v>
      </c>
      <c r="D21" s="102">
        <v>0</v>
      </c>
      <c r="E21" s="102">
        <v>0</v>
      </c>
      <c r="F21" s="102">
        <v>0.8</v>
      </c>
      <c r="G21" s="102">
        <v>0.8</v>
      </c>
      <c r="H21" s="102">
        <v>0.8</v>
      </c>
      <c r="I21" s="102">
        <v>0.8</v>
      </c>
      <c r="J21" s="102">
        <v>0</v>
      </c>
      <c r="K21" s="102">
        <v>0</v>
      </c>
      <c r="L21" s="102">
        <v>0</v>
      </c>
      <c r="M21" s="102">
        <v>0</v>
      </c>
      <c r="N21" s="102">
        <v>0</v>
      </c>
      <c r="O21" s="102">
        <v>0</v>
      </c>
      <c r="P21" s="102">
        <v>0</v>
      </c>
      <c r="Q21" s="102">
        <v>0</v>
      </c>
      <c r="R21" s="102">
        <v>0</v>
      </c>
      <c r="S21" s="102">
        <v>0</v>
      </c>
      <c r="T21" s="102">
        <v>0</v>
      </c>
      <c r="U21" s="102">
        <v>0</v>
      </c>
      <c r="V21" s="102">
        <v>0</v>
      </c>
      <c r="W21" s="102">
        <v>0</v>
      </c>
      <c r="X21" s="102">
        <v>0.8</v>
      </c>
      <c r="Y21" s="102">
        <v>0.8</v>
      </c>
      <c r="Z21" s="102">
        <v>0.8</v>
      </c>
      <c r="AA21" s="102">
        <v>0</v>
      </c>
      <c r="AB21" s="102">
        <v>0</v>
      </c>
      <c r="AC21" s="102">
        <v>0</v>
      </c>
    </row>
    <row r="22" spans="1:29" customFormat="1" x14ac:dyDescent="0.15">
      <c r="A22" s="180" t="s">
        <v>212</v>
      </c>
      <c r="B22" s="102">
        <v>0</v>
      </c>
      <c r="C22" s="102">
        <v>0</v>
      </c>
      <c r="D22" s="102">
        <v>0</v>
      </c>
      <c r="E22" s="102">
        <v>0.8</v>
      </c>
      <c r="F22" s="102">
        <v>0.8</v>
      </c>
      <c r="G22" s="102">
        <v>0.8</v>
      </c>
      <c r="H22" s="102">
        <v>0.8</v>
      </c>
      <c r="I22" s="102">
        <v>0.8</v>
      </c>
      <c r="J22" s="102">
        <v>0.8</v>
      </c>
      <c r="K22" s="102">
        <v>0.8</v>
      </c>
      <c r="L22" s="102">
        <v>0.8</v>
      </c>
      <c r="M22" s="102">
        <v>0.8</v>
      </c>
      <c r="N22" s="102">
        <v>0.8</v>
      </c>
      <c r="O22" s="102">
        <v>0</v>
      </c>
      <c r="P22" s="102">
        <v>0</v>
      </c>
      <c r="Q22" s="102">
        <v>0</v>
      </c>
      <c r="R22" s="102">
        <v>0</v>
      </c>
      <c r="S22" s="102">
        <v>0</v>
      </c>
      <c r="T22" s="102">
        <v>0.8</v>
      </c>
      <c r="U22" s="102">
        <v>0.8</v>
      </c>
      <c r="V22" s="102">
        <v>0</v>
      </c>
      <c r="W22" s="102">
        <v>0</v>
      </c>
      <c r="X22" s="102">
        <v>0.8</v>
      </c>
      <c r="Y22" s="102">
        <v>0.8</v>
      </c>
      <c r="Z22" s="102">
        <v>0.8</v>
      </c>
      <c r="AA22" s="102">
        <v>0</v>
      </c>
      <c r="AB22" s="102">
        <v>0</v>
      </c>
      <c r="AC22" s="102">
        <v>0</v>
      </c>
    </row>
    <row r="23" spans="1:29" customFormat="1" x14ac:dyDescent="0.15">
      <c r="A23" s="180" t="s">
        <v>213</v>
      </c>
      <c r="B23" s="102">
        <v>0</v>
      </c>
      <c r="C23" s="102">
        <v>0</v>
      </c>
      <c r="D23" s="102">
        <v>0</v>
      </c>
      <c r="E23" s="102">
        <v>0.8</v>
      </c>
      <c r="F23" s="102">
        <v>0.8</v>
      </c>
      <c r="G23" s="102">
        <v>0.8</v>
      </c>
      <c r="H23" s="102">
        <v>0.8</v>
      </c>
      <c r="I23" s="102">
        <v>0.8</v>
      </c>
      <c r="J23" s="102">
        <v>0.8</v>
      </c>
      <c r="K23" s="102">
        <v>0.8</v>
      </c>
      <c r="L23" s="102">
        <v>0.8</v>
      </c>
      <c r="M23" s="102">
        <v>0.8</v>
      </c>
      <c r="N23" s="102">
        <v>0</v>
      </c>
      <c r="O23" s="102">
        <v>0</v>
      </c>
      <c r="P23" s="102">
        <v>0</v>
      </c>
      <c r="Q23" s="102">
        <v>0</v>
      </c>
      <c r="R23" s="102">
        <v>0</v>
      </c>
      <c r="S23" s="102">
        <v>0</v>
      </c>
      <c r="T23" s="102">
        <v>0</v>
      </c>
      <c r="U23" s="102">
        <v>0</v>
      </c>
      <c r="V23" s="102">
        <v>0</v>
      </c>
      <c r="W23" s="102">
        <v>0</v>
      </c>
      <c r="X23" s="102">
        <v>0.8</v>
      </c>
      <c r="Y23" s="102">
        <v>0.8</v>
      </c>
      <c r="Z23" s="102">
        <v>0.8</v>
      </c>
      <c r="AA23" s="102">
        <v>0</v>
      </c>
      <c r="AB23" s="102">
        <v>0</v>
      </c>
      <c r="AC23" s="102">
        <v>0</v>
      </c>
    </row>
    <row r="24" spans="1:29" customFormat="1" x14ac:dyDescent="0.15">
      <c r="A24" s="180" t="s">
        <v>214</v>
      </c>
      <c r="B24" s="102">
        <v>0.8</v>
      </c>
      <c r="C24" s="102">
        <v>0</v>
      </c>
      <c r="D24" s="102">
        <v>0.8</v>
      </c>
      <c r="E24" s="102">
        <v>0.8</v>
      </c>
      <c r="F24" s="102">
        <v>0.8</v>
      </c>
      <c r="G24" s="102">
        <v>0.8</v>
      </c>
      <c r="H24" s="102">
        <v>0.8</v>
      </c>
      <c r="I24" s="102">
        <v>0</v>
      </c>
      <c r="J24" s="102">
        <v>0.8</v>
      </c>
      <c r="K24" s="102">
        <v>0.8</v>
      </c>
      <c r="L24" s="102">
        <v>0.8</v>
      </c>
      <c r="M24" s="102">
        <v>0</v>
      </c>
      <c r="N24" s="102">
        <v>0</v>
      </c>
      <c r="O24" s="102">
        <v>0</v>
      </c>
      <c r="P24" s="102">
        <v>0</v>
      </c>
      <c r="Q24" s="102">
        <v>0</v>
      </c>
      <c r="R24" s="102">
        <v>0</v>
      </c>
      <c r="S24" s="102">
        <v>0</v>
      </c>
      <c r="T24" s="102">
        <v>0</v>
      </c>
      <c r="U24" s="102">
        <v>0</v>
      </c>
      <c r="V24" s="102">
        <v>0</v>
      </c>
      <c r="W24" s="102">
        <v>0</v>
      </c>
      <c r="X24" s="102">
        <v>0.8</v>
      </c>
      <c r="Y24" s="102">
        <v>0</v>
      </c>
      <c r="Z24" s="102">
        <v>0.8</v>
      </c>
      <c r="AA24" s="102">
        <v>0</v>
      </c>
      <c r="AB24" s="102">
        <v>0</v>
      </c>
      <c r="AC24" s="102">
        <v>0</v>
      </c>
    </row>
    <row r="25" spans="1:29" customFormat="1" x14ac:dyDescent="0.15">
      <c r="A25" s="180" t="s">
        <v>215</v>
      </c>
      <c r="B25" s="102">
        <v>0</v>
      </c>
      <c r="C25" s="102">
        <v>0</v>
      </c>
      <c r="D25" s="102">
        <v>0.8</v>
      </c>
      <c r="E25" s="102">
        <v>0</v>
      </c>
      <c r="F25" s="102">
        <v>0.8</v>
      </c>
      <c r="G25" s="102">
        <v>0.8</v>
      </c>
      <c r="H25" s="102">
        <v>0.8</v>
      </c>
      <c r="I25" s="102">
        <v>0.8</v>
      </c>
      <c r="J25" s="102">
        <v>0.8</v>
      </c>
      <c r="K25" s="102">
        <v>0.8</v>
      </c>
      <c r="L25" s="102">
        <v>0.8</v>
      </c>
      <c r="M25" s="102">
        <v>0</v>
      </c>
      <c r="N25" s="102">
        <v>0</v>
      </c>
      <c r="O25" s="102">
        <v>0</v>
      </c>
      <c r="P25" s="102">
        <v>0</v>
      </c>
      <c r="Q25" s="102">
        <v>0</v>
      </c>
      <c r="R25" s="102">
        <v>0</v>
      </c>
      <c r="S25" s="102">
        <v>0</v>
      </c>
      <c r="T25" s="102">
        <v>0</v>
      </c>
      <c r="U25" s="102">
        <v>0.8</v>
      </c>
      <c r="V25" s="102">
        <v>0</v>
      </c>
      <c r="W25" s="102">
        <v>0.8</v>
      </c>
      <c r="X25" s="102">
        <v>0.8</v>
      </c>
      <c r="Y25" s="102">
        <v>0.8</v>
      </c>
      <c r="Z25" s="102">
        <v>0.8</v>
      </c>
      <c r="AA25" s="102">
        <v>0</v>
      </c>
      <c r="AB25" s="102">
        <v>0</v>
      </c>
      <c r="AC25" s="102">
        <v>0</v>
      </c>
    </row>
    <row r="26" spans="1:29" customFormat="1" x14ac:dyDescent="0.15">
      <c r="A26" s="180" t="s">
        <v>216</v>
      </c>
      <c r="B26" s="102">
        <v>0.8</v>
      </c>
      <c r="C26" s="102">
        <v>0</v>
      </c>
      <c r="D26" s="102">
        <v>0</v>
      </c>
      <c r="E26" s="102">
        <v>0.8</v>
      </c>
      <c r="F26" s="102">
        <v>0.8</v>
      </c>
      <c r="G26" s="102">
        <v>0.8</v>
      </c>
      <c r="H26" s="102">
        <v>0.8</v>
      </c>
      <c r="I26" s="102">
        <v>0</v>
      </c>
      <c r="J26" s="102">
        <v>0</v>
      </c>
      <c r="K26" s="102">
        <v>0.8</v>
      </c>
      <c r="L26" s="102">
        <v>0.8</v>
      </c>
      <c r="M26" s="102">
        <v>0.8</v>
      </c>
      <c r="N26" s="102">
        <v>0</v>
      </c>
      <c r="O26" s="102">
        <v>0</v>
      </c>
      <c r="P26" s="102">
        <v>0</v>
      </c>
      <c r="Q26" s="102">
        <v>0</v>
      </c>
      <c r="R26" s="102">
        <v>0</v>
      </c>
      <c r="S26" s="102">
        <v>0</v>
      </c>
      <c r="T26" s="102">
        <v>0</v>
      </c>
      <c r="U26" s="102">
        <v>0</v>
      </c>
      <c r="V26" s="102">
        <v>0</v>
      </c>
      <c r="W26" s="102">
        <v>0</v>
      </c>
      <c r="X26" s="102">
        <v>0.8</v>
      </c>
      <c r="Y26" s="102">
        <v>0.8</v>
      </c>
      <c r="Z26" s="102">
        <v>0.8</v>
      </c>
      <c r="AA26" s="102">
        <v>0</v>
      </c>
      <c r="AB26" s="102">
        <v>0</v>
      </c>
      <c r="AC26" s="102">
        <v>0</v>
      </c>
    </row>
    <row r="27" spans="1:29" customFormat="1" x14ac:dyDescent="0.15">
      <c r="A27" s="180" t="s">
        <v>217</v>
      </c>
      <c r="B27" s="102">
        <v>0</v>
      </c>
      <c r="C27" s="102">
        <v>0</v>
      </c>
      <c r="D27" s="102">
        <v>0</v>
      </c>
      <c r="E27" s="102">
        <v>0.8</v>
      </c>
      <c r="F27" s="102">
        <v>0.8</v>
      </c>
      <c r="G27" s="102">
        <v>0.8</v>
      </c>
      <c r="H27" s="102">
        <v>0.8</v>
      </c>
      <c r="I27" s="102">
        <v>0.8</v>
      </c>
      <c r="J27" s="102">
        <v>0.8</v>
      </c>
      <c r="K27" s="102">
        <v>0.8</v>
      </c>
      <c r="L27" s="102">
        <v>0.8</v>
      </c>
      <c r="M27" s="102">
        <v>0</v>
      </c>
      <c r="N27" s="102">
        <v>0.8</v>
      </c>
      <c r="O27" s="102">
        <v>0</v>
      </c>
      <c r="P27" s="102">
        <v>0</v>
      </c>
      <c r="Q27" s="102">
        <v>0.8</v>
      </c>
      <c r="R27" s="102">
        <v>0</v>
      </c>
      <c r="S27" s="102">
        <v>0</v>
      </c>
      <c r="T27" s="102">
        <v>0</v>
      </c>
      <c r="U27" s="102">
        <v>0.8</v>
      </c>
      <c r="V27" s="102">
        <v>0.8</v>
      </c>
      <c r="W27" s="102">
        <v>0.8</v>
      </c>
      <c r="X27" s="102">
        <v>0.8</v>
      </c>
      <c r="Y27" s="102">
        <v>0.8</v>
      </c>
      <c r="Z27" s="102">
        <v>0.8</v>
      </c>
      <c r="AA27" s="102">
        <v>0</v>
      </c>
      <c r="AB27" s="102">
        <v>0</v>
      </c>
      <c r="AC27" s="102">
        <v>0</v>
      </c>
    </row>
    <row r="28" spans="1:29" customFormat="1" x14ac:dyDescent="0.15">
      <c r="A28" s="180" t="s">
        <v>218</v>
      </c>
      <c r="B28" s="102">
        <v>0</v>
      </c>
      <c r="C28" s="102">
        <v>0</v>
      </c>
      <c r="D28" s="102">
        <v>0</v>
      </c>
      <c r="E28" s="102">
        <v>0</v>
      </c>
      <c r="F28" s="102">
        <v>0</v>
      </c>
      <c r="G28" s="102">
        <v>0</v>
      </c>
      <c r="H28" s="102">
        <v>0</v>
      </c>
      <c r="I28" s="102">
        <v>0</v>
      </c>
      <c r="J28" s="102">
        <v>0.8</v>
      </c>
      <c r="K28" s="102">
        <v>0</v>
      </c>
      <c r="L28" s="102">
        <v>0.8</v>
      </c>
      <c r="M28" s="102">
        <v>0</v>
      </c>
      <c r="N28" s="102">
        <v>0</v>
      </c>
      <c r="O28" s="102">
        <v>0.8</v>
      </c>
      <c r="P28" s="102">
        <v>0</v>
      </c>
      <c r="Q28" s="102">
        <v>0</v>
      </c>
      <c r="R28" s="102">
        <v>0.8</v>
      </c>
      <c r="S28" s="102">
        <v>0</v>
      </c>
      <c r="T28" s="102">
        <v>0.8</v>
      </c>
      <c r="U28" s="102">
        <v>0.8</v>
      </c>
      <c r="V28" s="102">
        <v>0.8</v>
      </c>
      <c r="W28" s="102">
        <v>0.8</v>
      </c>
      <c r="X28" s="102">
        <v>0.8</v>
      </c>
      <c r="Y28" s="102">
        <v>0.8</v>
      </c>
      <c r="Z28" s="102">
        <v>0.8</v>
      </c>
      <c r="AA28" s="102">
        <v>0</v>
      </c>
      <c r="AB28" s="102">
        <v>0</v>
      </c>
      <c r="AC28" s="102">
        <v>0</v>
      </c>
    </row>
    <row r="29" spans="1:29" customFormat="1" x14ac:dyDescent="0.15">
      <c r="A29" s="180" t="s">
        <v>219</v>
      </c>
      <c r="B29" s="102">
        <v>0</v>
      </c>
      <c r="C29" s="102">
        <v>0</v>
      </c>
      <c r="D29" s="102">
        <v>0</v>
      </c>
      <c r="E29" s="102">
        <v>0</v>
      </c>
      <c r="F29" s="102">
        <v>0</v>
      </c>
      <c r="G29" s="102">
        <v>0</v>
      </c>
      <c r="H29" s="102">
        <v>0</v>
      </c>
      <c r="I29" s="102">
        <v>0</v>
      </c>
      <c r="J29" s="102">
        <v>0</v>
      </c>
      <c r="K29" s="102">
        <v>0</v>
      </c>
      <c r="L29" s="102">
        <v>0</v>
      </c>
      <c r="M29" s="102">
        <v>0</v>
      </c>
      <c r="N29" s="102">
        <v>0</v>
      </c>
      <c r="O29" s="102">
        <v>0</v>
      </c>
      <c r="P29" s="102">
        <v>0</v>
      </c>
      <c r="Q29" s="102">
        <v>0</v>
      </c>
      <c r="R29" s="102">
        <v>0</v>
      </c>
      <c r="S29" s="102">
        <v>0</v>
      </c>
      <c r="T29" s="102">
        <v>0</v>
      </c>
      <c r="U29" s="102">
        <v>0</v>
      </c>
      <c r="V29" s="102">
        <v>0</v>
      </c>
      <c r="W29" s="102">
        <v>0</v>
      </c>
      <c r="X29" s="102">
        <v>0</v>
      </c>
      <c r="Y29" s="102">
        <v>0</v>
      </c>
      <c r="Z29" s="102">
        <v>0</v>
      </c>
      <c r="AA29" s="102">
        <v>0</v>
      </c>
      <c r="AB29" s="102">
        <v>0</v>
      </c>
      <c r="AC29" s="102">
        <v>0</v>
      </c>
    </row>
    <row r="30" spans="1:29" customFormat="1" x14ac:dyDescent="0.15">
      <c r="A30" s="180" t="s">
        <v>221</v>
      </c>
      <c r="B30" s="102">
        <v>0</v>
      </c>
      <c r="C30" s="102">
        <v>0.8</v>
      </c>
      <c r="D30" s="102">
        <v>0.8</v>
      </c>
      <c r="E30" s="102">
        <v>0.8</v>
      </c>
      <c r="F30" s="102">
        <v>0.8</v>
      </c>
      <c r="G30" s="102">
        <v>0.8</v>
      </c>
      <c r="H30" s="102">
        <v>0.8</v>
      </c>
      <c r="I30" s="102">
        <v>0</v>
      </c>
      <c r="J30" s="102">
        <v>0.8</v>
      </c>
      <c r="K30" s="102">
        <v>0.8</v>
      </c>
      <c r="L30" s="102">
        <v>0.8</v>
      </c>
      <c r="M30" s="102">
        <v>0.8</v>
      </c>
      <c r="N30" s="102">
        <v>0.8</v>
      </c>
      <c r="O30" s="102">
        <v>0</v>
      </c>
      <c r="P30" s="102">
        <v>0.8</v>
      </c>
      <c r="Q30" s="102">
        <v>0.8</v>
      </c>
      <c r="R30" s="102">
        <v>0.8</v>
      </c>
      <c r="S30" s="102">
        <v>0</v>
      </c>
      <c r="T30" s="102">
        <v>0.8</v>
      </c>
      <c r="U30" s="102">
        <v>0.8</v>
      </c>
      <c r="V30" s="102">
        <v>0.8</v>
      </c>
      <c r="W30" s="102">
        <v>0.8</v>
      </c>
      <c r="X30" s="102">
        <v>0.8</v>
      </c>
      <c r="Y30" s="102">
        <v>0</v>
      </c>
      <c r="Z30" s="102">
        <v>0</v>
      </c>
      <c r="AA30" s="102">
        <v>0</v>
      </c>
      <c r="AB30" s="102">
        <v>0</v>
      </c>
      <c r="AC30" s="102">
        <v>0</v>
      </c>
    </row>
    <row r="31" spans="1:29" customFormat="1" x14ac:dyDescent="0.15"/>
    <row r="32" spans="1:29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1"/>
  <sheetViews>
    <sheetView workbookViewId="0">
      <selection activeCell="A3" sqref="A3"/>
    </sheetView>
  </sheetViews>
  <sheetFormatPr baseColWidth="10" defaultRowHeight="13" x14ac:dyDescent="0.15"/>
  <cols>
    <col min="1" max="1" width="21.6640625" style="102" bestFit="1" customWidth="1"/>
    <col min="2" max="29" width="2.33203125" style="102" customWidth="1"/>
    <col min="30" max="16384" width="10.83203125" style="102"/>
  </cols>
  <sheetData>
    <row r="1" spans="1:31" x14ac:dyDescent="0.15">
      <c r="A1" s="60" t="s">
        <v>139</v>
      </c>
      <c r="B1" s="183" t="s">
        <v>192</v>
      </c>
      <c r="C1" s="183" t="s">
        <v>193</v>
      </c>
      <c r="D1" s="183" t="s">
        <v>194</v>
      </c>
      <c r="E1" s="183" t="s">
        <v>195</v>
      </c>
      <c r="F1" s="183" t="s">
        <v>196</v>
      </c>
      <c r="G1" s="183" t="s">
        <v>197</v>
      </c>
      <c r="H1" s="183" t="s">
        <v>198</v>
      </c>
      <c r="I1" s="183" t="s">
        <v>199</v>
      </c>
      <c r="J1" s="183" t="s">
        <v>200</v>
      </c>
      <c r="K1" s="183" t="s">
        <v>201</v>
      </c>
      <c r="L1" s="183" t="s">
        <v>202</v>
      </c>
      <c r="M1" s="183" t="s">
        <v>203</v>
      </c>
      <c r="N1" s="183" t="s">
        <v>204</v>
      </c>
      <c r="O1" s="183" t="s">
        <v>205</v>
      </c>
      <c r="P1" s="183" t="s">
        <v>206</v>
      </c>
      <c r="Q1" s="183" t="s">
        <v>207</v>
      </c>
      <c r="R1" s="183" t="s">
        <v>208</v>
      </c>
      <c r="S1" s="183" t="s">
        <v>209</v>
      </c>
      <c r="T1" s="183" t="s">
        <v>210</v>
      </c>
      <c r="U1" s="183" t="s">
        <v>211</v>
      </c>
      <c r="V1" s="183" t="s">
        <v>212</v>
      </c>
      <c r="W1" s="183" t="s">
        <v>213</v>
      </c>
      <c r="X1" s="183" t="s">
        <v>214</v>
      </c>
      <c r="Y1" s="183" t="s">
        <v>215</v>
      </c>
      <c r="Z1" s="183" t="s">
        <v>216</v>
      </c>
      <c r="AA1" s="183" t="s">
        <v>217</v>
      </c>
      <c r="AB1" s="183" t="s">
        <v>218</v>
      </c>
      <c r="AC1" s="183" t="s">
        <v>219</v>
      </c>
      <c r="AD1"/>
      <c r="AE1"/>
    </row>
    <row r="2" spans="1:31" customFormat="1" x14ac:dyDescent="0.15">
      <c r="A2" s="182" t="s">
        <v>192</v>
      </c>
      <c r="B2" s="102">
        <v>0</v>
      </c>
      <c r="C2" s="102">
        <v>0</v>
      </c>
      <c r="D2" s="102">
        <v>1</v>
      </c>
      <c r="E2" s="102">
        <v>1</v>
      </c>
      <c r="F2" s="102">
        <v>1</v>
      </c>
      <c r="G2" s="102">
        <v>0</v>
      </c>
      <c r="H2" s="102">
        <v>1</v>
      </c>
      <c r="I2" s="102">
        <v>0</v>
      </c>
      <c r="J2" s="102">
        <v>0</v>
      </c>
      <c r="K2" s="102">
        <v>0</v>
      </c>
      <c r="L2" s="102">
        <v>0</v>
      </c>
      <c r="M2" s="102">
        <v>0</v>
      </c>
      <c r="N2" s="102">
        <v>0</v>
      </c>
      <c r="O2" s="102">
        <v>0</v>
      </c>
      <c r="P2" s="102">
        <v>0</v>
      </c>
      <c r="Q2" s="102">
        <v>0</v>
      </c>
      <c r="R2" s="102">
        <v>0</v>
      </c>
      <c r="S2" s="102">
        <v>0</v>
      </c>
      <c r="T2" s="102">
        <v>0</v>
      </c>
      <c r="U2" s="102">
        <v>0</v>
      </c>
      <c r="V2" s="102">
        <v>0</v>
      </c>
      <c r="W2" s="102">
        <v>0</v>
      </c>
      <c r="X2" s="102">
        <v>0</v>
      </c>
      <c r="Y2" s="102">
        <v>0</v>
      </c>
      <c r="Z2" s="102">
        <v>0</v>
      </c>
      <c r="AA2" s="102">
        <v>0</v>
      </c>
      <c r="AB2" s="102">
        <v>0</v>
      </c>
      <c r="AC2" s="102">
        <v>0</v>
      </c>
    </row>
    <row r="3" spans="1:31" customFormat="1" x14ac:dyDescent="0.15">
      <c r="A3" s="182" t="s">
        <v>193</v>
      </c>
      <c r="B3" s="102">
        <v>0</v>
      </c>
      <c r="C3" s="102">
        <v>0</v>
      </c>
      <c r="D3" s="102">
        <v>0</v>
      </c>
      <c r="E3" s="102">
        <v>0</v>
      </c>
      <c r="F3" s="102">
        <v>0</v>
      </c>
      <c r="G3" s="102">
        <v>0</v>
      </c>
      <c r="H3" s="102">
        <v>0</v>
      </c>
      <c r="I3" s="102">
        <v>0</v>
      </c>
      <c r="J3" s="102">
        <v>0</v>
      </c>
      <c r="K3" s="102">
        <v>0</v>
      </c>
      <c r="L3" s="102">
        <v>0</v>
      </c>
      <c r="M3" s="102">
        <v>0</v>
      </c>
      <c r="N3" s="102">
        <v>0</v>
      </c>
      <c r="O3" s="102">
        <v>0</v>
      </c>
      <c r="P3" s="102">
        <v>0</v>
      </c>
      <c r="Q3" s="102">
        <v>0</v>
      </c>
      <c r="R3" s="102">
        <v>0</v>
      </c>
      <c r="S3" s="102">
        <v>0</v>
      </c>
      <c r="T3" s="102">
        <v>0</v>
      </c>
      <c r="U3" s="102">
        <v>0</v>
      </c>
      <c r="V3" s="102">
        <v>0</v>
      </c>
      <c r="W3" s="102">
        <v>0</v>
      </c>
      <c r="X3" s="102">
        <v>0</v>
      </c>
      <c r="Y3" s="102">
        <v>0</v>
      </c>
      <c r="Z3" s="102">
        <v>0</v>
      </c>
      <c r="AA3" s="102">
        <v>0</v>
      </c>
      <c r="AB3" s="102">
        <v>0</v>
      </c>
      <c r="AC3" s="102">
        <v>0</v>
      </c>
    </row>
    <row r="4" spans="1:31" customFormat="1" x14ac:dyDescent="0.15">
      <c r="A4" s="182" t="s">
        <v>194</v>
      </c>
      <c r="B4" s="102">
        <v>0</v>
      </c>
      <c r="C4" s="102">
        <v>0</v>
      </c>
      <c r="D4" s="102">
        <v>0</v>
      </c>
      <c r="E4" s="102">
        <v>0</v>
      </c>
      <c r="F4" s="102">
        <v>0</v>
      </c>
      <c r="G4" s="102">
        <v>0</v>
      </c>
      <c r="H4" s="102">
        <v>0</v>
      </c>
      <c r="I4" s="102">
        <v>0</v>
      </c>
      <c r="J4" s="102">
        <v>0</v>
      </c>
      <c r="K4" s="102">
        <v>0</v>
      </c>
      <c r="L4" s="102">
        <v>0</v>
      </c>
      <c r="M4" s="102">
        <v>0</v>
      </c>
      <c r="N4" s="102">
        <v>0</v>
      </c>
      <c r="O4" s="102">
        <v>0</v>
      </c>
      <c r="P4" s="102">
        <v>0</v>
      </c>
      <c r="Q4" s="102">
        <v>0</v>
      </c>
      <c r="R4" s="102">
        <v>0</v>
      </c>
      <c r="S4" s="102">
        <v>0</v>
      </c>
      <c r="T4" s="102">
        <v>0</v>
      </c>
      <c r="U4" s="102">
        <v>0</v>
      </c>
      <c r="V4" s="102">
        <v>0</v>
      </c>
      <c r="W4" s="102">
        <v>0</v>
      </c>
      <c r="X4" s="102">
        <v>0</v>
      </c>
      <c r="Y4" s="102">
        <v>0</v>
      </c>
      <c r="Z4" s="102">
        <v>0</v>
      </c>
      <c r="AA4" s="102">
        <v>0</v>
      </c>
      <c r="AB4" s="102">
        <v>0</v>
      </c>
      <c r="AC4" s="102">
        <v>0</v>
      </c>
    </row>
    <row r="5" spans="1:31" customFormat="1" x14ac:dyDescent="0.15">
      <c r="A5" s="182" t="s">
        <v>195</v>
      </c>
      <c r="B5" s="102">
        <v>0</v>
      </c>
      <c r="C5" s="102">
        <v>1</v>
      </c>
      <c r="D5" s="102">
        <v>1</v>
      </c>
      <c r="E5" s="102">
        <v>0</v>
      </c>
      <c r="F5" s="102">
        <v>0</v>
      </c>
      <c r="G5" s="102">
        <v>0</v>
      </c>
      <c r="H5" s="102">
        <v>0</v>
      </c>
      <c r="I5" s="102">
        <v>0</v>
      </c>
      <c r="J5" s="102">
        <v>0</v>
      </c>
      <c r="K5" s="102">
        <v>0</v>
      </c>
      <c r="L5" s="102">
        <v>0</v>
      </c>
      <c r="M5" s="102">
        <v>0</v>
      </c>
      <c r="N5" s="102">
        <v>0</v>
      </c>
      <c r="O5" s="102">
        <v>0</v>
      </c>
      <c r="P5" s="102">
        <v>0</v>
      </c>
      <c r="Q5" s="102">
        <v>0</v>
      </c>
      <c r="R5" s="102">
        <v>0</v>
      </c>
      <c r="S5" s="102">
        <v>0</v>
      </c>
      <c r="T5" s="102">
        <v>0</v>
      </c>
      <c r="U5" s="102">
        <v>0</v>
      </c>
      <c r="V5" s="102">
        <v>0</v>
      </c>
      <c r="W5" s="102">
        <v>0</v>
      </c>
      <c r="X5" s="102">
        <v>0</v>
      </c>
      <c r="Y5" s="102">
        <v>0</v>
      </c>
      <c r="Z5" s="102">
        <v>0</v>
      </c>
      <c r="AA5" s="102">
        <v>0</v>
      </c>
      <c r="AB5" s="102">
        <v>0</v>
      </c>
      <c r="AC5" s="102">
        <v>0</v>
      </c>
    </row>
    <row r="6" spans="1:31" customFormat="1" x14ac:dyDescent="0.15">
      <c r="A6" s="182" t="s">
        <v>196</v>
      </c>
      <c r="B6" s="102">
        <v>0</v>
      </c>
      <c r="C6" s="102">
        <v>1</v>
      </c>
      <c r="D6" s="102">
        <v>1</v>
      </c>
      <c r="E6" s="102">
        <v>1</v>
      </c>
      <c r="F6" s="102">
        <v>1</v>
      </c>
      <c r="G6" s="102">
        <v>0</v>
      </c>
      <c r="H6" s="102">
        <v>0</v>
      </c>
      <c r="I6" s="102">
        <v>0</v>
      </c>
      <c r="J6" s="102">
        <v>1</v>
      </c>
      <c r="K6" s="102">
        <v>0</v>
      </c>
      <c r="L6" s="102">
        <v>0</v>
      </c>
      <c r="M6" s="102">
        <v>0</v>
      </c>
      <c r="N6" s="102">
        <v>0</v>
      </c>
      <c r="O6" s="102">
        <v>0</v>
      </c>
      <c r="P6" s="102">
        <v>0</v>
      </c>
      <c r="Q6" s="102">
        <v>0</v>
      </c>
      <c r="R6" s="102">
        <v>0</v>
      </c>
      <c r="S6" s="102">
        <v>0</v>
      </c>
      <c r="T6" s="102">
        <v>0</v>
      </c>
      <c r="U6" s="102">
        <v>0</v>
      </c>
      <c r="V6" s="102">
        <v>0</v>
      </c>
      <c r="W6" s="102">
        <v>0</v>
      </c>
      <c r="X6" s="102">
        <v>1</v>
      </c>
      <c r="Y6" s="102">
        <v>0</v>
      </c>
      <c r="Z6" s="102">
        <v>0</v>
      </c>
      <c r="AA6" s="102">
        <v>0</v>
      </c>
      <c r="AB6" s="102">
        <v>0</v>
      </c>
      <c r="AC6" s="102">
        <v>0</v>
      </c>
    </row>
    <row r="7" spans="1:31" customFormat="1" x14ac:dyDescent="0.15">
      <c r="A7" s="182" t="s">
        <v>197</v>
      </c>
      <c r="B7" s="102">
        <v>0</v>
      </c>
      <c r="C7" s="102">
        <v>1</v>
      </c>
      <c r="D7" s="102">
        <v>1</v>
      </c>
      <c r="E7" s="102">
        <v>0</v>
      </c>
      <c r="F7" s="102">
        <v>0</v>
      </c>
      <c r="G7" s="102">
        <v>0</v>
      </c>
      <c r="H7" s="102">
        <v>0</v>
      </c>
      <c r="I7" s="102">
        <v>0</v>
      </c>
      <c r="J7" s="102">
        <v>0</v>
      </c>
      <c r="K7" s="102">
        <v>0</v>
      </c>
      <c r="L7" s="102">
        <v>0</v>
      </c>
      <c r="M7" s="102">
        <v>0</v>
      </c>
      <c r="N7" s="102">
        <v>0</v>
      </c>
      <c r="O7" s="102">
        <v>0</v>
      </c>
      <c r="P7" s="102">
        <v>0</v>
      </c>
      <c r="Q7" s="102">
        <v>0</v>
      </c>
      <c r="R7" s="102">
        <v>0</v>
      </c>
      <c r="S7" s="102">
        <v>0</v>
      </c>
      <c r="T7" s="102">
        <v>0</v>
      </c>
      <c r="U7" s="102">
        <v>0</v>
      </c>
      <c r="V7" s="102">
        <v>0</v>
      </c>
      <c r="W7" s="102">
        <v>0</v>
      </c>
      <c r="X7" s="102">
        <v>0</v>
      </c>
      <c r="Y7" s="102">
        <v>0</v>
      </c>
      <c r="Z7" s="102">
        <v>0</v>
      </c>
      <c r="AA7" s="102">
        <v>0</v>
      </c>
      <c r="AB7" s="102">
        <v>0</v>
      </c>
      <c r="AC7" s="102">
        <v>0</v>
      </c>
    </row>
    <row r="8" spans="1:31" customFormat="1" x14ac:dyDescent="0.15">
      <c r="A8" s="182" t="s">
        <v>198</v>
      </c>
      <c r="B8" s="102">
        <v>0</v>
      </c>
      <c r="C8" s="102">
        <v>1</v>
      </c>
      <c r="D8" s="102">
        <v>1</v>
      </c>
      <c r="E8" s="102">
        <v>1</v>
      </c>
      <c r="F8" s="102">
        <v>1</v>
      </c>
      <c r="G8" s="102">
        <v>0</v>
      </c>
      <c r="H8" s="102">
        <v>0</v>
      </c>
      <c r="I8" s="102">
        <v>0</v>
      </c>
      <c r="J8" s="102">
        <v>0</v>
      </c>
      <c r="K8" s="102">
        <v>0</v>
      </c>
      <c r="L8" s="102">
        <v>0</v>
      </c>
      <c r="M8" s="102">
        <v>0</v>
      </c>
      <c r="N8" s="102">
        <v>0</v>
      </c>
      <c r="O8" s="102">
        <v>0</v>
      </c>
      <c r="P8" s="102">
        <v>0</v>
      </c>
      <c r="Q8" s="102">
        <v>0</v>
      </c>
      <c r="R8" s="102">
        <v>0</v>
      </c>
      <c r="S8" s="102">
        <v>0</v>
      </c>
      <c r="T8" s="102">
        <v>0</v>
      </c>
      <c r="U8" s="102">
        <v>0</v>
      </c>
      <c r="V8" s="102">
        <v>0</v>
      </c>
      <c r="W8" s="102">
        <v>0</v>
      </c>
      <c r="X8" s="102">
        <v>0</v>
      </c>
      <c r="Y8" s="102">
        <v>0</v>
      </c>
      <c r="Z8" s="102">
        <v>0</v>
      </c>
      <c r="AA8" s="102">
        <v>0</v>
      </c>
      <c r="AB8" s="102">
        <v>0</v>
      </c>
      <c r="AC8" s="102">
        <v>0</v>
      </c>
    </row>
    <row r="9" spans="1:31" customFormat="1" x14ac:dyDescent="0.15">
      <c r="A9" s="182" t="s">
        <v>199</v>
      </c>
      <c r="B9" s="102">
        <v>0</v>
      </c>
      <c r="C9" s="102">
        <v>1</v>
      </c>
      <c r="D9" s="102">
        <v>1</v>
      </c>
      <c r="E9" s="102">
        <v>0</v>
      </c>
      <c r="F9" s="102">
        <v>0</v>
      </c>
      <c r="G9" s="102">
        <v>0</v>
      </c>
      <c r="H9" s="102">
        <v>0</v>
      </c>
      <c r="I9" s="102">
        <v>0</v>
      </c>
      <c r="J9" s="102">
        <v>0</v>
      </c>
      <c r="K9" s="102">
        <v>0</v>
      </c>
      <c r="L9" s="102">
        <v>0</v>
      </c>
      <c r="M9" s="102">
        <v>0</v>
      </c>
      <c r="N9" s="102">
        <v>0</v>
      </c>
      <c r="O9" s="102">
        <v>0</v>
      </c>
      <c r="P9" s="102">
        <v>0</v>
      </c>
      <c r="Q9" s="102">
        <v>0</v>
      </c>
      <c r="R9" s="102">
        <v>0</v>
      </c>
      <c r="S9" s="102">
        <v>0</v>
      </c>
      <c r="T9" s="102">
        <v>0</v>
      </c>
      <c r="U9" s="102">
        <v>0</v>
      </c>
      <c r="V9" s="102">
        <v>0</v>
      </c>
      <c r="W9" s="102">
        <v>0</v>
      </c>
      <c r="X9" s="102">
        <v>0</v>
      </c>
      <c r="Y9" s="102">
        <v>0</v>
      </c>
      <c r="Z9" s="102">
        <v>0</v>
      </c>
      <c r="AA9" s="102">
        <v>0</v>
      </c>
      <c r="AB9" s="102">
        <v>0</v>
      </c>
      <c r="AC9" s="102">
        <v>0</v>
      </c>
    </row>
    <row r="10" spans="1:31" customFormat="1" x14ac:dyDescent="0.15">
      <c r="A10" s="182" t="s">
        <v>200</v>
      </c>
      <c r="B10" s="102">
        <v>0</v>
      </c>
      <c r="C10" s="102">
        <v>0</v>
      </c>
      <c r="D10" s="102">
        <v>0</v>
      </c>
      <c r="E10" s="102">
        <v>0</v>
      </c>
      <c r="F10" s="102">
        <v>0</v>
      </c>
      <c r="G10" s="102">
        <v>0</v>
      </c>
      <c r="H10" s="102">
        <v>0</v>
      </c>
      <c r="I10" s="102">
        <v>0</v>
      </c>
      <c r="J10" s="102">
        <v>0</v>
      </c>
      <c r="K10" s="102">
        <v>0</v>
      </c>
      <c r="L10" s="102">
        <v>0</v>
      </c>
      <c r="M10" s="102">
        <v>0</v>
      </c>
      <c r="N10" s="102">
        <v>0</v>
      </c>
      <c r="O10" s="102">
        <v>0</v>
      </c>
      <c r="P10" s="102">
        <v>0</v>
      </c>
      <c r="Q10" s="102">
        <v>0</v>
      </c>
      <c r="R10" s="102">
        <v>0</v>
      </c>
      <c r="S10" s="102">
        <v>0</v>
      </c>
      <c r="T10" s="102">
        <v>0</v>
      </c>
      <c r="U10" s="102">
        <v>0</v>
      </c>
      <c r="V10" s="102">
        <v>0</v>
      </c>
      <c r="W10" s="102">
        <v>0</v>
      </c>
      <c r="X10" s="102">
        <v>0</v>
      </c>
      <c r="Y10" s="102">
        <v>0</v>
      </c>
      <c r="Z10" s="102">
        <v>0</v>
      </c>
      <c r="AA10" s="102">
        <v>0</v>
      </c>
      <c r="AB10" s="102">
        <v>0</v>
      </c>
      <c r="AC10" s="102">
        <v>0</v>
      </c>
    </row>
    <row r="11" spans="1:31" customFormat="1" x14ac:dyDescent="0.15">
      <c r="A11" s="182" t="s">
        <v>201</v>
      </c>
      <c r="B11" s="102">
        <v>0</v>
      </c>
      <c r="C11" s="102">
        <v>0</v>
      </c>
      <c r="D11" s="102">
        <v>1</v>
      </c>
      <c r="E11" s="102">
        <v>1</v>
      </c>
      <c r="F11" s="102">
        <v>1</v>
      </c>
      <c r="G11" s="102">
        <v>0</v>
      </c>
      <c r="H11" s="102">
        <v>0</v>
      </c>
      <c r="I11" s="102">
        <v>0</v>
      </c>
      <c r="J11" s="102">
        <v>0</v>
      </c>
      <c r="K11" s="102">
        <v>0</v>
      </c>
      <c r="L11" s="102">
        <v>0</v>
      </c>
      <c r="M11" s="102">
        <v>0</v>
      </c>
      <c r="N11" s="102">
        <v>0</v>
      </c>
      <c r="O11" s="102">
        <v>0</v>
      </c>
      <c r="P11" s="102">
        <v>0</v>
      </c>
      <c r="Q11" s="102">
        <v>0</v>
      </c>
      <c r="R11" s="102">
        <v>0</v>
      </c>
      <c r="S11" s="102">
        <v>0</v>
      </c>
      <c r="T11" s="102">
        <v>0</v>
      </c>
      <c r="U11" s="102">
        <v>0</v>
      </c>
      <c r="V11" s="102">
        <v>0</v>
      </c>
      <c r="W11" s="102">
        <v>0</v>
      </c>
      <c r="X11" s="102">
        <v>0</v>
      </c>
      <c r="Y11" s="102">
        <v>0</v>
      </c>
      <c r="Z11" s="102">
        <v>0</v>
      </c>
      <c r="AA11" s="102">
        <v>0</v>
      </c>
      <c r="AB11" s="102">
        <v>0</v>
      </c>
      <c r="AC11" s="102">
        <v>0</v>
      </c>
    </row>
    <row r="12" spans="1:31" customFormat="1" x14ac:dyDescent="0.15">
      <c r="A12" s="182" t="s">
        <v>202</v>
      </c>
      <c r="B12" s="102">
        <v>0</v>
      </c>
      <c r="C12" s="102">
        <v>1</v>
      </c>
      <c r="D12" s="102">
        <v>1</v>
      </c>
      <c r="E12" s="102">
        <v>0</v>
      </c>
      <c r="F12" s="102">
        <v>0</v>
      </c>
      <c r="G12" s="102">
        <v>0</v>
      </c>
      <c r="H12" s="102">
        <v>0</v>
      </c>
      <c r="I12" s="102">
        <v>0</v>
      </c>
      <c r="J12" s="102">
        <v>0</v>
      </c>
      <c r="K12" s="102">
        <v>0</v>
      </c>
      <c r="L12" s="102">
        <v>0</v>
      </c>
      <c r="M12" s="102">
        <v>0</v>
      </c>
      <c r="N12" s="102">
        <v>0</v>
      </c>
      <c r="O12" s="102">
        <v>0</v>
      </c>
      <c r="P12" s="102">
        <v>0</v>
      </c>
      <c r="Q12" s="102">
        <v>0</v>
      </c>
      <c r="R12" s="102">
        <v>0</v>
      </c>
      <c r="S12" s="102">
        <v>0</v>
      </c>
      <c r="T12" s="102">
        <v>0</v>
      </c>
      <c r="U12" s="102">
        <v>0</v>
      </c>
      <c r="V12" s="102">
        <v>0</v>
      </c>
      <c r="W12" s="102">
        <v>0</v>
      </c>
      <c r="X12" s="102">
        <v>0</v>
      </c>
      <c r="Y12" s="102">
        <v>0</v>
      </c>
      <c r="Z12" s="102">
        <v>0</v>
      </c>
      <c r="AA12" s="102">
        <v>0</v>
      </c>
      <c r="AB12" s="102">
        <v>0</v>
      </c>
      <c r="AC12" s="102">
        <v>0</v>
      </c>
    </row>
    <row r="13" spans="1:31" customFormat="1" x14ac:dyDescent="0.15">
      <c r="A13" s="182" t="s">
        <v>203</v>
      </c>
      <c r="B13" s="102">
        <v>0</v>
      </c>
      <c r="C13" s="102">
        <v>1</v>
      </c>
      <c r="D13" s="102">
        <v>1</v>
      </c>
      <c r="E13" s="102">
        <v>1</v>
      </c>
      <c r="F13" s="102">
        <v>0</v>
      </c>
      <c r="G13" s="102">
        <v>0</v>
      </c>
      <c r="H13" s="102">
        <v>0</v>
      </c>
      <c r="I13" s="102">
        <v>0</v>
      </c>
      <c r="J13" s="102">
        <v>0</v>
      </c>
      <c r="K13" s="102">
        <v>0</v>
      </c>
      <c r="L13" s="102">
        <v>0</v>
      </c>
      <c r="M13" s="102">
        <v>1</v>
      </c>
      <c r="N13" s="102">
        <v>0</v>
      </c>
      <c r="O13" s="102">
        <v>0</v>
      </c>
      <c r="P13" s="102">
        <v>0</v>
      </c>
      <c r="Q13" s="102">
        <v>0</v>
      </c>
      <c r="R13" s="102">
        <v>0</v>
      </c>
      <c r="S13" s="102">
        <v>0</v>
      </c>
      <c r="T13" s="102">
        <v>0</v>
      </c>
      <c r="U13" s="102">
        <v>0</v>
      </c>
      <c r="V13" s="102">
        <v>0</v>
      </c>
      <c r="W13" s="102">
        <v>0</v>
      </c>
      <c r="X13" s="102">
        <v>0</v>
      </c>
      <c r="Y13" s="102">
        <v>0</v>
      </c>
      <c r="Z13" s="102">
        <v>0</v>
      </c>
      <c r="AA13" s="102">
        <v>0</v>
      </c>
      <c r="AB13" s="102">
        <v>0</v>
      </c>
      <c r="AC13" s="102">
        <v>0</v>
      </c>
    </row>
    <row r="14" spans="1:31" customFormat="1" x14ac:dyDescent="0.15">
      <c r="A14" s="182" t="s">
        <v>204</v>
      </c>
      <c r="B14" s="102">
        <v>0</v>
      </c>
      <c r="C14" s="102">
        <v>1</v>
      </c>
      <c r="D14" s="102">
        <v>0</v>
      </c>
      <c r="E14" s="102">
        <v>0</v>
      </c>
      <c r="F14" s="102">
        <v>0</v>
      </c>
      <c r="G14" s="102">
        <v>0</v>
      </c>
      <c r="H14" s="102">
        <v>0</v>
      </c>
      <c r="I14" s="102">
        <v>0</v>
      </c>
      <c r="J14" s="102">
        <v>0</v>
      </c>
      <c r="K14" s="102">
        <v>0</v>
      </c>
      <c r="L14" s="102">
        <v>0</v>
      </c>
      <c r="M14" s="102">
        <v>0</v>
      </c>
      <c r="N14" s="102">
        <v>0</v>
      </c>
      <c r="O14" s="102">
        <v>0</v>
      </c>
      <c r="P14" s="102">
        <v>0</v>
      </c>
      <c r="Q14" s="102">
        <v>0</v>
      </c>
      <c r="R14" s="102">
        <v>0</v>
      </c>
      <c r="S14" s="102">
        <v>0</v>
      </c>
      <c r="T14" s="102">
        <v>0</v>
      </c>
      <c r="U14" s="102">
        <v>0</v>
      </c>
      <c r="V14" s="102">
        <v>0</v>
      </c>
      <c r="W14" s="102">
        <v>0</v>
      </c>
      <c r="X14" s="102">
        <v>0</v>
      </c>
      <c r="Y14" s="102">
        <v>0</v>
      </c>
      <c r="Z14" s="102">
        <v>0</v>
      </c>
      <c r="AA14" s="102">
        <v>0</v>
      </c>
      <c r="AB14" s="102">
        <v>0</v>
      </c>
      <c r="AC14" s="102">
        <v>0</v>
      </c>
    </row>
    <row r="15" spans="1:31" customFormat="1" x14ac:dyDescent="0.15">
      <c r="A15" s="182" t="s">
        <v>205</v>
      </c>
      <c r="B15" s="102">
        <v>0</v>
      </c>
      <c r="C15" s="102">
        <v>0</v>
      </c>
      <c r="D15" s="102">
        <v>0</v>
      </c>
      <c r="E15" s="102">
        <v>0</v>
      </c>
      <c r="F15" s="102">
        <v>0</v>
      </c>
      <c r="G15" s="102">
        <v>0</v>
      </c>
      <c r="H15" s="102">
        <v>0</v>
      </c>
      <c r="I15" s="102">
        <v>0</v>
      </c>
      <c r="J15" s="102">
        <v>0</v>
      </c>
      <c r="K15" s="102">
        <v>0</v>
      </c>
      <c r="L15" s="102">
        <v>0</v>
      </c>
      <c r="M15" s="102">
        <v>0</v>
      </c>
      <c r="N15" s="102">
        <v>0</v>
      </c>
      <c r="O15" s="102">
        <v>0</v>
      </c>
      <c r="P15" s="102">
        <v>0</v>
      </c>
      <c r="Q15" s="102">
        <v>0</v>
      </c>
      <c r="R15" s="102">
        <v>1</v>
      </c>
      <c r="S15" s="102">
        <v>0</v>
      </c>
      <c r="T15" s="102">
        <v>1</v>
      </c>
      <c r="U15" s="102">
        <v>1</v>
      </c>
      <c r="V15" s="102">
        <v>0</v>
      </c>
      <c r="W15" s="102">
        <v>0</v>
      </c>
      <c r="X15" s="102">
        <v>1</v>
      </c>
      <c r="Y15" s="102">
        <v>1</v>
      </c>
      <c r="Z15" s="102">
        <v>0</v>
      </c>
      <c r="AA15" s="102">
        <v>0</v>
      </c>
      <c r="AB15" s="102">
        <v>0</v>
      </c>
      <c r="AC15" s="102">
        <v>0</v>
      </c>
    </row>
    <row r="16" spans="1:31" customFormat="1" x14ac:dyDescent="0.15">
      <c r="A16" s="182" t="s">
        <v>206</v>
      </c>
      <c r="B16" s="102">
        <v>0</v>
      </c>
      <c r="C16" s="102">
        <v>0</v>
      </c>
      <c r="D16" s="102">
        <v>0</v>
      </c>
      <c r="E16" s="102">
        <v>0</v>
      </c>
      <c r="F16" s="102">
        <v>0</v>
      </c>
      <c r="G16" s="102">
        <v>0</v>
      </c>
      <c r="H16" s="102">
        <v>0</v>
      </c>
      <c r="I16" s="102">
        <v>0</v>
      </c>
      <c r="J16" s="102">
        <v>1</v>
      </c>
      <c r="K16" s="102">
        <v>1</v>
      </c>
      <c r="L16" s="102">
        <v>0</v>
      </c>
      <c r="M16" s="102">
        <v>1</v>
      </c>
      <c r="N16" s="102">
        <v>1</v>
      </c>
      <c r="O16" s="102">
        <v>0</v>
      </c>
      <c r="P16" s="102">
        <v>1</v>
      </c>
      <c r="Q16" s="102">
        <v>1</v>
      </c>
      <c r="R16" s="102">
        <v>0</v>
      </c>
      <c r="S16" s="102">
        <v>0</v>
      </c>
      <c r="T16" s="102">
        <v>1</v>
      </c>
      <c r="U16" s="102">
        <v>1</v>
      </c>
      <c r="V16" s="102">
        <v>1</v>
      </c>
      <c r="W16" s="102">
        <v>1</v>
      </c>
      <c r="X16" s="102">
        <v>1</v>
      </c>
      <c r="Y16" s="102">
        <v>1</v>
      </c>
      <c r="Z16" s="102">
        <v>0</v>
      </c>
      <c r="AA16" s="102">
        <v>0</v>
      </c>
      <c r="AB16" s="102">
        <v>0</v>
      </c>
      <c r="AC16" s="102">
        <v>0</v>
      </c>
    </row>
    <row r="17" spans="1:29" customFormat="1" x14ac:dyDescent="0.15">
      <c r="A17" s="182" t="s">
        <v>207</v>
      </c>
      <c r="B17" s="102">
        <v>0</v>
      </c>
      <c r="C17" s="102">
        <v>0</v>
      </c>
      <c r="D17" s="102">
        <v>0</v>
      </c>
      <c r="E17" s="102">
        <v>0</v>
      </c>
      <c r="F17" s="102">
        <v>0</v>
      </c>
      <c r="G17" s="102">
        <v>0</v>
      </c>
      <c r="H17" s="102">
        <v>0</v>
      </c>
      <c r="I17" s="102">
        <v>0</v>
      </c>
      <c r="J17" s="102">
        <v>0</v>
      </c>
      <c r="K17" s="102">
        <v>0</v>
      </c>
      <c r="L17" s="102">
        <v>0</v>
      </c>
      <c r="M17" s="102">
        <v>1</v>
      </c>
      <c r="N17" s="102">
        <v>0</v>
      </c>
      <c r="O17" s="102">
        <v>0</v>
      </c>
      <c r="P17" s="102">
        <v>0</v>
      </c>
      <c r="Q17" s="102">
        <v>1</v>
      </c>
      <c r="R17" s="102">
        <v>0</v>
      </c>
      <c r="S17" s="102">
        <v>0</v>
      </c>
      <c r="T17" s="102">
        <v>1</v>
      </c>
      <c r="U17" s="102">
        <v>0</v>
      </c>
      <c r="V17" s="102">
        <v>0</v>
      </c>
      <c r="W17" s="102">
        <v>0</v>
      </c>
      <c r="X17" s="102">
        <v>1</v>
      </c>
      <c r="Y17" s="102">
        <v>0</v>
      </c>
      <c r="Z17" s="102">
        <v>0</v>
      </c>
      <c r="AA17" s="102">
        <v>0</v>
      </c>
      <c r="AB17" s="102">
        <v>0</v>
      </c>
      <c r="AC17" s="102">
        <v>0</v>
      </c>
    </row>
    <row r="18" spans="1:29" customFormat="1" x14ac:dyDescent="0.15">
      <c r="A18" s="182" t="s">
        <v>208</v>
      </c>
      <c r="B18" s="102">
        <v>0</v>
      </c>
      <c r="C18" s="102">
        <v>0</v>
      </c>
      <c r="D18" s="102">
        <v>0</v>
      </c>
      <c r="E18" s="102">
        <v>0</v>
      </c>
      <c r="F18" s="102">
        <v>0</v>
      </c>
      <c r="G18" s="102">
        <v>0</v>
      </c>
      <c r="H18" s="102">
        <v>0</v>
      </c>
      <c r="I18" s="102">
        <v>0</v>
      </c>
      <c r="J18" s="102">
        <v>0</v>
      </c>
      <c r="K18" s="102">
        <v>0</v>
      </c>
      <c r="L18" s="102">
        <v>0</v>
      </c>
      <c r="M18" s="102">
        <v>0</v>
      </c>
      <c r="N18" s="102">
        <v>0</v>
      </c>
      <c r="O18" s="102">
        <v>0</v>
      </c>
      <c r="P18" s="102">
        <v>1</v>
      </c>
      <c r="Q18" s="102">
        <v>0</v>
      </c>
      <c r="R18" s="102">
        <v>1</v>
      </c>
      <c r="S18" s="102">
        <v>0</v>
      </c>
      <c r="T18" s="102">
        <v>1</v>
      </c>
      <c r="U18" s="102">
        <v>0</v>
      </c>
      <c r="V18" s="102">
        <v>1</v>
      </c>
      <c r="W18" s="102">
        <v>0</v>
      </c>
      <c r="X18" s="102">
        <v>1</v>
      </c>
      <c r="Y18" s="102">
        <v>0</v>
      </c>
      <c r="Z18" s="102">
        <v>0</v>
      </c>
      <c r="AA18" s="102">
        <v>0</v>
      </c>
      <c r="AB18" s="102">
        <v>0</v>
      </c>
      <c r="AC18" s="102">
        <v>0</v>
      </c>
    </row>
    <row r="19" spans="1:29" customFormat="1" x14ac:dyDescent="0.15">
      <c r="A19" s="182" t="s">
        <v>209</v>
      </c>
      <c r="B19" s="102">
        <v>0</v>
      </c>
      <c r="C19" s="102">
        <v>0</v>
      </c>
      <c r="D19" s="102">
        <v>0</v>
      </c>
      <c r="E19" s="102">
        <v>0</v>
      </c>
      <c r="F19" s="102">
        <v>0</v>
      </c>
      <c r="G19" s="102">
        <v>0</v>
      </c>
      <c r="H19" s="102">
        <v>0</v>
      </c>
      <c r="I19" s="102">
        <v>0</v>
      </c>
      <c r="J19" s="102">
        <v>0</v>
      </c>
      <c r="K19" s="102">
        <v>0</v>
      </c>
      <c r="L19" s="102">
        <v>0</v>
      </c>
      <c r="M19" s="102">
        <v>0</v>
      </c>
      <c r="N19" s="102">
        <v>1</v>
      </c>
      <c r="O19" s="102">
        <v>0</v>
      </c>
      <c r="P19" s="102">
        <v>1</v>
      </c>
      <c r="Q19" s="102">
        <v>0</v>
      </c>
      <c r="R19" s="102">
        <v>1</v>
      </c>
      <c r="S19" s="102">
        <v>0</v>
      </c>
      <c r="T19" s="102">
        <v>1</v>
      </c>
      <c r="U19" s="102">
        <v>0</v>
      </c>
      <c r="V19" s="102">
        <v>1</v>
      </c>
      <c r="W19" s="102">
        <v>0</v>
      </c>
      <c r="X19" s="102">
        <v>0</v>
      </c>
      <c r="Y19" s="102">
        <v>1</v>
      </c>
      <c r="Z19" s="102">
        <v>0</v>
      </c>
      <c r="AA19" s="102">
        <v>0</v>
      </c>
      <c r="AB19" s="102">
        <v>0</v>
      </c>
      <c r="AC19" s="102">
        <v>0</v>
      </c>
    </row>
    <row r="20" spans="1:29" customFormat="1" x14ac:dyDescent="0.15">
      <c r="A20" s="182" t="s">
        <v>210</v>
      </c>
      <c r="B20" s="102">
        <v>1</v>
      </c>
      <c r="C20" s="102">
        <v>0</v>
      </c>
      <c r="D20" s="102">
        <v>0</v>
      </c>
      <c r="E20" s="102">
        <v>0</v>
      </c>
      <c r="F20" s="102">
        <v>1</v>
      </c>
      <c r="G20" s="102">
        <v>1</v>
      </c>
      <c r="H20" s="102">
        <v>1</v>
      </c>
      <c r="I20" s="102">
        <v>1</v>
      </c>
      <c r="J20" s="102">
        <v>0</v>
      </c>
      <c r="K20" s="102">
        <v>1</v>
      </c>
      <c r="L20" s="102">
        <v>1</v>
      </c>
      <c r="M20" s="102">
        <v>0</v>
      </c>
      <c r="N20" s="102">
        <v>0</v>
      </c>
      <c r="O20" s="102">
        <v>0</v>
      </c>
      <c r="P20" s="102">
        <v>0</v>
      </c>
      <c r="Q20" s="102">
        <v>0</v>
      </c>
      <c r="R20" s="102">
        <v>0</v>
      </c>
      <c r="S20" s="102">
        <v>0</v>
      </c>
      <c r="T20" s="102">
        <v>0</v>
      </c>
      <c r="U20" s="102">
        <v>1</v>
      </c>
      <c r="V20" s="102">
        <v>0</v>
      </c>
      <c r="W20" s="102">
        <v>0</v>
      </c>
      <c r="X20" s="102">
        <v>1</v>
      </c>
      <c r="Y20" s="102">
        <v>1</v>
      </c>
      <c r="Z20" s="102">
        <v>1</v>
      </c>
      <c r="AA20" s="102">
        <v>0</v>
      </c>
      <c r="AB20" s="102">
        <v>0</v>
      </c>
      <c r="AC20" s="102">
        <v>0</v>
      </c>
    </row>
    <row r="21" spans="1:29" customFormat="1" x14ac:dyDescent="0.15">
      <c r="A21" s="182" t="s">
        <v>211</v>
      </c>
      <c r="B21" s="102">
        <v>0</v>
      </c>
      <c r="C21" s="102">
        <v>0</v>
      </c>
      <c r="D21" s="102">
        <v>0</v>
      </c>
      <c r="E21" s="102">
        <v>0</v>
      </c>
      <c r="F21" s="102">
        <v>1</v>
      </c>
      <c r="G21" s="102">
        <v>1</v>
      </c>
      <c r="H21" s="102">
        <v>1</v>
      </c>
      <c r="I21" s="102">
        <v>1</v>
      </c>
      <c r="J21" s="102">
        <v>0</v>
      </c>
      <c r="K21" s="102">
        <v>0</v>
      </c>
      <c r="L21" s="102">
        <v>0</v>
      </c>
      <c r="M21" s="102">
        <v>0</v>
      </c>
      <c r="N21" s="102">
        <v>0</v>
      </c>
      <c r="O21" s="102">
        <v>0</v>
      </c>
      <c r="P21" s="102">
        <v>0</v>
      </c>
      <c r="Q21" s="102">
        <v>0</v>
      </c>
      <c r="R21" s="102">
        <v>0</v>
      </c>
      <c r="S21" s="102">
        <v>0</v>
      </c>
      <c r="T21" s="102">
        <v>0</v>
      </c>
      <c r="U21" s="102">
        <v>0</v>
      </c>
      <c r="V21" s="102">
        <v>0</v>
      </c>
      <c r="W21" s="102">
        <v>0</v>
      </c>
      <c r="X21" s="102">
        <v>1</v>
      </c>
      <c r="Y21" s="102">
        <v>1</v>
      </c>
      <c r="Z21" s="102">
        <v>1</v>
      </c>
      <c r="AA21" s="102">
        <v>0</v>
      </c>
      <c r="AB21" s="102">
        <v>0</v>
      </c>
      <c r="AC21" s="102">
        <v>0</v>
      </c>
    </row>
    <row r="22" spans="1:29" customFormat="1" x14ac:dyDescent="0.15">
      <c r="A22" s="182" t="s">
        <v>212</v>
      </c>
      <c r="B22" s="102">
        <v>0</v>
      </c>
      <c r="C22" s="102">
        <v>0</v>
      </c>
      <c r="D22" s="102">
        <v>0</v>
      </c>
      <c r="E22" s="102">
        <v>1</v>
      </c>
      <c r="F22" s="102">
        <v>1</v>
      </c>
      <c r="G22" s="102">
        <v>1</v>
      </c>
      <c r="H22" s="102">
        <v>1</v>
      </c>
      <c r="I22" s="102">
        <v>1</v>
      </c>
      <c r="J22" s="102">
        <v>1</v>
      </c>
      <c r="K22" s="102">
        <v>1</v>
      </c>
      <c r="L22" s="102">
        <v>1</v>
      </c>
      <c r="M22" s="102">
        <v>1</v>
      </c>
      <c r="N22" s="102">
        <v>1</v>
      </c>
      <c r="O22" s="102">
        <v>0</v>
      </c>
      <c r="P22" s="102">
        <v>0</v>
      </c>
      <c r="Q22" s="102">
        <v>0</v>
      </c>
      <c r="R22" s="102">
        <v>0</v>
      </c>
      <c r="S22" s="102">
        <v>0</v>
      </c>
      <c r="T22" s="102">
        <v>1</v>
      </c>
      <c r="U22" s="102">
        <v>1</v>
      </c>
      <c r="V22" s="102">
        <v>0</v>
      </c>
      <c r="W22" s="102">
        <v>0</v>
      </c>
      <c r="X22" s="102">
        <v>1</v>
      </c>
      <c r="Y22" s="102">
        <v>1</v>
      </c>
      <c r="Z22" s="102">
        <v>1</v>
      </c>
      <c r="AA22" s="102">
        <v>0</v>
      </c>
      <c r="AB22" s="102">
        <v>0</v>
      </c>
      <c r="AC22" s="102">
        <v>0</v>
      </c>
    </row>
    <row r="23" spans="1:29" customFormat="1" x14ac:dyDescent="0.15">
      <c r="A23" s="182" t="s">
        <v>213</v>
      </c>
      <c r="B23" s="102">
        <v>0</v>
      </c>
      <c r="C23" s="102">
        <v>0</v>
      </c>
      <c r="D23" s="102">
        <v>0</v>
      </c>
      <c r="E23" s="102">
        <v>1</v>
      </c>
      <c r="F23" s="102">
        <v>1</v>
      </c>
      <c r="G23" s="102">
        <v>1</v>
      </c>
      <c r="H23" s="102">
        <v>1</v>
      </c>
      <c r="I23" s="102">
        <v>1</v>
      </c>
      <c r="J23" s="102">
        <v>1</v>
      </c>
      <c r="K23" s="102">
        <v>1</v>
      </c>
      <c r="L23" s="102">
        <v>1</v>
      </c>
      <c r="M23" s="102">
        <v>1</v>
      </c>
      <c r="N23" s="102">
        <v>0</v>
      </c>
      <c r="O23" s="102">
        <v>0</v>
      </c>
      <c r="P23" s="102">
        <v>0</v>
      </c>
      <c r="Q23" s="102">
        <v>0</v>
      </c>
      <c r="R23" s="102">
        <v>0</v>
      </c>
      <c r="S23" s="102">
        <v>0</v>
      </c>
      <c r="T23" s="102">
        <v>0</v>
      </c>
      <c r="U23" s="102">
        <v>0</v>
      </c>
      <c r="V23" s="102">
        <v>0</v>
      </c>
      <c r="W23" s="102">
        <v>0</v>
      </c>
      <c r="X23" s="102">
        <v>1</v>
      </c>
      <c r="Y23" s="102">
        <v>1</v>
      </c>
      <c r="Z23" s="102">
        <v>1</v>
      </c>
      <c r="AA23" s="102">
        <v>0</v>
      </c>
      <c r="AB23" s="102">
        <v>0</v>
      </c>
      <c r="AC23" s="102">
        <v>0</v>
      </c>
    </row>
    <row r="24" spans="1:29" customFormat="1" x14ac:dyDescent="0.15">
      <c r="A24" s="182" t="s">
        <v>214</v>
      </c>
      <c r="B24" s="102">
        <v>1</v>
      </c>
      <c r="C24" s="102">
        <v>0</v>
      </c>
      <c r="D24" s="102">
        <v>1</v>
      </c>
      <c r="E24" s="102">
        <v>1</v>
      </c>
      <c r="F24" s="102">
        <v>1</v>
      </c>
      <c r="G24" s="102">
        <v>1</v>
      </c>
      <c r="H24" s="102">
        <v>1</v>
      </c>
      <c r="I24" s="102">
        <v>0</v>
      </c>
      <c r="J24" s="102">
        <v>1</v>
      </c>
      <c r="K24" s="102">
        <v>1</v>
      </c>
      <c r="L24" s="102">
        <v>1</v>
      </c>
      <c r="M24" s="102">
        <v>0</v>
      </c>
      <c r="N24" s="102">
        <v>0</v>
      </c>
      <c r="O24" s="102">
        <v>0</v>
      </c>
      <c r="P24" s="102">
        <v>0</v>
      </c>
      <c r="Q24" s="102">
        <v>0</v>
      </c>
      <c r="R24" s="102">
        <v>0</v>
      </c>
      <c r="S24" s="102">
        <v>0</v>
      </c>
      <c r="T24" s="102">
        <v>0</v>
      </c>
      <c r="U24" s="102">
        <v>0</v>
      </c>
      <c r="V24" s="102">
        <v>0</v>
      </c>
      <c r="W24" s="102">
        <v>0</v>
      </c>
      <c r="X24" s="102">
        <v>1</v>
      </c>
      <c r="Y24" s="102">
        <v>0</v>
      </c>
      <c r="Z24" s="102">
        <v>1</v>
      </c>
      <c r="AA24" s="102">
        <v>0</v>
      </c>
      <c r="AB24" s="102">
        <v>0</v>
      </c>
      <c r="AC24" s="102">
        <v>0</v>
      </c>
    </row>
    <row r="25" spans="1:29" customFormat="1" x14ac:dyDescent="0.15">
      <c r="A25" s="182" t="s">
        <v>215</v>
      </c>
      <c r="B25" s="102">
        <v>0</v>
      </c>
      <c r="C25" s="102">
        <v>0</v>
      </c>
      <c r="D25" s="102">
        <v>1</v>
      </c>
      <c r="E25" s="102">
        <v>0</v>
      </c>
      <c r="F25" s="102">
        <v>1</v>
      </c>
      <c r="G25" s="102">
        <v>1</v>
      </c>
      <c r="H25" s="102">
        <v>1</v>
      </c>
      <c r="I25" s="102">
        <v>1</v>
      </c>
      <c r="J25" s="102">
        <v>1</v>
      </c>
      <c r="K25" s="102">
        <v>1</v>
      </c>
      <c r="L25" s="102">
        <v>1</v>
      </c>
      <c r="M25" s="102">
        <v>0</v>
      </c>
      <c r="N25" s="102">
        <v>0</v>
      </c>
      <c r="O25" s="102">
        <v>0</v>
      </c>
      <c r="P25" s="102">
        <v>0</v>
      </c>
      <c r="Q25" s="102">
        <v>0</v>
      </c>
      <c r="R25" s="102">
        <v>0</v>
      </c>
      <c r="S25" s="102">
        <v>0</v>
      </c>
      <c r="T25" s="102">
        <v>0</v>
      </c>
      <c r="U25" s="102">
        <v>1</v>
      </c>
      <c r="V25" s="102">
        <v>0</v>
      </c>
      <c r="W25" s="102">
        <v>1</v>
      </c>
      <c r="X25" s="102">
        <v>1</v>
      </c>
      <c r="Y25" s="102">
        <v>1</v>
      </c>
      <c r="Z25" s="102">
        <v>1</v>
      </c>
      <c r="AA25" s="102">
        <v>0</v>
      </c>
      <c r="AB25" s="102">
        <v>0</v>
      </c>
      <c r="AC25" s="102">
        <v>0</v>
      </c>
    </row>
    <row r="26" spans="1:29" customFormat="1" x14ac:dyDescent="0.15">
      <c r="A26" s="182" t="s">
        <v>216</v>
      </c>
      <c r="B26" s="102">
        <v>1</v>
      </c>
      <c r="C26" s="102">
        <v>0</v>
      </c>
      <c r="D26" s="102">
        <v>0</v>
      </c>
      <c r="E26" s="102">
        <v>1</v>
      </c>
      <c r="F26" s="102">
        <v>1</v>
      </c>
      <c r="G26" s="102">
        <v>1</v>
      </c>
      <c r="H26" s="102">
        <v>1</v>
      </c>
      <c r="I26" s="102">
        <v>0</v>
      </c>
      <c r="J26" s="102">
        <v>0</v>
      </c>
      <c r="K26" s="102">
        <v>1</v>
      </c>
      <c r="L26" s="102">
        <v>1</v>
      </c>
      <c r="M26" s="102">
        <v>1</v>
      </c>
      <c r="N26" s="102">
        <v>0</v>
      </c>
      <c r="O26" s="102">
        <v>0</v>
      </c>
      <c r="P26" s="102">
        <v>0</v>
      </c>
      <c r="Q26" s="102">
        <v>0</v>
      </c>
      <c r="R26" s="102">
        <v>0</v>
      </c>
      <c r="S26" s="102">
        <v>0</v>
      </c>
      <c r="T26" s="102">
        <v>0</v>
      </c>
      <c r="U26" s="102">
        <v>0</v>
      </c>
      <c r="V26" s="102">
        <v>0</v>
      </c>
      <c r="W26" s="102">
        <v>0</v>
      </c>
      <c r="X26" s="102">
        <v>1</v>
      </c>
      <c r="Y26" s="102">
        <v>1</v>
      </c>
      <c r="Z26" s="102">
        <v>1</v>
      </c>
      <c r="AA26" s="102">
        <v>0</v>
      </c>
      <c r="AB26" s="102">
        <v>0</v>
      </c>
      <c r="AC26" s="102">
        <v>0</v>
      </c>
    </row>
    <row r="27" spans="1:29" customFormat="1" x14ac:dyDescent="0.15">
      <c r="A27" s="182" t="s">
        <v>217</v>
      </c>
      <c r="B27" s="102">
        <v>0</v>
      </c>
      <c r="C27" s="102">
        <v>0</v>
      </c>
      <c r="D27" s="102">
        <v>0</v>
      </c>
      <c r="E27" s="102">
        <v>1</v>
      </c>
      <c r="F27" s="102">
        <v>1</v>
      </c>
      <c r="G27" s="102">
        <v>1</v>
      </c>
      <c r="H27" s="102">
        <v>1</v>
      </c>
      <c r="I27" s="102">
        <v>1</v>
      </c>
      <c r="J27" s="102">
        <v>1</v>
      </c>
      <c r="K27" s="102">
        <v>1</v>
      </c>
      <c r="L27" s="102">
        <v>1</v>
      </c>
      <c r="M27" s="102">
        <v>0</v>
      </c>
      <c r="N27" s="102">
        <v>1</v>
      </c>
      <c r="O27" s="102">
        <v>0</v>
      </c>
      <c r="P27" s="102">
        <v>0</v>
      </c>
      <c r="Q27" s="102">
        <v>1</v>
      </c>
      <c r="R27" s="102">
        <v>0</v>
      </c>
      <c r="S27" s="102">
        <v>0</v>
      </c>
      <c r="T27" s="102">
        <v>0</v>
      </c>
      <c r="U27" s="102">
        <v>1</v>
      </c>
      <c r="V27" s="102">
        <v>1</v>
      </c>
      <c r="W27" s="102">
        <v>1</v>
      </c>
      <c r="X27" s="102">
        <v>1</v>
      </c>
      <c r="Y27" s="102">
        <v>1</v>
      </c>
      <c r="Z27" s="102">
        <v>1</v>
      </c>
      <c r="AA27" s="102">
        <v>0</v>
      </c>
      <c r="AB27" s="102">
        <v>0</v>
      </c>
      <c r="AC27" s="102">
        <v>0</v>
      </c>
    </row>
    <row r="28" spans="1:29" customFormat="1" x14ac:dyDescent="0.15">
      <c r="A28" s="182" t="s">
        <v>218</v>
      </c>
      <c r="B28" s="102">
        <v>0</v>
      </c>
      <c r="C28" s="102">
        <v>0</v>
      </c>
      <c r="D28" s="102">
        <v>0</v>
      </c>
      <c r="E28" s="102">
        <v>0</v>
      </c>
      <c r="F28" s="102">
        <v>0</v>
      </c>
      <c r="G28" s="102">
        <v>0</v>
      </c>
      <c r="H28" s="102">
        <v>0</v>
      </c>
      <c r="I28" s="102">
        <v>0</v>
      </c>
      <c r="J28" s="102">
        <v>1</v>
      </c>
      <c r="K28" s="102">
        <v>0</v>
      </c>
      <c r="L28" s="102">
        <v>1</v>
      </c>
      <c r="M28" s="102">
        <v>0</v>
      </c>
      <c r="N28" s="102">
        <v>0</v>
      </c>
      <c r="O28" s="102">
        <v>1</v>
      </c>
      <c r="P28" s="102">
        <v>0</v>
      </c>
      <c r="Q28" s="102">
        <v>0</v>
      </c>
      <c r="R28" s="102">
        <v>1</v>
      </c>
      <c r="S28" s="102">
        <v>0</v>
      </c>
      <c r="T28" s="102">
        <v>1</v>
      </c>
      <c r="U28" s="102">
        <v>1</v>
      </c>
      <c r="V28" s="102">
        <v>1</v>
      </c>
      <c r="W28" s="102">
        <v>1</v>
      </c>
      <c r="X28" s="102">
        <v>1</v>
      </c>
      <c r="Y28" s="102">
        <v>1</v>
      </c>
      <c r="Z28" s="102">
        <v>1</v>
      </c>
      <c r="AA28" s="102">
        <v>0</v>
      </c>
      <c r="AB28" s="102">
        <v>0</v>
      </c>
      <c r="AC28" s="102">
        <v>0</v>
      </c>
    </row>
    <row r="29" spans="1:29" customFormat="1" x14ac:dyDescent="0.15">
      <c r="A29" s="182" t="s">
        <v>219</v>
      </c>
      <c r="B29" s="102">
        <v>0</v>
      </c>
      <c r="C29" s="102">
        <v>0</v>
      </c>
      <c r="D29" s="102">
        <v>0</v>
      </c>
      <c r="E29" s="102">
        <v>0</v>
      </c>
      <c r="F29" s="102">
        <v>0</v>
      </c>
      <c r="G29" s="102">
        <v>0</v>
      </c>
      <c r="H29" s="102">
        <v>0</v>
      </c>
      <c r="I29" s="102">
        <v>0</v>
      </c>
      <c r="J29" s="102">
        <v>0</v>
      </c>
      <c r="K29" s="102">
        <v>0</v>
      </c>
      <c r="L29" s="102">
        <v>0</v>
      </c>
      <c r="M29" s="102">
        <v>0</v>
      </c>
      <c r="N29" s="102">
        <v>0</v>
      </c>
      <c r="O29" s="102">
        <v>0</v>
      </c>
      <c r="P29" s="102">
        <v>0</v>
      </c>
      <c r="Q29" s="102">
        <v>0</v>
      </c>
      <c r="R29" s="102">
        <v>0</v>
      </c>
      <c r="S29" s="102">
        <v>0</v>
      </c>
      <c r="T29" s="102">
        <v>0</v>
      </c>
      <c r="U29" s="102">
        <v>0</v>
      </c>
      <c r="V29" s="102">
        <v>0</v>
      </c>
      <c r="W29" s="102">
        <v>0</v>
      </c>
      <c r="X29" s="102">
        <v>0</v>
      </c>
      <c r="Y29" s="102">
        <v>0</v>
      </c>
      <c r="Z29" s="102">
        <v>0</v>
      </c>
      <c r="AA29" s="102">
        <v>0</v>
      </c>
      <c r="AB29" s="102">
        <v>0</v>
      </c>
      <c r="AC29" s="102">
        <v>0</v>
      </c>
    </row>
    <row r="30" spans="1:29" customFormat="1" x14ac:dyDescent="0.15">
      <c r="A30" s="182" t="s">
        <v>221</v>
      </c>
      <c r="B30" s="102">
        <v>0</v>
      </c>
      <c r="C30" s="102">
        <v>1</v>
      </c>
      <c r="D30" s="102">
        <v>1</v>
      </c>
      <c r="E30" s="102">
        <v>1</v>
      </c>
      <c r="F30" s="102">
        <v>1</v>
      </c>
      <c r="G30" s="102">
        <v>1</v>
      </c>
      <c r="H30" s="102">
        <v>1</v>
      </c>
      <c r="I30" s="102">
        <v>0</v>
      </c>
      <c r="J30" s="102">
        <v>1</v>
      </c>
      <c r="K30" s="102">
        <v>1</v>
      </c>
      <c r="L30" s="102">
        <v>1</v>
      </c>
      <c r="M30" s="102">
        <v>1</v>
      </c>
      <c r="N30" s="102">
        <v>1</v>
      </c>
      <c r="O30" s="102">
        <v>0</v>
      </c>
      <c r="P30" s="102">
        <v>1</v>
      </c>
      <c r="Q30" s="102">
        <v>1</v>
      </c>
      <c r="R30" s="102">
        <v>1</v>
      </c>
      <c r="S30" s="102">
        <v>0</v>
      </c>
      <c r="T30" s="102">
        <v>1</v>
      </c>
      <c r="U30" s="102">
        <v>1</v>
      </c>
      <c r="V30" s="102">
        <v>1</v>
      </c>
      <c r="W30" s="102">
        <v>1</v>
      </c>
      <c r="X30" s="102">
        <v>1</v>
      </c>
      <c r="Y30" s="102">
        <v>0</v>
      </c>
      <c r="Z30" s="102">
        <v>0</v>
      </c>
      <c r="AA30" s="102">
        <v>0</v>
      </c>
      <c r="AB30" s="102">
        <v>0</v>
      </c>
      <c r="AC30" s="102">
        <v>0</v>
      </c>
    </row>
    <row r="31" spans="1:29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4.3320312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85" t="s">
        <v>220</v>
      </c>
    </row>
    <row r="2" spans="1:3" x14ac:dyDescent="0.15">
      <c r="A2">
        <v>1</v>
      </c>
      <c r="B2" s="184" t="s">
        <v>192</v>
      </c>
      <c r="C2">
        <v>0</v>
      </c>
    </row>
    <row r="3" spans="1:3" x14ac:dyDescent="0.15">
      <c r="A3">
        <v>2</v>
      </c>
      <c r="B3" s="184" t="s">
        <v>193</v>
      </c>
      <c r="C3">
        <v>0</v>
      </c>
    </row>
    <row r="4" spans="1:3" x14ac:dyDescent="0.15">
      <c r="A4">
        <v>3</v>
      </c>
      <c r="B4" s="184" t="s">
        <v>194</v>
      </c>
      <c r="C4">
        <v>0.8</v>
      </c>
    </row>
    <row r="5" spans="1:3" x14ac:dyDescent="0.15">
      <c r="A5">
        <v>4</v>
      </c>
      <c r="B5" s="184" t="s">
        <v>195</v>
      </c>
      <c r="C5">
        <v>0.8</v>
      </c>
    </row>
    <row r="6" spans="1:3" x14ac:dyDescent="0.15">
      <c r="A6">
        <v>5</v>
      </c>
      <c r="B6" s="184" t="s">
        <v>196</v>
      </c>
      <c r="C6">
        <v>0.8</v>
      </c>
    </row>
    <row r="7" spans="1:3" x14ac:dyDescent="0.15">
      <c r="A7">
        <v>6</v>
      </c>
      <c r="B7" s="184" t="s">
        <v>197</v>
      </c>
      <c r="C7">
        <v>0.8</v>
      </c>
    </row>
    <row r="8" spans="1:3" x14ac:dyDescent="0.15">
      <c r="A8">
        <v>7</v>
      </c>
      <c r="B8" s="184" t="s">
        <v>198</v>
      </c>
      <c r="C8">
        <v>0.8</v>
      </c>
    </row>
    <row r="9" spans="1:3" x14ac:dyDescent="0.15">
      <c r="A9">
        <v>8</v>
      </c>
      <c r="B9" s="184" t="s">
        <v>199</v>
      </c>
      <c r="C9">
        <v>0.8</v>
      </c>
    </row>
    <row r="10" spans="1:3" x14ac:dyDescent="0.15">
      <c r="A10">
        <v>9</v>
      </c>
      <c r="B10" s="184" t="s">
        <v>200</v>
      </c>
      <c r="C10">
        <v>0.8</v>
      </c>
    </row>
    <row r="11" spans="1:3" x14ac:dyDescent="0.15">
      <c r="A11">
        <v>10</v>
      </c>
      <c r="B11" s="184" t="s">
        <v>201</v>
      </c>
      <c r="C11">
        <v>0</v>
      </c>
    </row>
    <row r="12" spans="1:3" x14ac:dyDescent="0.15">
      <c r="A12">
        <v>11</v>
      </c>
      <c r="B12" s="184" t="s">
        <v>202</v>
      </c>
      <c r="C12">
        <v>0.8</v>
      </c>
    </row>
    <row r="13" spans="1:3" x14ac:dyDescent="0.15">
      <c r="A13">
        <v>12</v>
      </c>
      <c r="B13" s="184" t="s">
        <v>203</v>
      </c>
      <c r="C13">
        <v>0.8</v>
      </c>
    </row>
    <row r="14" spans="1:3" x14ac:dyDescent="0.15">
      <c r="A14">
        <v>13</v>
      </c>
      <c r="B14" s="184" t="s">
        <v>204</v>
      </c>
      <c r="C14">
        <v>0.8</v>
      </c>
    </row>
    <row r="15" spans="1:3" x14ac:dyDescent="0.15">
      <c r="A15">
        <v>14</v>
      </c>
      <c r="B15" s="184" t="s">
        <v>205</v>
      </c>
      <c r="C15">
        <v>0</v>
      </c>
    </row>
    <row r="16" spans="1:3" x14ac:dyDescent="0.15">
      <c r="A16">
        <v>15</v>
      </c>
      <c r="B16" s="184" t="s">
        <v>206</v>
      </c>
      <c r="C16">
        <v>0</v>
      </c>
    </row>
    <row r="17" spans="1:3" x14ac:dyDescent="0.15">
      <c r="A17">
        <v>16</v>
      </c>
      <c r="B17" s="184" t="s">
        <v>207</v>
      </c>
      <c r="C17">
        <v>0</v>
      </c>
    </row>
    <row r="18" spans="1:3" x14ac:dyDescent="0.15">
      <c r="A18">
        <v>17</v>
      </c>
      <c r="B18" s="184" t="s">
        <v>208</v>
      </c>
      <c r="C18">
        <v>0</v>
      </c>
    </row>
    <row r="19" spans="1:3" x14ac:dyDescent="0.15">
      <c r="A19">
        <v>18</v>
      </c>
      <c r="B19" s="184" t="s">
        <v>209</v>
      </c>
      <c r="C19">
        <v>0</v>
      </c>
    </row>
    <row r="20" spans="1:3" x14ac:dyDescent="0.15">
      <c r="A20">
        <v>19</v>
      </c>
      <c r="B20" s="184" t="s">
        <v>210</v>
      </c>
      <c r="C20">
        <v>0</v>
      </c>
    </row>
    <row r="21" spans="1:3" x14ac:dyDescent="0.15">
      <c r="A21">
        <v>20</v>
      </c>
      <c r="B21" s="184" t="s">
        <v>211</v>
      </c>
      <c r="C21">
        <v>0</v>
      </c>
    </row>
    <row r="22" spans="1:3" x14ac:dyDescent="0.15">
      <c r="A22">
        <v>21</v>
      </c>
      <c r="B22" s="184" t="s">
        <v>212</v>
      </c>
      <c r="C22">
        <v>0</v>
      </c>
    </row>
    <row r="23" spans="1:3" x14ac:dyDescent="0.15">
      <c r="A23">
        <v>22</v>
      </c>
      <c r="B23" s="184" t="s">
        <v>213</v>
      </c>
      <c r="C23">
        <v>0</v>
      </c>
    </row>
    <row r="24" spans="1:3" x14ac:dyDescent="0.15">
      <c r="A24">
        <v>23</v>
      </c>
      <c r="B24" s="184" t="s">
        <v>214</v>
      </c>
      <c r="C24">
        <v>0</v>
      </c>
    </row>
    <row r="25" spans="1:3" x14ac:dyDescent="0.15">
      <c r="A25">
        <v>24</v>
      </c>
      <c r="B25" s="184" t="s">
        <v>215</v>
      </c>
      <c r="C25">
        <v>0</v>
      </c>
    </row>
    <row r="26" spans="1:3" x14ac:dyDescent="0.15">
      <c r="A26">
        <v>25</v>
      </c>
      <c r="B26" s="184" t="s">
        <v>216</v>
      </c>
      <c r="C26">
        <v>0</v>
      </c>
    </row>
    <row r="27" spans="1:3" x14ac:dyDescent="0.15">
      <c r="A27">
        <v>26</v>
      </c>
      <c r="B27" s="184" t="s">
        <v>217</v>
      </c>
      <c r="C27">
        <v>0</v>
      </c>
    </row>
    <row r="28" spans="1:3" x14ac:dyDescent="0.15">
      <c r="A28">
        <v>27</v>
      </c>
      <c r="B28" s="184" t="s">
        <v>218</v>
      </c>
      <c r="C28">
        <v>0</v>
      </c>
    </row>
    <row r="29" spans="1:3" x14ac:dyDescent="0.15">
      <c r="A29">
        <v>28</v>
      </c>
      <c r="B29" s="184" t="s">
        <v>219</v>
      </c>
      <c r="C29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29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4.3320312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87" t="s">
        <v>220</v>
      </c>
    </row>
    <row r="2" spans="1:3" x14ac:dyDescent="0.15">
      <c r="A2">
        <v>1</v>
      </c>
      <c r="B2" s="186" t="s">
        <v>192</v>
      </c>
      <c r="C2">
        <v>0</v>
      </c>
    </row>
    <row r="3" spans="1:3" x14ac:dyDescent="0.15">
      <c r="A3">
        <v>2</v>
      </c>
      <c r="B3" s="186" t="s">
        <v>193</v>
      </c>
      <c r="C3">
        <v>0</v>
      </c>
    </row>
    <row r="4" spans="1:3" x14ac:dyDescent="0.15">
      <c r="A4">
        <v>3</v>
      </c>
      <c r="B4" s="186" t="s">
        <v>194</v>
      </c>
      <c r="C4">
        <v>0.8</v>
      </c>
    </row>
    <row r="5" spans="1:3" x14ac:dyDescent="0.15">
      <c r="A5">
        <v>4</v>
      </c>
      <c r="B5" s="186" t="s">
        <v>195</v>
      </c>
      <c r="C5">
        <v>0.8</v>
      </c>
    </row>
    <row r="6" spans="1:3" x14ac:dyDescent="0.15">
      <c r="A6">
        <v>5</v>
      </c>
      <c r="B6" s="186" t="s">
        <v>196</v>
      </c>
      <c r="C6">
        <v>0.8</v>
      </c>
    </row>
    <row r="7" spans="1:3" x14ac:dyDescent="0.15">
      <c r="A7">
        <v>6</v>
      </c>
      <c r="B7" s="186" t="s">
        <v>197</v>
      </c>
      <c r="C7">
        <v>0.8</v>
      </c>
    </row>
    <row r="8" spans="1:3" x14ac:dyDescent="0.15">
      <c r="A8">
        <v>7</v>
      </c>
      <c r="B8" s="186" t="s">
        <v>198</v>
      </c>
      <c r="C8">
        <v>0.8</v>
      </c>
    </row>
    <row r="9" spans="1:3" x14ac:dyDescent="0.15">
      <c r="A9">
        <v>8</v>
      </c>
      <c r="B9" s="186" t="s">
        <v>199</v>
      </c>
      <c r="C9">
        <v>0.8</v>
      </c>
    </row>
    <row r="10" spans="1:3" x14ac:dyDescent="0.15">
      <c r="A10">
        <v>9</v>
      </c>
      <c r="B10" s="186" t="s">
        <v>200</v>
      </c>
      <c r="C10">
        <v>0.8</v>
      </c>
    </row>
    <row r="11" spans="1:3" x14ac:dyDescent="0.15">
      <c r="A11">
        <v>10</v>
      </c>
      <c r="B11" s="186" t="s">
        <v>201</v>
      </c>
      <c r="C11">
        <v>0</v>
      </c>
    </row>
    <row r="12" spans="1:3" x14ac:dyDescent="0.15">
      <c r="A12">
        <v>11</v>
      </c>
      <c r="B12" s="186" t="s">
        <v>202</v>
      </c>
      <c r="C12">
        <v>0.8</v>
      </c>
    </row>
    <row r="13" spans="1:3" x14ac:dyDescent="0.15">
      <c r="A13">
        <v>12</v>
      </c>
      <c r="B13" s="186" t="s">
        <v>203</v>
      </c>
      <c r="C13">
        <v>0.8</v>
      </c>
    </row>
    <row r="14" spans="1:3" x14ac:dyDescent="0.15">
      <c r="A14">
        <v>13</v>
      </c>
      <c r="B14" s="186" t="s">
        <v>204</v>
      </c>
      <c r="C14">
        <v>0.8</v>
      </c>
    </row>
    <row r="15" spans="1:3" x14ac:dyDescent="0.15">
      <c r="A15">
        <v>14</v>
      </c>
      <c r="B15" s="186" t="s">
        <v>205</v>
      </c>
      <c r="C15">
        <v>0</v>
      </c>
    </row>
    <row r="16" spans="1:3" x14ac:dyDescent="0.15">
      <c r="A16">
        <v>15</v>
      </c>
      <c r="B16" s="186" t="s">
        <v>206</v>
      </c>
      <c r="C16">
        <v>0</v>
      </c>
    </row>
    <row r="17" spans="1:3" x14ac:dyDescent="0.15">
      <c r="A17">
        <v>16</v>
      </c>
      <c r="B17" s="186" t="s">
        <v>207</v>
      </c>
      <c r="C17">
        <v>0</v>
      </c>
    </row>
    <row r="18" spans="1:3" x14ac:dyDescent="0.15">
      <c r="A18">
        <v>17</v>
      </c>
      <c r="B18" s="186" t="s">
        <v>208</v>
      </c>
      <c r="C18">
        <v>0</v>
      </c>
    </row>
    <row r="19" spans="1:3" x14ac:dyDescent="0.15">
      <c r="A19">
        <v>18</v>
      </c>
      <c r="B19" s="186" t="s">
        <v>209</v>
      </c>
      <c r="C19">
        <v>0</v>
      </c>
    </row>
    <row r="20" spans="1:3" x14ac:dyDescent="0.15">
      <c r="A20">
        <v>19</v>
      </c>
      <c r="B20" s="186" t="s">
        <v>210</v>
      </c>
      <c r="C20">
        <v>0</v>
      </c>
    </row>
    <row r="21" spans="1:3" x14ac:dyDescent="0.15">
      <c r="A21">
        <v>20</v>
      </c>
      <c r="B21" s="186" t="s">
        <v>211</v>
      </c>
      <c r="C21">
        <v>0</v>
      </c>
    </row>
    <row r="22" spans="1:3" x14ac:dyDescent="0.15">
      <c r="A22">
        <v>21</v>
      </c>
      <c r="B22" s="186" t="s">
        <v>212</v>
      </c>
      <c r="C22">
        <v>0</v>
      </c>
    </row>
    <row r="23" spans="1:3" x14ac:dyDescent="0.15">
      <c r="A23">
        <v>22</v>
      </c>
      <c r="B23" s="186" t="s">
        <v>213</v>
      </c>
      <c r="C23">
        <v>0</v>
      </c>
    </row>
    <row r="24" spans="1:3" x14ac:dyDescent="0.15">
      <c r="A24">
        <v>23</v>
      </c>
      <c r="B24" s="186" t="s">
        <v>214</v>
      </c>
      <c r="C24">
        <v>0</v>
      </c>
    </row>
    <row r="25" spans="1:3" x14ac:dyDescent="0.15">
      <c r="A25">
        <v>24</v>
      </c>
      <c r="B25" s="186" t="s">
        <v>215</v>
      </c>
      <c r="C25">
        <v>0</v>
      </c>
    </row>
    <row r="26" spans="1:3" x14ac:dyDescent="0.15">
      <c r="A26">
        <v>25</v>
      </c>
      <c r="B26" s="186" t="s">
        <v>216</v>
      </c>
      <c r="C26">
        <v>0</v>
      </c>
    </row>
    <row r="27" spans="1:3" x14ac:dyDescent="0.15">
      <c r="A27">
        <v>26</v>
      </c>
      <c r="B27" s="186" t="s">
        <v>217</v>
      </c>
      <c r="C27">
        <v>0</v>
      </c>
    </row>
    <row r="28" spans="1:3" x14ac:dyDescent="0.15">
      <c r="A28">
        <v>27</v>
      </c>
      <c r="B28" s="186" t="s">
        <v>218</v>
      </c>
      <c r="C28">
        <v>0</v>
      </c>
    </row>
    <row r="29" spans="1:3" x14ac:dyDescent="0.15">
      <c r="A29">
        <v>28</v>
      </c>
      <c r="B29" s="186" t="s">
        <v>219</v>
      </c>
      <c r="C29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7" sqref="K7"/>
    </sheetView>
  </sheetViews>
  <sheetFormatPr baseColWidth="10" defaultColWidth="8.83203125" defaultRowHeight="15" customHeight="1" x14ac:dyDescent="0.15"/>
  <cols>
    <col min="1" max="1" width="8.83203125" style="77"/>
    <col min="2" max="2" width="41.83203125" style="77" bestFit="1" customWidth="1"/>
    <col min="3" max="3" width="9.33203125" style="77" bestFit="1" customWidth="1"/>
    <col min="4" max="4" width="13" style="77" bestFit="1" customWidth="1"/>
    <col min="5" max="6" width="9.33203125" style="77" bestFit="1" customWidth="1"/>
    <col min="7" max="7" width="9.33203125" style="93" bestFit="1" customWidth="1"/>
    <col min="8" max="8" width="9.33203125" style="77" bestFit="1" customWidth="1"/>
    <col min="9" max="9" width="11" style="77" customWidth="1"/>
    <col min="10" max="10" width="8.83203125" style="77"/>
    <col min="15" max="16384" width="8.83203125" style="77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2" t="s">
        <v>14</v>
      </c>
      <c r="H1" s="1" t="s">
        <v>26</v>
      </c>
      <c r="I1" s="1" t="s">
        <v>24</v>
      </c>
    </row>
    <row r="2" spans="1:10" ht="15" customHeight="1" x14ac:dyDescent="0.15">
      <c r="A2" s="140">
        <v>1</v>
      </c>
      <c r="B2" s="140" t="s">
        <v>192</v>
      </c>
      <c r="C2" s="8">
        <v>3.5493021011352539</v>
      </c>
      <c r="D2" s="9">
        <v>6.6779999732971191</v>
      </c>
      <c r="E2" s="9">
        <v>0.89099997282028198</v>
      </c>
      <c r="F2" s="9">
        <v>5.1760001182556152</v>
      </c>
      <c r="G2" s="9">
        <v>0.94592630863189697</v>
      </c>
      <c r="H2" s="9">
        <v>0.17214064300060272</v>
      </c>
      <c r="I2">
        <v>0</v>
      </c>
      <c r="J2"/>
    </row>
    <row r="3" spans="1:10" ht="15" customHeight="1" x14ac:dyDescent="0.15">
      <c r="A3" s="141">
        <v>2</v>
      </c>
      <c r="B3" s="141" t="s">
        <v>193</v>
      </c>
      <c r="C3" s="8">
        <v>4.2416620254516602</v>
      </c>
      <c r="D3" s="9">
        <v>8.999999612569809E-3</v>
      </c>
      <c r="E3" s="9">
        <v>5.4000000953674316</v>
      </c>
      <c r="F3" s="9">
        <v>80</v>
      </c>
      <c r="G3" s="7">
        <v>0</v>
      </c>
      <c r="H3" s="9">
        <v>6.7500002682209015E-2</v>
      </c>
      <c r="I3">
        <v>0</v>
      </c>
      <c r="J3"/>
    </row>
    <row r="4" spans="1:10" ht="15" customHeight="1" x14ac:dyDescent="0.15">
      <c r="A4" s="142">
        <v>3</v>
      </c>
      <c r="B4" s="142" t="s">
        <v>194</v>
      </c>
      <c r="C4" s="8">
        <v>4.2476420402526855</v>
      </c>
      <c r="D4" s="9">
        <v>1.9220000505447388</v>
      </c>
      <c r="E4" s="9">
        <v>0.72899997234344482</v>
      </c>
      <c r="F4" s="9">
        <v>4.8870000839233398</v>
      </c>
      <c r="G4" s="9">
        <v>0.37897768616676331</v>
      </c>
      <c r="H4" s="9">
        <v>0.14917126297950745</v>
      </c>
      <c r="I4">
        <v>0.53100001811981201</v>
      </c>
      <c r="J4"/>
    </row>
    <row r="5" spans="1:10" ht="15" customHeight="1" x14ac:dyDescent="0.15">
      <c r="A5" s="143">
        <v>4</v>
      </c>
      <c r="B5" s="143" t="s">
        <v>195</v>
      </c>
      <c r="C5" s="8">
        <v>4.0749325752258301</v>
      </c>
      <c r="D5" s="9">
        <v>2.312000036239624</v>
      </c>
      <c r="E5" s="9">
        <v>0.76200002431869507</v>
      </c>
      <c r="F5" s="9">
        <v>5.7350001335144043</v>
      </c>
      <c r="G5" s="9">
        <v>0.38469567894935608</v>
      </c>
      <c r="H5" s="9">
        <v>0.13286834955215454</v>
      </c>
      <c r="I5">
        <v>0.53200000524520874</v>
      </c>
      <c r="J5"/>
    </row>
    <row r="6" spans="1:10" ht="15" customHeight="1" x14ac:dyDescent="0.15">
      <c r="A6" s="144">
        <v>5</v>
      </c>
      <c r="B6" s="144" t="s">
        <v>196</v>
      </c>
      <c r="C6" s="8">
        <v>3.218238353729248</v>
      </c>
      <c r="D6" s="9">
        <v>12.385273933410645</v>
      </c>
      <c r="E6" s="9">
        <v>0.51399999856948853</v>
      </c>
      <c r="F6" s="9">
        <v>6.250999927520752</v>
      </c>
      <c r="G6" s="9">
        <v>0.94999998807907104</v>
      </c>
      <c r="H6" s="9">
        <v>8.2226842641830444E-2</v>
      </c>
      <c r="I6">
        <v>0.19200000166893005</v>
      </c>
      <c r="J6"/>
    </row>
    <row r="7" spans="1:10" ht="15" customHeight="1" x14ac:dyDescent="0.15">
      <c r="A7" s="145">
        <v>6</v>
      </c>
      <c r="B7" s="145" t="s">
        <v>197</v>
      </c>
      <c r="C7" s="8">
        <v>3.2214710712432861</v>
      </c>
      <c r="D7" s="9">
        <v>2.9000000953674316</v>
      </c>
      <c r="E7" s="9">
        <v>0.39100000262260437</v>
      </c>
      <c r="F7" s="9">
        <v>5.3660001754760742</v>
      </c>
      <c r="G7" s="9">
        <v>0.10057683289051056</v>
      </c>
      <c r="H7" s="9">
        <v>7.2866193950176239E-2</v>
      </c>
      <c r="I7">
        <v>3.9000000804662704E-2</v>
      </c>
      <c r="J7"/>
    </row>
    <row r="8" spans="1:10" ht="15" customHeight="1" x14ac:dyDescent="0.15">
      <c r="A8" s="146">
        <v>7</v>
      </c>
      <c r="B8" s="146" t="s">
        <v>198</v>
      </c>
      <c r="C8" s="8">
        <v>3.4874472618103027</v>
      </c>
      <c r="D8" s="9">
        <v>7.4720001220703125</v>
      </c>
      <c r="E8" s="9">
        <v>0.75599998235702515</v>
      </c>
      <c r="F8" s="9">
        <v>7.1490001678466797</v>
      </c>
      <c r="G8" s="9">
        <v>0.31171268224716187</v>
      </c>
      <c r="H8" s="9">
        <v>0.10574904829263687</v>
      </c>
      <c r="I8">
        <v>0.12200000137090683</v>
      </c>
      <c r="J8"/>
    </row>
    <row r="9" spans="1:10" ht="15" customHeight="1" x14ac:dyDescent="0.15">
      <c r="A9" s="147">
        <v>8</v>
      </c>
      <c r="B9" s="147" t="s">
        <v>199</v>
      </c>
      <c r="C9" s="8">
        <v>3.05776047706604</v>
      </c>
      <c r="D9" s="9">
        <v>0.63999998569488525</v>
      </c>
      <c r="E9" s="9">
        <v>0.47499999403953552</v>
      </c>
      <c r="F9" s="9">
        <v>5.7610001564025879</v>
      </c>
      <c r="G9" s="9">
        <v>6.4318470656871796E-2</v>
      </c>
      <c r="H9" s="9">
        <v>8.245096355676651E-2</v>
      </c>
      <c r="I9">
        <v>8.0000003799796104E-3</v>
      </c>
      <c r="J9"/>
    </row>
    <row r="10" spans="1:10" ht="15" customHeight="1" x14ac:dyDescent="0.15">
      <c r="A10" s="148">
        <v>9</v>
      </c>
      <c r="B10" s="148" t="s">
        <v>200</v>
      </c>
      <c r="C10" s="8">
        <v>2.8915169239044189</v>
      </c>
      <c r="D10" s="9">
        <v>3.5999998450279236E-2</v>
      </c>
      <c r="E10" s="9">
        <v>1.8279999494552612</v>
      </c>
      <c r="F10" s="9">
        <v>7.3769998550415039</v>
      </c>
      <c r="G10" s="9">
        <v>0.98772192001342773</v>
      </c>
      <c r="H10" s="9">
        <v>0.24779720604419708</v>
      </c>
      <c r="I10">
        <v>6.4999997615814209E-2</v>
      </c>
      <c r="J10"/>
    </row>
    <row r="11" spans="1:10" ht="15" customHeight="1" x14ac:dyDescent="0.15">
      <c r="A11" s="149">
        <v>10</v>
      </c>
      <c r="B11" s="149" t="s">
        <v>201</v>
      </c>
      <c r="C11" s="8">
        <v>2.8051483631134033</v>
      </c>
      <c r="D11" s="9">
        <v>0.61738741397857666</v>
      </c>
      <c r="E11" s="9">
        <v>0.60500001907348633</v>
      </c>
      <c r="F11" s="9">
        <v>13.170999526977539</v>
      </c>
      <c r="G11" s="9">
        <v>0.95000004768371582</v>
      </c>
      <c r="H11" s="9">
        <v>4.5934252440929413E-2</v>
      </c>
      <c r="I11">
        <v>0</v>
      </c>
      <c r="J11"/>
    </row>
    <row r="12" spans="1:10" ht="15" customHeight="1" x14ac:dyDescent="0.15">
      <c r="A12" s="150">
        <v>11</v>
      </c>
      <c r="B12" s="150" t="s">
        <v>202</v>
      </c>
      <c r="C12" s="8">
        <v>2.0539722442626953</v>
      </c>
      <c r="D12" s="9">
        <v>4.7399997711181641</v>
      </c>
      <c r="E12" s="9">
        <v>0.77999997138977051</v>
      </c>
      <c r="F12" s="9">
        <v>12.024999618530273</v>
      </c>
      <c r="G12" s="9">
        <v>3.9515972137451172E-2</v>
      </c>
      <c r="H12" s="9">
        <v>6.4864866435527802E-2</v>
      </c>
      <c r="I12">
        <v>7.4000000953674316E-2</v>
      </c>
      <c r="J12"/>
    </row>
    <row r="13" spans="1:10" ht="15" customHeight="1" x14ac:dyDescent="0.15">
      <c r="A13" s="151">
        <v>12</v>
      </c>
      <c r="B13" s="151" t="s">
        <v>203</v>
      </c>
      <c r="C13" s="8">
        <v>3.5418195724487305</v>
      </c>
      <c r="D13" s="9">
        <v>15.401000022888184</v>
      </c>
      <c r="E13" s="9">
        <v>0.93699997663497925</v>
      </c>
      <c r="F13" s="9">
        <v>10.284000396728516</v>
      </c>
      <c r="G13" s="9">
        <v>0.16914172470569611</v>
      </c>
      <c r="H13" s="9">
        <v>9.1112405061721802E-2</v>
      </c>
      <c r="I13">
        <v>0.35400000214576721</v>
      </c>
      <c r="J13"/>
    </row>
    <row r="14" spans="1:10" ht="15" customHeight="1" x14ac:dyDescent="0.15">
      <c r="A14" s="152">
        <v>13</v>
      </c>
      <c r="B14" s="152" t="s">
        <v>204</v>
      </c>
      <c r="C14" s="8">
        <v>2.4918649196624756</v>
      </c>
      <c r="D14" s="9">
        <v>0.15299999713897705</v>
      </c>
      <c r="E14" s="9">
        <v>0.62400001287460327</v>
      </c>
      <c r="F14" s="9">
        <v>8.5869998931884766</v>
      </c>
      <c r="G14" s="9">
        <v>0.9921233057975769</v>
      </c>
      <c r="H14" s="9">
        <v>7.2667986154556274E-2</v>
      </c>
      <c r="I14">
        <v>2.199999988079071E-2</v>
      </c>
      <c r="J14"/>
    </row>
    <row r="15" spans="1:10" ht="15" customHeight="1" x14ac:dyDescent="0.15">
      <c r="A15" s="153">
        <v>14</v>
      </c>
      <c r="B15" s="153" t="s">
        <v>205</v>
      </c>
      <c r="C15" s="8">
        <v>2</v>
      </c>
      <c r="D15" s="9">
        <v>0.87560158967971802</v>
      </c>
      <c r="E15" s="9">
        <v>284.79998779296875</v>
      </c>
      <c r="F15" s="9">
        <v>1898.72998046875</v>
      </c>
      <c r="G15" s="9">
        <v>0.94999998807907104</v>
      </c>
      <c r="H15" s="9">
        <v>0.14999499917030334</v>
      </c>
      <c r="I15">
        <v>0</v>
      </c>
      <c r="J15"/>
    </row>
    <row r="16" spans="1:10" ht="15" customHeight="1" x14ac:dyDescent="0.15">
      <c r="A16" s="154">
        <v>15</v>
      </c>
      <c r="B16" s="154" t="s">
        <v>206</v>
      </c>
      <c r="C16" s="8">
        <v>2.4713892936706543</v>
      </c>
      <c r="D16" s="9">
        <v>3.2629082202911377</v>
      </c>
      <c r="E16" s="9">
        <v>50</v>
      </c>
      <c r="F16" s="9">
        <v>170</v>
      </c>
      <c r="G16" s="9">
        <v>0.95000004768371582</v>
      </c>
      <c r="H16" s="9">
        <v>0.29411765933036804</v>
      </c>
      <c r="I16">
        <v>0</v>
      </c>
      <c r="J16"/>
    </row>
    <row r="17" spans="1:10" ht="15" customHeight="1" x14ac:dyDescent="0.15">
      <c r="A17" s="155">
        <v>16</v>
      </c>
      <c r="B17" s="155" t="s">
        <v>207</v>
      </c>
      <c r="C17" s="8">
        <v>3.3403265476226807</v>
      </c>
      <c r="D17" s="9">
        <v>0.74500000476837158</v>
      </c>
      <c r="E17" s="9">
        <v>25</v>
      </c>
      <c r="F17" s="9">
        <v>70</v>
      </c>
      <c r="G17" s="9">
        <v>0.67584598064422607</v>
      </c>
      <c r="H17" s="9">
        <v>0.3571428656578064</v>
      </c>
      <c r="I17">
        <v>0</v>
      </c>
      <c r="J17"/>
    </row>
    <row r="18" spans="1:10" ht="15" customHeight="1" x14ac:dyDescent="0.15">
      <c r="A18" s="156">
        <v>17</v>
      </c>
      <c r="B18" s="156" t="s">
        <v>208</v>
      </c>
      <c r="C18" s="8">
        <v>2.3684210777282715</v>
      </c>
      <c r="D18" s="9">
        <v>1.4276646375656128</v>
      </c>
      <c r="E18" s="9">
        <v>150</v>
      </c>
      <c r="F18" s="9">
        <v>300</v>
      </c>
      <c r="G18" s="9">
        <v>0.99000006914138794</v>
      </c>
      <c r="H18" s="9">
        <v>0.5</v>
      </c>
      <c r="I18">
        <v>0</v>
      </c>
      <c r="J18"/>
    </row>
    <row r="19" spans="1:10" ht="15" customHeight="1" x14ac:dyDescent="0.15">
      <c r="A19" s="157">
        <v>18</v>
      </c>
      <c r="B19" s="157" t="s">
        <v>209</v>
      </c>
      <c r="C19" s="8">
        <v>1</v>
      </c>
      <c r="D19" s="9">
        <v>5.3749332427978516</v>
      </c>
      <c r="E19" s="9">
        <v>112.65000152587891</v>
      </c>
      <c r="F19" s="10"/>
      <c r="G19" s="9">
        <v>0.94999998807907104</v>
      </c>
      <c r="H19" s="10"/>
      <c r="I19">
        <v>0</v>
      </c>
      <c r="J19"/>
    </row>
    <row r="20" spans="1:10" ht="15" customHeight="1" x14ac:dyDescent="0.15">
      <c r="A20" s="158">
        <v>19</v>
      </c>
      <c r="B20" s="158" t="s">
        <v>210</v>
      </c>
      <c r="C20" s="8">
        <v>2.4657778739929199</v>
      </c>
      <c r="D20" s="9">
        <v>70</v>
      </c>
      <c r="E20" s="9">
        <v>2.5</v>
      </c>
      <c r="F20" s="9">
        <v>10</v>
      </c>
      <c r="G20" s="9">
        <v>0.7102973461151123</v>
      </c>
      <c r="H20" s="9">
        <v>0.25</v>
      </c>
      <c r="I20">
        <v>0</v>
      </c>
      <c r="J20"/>
    </row>
    <row r="21" spans="1:10" ht="15" customHeight="1" x14ac:dyDescent="0.15">
      <c r="A21" s="159">
        <v>20</v>
      </c>
      <c r="B21" s="159" t="s">
        <v>211</v>
      </c>
      <c r="C21" s="8">
        <v>2.0688555240631104</v>
      </c>
      <c r="D21" s="9">
        <v>64.426002502441406</v>
      </c>
      <c r="E21" s="9">
        <v>0.69300001859664917</v>
      </c>
      <c r="F21" s="9">
        <v>2.7720000743865967</v>
      </c>
      <c r="G21" s="9">
        <v>0.77866208553314209</v>
      </c>
      <c r="H21" s="9">
        <v>0.25</v>
      </c>
      <c r="I21">
        <v>0</v>
      </c>
      <c r="J21"/>
    </row>
    <row r="22" spans="1:10" ht="15" customHeight="1" x14ac:dyDescent="0.15">
      <c r="A22" s="160">
        <v>21</v>
      </c>
      <c r="B22" s="160" t="s">
        <v>212</v>
      </c>
      <c r="C22" s="8">
        <v>2.0510144233703613</v>
      </c>
      <c r="D22" s="9">
        <v>10.001999855041504</v>
      </c>
      <c r="E22" s="9">
        <v>20.209999084472656</v>
      </c>
      <c r="F22" s="9">
        <v>92.595001220703125</v>
      </c>
      <c r="G22" s="9">
        <v>0.83384901285171509</v>
      </c>
      <c r="H22" s="9">
        <v>0.21826231479644775</v>
      </c>
      <c r="I22">
        <v>0</v>
      </c>
      <c r="J22"/>
    </row>
    <row r="23" spans="1:10" ht="15" customHeight="1" x14ac:dyDescent="0.15">
      <c r="A23" s="161">
        <v>22</v>
      </c>
      <c r="B23" s="161" t="s">
        <v>213</v>
      </c>
      <c r="C23" s="8">
        <v>2.0812270641326904</v>
      </c>
      <c r="D23" s="9">
        <v>21.4013671875</v>
      </c>
      <c r="E23" s="9">
        <v>9</v>
      </c>
      <c r="F23" s="9">
        <v>21.743999481201172</v>
      </c>
      <c r="G23" s="9">
        <v>0.94999998807907104</v>
      </c>
      <c r="H23" s="9">
        <v>0.41390728950500488</v>
      </c>
      <c r="I23">
        <v>0</v>
      </c>
      <c r="J23"/>
    </row>
    <row r="24" spans="1:10" ht="15" customHeight="1" x14ac:dyDescent="0.15">
      <c r="A24" s="162">
        <v>23</v>
      </c>
      <c r="B24" s="162" t="s">
        <v>214</v>
      </c>
      <c r="C24" s="8">
        <v>2.9474565982818604</v>
      </c>
      <c r="D24" s="9">
        <v>24.629999160766602</v>
      </c>
      <c r="E24" s="9">
        <v>4.7224998474121094</v>
      </c>
      <c r="F24" s="9">
        <v>18.889999389648438</v>
      </c>
      <c r="G24" s="9">
        <v>0.6291852593421936</v>
      </c>
      <c r="H24" s="9">
        <v>0.25</v>
      </c>
      <c r="I24">
        <v>0</v>
      </c>
      <c r="J24"/>
    </row>
    <row r="25" spans="1:10" ht="15" customHeight="1" x14ac:dyDescent="0.15">
      <c r="A25" s="163">
        <v>24</v>
      </c>
      <c r="B25" s="163" t="s">
        <v>215</v>
      </c>
      <c r="C25" s="8">
        <v>2.3591654300689697</v>
      </c>
      <c r="D25" s="9">
        <v>62.339000701904297</v>
      </c>
      <c r="E25" s="9">
        <v>3.3599998950958252</v>
      </c>
      <c r="F25" s="9">
        <v>19.260000228881836</v>
      </c>
      <c r="G25" s="9">
        <v>0.92447686195373535</v>
      </c>
      <c r="H25" s="9">
        <v>0.17445482313632965</v>
      </c>
      <c r="I25">
        <v>0</v>
      </c>
      <c r="J25"/>
    </row>
    <row r="26" spans="1:10" ht="15" customHeight="1" x14ac:dyDescent="0.15">
      <c r="A26" s="164">
        <v>25</v>
      </c>
      <c r="B26" s="164" t="s">
        <v>216</v>
      </c>
      <c r="C26" s="8">
        <v>2.376948356628418</v>
      </c>
      <c r="D26" s="9">
        <v>76.389213562011719</v>
      </c>
      <c r="E26" s="9">
        <v>1.9129999876022339</v>
      </c>
      <c r="F26" s="9">
        <v>10.710000038146973</v>
      </c>
      <c r="G26" s="9">
        <v>0.94999992847442627</v>
      </c>
      <c r="H26" s="9">
        <v>0.17861811816692352</v>
      </c>
      <c r="I26">
        <v>0</v>
      </c>
      <c r="J26"/>
    </row>
    <row r="27" spans="1:10" ht="15" customHeight="1" x14ac:dyDescent="0.15">
      <c r="A27" s="165">
        <v>26</v>
      </c>
      <c r="B27" s="165" t="s">
        <v>217</v>
      </c>
      <c r="C27" s="8">
        <v>1</v>
      </c>
      <c r="D27" s="9">
        <v>970.7447509765625</v>
      </c>
      <c r="E27" s="9">
        <v>1.5729999542236328</v>
      </c>
      <c r="F27" s="10"/>
      <c r="G27" s="9">
        <v>0.95000004768371582</v>
      </c>
      <c r="H27" s="10"/>
      <c r="I27">
        <v>0</v>
      </c>
      <c r="J27"/>
    </row>
    <row r="28" spans="1:10" ht="15" customHeight="1" x14ac:dyDescent="0.15">
      <c r="A28" s="166">
        <v>27</v>
      </c>
      <c r="B28" s="166" t="s">
        <v>218</v>
      </c>
      <c r="C28" s="8">
        <v>1</v>
      </c>
      <c r="D28" s="9">
        <v>230.85000610351562</v>
      </c>
      <c r="E28" s="10"/>
      <c r="F28" s="10"/>
      <c r="G28" s="9">
        <v>0.9647834300994873</v>
      </c>
      <c r="H28" s="10"/>
      <c r="I28">
        <v>0</v>
      </c>
      <c r="J28"/>
    </row>
    <row r="29" spans="1:10" ht="15" customHeight="1" x14ac:dyDescent="0.15">
      <c r="A29" s="167">
        <v>28</v>
      </c>
      <c r="B29" s="167" t="s">
        <v>219</v>
      </c>
      <c r="C29" s="8">
        <v>1</v>
      </c>
      <c r="D29" s="9">
        <v>5</v>
      </c>
      <c r="E29" s="10"/>
      <c r="F29" s="10"/>
      <c r="G29" s="7">
        <v>0</v>
      </c>
      <c r="H29" s="10"/>
      <c r="I29">
        <v>0</v>
      </c>
      <c r="J29"/>
    </row>
    <row r="30" spans="1:10" ht="15" customHeight="1" x14ac:dyDescent="0.15">
      <c r="A30" s="168">
        <v>29</v>
      </c>
      <c r="B30" s="168" t="s">
        <v>220</v>
      </c>
      <c r="C30" s="8">
        <v>4.7469830513000488</v>
      </c>
      <c r="D30" s="10"/>
      <c r="E30" s="10"/>
      <c r="F30" s="10"/>
      <c r="G30" s="10"/>
      <c r="H30" s="10"/>
      <c r="I30">
        <v>1.9390000104904175</v>
      </c>
      <c r="J30"/>
    </row>
    <row r="31" spans="1:10" ht="15" customHeight="1" x14ac:dyDescent="0.15">
      <c r="A31"/>
      <c r="B31"/>
      <c r="C31"/>
      <c r="D31"/>
      <c r="E31"/>
      <c r="F31"/>
      <c r="G31"/>
      <c r="H31"/>
      <c r="I31"/>
      <c r="J31"/>
    </row>
    <row r="32" spans="1:10" ht="15" customHeight="1" x14ac:dyDescent="0.15">
      <c r="A32"/>
      <c r="B32"/>
      <c r="C32"/>
      <c r="D32"/>
      <c r="E32"/>
      <c r="F32"/>
      <c r="G32"/>
      <c r="H32"/>
      <c r="I32"/>
      <c r="J32"/>
    </row>
    <row r="33" spans="1:10" ht="15" customHeight="1" x14ac:dyDescent="0.15">
      <c r="A33"/>
      <c r="B33"/>
      <c r="C33"/>
      <c r="D33"/>
      <c r="E33"/>
      <c r="F33"/>
      <c r="G33"/>
      <c r="H33"/>
      <c r="I33"/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77" bestFit="1" customWidth="1"/>
    <col min="2" max="4" width="9.5" style="77" bestFit="1" customWidth="1"/>
    <col min="5" max="7" width="9" style="77" bestFit="1" customWidth="1"/>
    <col min="8" max="16" width="12.6640625" style="77" bestFit="1" customWidth="1"/>
    <col min="17" max="17" width="12.33203125" style="77" bestFit="1" customWidth="1"/>
    <col min="18" max="18" width="8.83203125" style="77"/>
    <col min="19" max="21" width="9.33203125" style="77" bestFit="1" customWidth="1"/>
    <col min="22" max="23" width="8.83203125" style="77"/>
    <col min="24" max="24" width="9.33203125" style="77" bestFit="1" customWidth="1"/>
    <col min="25" max="27" width="8.83203125" style="77"/>
    <col min="28" max="58" width="9" style="77" bestFit="1" customWidth="1"/>
    <col min="59" max="59" width="12.33203125" style="77" bestFit="1" customWidth="1"/>
    <col min="60" max="60" width="9" style="77" bestFit="1" customWidth="1"/>
    <col min="61" max="61" width="11.33203125" style="77" bestFit="1" customWidth="1"/>
    <col min="62" max="77" width="9" style="77" bestFit="1" customWidth="1"/>
    <col min="78" max="78" width="12.33203125" style="77" bestFit="1" customWidth="1"/>
    <col min="79" max="79" width="9" style="77" bestFit="1" customWidth="1"/>
    <col min="80" max="80" width="12.33203125" style="77" bestFit="1" customWidth="1"/>
    <col min="81" max="107" width="9" style="77" bestFit="1" customWidth="1"/>
    <col min="108" max="108" width="11.33203125" style="77" bestFit="1" customWidth="1"/>
    <col min="109" max="124" width="9" style="77" bestFit="1" customWidth="1"/>
    <col min="125" max="125" width="10.33203125" style="77" bestFit="1" customWidth="1"/>
    <col min="126" max="129" width="9.33203125" style="77" bestFit="1" customWidth="1"/>
    <col min="130" max="130" width="9" style="77" bestFit="1" customWidth="1"/>
    <col min="131" max="134" width="9.33203125" style="77" bestFit="1" customWidth="1"/>
    <col min="135" max="165" width="9" style="77" bestFit="1" customWidth="1"/>
    <col min="166" max="166" width="12.33203125" style="77" bestFit="1" customWidth="1"/>
    <col min="167" max="170" width="9" style="77" bestFit="1" customWidth="1"/>
    <col min="171" max="176" width="8.83203125" style="77"/>
    <col min="177" max="177" width="13.83203125" style="77" bestFit="1" customWidth="1"/>
    <col min="178" max="16384" width="8.83203125" style="77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225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 t="s">
        <v>202</v>
      </c>
      <c r="P1" t="s">
        <v>203</v>
      </c>
      <c r="Q1" t="s">
        <v>204</v>
      </c>
      <c r="R1" t="s">
        <v>205</v>
      </c>
      <c r="S1" t="s">
        <v>206</v>
      </c>
      <c r="T1" t="s">
        <v>207</v>
      </c>
      <c r="U1" t="s">
        <v>208</v>
      </c>
      <c r="V1" t="s">
        <v>209</v>
      </c>
      <c r="W1" t="s">
        <v>210</v>
      </c>
      <c r="X1" t="s">
        <v>211</v>
      </c>
      <c r="Y1" t="s">
        <v>212</v>
      </c>
      <c r="Z1" t="s">
        <v>213</v>
      </c>
      <c r="AA1" t="s">
        <v>214</v>
      </c>
      <c r="AB1" t="s">
        <v>215</v>
      </c>
      <c r="AC1" t="s">
        <v>216</v>
      </c>
      <c r="AD1" t="s">
        <v>217</v>
      </c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0.89099997282028198</v>
      </c>
      <c r="C2">
        <v>4.8179656267166138E-2</v>
      </c>
      <c r="D2"/>
      <c r="E2"/>
      <c r="F2"/>
      <c r="G2" s="202">
        <v>3.9382871240377426E-2</v>
      </c>
      <c r="H2" s="15">
        <v>7.9420916736125946E-3</v>
      </c>
      <c r="I2" s="17">
        <v>1.1593345552682877E-2</v>
      </c>
      <c r="J2"/>
      <c r="K2" s="214">
        <v>0.78390198945999146</v>
      </c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5.4000000953674316</v>
      </c>
      <c r="C3">
        <v>5.4000000953674316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0.72899997234344482</v>
      </c>
      <c r="C4">
        <v>0.45272526144981384</v>
      </c>
      <c r="D4" s="133">
        <v>0.27627471089363098</v>
      </c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0.76200002431869507</v>
      </c>
      <c r="C5">
        <v>0.4688619077205658</v>
      </c>
      <c r="D5" s="196">
        <v>0.23010380566120148</v>
      </c>
      <c r="E5"/>
      <c r="F5" s="25">
        <v>2.6470586657524109E-2</v>
      </c>
      <c r="G5" s="26">
        <v>3.6563720554113388E-2</v>
      </c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0.51399999856948853</v>
      </c>
      <c r="C6">
        <v>2.5700006633996964E-2</v>
      </c>
      <c r="D6" s="137">
        <v>1.5502281486988068E-2</v>
      </c>
      <c r="E6"/>
      <c r="F6" s="61">
        <v>1.0812841355800629E-2</v>
      </c>
      <c r="G6" s="210">
        <v>0.27681079506874084</v>
      </c>
      <c r="H6" s="208">
        <v>0.10384543240070343</v>
      </c>
      <c r="I6" s="18">
        <v>6.2510012648999691E-3</v>
      </c>
      <c r="J6"/>
      <c r="K6"/>
      <c r="L6"/>
      <c r="M6" s="11">
        <v>2.1442559955175966E-5</v>
      </c>
      <c r="N6"/>
      <c r="O6"/>
      <c r="P6"/>
      <c r="Q6"/>
      <c r="R6"/>
      <c r="S6"/>
      <c r="T6"/>
      <c r="U6"/>
      <c r="V6"/>
      <c r="W6"/>
      <c r="X6"/>
      <c r="Y6"/>
      <c r="Z6"/>
      <c r="AA6" s="205">
        <v>7.5056210160255432E-2</v>
      </c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0.39100000262260437</v>
      </c>
      <c r="C7">
        <v>0.35167446732521057</v>
      </c>
      <c r="D7" s="25">
        <v>1.3448275625705719E-2</v>
      </c>
      <c r="E7"/>
      <c r="F7" s="24">
        <v>9.682757779955864E-3</v>
      </c>
      <c r="G7" s="62">
        <v>1.6194507479667664E-2</v>
      </c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0.75599998235702515</v>
      </c>
      <c r="C8">
        <v>0.52034521102905273</v>
      </c>
      <c r="D8" s="61">
        <v>1.6327623277902603E-2</v>
      </c>
      <c r="E8"/>
      <c r="F8" s="24">
        <v>1.8790148198604584E-2</v>
      </c>
      <c r="G8" s="203">
        <v>5.5311001837253571E-2</v>
      </c>
      <c r="H8" s="206">
        <v>0.13486459851264954</v>
      </c>
      <c r="I8" s="17">
        <v>1.0361397638916969E-2</v>
      </c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0.47499999403953552</v>
      </c>
      <c r="C9">
        <v>0.44444870948791504</v>
      </c>
      <c r="D9" s="24">
        <v>1.250000111758709E-2</v>
      </c>
      <c r="E9"/>
      <c r="F9" s="20">
        <v>3.3749998547136784E-3</v>
      </c>
      <c r="G9" s="23">
        <v>1.4676272869110107E-2</v>
      </c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1.8279999494552612</v>
      </c>
      <c r="C10">
        <v>2.2444330155849457E-2</v>
      </c>
      <c r="D10" s="197">
        <v>1.8055555820465088</v>
      </c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0.60500001907348633</v>
      </c>
      <c r="C11">
        <v>3.0249971896409988E-2</v>
      </c>
      <c r="D11"/>
      <c r="E11"/>
      <c r="F11"/>
      <c r="G11" s="139">
        <v>0.15213809907436371</v>
      </c>
      <c r="H11" s="200">
        <v>0.17181201279163361</v>
      </c>
      <c r="I11" s="201">
        <v>0.25079992413520813</v>
      </c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0.77999997138977051</v>
      </c>
      <c r="C12">
        <v>0.74917751550674438</v>
      </c>
      <c r="D12" s="19">
        <v>1.5611815266311169E-2</v>
      </c>
      <c r="E12"/>
      <c r="F12" s="18">
        <v>9.2658232897520065E-3</v>
      </c>
      <c r="G12" s="20">
        <v>5.9448196552693844E-3</v>
      </c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0.93699997663497925</v>
      </c>
      <c r="C13">
        <v>0.77851420640945435</v>
      </c>
      <c r="D13" s="24">
        <v>2.2985519841313362E-2</v>
      </c>
      <c r="E13"/>
      <c r="F13" s="21">
        <v>5.4697743616998196E-3</v>
      </c>
      <c r="G13" s="204">
        <v>5.0010442733764648E-2</v>
      </c>
      <c r="H13" s="207">
        <v>6.97360560297966E-2</v>
      </c>
      <c r="I13"/>
      <c r="J13"/>
      <c r="K13"/>
      <c r="L13"/>
      <c r="M13"/>
      <c r="N13"/>
      <c r="O13"/>
      <c r="P13" s="18">
        <v>1.0284001938998699E-2</v>
      </c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0.62400001287460327</v>
      </c>
      <c r="C14">
        <v>4.9150572158396244E-3</v>
      </c>
      <c r="D14" s="198">
        <v>0.14379085600376129</v>
      </c>
      <c r="E14"/>
      <c r="F14" s="199">
        <v>0.47529411315917969</v>
      </c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284.79998779296875</v>
      </c>
      <c r="C15">
        <v>14.240002632141113</v>
      </c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 s="237">
        <v>122.28717803955078</v>
      </c>
      <c r="V15"/>
      <c r="W15" s="228">
        <v>62.357131958007812</v>
      </c>
      <c r="X15" s="20">
        <v>2.243574857711792</v>
      </c>
      <c r="Y15"/>
      <c r="Z15"/>
      <c r="AA15" s="20">
        <v>2.1233212947845459</v>
      </c>
      <c r="AB15" s="232">
        <v>81.548782348632812</v>
      </c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50</v>
      </c>
      <c r="C16">
        <v>2.499997615814209</v>
      </c>
      <c r="D16"/>
      <c r="E16"/>
      <c r="F16"/>
      <c r="G16"/>
      <c r="H16"/>
      <c r="I16"/>
      <c r="J16"/>
      <c r="K16"/>
      <c r="L16"/>
      <c r="M16" s="11">
        <v>4.6392981894314289E-3</v>
      </c>
      <c r="N16" s="11">
        <v>3.9874166250228882E-2</v>
      </c>
      <c r="O16"/>
      <c r="P16" s="69">
        <v>3.8832583427429199</v>
      </c>
      <c r="Q16" s="11">
        <v>2.5769621133804321E-2</v>
      </c>
      <c r="R16"/>
      <c r="S16" s="17">
        <v>0.68000000715255737</v>
      </c>
      <c r="T16" s="216">
        <v>2.8768813610076904</v>
      </c>
      <c r="U16"/>
      <c r="V16"/>
      <c r="W16" s="220">
        <v>5.5778465270996094</v>
      </c>
      <c r="X16" s="14">
        <v>5.4733041673898697E-2</v>
      </c>
      <c r="Y16" s="65">
        <v>2.5519840717315674</v>
      </c>
      <c r="Z16" s="218">
        <v>3.4228460788726807</v>
      </c>
      <c r="AA16" s="222">
        <v>8.1195564270019531</v>
      </c>
      <c r="AB16" s="230">
        <v>20.262611389160156</v>
      </c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25</v>
      </c>
      <c r="C17">
        <v>8.1038503646850586</v>
      </c>
      <c r="D17"/>
      <c r="E17"/>
      <c r="F17"/>
      <c r="G17"/>
      <c r="H17"/>
      <c r="I17"/>
      <c r="J17"/>
      <c r="K17"/>
      <c r="L17"/>
      <c r="M17"/>
      <c r="N17"/>
      <c r="O17"/>
      <c r="P17" s="209">
        <v>2.7637460231781006</v>
      </c>
      <c r="Q17"/>
      <c r="R17"/>
      <c r="S17"/>
      <c r="T17" s="22">
        <v>0.69999998807907104</v>
      </c>
      <c r="U17"/>
      <c r="V17"/>
      <c r="W17" s="211">
        <v>4.6979866027832031</v>
      </c>
      <c r="X17"/>
      <c r="Y17"/>
      <c r="Z17"/>
      <c r="AA17" s="215">
        <v>8.7344169616699219</v>
      </c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150</v>
      </c>
      <c r="C18">
        <v>1.4999896287918091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 s="241">
        <v>92.85931396484375</v>
      </c>
      <c r="T18"/>
      <c r="U18" s="134">
        <v>15.000000953674316</v>
      </c>
      <c r="V18"/>
      <c r="W18" s="227">
        <v>33.831474304199219</v>
      </c>
      <c r="X18"/>
      <c r="Y18" s="217">
        <v>5.8325252532958984</v>
      </c>
      <c r="Z18"/>
      <c r="AA18" s="21">
        <v>0.97669130563735962</v>
      </c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112.65000152587891</v>
      </c>
      <c r="C19">
        <v>5.6325016021728516</v>
      </c>
      <c r="D19"/>
      <c r="E19"/>
      <c r="F19"/>
      <c r="G19"/>
      <c r="H19"/>
      <c r="I19"/>
      <c r="J19"/>
      <c r="K19"/>
      <c r="L19"/>
      <c r="M19"/>
      <c r="N19"/>
      <c r="O19"/>
      <c r="P19"/>
      <c r="Q19" s="11">
        <v>2.6398761197924614E-2</v>
      </c>
      <c r="R19"/>
      <c r="S19" s="242">
        <v>47.162506103515625</v>
      </c>
      <c r="T19"/>
      <c r="U19" s="72">
        <v>15.936920166015625</v>
      </c>
      <c r="V19"/>
      <c r="W19" s="239">
        <v>23.572385787963867</v>
      </c>
      <c r="X19"/>
      <c r="Y19" s="22">
        <v>3.0984165668487549</v>
      </c>
      <c r="Z19"/>
      <c r="AA19"/>
      <c r="AB19" s="236">
        <v>17.220874786376953</v>
      </c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2.5</v>
      </c>
      <c r="C20">
        <v>0.72425663471221924</v>
      </c>
      <c r="D20"/>
      <c r="E20" s="221">
        <v>0.35552909970283508</v>
      </c>
      <c r="F20"/>
      <c r="G20"/>
      <c r="H20"/>
      <c r="I20" s="25">
        <v>8.6268402636051178E-2</v>
      </c>
      <c r="J20" s="13">
        <v>9.3368411064147949E-2</v>
      </c>
      <c r="K20" s="13">
        <v>9.0809457004070282E-2</v>
      </c>
      <c r="L20" s="17">
        <v>3.5711616277694702E-2</v>
      </c>
      <c r="M20"/>
      <c r="N20" s="14">
        <v>4.646634217351675E-3</v>
      </c>
      <c r="O20" s="12">
        <v>1.2213963083922863E-2</v>
      </c>
      <c r="P20"/>
      <c r="Q20"/>
      <c r="R20"/>
      <c r="S20"/>
      <c r="T20"/>
      <c r="U20"/>
      <c r="V20"/>
      <c r="W20"/>
      <c r="X20" s="137">
        <v>7.3986820876598358E-2</v>
      </c>
      <c r="Y20"/>
      <c r="Z20"/>
      <c r="AA20" s="219">
        <v>0.22575798630714417</v>
      </c>
      <c r="AB20" s="138">
        <v>0.15112011134624481</v>
      </c>
      <c r="AC20" s="226">
        <v>0.64633101224899292</v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0.69300001859664917</v>
      </c>
      <c r="C21">
        <v>0.15338717401027679</v>
      </c>
      <c r="D21"/>
      <c r="E21"/>
      <c r="F21"/>
      <c r="G21"/>
      <c r="H21"/>
      <c r="I21" s="212">
        <v>5.5277932435274124E-2</v>
      </c>
      <c r="J21" s="26">
        <v>3.309086337685585E-2</v>
      </c>
      <c r="K21" s="19">
        <v>1.3266030699014664E-2</v>
      </c>
      <c r="L21" s="11">
        <v>2.2891628032084554E-4</v>
      </c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 s="204">
        <v>3.607206791639328E-2</v>
      </c>
      <c r="AB21" s="101">
        <v>0.20524334907531738</v>
      </c>
      <c r="AC21" s="200">
        <v>0.19643370807170868</v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20.209999084472656</v>
      </c>
      <c r="C22">
        <v>3.3579113483428955</v>
      </c>
      <c r="D22"/>
      <c r="E22"/>
      <c r="F22"/>
      <c r="G22"/>
      <c r="H22" s="11">
        <v>1.855933852493763E-2</v>
      </c>
      <c r="I22" s="19">
        <v>0.4025053083896637</v>
      </c>
      <c r="J22" s="14">
        <v>4.6674873679876328E-2</v>
      </c>
      <c r="K22" s="16">
        <v>0.32578054070472717</v>
      </c>
      <c r="L22" s="11">
        <v>3.6863025743514299E-3</v>
      </c>
      <c r="M22" s="11">
        <v>1.008971780538559E-2</v>
      </c>
      <c r="N22" s="17">
        <v>0.26991546154022217</v>
      </c>
      <c r="O22" s="11">
        <v>1.1397420428693295E-2</v>
      </c>
      <c r="P22" s="14">
        <v>4.750567302107811E-2</v>
      </c>
      <c r="Q22" s="11">
        <v>5.2541936747729778E-4</v>
      </c>
      <c r="R22"/>
      <c r="S22"/>
      <c r="T22"/>
      <c r="U22"/>
      <c r="V22"/>
      <c r="W22" s="25">
        <v>0.69986003637313843</v>
      </c>
      <c r="X22" s="14">
        <v>5.3565952926874161E-2</v>
      </c>
      <c r="Y22"/>
      <c r="Z22"/>
      <c r="AA22" s="235">
        <v>7.8999514579772949</v>
      </c>
      <c r="AB22" s="231">
        <v>6.6101822853088379</v>
      </c>
      <c r="AC22" s="61">
        <v>0.45188936591148376</v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9</v>
      </c>
      <c r="C23">
        <v>0.4500001072883606</v>
      </c>
      <c r="D23"/>
      <c r="E23"/>
      <c r="F23"/>
      <c r="G23"/>
      <c r="H23" s="11">
        <v>3.0977739952504635E-3</v>
      </c>
      <c r="I23" s="65">
        <v>0.46304547786712646</v>
      </c>
      <c r="J23" s="11">
        <v>5.816976074129343E-3</v>
      </c>
      <c r="K23" s="12">
        <v>3.99356409907341E-2</v>
      </c>
      <c r="L23" s="11">
        <v>6.8912236019968987E-4</v>
      </c>
      <c r="M23" s="11">
        <v>1.526320818811655E-3</v>
      </c>
      <c r="N23" s="14">
        <v>2.0137744024395943E-2</v>
      </c>
      <c r="O23" s="14">
        <v>1.0653244331479073E-2</v>
      </c>
      <c r="P23" s="14">
        <v>1.4801289886236191E-2</v>
      </c>
      <c r="Q23"/>
      <c r="R23"/>
      <c r="S23"/>
      <c r="T23"/>
      <c r="U23"/>
      <c r="V23"/>
      <c r="W23"/>
      <c r="X23"/>
      <c r="Y23"/>
      <c r="Z23"/>
      <c r="AA23" s="238">
        <v>5.125457763671875</v>
      </c>
      <c r="AB23" s="229">
        <v>2.7803616523742676</v>
      </c>
      <c r="AC23" s="15">
        <v>8.4476791322231293E-2</v>
      </c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4.7224998474121094</v>
      </c>
      <c r="C24">
        <v>1.7511725425720215</v>
      </c>
      <c r="D24"/>
      <c r="E24" s="216">
        <v>0.26664280891418457</v>
      </c>
      <c r="F24"/>
      <c r="G24" s="20">
        <v>3.8898378610610962E-2</v>
      </c>
      <c r="H24" s="204">
        <v>0.24763652682304382</v>
      </c>
      <c r="I24" s="63">
        <v>0.27661356329917908</v>
      </c>
      <c r="J24" s="14">
        <v>6.9498750381171703E-3</v>
      </c>
      <c r="K24" s="13">
        <v>0.17350330948829651</v>
      </c>
      <c r="L24"/>
      <c r="M24" s="11">
        <v>8.6259684758260846E-4</v>
      </c>
      <c r="N24" s="11">
        <v>1.3206031871959567E-3</v>
      </c>
      <c r="O24" s="11">
        <v>4.6283802948892117E-3</v>
      </c>
      <c r="P24"/>
      <c r="Q24"/>
      <c r="R24"/>
      <c r="S24"/>
      <c r="T24"/>
      <c r="U24"/>
      <c r="V24"/>
      <c r="W24"/>
      <c r="X24"/>
      <c r="Y24"/>
      <c r="Z24"/>
      <c r="AA24" s="225">
        <v>1.6606590747833252</v>
      </c>
      <c r="AB24"/>
      <c r="AC24" s="64">
        <v>0.29361250996589661</v>
      </c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3.3599998950958252</v>
      </c>
      <c r="C25">
        <v>0.25375774502754211</v>
      </c>
      <c r="D25"/>
      <c r="E25"/>
      <c r="F25"/>
      <c r="G25" s="11">
        <v>1.5067316417116672E-4</v>
      </c>
      <c r="H25"/>
      <c r="I25" s="224">
        <v>0.56259191036224365</v>
      </c>
      <c r="J25" s="14">
        <v>4.2436327785253525E-3</v>
      </c>
      <c r="K25" s="18">
        <v>4.0273569524288177E-2</v>
      </c>
      <c r="L25" s="11">
        <v>1.9517848268151283E-3</v>
      </c>
      <c r="M25" s="11">
        <v>4.2601259337970987E-6</v>
      </c>
      <c r="N25" s="21">
        <v>2.1262010559439659E-2</v>
      </c>
      <c r="O25" s="11">
        <v>1.8286625854671001E-3</v>
      </c>
      <c r="P25"/>
      <c r="Q25"/>
      <c r="R25"/>
      <c r="S25"/>
      <c r="T25"/>
      <c r="U25"/>
      <c r="V25"/>
      <c r="W25"/>
      <c r="X25" s="11">
        <v>2.864802023395896E-3</v>
      </c>
      <c r="Y25"/>
      <c r="Z25" s="71">
        <v>0.21648067235946655</v>
      </c>
      <c r="AA25" s="213">
        <v>8.2015335559844971E-2</v>
      </c>
      <c r="AB25" s="200">
        <v>0.95451545715332031</v>
      </c>
      <c r="AC25" s="234">
        <v>1.2180591821670532</v>
      </c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1.9129999876022339</v>
      </c>
      <c r="C26">
        <v>9.5650136470794678E-2</v>
      </c>
      <c r="D26"/>
      <c r="E26" s="61">
        <v>4.0724068880081177E-2</v>
      </c>
      <c r="F26"/>
      <c r="G26"/>
      <c r="H26" s="11">
        <v>6.9430330768227577E-4</v>
      </c>
      <c r="I26" s="21">
        <v>1.1148483492434025E-2</v>
      </c>
      <c r="J26" s="11">
        <v>1.2222725199535489E-3</v>
      </c>
      <c r="K26" s="132">
        <v>0.22726549208164215</v>
      </c>
      <c r="L26"/>
      <c r="M26"/>
      <c r="N26" s="11">
        <v>5.3224858129397035E-4</v>
      </c>
      <c r="O26" s="11">
        <v>1.4923179987818003E-3</v>
      </c>
      <c r="P26" s="14">
        <v>2.0733806304633617E-3</v>
      </c>
      <c r="Q26"/>
      <c r="R26"/>
      <c r="S26"/>
      <c r="T26"/>
      <c r="U26"/>
      <c r="V26"/>
      <c r="W26"/>
      <c r="X26"/>
      <c r="Y26"/>
      <c r="Z26"/>
      <c r="AA26" s="223">
        <v>0.36507448554039001</v>
      </c>
      <c r="AB26" s="219">
        <v>0.17310045659542084</v>
      </c>
      <c r="AC26" s="233">
        <v>0.99402248859405518</v>
      </c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1.5729999542236328</v>
      </c>
      <c r="C27">
        <v>7.8649923205375671E-2</v>
      </c>
      <c r="D27"/>
      <c r="E27"/>
      <c r="F27"/>
      <c r="G27"/>
      <c r="H27" s="11">
        <v>1.3658916031999979E-5</v>
      </c>
      <c r="I27" s="21">
        <v>7.8956028446555138E-3</v>
      </c>
      <c r="J27" s="11">
        <v>1.138156745582819E-3</v>
      </c>
      <c r="K27" s="14">
        <v>2.0910322200506926E-3</v>
      </c>
      <c r="L27" s="11">
        <v>1.029300270602107E-3</v>
      </c>
      <c r="M27" s="11">
        <v>8.2072654095100006E-7</v>
      </c>
      <c r="N27" s="14">
        <v>2.4041046854108572E-3</v>
      </c>
      <c r="O27" s="24">
        <v>3.8870163261890411E-2</v>
      </c>
      <c r="P27"/>
      <c r="Q27" s="11">
        <v>3.2481726520927623E-5</v>
      </c>
      <c r="R27"/>
      <c r="S27"/>
      <c r="T27" s="11">
        <v>2.6860818616114557E-4</v>
      </c>
      <c r="U27"/>
      <c r="V27"/>
      <c r="W27"/>
      <c r="X27" s="240">
        <v>0.1363225132226944</v>
      </c>
      <c r="Y27" s="243">
        <v>0.42317324876785278</v>
      </c>
      <c r="Z27" s="236">
        <v>0.23968781530857086</v>
      </c>
      <c r="AA27" s="19">
        <v>3.0164612457156181E-2</v>
      </c>
      <c r="AB27" s="131">
        <v>0.20432263612747192</v>
      </c>
      <c r="AC27" s="226">
        <v>0.40693524479866028</v>
      </c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/>
      <c r="C28">
        <v>0.9647834300994873</v>
      </c>
      <c r="D28"/>
      <c r="E28"/>
      <c r="F28"/>
      <c r="G28"/>
      <c r="H28"/>
      <c r="I28"/>
      <c r="J28"/>
      <c r="K28"/>
      <c r="L28"/>
      <c r="M28" s="9">
        <v>5.9753693640232086E-2</v>
      </c>
      <c r="N28"/>
      <c r="O28" s="9">
        <v>0.62698346376419067</v>
      </c>
      <c r="P28"/>
      <c r="Q28"/>
      <c r="R28" s="9">
        <v>1662.531005859375</v>
      </c>
      <c r="S28"/>
      <c r="T28"/>
      <c r="U28" s="9">
        <v>128.48982238769531</v>
      </c>
      <c r="V28"/>
      <c r="W28" s="9">
        <v>91.699996948242188</v>
      </c>
      <c r="X28" s="9">
        <v>13.929933547973633</v>
      </c>
      <c r="Y28" s="9">
        <v>19.429409027099609</v>
      </c>
      <c r="Z28" s="9">
        <v>170.78395080566406</v>
      </c>
      <c r="AA28" s="9">
        <v>76.691337585449219</v>
      </c>
      <c r="AB28" s="9">
        <v>550.0771484375</v>
      </c>
      <c r="AC28" s="9">
        <v>199.77500915527344</v>
      </c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/>
      <c r="C29">
        <v>0</v>
      </c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5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1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59" t="s">
        <v>166</v>
      </c>
    </row>
    <row r="2" spans="1:12" x14ac:dyDescent="0.15">
      <c r="A2" s="1" t="s">
        <v>37</v>
      </c>
      <c r="B2" s="36">
        <v>3</v>
      </c>
      <c r="C2" s="34"/>
      <c r="D2" t="s">
        <v>38</v>
      </c>
      <c r="E2">
        <v>1</v>
      </c>
      <c r="F2">
        <v>1</v>
      </c>
      <c r="G2">
        <v>1</v>
      </c>
      <c r="H2" t="s">
        <v>38</v>
      </c>
      <c r="J2" s="52"/>
      <c r="K2" s="53"/>
      <c r="L2" s="59" t="s">
        <v>167</v>
      </c>
    </row>
    <row r="3" spans="1:12" ht="14" thickBot="1" x14ac:dyDescent="0.2">
      <c r="A3" s="1" t="s">
        <v>39</v>
      </c>
      <c r="B3" s="37">
        <v>0</v>
      </c>
      <c r="C3" s="34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4"/>
      <c r="K3" s="55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4"/>
      <c r="K4" s="55"/>
    </row>
    <row r="5" spans="1:12" x14ac:dyDescent="0.15">
      <c r="D5" s="188" t="s">
        <v>192</v>
      </c>
      <c r="E5">
        <v>4</v>
      </c>
      <c r="F5">
        <v>3.13</v>
      </c>
      <c r="G5">
        <v>4</v>
      </c>
      <c r="H5" s="189" t="s">
        <v>192</v>
      </c>
      <c r="J5" s="54"/>
      <c r="K5" s="55"/>
    </row>
    <row r="6" spans="1:12" ht="14" thickBot="1" x14ac:dyDescent="0.2">
      <c r="A6" s="38" t="s">
        <v>121</v>
      </c>
      <c r="D6" s="188" t="s">
        <v>193</v>
      </c>
      <c r="E6">
        <v>5</v>
      </c>
      <c r="F6">
        <v>3.16</v>
      </c>
      <c r="G6">
        <v>5</v>
      </c>
      <c r="H6" s="189" t="s">
        <v>193</v>
      </c>
      <c r="J6" s="54"/>
      <c r="K6" s="55"/>
    </row>
    <row r="7" spans="1:12" x14ac:dyDescent="0.15">
      <c r="A7" s="33" t="s">
        <v>126</v>
      </c>
      <c r="B7" s="40">
        <v>1</v>
      </c>
      <c r="C7" s="35"/>
      <c r="D7" s="188" t="s">
        <v>194</v>
      </c>
      <c r="E7">
        <v>6</v>
      </c>
      <c r="F7">
        <v>3</v>
      </c>
      <c r="G7">
        <v>6</v>
      </c>
      <c r="H7" s="189" t="s">
        <v>194</v>
      </c>
      <c r="J7" s="54"/>
      <c r="K7" s="55"/>
    </row>
    <row r="8" spans="1:12" x14ac:dyDescent="0.15">
      <c r="A8" s="33" t="s">
        <v>38</v>
      </c>
      <c r="B8" s="41">
        <v>1</v>
      </c>
      <c r="C8" s="35"/>
      <c r="D8" s="188" t="s">
        <v>195</v>
      </c>
      <c r="E8">
        <v>7</v>
      </c>
      <c r="F8">
        <v>3</v>
      </c>
      <c r="G8">
        <v>7</v>
      </c>
      <c r="H8" s="189" t="s">
        <v>195</v>
      </c>
      <c r="J8" s="54"/>
      <c r="K8" s="55"/>
    </row>
    <row r="9" spans="1:12" x14ac:dyDescent="0.15">
      <c r="A9" s="33" t="s">
        <v>40</v>
      </c>
      <c r="B9" s="41">
        <v>1.1000000000000001</v>
      </c>
      <c r="C9" s="35"/>
      <c r="D9" s="188" t="s">
        <v>196</v>
      </c>
      <c r="E9">
        <v>8</v>
      </c>
      <c r="F9">
        <v>3</v>
      </c>
      <c r="G9">
        <v>8</v>
      </c>
      <c r="H9" s="189" t="s">
        <v>196</v>
      </c>
      <c r="J9" s="54"/>
      <c r="K9" s="55"/>
    </row>
    <row r="10" spans="1:12" x14ac:dyDescent="0.15">
      <c r="A10" s="33" t="s">
        <v>41</v>
      </c>
      <c r="B10" s="41">
        <v>1.2</v>
      </c>
      <c r="C10" s="35"/>
      <c r="D10" s="188" t="s">
        <v>197</v>
      </c>
      <c r="E10">
        <v>9</v>
      </c>
      <c r="F10">
        <v>3</v>
      </c>
      <c r="G10">
        <v>9</v>
      </c>
      <c r="H10" s="189" t="s">
        <v>197</v>
      </c>
      <c r="J10" s="54"/>
      <c r="K10" s="55"/>
    </row>
    <row r="11" spans="1:12" ht="12" customHeight="1" x14ac:dyDescent="0.15">
      <c r="A11" s="39" t="s">
        <v>127</v>
      </c>
      <c r="B11" s="41">
        <v>2</v>
      </c>
      <c r="C11" s="35"/>
      <c r="D11" s="188" t="s">
        <v>198</v>
      </c>
      <c r="E11">
        <v>10</v>
      </c>
      <c r="F11">
        <v>3</v>
      </c>
      <c r="G11">
        <v>10</v>
      </c>
      <c r="H11" s="189" t="s">
        <v>198</v>
      </c>
      <c r="J11" s="54"/>
      <c r="K11" s="55"/>
    </row>
    <row r="12" spans="1:12" x14ac:dyDescent="0.15">
      <c r="A12" s="33" t="s">
        <v>42</v>
      </c>
      <c r="B12" s="41">
        <v>2.1</v>
      </c>
      <c r="C12" s="35"/>
      <c r="D12" s="188" t="s">
        <v>199</v>
      </c>
      <c r="E12">
        <v>11</v>
      </c>
      <c r="F12">
        <v>3.24</v>
      </c>
      <c r="G12">
        <v>11</v>
      </c>
      <c r="H12" s="189" t="s">
        <v>199</v>
      </c>
      <c r="J12" s="54"/>
      <c r="K12" s="55"/>
    </row>
    <row r="13" spans="1:12" x14ac:dyDescent="0.15">
      <c r="A13" s="33" t="s">
        <v>43</v>
      </c>
      <c r="B13" s="41">
        <v>2.2000000000000002</v>
      </c>
      <c r="C13" s="35"/>
      <c r="D13" s="188" t="s">
        <v>200</v>
      </c>
      <c r="E13">
        <v>12</v>
      </c>
      <c r="F13">
        <v>3</v>
      </c>
      <c r="G13">
        <v>12</v>
      </c>
      <c r="H13" s="189" t="s">
        <v>200</v>
      </c>
      <c r="J13" s="54"/>
      <c r="K13" s="55"/>
    </row>
    <row r="14" spans="1:12" x14ac:dyDescent="0.15">
      <c r="A14" s="33" t="s">
        <v>67</v>
      </c>
      <c r="B14" s="41">
        <v>2.2999999999999998</v>
      </c>
      <c r="C14" s="35"/>
      <c r="D14" s="188" t="s">
        <v>201</v>
      </c>
      <c r="E14">
        <v>13</v>
      </c>
      <c r="F14">
        <v>3.24</v>
      </c>
      <c r="G14">
        <v>13</v>
      </c>
      <c r="H14" s="189" t="s">
        <v>201</v>
      </c>
      <c r="J14" s="54"/>
      <c r="K14" s="55"/>
    </row>
    <row r="15" spans="1:12" x14ac:dyDescent="0.15">
      <c r="A15" s="39" t="s">
        <v>128</v>
      </c>
      <c r="B15" s="41">
        <v>3</v>
      </c>
      <c r="C15" s="35"/>
      <c r="D15" s="188" t="s">
        <v>202</v>
      </c>
      <c r="E15">
        <v>14</v>
      </c>
      <c r="F15">
        <v>3.04</v>
      </c>
      <c r="G15">
        <v>14</v>
      </c>
      <c r="H15" s="189" t="s">
        <v>202</v>
      </c>
      <c r="J15" s="54"/>
      <c r="K15" s="55"/>
    </row>
    <row r="16" spans="1:12" x14ac:dyDescent="0.15">
      <c r="A16" s="33" t="s">
        <v>62</v>
      </c>
      <c r="B16" s="41">
        <v>3.11</v>
      </c>
      <c r="C16" s="35"/>
      <c r="D16" s="188" t="s">
        <v>203</v>
      </c>
      <c r="E16">
        <v>15</v>
      </c>
      <c r="F16">
        <v>3.14</v>
      </c>
      <c r="G16">
        <v>15</v>
      </c>
      <c r="H16" s="189" t="s">
        <v>203</v>
      </c>
      <c r="J16" s="54"/>
      <c r="K16" s="55"/>
    </row>
    <row r="17" spans="1:12" x14ac:dyDescent="0.15">
      <c r="A17" s="33" t="s">
        <v>61</v>
      </c>
      <c r="B17" s="41">
        <v>3.12</v>
      </c>
      <c r="C17" s="35"/>
      <c r="D17" s="188" t="s">
        <v>204</v>
      </c>
      <c r="E17">
        <v>16</v>
      </c>
      <c r="F17">
        <v>3.14</v>
      </c>
      <c r="G17">
        <v>16</v>
      </c>
      <c r="H17" s="189" t="s">
        <v>204</v>
      </c>
      <c r="J17" s="54"/>
      <c r="K17" s="55"/>
    </row>
    <row r="18" spans="1:12" x14ac:dyDescent="0.15">
      <c r="A18" s="33" t="s">
        <v>68</v>
      </c>
      <c r="B18" s="41">
        <v>3.13</v>
      </c>
      <c r="C18" s="35"/>
      <c r="D18" s="188" t="s">
        <v>205</v>
      </c>
      <c r="E18">
        <v>17</v>
      </c>
      <c r="F18">
        <v>9</v>
      </c>
      <c r="G18">
        <v>17</v>
      </c>
      <c r="H18" s="189" t="s">
        <v>205</v>
      </c>
      <c r="J18" s="54"/>
      <c r="K18" s="55"/>
    </row>
    <row r="19" spans="1:12" x14ac:dyDescent="0.15">
      <c r="A19" s="33" t="s">
        <v>66</v>
      </c>
      <c r="B19" s="41">
        <v>3.21</v>
      </c>
      <c r="C19" s="35"/>
      <c r="D19" s="188" t="s">
        <v>206</v>
      </c>
      <c r="E19">
        <v>18</v>
      </c>
      <c r="F19">
        <v>3.11</v>
      </c>
      <c r="G19">
        <v>18</v>
      </c>
      <c r="H19" s="189" t="s">
        <v>206</v>
      </c>
      <c r="J19" s="54"/>
      <c r="K19" s="55"/>
    </row>
    <row r="20" spans="1:12" x14ac:dyDescent="0.15">
      <c r="A20" s="33" t="s">
        <v>63</v>
      </c>
      <c r="B20" s="41">
        <v>3.22</v>
      </c>
      <c r="C20" s="35"/>
      <c r="D20" s="188" t="s">
        <v>207</v>
      </c>
      <c r="E20">
        <v>19</v>
      </c>
      <c r="F20">
        <v>3.11</v>
      </c>
      <c r="G20">
        <v>19</v>
      </c>
      <c r="H20" s="189" t="s">
        <v>207</v>
      </c>
      <c r="J20" s="54"/>
      <c r="K20" s="55"/>
    </row>
    <row r="21" spans="1:12" ht="14" thickBot="1" x14ac:dyDescent="0.2">
      <c r="A21" s="33" t="s">
        <v>69</v>
      </c>
      <c r="B21" s="41">
        <v>3.23</v>
      </c>
      <c r="C21" s="35"/>
      <c r="D21" s="188" t="s">
        <v>208</v>
      </c>
      <c r="E21">
        <v>20</v>
      </c>
      <c r="F21">
        <v>3.1110000000000002</v>
      </c>
      <c r="G21">
        <v>20</v>
      </c>
      <c r="H21" s="189" t="s">
        <v>208</v>
      </c>
      <c r="J21" s="56"/>
      <c r="K21" s="57"/>
      <c r="L21" s="59" t="s">
        <v>152</v>
      </c>
    </row>
    <row r="22" spans="1:12" x14ac:dyDescent="0.15">
      <c r="A22" s="33" t="s">
        <v>64</v>
      </c>
      <c r="B22" s="41">
        <v>8</v>
      </c>
      <c r="C22" s="35"/>
      <c r="D22" s="188" t="s">
        <v>209</v>
      </c>
      <c r="E22">
        <v>21</v>
      </c>
      <c r="F22">
        <v>2.1</v>
      </c>
      <c r="G22">
        <v>21</v>
      </c>
      <c r="H22" s="189" t="s">
        <v>209</v>
      </c>
    </row>
    <row r="23" spans="1:12" x14ac:dyDescent="0.15">
      <c r="A23" s="33" t="s">
        <v>129</v>
      </c>
      <c r="B23" s="41">
        <v>4</v>
      </c>
      <c r="C23" s="35"/>
      <c r="D23" s="188" t="s">
        <v>210</v>
      </c>
      <c r="E23">
        <v>22</v>
      </c>
      <c r="F23">
        <v>3.21</v>
      </c>
      <c r="G23">
        <v>22</v>
      </c>
      <c r="H23" s="189" t="s">
        <v>210</v>
      </c>
    </row>
    <row r="24" spans="1:12" x14ac:dyDescent="0.15">
      <c r="A24" s="33" t="s">
        <v>122</v>
      </c>
      <c r="B24" s="41">
        <v>4.0999999999999996</v>
      </c>
      <c r="C24" s="35"/>
      <c r="D24" s="188" t="s">
        <v>211</v>
      </c>
      <c r="E24">
        <v>23</v>
      </c>
      <c r="F24">
        <v>3.21</v>
      </c>
      <c r="G24">
        <v>23</v>
      </c>
      <c r="H24" s="189" t="s">
        <v>211</v>
      </c>
    </row>
    <row r="25" spans="1:12" x14ac:dyDescent="0.15">
      <c r="A25" s="33" t="s">
        <v>70</v>
      </c>
      <c r="B25" s="41">
        <v>4.2</v>
      </c>
      <c r="C25" s="35"/>
      <c r="D25" s="188" t="s">
        <v>212</v>
      </c>
      <c r="E25">
        <v>24</v>
      </c>
      <c r="F25">
        <v>3</v>
      </c>
      <c r="G25">
        <v>24</v>
      </c>
      <c r="H25" s="189" t="s">
        <v>212</v>
      </c>
    </row>
    <row r="26" spans="1:12" x14ac:dyDescent="0.15">
      <c r="A26" s="33" t="s">
        <v>123</v>
      </c>
      <c r="B26" s="41">
        <v>4.3</v>
      </c>
      <c r="C26" s="35"/>
      <c r="D26" s="188" t="s">
        <v>213</v>
      </c>
      <c r="E26">
        <v>25</v>
      </c>
      <c r="F26">
        <v>3.21</v>
      </c>
      <c r="G26">
        <v>25</v>
      </c>
      <c r="H26" s="189" t="s">
        <v>213</v>
      </c>
    </row>
    <row r="27" spans="1:12" x14ac:dyDescent="0.15">
      <c r="A27" s="33" t="s">
        <v>125</v>
      </c>
      <c r="B27" s="41">
        <v>6.1</v>
      </c>
      <c r="D27" s="188" t="s">
        <v>214</v>
      </c>
      <c r="E27">
        <v>26</v>
      </c>
      <c r="F27">
        <v>3.21</v>
      </c>
      <c r="G27">
        <v>26</v>
      </c>
      <c r="H27" s="189" t="s">
        <v>214</v>
      </c>
    </row>
    <row r="28" spans="1:12" x14ac:dyDescent="0.15">
      <c r="A28" s="33" t="s">
        <v>124</v>
      </c>
      <c r="B28" s="41">
        <v>6.2</v>
      </c>
      <c r="D28" s="188" t="s">
        <v>215</v>
      </c>
      <c r="E28">
        <v>27</v>
      </c>
      <c r="F28">
        <v>3.21</v>
      </c>
      <c r="G28">
        <v>27</v>
      </c>
      <c r="H28" s="189" t="s">
        <v>215</v>
      </c>
    </row>
    <row r="29" spans="1:12" x14ac:dyDescent="0.15">
      <c r="A29" s="33" t="s">
        <v>44</v>
      </c>
      <c r="B29" s="41">
        <v>5</v>
      </c>
      <c r="D29" s="188" t="s">
        <v>216</v>
      </c>
      <c r="E29">
        <v>28</v>
      </c>
      <c r="F29">
        <v>3.21</v>
      </c>
      <c r="G29">
        <v>28</v>
      </c>
      <c r="H29" s="189" t="s">
        <v>216</v>
      </c>
    </row>
    <row r="30" spans="1:12" x14ac:dyDescent="0.15">
      <c r="A30" s="33" t="s">
        <v>73</v>
      </c>
      <c r="B30" s="41">
        <v>7</v>
      </c>
      <c r="D30" s="188" t="s">
        <v>217</v>
      </c>
      <c r="E30">
        <v>29</v>
      </c>
      <c r="F30">
        <v>2.2200000000000002</v>
      </c>
      <c r="G30">
        <v>29</v>
      </c>
      <c r="H30" s="189" t="s">
        <v>217</v>
      </c>
    </row>
    <row r="31" spans="1:12" x14ac:dyDescent="0.15">
      <c r="A31" s="33" t="s">
        <v>169</v>
      </c>
      <c r="B31" s="41">
        <v>3.14</v>
      </c>
      <c r="D31" s="188" t="s">
        <v>218</v>
      </c>
      <c r="E31">
        <v>30</v>
      </c>
      <c r="F31">
        <v>4.0999999999999996</v>
      </c>
      <c r="G31">
        <v>30</v>
      </c>
      <c r="H31" s="189" t="s">
        <v>218</v>
      </c>
    </row>
    <row r="32" spans="1:12" ht="12" customHeight="1" thickBot="1" x14ac:dyDescent="0.2">
      <c r="A32" s="39" t="s">
        <v>170</v>
      </c>
      <c r="B32" s="42">
        <v>9</v>
      </c>
      <c r="D32" s="188" t="s">
        <v>219</v>
      </c>
      <c r="E32">
        <v>31</v>
      </c>
      <c r="F32">
        <v>4.3</v>
      </c>
      <c r="G32">
        <v>31</v>
      </c>
      <c r="H32" s="189" t="s">
        <v>219</v>
      </c>
    </row>
    <row r="33" spans="4:8" customFormat="1" ht="12" customHeight="1" x14ac:dyDescent="0.15">
      <c r="D33" s="188" t="s">
        <v>220</v>
      </c>
      <c r="E33">
        <v>32</v>
      </c>
      <c r="F33">
        <v>5</v>
      </c>
      <c r="G33">
        <v>32</v>
      </c>
      <c r="H33" s="189" t="s">
        <v>220</v>
      </c>
    </row>
    <row r="34" spans="4:8" customFormat="1" ht="12" customHeight="1" x14ac:dyDescent="0.15">
      <c r="D34" s="188" t="s">
        <v>138</v>
      </c>
      <c r="E34">
        <v>33</v>
      </c>
      <c r="F34">
        <v>6.1</v>
      </c>
      <c r="G34">
        <v>33</v>
      </c>
      <c r="H34" s="189" t="s">
        <v>138</v>
      </c>
    </row>
    <row r="35" spans="4:8" customFormat="1" x14ac:dyDescent="0.15">
      <c r="D35" s="188" t="s">
        <v>45</v>
      </c>
      <c r="E35">
        <v>34</v>
      </c>
      <c r="F35">
        <v>6.2</v>
      </c>
      <c r="G35">
        <v>34</v>
      </c>
      <c r="H35" s="189" t="s">
        <v>45</v>
      </c>
    </row>
    <row r="36" spans="4:8" customFormat="1" x14ac:dyDescent="0.15"/>
    <row r="37" spans="4:8" customFormat="1" ht="12" customHeight="1" x14ac:dyDescent="0.15"/>
    <row r="38" spans="4:8" customFormat="1" x14ac:dyDescent="0.15"/>
    <row r="39" spans="4:8" customFormat="1" x14ac:dyDescent="0.15"/>
    <row r="40" spans="4:8" customFormat="1" x14ac:dyDescent="0.15"/>
    <row r="41" spans="4:8" customFormat="1" x14ac:dyDescent="0.15"/>
    <row r="42" spans="4:8" customFormat="1" x14ac:dyDescent="0.15"/>
    <row r="43" spans="4:8" customFormat="1" x14ac:dyDescent="0.15"/>
    <row r="44" spans="4:8" customFormat="1" x14ac:dyDescent="0.15"/>
    <row r="45" spans="4:8" customFormat="1" x14ac:dyDescent="0.15"/>
    <row r="46" spans="4:8" customFormat="1" x14ac:dyDescent="0.15"/>
    <row r="47" spans="4:8" customFormat="1" x14ac:dyDescent="0.15"/>
    <row r="48" spans="4: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3.1640625" style="78" bestFit="1" customWidth="1"/>
    <col min="2" max="2" width="12.83203125" style="77" customWidth="1"/>
    <col min="3" max="3" width="13.1640625" style="77" customWidth="1"/>
    <col min="4" max="4" width="11.83203125" style="77" customWidth="1"/>
    <col min="5" max="5" width="12.83203125" style="77" customWidth="1"/>
    <col min="6" max="6" width="21.6640625" style="77" bestFit="1" customWidth="1"/>
    <col min="7" max="9" width="2.33203125" style="77" customWidth="1"/>
    <col min="10" max="10" width="2.33203125" style="77" bestFit="1" customWidth="1"/>
    <col min="11" max="15" width="2.33203125" style="77" customWidth="1"/>
    <col min="16" max="16" width="2.33203125" style="67" customWidth="1"/>
    <col min="17" max="17" width="2.33203125" style="77" customWidth="1"/>
    <col min="18" max="18" width="2.33203125" style="68" customWidth="1"/>
    <col min="19" max="16384" width="11.5" style="77"/>
  </cols>
  <sheetData>
    <row r="1" spans="1:23" ht="15" customHeight="1" thickBot="1" x14ac:dyDescent="0.2">
      <c r="F1" s="1"/>
      <c r="G1" s="66" t="s">
        <v>46</v>
      </c>
      <c r="H1" s="66" t="s">
        <v>47</v>
      </c>
      <c r="I1" s="66" t="s">
        <v>120</v>
      </c>
      <c r="J1" s="66" t="s">
        <v>132</v>
      </c>
      <c r="K1" s="79" t="s">
        <v>48</v>
      </c>
      <c r="L1" s="68"/>
      <c r="M1" s="79" t="s">
        <v>119</v>
      </c>
      <c r="N1" s="68"/>
      <c r="O1" s="79" t="s">
        <v>49</v>
      </c>
      <c r="P1" s="70"/>
      <c r="Q1" s="79" t="s">
        <v>50</v>
      </c>
      <c r="R1" s="66" t="s">
        <v>154</v>
      </c>
    </row>
    <row r="2" spans="1:23" ht="15" customHeight="1" x14ac:dyDescent="0.15">
      <c r="A2" s="79" t="s">
        <v>51</v>
      </c>
      <c r="B2" s="80">
        <v>0.5</v>
      </c>
      <c r="C2" s="78" t="s">
        <v>52</v>
      </c>
      <c r="D2" s="81"/>
      <c r="F2" s="1"/>
      <c r="G2" s="82"/>
      <c r="H2" s="82"/>
      <c r="I2" s="82" t="s">
        <v>133</v>
      </c>
      <c r="J2" s="82" t="s">
        <v>133</v>
      </c>
      <c r="K2" s="82" t="s">
        <v>52</v>
      </c>
      <c r="L2" s="82" t="s">
        <v>53</v>
      </c>
      <c r="M2" s="82" t="s">
        <v>52</v>
      </c>
      <c r="N2" s="82" t="s">
        <v>53</v>
      </c>
      <c r="O2" s="82" t="s">
        <v>52</v>
      </c>
      <c r="P2" s="83" t="s">
        <v>53</v>
      </c>
      <c r="Q2" s="82"/>
      <c r="R2" s="84" t="s">
        <v>155</v>
      </c>
    </row>
    <row r="3" spans="1:23" ht="15" customHeight="1" thickBot="1" x14ac:dyDescent="0.2">
      <c r="A3" s="79" t="s">
        <v>54</v>
      </c>
      <c r="B3" s="85">
        <v>0.5</v>
      </c>
      <c r="C3" s="78" t="s">
        <v>53</v>
      </c>
      <c r="D3" s="81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0">
        <v>0</v>
      </c>
      <c r="R3" s="35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0">
        <v>0</v>
      </c>
      <c r="R4" s="103">
        <v>0</v>
      </c>
    </row>
    <row r="5" spans="1:23" ht="15" customHeight="1" x14ac:dyDescent="0.15">
      <c r="A5" s="79" t="s">
        <v>55</v>
      </c>
      <c r="B5" s="86">
        <v>0.5</v>
      </c>
      <c r="C5" s="78" t="s">
        <v>52</v>
      </c>
      <c r="D5" s="81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0">
        <v>0</v>
      </c>
      <c r="R5" s="103">
        <v>0</v>
      </c>
    </row>
    <row r="6" spans="1:23" ht="15" customHeight="1" thickBot="1" x14ac:dyDescent="0.2">
      <c r="A6" s="79"/>
      <c r="B6" s="87">
        <v>0.5</v>
      </c>
      <c r="C6" s="78" t="s">
        <v>53</v>
      </c>
      <c r="D6" s="81"/>
      <c r="F6" s="190" t="s">
        <v>192</v>
      </c>
      <c r="G6" s="77">
        <v>0</v>
      </c>
      <c r="H6" s="77">
        <v>0</v>
      </c>
      <c r="I6" s="77">
        <v>0</v>
      </c>
      <c r="J6" s="77">
        <v>0</v>
      </c>
      <c r="K6" s="77">
        <v>1</v>
      </c>
      <c r="L6" s="77">
        <v>0</v>
      </c>
      <c r="M6" s="77">
        <v>1</v>
      </c>
      <c r="N6" s="77">
        <v>0</v>
      </c>
      <c r="O6" s="77">
        <v>1</v>
      </c>
      <c r="P6" s="67">
        <v>0</v>
      </c>
      <c r="Q6" s="77">
        <v>0</v>
      </c>
      <c r="R6" s="68">
        <v>1</v>
      </c>
      <c r="S6"/>
      <c r="T6"/>
    </row>
    <row r="7" spans="1:23" ht="15" customHeight="1" thickBot="1" x14ac:dyDescent="0.2">
      <c r="F7" s="190" t="s">
        <v>193</v>
      </c>
      <c r="G7" s="77">
        <v>0</v>
      </c>
      <c r="H7" s="77">
        <v>0</v>
      </c>
      <c r="I7" s="77">
        <v>0</v>
      </c>
      <c r="J7" s="77">
        <v>0</v>
      </c>
      <c r="K7" s="77">
        <v>1</v>
      </c>
      <c r="L7" s="77">
        <v>0</v>
      </c>
      <c r="M7" s="77">
        <v>1</v>
      </c>
      <c r="N7" s="77">
        <v>0</v>
      </c>
      <c r="O7" s="77">
        <v>1</v>
      </c>
      <c r="P7" s="67">
        <v>0</v>
      </c>
      <c r="Q7" s="77">
        <v>0</v>
      </c>
      <c r="R7" s="68">
        <v>1</v>
      </c>
      <c r="S7"/>
      <c r="T7"/>
    </row>
    <row r="8" spans="1:23" ht="15" customHeight="1" x14ac:dyDescent="0.15">
      <c r="A8" s="79" t="s">
        <v>56</v>
      </c>
      <c r="B8" s="86">
        <v>0.28393687886090085</v>
      </c>
      <c r="C8" s="191" t="s">
        <v>209</v>
      </c>
      <c r="D8" s="81" t="s">
        <v>160</v>
      </c>
      <c r="F8" s="190" t="s">
        <v>194</v>
      </c>
      <c r="G8" s="77">
        <v>0</v>
      </c>
      <c r="H8" s="77">
        <v>0</v>
      </c>
      <c r="I8" s="77">
        <v>0</v>
      </c>
      <c r="J8" s="77">
        <v>0</v>
      </c>
      <c r="K8" s="77">
        <v>1</v>
      </c>
      <c r="L8" s="77">
        <v>0</v>
      </c>
      <c r="M8" s="77">
        <v>1</v>
      </c>
      <c r="N8" s="77">
        <v>0</v>
      </c>
      <c r="O8" s="77">
        <v>1</v>
      </c>
      <c r="P8" s="67">
        <v>0</v>
      </c>
      <c r="Q8" s="77">
        <v>0</v>
      </c>
      <c r="R8" s="68">
        <v>1</v>
      </c>
      <c r="S8"/>
      <c r="T8"/>
      <c r="W8"/>
    </row>
    <row r="9" spans="1:23" ht="15" customHeight="1" x14ac:dyDescent="0.15">
      <c r="A9" s="117" t="s">
        <v>168</v>
      </c>
      <c r="B9" s="88">
        <v>0.71606312113909931</v>
      </c>
      <c r="C9" s="191" t="s">
        <v>217</v>
      </c>
      <c r="D9" s="81" t="s">
        <v>160</v>
      </c>
      <c r="F9" s="190" t="s">
        <v>195</v>
      </c>
      <c r="G9" s="77">
        <v>0</v>
      </c>
      <c r="H9" s="77">
        <v>0</v>
      </c>
      <c r="I9" s="77">
        <v>0</v>
      </c>
      <c r="J9" s="77">
        <v>0</v>
      </c>
      <c r="K9" s="77">
        <v>1</v>
      </c>
      <c r="L9" s="77">
        <v>0</v>
      </c>
      <c r="M9" s="77">
        <v>1</v>
      </c>
      <c r="N9" s="77">
        <v>0</v>
      </c>
      <c r="O9" s="77">
        <v>1</v>
      </c>
      <c r="P9" s="67">
        <v>0</v>
      </c>
      <c r="Q9" s="77">
        <v>0</v>
      </c>
      <c r="R9" s="68">
        <v>1</v>
      </c>
      <c r="S9"/>
      <c r="T9"/>
      <c r="W9"/>
    </row>
    <row r="10" spans="1:23" ht="15" customHeight="1" x14ac:dyDescent="0.15">
      <c r="B10" s="88"/>
      <c r="C10" s="76"/>
      <c r="D10" s="81" t="s">
        <v>160</v>
      </c>
      <c r="F10" s="190" t="s">
        <v>196</v>
      </c>
      <c r="G10" s="77">
        <v>0</v>
      </c>
      <c r="H10" s="77">
        <v>0</v>
      </c>
      <c r="I10" s="77">
        <v>0</v>
      </c>
      <c r="J10" s="77">
        <v>0</v>
      </c>
      <c r="K10" s="77">
        <v>1</v>
      </c>
      <c r="L10" s="77">
        <v>0</v>
      </c>
      <c r="M10" s="77">
        <v>1</v>
      </c>
      <c r="N10" s="77">
        <v>0</v>
      </c>
      <c r="O10" s="77">
        <v>1</v>
      </c>
      <c r="P10" s="67">
        <v>0</v>
      </c>
      <c r="Q10" s="77">
        <v>0</v>
      </c>
      <c r="R10" s="68">
        <v>1</v>
      </c>
      <c r="S10"/>
      <c r="T10"/>
      <c r="W10"/>
    </row>
    <row r="11" spans="1:23" ht="15" customHeight="1" x14ac:dyDescent="0.15">
      <c r="A11" s="79"/>
      <c r="B11" s="88"/>
      <c r="C11" s="91"/>
      <c r="D11" s="81" t="s">
        <v>160</v>
      </c>
      <c r="F11" s="190" t="s">
        <v>197</v>
      </c>
      <c r="G11" s="77">
        <v>0</v>
      </c>
      <c r="H11" s="77">
        <v>0</v>
      </c>
      <c r="I11" s="77">
        <v>0</v>
      </c>
      <c r="J11" s="77">
        <v>0</v>
      </c>
      <c r="K11" s="77">
        <v>1</v>
      </c>
      <c r="L11" s="77">
        <v>0</v>
      </c>
      <c r="M11" s="77">
        <v>1</v>
      </c>
      <c r="N11" s="77">
        <v>0</v>
      </c>
      <c r="O11" s="77">
        <v>1</v>
      </c>
      <c r="P11" s="67">
        <v>0</v>
      </c>
      <c r="Q11" s="77">
        <v>0</v>
      </c>
      <c r="R11" s="68">
        <v>1</v>
      </c>
      <c r="S11"/>
      <c r="T11"/>
      <c r="W11"/>
    </row>
    <row r="12" spans="1:23" ht="15" customHeight="1" x14ac:dyDescent="0.15">
      <c r="B12" s="88"/>
      <c r="C12" s="92"/>
      <c r="D12" s="81" t="s">
        <v>160</v>
      </c>
      <c r="F12" s="190" t="s">
        <v>198</v>
      </c>
      <c r="G12" s="77">
        <v>0</v>
      </c>
      <c r="H12" s="77">
        <v>0</v>
      </c>
      <c r="I12" s="77">
        <v>0</v>
      </c>
      <c r="J12" s="77">
        <v>0</v>
      </c>
      <c r="K12" s="77">
        <v>1</v>
      </c>
      <c r="L12" s="77">
        <v>0</v>
      </c>
      <c r="M12" s="77">
        <v>1</v>
      </c>
      <c r="N12" s="77">
        <v>0</v>
      </c>
      <c r="O12" s="77">
        <v>1</v>
      </c>
      <c r="P12" s="67">
        <v>0</v>
      </c>
      <c r="Q12" s="77">
        <v>0</v>
      </c>
      <c r="R12" s="68">
        <v>1</v>
      </c>
      <c r="S12"/>
      <c r="T12"/>
      <c r="W12"/>
    </row>
    <row r="13" spans="1:23" ht="15" customHeight="1" x14ac:dyDescent="0.15">
      <c r="B13" s="88"/>
      <c r="C13" s="92"/>
      <c r="D13" s="81" t="s">
        <v>160</v>
      </c>
      <c r="F13" s="190" t="s">
        <v>199</v>
      </c>
      <c r="G13" s="77">
        <v>0</v>
      </c>
      <c r="H13" s="77">
        <v>0</v>
      </c>
      <c r="I13" s="77">
        <v>0</v>
      </c>
      <c r="J13" s="77">
        <v>0</v>
      </c>
      <c r="K13" s="77">
        <v>1</v>
      </c>
      <c r="L13" s="77">
        <v>0</v>
      </c>
      <c r="M13" s="77">
        <v>1</v>
      </c>
      <c r="N13" s="77">
        <v>0</v>
      </c>
      <c r="O13" s="77">
        <v>1</v>
      </c>
      <c r="P13" s="67">
        <v>0</v>
      </c>
      <c r="Q13" s="77">
        <v>0</v>
      </c>
      <c r="R13" s="68">
        <v>1</v>
      </c>
      <c r="S13"/>
      <c r="T13"/>
      <c r="W13"/>
    </row>
    <row r="14" spans="1:23" ht="15" customHeight="1" x14ac:dyDescent="0.15">
      <c r="B14" s="88"/>
      <c r="C14" s="76"/>
      <c r="D14" s="81" t="s">
        <v>160</v>
      </c>
      <c r="F14" s="190" t="s">
        <v>200</v>
      </c>
      <c r="G14" s="77">
        <v>0</v>
      </c>
      <c r="H14" s="77">
        <v>0</v>
      </c>
      <c r="I14" s="77">
        <v>0</v>
      </c>
      <c r="J14" s="77">
        <v>0</v>
      </c>
      <c r="K14" s="77">
        <v>1</v>
      </c>
      <c r="L14" s="77">
        <v>0</v>
      </c>
      <c r="M14" s="77">
        <v>1</v>
      </c>
      <c r="N14" s="77">
        <v>0</v>
      </c>
      <c r="O14" s="77">
        <v>1</v>
      </c>
      <c r="P14" s="67">
        <v>0</v>
      </c>
      <c r="Q14" s="77">
        <v>0</v>
      </c>
      <c r="R14" s="68">
        <v>1</v>
      </c>
      <c r="S14"/>
      <c r="T14"/>
      <c r="W14"/>
    </row>
    <row r="15" spans="1:23" ht="15" customHeight="1" x14ac:dyDescent="0.15">
      <c r="B15" s="88"/>
      <c r="C15" s="76"/>
      <c r="D15" s="81" t="s">
        <v>160</v>
      </c>
      <c r="F15" s="190" t="s">
        <v>201</v>
      </c>
      <c r="G15" s="77">
        <v>0</v>
      </c>
      <c r="H15" s="77">
        <v>0</v>
      </c>
      <c r="I15" s="77">
        <v>0</v>
      </c>
      <c r="J15" s="77">
        <v>0</v>
      </c>
      <c r="K15" s="77">
        <v>1</v>
      </c>
      <c r="L15" s="77">
        <v>0</v>
      </c>
      <c r="M15" s="77">
        <v>1</v>
      </c>
      <c r="N15" s="77">
        <v>0</v>
      </c>
      <c r="O15" s="77">
        <v>1</v>
      </c>
      <c r="P15" s="67">
        <v>0</v>
      </c>
      <c r="Q15" s="77">
        <v>0</v>
      </c>
      <c r="R15" s="68">
        <v>1</v>
      </c>
      <c r="S15"/>
      <c r="T15"/>
      <c r="W15"/>
    </row>
    <row r="16" spans="1:23" ht="15" customHeight="1" x14ac:dyDescent="0.15">
      <c r="B16" s="88"/>
      <c r="C16" s="76"/>
      <c r="D16" s="81" t="s">
        <v>160</v>
      </c>
      <c r="F16" s="190" t="s">
        <v>202</v>
      </c>
      <c r="G16" s="77">
        <v>0</v>
      </c>
      <c r="H16" s="77">
        <v>0</v>
      </c>
      <c r="I16" s="77">
        <v>0</v>
      </c>
      <c r="J16" s="77">
        <v>0</v>
      </c>
      <c r="K16" s="77">
        <v>1</v>
      </c>
      <c r="L16" s="77">
        <v>0</v>
      </c>
      <c r="M16" s="77">
        <v>1</v>
      </c>
      <c r="N16" s="77">
        <v>0</v>
      </c>
      <c r="O16" s="77">
        <v>1</v>
      </c>
      <c r="P16" s="67">
        <v>0</v>
      </c>
      <c r="Q16" s="77">
        <v>0</v>
      </c>
      <c r="R16" s="68">
        <v>1</v>
      </c>
      <c r="S16"/>
      <c r="T16"/>
    </row>
    <row r="17" spans="1:20" ht="15" customHeight="1" thickBot="1" x14ac:dyDescent="0.2">
      <c r="B17" s="87"/>
      <c r="C17" s="76"/>
      <c r="D17" s="81" t="s">
        <v>160</v>
      </c>
      <c r="F17" s="190" t="s">
        <v>203</v>
      </c>
      <c r="G17" s="77">
        <v>0</v>
      </c>
      <c r="H17" s="77">
        <v>0</v>
      </c>
      <c r="I17" s="77">
        <v>0</v>
      </c>
      <c r="J17" s="77">
        <v>0</v>
      </c>
      <c r="K17" s="77">
        <v>1</v>
      </c>
      <c r="L17" s="77">
        <v>0</v>
      </c>
      <c r="M17" s="77">
        <v>1</v>
      </c>
      <c r="N17" s="77">
        <v>0</v>
      </c>
      <c r="O17" s="77">
        <v>1</v>
      </c>
      <c r="P17" s="67">
        <v>0</v>
      </c>
      <c r="Q17" s="77">
        <v>0</v>
      </c>
      <c r="R17" s="68">
        <v>1</v>
      </c>
      <c r="S17"/>
      <c r="T17"/>
    </row>
    <row r="18" spans="1:20" ht="15" customHeight="1" thickBot="1" x14ac:dyDescent="0.2">
      <c r="B18" s="89"/>
      <c r="F18" s="190" t="s">
        <v>204</v>
      </c>
      <c r="G18" s="77">
        <v>0</v>
      </c>
      <c r="H18" s="77">
        <v>0</v>
      </c>
      <c r="I18" s="77">
        <v>0</v>
      </c>
      <c r="J18" s="77">
        <v>0</v>
      </c>
      <c r="K18" s="77">
        <v>1</v>
      </c>
      <c r="L18" s="77">
        <v>0</v>
      </c>
      <c r="M18" s="77">
        <v>1</v>
      </c>
      <c r="N18" s="77">
        <v>0</v>
      </c>
      <c r="O18" s="77">
        <v>1</v>
      </c>
      <c r="P18" s="67">
        <v>0</v>
      </c>
      <c r="Q18" s="77">
        <v>0</v>
      </c>
      <c r="R18" s="68">
        <v>1</v>
      </c>
      <c r="S18"/>
      <c r="T18"/>
    </row>
    <row r="19" spans="1:20" ht="15" customHeight="1" x14ac:dyDescent="0.15">
      <c r="A19" s="79" t="s">
        <v>57</v>
      </c>
      <c r="B19" s="86">
        <v>0.28393687886090085</v>
      </c>
      <c r="C19" s="192" t="s">
        <v>209</v>
      </c>
      <c r="D19" s="81" t="s">
        <v>160</v>
      </c>
      <c r="F19" s="190" t="s">
        <v>205</v>
      </c>
      <c r="G19" s="77">
        <v>0</v>
      </c>
      <c r="H19" s="77">
        <v>0</v>
      </c>
      <c r="I19" s="77">
        <v>0</v>
      </c>
      <c r="J19" s="77">
        <v>0</v>
      </c>
      <c r="K19" s="77">
        <v>1</v>
      </c>
      <c r="L19" s="77">
        <v>0</v>
      </c>
      <c r="M19" s="77">
        <v>1</v>
      </c>
      <c r="N19" s="77">
        <v>0</v>
      </c>
      <c r="O19" s="77">
        <v>1</v>
      </c>
      <c r="P19" s="67">
        <v>0</v>
      </c>
      <c r="Q19" s="77">
        <v>0</v>
      </c>
      <c r="R19" s="68">
        <v>1</v>
      </c>
      <c r="S19"/>
      <c r="T19"/>
    </row>
    <row r="20" spans="1:20" ht="15" customHeight="1" x14ac:dyDescent="0.15">
      <c r="A20" s="117" t="s">
        <v>168</v>
      </c>
      <c r="B20" s="88">
        <v>0.71606312113909931</v>
      </c>
      <c r="C20" s="192" t="s">
        <v>217</v>
      </c>
      <c r="D20" s="81" t="s">
        <v>160</v>
      </c>
      <c r="F20" s="190" t="s">
        <v>206</v>
      </c>
      <c r="G20" s="77">
        <v>0</v>
      </c>
      <c r="H20" s="77">
        <v>0</v>
      </c>
      <c r="I20" s="77">
        <v>0</v>
      </c>
      <c r="J20" s="77">
        <v>0</v>
      </c>
      <c r="K20" s="77">
        <v>1</v>
      </c>
      <c r="L20" s="77">
        <v>0</v>
      </c>
      <c r="M20" s="77">
        <v>1</v>
      </c>
      <c r="N20" s="77">
        <v>0</v>
      </c>
      <c r="O20" s="77">
        <v>1</v>
      </c>
      <c r="P20" s="67">
        <v>0</v>
      </c>
      <c r="Q20" s="77">
        <v>0</v>
      </c>
      <c r="R20" s="68">
        <v>1</v>
      </c>
      <c r="S20"/>
      <c r="T20"/>
    </row>
    <row r="21" spans="1:20" ht="15" customHeight="1" x14ac:dyDescent="0.15">
      <c r="B21" s="88"/>
      <c r="C21" s="76"/>
      <c r="D21" s="81" t="s">
        <v>160</v>
      </c>
      <c r="F21" s="190" t="s">
        <v>207</v>
      </c>
      <c r="G21" s="77">
        <v>0</v>
      </c>
      <c r="H21" s="77">
        <v>0</v>
      </c>
      <c r="I21" s="77">
        <v>0</v>
      </c>
      <c r="J21" s="77">
        <v>0</v>
      </c>
      <c r="K21" s="77">
        <v>1</v>
      </c>
      <c r="L21" s="77">
        <v>0</v>
      </c>
      <c r="M21" s="77">
        <v>1</v>
      </c>
      <c r="N21" s="77">
        <v>0</v>
      </c>
      <c r="O21" s="77">
        <v>1</v>
      </c>
      <c r="P21" s="67">
        <v>0</v>
      </c>
      <c r="Q21" s="77">
        <v>0</v>
      </c>
      <c r="R21" s="68">
        <v>1</v>
      </c>
      <c r="S21"/>
      <c r="T21"/>
    </row>
    <row r="22" spans="1:20" ht="15" customHeight="1" x14ac:dyDescent="0.15">
      <c r="A22" s="77"/>
      <c r="B22" s="88"/>
      <c r="C22" s="91"/>
      <c r="D22" s="81" t="s">
        <v>160</v>
      </c>
      <c r="F22" s="190" t="s">
        <v>208</v>
      </c>
      <c r="G22" s="77">
        <v>0</v>
      </c>
      <c r="H22" s="77">
        <v>0</v>
      </c>
      <c r="I22" s="77">
        <v>0</v>
      </c>
      <c r="J22" s="77">
        <v>0</v>
      </c>
      <c r="K22" s="77">
        <v>1</v>
      </c>
      <c r="L22" s="77">
        <v>0</v>
      </c>
      <c r="M22" s="77">
        <v>1</v>
      </c>
      <c r="N22" s="77">
        <v>0</v>
      </c>
      <c r="O22" s="77">
        <v>1</v>
      </c>
      <c r="P22" s="67">
        <v>0</v>
      </c>
      <c r="Q22" s="77">
        <v>0</v>
      </c>
      <c r="R22" s="68">
        <v>1</v>
      </c>
      <c r="S22"/>
      <c r="T22"/>
    </row>
    <row r="23" spans="1:20" ht="15" customHeight="1" x14ac:dyDescent="0.15">
      <c r="A23" s="77"/>
      <c r="B23" s="88"/>
      <c r="C23" s="92"/>
      <c r="D23" s="81" t="s">
        <v>160</v>
      </c>
      <c r="F23" s="190" t="s">
        <v>209</v>
      </c>
      <c r="G23" s="77">
        <v>0</v>
      </c>
      <c r="H23" s="77">
        <v>0</v>
      </c>
      <c r="I23" s="77">
        <v>0</v>
      </c>
      <c r="J23" s="77">
        <v>0</v>
      </c>
      <c r="K23" s="77">
        <v>0</v>
      </c>
      <c r="L23" s="77">
        <v>0</v>
      </c>
      <c r="M23" s="77">
        <v>1</v>
      </c>
      <c r="N23" s="77">
        <v>0</v>
      </c>
      <c r="O23" s="77">
        <v>0</v>
      </c>
      <c r="P23" s="67">
        <v>0</v>
      </c>
      <c r="Q23" s="77">
        <v>0</v>
      </c>
      <c r="R23" s="68">
        <v>1</v>
      </c>
      <c r="S23"/>
      <c r="T23"/>
    </row>
    <row r="24" spans="1:20" ht="15" customHeight="1" x14ac:dyDescent="0.15">
      <c r="A24" s="77"/>
      <c r="B24" s="88"/>
      <c r="C24" s="92"/>
      <c r="D24" s="81" t="s">
        <v>160</v>
      </c>
      <c r="F24" s="190" t="s">
        <v>210</v>
      </c>
      <c r="G24" s="77">
        <v>0</v>
      </c>
      <c r="H24" s="77">
        <v>0</v>
      </c>
      <c r="I24" s="77">
        <v>0</v>
      </c>
      <c r="J24" s="77">
        <v>0</v>
      </c>
      <c r="K24" s="77">
        <v>1</v>
      </c>
      <c r="L24" s="77">
        <v>0</v>
      </c>
      <c r="M24" s="77">
        <v>1</v>
      </c>
      <c r="N24" s="77">
        <v>0</v>
      </c>
      <c r="O24" s="77">
        <v>1</v>
      </c>
      <c r="P24" s="67">
        <v>0</v>
      </c>
      <c r="Q24" s="77">
        <v>0</v>
      </c>
      <c r="R24" s="68">
        <v>1</v>
      </c>
      <c r="S24"/>
      <c r="T24"/>
    </row>
    <row r="25" spans="1:20" ht="15" customHeight="1" x14ac:dyDescent="0.15">
      <c r="A25" s="77"/>
      <c r="B25" s="88"/>
      <c r="C25" s="76"/>
      <c r="D25" s="81" t="s">
        <v>160</v>
      </c>
      <c r="F25" s="190" t="s">
        <v>211</v>
      </c>
      <c r="G25" s="77">
        <v>0</v>
      </c>
      <c r="H25" s="77">
        <v>0</v>
      </c>
      <c r="I25" s="77">
        <v>0</v>
      </c>
      <c r="J25" s="77">
        <v>0</v>
      </c>
      <c r="K25" s="77">
        <v>1</v>
      </c>
      <c r="L25" s="77">
        <v>0</v>
      </c>
      <c r="M25" s="77">
        <v>1</v>
      </c>
      <c r="N25" s="77">
        <v>0</v>
      </c>
      <c r="O25" s="77">
        <v>1</v>
      </c>
      <c r="P25" s="67">
        <v>0</v>
      </c>
      <c r="Q25" s="77">
        <v>0</v>
      </c>
      <c r="R25" s="68">
        <v>1</v>
      </c>
      <c r="S25"/>
      <c r="T25"/>
    </row>
    <row r="26" spans="1:20" ht="15" customHeight="1" x14ac:dyDescent="0.15">
      <c r="B26" s="88"/>
      <c r="C26" s="76"/>
      <c r="D26" s="81" t="s">
        <v>160</v>
      </c>
      <c r="F26" s="190" t="s">
        <v>212</v>
      </c>
      <c r="G26" s="77">
        <v>0</v>
      </c>
      <c r="H26" s="77">
        <v>0</v>
      </c>
      <c r="I26" s="77">
        <v>0</v>
      </c>
      <c r="J26" s="77">
        <v>0</v>
      </c>
      <c r="K26" s="77">
        <v>1</v>
      </c>
      <c r="L26" s="77">
        <v>0</v>
      </c>
      <c r="M26" s="77">
        <v>1</v>
      </c>
      <c r="N26" s="77">
        <v>0</v>
      </c>
      <c r="O26" s="77">
        <v>1</v>
      </c>
      <c r="P26" s="67">
        <v>0</v>
      </c>
      <c r="Q26" s="77">
        <v>0</v>
      </c>
      <c r="R26" s="68">
        <v>1</v>
      </c>
      <c r="S26"/>
      <c r="T26"/>
    </row>
    <row r="27" spans="1:20" ht="15" customHeight="1" x14ac:dyDescent="0.15">
      <c r="B27" s="88"/>
      <c r="C27" s="76"/>
      <c r="D27" s="81" t="s">
        <v>160</v>
      </c>
      <c r="F27" s="190" t="s">
        <v>213</v>
      </c>
      <c r="G27" s="77">
        <v>0</v>
      </c>
      <c r="H27" s="77">
        <v>0</v>
      </c>
      <c r="I27" s="77">
        <v>0</v>
      </c>
      <c r="J27" s="77">
        <v>0</v>
      </c>
      <c r="K27" s="77">
        <v>1</v>
      </c>
      <c r="L27" s="77">
        <v>0</v>
      </c>
      <c r="M27" s="77">
        <v>1</v>
      </c>
      <c r="N27" s="77">
        <v>0</v>
      </c>
      <c r="O27" s="77">
        <v>1</v>
      </c>
      <c r="P27" s="67">
        <v>0</v>
      </c>
      <c r="Q27" s="77">
        <v>0</v>
      </c>
      <c r="R27" s="68">
        <v>1</v>
      </c>
      <c r="S27"/>
      <c r="T27"/>
    </row>
    <row r="28" spans="1:20" ht="15" customHeight="1" thickBot="1" x14ac:dyDescent="0.2">
      <c r="B28" s="87"/>
      <c r="C28" s="76"/>
      <c r="D28" s="81" t="s">
        <v>160</v>
      </c>
      <c r="F28" s="190" t="s">
        <v>214</v>
      </c>
      <c r="G28" s="77">
        <v>0</v>
      </c>
      <c r="H28" s="77">
        <v>0</v>
      </c>
      <c r="I28" s="77">
        <v>0</v>
      </c>
      <c r="J28" s="77">
        <v>0</v>
      </c>
      <c r="K28" s="77">
        <v>1</v>
      </c>
      <c r="L28" s="77">
        <v>0</v>
      </c>
      <c r="M28" s="77">
        <v>1</v>
      </c>
      <c r="N28" s="77">
        <v>0</v>
      </c>
      <c r="O28" s="77">
        <v>1</v>
      </c>
      <c r="P28" s="67">
        <v>0</v>
      </c>
      <c r="Q28" s="77">
        <v>0</v>
      </c>
      <c r="R28" s="68">
        <v>1</v>
      </c>
      <c r="S28"/>
      <c r="T28"/>
    </row>
    <row r="29" spans="1:20" ht="15" customHeight="1" x14ac:dyDescent="0.15">
      <c r="F29" s="190" t="s">
        <v>215</v>
      </c>
      <c r="G29" s="77">
        <v>0</v>
      </c>
      <c r="H29" s="77">
        <v>0</v>
      </c>
      <c r="I29" s="77">
        <v>0</v>
      </c>
      <c r="J29" s="77">
        <v>0</v>
      </c>
      <c r="K29" s="77">
        <v>1</v>
      </c>
      <c r="L29" s="77">
        <v>0</v>
      </c>
      <c r="M29" s="77">
        <v>1</v>
      </c>
      <c r="N29" s="77">
        <v>0</v>
      </c>
      <c r="O29" s="77">
        <v>1</v>
      </c>
      <c r="P29" s="67">
        <v>0</v>
      </c>
      <c r="Q29" s="77">
        <v>0</v>
      </c>
      <c r="R29" s="68">
        <v>1</v>
      </c>
      <c r="S29"/>
      <c r="T29"/>
    </row>
    <row r="30" spans="1:20" ht="15" customHeight="1" x14ac:dyDescent="0.15">
      <c r="F30" s="190" t="s">
        <v>216</v>
      </c>
      <c r="G30" s="77">
        <v>0</v>
      </c>
      <c r="H30" s="77">
        <v>0</v>
      </c>
      <c r="I30" s="77">
        <v>0</v>
      </c>
      <c r="J30" s="77">
        <v>0</v>
      </c>
      <c r="K30" s="77">
        <v>1</v>
      </c>
      <c r="L30" s="77">
        <v>0</v>
      </c>
      <c r="M30" s="77">
        <v>1</v>
      </c>
      <c r="N30" s="77">
        <v>0</v>
      </c>
      <c r="O30" s="77">
        <v>1</v>
      </c>
      <c r="P30" s="67">
        <v>0</v>
      </c>
      <c r="Q30" s="77">
        <v>0</v>
      </c>
      <c r="R30" s="68">
        <v>1</v>
      </c>
      <c r="S30"/>
      <c r="T30"/>
    </row>
    <row r="31" spans="1:20" ht="15" customHeight="1" x14ac:dyDescent="0.15">
      <c r="A31" s="118"/>
      <c r="B31" s="128" t="s">
        <v>17</v>
      </c>
      <c r="C31" s="128" t="s">
        <v>1</v>
      </c>
      <c r="D31" s="128" t="s">
        <v>161</v>
      </c>
      <c r="E31" s="129" t="s">
        <v>163</v>
      </c>
      <c r="F31" s="190" t="s">
        <v>217</v>
      </c>
      <c r="G31" s="77">
        <v>0</v>
      </c>
      <c r="H31" s="77">
        <v>0</v>
      </c>
      <c r="I31" s="77">
        <v>0</v>
      </c>
      <c r="J31" s="77">
        <v>0</v>
      </c>
      <c r="K31" s="77">
        <v>0</v>
      </c>
      <c r="L31" s="77">
        <v>0</v>
      </c>
      <c r="M31" s="77">
        <v>1</v>
      </c>
      <c r="N31" s="77">
        <v>0</v>
      </c>
      <c r="O31" s="77">
        <v>0</v>
      </c>
      <c r="P31" s="67">
        <v>0</v>
      </c>
      <c r="Q31" s="77">
        <v>0</v>
      </c>
      <c r="R31" s="68">
        <v>1</v>
      </c>
      <c r="S31"/>
      <c r="T31"/>
    </row>
    <row r="32" spans="1:20" ht="15" customHeight="1" x14ac:dyDescent="0.15">
      <c r="A32" s="193" t="s">
        <v>209</v>
      </c>
      <c r="B32" s="89">
        <v>5.3749332399999998</v>
      </c>
      <c r="C32" s="89">
        <v>112.65</v>
      </c>
      <c r="D32" s="89">
        <v>605.48622948599996</v>
      </c>
      <c r="E32" s="119">
        <v>0.28393687886090085</v>
      </c>
      <c r="F32" s="190" t="s">
        <v>218</v>
      </c>
      <c r="G32" s="77">
        <v>0</v>
      </c>
      <c r="H32" s="77">
        <v>0</v>
      </c>
      <c r="I32" s="77">
        <v>0</v>
      </c>
      <c r="J32" s="77">
        <v>0</v>
      </c>
      <c r="K32" s="77">
        <v>0</v>
      </c>
      <c r="L32" s="77">
        <v>1</v>
      </c>
      <c r="M32" s="77">
        <v>0</v>
      </c>
      <c r="N32" s="77">
        <v>1</v>
      </c>
      <c r="O32" s="77">
        <v>0</v>
      </c>
      <c r="P32" s="67">
        <v>1</v>
      </c>
      <c r="Q32" s="77">
        <v>0</v>
      </c>
      <c r="R32" s="68">
        <v>1</v>
      </c>
      <c r="S32"/>
      <c r="T32"/>
    </row>
    <row r="33" spans="1:20" ht="15" customHeight="1" x14ac:dyDescent="0.15">
      <c r="A33" s="193" t="s">
        <v>217</v>
      </c>
      <c r="B33" s="89">
        <v>970.74475099999995</v>
      </c>
      <c r="C33" s="89">
        <v>1.573</v>
      </c>
      <c r="D33" s="89">
        <v>1526.9814933229998</v>
      </c>
      <c r="E33" s="119">
        <v>0.71606312113909931</v>
      </c>
      <c r="F33" s="190" t="s">
        <v>219</v>
      </c>
      <c r="G33" s="77">
        <v>0</v>
      </c>
      <c r="H33" s="77">
        <v>0</v>
      </c>
      <c r="I33" s="77">
        <v>0</v>
      </c>
      <c r="J33" s="77">
        <v>0</v>
      </c>
      <c r="K33" s="77">
        <v>0</v>
      </c>
      <c r="L33" s="77">
        <v>1</v>
      </c>
      <c r="M33" s="77">
        <v>0</v>
      </c>
      <c r="N33" s="77">
        <v>1</v>
      </c>
      <c r="O33" s="77">
        <v>0</v>
      </c>
      <c r="P33" s="67">
        <v>1</v>
      </c>
      <c r="Q33" s="77">
        <v>0</v>
      </c>
      <c r="R33" s="68">
        <v>1</v>
      </c>
      <c r="S33"/>
      <c r="T33"/>
    </row>
    <row r="34" spans="1:20" ht="15" customHeight="1" x14ac:dyDescent="0.15">
      <c r="A34" s="120"/>
      <c r="B34" s="89"/>
      <c r="C34" s="89"/>
      <c r="D34" s="89"/>
      <c r="E34" s="119"/>
      <c r="F34" s="190" t="s">
        <v>220</v>
      </c>
      <c r="G34" s="77">
        <v>0</v>
      </c>
      <c r="H34" s="77">
        <v>0</v>
      </c>
      <c r="I34" s="77">
        <v>0</v>
      </c>
      <c r="J34" s="77">
        <v>0</v>
      </c>
      <c r="K34" s="77">
        <v>0</v>
      </c>
      <c r="L34" s="77">
        <v>1</v>
      </c>
      <c r="M34" s="77">
        <v>0</v>
      </c>
      <c r="N34" s="77">
        <v>0</v>
      </c>
      <c r="O34" s="77">
        <v>0</v>
      </c>
      <c r="P34" s="67">
        <v>0</v>
      </c>
      <c r="Q34" s="77">
        <v>0</v>
      </c>
      <c r="R34" s="68">
        <v>1</v>
      </c>
      <c r="S34"/>
      <c r="T34"/>
    </row>
    <row r="35" spans="1:20" ht="15" customHeight="1" x14ac:dyDescent="0.15">
      <c r="A35" s="121"/>
      <c r="B35" s="89"/>
      <c r="C35" s="89"/>
      <c r="D35" s="89"/>
      <c r="E35" s="119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15" customHeight="1" x14ac:dyDescent="0.15">
      <c r="A36" s="122"/>
      <c r="B36" s="89"/>
      <c r="C36" s="89"/>
      <c r="D36" s="89"/>
      <c r="E36" s="119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5" customHeight="1" x14ac:dyDescent="0.15">
      <c r="A37" s="122"/>
      <c r="B37" s="89"/>
      <c r="C37" s="89"/>
      <c r="D37" s="89"/>
      <c r="E37" s="119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 customHeight="1" x14ac:dyDescent="0.15">
      <c r="A38" s="123"/>
      <c r="B38" s="89"/>
      <c r="C38" s="89"/>
      <c r="D38" s="89"/>
      <c r="E38" s="119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23"/>
      <c r="B39" s="89"/>
      <c r="C39" s="89"/>
      <c r="D39" s="89"/>
      <c r="E39" s="11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23"/>
      <c r="B40" s="89"/>
      <c r="C40" s="89"/>
      <c r="D40" s="89"/>
      <c r="E40" s="119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23"/>
      <c r="B41" s="89"/>
      <c r="C41" s="89"/>
      <c r="D41" s="90"/>
      <c r="E41" s="124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25"/>
      <c r="B42" s="126"/>
      <c r="C42" s="126" t="s">
        <v>162</v>
      </c>
      <c r="D42" s="126">
        <f>SUM(D32:D41)</f>
        <v>2132.4677228089995</v>
      </c>
      <c r="E42" s="127">
        <f>SUM(E32:E41)</f>
        <v>1.0000000000000002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77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77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77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77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77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77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77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77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77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77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77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77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77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77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77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77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77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77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77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77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77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77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77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77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77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77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77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77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77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77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77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77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77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77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77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77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77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77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77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77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77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77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77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77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77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77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77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77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77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77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77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77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77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77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77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77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77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77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77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77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77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77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77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77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77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77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77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77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77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77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77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77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77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77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77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77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77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77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77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77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77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77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77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77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77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77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77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77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77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77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77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77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77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77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77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77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77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77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77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77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77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77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77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77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77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77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77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77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77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77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77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77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77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77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77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77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77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77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77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77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77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77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77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77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77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77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77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77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L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103" customWidth="1"/>
    <col min="3" max="5" width="7.83203125" style="103" customWidth="1"/>
    <col min="6" max="8" width="8.83203125" style="6"/>
    <col min="9" max="9" width="12" style="6" customWidth="1"/>
    <col min="10" max="10" width="9.5" style="6" customWidth="1"/>
    <col min="11" max="11" width="9.6640625" style="6" customWidth="1"/>
    <col min="12" max="12" width="11.6640625" style="6" customWidth="1"/>
    <col min="13" max="15" width="12.83203125" style="6" customWidth="1"/>
    <col min="16" max="16" width="11.33203125" style="6" customWidth="1"/>
    <col min="17" max="17" width="12.83203125" style="6" customWidth="1"/>
    <col min="18" max="18" width="8.5" style="6" customWidth="1"/>
    <col min="19" max="19" width="9.83203125" style="6" customWidth="1"/>
    <col min="20" max="20" width="11.33203125" style="6" customWidth="1"/>
    <col min="21" max="21" width="9.83203125" style="6" customWidth="1"/>
    <col min="22" max="22" width="12" style="6" customWidth="1"/>
    <col min="23" max="23" width="11.33203125" style="6" customWidth="1"/>
    <col min="24" max="24" width="14.33203125" style="6" customWidth="1"/>
    <col min="25" max="25" width="8.6640625" style="6" customWidth="1"/>
    <col min="26" max="26" width="13.1640625" style="6" customWidth="1"/>
    <col min="27" max="27" width="13.5" style="6" customWidth="1"/>
    <col min="28" max="28" width="12.1640625" style="6" customWidth="1"/>
    <col min="29" max="29" width="12.83203125" style="6" customWidth="1"/>
    <col min="30" max="30" width="10.5" style="6" customWidth="1"/>
    <col min="31" max="31" width="9.5" style="6" customWidth="1"/>
    <col min="32" max="32" width="11.5" style="6" customWidth="1"/>
    <col min="33" max="34" width="10.83203125" style="6" customWidth="1"/>
    <col min="35" max="35" width="7.6640625" style="6" customWidth="1"/>
    <col min="36" max="36" width="21.6640625" style="6" customWidth="1"/>
    <col min="37" max="37" width="7" style="6" customWidth="1"/>
    <col min="38" max="38" width="8.83203125" style="6"/>
    <col min="81" max="81" width="22.1640625" bestFit="1" customWidth="1"/>
  </cols>
  <sheetData>
    <row r="1" spans="1:38" x14ac:dyDescent="0.15">
      <c r="A1" s="4" t="s">
        <v>156</v>
      </c>
      <c r="B1" s="34" t="s">
        <v>157</v>
      </c>
      <c r="C1" s="34" t="s">
        <v>17</v>
      </c>
      <c r="D1" s="34" t="s">
        <v>158</v>
      </c>
      <c r="E1" s="34" t="s">
        <v>159</v>
      </c>
      <c r="F1" t="s">
        <v>38</v>
      </c>
      <c r="G1" t="s">
        <v>40</v>
      </c>
      <c r="H1" t="s">
        <v>41</v>
      </c>
      <c r="I1" s="195" t="s">
        <v>192</v>
      </c>
      <c r="J1" s="195" t="s">
        <v>193</v>
      </c>
      <c r="K1" s="195" t="s">
        <v>194</v>
      </c>
      <c r="L1" s="195" t="s">
        <v>195</v>
      </c>
      <c r="M1" s="195" t="s">
        <v>196</v>
      </c>
      <c r="N1" s="195" t="s">
        <v>197</v>
      </c>
      <c r="O1" s="195" t="s">
        <v>198</v>
      </c>
      <c r="P1" s="195" t="s">
        <v>199</v>
      </c>
      <c r="Q1" s="195" t="s">
        <v>200</v>
      </c>
      <c r="R1" s="195" t="s">
        <v>201</v>
      </c>
      <c r="S1" s="195" t="s">
        <v>202</v>
      </c>
      <c r="T1" s="195" t="s">
        <v>203</v>
      </c>
      <c r="U1" s="195" t="s">
        <v>204</v>
      </c>
      <c r="V1" s="195" t="s">
        <v>205</v>
      </c>
      <c r="W1" s="195" t="s">
        <v>206</v>
      </c>
      <c r="X1" s="195" t="s">
        <v>207</v>
      </c>
      <c r="Y1" s="195" t="s">
        <v>208</v>
      </c>
      <c r="Z1" s="195" t="s">
        <v>209</v>
      </c>
      <c r="AA1" s="195" t="s">
        <v>210</v>
      </c>
      <c r="AB1" s="195" t="s">
        <v>211</v>
      </c>
      <c r="AC1" s="195" t="s">
        <v>212</v>
      </c>
      <c r="AD1" s="195" t="s">
        <v>213</v>
      </c>
      <c r="AE1" s="195" t="s">
        <v>214</v>
      </c>
      <c r="AF1" s="195" t="s">
        <v>215</v>
      </c>
      <c r="AG1" s="195" t="s">
        <v>216</v>
      </c>
      <c r="AH1" s="195" t="s">
        <v>217</v>
      </c>
      <c r="AI1" s="195" t="s">
        <v>218</v>
      </c>
      <c r="AJ1" s="195" t="s">
        <v>219</v>
      </c>
      <c r="AK1" s="195" t="s">
        <v>220</v>
      </c>
      <c r="AL1"/>
    </row>
    <row r="2" spans="1:38" x14ac:dyDescent="0.15">
      <c r="A2" t="s">
        <v>38</v>
      </c>
      <c r="B2" s="103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 x14ac:dyDescent="0.15">
      <c r="A3" t="s">
        <v>40</v>
      </c>
      <c r="B3" s="103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15">
      <c r="A4" t="s">
        <v>41</v>
      </c>
      <c r="B4" s="103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8" x14ac:dyDescent="0.15">
      <c r="A5" s="194" t="s">
        <v>192</v>
      </c>
      <c r="B5" s="103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8" x14ac:dyDescent="0.15">
      <c r="A6" s="194" t="s">
        <v>193</v>
      </c>
      <c r="B6" s="103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8" x14ac:dyDescent="0.15">
      <c r="A7" s="194" t="s">
        <v>194</v>
      </c>
      <c r="B7" s="103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8" x14ac:dyDescent="0.15">
      <c r="A8" s="194" t="s">
        <v>195</v>
      </c>
      <c r="B8" s="103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8" x14ac:dyDescent="0.15">
      <c r="A9" s="194" t="s">
        <v>196</v>
      </c>
      <c r="B9" s="103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8" x14ac:dyDescent="0.15">
      <c r="A10" s="194" t="s">
        <v>197</v>
      </c>
      <c r="B10" s="103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8" x14ac:dyDescent="0.15">
      <c r="A11" s="194" t="s">
        <v>198</v>
      </c>
      <c r="B11" s="103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x14ac:dyDescent="0.15">
      <c r="A12" s="194" t="s">
        <v>199</v>
      </c>
      <c r="B12" s="103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 x14ac:dyDescent="0.15">
      <c r="A13" s="194" t="s">
        <v>200</v>
      </c>
      <c r="B13" s="103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 x14ac:dyDescent="0.15">
      <c r="A14" s="194" t="s">
        <v>201</v>
      </c>
      <c r="B14" s="103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 x14ac:dyDescent="0.15">
      <c r="A15" s="194" t="s">
        <v>202</v>
      </c>
      <c r="B15" s="103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 x14ac:dyDescent="0.15">
      <c r="A16" s="194" t="s">
        <v>203</v>
      </c>
      <c r="B16" s="103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94" t="s">
        <v>204</v>
      </c>
      <c r="B17" s="103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94" t="s">
        <v>205</v>
      </c>
      <c r="B18" s="103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94" t="s">
        <v>206</v>
      </c>
      <c r="B19" s="103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94" t="s">
        <v>207</v>
      </c>
      <c r="B20" s="103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94" t="s">
        <v>208</v>
      </c>
      <c r="B21" s="103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94" t="s">
        <v>209</v>
      </c>
      <c r="B22" s="103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94" t="s">
        <v>210</v>
      </c>
      <c r="B23" s="103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94" t="s">
        <v>211</v>
      </c>
      <c r="B24" s="103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94" t="s">
        <v>212</v>
      </c>
      <c r="B25" s="103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94" t="s">
        <v>213</v>
      </c>
      <c r="B26" s="103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94" t="s">
        <v>214</v>
      </c>
      <c r="B27" s="103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194" t="s">
        <v>215</v>
      </c>
      <c r="B28" s="103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194" t="s">
        <v>216</v>
      </c>
      <c r="B29" s="103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194" t="s">
        <v>217</v>
      </c>
      <c r="B30" s="103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194" t="s">
        <v>218</v>
      </c>
      <c r="B31" s="103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194" t="s">
        <v>219</v>
      </c>
      <c r="B32" s="103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194" t="s">
        <v>220</v>
      </c>
      <c r="B33" s="103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B36"/>
      <c r="C36"/>
      <c r="D36"/>
    </row>
    <row r="37" spans="1:38" ht="15" customHeight="1" x14ac:dyDescent="0.15">
      <c r="B37"/>
      <c r="C37"/>
      <c r="D37"/>
    </row>
    <row r="38" spans="1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B39"/>
      <c r="C39"/>
      <c r="D39"/>
    </row>
    <row r="40" spans="1:38" ht="15" customHeight="1" x14ac:dyDescent="0.15">
      <c r="B40"/>
      <c r="C40"/>
      <c r="D40"/>
    </row>
    <row r="41" spans="1:38" ht="15" customHeight="1" x14ac:dyDescent="0.15">
      <c r="B41"/>
      <c r="C41"/>
      <c r="D41"/>
    </row>
    <row r="42" spans="1:38" ht="15" customHeight="1" x14ac:dyDescent="0.15"/>
    <row r="43" spans="1:38" ht="15" customHeight="1" x14ac:dyDescent="0.15"/>
    <row r="44" spans="1:38" ht="15" customHeight="1" x14ac:dyDescent="0.15"/>
    <row r="45" spans="1:38" ht="15" customHeight="1" x14ac:dyDescent="0.15"/>
    <row r="46" spans="1:38" ht="15" customHeight="1" x14ac:dyDescent="0.15"/>
    <row r="47" spans="1:38" ht="15" customHeight="1" x14ac:dyDescent="0.15"/>
    <row r="48" spans="1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2022-10-23T22:09:40Z</dcterms:modified>
</cp:coreProperties>
</file>