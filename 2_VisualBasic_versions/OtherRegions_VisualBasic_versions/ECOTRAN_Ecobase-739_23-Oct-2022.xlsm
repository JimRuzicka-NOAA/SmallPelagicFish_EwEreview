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2_ECOTRAN_versions/ECOTRAN_OtherRegions/OtherRegions_ECOTRAN_K-path_versions/"/>
    </mc:Choice>
  </mc:AlternateContent>
  <xr:revisionPtr revIDLastSave="0" documentId="13_ncr:1_{3CF13181-6B14-3847-B37C-5E11AD665248}" xr6:coauthVersionLast="45" xr6:coauthVersionMax="45" xr10:uidLastSave="{00000000-0000-0000-0000-000000000000}"/>
  <bookViews>
    <workbookView xWindow="0" yWindow="460" windowWidth="25600" windowHeight="14240" tabRatio="728" firstSheet="7" activeTab="14"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Main!$C$2:$N$49</definedName>
    <definedName name="matDetritus">Detritus!$C$2:$F$49</definedName>
    <definedName name="matDiet">Diets!$B$2:$AN$44</definedName>
    <definedName name="matDiscards">Discards!$C$2:$H$43</definedName>
    <definedName name="matFishery">Fishing!$C$2:$H$43</definedName>
    <definedName name="matFishing">Fishing!#REF!</definedName>
    <definedName name="matMort">Mortalities!$A$1:$AY$43</definedName>
    <definedName name="matOut">MainOutputs!$A$2:$I$49</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G47"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8" i="1"/>
  <c r="G49" i="1"/>
  <c r="G2" i="1"/>
  <c r="E42" i="86"/>
  <c r="D42" i="86"/>
  <c r="B10" i="87"/>
  <c r="B8" i="75"/>
  <c r="B7" i="75"/>
  <c r="X6" i="75"/>
</calcChain>
</file>

<file path=xl/sharedStrings.xml><?xml version="1.0" encoding="utf-8"?>
<sst xmlns="http://schemas.openxmlformats.org/spreadsheetml/2006/main" count="1256" uniqueCount="251">
  <si>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</si>
  <si>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</si>
  <si>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</si>
  <si>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</si>
  <si>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</si>
  <si>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</si>
  <si>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</si>
  <si>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</si>
  <si>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</si>
  <si>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</si>
  <si>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</si>
  <si>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</si>
  <si>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</si>
  <si>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</si>
  <si>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</si>
  <si>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</si>
  <si>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</si>
  <si>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</si>
  <si>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</si>
  <si>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</si>
  <si>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</si>
  <si>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</si>
  <si>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</si>
  <si>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</si>
  <si>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</si>
  <si>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</si>
  <si>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</si>
  <si>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</si>
  <si>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</si>
  <si>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</si>
  <si>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</si>
  <si>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</si>
  <si>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</si>
  <si>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</si>
  <si>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</si>
  <si>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</si>
  <si>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</si>
  <si>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</si>
  <si>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</si>
  <si>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</si>
  <si>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</si>
  <si>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</si>
  <si>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</si>
  <si>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</si>
  <si>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</si>
  <si>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</si>
  <si>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</si>
  <si>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</si>
  <si>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</si>
  <si>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</si>
  <si>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</si>
  <si>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</si>
  <si>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</si>
  <si>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</si>
  <si>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</si>
  <si>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</si>
  <si>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</si>
  <si>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</si>
  <si>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</si>
  <si>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</si>
  <si>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</si>
  <si>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</si>
  <si>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</si>
  <si>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</si>
  <si>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</si>
  <si>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</si>
  <si>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</si>
  <si>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</si>
  <si>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</si>
  <si>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</si>
  <si>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</si>
  <si>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</si>
  <si>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</si>
  <si>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</si>
  <si>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</si>
  <si>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</si>
  <si>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</si>
  <si>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</si>
  <si>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</si>
  <si>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</si>
  <si>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</si>
  <si>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</si>
  <si>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</si>
  <si>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</si>
  <si>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</si>
  <si>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</si>
  <si>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</si>
  <si>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</si>
  <si>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</si>
  <si>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</si>
  <si>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</si>
  <si>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</si>
  <si>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</si>
  <si>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</si>
  <si>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</si>
  <si>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</si>
  <si>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</si>
  <si>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</si>
  <si>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</si>
  <si>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</si>
  <si>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</si>
  <si>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</si>
  <si>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</si>
  <si>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</si>
  <si>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</si>
  <si>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</si>
  <si>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</si>
  <si>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</si>
  <si>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</si>
  <si>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</si>
  <si>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</si>
  <si>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</si>
  <si>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</si>
  <si>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</si>
  <si>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</si>
  <si>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</si>
  <si>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</si>
  <si>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</si>
  <si>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</si>
  <si>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</si>
  <si>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</si>
  <si>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</si>
  <si>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</si>
  <si>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</si>
  <si>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</si>
  <si>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</si>
  <si>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</si>
  <si>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</si>
  <si>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</si>
  <si>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</si>
  <si>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</si>
  <si>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</si>
  <si>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</si>
  <si>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</si>
  <si>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</si>
  <si>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</si>
  <si>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</si>
  <si>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</si>
  <si>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</si>
  <si>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</si>
  <si>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</si>
  <si>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</si>
  <si>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</si>
  <si>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</si>
  <si>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</si>
  <si>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</si>
  <si>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</si>
  <si>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</si>
  <si>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</si>
  <si>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</si>
  <si>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</si>
  <si>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</si>
  <si>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</si>
  <si>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</si>
  <si>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</si>
  <si>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</si>
  <si>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</si>
  <si>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</si>
  <si>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</si>
  <si>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</si>
  <si>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</si>
  <si>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</si>
  <si>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</si>
  <si>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</si>
  <si>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</si>
  <si>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</si>
  <si>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</si>
  <si>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</si>
  <si>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</si>
  <si>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</si>
  <si>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</si>
  <si>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</si>
  <si>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</si>
  <si>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</si>
  <si>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</si>
  <si>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</si>
  <si>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</si>
  <si>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</si>
  <si>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</si>
  <si>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</si>
  <si>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</si>
  <si>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</si>
  <si>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</si>
  <si>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</si>
  <si>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</si>
  <si>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Gulf of Gabes</t>
  </si>
  <si>
    <t>Tunisia</t>
  </si>
  <si>
    <t>BOX(10.1088035219858 33.3934808572524,13.4973098318636 35.2425730422453)</t>
  </si>
  <si>
    <t>Continental shelf</t>
  </si>
  <si>
    <t>WetWeight</t>
  </si>
  <si>
    <t>The model represents the average state of the ecosystem ( an exploited southern Mediterranean shelf region (Gulf of Gabes, Tunisia)) between 2000 and 2005. It includes 41 functional groups, which encompass the entire trophic spectrum from phytoplankton to higher trophic levels (e.g., fishes, birds, and mammals), and also considers the fishing activities in the area (five fleets</t>
  </si>
  <si>
    <t>Hattab, T., Ben Rais Lasram, F., Albouy, C., Romdhane, M.S., Jarboui, O., Halouani, G., Cury, P., Le Loc’h, F., 2013. An ecosystem model of an exploited southern Mediterranean shelf region (Gulf of Gabes, Tunisia) and a comparison with other Mediterranean ecosystem model properties. Journal of Marine Systems 128, 159–174. doi:10.1016/j.jmarsys.2013.04.017</t>
  </si>
  <si>
    <t>https://doi.org/10.1016/j.jmarsys.2013.04.017</t>
  </si>
  <si>
    <t>Phytoplankton</t>
  </si>
  <si>
    <t>Macro-algae</t>
  </si>
  <si>
    <t>Posidonia oceanica</t>
  </si>
  <si>
    <t>Micro and mesozooplankton</t>
  </si>
  <si>
    <t>Macrozooplankton</t>
  </si>
  <si>
    <t>Foraminifera</t>
  </si>
  <si>
    <t xml:space="preserve">Invertebrate suspension feeders </t>
  </si>
  <si>
    <t>Polychaetes</t>
  </si>
  <si>
    <t>Amphipoda and Isopoda</t>
  </si>
  <si>
    <t>Echinoderms</t>
  </si>
  <si>
    <t>Benthic molluscs</t>
  </si>
  <si>
    <t>Crabs</t>
  </si>
  <si>
    <t>Benthic cephalopods</t>
  </si>
  <si>
    <t>Benthopelagic cephalopods</t>
  </si>
  <si>
    <t>Mantis shrimp</t>
  </si>
  <si>
    <t>Caramote prawn</t>
  </si>
  <si>
    <t xml:space="preserve">Alien shrimps </t>
  </si>
  <si>
    <t xml:space="preserve">Deep shrimps </t>
  </si>
  <si>
    <t>Horse mackerel</t>
  </si>
  <si>
    <t>European pilchard</t>
  </si>
  <si>
    <t>Round sardinella</t>
  </si>
  <si>
    <t>European anchovy</t>
  </si>
  <si>
    <t>Picarel</t>
  </si>
  <si>
    <t>Bogue</t>
  </si>
  <si>
    <t>Benthic invertebrate feeders (1)</t>
  </si>
  <si>
    <t>Benthic invertebrate feeders (2)</t>
  </si>
  <si>
    <t>Mullets</t>
  </si>
  <si>
    <t>Piscivorous Fish</t>
  </si>
  <si>
    <t>Sparidae</t>
  </si>
  <si>
    <t>Macro-carnivorous Fish (1)</t>
  </si>
  <si>
    <t>Macro-carnivorous Fish (2)</t>
  </si>
  <si>
    <t>Rays (1)</t>
  </si>
  <si>
    <t xml:space="preserve">Rays (2) </t>
  </si>
  <si>
    <t>Sharks</t>
  </si>
  <si>
    <t xml:space="preserve">Small tuna </t>
  </si>
  <si>
    <t>Medium pelagic fish</t>
  </si>
  <si>
    <t>Atlantic bluefin tuna</t>
  </si>
  <si>
    <t>Dolphins</t>
  </si>
  <si>
    <t>Sea birds</t>
  </si>
  <si>
    <t xml:space="preserve">Discards </t>
  </si>
  <si>
    <t>Detritus</t>
  </si>
  <si>
    <t>detritus_TerminalBenthic</t>
  </si>
  <si>
    <t>Cotière</t>
  </si>
  <si>
    <t>pêche au feu</t>
  </si>
  <si>
    <t>Small Seine</t>
  </si>
  <si>
    <t>Tuna purse seine</t>
  </si>
  <si>
    <t xml:space="preserve">Bottom trawling </t>
  </si>
  <si>
    <t xml:space="preserve">Sponge fishing </t>
  </si>
  <si>
    <t>Import</t>
  </si>
  <si>
    <t>export</t>
  </si>
  <si>
    <t>sum</t>
  </si>
  <si>
    <t>TOTAL</t>
  </si>
  <si>
    <t>F Cotière</t>
  </si>
  <si>
    <t>F pêche au feu</t>
  </si>
  <si>
    <t>F Small Seine</t>
  </si>
  <si>
    <t>F Tuna purse seine</t>
  </si>
  <si>
    <t xml:space="preserve">F Bottom trawling </t>
  </si>
  <si>
    <t xml:space="preserve">F Sponge fishing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</si>
</sst>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80">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8FF00"/>
        <bgColor indexed="64"/>
      </patternFill>
    </fill>
    <fill>
      <patternFill patternType="solid">
        <fgColor rgb="FF21FF00"/>
        <bgColor indexed="64"/>
      </patternFill>
    </fill>
    <fill>
      <patternFill patternType="solid">
        <fgColor rgb="FF48FF00"/>
        <bgColor indexed="64"/>
      </patternFill>
    </fill>
    <fill>
      <patternFill patternType="solid">
        <fgColor rgb="FF56FF00"/>
        <bgColor indexed="64"/>
      </patternFill>
    </fill>
    <fill>
      <patternFill patternType="solid">
        <fgColor rgb="FF3FFF00"/>
        <bgColor indexed="64"/>
      </patternFill>
    </fill>
    <fill>
      <patternFill patternType="solid">
        <fgColor rgb="FF50FF00"/>
        <bgColor indexed="64"/>
      </patternFill>
    </fill>
    <fill>
      <patternFill patternType="solid">
        <fgColor rgb="FF22FF00"/>
        <bgColor indexed="64"/>
      </patternFill>
    </fill>
    <fill>
      <patternFill patternType="solid">
        <fgColor rgb="FF58FF00"/>
        <bgColor indexed="64"/>
      </patternFill>
    </fill>
    <fill>
      <patternFill patternType="solid">
        <fgColor rgb="FF97FF00"/>
        <bgColor indexed="64"/>
      </patternFill>
    </fill>
    <fill>
      <patternFill patternType="solid">
        <fgColor rgb="FF63FF00"/>
        <bgColor indexed="64"/>
      </patternFill>
    </fill>
    <fill>
      <patternFill patternType="solid">
        <fgColor rgb="FF42FF00"/>
        <bgColor indexed="64"/>
      </patternFill>
    </fill>
    <fill>
      <patternFill patternType="solid">
        <fgColor rgb="FF3DFF00"/>
        <bgColor indexed="64"/>
      </patternFill>
    </fill>
    <fill>
      <patternFill patternType="solid">
        <fgColor rgb="FF33FF00"/>
        <bgColor indexed="64"/>
      </patternFill>
    </fill>
    <fill>
      <patternFill patternType="solid">
        <fgColor rgb="FF0FFF00"/>
        <bgColor indexed="64"/>
      </patternFill>
    </fill>
    <fill>
      <patternFill patternType="solid">
        <fgColor rgb="FF1FFF00"/>
        <bgColor indexed="64"/>
      </patternFill>
    </fill>
    <fill>
      <patternFill patternType="solid">
        <fgColor rgb="FF80FF00"/>
        <bgColor indexed="64"/>
      </patternFill>
    </fill>
    <fill>
      <patternFill patternType="solid">
        <fgColor rgb="FF81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FFFF0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41FF00"/>
        <bgColor indexed="64"/>
      </patternFill>
    </fill>
    <fill>
      <patternFill patternType="solid">
        <fgColor rgb="FF0CFF00"/>
        <bgColor indexed="64"/>
      </patternFill>
    </fill>
    <fill>
      <patternFill patternType="solid">
        <fgColor rgb="FF25FF00"/>
        <bgColor indexed="64"/>
      </patternFill>
    </fill>
    <fill>
      <patternFill patternType="solid">
        <fgColor rgb="FF14FF00"/>
        <bgColor indexed="64"/>
      </patternFill>
    </fill>
    <fill>
      <patternFill patternType="solid">
        <fgColor rgb="FFAFFF00"/>
        <bgColor indexed="64"/>
      </patternFill>
    </fill>
    <fill>
      <patternFill patternType="solid">
        <fgColor rgb="FF4BFF00"/>
        <bgColor indexed="64"/>
      </patternFill>
    </fill>
    <fill>
      <patternFill patternType="solid">
        <fgColor rgb="FF57FF00"/>
        <bgColor indexed="64"/>
      </patternFill>
    </fill>
    <fill>
      <patternFill patternType="solid">
        <fgColor rgb="FF52FF00"/>
        <bgColor indexed="64"/>
      </patternFill>
    </fill>
    <fill>
      <patternFill patternType="solid">
        <fgColor rgb="FFFCFF00"/>
        <bgColor indexed="64"/>
      </patternFill>
    </fill>
    <fill>
      <patternFill patternType="solid">
        <fgColor rgb="FFFF3400"/>
        <bgColor indexed="64"/>
      </patternFill>
    </fill>
    <fill>
      <patternFill patternType="solid">
        <fgColor rgb="FF87FF00"/>
        <bgColor indexed="64"/>
      </patternFill>
    </fill>
    <fill>
      <patternFill patternType="solid">
        <fgColor rgb="FF51FF00"/>
        <bgColor indexed="64"/>
      </patternFill>
    </fill>
    <fill>
      <patternFill patternType="solid">
        <fgColor rgb="FFFFD600"/>
        <bgColor indexed="64"/>
      </patternFill>
    </fill>
    <fill>
      <patternFill patternType="solid">
        <fgColor rgb="FFA1FF00"/>
        <bgColor indexed="64"/>
      </patternFill>
    </fill>
    <fill>
      <patternFill patternType="solid">
        <fgColor rgb="FFFF7000"/>
        <bgColor indexed="64"/>
      </patternFill>
    </fill>
    <fill>
      <patternFill patternType="solid">
        <fgColor rgb="FF32FF00"/>
        <bgColor indexed="64"/>
      </patternFill>
    </fill>
    <fill>
      <patternFill patternType="solid">
        <fgColor rgb="FFF6FF00"/>
        <bgColor indexed="64"/>
      </patternFill>
    </fill>
    <fill>
      <patternFill patternType="solid">
        <fgColor rgb="FFFFEC00"/>
        <bgColor indexed="64"/>
      </patternFill>
    </fill>
    <fill>
      <patternFill patternType="solid">
        <fgColor rgb="FF2AFF00"/>
        <bgColor indexed="64"/>
      </patternFill>
    </fill>
    <fill>
      <patternFill patternType="solid">
        <fgColor rgb="FF2DFF00"/>
        <bgColor indexed="64"/>
      </patternFill>
    </fill>
    <fill>
      <patternFill patternType="solid">
        <fgColor rgb="FF29FF00"/>
        <bgColor indexed="64"/>
      </patternFill>
    </fill>
    <fill>
      <patternFill patternType="solid">
        <fgColor rgb="FF3AFF00"/>
        <bgColor indexed="64"/>
      </patternFill>
    </fill>
    <fill>
      <patternFill patternType="solid">
        <fgColor rgb="FF39FF00"/>
        <bgColor indexed="64"/>
      </patternFill>
    </fill>
    <fill>
      <patternFill patternType="solid">
        <fgColor rgb="FF3CFF00"/>
        <bgColor indexed="64"/>
      </patternFill>
    </fill>
    <fill>
      <patternFill patternType="solid">
        <fgColor rgb="FF2CFF00"/>
        <bgColor indexed="64"/>
      </patternFill>
    </fill>
    <fill>
      <patternFill patternType="solid">
        <fgColor rgb="FF23FF00"/>
        <bgColor indexed="64"/>
      </patternFill>
    </fill>
    <fill>
      <patternFill patternType="solid">
        <fgColor rgb="FF26FF00"/>
        <bgColor indexed="64"/>
      </patternFill>
    </fill>
    <fill>
      <patternFill patternType="solid">
        <fgColor rgb="FF17FF00"/>
        <bgColor indexed="64"/>
      </patternFill>
    </fill>
    <fill>
      <patternFill patternType="solid">
        <fgColor rgb="FF2EFF00"/>
        <bgColor indexed="64"/>
      </patternFill>
    </fill>
    <fill>
      <patternFill patternType="solid">
        <fgColor rgb="FF4EFF00"/>
        <bgColor indexed="64"/>
      </patternFill>
    </fill>
    <fill>
      <patternFill patternType="solid">
        <fgColor rgb="FFFFA200"/>
        <bgColor indexed="64"/>
      </patternFill>
    </fill>
    <fill>
      <patternFill patternType="solid">
        <fgColor rgb="FF55FF00"/>
        <bgColor indexed="64"/>
      </patternFill>
    </fill>
    <fill>
      <patternFill patternType="solid">
        <fgColor rgb="FF4CFF00"/>
        <bgColor indexed="64"/>
      </patternFill>
    </fill>
    <fill>
      <patternFill patternType="solid">
        <fgColor rgb="FF36FF00"/>
        <bgColor indexed="64"/>
      </patternFill>
    </fill>
    <fill>
      <patternFill patternType="solid">
        <fgColor rgb="FF3BFF00"/>
        <bgColor indexed="64"/>
      </patternFill>
    </fill>
    <fill>
      <patternFill patternType="solid">
        <fgColor rgb="FF3EFF00"/>
        <bgColor indexed="64"/>
      </patternFill>
    </fill>
    <fill>
      <patternFill patternType="solid">
        <fgColor rgb="FF4AFF00"/>
        <bgColor indexed="64"/>
      </patternFill>
    </fill>
    <fill>
      <patternFill patternType="solid">
        <fgColor rgb="FF75FF00"/>
        <bgColor indexed="64"/>
      </patternFill>
    </fill>
    <fill>
      <patternFill patternType="solid">
        <fgColor rgb="FF37FF00"/>
        <bgColor indexed="64"/>
      </patternFill>
    </fill>
    <fill>
      <patternFill patternType="solid">
        <fgColor rgb="FF38FF00"/>
        <bgColor indexed="64"/>
      </patternFill>
    </fill>
    <fill>
      <patternFill patternType="solid">
        <fgColor rgb="FF31FF00"/>
        <bgColor indexed="64"/>
      </patternFill>
    </fill>
    <fill>
      <patternFill patternType="solid">
        <fgColor rgb="FF46FF00"/>
        <bgColor indexed="64"/>
      </patternFill>
    </fill>
    <fill>
      <patternFill patternType="solid">
        <fgColor rgb="FF34FF00"/>
        <bgColor indexed="64"/>
      </patternFill>
    </fill>
    <fill>
      <patternFill patternType="solid">
        <fgColor rgb="FF1BFF00"/>
        <bgColor indexed="64"/>
      </patternFill>
    </fill>
    <fill>
      <patternFill patternType="solid">
        <fgColor rgb="FF66FF00"/>
        <bgColor indexed="64"/>
      </patternFill>
    </fill>
    <fill>
      <patternFill patternType="solid">
        <fgColor rgb="FF7EFF00"/>
        <bgColor indexed="64"/>
      </patternFill>
    </fill>
    <fill>
      <patternFill patternType="solid">
        <fgColor rgb="FF45FF00"/>
        <bgColor indexed="64"/>
      </patternFill>
    </fill>
    <fill>
      <patternFill patternType="solid">
        <fgColor rgb="FF54FF00"/>
        <bgColor indexed="64"/>
      </patternFill>
    </fill>
    <fill>
      <patternFill patternType="solid">
        <fgColor rgb="FF6BFF00"/>
        <bgColor indexed="64"/>
      </patternFill>
    </fill>
    <fill>
      <patternFill patternType="solid">
        <fgColor rgb="FFB2FF00"/>
        <bgColor indexed="64"/>
      </patternFill>
    </fill>
    <fill>
      <patternFill patternType="solid">
        <fgColor rgb="FF2BFF00"/>
        <bgColor indexed="64"/>
      </patternFill>
    </fill>
    <fill>
      <patternFill patternType="solid">
        <fgColor rgb="FF7BFF00"/>
        <bgColor indexed="64"/>
      </patternFill>
    </fill>
    <fill>
      <patternFill patternType="solid">
        <fgColor rgb="FFCEFF00"/>
        <bgColor indexed="64"/>
      </patternFill>
    </fill>
    <fill>
      <patternFill patternType="solid">
        <fgColor rgb="FF5BFF00"/>
        <bgColor indexed="64"/>
      </patternFill>
    </fill>
    <fill>
      <patternFill patternType="solid">
        <fgColor rgb="FF64FF00"/>
        <bgColor indexed="64"/>
      </patternFill>
    </fill>
    <fill>
      <patternFill patternType="solid">
        <fgColor rgb="FF8EFF00"/>
        <bgColor indexed="64"/>
      </patternFill>
    </fill>
    <fill>
      <patternFill patternType="solid">
        <fgColor rgb="FF6FFF00"/>
        <bgColor indexed="64"/>
      </patternFill>
    </fill>
    <fill>
      <patternFill patternType="solid">
        <fgColor rgb="FFD4FF00"/>
        <bgColor indexed="64"/>
      </patternFill>
    </fill>
    <fill>
      <patternFill patternType="solid">
        <fgColor rgb="FF4FFF00"/>
        <bgColor indexed="64"/>
      </patternFill>
    </fill>
    <fill>
      <patternFill patternType="solid">
        <fgColor rgb="FFACFF00"/>
        <bgColor indexed="64"/>
      </patternFill>
    </fill>
    <fill>
      <patternFill patternType="solid">
        <fgColor rgb="FF6CFF00"/>
        <bgColor indexed="64"/>
      </patternFill>
    </fill>
    <fill>
      <patternFill patternType="solid">
        <fgColor rgb="FF6DFF00"/>
        <bgColor indexed="64"/>
      </patternFill>
    </fill>
    <fill>
      <patternFill patternType="solid">
        <fgColor rgb="FFFF9D00"/>
        <bgColor indexed="64"/>
      </patternFill>
    </fill>
    <fill>
      <patternFill patternType="solid">
        <fgColor rgb="FF69FF00"/>
        <bgColor indexed="64"/>
      </patternFill>
    </fill>
    <fill>
      <patternFill patternType="solid">
        <fgColor rgb="FF98FF00"/>
        <bgColor indexed="64"/>
      </patternFill>
    </fill>
    <fill>
      <patternFill patternType="solid">
        <fgColor rgb="FFB1FF00"/>
        <bgColor indexed="64"/>
      </patternFill>
    </fill>
    <fill>
      <patternFill patternType="solid">
        <fgColor rgb="FFFF9100"/>
        <bgColor indexed="64"/>
      </patternFill>
    </fill>
    <fill>
      <patternFill patternType="solid">
        <fgColor rgb="FF11FF00"/>
        <bgColor indexed="64"/>
      </patternFill>
    </fill>
    <fill>
      <patternFill patternType="solid">
        <fgColor rgb="FFFFC700"/>
        <bgColor indexed="64"/>
      </patternFill>
    </fill>
    <fill>
      <patternFill patternType="solid">
        <fgColor rgb="FF7FFF00"/>
        <bgColor indexed="64"/>
      </patternFill>
    </fill>
    <fill>
      <patternFill patternType="solid">
        <fgColor rgb="FF8CFF00"/>
        <bgColor indexed="64"/>
      </patternFill>
    </fill>
    <fill>
      <patternFill patternType="solid">
        <fgColor rgb="FF95FF00"/>
        <bgColor indexed="64"/>
      </patternFill>
    </fill>
    <fill>
      <patternFill patternType="solid">
        <fgColor rgb="FFFFDA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01">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1" fillId="0" borderId="0" xfId="0" applyFont="1" applyAlignment="1">
      <alignment horizontal="center"/>
    </xf>
    <xf numFmtId="0" fontId="0" fillId="38" borderId="0" xfId="0" applyFill="1"/>
    <xf numFmtId="0" fontId="0" fillId="0" borderId="0" xfId="0" applyFont="1" applyFill="1"/>
    <xf numFmtId="0" fontId="0" fillId="0" borderId="0" xfId="0" applyFont="1" applyAlignment="1">
      <alignment horizontal="center"/>
    </xf>
    <xf numFmtId="0" fontId="0" fillId="40" borderId="0" xfId="0" applyFill="1"/>
    <xf numFmtId="0" fontId="0" fillId="41" borderId="0" xfId="0" applyFill="1"/>
    <xf numFmtId="0" fontId="0" fillId="0" borderId="0" xfId="0" applyFont="1" applyFill="1" applyAlignment="1">
      <alignment horizontal="center"/>
    </xf>
    <xf numFmtId="0" fontId="0" fillId="42" borderId="0" xfId="0" applyFill="1"/>
    <xf numFmtId="0" fontId="0" fillId="43" borderId="0" xfId="0" applyFill="1"/>
    <xf numFmtId="0" fontId="0" fillId="44"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9"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9" borderId="3" xfId="0" applyNumberFormat="1" applyFont="1" applyFill="1" applyBorder="1"/>
    <xf numFmtId="0" fontId="0" fillId="39" borderId="2" xfId="0" applyFont="1" applyFill="1" applyBorder="1"/>
    <xf numFmtId="0" fontId="0" fillId="39" borderId="3" xfId="0" applyFont="1" applyFill="1" applyBorder="1"/>
    <xf numFmtId="0" fontId="0" fillId="39"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51" borderId="0" xfId="0" applyFill="1"/>
    <xf numFmtId="0" fontId="0" fillId="52" borderId="0" xfId="0" applyFill="1"/>
    <xf numFmtId="0" fontId="0" fillId="53" borderId="0" xfId="0" applyFill="1"/>
    <xf numFmtId="0" fontId="1" fillId="2" borderId="0" xfId="0" applyNumberFormat="1" applyFont="1" applyFill="1"/>
    <xf numFmtId="0" fontId="0" fillId="0" borderId="0" xfId="0" applyNumberFormat="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8" fillId="88" borderId="0" xfId="0" applyFont="1" applyFill="1" applyAlignment="1">
      <alignment horizontal="center"/>
    </xf>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358.66406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82" t="s">
        <v>171</v>
      </c>
      <c r="C53" s="115">
        <v>739</v>
      </c>
      <c r="D53" s="115"/>
    </row>
    <row r="54" spans="2:4" x14ac:dyDescent="0.15">
      <c r="B54" s="182" t="s">
        <v>172</v>
      </c>
      <c r="C54" s="182" t="s">
        <v>185</v>
      </c>
      <c r="D54" s="115"/>
    </row>
    <row r="55" spans="2:4" x14ac:dyDescent="0.15">
      <c r="B55" s="182" t="s">
        <v>173</v>
      </c>
      <c r="C55" s="182" t="s">
        <v>186</v>
      </c>
      <c r="D55" s="115"/>
    </row>
    <row r="56" spans="2:4" x14ac:dyDescent="0.15">
      <c r="B56" s="182" t="s">
        <v>174</v>
      </c>
      <c r="C56" s="115">
        <v>24889</v>
      </c>
      <c r="D56" s="115"/>
    </row>
    <row r="57" spans="2:4" x14ac:dyDescent="0.15">
      <c r="B57" s="182" t="s">
        <v>175</v>
      </c>
      <c r="C57" s="182" t="s">
        <v>187</v>
      </c>
      <c r="D57" s="115"/>
    </row>
    <row r="58" spans="2:4" x14ac:dyDescent="0.15">
      <c r="B58" s="182" t="s">
        <v>176</v>
      </c>
      <c r="C58" s="182" t="s">
        <v>188</v>
      </c>
      <c r="D58" s="115"/>
    </row>
    <row r="59" spans="2:4" x14ac:dyDescent="0.15">
      <c r="B59" s="182" t="s">
        <v>177</v>
      </c>
      <c r="C59" s="182" t="s">
        <v>189</v>
      </c>
      <c r="D59" s="115"/>
    </row>
    <row r="60" spans="2:4" x14ac:dyDescent="0.15">
      <c r="B60" s="182" t="s">
        <v>178</v>
      </c>
      <c r="C60" s="182" t="s">
        <v>190</v>
      </c>
      <c r="D60" s="115"/>
    </row>
    <row r="61" spans="2:4" x14ac:dyDescent="0.15">
      <c r="B61" s="182" t="s">
        <v>179</v>
      </c>
      <c r="C61" s="115">
        <v>41</v>
      </c>
      <c r="D61" s="115"/>
    </row>
    <row r="62" spans="2:4" x14ac:dyDescent="0.15">
      <c r="B62" s="182" t="s">
        <v>180</v>
      </c>
      <c r="C62" s="115">
        <v>6</v>
      </c>
      <c r="D62" s="115"/>
    </row>
    <row r="63" spans="2:4" x14ac:dyDescent="0.15">
      <c r="B63" s="182" t="s">
        <v>181</v>
      </c>
      <c r="C63" s="115">
        <v>2000</v>
      </c>
      <c r="D63" s="115"/>
    </row>
    <row r="64" spans="2:4" x14ac:dyDescent="0.15">
      <c r="B64" s="182" t="s">
        <v>182</v>
      </c>
      <c r="C64" s="115">
        <v>5</v>
      </c>
      <c r="D64" s="115"/>
    </row>
    <row r="65" spans="2:4" x14ac:dyDescent="0.15">
      <c r="B65" s="182" t="s">
        <v>183</v>
      </c>
      <c r="C65" s="182" t="s">
        <v>191</v>
      </c>
      <c r="D65" s="115"/>
    </row>
    <row r="66" spans="2:4" x14ac:dyDescent="0.15">
      <c r="B66" s="182" t="s">
        <v>184</v>
      </c>
      <c r="C66" s="182" t="s">
        <v>192</v>
      </c>
      <c r="D66" s="115"/>
    </row>
    <row r="67" spans="2:4" x14ac:dyDescent="0.15">
      <c r="B67" s="115"/>
      <c r="C67" s="115"/>
      <c r="D67" s="115"/>
    </row>
    <row r="68" spans="2:4" x14ac:dyDescent="0.15">
      <c r="B68" s="115"/>
      <c r="C68" s="115"/>
      <c r="D68" s="115"/>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P5" sqref="P5"/>
    </sheetView>
  </sheetViews>
  <sheetFormatPr baseColWidth="10" defaultColWidth="8.83203125" defaultRowHeight="15" customHeight="1" x14ac:dyDescent="0.15"/>
  <cols>
    <col min="1" max="1" width="22.5" style="85" customWidth="1"/>
    <col min="2" max="3" width="3.33203125" style="85" customWidth="1"/>
    <col min="4" max="4" width="14.33203125" style="85" customWidth="1"/>
    <col min="5" max="5" width="27.83203125" style="85" bestFit="1" customWidth="1"/>
    <col min="6" max="6" width="2.33203125" style="85" bestFit="1" customWidth="1"/>
    <col min="7" max="7" width="12.83203125" style="85" bestFit="1" customWidth="1"/>
    <col min="8" max="8" width="11.83203125" style="85" customWidth="1"/>
    <col min="9" max="9" width="8.83203125" style="85" customWidth="1"/>
    <col min="10" max="10" width="11.83203125" style="85" customWidth="1"/>
    <col min="11" max="11" width="13.83203125" style="85" customWidth="1"/>
    <col min="12" max="12" width="2.33203125" style="85" customWidth="1"/>
    <col min="13" max="13" width="3.83203125" style="85" customWidth="1"/>
    <col min="14" max="14" width="2.33203125" style="85" customWidth="1"/>
    <col min="16" max="25" width="8.83203125" style="85"/>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5"/>
  </cols>
  <sheetData>
    <row r="1" spans="1:46" s="102" customFormat="1" ht="15" customHeight="1" x14ac:dyDescent="0.15">
      <c r="A1" s="81" t="s">
        <v>18</v>
      </c>
      <c r="C1" s="82" t="s">
        <v>8</v>
      </c>
      <c r="D1" s="81" t="s">
        <v>23</v>
      </c>
      <c r="E1" s="81" t="s">
        <v>0</v>
      </c>
      <c r="F1" s="81" t="s">
        <v>7</v>
      </c>
      <c r="G1" s="83" t="s">
        <v>13</v>
      </c>
      <c r="H1" s="81" t="s">
        <v>1</v>
      </c>
      <c r="I1" s="81" t="s">
        <v>2</v>
      </c>
      <c r="J1" s="81" t="s">
        <v>14</v>
      </c>
      <c r="K1" s="81" t="s">
        <v>3</v>
      </c>
      <c r="L1" s="81" t="s">
        <v>4</v>
      </c>
      <c r="M1" s="81" t="s">
        <v>5</v>
      </c>
      <c r="N1" s="81" t="s">
        <v>6</v>
      </c>
      <c r="O1"/>
      <c r="Z1"/>
      <c r="AA1"/>
      <c r="AB1"/>
      <c r="AC1"/>
      <c r="AD1"/>
      <c r="AE1"/>
      <c r="AF1"/>
      <c r="AG1"/>
      <c r="AH1"/>
      <c r="AI1"/>
      <c r="AJ1"/>
      <c r="AK1"/>
      <c r="AL1"/>
      <c r="AM1"/>
      <c r="AN1"/>
      <c r="AO1"/>
      <c r="AP1"/>
      <c r="AQ1"/>
      <c r="AR1"/>
      <c r="AS1"/>
      <c r="AT1"/>
    </row>
    <row r="2" spans="1:46" ht="15" customHeight="1" x14ac:dyDescent="0.15">
      <c r="C2" s="102">
        <v>1</v>
      </c>
      <c r="D2"/>
      <c r="E2" s="183" t="s">
        <v>193</v>
      </c>
      <c r="F2" s="85">
        <v>1</v>
      </c>
      <c r="G2" s="85">
        <v>7.65</v>
      </c>
      <c r="H2" s="85">
        <v>160</v>
      </c>
      <c r="I2" s="6">
        <v>0</v>
      </c>
      <c r="J2" s="6">
        <v>0.30857017599999997</v>
      </c>
      <c r="K2" s="6">
        <v>0</v>
      </c>
      <c r="L2" s="6">
        <v>0</v>
      </c>
      <c r="M2" s="85">
        <v>0</v>
      </c>
      <c r="N2" s="85">
        <v>0</v>
      </c>
    </row>
    <row r="3" spans="1:46" ht="15" customHeight="1" x14ac:dyDescent="0.15">
      <c r="A3" s="1" t="s">
        <v>9</v>
      </c>
      <c r="B3" s="4">
        <v>39</v>
      </c>
      <c r="C3" s="85">
        <v>2</v>
      </c>
      <c r="D3"/>
      <c r="E3" s="183" t="s">
        <v>194</v>
      </c>
      <c r="F3" s="85">
        <v>1</v>
      </c>
      <c r="G3" s="85">
        <v>2.1878614399999998</v>
      </c>
      <c r="H3" s="85">
        <v>13.40043</v>
      </c>
      <c r="I3" s="85">
        <v>0</v>
      </c>
      <c r="J3" s="85">
        <v>0.94999990000000001</v>
      </c>
      <c r="K3" s="85">
        <v>0</v>
      </c>
      <c r="L3" s="85">
        <v>0</v>
      </c>
      <c r="M3" s="85">
        <v>0</v>
      </c>
      <c r="N3" s="85">
        <v>0</v>
      </c>
    </row>
    <row r="4" spans="1:46" ht="15" customHeight="1" x14ac:dyDescent="0.15">
      <c r="A4" s="1" t="s">
        <v>10</v>
      </c>
      <c r="B4" s="4">
        <v>3</v>
      </c>
      <c r="C4" s="85">
        <v>3</v>
      </c>
      <c r="D4"/>
      <c r="E4" s="183" t="s">
        <v>195</v>
      </c>
      <c r="F4" s="85">
        <v>1</v>
      </c>
      <c r="G4" s="85">
        <v>4.5759080000000001E-2</v>
      </c>
      <c r="H4" s="85">
        <v>15.03266</v>
      </c>
      <c r="I4" s="85">
        <v>0</v>
      </c>
      <c r="J4" s="85">
        <v>0.95000004800000004</v>
      </c>
      <c r="K4" s="85">
        <v>0</v>
      </c>
      <c r="L4" s="85">
        <v>0</v>
      </c>
      <c r="M4" s="85">
        <v>0</v>
      </c>
      <c r="N4" s="85">
        <v>0</v>
      </c>
      <c r="V4" s="1" t="s">
        <v>29</v>
      </c>
    </row>
    <row r="5" spans="1:46" ht="15" customHeight="1" thickBot="1" x14ac:dyDescent="0.2">
      <c r="A5" s="1" t="s">
        <v>11</v>
      </c>
      <c r="B5" s="4">
        <v>6</v>
      </c>
      <c r="C5" s="85">
        <v>4</v>
      </c>
      <c r="D5"/>
      <c r="E5" s="183" t="s">
        <v>196</v>
      </c>
      <c r="F5" s="85">
        <v>0</v>
      </c>
      <c r="G5" s="85">
        <v>8.4596079999999994</v>
      </c>
      <c r="H5" s="85">
        <v>32.395153000000001</v>
      </c>
      <c r="I5" s="85">
        <v>51.069000000000003</v>
      </c>
      <c r="J5" s="85">
        <v>0.95</v>
      </c>
      <c r="K5" s="85">
        <v>0.63434080000000004</v>
      </c>
      <c r="L5" s="85">
        <v>0</v>
      </c>
      <c r="M5" s="85">
        <v>0.2</v>
      </c>
      <c r="N5" s="85">
        <v>0</v>
      </c>
      <c r="P5" s="73"/>
      <c r="Q5" s="73"/>
      <c r="R5" s="73"/>
    </row>
    <row r="6" spans="1:46" ht="15" customHeight="1" thickBot="1" x14ac:dyDescent="0.2">
      <c r="B6" s="1"/>
      <c r="C6" s="85">
        <v>5</v>
      </c>
      <c r="D6"/>
      <c r="E6" s="183" t="s">
        <v>197</v>
      </c>
      <c r="F6" s="85">
        <v>0</v>
      </c>
      <c r="G6" s="85">
        <v>3.46299</v>
      </c>
      <c r="H6" s="85">
        <v>22.65</v>
      </c>
      <c r="I6" s="85">
        <v>56.57</v>
      </c>
      <c r="J6" s="85">
        <v>0.94999990000000001</v>
      </c>
      <c r="K6" s="85">
        <v>0.40038889999999999</v>
      </c>
      <c r="L6" s="85">
        <v>0</v>
      </c>
      <c r="M6" s="85">
        <v>0.2</v>
      </c>
      <c r="N6" s="85">
        <v>0</v>
      </c>
      <c r="P6" s="73"/>
      <c r="Q6" s="73"/>
      <c r="R6" s="73"/>
      <c r="W6" s="36" t="s">
        <v>31</v>
      </c>
      <c r="X6" s="52">
        <f>MAX(MainOutputs!G:G)</f>
        <v>0.99936515092849731</v>
      </c>
    </row>
    <row r="7" spans="1:46" ht="15" customHeight="1" x14ac:dyDescent="0.15">
      <c r="A7" s="2" t="s">
        <v>27</v>
      </c>
      <c r="B7" s="85">
        <f ca="1">COUNTIF(OFFSET(cornerDiets,1,1,NumLiving+NumDead+1,NumLiving+NumDead),"&gt;0")+NumLiving+NumDead+1</f>
        <v>459</v>
      </c>
      <c r="C7" s="85">
        <v>6</v>
      </c>
      <c r="D7"/>
      <c r="E7" s="183" t="s">
        <v>198</v>
      </c>
      <c r="F7" s="85">
        <v>0</v>
      </c>
      <c r="G7" s="85">
        <v>0.36763990000000002</v>
      </c>
      <c r="H7" s="85">
        <v>7.843871</v>
      </c>
      <c r="I7" s="85">
        <v>23.531610000000001</v>
      </c>
      <c r="J7" s="85">
        <v>0.94999979999999995</v>
      </c>
      <c r="K7" s="85">
        <v>0.33333337299999999</v>
      </c>
      <c r="L7" s="85">
        <v>0</v>
      </c>
      <c r="M7" s="85">
        <v>0.2</v>
      </c>
      <c r="N7" s="85">
        <v>0</v>
      </c>
      <c r="P7" s="73"/>
      <c r="Q7" s="73"/>
      <c r="R7" s="73"/>
    </row>
    <row r="8" spans="1:46" ht="15" customHeight="1" x14ac:dyDescent="0.15">
      <c r="A8" s="2" t="s">
        <v>28</v>
      </c>
      <c r="B8" s="85">
        <f ca="1">COUNTIF(OFFSET(cornerFishing,1,2,NumLiving+NumDead,NumGears),"&gt;0")+NumDead*COUNTIF(OFFSET(cornerDiscards,1,2,NumLiving+NumDead,NumGears),"&gt;0")+NumLiving+NumDead+1</f>
        <v>208</v>
      </c>
      <c r="C8" s="85">
        <v>7</v>
      </c>
      <c r="D8"/>
      <c r="E8" s="183" t="s">
        <v>199</v>
      </c>
      <c r="F8" s="85">
        <v>0</v>
      </c>
      <c r="G8" s="85">
        <v>7.3820805500000004</v>
      </c>
      <c r="H8" s="85">
        <v>1.647213</v>
      </c>
      <c r="I8" s="85">
        <v>9.9041949999999996</v>
      </c>
      <c r="J8" s="85">
        <v>0.95000004800000004</v>
      </c>
      <c r="K8" s="85">
        <v>0.16631467599999999</v>
      </c>
      <c r="L8" s="85">
        <v>0</v>
      </c>
      <c r="M8" s="85">
        <v>0.4</v>
      </c>
      <c r="N8" s="85">
        <v>0</v>
      </c>
      <c r="P8" s="73"/>
      <c r="Q8" s="73"/>
      <c r="R8" s="73"/>
    </row>
    <row r="9" spans="1:46" ht="15" customHeight="1" x14ac:dyDescent="0.15">
      <c r="B9" s="1"/>
      <c r="C9" s="85">
        <v>8</v>
      </c>
      <c r="D9"/>
      <c r="E9" s="183" t="s">
        <v>200</v>
      </c>
      <c r="F9" s="85">
        <v>0</v>
      </c>
      <c r="G9" s="85">
        <v>4.415826</v>
      </c>
      <c r="H9" s="85">
        <v>3.5022410000000002</v>
      </c>
      <c r="I9" s="85">
        <v>19.72315</v>
      </c>
      <c r="J9" s="85">
        <v>0.95000004800000004</v>
      </c>
      <c r="K9" s="85">
        <v>0.17757006</v>
      </c>
      <c r="L9" s="85">
        <v>0</v>
      </c>
      <c r="M9" s="85">
        <v>0.6</v>
      </c>
      <c r="N9" s="85">
        <v>0</v>
      </c>
      <c r="P9" s="73"/>
      <c r="Q9" s="73"/>
      <c r="R9" s="73"/>
    </row>
    <row r="10" spans="1:46" ht="15" customHeight="1" x14ac:dyDescent="0.15">
      <c r="B10" s="1"/>
      <c r="C10" s="85">
        <v>9</v>
      </c>
      <c r="D10"/>
      <c r="E10" s="183" t="s">
        <v>201</v>
      </c>
      <c r="F10" s="85">
        <v>0</v>
      </c>
      <c r="G10" s="85">
        <v>5.4638586</v>
      </c>
      <c r="H10" s="85">
        <v>2.4049999999999998</v>
      </c>
      <c r="I10" s="85">
        <v>26.198530000000002</v>
      </c>
      <c r="J10" s="85">
        <v>0.95000004800000004</v>
      </c>
      <c r="K10" s="85">
        <v>9.1799039999999998E-2</v>
      </c>
      <c r="L10" s="85">
        <v>0</v>
      </c>
      <c r="M10" s="85">
        <v>0.2</v>
      </c>
      <c r="N10" s="85">
        <v>0</v>
      </c>
    </row>
    <row r="11" spans="1:46" ht="15" customHeight="1" x14ac:dyDescent="0.15">
      <c r="C11" s="85">
        <v>10</v>
      </c>
      <c r="D11"/>
      <c r="E11" s="183" t="s">
        <v>202</v>
      </c>
      <c r="F11" s="85">
        <v>0</v>
      </c>
      <c r="G11" s="85">
        <v>4.5260749999999996</v>
      </c>
      <c r="H11" s="85">
        <v>0.56998800000000005</v>
      </c>
      <c r="I11" s="85">
        <v>2.4603609999999998</v>
      </c>
      <c r="J11" s="85">
        <v>0.94999990000000001</v>
      </c>
      <c r="K11" s="85">
        <v>0.231668442</v>
      </c>
      <c r="L11" s="85">
        <v>0</v>
      </c>
      <c r="M11" s="85">
        <v>0.6</v>
      </c>
      <c r="N11" s="85">
        <v>0</v>
      </c>
    </row>
    <row r="12" spans="1:46" ht="15" customHeight="1" x14ac:dyDescent="0.15">
      <c r="C12" s="85">
        <v>11</v>
      </c>
      <c r="D12"/>
      <c r="E12" s="183" t="s">
        <v>203</v>
      </c>
      <c r="F12" s="85">
        <v>0</v>
      </c>
      <c r="G12" s="85">
        <v>4.2584059999999999</v>
      </c>
      <c r="H12" s="85">
        <v>1.885613</v>
      </c>
      <c r="I12" s="85">
        <v>9.3860779999999995</v>
      </c>
      <c r="J12" s="85">
        <v>0.95000010000000001</v>
      </c>
      <c r="K12" s="85">
        <v>0.200894669</v>
      </c>
      <c r="L12" s="85">
        <v>0</v>
      </c>
      <c r="M12" s="85">
        <v>0.4</v>
      </c>
      <c r="N12" s="85">
        <v>0</v>
      </c>
    </row>
    <row r="13" spans="1:46" ht="15" customHeight="1" x14ac:dyDescent="0.15">
      <c r="C13" s="85">
        <v>12</v>
      </c>
      <c r="D13"/>
      <c r="E13" s="183" t="s">
        <v>204</v>
      </c>
      <c r="F13" s="85">
        <v>0</v>
      </c>
      <c r="G13" s="85">
        <v>2.08896375</v>
      </c>
      <c r="H13" s="85">
        <v>2.5551349999999999</v>
      </c>
      <c r="I13" s="85">
        <v>4.9531910000000003</v>
      </c>
      <c r="J13" s="85">
        <v>0.95</v>
      </c>
      <c r="K13" s="85">
        <v>0.51585639999999999</v>
      </c>
      <c r="L13" s="85">
        <v>0</v>
      </c>
      <c r="M13" s="85">
        <v>0.2</v>
      </c>
      <c r="N13" s="85">
        <v>0</v>
      </c>
    </row>
    <row r="14" spans="1:46" ht="15" customHeight="1" x14ac:dyDescent="0.15">
      <c r="C14" s="85">
        <v>13</v>
      </c>
      <c r="D14"/>
      <c r="E14" s="183" t="s">
        <v>205</v>
      </c>
      <c r="F14" s="85">
        <v>0</v>
      </c>
      <c r="G14" s="85">
        <v>0.55230000000000001</v>
      </c>
      <c r="H14" s="85">
        <v>2.8</v>
      </c>
      <c r="I14" s="85">
        <v>5.6422720000000002</v>
      </c>
      <c r="J14" s="85">
        <v>0.96845346700000001</v>
      </c>
      <c r="K14" s="85">
        <v>0.49625399999999997</v>
      </c>
      <c r="L14" s="85">
        <v>0</v>
      </c>
      <c r="M14" s="85">
        <v>0.2</v>
      </c>
      <c r="N14" s="85">
        <v>0</v>
      </c>
    </row>
    <row r="15" spans="1:46" ht="15" customHeight="1" x14ac:dyDescent="0.15">
      <c r="C15" s="85">
        <v>14</v>
      </c>
      <c r="D15"/>
      <c r="E15" s="183" t="s">
        <v>206</v>
      </c>
      <c r="F15" s="85">
        <v>0</v>
      </c>
      <c r="G15" s="85">
        <v>6.4990000000000006E-2</v>
      </c>
      <c r="H15" s="85">
        <v>2.712405</v>
      </c>
      <c r="I15" s="85">
        <v>31.64</v>
      </c>
      <c r="J15" s="85">
        <v>0.88501399999999997</v>
      </c>
      <c r="K15" s="85">
        <v>8.5727090000000006E-2</v>
      </c>
      <c r="L15" s="85">
        <v>0</v>
      </c>
      <c r="M15" s="85">
        <v>0.2</v>
      </c>
      <c r="N15" s="85">
        <v>0</v>
      </c>
    </row>
    <row r="16" spans="1:46" ht="15" customHeight="1" x14ac:dyDescent="0.15">
      <c r="C16" s="85">
        <v>15</v>
      </c>
      <c r="D16"/>
      <c r="E16" s="183" t="s">
        <v>207</v>
      </c>
      <c r="F16" s="85">
        <v>0</v>
      </c>
      <c r="G16" s="85">
        <v>0.56025720000000001</v>
      </c>
      <c r="H16" s="85">
        <v>1.59</v>
      </c>
      <c r="I16" s="85">
        <v>4.8544830000000001</v>
      </c>
      <c r="J16" s="85">
        <v>0.88422990000000001</v>
      </c>
      <c r="K16" s="85">
        <v>0.3275323</v>
      </c>
      <c r="L16" s="85">
        <v>0</v>
      </c>
      <c r="M16" s="85">
        <v>0.2</v>
      </c>
      <c r="N16" s="85">
        <v>0</v>
      </c>
    </row>
    <row r="17" spans="1:22" ht="15" customHeight="1" x14ac:dyDescent="0.15">
      <c r="C17" s="85">
        <v>16</v>
      </c>
      <c r="D17"/>
      <c r="E17" s="183" t="s">
        <v>208</v>
      </c>
      <c r="F17" s="85">
        <v>0</v>
      </c>
      <c r="G17" s="85">
        <v>0.13112299999999999</v>
      </c>
      <c r="H17" s="85">
        <v>2.2599999999999998</v>
      </c>
      <c r="I17" s="85">
        <v>7.6649719999999997</v>
      </c>
      <c r="J17" s="85">
        <v>0.99410609999999999</v>
      </c>
      <c r="K17" s="85">
        <v>0.29484779999999999</v>
      </c>
      <c r="L17" s="85">
        <v>0</v>
      </c>
      <c r="M17" s="85">
        <v>0.2</v>
      </c>
      <c r="N17" s="85">
        <v>0</v>
      </c>
      <c r="V17" s="1" t="s">
        <v>30</v>
      </c>
    </row>
    <row r="18" spans="1:22" ht="15" customHeight="1" x14ac:dyDescent="0.15">
      <c r="C18" s="85">
        <v>17</v>
      </c>
      <c r="D18"/>
      <c r="E18" s="183" t="s">
        <v>209</v>
      </c>
      <c r="F18" s="85">
        <v>0</v>
      </c>
      <c r="G18" s="85">
        <v>0.124933</v>
      </c>
      <c r="H18" s="85">
        <v>3.8</v>
      </c>
      <c r="I18" s="85">
        <v>7.6649719999999997</v>
      </c>
      <c r="J18" s="85">
        <v>0.99587815999999996</v>
      </c>
      <c r="K18" s="85">
        <v>0.495761752</v>
      </c>
      <c r="L18" s="85">
        <v>0</v>
      </c>
      <c r="M18" s="85">
        <v>0.2</v>
      </c>
      <c r="N18" s="85">
        <v>0</v>
      </c>
      <c r="V18" s="1"/>
    </row>
    <row r="19" spans="1:22" ht="15" customHeight="1" x14ac:dyDescent="0.15">
      <c r="C19" s="85">
        <v>18</v>
      </c>
      <c r="D19"/>
      <c r="E19" s="183" t="s">
        <v>210</v>
      </c>
      <c r="F19" s="85">
        <v>0</v>
      </c>
      <c r="G19" s="85">
        <v>3.6328239999999998E-2</v>
      </c>
      <c r="H19" s="85">
        <v>2.7957960000000002</v>
      </c>
      <c r="I19" s="85">
        <v>7.6649719999999997</v>
      </c>
      <c r="J19" s="85">
        <v>0.95233429999999997</v>
      </c>
      <c r="K19" s="85">
        <v>0.36474967000000003</v>
      </c>
      <c r="L19" s="85">
        <v>0</v>
      </c>
      <c r="M19" s="85">
        <v>0.2</v>
      </c>
      <c r="N19" s="85">
        <v>0</v>
      </c>
    </row>
    <row r="20" spans="1:22" ht="15" customHeight="1" thickBot="1" x14ac:dyDescent="0.2">
      <c r="C20" s="85">
        <v>19</v>
      </c>
      <c r="D20"/>
      <c r="E20" s="183" t="s">
        <v>211</v>
      </c>
      <c r="F20" s="85">
        <v>0</v>
      </c>
      <c r="G20" s="85">
        <v>1.55</v>
      </c>
      <c r="H20" s="85">
        <v>0.71599999999999997</v>
      </c>
      <c r="I20" s="85">
        <v>9.0443689999999997</v>
      </c>
      <c r="J20" s="85">
        <v>0.99671125400000005</v>
      </c>
      <c r="K20" s="85">
        <v>7.9165289999999999E-2</v>
      </c>
      <c r="L20" s="85">
        <v>0</v>
      </c>
      <c r="M20" s="85">
        <v>0.2</v>
      </c>
      <c r="N20" s="85">
        <v>0</v>
      </c>
    </row>
    <row r="21" spans="1:22" ht="15" customHeight="1" thickBot="1" x14ac:dyDescent="0.2">
      <c r="A21" s="47" t="s">
        <v>137</v>
      </c>
      <c r="B21" s="103"/>
      <c r="C21" s="85">
        <v>20</v>
      </c>
      <c r="D21"/>
      <c r="E21" s="183" t="s">
        <v>212</v>
      </c>
      <c r="F21" s="85">
        <v>0</v>
      </c>
      <c r="G21" s="85">
        <v>3.8287969999999998</v>
      </c>
      <c r="H21" s="85">
        <v>1.115518</v>
      </c>
      <c r="I21" s="85">
        <v>11.40255</v>
      </c>
      <c r="J21" s="85">
        <v>0.92739456899999995</v>
      </c>
      <c r="K21" s="85">
        <v>9.7830570000000006E-2</v>
      </c>
      <c r="L21" s="85">
        <v>0</v>
      </c>
      <c r="M21" s="85">
        <v>0.3</v>
      </c>
      <c r="N21" s="85">
        <v>0</v>
      </c>
    </row>
    <row r="22" spans="1:22" ht="15" customHeight="1" x14ac:dyDescent="0.15">
      <c r="A22" s="104" t="s">
        <v>58</v>
      </c>
      <c r="B22" s="105">
        <v>0</v>
      </c>
      <c r="C22" s="85">
        <v>21</v>
      </c>
      <c r="D22"/>
      <c r="E22" s="183" t="s">
        <v>213</v>
      </c>
      <c r="F22" s="85">
        <v>0</v>
      </c>
      <c r="G22" s="85">
        <v>1.85</v>
      </c>
      <c r="H22" s="85">
        <v>0.85288304100000001</v>
      </c>
      <c r="I22" s="85">
        <v>9.6346340000000001</v>
      </c>
      <c r="J22" s="85">
        <v>0.95279866499999999</v>
      </c>
      <c r="K22" s="85">
        <v>8.8522619999999996E-2</v>
      </c>
      <c r="L22" s="85">
        <v>0</v>
      </c>
      <c r="M22" s="85">
        <v>0.3</v>
      </c>
      <c r="N22" s="85">
        <v>0</v>
      </c>
    </row>
    <row r="23" spans="1:22" ht="15" customHeight="1" x14ac:dyDescent="0.15">
      <c r="A23" s="104" t="s">
        <v>59</v>
      </c>
      <c r="B23" s="105">
        <v>1</v>
      </c>
      <c r="C23" s="85">
        <v>22</v>
      </c>
      <c r="D23"/>
      <c r="E23" s="183" t="s">
        <v>214</v>
      </c>
      <c r="F23" s="85">
        <v>0</v>
      </c>
      <c r="G23" s="85">
        <v>0.7</v>
      </c>
      <c r="H23" s="85">
        <v>1.08858955</v>
      </c>
      <c r="I23" s="85">
        <v>10.505240000000001</v>
      </c>
      <c r="J23" s="85">
        <v>0.88222044700000002</v>
      </c>
      <c r="K23" s="85">
        <v>0.10362348</v>
      </c>
      <c r="L23" s="85">
        <v>0</v>
      </c>
      <c r="M23" s="85">
        <v>0.3</v>
      </c>
      <c r="N23" s="85">
        <v>0</v>
      </c>
    </row>
    <row r="24" spans="1:22" ht="15" customHeight="1" x14ac:dyDescent="0.15">
      <c r="A24" s="104" t="s">
        <v>60</v>
      </c>
      <c r="B24" s="105">
        <v>2</v>
      </c>
      <c r="C24" s="85">
        <v>23</v>
      </c>
      <c r="D24"/>
      <c r="E24" s="183" t="s">
        <v>215</v>
      </c>
      <c r="F24" s="85">
        <v>0</v>
      </c>
      <c r="G24" s="85">
        <v>0.6179</v>
      </c>
      <c r="H24" s="85">
        <v>0.88200000000000001</v>
      </c>
      <c r="I24" s="85">
        <v>27.28</v>
      </c>
      <c r="J24" s="85">
        <v>0.79083639999999999</v>
      </c>
      <c r="K24" s="85">
        <v>3.2331377299999998E-2</v>
      </c>
      <c r="L24" s="85">
        <v>0</v>
      </c>
      <c r="M24" s="85">
        <v>0.3</v>
      </c>
      <c r="N24" s="85">
        <v>0</v>
      </c>
    </row>
    <row r="25" spans="1:22" ht="15" customHeight="1" thickBot="1" x14ac:dyDescent="0.2">
      <c r="A25" s="106" t="s">
        <v>44</v>
      </c>
      <c r="B25" s="107">
        <v>3</v>
      </c>
      <c r="C25" s="85">
        <v>24</v>
      </c>
      <c r="D25"/>
      <c r="E25" s="183" t="s">
        <v>216</v>
      </c>
      <c r="F25" s="85">
        <v>0</v>
      </c>
      <c r="G25" s="85">
        <v>0.53848960000000001</v>
      </c>
      <c r="H25" s="85">
        <v>0.77247659999999996</v>
      </c>
      <c r="I25" s="85">
        <v>19.812529999999999</v>
      </c>
      <c r="J25" s="85">
        <v>0.78202360000000004</v>
      </c>
      <c r="K25" s="85">
        <v>3.8989294299999998E-2</v>
      </c>
      <c r="L25" s="85">
        <v>0</v>
      </c>
      <c r="M25" s="85">
        <v>0.3</v>
      </c>
      <c r="N25" s="85">
        <v>0</v>
      </c>
    </row>
    <row r="26" spans="1:22" ht="15" customHeight="1" x14ac:dyDescent="0.15">
      <c r="A26" s="108" t="s">
        <v>140</v>
      </c>
      <c r="C26" s="85">
        <v>25</v>
      </c>
      <c r="D26"/>
      <c r="E26" s="183" t="s">
        <v>217</v>
      </c>
      <c r="F26" s="85">
        <v>0</v>
      </c>
      <c r="G26" s="85">
        <v>0.21037359999999999</v>
      </c>
      <c r="H26" s="85">
        <v>0.60779740000000004</v>
      </c>
      <c r="I26" s="85">
        <v>6.8339340000000002</v>
      </c>
      <c r="J26" s="85">
        <v>0.99745714699999999</v>
      </c>
      <c r="K26" s="85">
        <v>8.8938139999999999E-2</v>
      </c>
      <c r="L26" s="85">
        <v>0</v>
      </c>
      <c r="M26" s="85">
        <v>0.2</v>
      </c>
      <c r="N26" s="85">
        <v>0</v>
      </c>
    </row>
    <row r="27" spans="1:22" ht="15" customHeight="1" x14ac:dyDescent="0.15">
      <c r="C27" s="85">
        <v>26</v>
      </c>
      <c r="D27"/>
      <c r="E27" s="183" t="s">
        <v>218</v>
      </c>
      <c r="F27" s="85">
        <v>0</v>
      </c>
      <c r="G27" s="85">
        <v>4.938816E-2</v>
      </c>
      <c r="H27" s="85">
        <v>0.72276030000000002</v>
      </c>
      <c r="I27" s="85">
        <v>8.5292879999999993</v>
      </c>
      <c r="J27" s="85">
        <v>0.94557899999999995</v>
      </c>
      <c r="K27" s="85">
        <v>8.4738640000000004E-2</v>
      </c>
      <c r="L27" s="85">
        <v>0</v>
      </c>
      <c r="M27" s="85">
        <v>0.2</v>
      </c>
      <c r="N27" s="85">
        <v>0</v>
      </c>
    </row>
    <row r="28" spans="1:22" ht="15" customHeight="1" x14ac:dyDescent="0.15">
      <c r="C28" s="85">
        <v>27</v>
      </c>
      <c r="D28"/>
      <c r="E28" s="183" t="s">
        <v>219</v>
      </c>
      <c r="F28" s="85">
        <v>0</v>
      </c>
      <c r="G28" s="85">
        <v>8.5351339999999998E-2</v>
      </c>
      <c r="H28" s="85">
        <v>1.3096209999999999</v>
      </c>
      <c r="I28" s="85">
        <v>6.5874899999999998</v>
      </c>
      <c r="J28" s="85">
        <v>0.99025149999999995</v>
      </c>
      <c r="K28" s="85">
        <v>0.19880424399999999</v>
      </c>
      <c r="L28" s="85">
        <v>0</v>
      </c>
      <c r="M28" s="85">
        <v>0.2</v>
      </c>
      <c r="N28" s="85">
        <v>0</v>
      </c>
    </row>
    <row r="29" spans="1:22" customFormat="1" ht="15" customHeight="1" x14ac:dyDescent="0.15">
      <c r="C29" s="85">
        <v>28</v>
      </c>
      <c r="E29" s="183" t="s">
        <v>220</v>
      </c>
      <c r="F29" s="85">
        <v>0</v>
      </c>
      <c r="G29" s="85">
        <v>6.6611000000000004E-2</v>
      </c>
      <c r="H29" s="85">
        <v>0.35899510000000001</v>
      </c>
      <c r="I29" s="85">
        <v>4.3349859999999998</v>
      </c>
      <c r="J29" s="85">
        <v>0.78811690000000001</v>
      </c>
      <c r="K29" s="85">
        <v>8.2813434300000002E-2</v>
      </c>
      <c r="L29" s="85">
        <v>0</v>
      </c>
      <c r="M29" s="85">
        <v>0.2</v>
      </c>
      <c r="N29" s="85">
        <v>0</v>
      </c>
    </row>
    <row r="30" spans="1:22" customFormat="1" ht="15" customHeight="1" x14ac:dyDescent="0.15">
      <c r="C30" s="85">
        <v>29</v>
      </c>
      <c r="E30" s="183" t="s">
        <v>221</v>
      </c>
      <c r="F30" s="85">
        <v>0</v>
      </c>
      <c r="G30" s="85">
        <v>0.21554380000000001</v>
      </c>
      <c r="H30" s="85">
        <v>0.77877350000000001</v>
      </c>
      <c r="I30" s="85">
        <v>7.8324590000000001</v>
      </c>
      <c r="J30" s="85">
        <v>0.95857584500000004</v>
      </c>
      <c r="K30" s="85">
        <v>9.9428989999999995E-2</v>
      </c>
      <c r="L30" s="85">
        <v>0</v>
      </c>
      <c r="M30" s="85">
        <v>0.2</v>
      </c>
      <c r="N30" s="85">
        <v>0</v>
      </c>
    </row>
    <row r="31" spans="1:22" customFormat="1" ht="15" customHeight="1" x14ac:dyDescent="0.15">
      <c r="C31" s="85">
        <v>30</v>
      </c>
      <c r="E31" s="183" t="s">
        <v>222</v>
      </c>
      <c r="F31" s="85">
        <v>0</v>
      </c>
      <c r="G31" s="85">
        <v>0.18858349999999999</v>
      </c>
      <c r="H31" s="85">
        <v>0.63870689999999997</v>
      </c>
      <c r="I31" s="85">
        <v>9.3797540000000001</v>
      </c>
      <c r="J31" s="85">
        <v>0.99933150000000004</v>
      </c>
      <c r="K31" s="85">
        <v>6.8094210000000002E-2</v>
      </c>
      <c r="L31" s="85">
        <v>0</v>
      </c>
      <c r="M31" s="85">
        <v>0.2</v>
      </c>
      <c r="N31" s="85">
        <v>0</v>
      </c>
    </row>
    <row r="32" spans="1:22" customFormat="1" ht="15" customHeight="1" x14ac:dyDescent="0.15">
      <c r="C32" s="85">
        <v>31</v>
      </c>
      <c r="E32" s="183" t="s">
        <v>223</v>
      </c>
      <c r="F32" s="85">
        <v>0</v>
      </c>
      <c r="G32" s="85">
        <v>5.1590144599999999E-2</v>
      </c>
      <c r="H32" s="85">
        <v>0.57084380000000001</v>
      </c>
      <c r="I32" s="85">
        <v>8.5292879999999993</v>
      </c>
      <c r="J32" s="85">
        <v>0.94920945199999995</v>
      </c>
      <c r="K32" s="85">
        <v>6.6927485199999998E-2</v>
      </c>
      <c r="L32" s="85">
        <v>0</v>
      </c>
      <c r="M32" s="85">
        <v>0.2</v>
      </c>
      <c r="N32" s="85">
        <v>0</v>
      </c>
    </row>
    <row r="33" spans="3:14" customFormat="1" ht="15" customHeight="1" x14ac:dyDescent="0.15">
      <c r="C33" s="85">
        <v>32</v>
      </c>
      <c r="E33" s="183" t="s">
        <v>224</v>
      </c>
      <c r="F33" s="85">
        <v>0</v>
      </c>
      <c r="G33" s="85">
        <v>0.36272120000000002</v>
      </c>
      <c r="H33" s="85">
        <v>0.23892550000000001</v>
      </c>
      <c r="I33" s="85">
        <v>3.2767949999999999</v>
      </c>
      <c r="J33" s="85">
        <v>9.4818109999999997E-2</v>
      </c>
      <c r="K33" s="85">
        <v>7.2914389999999996E-2</v>
      </c>
      <c r="L33" s="85">
        <v>0</v>
      </c>
      <c r="M33" s="85">
        <v>0.2</v>
      </c>
      <c r="N33" s="85">
        <v>0</v>
      </c>
    </row>
    <row r="34" spans="3:14" customFormat="1" ht="15" customHeight="1" x14ac:dyDescent="0.15">
      <c r="C34" s="85">
        <v>33</v>
      </c>
      <c r="E34" s="183" t="s">
        <v>225</v>
      </c>
      <c r="F34" s="85">
        <v>0</v>
      </c>
      <c r="G34" s="85">
        <v>0.13341900000000001</v>
      </c>
      <c r="H34" s="85">
        <v>0.34241379999999999</v>
      </c>
      <c r="I34" s="85">
        <v>3.7359070000000001</v>
      </c>
      <c r="J34" s="85">
        <v>0.26651373499999997</v>
      </c>
      <c r="K34" s="85">
        <v>9.1654799999999995E-2</v>
      </c>
      <c r="L34" s="85">
        <v>0</v>
      </c>
      <c r="M34" s="85">
        <v>0.2</v>
      </c>
      <c r="N34" s="85">
        <v>0</v>
      </c>
    </row>
    <row r="35" spans="3:14" customFormat="1" ht="15" customHeight="1" x14ac:dyDescent="0.15">
      <c r="C35" s="85">
        <v>34</v>
      </c>
      <c r="E35" s="183" t="s">
        <v>226</v>
      </c>
      <c r="F35" s="85">
        <v>0</v>
      </c>
      <c r="G35" s="85">
        <v>0.1928261</v>
      </c>
      <c r="H35" s="85">
        <v>0.54354729999999996</v>
      </c>
      <c r="I35" s="85">
        <v>4.2333619999999996</v>
      </c>
      <c r="J35" s="85">
        <v>0.21962641199999999</v>
      </c>
      <c r="K35" s="85">
        <v>0.128396124</v>
      </c>
      <c r="L35" s="85">
        <v>0</v>
      </c>
      <c r="M35" s="85">
        <v>0.2</v>
      </c>
      <c r="N35" s="85">
        <v>0</v>
      </c>
    </row>
    <row r="36" spans="3:14" customFormat="1" ht="15" customHeight="1" x14ac:dyDescent="0.15">
      <c r="C36" s="85">
        <v>35</v>
      </c>
      <c r="E36" s="183" t="s">
        <v>227</v>
      </c>
      <c r="F36" s="85">
        <v>0</v>
      </c>
      <c r="G36" s="85">
        <v>7.3685650000000005E-2</v>
      </c>
      <c r="H36" s="85">
        <v>0.59099999999999997</v>
      </c>
      <c r="I36" s="85">
        <v>8.1934000000000005</v>
      </c>
      <c r="J36" s="85">
        <v>0.95000004800000004</v>
      </c>
      <c r="K36" s="85">
        <v>7.2131223999999994E-2</v>
      </c>
      <c r="L36" s="85">
        <v>0</v>
      </c>
      <c r="M36" s="85">
        <v>0.2</v>
      </c>
      <c r="N36" s="85">
        <v>0</v>
      </c>
    </row>
    <row r="37" spans="3:14" customFormat="1" ht="15" customHeight="1" x14ac:dyDescent="0.15">
      <c r="C37" s="85">
        <v>36</v>
      </c>
      <c r="E37" s="183" t="s">
        <v>228</v>
      </c>
      <c r="F37" s="85">
        <v>0</v>
      </c>
      <c r="G37" s="85">
        <v>1.462</v>
      </c>
      <c r="H37" s="85">
        <v>0.1109924</v>
      </c>
      <c r="I37" s="85">
        <v>1.3057319999999999</v>
      </c>
      <c r="J37" s="85">
        <v>0.89149463200000001</v>
      </c>
      <c r="K37" s="85">
        <v>8.5003964599999995E-2</v>
      </c>
      <c r="L37" s="85">
        <v>0</v>
      </c>
      <c r="M37" s="85">
        <v>0.2</v>
      </c>
      <c r="N37" s="85">
        <v>0</v>
      </c>
    </row>
    <row r="38" spans="3:14" customFormat="1" ht="15" customHeight="1" x14ac:dyDescent="0.15">
      <c r="C38" s="85">
        <v>37</v>
      </c>
      <c r="E38" s="183" t="s">
        <v>229</v>
      </c>
      <c r="F38" s="85">
        <v>0</v>
      </c>
      <c r="G38" s="85">
        <v>0.23</v>
      </c>
      <c r="H38" s="85">
        <v>0.3133088</v>
      </c>
      <c r="I38" s="85">
        <v>3.513315</v>
      </c>
      <c r="J38" s="85">
        <v>0.89884580000000003</v>
      </c>
      <c r="K38" s="85">
        <v>8.9177549999999994E-2</v>
      </c>
      <c r="L38" s="85">
        <v>0</v>
      </c>
      <c r="M38" s="85">
        <v>0.2</v>
      </c>
      <c r="N38" s="85">
        <v>0</v>
      </c>
    </row>
    <row r="39" spans="3:14" customFormat="1" ht="15" customHeight="1" x14ac:dyDescent="0.15">
      <c r="C39" s="85">
        <v>38</v>
      </c>
      <c r="E39" s="183" t="s">
        <v>230</v>
      </c>
      <c r="F39" s="85">
        <v>0</v>
      </c>
      <c r="G39" s="85">
        <v>7.9744999999999996E-2</v>
      </c>
      <c r="H39" s="85">
        <v>7.4520569999999994E-2</v>
      </c>
      <c r="I39" s="85">
        <v>14.361179999999999</v>
      </c>
      <c r="J39" s="85">
        <v>0</v>
      </c>
      <c r="K39" s="85">
        <v>5.1890285700000004E-3</v>
      </c>
      <c r="L39" s="85">
        <v>0</v>
      </c>
      <c r="M39" s="85">
        <v>0.2</v>
      </c>
      <c r="N39" s="85">
        <v>0</v>
      </c>
    </row>
    <row r="40" spans="3:14" customFormat="1" ht="15" customHeight="1" x14ac:dyDescent="0.15">
      <c r="C40" s="85">
        <v>39</v>
      </c>
      <c r="E40" s="183" t="s">
        <v>231</v>
      </c>
      <c r="F40" s="85">
        <v>0</v>
      </c>
      <c r="G40" s="85">
        <v>2.0815299999999998E-3</v>
      </c>
      <c r="H40" s="85">
        <v>0.2</v>
      </c>
      <c r="I40" s="85">
        <v>62.750970000000002</v>
      </c>
      <c r="J40" s="85">
        <v>0</v>
      </c>
      <c r="K40" s="85">
        <v>3.1872020000000001E-3</v>
      </c>
      <c r="L40" s="85">
        <v>0</v>
      </c>
      <c r="M40" s="85">
        <v>0.2</v>
      </c>
      <c r="N40" s="85">
        <v>0</v>
      </c>
    </row>
    <row r="41" spans="3:14" customFormat="1" ht="15" customHeight="1" x14ac:dyDescent="0.15">
      <c r="C41" s="85">
        <v>40</v>
      </c>
      <c r="E41" s="183" t="s">
        <v>232</v>
      </c>
      <c r="F41" s="85">
        <v>2</v>
      </c>
      <c r="G41" s="85">
        <v>0.38092870000000001</v>
      </c>
      <c r="H41" s="85">
        <v>0</v>
      </c>
      <c r="I41" s="85">
        <v>0</v>
      </c>
      <c r="J41" s="85">
        <v>0.44668570000000002</v>
      </c>
      <c r="K41" s="85">
        <v>0</v>
      </c>
      <c r="L41" s="85">
        <v>0</v>
      </c>
      <c r="M41" s="85">
        <v>0</v>
      </c>
      <c r="N41" s="85">
        <v>0</v>
      </c>
    </row>
    <row r="42" spans="3:14" customFormat="1" ht="15" customHeight="1" x14ac:dyDescent="0.15">
      <c r="C42" s="85">
        <v>41</v>
      </c>
      <c r="E42" s="183" t="s">
        <v>233</v>
      </c>
      <c r="F42" s="85">
        <v>2</v>
      </c>
      <c r="G42" s="85">
        <v>30</v>
      </c>
      <c r="H42" s="85">
        <v>0</v>
      </c>
      <c r="I42" s="85">
        <v>0</v>
      </c>
      <c r="J42" s="85">
        <v>0</v>
      </c>
      <c r="K42" s="85">
        <v>0</v>
      </c>
      <c r="L42" s="85">
        <v>0</v>
      </c>
      <c r="M42" s="85">
        <v>0</v>
      </c>
      <c r="N42" s="85">
        <v>0</v>
      </c>
    </row>
    <row r="43" spans="3:14" customFormat="1" ht="15" customHeight="1" x14ac:dyDescent="0.15">
      <c r="C43" s="85">
        <v>42</v>
      </c>
      <c r="E43" s="183" t="s">
        <v>234</v>
      </c>
      <c r="F43" s="85">
        <v>2</v>
      </c>
      <c r="G43" s="85">
        <v>5</v>
      </c>
      <c r="H43" s="85">
        <v>0</v>
      </c>
      <c r="I43" s="85">
        <v>0</v>
      </c>
      <c r="J43" s="85">
        <v>0</v>
      </c>
      <c r="K43" s="85">
        <v>0</v>
      </c>
      <c r="L43" s="85">
        <v>0</v>
      </c>
      <c r="M43" s="85">
        <v>0</v>
      </c>
      <c r="N43" s="85">
        <v>0</v>
      </c>
    </row>
    <row r="44" spans="3:14" customFormat="1" ht="15" customHeight="1" x14ac:dyDescent="0.15">
      <c r="C44" s="85">
        <v>43</v>
      </c>
      <c r="E44" s="183" t="s">
        <v>235</v>
      </c>
      <c r="F44" s="85">
        <v>3</v>
      </c>
      <c r="G44" s="85">
        <v>0</v>
      </c>
      <c r="H44" s="85">
        <v>0</v>
      </c>
      <c r="I44" s="85">
        <v>0</v>
      </c>
      <c r="J44" s="85">
        <v>0</v>
      </c>
      <c r="K44" s="85">
        <v>0</v>
      </c>
      <c r="L44" s="85">
        <v>0</v>
      </c>
      <c r="M44" s="85">
        <v>0</v>
      </c>
      <c r="N44" s="85">
        <v>0</v>
      </c>
    </row>
    <row r="45" spans="3:14" customFormat="1" ht="15" customHeight="1" x14ac:dyDescent="0.15">
      <c r="C45" s="85">
        <v>44</v>
      </c>
      <c r="E45" s="183" t="s">
        <v>236</v>
      </c>
      <c r="F45" s="85">
        <v>3</v>
      </c>
      <c r="G45" s="85">
        <v>0</v>
      </c>
      <c r="H45" s="85">
        <v>0</v>
      </c>
      <c r="I45" s="85">
        <v>0</v>
      </c>
      <c r="J45" s="85">
        <v>0</v>
      </c>
      <c r="K45" s="85">
        <v>0</v>
      </c>
      <c r="L45" s="85">
        <v>0</v>
      </c>
      <c r="M45" s="85">
        <v>0</v>
      </c>
      <c r="N45" s="85">
        <v>0</v>
      </c>
    </row>
    <row r="46" spans="3:14" customFormat="1" ht="15" customHeight="1" x14ac:dyDescent="0.15">
      <c r="C46" s="85">
        <v>45</v>
      </c>
      <c r="E46" s="183" t="s">
        <v>237</v>
      </c>
      <c r="F46" s="85">
        <v>3</v>
      </c>
      <c r="G46" s="85">
        <v>0</v>
      </c>
      <c r="H46" s="85">
        <v>0</v>
      </c>
      <c r="I46" s="85">
        <v>0</v>
      </c>
      <c r="J46" s="85">
        <v>0</v>
      </c>
      <c r="K46" s="85">
        <v>0</v>
      </c>
      <c r="L46" s="85">
        <v>0</v>
      </c>
      <c r="M46" s="85">
        <v>0</v>
      </c>
      <c r="N46" s="85">
        <v>0</v>
      </c>
    </row>
    <row r="47" spans="3:14" customFormat="1" ht="15" customHeight="1" x14ac:dyDescent="0.15">
      <c r="C47" s="85">
        <v>46</v>
      </c>
      <c r="E47" s="183" t="s">
        <v>238</v>
      </c>
      <c r="F47" s="85">
        <v>3</v>
      </c>
      <c r="G47" s="85">
        <v>0</v>
      </c>
      <c r="H47" s="85">
        <v>0</v>
      </c>
      <c r="I47" s="85">
        <v>0</v>
      </c>
      <c r="J47" s="85">
        <v>0</v>
      </c>
      <c r="K47" s="85">
        <v>0</v>
      </c>
      <c r="L47" s="85">
        <v>0</v>
      </c>
      <c r="M47" s="85">
        <v>0</v>
      </c>
      <c r="N47" s="85">
        <v>0</v>
      </c>
    </row>
    <row r="48" spans="3:14" customFormat="1" ht="15" customHeight="1" x14ac:dyDescent="0.15">
      <c r="C48" s="85">
        <v>47</v>
      </c>
      <c r="E48" s="183" t="s">
        <v>239</v>
      </c>
      <c r="F48" s="85">
        <v>3</v>
      </c>
      <c r="G48" s="85">
        <v>0</v>
      </c>
      <c r="H48" s="85">
        <v>0</v>
      </c>
      <c r="I48" s="85">
        <v>0</v>
      </c>
      <c r="J48" s="85">
        <v>0</v>
      </c>
      <c r="K48" s="85">
        <v>0</v>
      </c>
      <c r="L48" s="85">
        <v>0</v>
      </c>
      <c r="M48" s="85">
        <v>0</v>
      </c>
      <c r="N48" s="85">
        <v>0</v>
      </c>
    </row>
    <row r="49" spans="3:14" customFormat="1" ht="15" customHeight="1" x14ac:dyDescent="0.15">
      <c r="C49" s="85">
        <v>48</v>
      </c>
      <c r="E49" s="183" t="s">
        <v>240</v>
      </c>
      <c r="F49" s="85">
        <v>3</v>
      </c>
      <c r="G49" s="85">
        <v>0</v>
      </c>
      <c r="H49" s="85">
        <v>0</v>
      </c>
      <c r="I49" s="85">
        <v>0</v>
      </c>
      <c r="J49" s="85">
        <v>0</v>
      </c>
      <c r="K49" s="85">
        <v>0</v>
      </c>
      <c r="L49" s="85">
        <v>0</v>
      </c>
      <c r="M49" s="85">
        <v>0</v>
      </c>
      <c r="N49" s="85">
        <v>0</v>
      </c>
    </row>
    <row r="50" spans="3:14" customFormat="1" ht="15" customHeight="1" x14ac:dyDescent="0.15"/>
    <row r="51" spans="3:14" customFormat="1" ht="15" customHeight="1" x14ac:dyDescent="0.15"/>
    <row r="52" spans="3:14" customFormat="1" ht="15" customHeight="1" x14ac:dyDescent="0.15"/>
    <row r="53" spans="3:14" customFormat="1" ht="15" customHeight="1" x14ac:dyDescent="0.15"/>
    <row r="54" spans="3:14" customFormat="1" ht="15" customHeight="1" x14ac:dyDescent="0.15"/>
    <row r="55" spans="3:14" customFormat="1" ht="15" customHeight="1" x14ac:dyDescent="0.15"/>
    <row r="56" spans="3:14" customFormat="1" ht="15" customHeight="1" x14ac:dyDescent="0.15"/>
    <row r="57" spans="3:14" customFormat="1" ht="15" customHeight="1" x14ac:dyDescent="0.15"/>
    <row r="58" spans="3:14" customFormat="1" ht="15" customHeight="1" x14ac:dyDescent="0.15"/>
    <row r="59" spans="3:14" customFormat="1" ht="15" customHeight="1" x14ac:dyDescent="0.15"/>
    <row r="60" spans="3:14" customFormat="1" ht="15" customHeight="1" x14ac:dyDescent="0.15"/>
    <row r="61" spans="3:14" customFormat="1" ht="15" customHeight="1" x14ac:dyDescent="0.15"/>
    <row r="62" spans="3:14" customFormat="1" ht="15" customHeight="1" x14ac:dyDescent="0.15"/>
    <row r="63" spans="3:14" customFormat="1" ht="15" customHeight="1" x14ac:dyDescent="0.15"/>
    <row r="64" spans="3:1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Q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7.83203125" style="147" bestFit="1" customWidth="1"/>
    <col min="2" max="4" width="2.33203125" style="147" bestFit="1" customWidth="1"/>
    <col min="5" max="5" width="4.83203125" style="147" bestFit="1" customWidth="1"/>
    <col min="6" max="6" width="3.83203125" style="147" bestFit="1" customWidth="1"/>
    <col min="7" max="7" width="4.83203125" style="147" bestFit="1" customWidth="1"/>
    <col min="8" max="9" width="5.83203125" style="147" bestFit="1" customWidth="1"/>
    <col min="10" max="10" width="14.83203125" style="147" bestFit="1" customWidth="1"/>
    <col min="11" max="11" width="7.83203125" style="147" bestFit="1" customWidth="1"/>
    <col min="12" max="12" width="5.83203125" style="147" bestFit="1" customWidth="1"/>
    <col min="13" max="13" width="14.83203125" style="147" bestFit="1" customWidth="1"/>
    <col min="14" max="14" width="15.83203125" style="147" bestFit="1" customWidth="1"/>
    <col min="15" max="15" width="5.83203125" style="147" bestFit="1" customWidth="1"/>
    <col min="16" max="19" width="14.83203125" style="147" bestFit="1" customWidth="1"/>
    <col min="20" max="20" width="13.83203125" style="147" bestFit="1" customWidth="1"/>
    <col min="21" max="22" width="14.83203125" style="147" bestFit="1" customWidth="1"/>
    <col min="23" max="24" width="5.83203125" style="147" bestFit="1" customWidth="1"/>
    <col min="25" max="25" width="14.83203125" style="147" bestFit="1" customWidth="1"/>
    <col min="26" max="27" width="15.83203125" style="147" bestFit="1" customWidth="1"/>
    <col min="28" max="28" width="14.83203125" style="147" bestFit="1" customWidth="1"/>
    <col min="29" max="29" width="15.83203125" style="147" bestFit="1" customWidth="1"/>
    <col min="30" max="32" width="15.83203125" style="147" customWidth="1"/>
    <col min="33" max="33" width="14.83203125" style="147" customWidth="1"/>
    <col min="34" max="34" width="15.5" style="147" customWidth="1"/>
    <col min="35" max="37" width="15.83203125" style="147" customWidth="1"/>
    <col min="38" max="39" width="5.83203125" style="147" customWidth="1"/>
    <col min="40" max="40" width="15.83203125" style="147" customWidth="1"/>
    <col min="41" max="43" width="2.33203125" style="147" customWidth="1"/>
    <col min="44" max="16384" width="8.83203125" style="147"/>
  </cols>
  <sheetData>
    <row r="1" spans="1:43" x14ac:dyDescent="0.15">
      <c r="A1" s="146" t="s">
        <v>19</v>
      </c>
      <c r="B1" s="185" t="s">
        <v>193</v>
      </c>
      <c r="C1" s="185" t="s">
        <v>194</v>
      </c>
      <c r="D1" s="185" t="s">
        <v>195</v>
      </c>
      <c r="E1" s="185" t="s">
        <v>196</v>
      </c>
      <c r="F1" s="185" t="s">
        <v>197</v>
      </c>
      <c r="G1" s="185" t="s">
        <v>198</v>
      </c>
      <c r="H1" s="185" t="s">
        <v>199</v>
      </c>
      <c r="I1" s="185" t="s">
        <v>200</v>
      </c>
      <c r="J1" s="185" t="s">
        <v>201</v>
      </c>
      <c r="K1" s="185" t="s">
        <v>202</v>
      </c>
      <c r="L1" s="185" t="s">
        <v>203</v>
      </c>
      <c r="M1" s="185" t="s">
        <v>204</v>
      </c>
      <c r="N1" s="185" t="s">
        <v>205</v>
      </c>
      <c r="O1" s="185" t="s">
        <v>206</v>
      </c>
      <c r="P1" s="185" t="s">
        <v>207</v>
      </c>
      <c r="Q1" s="185" t="s">
        <v>208</v>
      </c>
      <c r="R1" s="185" t="s">
        <v>209</v>
      </c>
      <c r="S1" s="185" t="s">
        <v>210</v>
      </c>
      <c r="T1" s="185" t="s">
        <v>211</v>
      </c>
      <c r="U1" s="185" t="s">
        <v>212</v>
      </c>
      <c r="V1" s="185" t="s">
        <v>213</v>
      </c>
      <c r="W1" s="185" t="s">
        <v>214</v>
      </c>
      <c r="X1" s="185" t="s">
        <v>215</v>
      </c>
      <c r="Y1" s="185" t="s">
        <v>216</v>
      </c>
      <c r="Z1" s="185" t="s">
        <v>217</v>
      </c>
      <c r="AA1" s="185" t="s">
        <v>218</v>
      </c>
      <c r="AB1" s="185" t="s">
        <v>219</v>
      </c>
      <c r="AC1" s="185" t="s">
        <v>220</v>
      </c>
      <c r="AD1" s="185" t="s">
        <v>221</v>
      </c>
      <c r="AE1" s="185" t="s">
        <v>222</v>
      </c>
      <c r="AF1" s="185" t="s">
        <v>223</v>
      </c>
      <c r="AG1" s="185" t="s">
        <v>224</v>
      </c>
      <c r="AH1" s="185" t="s">
        <v>225</v>
      </c>
      <c r="AI1" s="185" t="s">
        <v>226</v>
      </c>
      <c r="AJ1" s="185" t="s">
        <v>227</v>
      </c>
      <c r="AK1" s="185" t="s">
        <v>228</v>
      </c>
      <c r="AL1" s="185" t="s">
        <v>229</v>
      </c>
      <c r="AM1" s="185" t="s">
        <v>230</v>
      </c>
      <c r="AN1" s="185" t="s">
        <v>231</v>
      </c>
      <c r="AO1" s="185" t="s">
        <v>232</v>
      </c>
      <c r="AP1" s="185" t="s">
        <v>233</v>
      </c>
      <c r="AQ1" s="185" t="s">
        <v>234</v>
      </c>
    </row>
    <row r="2" spans="1:43" customFormat="1" x14ac:dyDescent="0.15">
      <c r="A2" s="184" t="s">
        <v>193</v>
      </c>
      <c r="B2" s="147">
        <v>0</v>
      </c>
      <c r="C2" s="147">
        <v>0</v>
      </c>
      <c r="D2" s="147">
        <v>0</v>
      </c>
      <c r="E2" s="147">
        <v>0.65</v>
      </c>
      <c r="F2" s="147">
        <v>0.1</v>
      </c>
      <c r="G2" s="147">
        <v>0.36</v>
      </c>
      <c r="H2" s="147">
        <v>0.25</v>
      </c>
      <c r="I2" s="147">
        <v>0.21</v>
      </c>
      <c r="J2" s="147">
        <v>0.125037511253376</v>
      </c>
      <c r="K2" s="147">
        <v>0.14000000000000001</v>
      </c>
      <c r="L2" s="147">
        <v>0.4499999999999999</v>
      </c>
      <c r="M2" s="147">
        <v>0</v>
      </c>
      <c r="N2" s="147">
        <v>0</v>
      </c>
      <c r="O2" s="147">
        <v>0</v>
      </c>
      <c r="P2" s="147">
        <v>0</v>
      </c>
      <c r="Q2" s="147">
        <v>0</v>
      </c>
      <c r="R2" s="147">
        <v>0</v>
      </c>
      <c r="S2" s="147">
        <v>0</v>
      </c>
      <c r="T2" s="147">
        <v>0</v>
      </c>
      <c r="U2" s="147">
        <v>0</v>
      </c>
      <c r="V2" s="147">
        <v>0</v>
      </c>
      <c r="W2" s="147">
        <v>2.1000000000000001E-2</v>
      </c>
      <c r="X2" s="147">
        <v>0</v>
      </c>
      <c r="Y2" s="147">
        <v>0</v>
      </c>
      <c r="Z2" s="147">
        <v>0</v>
      </c>
      <c r="AA2" s="147">
        <v>1.5071127436625319E-3</v>
      </c>
      <c r="AB2" s="147">
        <v>0</v>
      </c>
      <c r="AC2" s="147">
        <v>0</v>
      </c>
      <c r="AD2" s="147">
        <v>0</v>
      </c>
      <c r="AE2" s="147">
        <v>4.5681664833271476E-3</v>
      </c>
      <c r="AF2" s="147">
        <v>0</v>
      </c>
      <c r="AG2" s="147">
        <v>0</v>
      </c>
      <c r="AH2" s="147">
        <v>0</v>
      </c>
      <c r="AI2" s="147">
        <v>0</v>
      </c>
      <c r="AJ2" s="147">
        <v>2.6405846927275478E-4</v>
      </c>
      <c r="AK2" s="147">
        <v>0</v>
      </c>
      <c r="AL2" s="147">
        <v>0</v>
      </c>
      <c r="AM2" s="147">
        <v>0</v>
      </c>
      <c r="AN2" s="147">
        <v>0</v>
      </c>
      <c r="AO2" s="147">
        <v>0</v>
      </c>
      <c r="AP2" s="147">
        <v>0</v>
      </c>
      <c r="AQ2" s="147">
        <v>0</v>
      </c>
    </row>
    <row r="3" spans="1:43" customFormat="1" x14ac:dyDescent="0.15">
      <c r="A3" s="184" t="s">
        <v>194</v>
      </c>
      <c r="B3" s="147">
        <v>0</v>
      </c>
      <c r="C3" s="147">
        <v>0</v>
      </c>
      <c r="D3" s="147">
        <v>0</v>
      </c>
      <c r="E3" s="147">
        <v>0</v>
      </c>
      <c r="F3" s="147">
        <v>0</v>
      </c>
      <c r="G3" s="147">
        <v>0</v>
      </c>
      <c r="H3" s="147">
        <v>0</v>
      </c>
      <c r="I3" s="147">
        <v>0.05</v>
      </c>
      <c r="J3" s="147">
        <v>0.125037511253376</v>
      </c>
      <c r="K3" s="147">
        <v>0.17499999999999999</v>
      </c>
      <c r="L3" s="147">
        <v>4.9999999999999989E-2</v>
      </c>
      <c r="M3" s="147">
        <v>0</v>
      </c>
      <c r="N3" s="147">
        <v>4.4752113836222275E-3</v>
      </c>
      <c r="O3" s="147">
        <v>0</v>
      </c>
      <c r="P3" s="147">
        <v>0</v>
      </c>
      <c r="Q3" s="147">
        <v>0.11559004196807186</v>
      </c>
      <c r="R3" s="147">
        <v>0.12235302976078609</v>
      </c>
      <c r="S3" s="147">
        <v>0</v>
      </c>
      <c r="T3" s="147">
        <v>8.1808984554119724E-2</v>
      </c>
      <c r="U3" s="147">
        <v>0</v>
      </c>
      <c r="V3" s="147">
        <v>0</v>
      </c>
      <c r="W3" s="147">
        <v>0</v>
      </c>
      <c r="X3" s="147">
        <v>0</v>
      </c>
      <c r="Y3" s="147">
        <v>0</v>
      </c>
      <c r="Z3" s="147">
        <v>2.6362511574811714E-3</v>
      </c>
      <c r="AA3" s="147">
        <v>2.3528934565060088E-3</v>
      </c>
      <c r="AB3" s="147">
        <v>5.0862623429614945E-3</v>
      </c>
      <c r="AC3" s="147">
        <v>1.4947030125854867E-3</v>
      </c>
      <c r="AD3" s="147">
        <v>0.14447011753089489</v>
      </c>
      <c r="AE3" s="147">
        <v>5.0626575925840807E-3</v>
      </c>
      <c r="AF3" s="147">
        <v>0</v>
      </c>
      <c r="AG3" s="147">
        <v>0</v>
      </c>
      <c r="AH3" s="147">
        <v>0</v>
      </c>
      <c r="AI3" s="147">
        <v>0</v>
      </c>
      <c r="AJ3" s="147">
        <v>0</v>
      </c>
      <c r="AK3" s="147">
        <v>1.3239442958209709E-3</v>
      </c>
      <c r="AL3" s="147">
        <v>0</v>
      </c>
      <c r="AM3" s="147">
        <v>0</v>
      </c>
      <c r="AN3" s="147">
        <v>0</v>
      </c>
      <c r="AO3" s="147">
        <v>0</v>
      </c>
      <c r="AP3" s="147">
        <v>0</v>
      </c>
      <c r="AQ3" s="147">
        <v>0</v>
      </c>
    </row>
    <row r="4" spans="1:43" customFormat="1" x14ac:dyDescent="0.15">
      <c r="A4" s="184" t="s">
        <v>195</v>
      </c>
      <c r="B4" s="147">
        <v>0</v>
      </c>
      <c r="C4" s="147">
        <v>0</v>
      </c>
      <c r="D4" s="147">
        <v>0</v>
      </c>
      <c r="E4" s="147">
        <v>0</v>
      </c>
      <c r="F4" s="147">
        <v>0</v>
      </c>
      <c r="G4" s="147">
        <v>0</v>
      </c>
      <c r="H4" s="147">
        <v>0</v>
      </c>
      <c r="I4" s="147">
        <v>0</v>
      </c>
      <c r="J4" s="147">
        <v>0</v>
      </c>
      <c r="K4" s="147">
        <v>2.5000000000000001E-2</v>
      </c>
      <c r="L4" s="147">
        <v>0</v>
      </c>
      <c r="M4" s="147">
        <v>0</v>
      </c>
      <c r="N4" s="147">
        <v>1.7259719605805112E-3</v>
      </c>
      <c r="O4" s="147">
        <v>0</v>
      </c>
      <c r="P4" s="147">
        <v>0</v>
      </c>
      <c r="Q4" s="147">
        <v>0</v>
      </c>
      <c r="R4" s="147">
        <v>0.12235302976078609</v>
      </c>
      <c r="S4" s="147">
        <v>0</v>
      </c>
      <c r="T4" s="147">
        <v>0</v>
      </c>
      <c r="U4" s="147">
        <v>0</v>
      </c>
      <c r="V4" s="147">
        <v>0</v>
      </c>
      <c r="W4" s="147">
        <v>0</v>
      </c>
      <c r="X4" s="147">
        <v>0</v>
      </c>
      <c r="Y4" s="147">
        <v>0</v>
      </c>
      <c r="Z4" s="147">
        <v>1.547813770632032E-3</v>
      </c>
      <c r="AA4" s="147">
        <v>0</v>
      </c>
      <c r="AB4" s="147">
        <v>0</v>
      </c>
      <c r="AC4" s="147">
        <v>1.7410041568339885E-3</v>
      </c>
      <c r="AD4" s="147">
        <v>0.14248362963359631</v>
      </c>
      <c r="AE4" s="147">
        <v>5.0626575925840807E-3</v>
      </c>
      <c r="AF4" s="147">
        <v>0</v>
      </c>
      <c r="AG4" s="147">
        <v>0</v>
      </c>
      <c r="AH4" s="147">
        <v>0</v>
      </c>
      <c r="AI4" s="147">
        <v>0</v>
      </c>
      <c r="AJ4" s="147">
        <v>0</v>
      </c>
      <c r="AK4" s="147">
        <v>1.6627465672518782E-4</v>
      </c>
      <c r="AL4" s="147">
        <v>0</v>
      </c>
      <c r="AM4" s="147">
        <v>0</v>
      </c>
      <c r="AN4" s="147">
        <v>0</v>
      </c>
      <c r="AO4" s="147">
        <v>0</v>
      </c>
      <c r="AP4" s="147">
        <v>0</v>
      </c>
      <c r="AQ4" s="147">
        <v>0</v>
      </c>
    </row>
    <row r="5" spans="1:43" customFormat="1" x14ac:dyDescent="0.15">
      <c r="A5" s="184" t="s">
        <v>196</v>
      </c>
      <c r="B5" s="147">
        <v>0</v>
      </c>
      <c r="C5" s="147">
        <v>0</v>
      </c>
      <c r="D5" s="147">
        <v>0</v>
      </c>
      <c r="E5" s="147">
        <v>0</v>
      </c>
      <c r="F5" s="147">
        <v>0.8</v>
      </c>
      <c r="G5" s="147">
        <v>0</v>
      </c>
      <c r="H5" s="147">
        <v>6.3E-2</v>
      </c>
      <c r="I5" s="147">
        <v>0.05</v>
      </c>
      <c r="J5" s="147">
        <v>0</v>
      </c>
      <c r="K5" s="147">
        <v>1.4999999999999999E-2</v>
      </c>
      <c r="L5" s="147">
        <v>9.9999999999999978E-2</v>
      </c>
      <c r="M5" s="147">
        <v>0</v>
      </c>
      <c r="N5" s="147">
        <v>9.2703437256495339E-3</v>
      </c>
      <c r="O5" s="147">
        <v>0</v>
      </c>
      <c r="P5" s="147">
        <v>0</v>
      </c>
      <c r="Q5" s="147">
        <v>0</v>
      </c>
      <c r="R5" s="147">
        <v>8.4298738067001611E-2</v>
      </c>
      <c r="S5" s="147">
        <v>0</v>
      </c>
      <c r="T5" s="147">
        <v>0.16404524696001652</v>
      </c>
      <c r="U5" s="147">
        <v>0.91366547259003583</v>
      </c>
      <c r="V5" s="147">
        <v>0.83654979749035063</v>
      </c>
      <c r="W5" s="147">
        <v>0.97899999999999998</v>
      </c>
      <c r="X5" s="147">
        <v>0.999</v>
      </c>
      <c r="Y5" s="147">
        <v>0.85670261713405227</v>
      </c>
      <c r="Z5" s="147">
        <v>0</v>
      </c>
      <c r="AA5" s="147">
        <v>0</v>
      </c>
      <c r="AB5" s="147">
        <v>0</v>
      </c>
      <c r="AC5" s="147">
        <v>0</v>
      </c>
      <c r="AD5" s="147">
        <v>0</v>
      </c>
      <c r="AE5" s="147">
        <v>0</v>
      </c>
      <c r="AF5" s="147">
        <v>0</v>
      </c>
      <c r="AG5" s="147">
        <v>0</v>
      </c>
      <c r="AH5" s="147">
        <v>0</v>
      </c>
      <c r="AI5" s="147">
        <v>0</v>
      </c>
      <c r="AJ5" s="147">
        <v>6.581602476577574E-3</v>
      </c>
      <c r="AK5" s="147">
        <v>5.8101965308995314E-2</v>
      </c>
      <c r="AL5" s="147">
        <v>0</v>
      </c>
      <c r="AM5" s="147">
        <v>0</v>
      </c>
      <c r="AN5" s="147">
        <v>0</v>
      </c>
      <c r="AO5" s="147">
        <v>0</v>
      </c>
      <c r="AP5" s="147">
        <v>0</v>
      </c>
      <c r="AQ5" s="147">
        <v>0</v>
      </c>
    </row>
    <row r="6" spans="1:43" customFormat="1" x14ac:dyDescent="0.15">
      <c r="A6" s="184" t="s">
        <v>197</v>
      </c>
      <c r="B6" s="147">
        <v>0</v>
      </c>
      <c r="C6" s="147">
        <v>0</v>
      </c>
      <c r="D6" s="147">
        <v>0</v>
      </c>
      <c r="E6" s="147">
        <v>0.05</v>
      </c>
      <c r="F6" s="147">
        <v>0.1</v>
      </c>
      <c r="G6" s="147">
        <v>0</v>
      </c>
      <c r="H6" s="147">
        <v>0.313</v>
      </c>
      <c r="I6" s="147">
        <v>0</v>
      </c>
      <c r="J6" s="147">
        <v>0</v>
      </c>
      <c r="K6" s="147">
        <v>7.4999999999999997E-3</v>
      </c>
      <c r="L6" s="147">
        <v>0</v>
      </c>
      <c r="M6" s="147">
        <v>9.9950479994375188E-3</v>
      </c>
      <c r="N6" s="147">
        <v>4.9565158343888754E-4</v>
      </c>
      <c r="O6" s="147">
        <v>0.03</v>
      </c>
      <c r="P6" s="147">
        <v>0</v>
      </c>
      <c r="Q6" s="147">
        <v>5.729247472347887E-2</v>
      </c>
      <c r="R6" s="147">
        <v>0</v>
      </c>
      <c r="S6" s="147">
        <v>0</v>
      </c>
      <c r="T6" s="147">
        <v>0.49413629267224485</v>
      </c>
      <c r="U6" s="147">
        <v>2.3909559282713221E-2</v>
      </c>
      <c r="V6" s="147">
        <v>3.4134179897597462E-2</v>
      </c>
      <c r="W6" s="147">
        <v>0</v>
      </c>
      <c r="X6" s="147">
        <v>0</v>
      </c>
      <c r="Y6" s="147">
        <v>9.2449931848998634E-2</v>
      </c>
      <c r="Z6" s="147">
        <v>1.962134724455462E-2</v>
      </c>
      <c r="AA6" s="147">
        <v>1.2830819606810158E-2</v>
      </c>
      <c r="AB6" s="147">
        <v>0.22510232767740876</v>
      </c>
      <c r="AC6" s="147">
        <v>8.9865482350916248E-4</v>
      </c>
      <c r="AD6" s="147">
        <v>0</v>
      </c>
      <c r="AE6" s="147">
        <v>9.9838196267149903E-3</v>
      </c>
      <c r="AF6" s="147">
        <v>9.1593217511467626E-3</v>
      </c>
      <c r="AG6" s="147">
        <v>5.8354469223347279E-3</v>
      </c>
      <c r="AH6" s="147">
        <v>0</v>
      </c>
      <c r="AI6" s="147">
        <v>0</v>
      </c>
      <c r="AJ6" s="147">
        <v>1.3163198950962351E-2</v>
      </c>
      <c r="AK6" s="147">
        <v>0.19409181571569978</v>
      </c>
      <c r="AL6" s="147">
        <v>0</v>
      </c>
      <c r="AM6" s="147">
        <v>0</v>
      </c>
      <c r="AN6" s="147">
        <v>0</v>
      </c>
      <c r="AO6" s="147">
        <v>0</v>
      </c>
      <c r="AP6" s="147">
        <v>0</v>
      </c>
      <c r="AQ6" s="147">
        <v>0</v>
      </c>
    </row>
    <row r="7" spans="1:43" customFormat="1" x14ac:dyDescent="0.15">
      <c r="A7" s="184" t="s">
        <v>198</v>
      </c>
      <c r="B7" s="147">
        <v>0</v>
      </c>
      <c r="C7" s="147">
        <v>0</v>
      </c>
      <c r="D7" s="147">
        <v>0</v>
      </c>
      <c r="E7" s="147">
        <v>0</v>
      </c>
      <c r="F7" s="147">
        <v>0</v>
      </c>
      <c r="G7" s="147">
        <v>0</v>
      </c>
      <c r="H7" s="147">
        <v>0</v>
      </c>
      <c r="I7" s="147">
        <v>0</v>
      </c>
      <c r="J7" s="147">
        <v>0</v>
      </c>
      <c r="K7" s="147">
        <v>0.04</v>
      </c>
      <c r="L7" s="147">
        <v>4.9999999999999989E-2</v>
      </c>
      <c r="M7" s="147">
        <v>0</v>
      </c>
      <c r="N7" s="147">
        <v>4.8265636326818798E-3</v>
      </c>
      <c r="O7" s="147">
        <v>0</v>
      </c>
      <c r="P7" s="147">
        <v>0</v>
      </c>
      <c r="Q7" s="147">
        <v>0</v>
      </c>
      <c r="R7" s="147">
        <v>0.25269646142839869</v>
      </c>
      <c r="S7" s="147">
        <v>0.13510282609867769</v>
      </c>
      <c r="T7" s="147">
        <v>0</v>
      </c>
      <c r="U7" s="147">
        <v>0</v>
      </c>
      <c r="V7" s="147">
        <v>0</v>
      </c>
      <c r="W7" s="147">
        <v>0</v>
      </c>
      <c r="X7" s="147">
        <v>0</v>
      </c>
      <c r="Y7" s="147">
        <v>0</v>
      </c>
      <c r="Z7" s="147">
        <v>2.6328051245960238E-4</v>
      </c>
      <c r="AA7" s="147">
        <v>1.4120678769293832E-3</v>
      </c>
      <c r="AB7" s="147">
        <v>0</v>
      </c>
      <c r="AC7" s="147">
        <v>0</v>
      </c>
      <c r="AD7" s="147">
        <v>0</v>
      </c>
      <c r="AE7" s="147">
        <v>0</v>
      </c>
      <c r="AF7" s="147">
        <v>0</v>
      </c>
      <c r="AG7" s="147">
        <v>0</v>
      </c>
      <c r="AH7" s="147">
        <v>0</v>
      </c>
      <c r="AI7" s="147">
        <v>0</v>
      </c>
      <c r="AJ7" s="147">
        <v>0</v>
      </c>
      <c r="AK7" s="147">
        <v>0</v>
      </c>
      <c r="AL7" s="147">
        <v>0</v>
      </c>
      <c r="AM7" s="147">
        <v>0</v>
      </c>
      <c r="AN7" s="147">
        <v>0</v>
      </c>
      <c r="AO7" s="147">
        <v>0</v>
      </c>
      <c r="AP7" s="147">
        <v>0</v>
      </c>
      <c r="AQ7" s="147">
        <v>0</v>
      </c>
    </row>
    <row r="8" spans="1:43" customFormat="1" x14ac:dyDescent="0.15">
      <c r="A8" s="184" t="s">
        <v>199</v>
      </c>
      <c r="B8" s="147">
        <v>0</v>
      </c>
      <c r="C8" s="147">
        <v>0</v>
      </c>
      <c r="D8" s="147">
        <v>0</v>
      </c>
      <c r="E8" s="147">
        <v>0</v>
      </c>
      <c r="F8" s="147">
        <v>0</v>
      </c>
      <c r="G8" s="147">
        <v>0</v>
      </c>
      <c r="H8" s="147">
        <v>0</v>
      </c>
      <c r="I8" s="147">
        <v>0.1</v>
      </c>
      <c r="J8" s="147">
        <v>0</v>
      </c>
      <c r="K8" s="147">
        <v>5.7500000000000002E-2</v>
      </c>
      <c r="L8" s="147">
        <v>4.9999999999999989E-2</v>
      </c>
      <c r="M8" s="147">
        <v>0</v>
      </c>
      <c r="N8" s="147">
        <v>0</v>
      </c>
      <c r="O8" s="147">
        <v>0</v>
      </c>
      <c r="P8" s="147">
        <v>0</v>
      </c>
      <c r="Q8" s="147">
        <v>6.9253544168987977E-2</v>
      </c>
      <c r="R8" s="147">
        <v>0</v>
      </c>
      <c r="S8" s="147">
        <v>0</v>
      </c>
      <c r="T8" s="147">
        <v>0</v>
      </c>
      <c r="U8" s="147">
        <v>0</v>
      </c>
      <c r="V8" s="147">
        <v>0</v>
      </c>
      <c r="W8" s="147">
        <v>0</v>
      </c>
      <c r="X8" s="147">
        <v>0</v>
      </c>
      <c r="Y8" s="147">
        <v>0</v>
      </c>
      <c r="Z8" s="147">
        <v>4.1184803022456763E-3</v>
      </c>
      <c r="AA8" s="147">
        <v>2.3760916680551391E-4</v>
      </c>
      <c r="AB8" s="147">
        <v>0</v>
      </c>
      <c r="AC8" s="147">
        <v>6.7116934306606672E-3</v>
      </c>
      <c r="AD8" s="147">
        <v>4.9957637417190129E-3</v>
      </c>
      <c r="AE8" s="147">
        <v>2.8953078517140619E-2</v>
      </c>
      <c r="AF8" s="147">
        <v>0</v>
      </c>
      <c r="AG8" s="147">
        <v>0</v>
      </c>
      <c r="AH8" s="147">
        <v>1.1682160392542993E-2</v>
      </c>
      <c r="AI8" s="147">
        <v>0</v>
      </c>
      <c r="AJ8" s="147">
        <v>0</v>
      </c>
      <c r="AK8" s="147">
        <v>1.7732088217527566E-4</v>
      </c>
      <c r="AL8" s="147">
        <v>0</v>
      </c>
      <c r="AM8" s="147">
        <v>0</v>
      </c>
      <c r="AN8" s="147">
        <v>0</v>
      </c>
      <c r="AO8" s="147">
        <v>0</v>
      </c>
      <c r="AP8" s="147">
        <v>0</v>
      </c>
      <c r="AQ8" s="147">
        <v>0</v>
      </c>
    </row>
    <row r="9" spans="1:43" customFormat="1" x14ac:dyDescent="0.15">
      <c r="A9" s="184" t="s">
        <v>200</v>
      </c>
      <c r="B9" s="147">
        <v>0</v>
      </c>
      <c r="C9" s="147">
        <v>0</v>
      </c>
      <c r="D9" s="147">
        <v>0</v>
      </c>
      <c r="E9" s="147">
        <v>0</v>
      </c>
      <c r="F9" s="147">
        <v>0</v>
      </c>
      <c r="G9" s="147">
        <v>0</v>
      </c>
      <c r="H9" s="147">
        <v>0</v>
      </c>
      <c r="I9" s="147">
        <v>4.4999999999999998E-2</v>
      </c>
      <c r="J9" s="147">
        <v>0</v>
      </c>
      <c r="K9" s="147">
        <v>2.5000000000000001E-2</v>
      </c>
      <c r="L9" s="147">
        <v>4.9999999999999989E-2</v>
      </c>
      <c r="M9" s="147">
        <v>0.51974249197071254</v>
      </c>
      <c r="N9" s="147">
        <v>0.18084818435741518</v>
      </c>
      <c r="O9" s="147">
        <v>0</v>
      </c>
      <c r="P9" s="147">
        <v>6.9993000699930016E-2</v>
      </c>
      <c r="Q9" s="147">
        <v>0.24123154415214004</v>
      </c>
      <c r="R9" s="147">
        <v>0.16979603677003027</v>
      </c>
      <c r="S9" s="147">
        <v>0.22643998101075968</v>
      </c>
      <c r="T9" s="147">
        <v>4.4450020204572824E-2</v>
      </c>
      <c r="U9" s="147">
        <v>6.0023998199280058E-4</v>
      </c>
      <c r="V9" s="147">
        <v>1.575422995273731E-3</v>
      </c>
      <c r="W9" s="147">
        <v>0</v>
      </c>
      <c r="X9" s="147">
        <v>0</v>
      </c>
      <c r="Y9" s="147">
        <v>7.7041601540832026E-3</v>
      </c>
      <c r="Z9" s="147">
        <v>5.00851979580356E-2</v>
      </c>
      <c r="AA9" s="147">
        <v>0.29970533307287334</v>
      </c>
      <c r="AB9" s="147">
        <v>6.2800338498255753E-2</v>
      </c>
      <c r="AC9" s="147">
        <v>6.1043194129839447E-2</v>
      </c>
      <c r="AD9" s="147">
        <v>0.24862888714588649</v>
      </c>
      <c r="AE9" s="147">
        <v>0.16696525887072572</v>
      </c>
      <c r="AF9" s="147">
        <v>2.1801859745737139E-2</v>
      </c>
      <c r="AG9" s="147">
        <v>7.4022058055146028E-2</v>
      </c>
      <c r="AH9" s="147">
        <v>6.7013253278114068E-2</v>
      </c>
      <c r="AI9" s="147">
        <v>4.7993631245133762E-2</v>
      </c>
      <c r="AJ9" s="147">
        <v>0</v>
      </c>
      <c r="AK9" s="147">
        <v>1.0841728712292536E-4</v>
      </c>
      <c r="AL9" s="147">
        <v>0</v>
      </c>
      <c r="AM9" s="147">
        <v>0</v>
      </c>
      <c r="AN9" s="147">
        <v>0</v>
      </c>
      <c r="AO9" s="147">
        <v>0</v>
      </c>
      <c r="AP9" s="147">
        <v>0</v>
      </c>
      <c r="AQ9" s="147">
        <v>0</v>
      </c>
    </row>
    <row r="10" spans="1:43" customFormat="1" x14ac:dyDescent="0.15">
      <c r="A10" s="184" t="s">
        <v>201</v>
      </c>
      <c r="B10" s="147">
        <v>0</v>
      </c>
      <c r="C10" s="147">
        <v>0</v>
      </c>
      <c r="D10" s="147">
        <v>0</v>
      </c>
      <c r="E10" s="147">
        <v>0</v>
      </c>
      <c r="F10" s="147">
        <v>0</v>
      </c>
      <c r="G10" s="147">
        <v>0</v>
      </c>
      <c r="H10" s="147">
        <v>0</v>
      </c>
      <c r="I10" s="147">
        <v>4.4999999999999998E-2</v>
      </c>
      <c r="J10" s="147">
        <v>0</v>
      </c>
      <c r="K10" s="147">
        <v>5.1249999999999997E-2</v>
      </c>
      <c r="L10" s="147">
        <v>2.4999999999999994E-2</v>
      </c>
      <c r="M10" s="147">
        <v>6.9965331996024213E-2</v>
      </c>
      <c r="N10" s="147">
        <v>1.4584584868031649E-2</v>
      </c>
      <c r="O10" s="147">
        <v>0</v>
      </c>
      <c r="P10" s="147">
        <v>9.9990000999900019E-2</v>
      </c>
      <c r="Q10" s="147">
        <v>2.6133403758025763E-2</v>
      </c>
      <c r="R10" s="147">
        <v>0.11885722373900345</v>
      </c>
      <c r="S10" s="147">
        <v>9.7045706318898556E-2</v>
      </c>
      <c r="T10" s="147">
        <v>0</v>
      </c>
      <c r="U10" s="147">
        <v>6.1824728145258155E-2</v>
      </c>
      <c r="V10" s="147">
        <v>0.12774059961677819</v>
      </c>
      <c r="W10" s="147">
        <v>0</v>
      </c>
      <c r="X10" s="147">
        <v>0</v>
      </c>
      <c r="Y10" s="147">
        <v>2.4653310493066211E-2</v>
      </c>
      <c r="Z10" s="147">
        <v>4.5626485408987616E-2</v>
      </c>
      <c r="AA10" s="147">
        <v>0.23976428645848105</v>
      </c>
      <c r="AB10" s="147">
        <v>0.16701971400619511</v>
      </c>
      <c r="AC10" s="147">
        <v>1.2104462079025968E-2</v>
      </c>
      <c r="AD10" s="147">
        <v>3.7535173759431509E-2</v>
      </c>
      <c r="AE10" s="147">
        <v>4.9919103132534795E-2</v>
      </c>
      <c r="AF10" s="147">
        <v>3.7982926120158265E-2</v>
      </c>
      <c r="AG10" s="147">
        <v>9.5028317773498294E-2</v>
      </c>
      <c r="AH10" s="147">
        <v>0</v>
      </c>
      <c r="AI10" s="147">
        <v>7.0024607734553608E-4</v>
      </c>
      <c r="AJ10" s="147">
        <v>0</v>
      </c>
      <c r="AK10" s="147">
        <v>2.0332818500790254E-4</v>
      </c>
      <c r="AL10" s="147">
        <v>0</v>
      </c>
      <c r="AM10" s="147">
        <v>0</v>
      </c>
      <c r="AN10" s="147">
        <v>0</v>
      </c>
      <c r="AO10" s="147">
        <v>0</v>
      </c>
      <c r="AP10" s="147">
        <v>0</v>
      </c>
      <c r="AQ10" s="147">
        <v>0</v>
      </c>
    </row>
    <row r="11" spans="1:43" customFormat="1" x14ac:dyDescent="0.15">
      <c r="A11" s="184" t="s">
        <v>202</v>
      </c>
      <c r="B11" s="147">
        <v>0</v>
      </c>
      <c r="C11" s="147">
        <v>0</v>
      </c>
      <c r="D11" s="147">
        <v>0</v>
      </c>
      <c r="E11" s="147">
        <v>0</v>
      </c>
      <c r="F11" s="147">
        <v>0</v>
      </c>
      <c r="G11" s="147">
        <v>0</v>
      </c>
      <c r="H11" s="147">
        <v>0</v>
      </c>
      <c r="I11" s="147">
        <v>0.01</v>
      </c>
      <c r="J11" s="147">
        <v>0</v>
      </c>
      <c r="K11" s="147">
        <v>1.2500000000000001E-2</v>
      </c>
      <c r="L11" s="147">
        <v>4.9999999999999992E-3</v>
      </c>
      <c r="M11" s="147">
        <v>3.9980191997750075E-2</v>
      </c>
      <c r="N11" s="147">
        <v>0</v>
      </c>
      <c r="O11" s="147">
        <v>0</v>
      </c>
      <c r="P11" s="147">
        <v>0</v>
      </c>
      <c r="Q11" s="147">
        <v>0.2050467607788494</v>
      </c>
      <c r="R11" s="147">
        <v>6.2724656618602839E-2</v>
      </c>
      <c r="S11" s="147">
        <v>4.3765722287059473E-2</v>
      </c>
      <c r="T11" s="147">
        <v>0</v>
      </c>
      <c r="U11" s="147">
        <v>0</v>
      </c>
      <c r="V11" s="147">
        <v>0</v>
      </c>
      <c r="W11" s="147">
        <v>0</v>
      </c>
      <c r="X11" s="147">
        <v>0</v>
      </c>
      <c r="Y11" s="147">
        <v>0</v>
      </c>
      <c r="Z11" s="147">
        <v>0.16390410012043705</v>
      </c>
      <c r="AA11" s="147">
        <v>0.22977409535593035</v>
      </c>
      <c r="AB11" s="147">
        <v>0.13057170114365965</v>
      </c>
      <c r="AC11" s="147">
        <v>1.1591557713783144E-2</v>
      </c>
      <c r="AD11" s="147">
        <v>1.8852609025320106E-2</v>
      </c>
      <c r="AE11" s="147">
        <v>2.2169989401625245E-2</v>
      </c>
      <c r="AF11" s="147">
        <v>0</v>
      </c>
      <c r="AG11" s="147">
        <v>1.0002980818262978E-2</v>
      </c>
      <c r="AH11" s="147">
        <v>2.5373728187597387E-2</v>
      </c>
      <c r="AI11" s="147">
        <v>6.7878232558539475E-3</v>
      </c>
      <c r="AJ11" s="147">
        <v>0</v>
      </c>
      <c r="AK11" s="147">
        <v>0</v>
      </c>
      <c r="AL11" s="147">
        <v>0</v>
      </c>
      <c r="AM11" s="147">
        <v>0</v>
      </c>
      <c r="AN11" s="147">
        <v>0</v>
      </c>
      <c r="AO11" s="147">
        <v>0</v>
      </c>
      <c r="AP11" s="147">
        <v>0</v>
      </c>
      <c r="AQ11" s="147">
        <v>0</v>
      </c>
    </row>
    <row r="12" spans="1:43" customFormat="1" x14ac:dyDescent="0.15">
      <c r="A12" s="184" t="s">
        <v>203</v>
      </c>
      <c r="B12" s="147">
        <v>0</v>
      </c>
      <c r="C12" s="147">
        <v>0</v>
      </c>
      <c r="D12" s="147">
        <v>0</v>
      </c>
      <c r="E12" s="147">
        <v>0</v>
      </c>
      <c r="F12" s="147">
        <v>0</v>
      </c>
      <c r="G12" s="147">
        <v>0</v>
      </c>
      <c r="H12" s="147">
        <v>0</v>
      </c>
      <c r="I12" s="147">
        <v>0.01</v>
      </c>
      <c r="J12" s="147">
        <v>0</v>
      </c>
      <c r="K12" s="147">
        <v>0.04</v>
      </c>
      <c r="L12" s="147">
        <v>4.9999999999999992E-3</v>
      </c>
      <c r="M12" s="147">
        <v>4.1393632873425651E-2</v>
      </c>
      <c r="N12" s="147">
        <v>0.38467705722415124</v>
      </c>
      <c r="O12" s="147">
        <v>0</v>
      </c>
      <c r="P12" s="147">
        <v>0.37996200379962003</v>
      </c>
      <c r="Q12" s="147">
        <v>0.25128288036701107</v>
      </c>
      <c r="R12" s="147">
        <v>6.5920814981312137E-2</v>
      </c>
      <c r="S12" s="147">
        <v>0.49664575520922227</v>
      </c>
      <c r="T12" s="147">
        <v>9.5526348077326698E-2</v>
      </c>
      <c r="U12" s="147">
        <v>0</v>
      </c>
      <c r="V12" s="147">
        <v>0</v>
      </c>
      <c r="W12" s="147">
        <v>0</v>
      </c>
      <c r="X12" s="147">
        <v>0</v>
      </c>
      <c r="Y12" s="147">
        <v>1.8489980369799607E-2</v>
      </c>
      <c r="Z12" s="147">
        <v>0.50459601530931453</v>
      </c>
      <c r="AA12" s="147">
        <v>7.6600838538366786E-2</v>
      </c>
      <c r="AB12" s="147">
        <v>0.17271245129113552</v>
      </c>
      <c r="AC12" s="147">
        <v>5.0435259079278483E-2</v>
      </c>
      <c r="AD12" s="147">
        <v>9.3823625149318565E-2</v>
      </c>
      <c r="AE12" s="147">
        <v>3.9935280506443897E-2</v>
      </c>
      <c r="AF12" s="147">
        <v>0.1059523728614941</v>
      </c>
      <c r="AG12" s="147">
        <v>3.0008942454788932E-2</v>
      </c>
      <c r="AH12" s="147">
        <v>0.51010088316176372</v>
      </c>
      <c r="AI12" s="147">
        <v>1.9997346352139067E-2</v>
      </c>
      <c r="AJ12" s="147">
        <v>0</v>
      </c>
      <c r="AK12" s="147">
        <v>0</v>
      </c>
      <c r="AL12" s="147">
        <v>0</v>
      </c>
      <c r="AM12" s="147">
        <v>0</v>
      </c>
      <c r="AN12" s="147">
        <v>0</v>
      </c>
      <c r="AO12" s="147">
        <v>0</v>
      </c>
      <c r="AP12" s="147">
        <v>0</v>
      </c>
      <c r="AQ12" s="147">
        <v>0</v>
      </c>
    </row>
    <row r="13" spans="1:43" customFormat="1" x14ac:dyDescent="0.15">
      <c r="A13" s="184" t="s">
        <v>204</v>
      </c>
      <c r="B13" s="147">
        <v>0</v>
      </c>
      <c r="C13" s="147">
        <v>0</v>
      </c>
      <c r="D13" s="147">
        <v>0</v>
      </c>
      <c r="E13" s="147">
        <v>0</v>
      </c>
      <c r="F13" s="147">
        <v>0</v>
      </c>
      <c r="G13" s="147">
        <v>0</v>
      </c>
      <c r="H13" s="147">
        <v>0</v>
      </c>
      <c r="I13" s="147">
        <v>0</v>
      </c>
      <c r="J13" s="147">
        <v>0</v>
      </c>
      <c r="K13" s="147">
        <v>0</v>
      </c>
      <c r="L13" s="147">
        <v>0</v>
      </c>
      <c r="M13" s="147">
        <v>0.12993561899263972</v>
      </c>
      <c r="N13" s="147">
        <v>0.21282133602274061</v>
      </c>
      <c r="O13" s="147">
        <v>0.08</v>
      </c>
      <c r="P13" s="147">
        <v>0.41995800419958002</v>
      </c>
      <c r="Q13" s="147">
        <v>3.3169341008452716E-2</v>
      </c>
      <c r="R13" s="147">
        <v>0</v>
      </c>
      <c r="S13" s="147">
        <v>0</v>
      </c>
      <c r="T13" s="147">
        <v>5.0013794804883082E-3</v>
      </c>
      <c r="U13" s="147">
        <v>0</v>
      </c>
      <c r="V13" s="147">
        <v>0</v>
      </c>
      <c r="W13" s="147">
        <v>0</v>
      </c>
      <c r="X13" s="147">
        <v>0</v>
      </c>
      <c r="Y13" s="147">
        <v>0</v>
      </c>
      <c r="Z13" s="147">
        <v>0.15604466111859661</v>
      </c>
      <c r="AA13" s="147">
        <v>9.2995724246608541E-2</v>
      </c>
      <c r="AB13" s="147">
        <v>7.8769980980579732E-2</v>
      </c>
      <c r="AC13" s="147">
        <v>2.1736872536864928E-2</v>
      </c>
      <c r="AD13" s="147">
        <v>8.1917175764882E-2</v>
      </c>
      <c r="AE13" s="147">
        <v>0.2420319964343739</v>
      </c>
      <c r="AF13" s="147">
        <v>0.49410159411955989</v>
      </c>
      <c r="AG13" s="147">
        <v>0.34510283823007271</v>
      </c>
      <c r="AH13" s="147">
        <v>7.1014044518598482E-2</v>
      </c>
      <c r="AI13" s="147">
        <v>0.12498341470086917</v>
      </c>
      <c r="AJ13" s="147">
        <v>0</v>
      </c>
      <c r="AK13" s="147">
        <v>1.7208140362422865E-5</v>
      </c>
      <c r="AL13" s="147">
        <v>0</v>
      </c>
      <c r="AM13" s="147">
        <v>0</v>
      </c>
      <c r="AN13" s="147">
        <v>0</v>
      </c>
      <c r="AO13" s="147">
        <v>0</v>
      </c>
      <c r="AP13" s="147">
        <v>0</v>
      </c>
      <c r="AQ13" s="147">
        <v>0</v>
      </c>
    </row>
    <row r="14" spans="1:43" customFormat="1" x14ac:dyDescent="0.15">
      <c r="A14" s="184" t="s">
        <v>205</v>
      </c>
      <c r="B14" s="147">
        <v>0</v>
      </c>
      <c r="C14" s="147">
        <v>0</v>
      </c>
      <c r="D14" s="147">
        <v>0</v>
      </c>
      <c r="E14" s="147">
        <v>0</v>
      </c>
      <c r="F14" s="147">
        <v>0</v>
      </c>
      <c r="G14" s="147">
        <v>0</v>
      </c>
      <c r="H14" s="147">
        <v>0</v>
      </c>
      <c r="I14" s="147">
        <v>0</v>
      </c>
      <c r="J14" s="147">
        <v>0</v>
      </c>
      <c r="K14" s="147">
        <v>0</v>
      </c>
      <c r="L14" s="147">
        <v>0</v>
      </c>
      <c r="M14" s="147">
        <v>0</v>
      </c>
      <c r="N14" s="147">
        <v>3.9966449581749219E-2</v>
      </c>
      <c r="O14" s="147">
        <v>0.02</v>
      </c>
      <c r="P14" s="147">
        <v>2.1997800219978002E-2</v>
      </c>
      <c r="Q14" s="147">
        <v>0</v>
      </c>
      <c r="R14" s="147">
        <v>0</v>
      </c>
      <c r="S14" s="147">
        <v>0</v>
      </c>
      <c r="T14" s="147">
        <v>5.0013794804883082E-3</v>
      </c>
      <c r="U14" s="147">
        <v>0</v>
      </c>
      <c r="V14" s="147">
        <v>0</v>
      </c>
      <c r="W14" s="147">
        <v>0</v>
      </c>
      <c r="X14" s="147">
        <v>0</v>
      </c>
      <c r="Y14" s="147">
        <v>0</v>
      </c>
      <c r="Z14" s="147">
        <v>7.9207365867971762E-3</v>
      </c>
      <c r="AA14" s="147">
        <v>6.9986438220327415E-4</v>
      </c>
      <c r="AB14" s="147">
        <v>0</v>
      </c>
      <c r="AC14" s="147">
        <v>0.13920131185878076</v>
      </c>
      <c r="AD14" s="147">
        <v>0.19999998966000049</v>
      </c>
      <c r="AE14" s="147">
        <v>4.7607101200024905E-2</v>
      </c>
      <c r="AF14" s="147">
        <v>5.7554498412667821E-3</v>
      </c>
      <c r="AG14" s="147">
        <v>7.7352910625896151E-2</v>
      </c>
      <c r="AH14" s="147">
        <v>0.14103509265130873</v>
      </c>
      <c r="AI14" s="147">
        <v>0.22397027914395756</v>
      </c>
      <c r="AJ14" s="147">
        <v>6.1521515839946347E-2</v>
      </c>
      <c r="AK14" s="147">
        <v>1.0004732768850503E-2</v>
      </c>
      <c r="AL14" s="147">
        <v>6.0000000000000001E-3</v>
      </c>
      <c r="AM14" s="147">
        <v>0.05</v>
      </c>
      <c r="AN14" s="147">
        <v>0.1906239046088973</v>
      </c>
      <c r="AO14" s="147">
        <v>0</v>
      </c>
      <c r="AP14" s="147">
        <v>0</v>
      </c>
      <c r="AQ14" s="147">
        <v>0</v>
      </c>
    </row>
    <row r="15" spans="1:43" customFormat="1" x14ac:dyDescent="0.15">
      <c r="A15" s="184" t="s">
        <v>206</v>
      </c>
      <c r="B15" s="147">
        <v>0</v>
      </c>
      <c r="C15" s="147">
        <v>0</v>
      </c>
      <c r="D15" s="147">
        <v>0</v>
      </c>
      <c r="E15" s="147">
        <v>0</v>
      </c>
      <c r="F15" s="147">
        <v>0</v>
      </c>
      <c r="G15" s="147">
        <v>0</v>
      </c>
      <c r="H15" s="147">
        <v>0</v>
      </c>
      <c r="I15" s="147">
        <v>0</v>
      </c>
      <c r="J15" s="147">
        <v>0</v>
      </c>
      <c r="K15" s="147">
        <v>0</v>
      </c>
      <c r="L15" s="147">
        <v>0</v>
      </c>
      <c r="M15" s="147">
        <v>0</v>
      </c>
      <c r="N15" s="147">
        <v>0</v>
      </c>
      <c r="O15" s="147">
        <v>0.01</v>
      </c>
      <c r="P15" s="147">
        <v>0</v>
      </c>
      <c r="Q15" s="147">
        <v>0</v>
      </c>
      <c r="R15" s="147">
        <v>0</v>
      </c>
      <c r="S15" s="147">
        <v>0</v>
      </c>
      <c r="T15" s="147">
        <v>0</v>
      </c>
      <c r="U15" s="147">
        <v>0</v>
      </c>
      <c r="V15" s="147">
        <v>0</v>
      </c>
      <c r="W15" s="147">
        <v>0</v>
      </c>
      <c r="X15" s="147">
        <v>0</v>
      </c>
      <c r="Y15" s="147">
        <v>0</v>
      </c>
      <c r="Z15" s="147">
        <v>1.6595968373666595E-3</v>
      </c>
      <c r="AA15" s="147">
        <v>0</v>
      </c>
      <c r="AB15" s="147">
        <v>0</v>
      </c>
      <c r="AC15" s="147">
        <v>1.6139282705367377E-2</v>
      </c>
      <c r="AD15" s="147">
        <v>7.3499996200050168E-5</v>
      </c>
      <c r="AE15" s="147">
        <v>0</v>
      </c>
      <c r="AF15" s="147">
        <v>1.2881809438582937E-3</v>
      </c>
      <c r="AG15" s="147">
        <v>0</v>
      </c>
      <c r="AH15" s="147">
        <v>0</v>
      </c>
      <c r="AI15" s="147">
        <v>1.2498341470086917E-2</v>
      </c>
      <c r="AJ15" s="147">
        <v>4.8947922291294438E-2</v>
      </c>
      <c r="AK15" s="147">
        <v>5.0023663844252515E-3</v>
      </c>
      <c r="AL15" s="147">
        <v>0.05</v>
      </c>
      <c r="AM15" s="147">
        <v>0.03</v>
      </c>
      <c r="AN15" s="147">
        <v>0</v>
      </c>
      <c r="AO15" s="147">
        <v>0</v>
      </c>
      <c r="AP15" s="147">
        <v>0</v>
      </c>
      <c r="AQ15" s="147">
        <v>0</v>
      </c>
    </row>
    <row r="16" spans="1:43" customFormat="1" x14ac:dyDescent="0.15">
      <c r="A16" s="184" t="s">
        <v>207</v>
      </c>
      <c r="B16" s="147">
        <v>0</v>
      </c>
      <c r="C16" s="147">
        <v>0</v>
      </c>
      <c r="D16" s="147">
        <v>0</v>
      </c>
      <c r="E16" s="147">
        <v>0</v>
      </c>
      <c r="F16" s="147">
        <v>0</v>
      </c>
      <c r="G16" s="147">
        <v>0</v>
      </c>
      <c r="H16" s="147">
        <v>0</v>
      </c>
      <c r="I16" s="147">
        <v>0</v>
      </c>
      <c r="J16" s="147">
        <v>0</v>
      </c>
      <c r="K16" s="147">
        <v>0</v>
      </c>
      <c r="L16" s="147">
        <v>0</v>
      </c>
      <c r="M16" s="147">
        <v>0</v>
      </c>
      <c r="N16" s="147">
        <v>3.1973158465388278E-2</v>
      </c>
      <c r="O16" s="147">
        <v>0</v>
      </c>
      <c r="P16" s="147">
        <v>0</v>
      </c>
      <c r="Q16" s="147">
        <v>0</v>
      </c>
      <c r="R16" s="147">
        <v>0</v>
      </c>
      <c r="S16" s="147">
        <v>0</v>
      </c>
      <c r="T16" s="147">
        <v>0</v>
      </c>
      <c r="U16" s="147">
        <v>0</v>
      </c>
      <c r="V16" s="147">
        <v>0</v>
      </c>
      <c r="W16" s="147">
        <v>0</v>
      </c>
      <c r="X16" s="147">
        <v>0</v>
      </c>
      <c r="Y16" s="147">
        <v>0</v>
      </c>
      <c r="Z16" s="147">
        <v>3.0981871756903995E-2</v>
      </c>
      <c r="AA16" s="147">
        <v>9.9901781024321502E-3</v>
      </c>
      <c r="AB16" s="147">
        <v>0</v>
      </c>
      <c r="AC16" s="147">
        <v>8.0696412526828173E-2</v>
      </c>
      <c r="AD16" s="147">
        <v>0</v>
      </c>
      <c r="AE16" s="147">
        <v>0.20950099229053012</v>
      </c>
      <c r="AF16" s="147">
        <v>8.3525054268640445E-2</v>
      </c>
      <c r="AG16" s="147">
        <v>2.3155590203791602E-2</v>
      </c>
      <c r="AH16" s="147">
        <v>3.8065098172530676E-2</v>
      </c>
      <c r="AI16" s="147">
        <v>9.7986997125481437E-2</v>
      </c>
      <c r="AJ16" s="147">
        <v>0</v>
      </c>
      <c r="AK16" s="147">
        <v>0</v>
      </c>
      <c r="AL16" s="147">
        <v>0</v>
      </c>
      <c r="AM16" s="147">
        <v>0</v>
      </c>
      <c r="AN16" s="147">
        <v>0</v>
      </c>
      <c r="AO16" s="147">
        <v>0</v>
      </c>
      <c r="AP16" s="147">
        <v>0</v>
      </c>
      <c r="AQ16" s="147">
        <v>0</v>
      </c>
    </row>
    <row r="17" spans="1:43" customFormat="1" x14ac:dyDescent="0.15">
      <c r="A17" s="184" t="s">
        <v>208</v>
      </c>
      <c r="B17" s="147">
        <v>0</v>
      </c>
      <c r="C17" s="147">
        <v>0</v>
      </c>
      <c r="D17" s="147">
        <v>0</v>
      </c>
      <c r="E17" s="147">
        <v>0</v>
      </c>
      <c r="F17" s="147">
        <v>0</v>
      </c>
      <c r="G17" s="147">
        <v>0</v>
      </c>
      <c r="H17" s="147">
        <v>0</v>
      </c>
      <c r="I17" s="147">
        <v>0</v>
      </c>
      <c r="J17" s="147">
        <v>0</v>
      </c>
      <c r="K17" s="147">
        <v>0</v>
      </c>
      <c r="L17" s="147">
        <v>0</v>
      </c>
      <c r="M17" s="147">
        <v>3.0288020907354401E-3</v>
      </c>
      <c r="N17" s="147">
        <v>1.009253712871859E-2</v>
      </c>
      <c r="O17" s="147">
        <v>5.0000000000000001E-3</v>
      </c>
      <c r="P17" s="147">
        <v>0</v>
      </c>
      <c r="Q17" s="147">
        <v>0</v>
      </c>
      <c r="R17" s="147">
        <v>0</v>
      </c>
      <c r="S17" s="147">
        <v>0</v>
      </c>
      <c r="T17" s="147">
        <v>0</v>
      </c>
      <c r="U17" s="147">
        <v>0</v>
      </c>
      <c r="V17" s="147">
        <v>0</v>
      </c>
      <c r="W17" s="147">
        <v>0</v>
      </c>
      <c r="X17" s="147">
        <v>0</v>
      </c>
      <c r="Y17" s="147">
        <v>0</v>
      </c>
      <c r="Z17" s="147">
        <v>0</v>
      </c>
      <c r="AA17" s="147">
        <v>9.9901781024321502E-3</v>
      </c>
      <c r="AB17" s="147">
        <v>0</v>
      </c>
      <c r="AC17" s="147">
        <v>1.9972362275391495E-2</v>
      </c>
      <c r="AD17" s="147">
        <v>4.9957637417190129E-3</v>
      </c>
      <c r="AE17" s="147">
        <v>1.198058415193317E-2</v>
      </c>
      <c r="AF17" s="147">
        <v>2.9986520621177577E-2</v>
      </c>
      <c r="AG17" s="147">
        <v>2.8108376099318967E-2</v>
      </c>
      <c r="AH17" s="147">
        <v>2.3004549632785424E-2</v>
      </c>
      <c r="AI17" s="147">
        <v>2.558148533689579E-2</v>
      </c>
      <c r="AJ17" s="147">
        <v>4.7077649018748956E-3</v>
      </c>
      <c r="AK17" s="147">
        <v>6.3681984954028457E-3</v>
      </c>
      <c r="AL17" s="147">
        <v>0</v>
      </c>
      <c r="AM17" s="147">
        <v>0</v>
      </c>
      <c r="AN17" s="147">
        <v>0</v>
      </c>
      <c r="AO17" s="147">
        <v>0</v>
      </c>
      <c r="AP17" s="147">
        <v>0</v>
      </c>
      <c r="AQ17" s="147">
        <v>0</v>
      </c>
    </row>
    <row r="18" spans="1:43" customFormat="1" x14ac:dyDescent="0.15">
      <c r="A18" s="184" t="s">
        <v>209</v>
      </c>
      <c r="B18" s="147">
        <v>0</v>
      </c>
      <c r="C18" s="147">
        <v>0</v>
      </c>
      <c r="D18" s="147">
        <v>0</v>
      </c>
      <c r="E18" s="147">
        <v>0</v>
      </c>
      <c r="F18" s="147">
        <v>0</v>
      </c>
      <c r="G18" s="147">
        <v>0</v>
      </c>
      <c r="H18" s="147">
        <v>0</v>
      </c>
      <c r="I18" s="147">
        <v>0</v>
      </c>
      <c r="J18" s="147">
        <v>0</v>
      </c>
      <c r="K18" s="147">
        <v>0</v>
      </c>
      <c r="L18" s="147">
        <v>0</v>
      </c>
      <c r="M18" s="147">
        <v>5.0480044845686725E-3</v>
      </c>
      <c r="N18" s="147">
        <v>1.009253712871859E-2</v>
      </c>
      <c r="O18" s="147">
        <v>5.0000000000000001E-3</v>
      </c>
      <c r="P18" s="147">
        <v>0</v>
      </c>
      <c r="Q18" s="147">
        <v>0</v>
      </c>
      <c r="R18" s="147">
        <v>0</v>
      </c>
      <c r="S18" s="147">
        <v>0</v>
      </c>
      <c r="T18" s="147">
        <v>0</v>
      </c>
      <c r="U18" s="147">
        <v>0</v>
      </c>
      <c r="V18" s="147">
        <v>0</v>
      </c>
      <c r="W18" s="147">
        <v>0</v>
      </c>
      <c r="X18" s="147">
        <v>0</v>
      </c>
      <c r="Y18" s="147">
        <v>0</v>
      </c>
      <c r="Z18" s="147">
        <v>9.9941523731966846E-3</v>
      </c>
      <c r="AA18" s="147">
        <v>9.9901781024321502E-3</v>
      </c>
      <c r="AB18" s="147">
        <v>0</v>
      </c>
      <c r="AC18" s="147">
        <v>9.582699425064653E-2</v>
      </c>
      <c r="AD18" s="147">
        <v>9.9915274834380258E-3</v>
      </c>
      <c r="AE18" s="147">
        <v>3.0253999629281131E-2</v>
      </c>
      <c r="AF18" s="147">
        <v>0.11699837552202656</v>
      </c>
      <c r="AG18" s="147">
        <v>8.0023846546103825E-2</v>
      </c>
      <c r="AH18" s="147">
        <v>2.1004154012543214E-2</v>
      </c>
      <c r="AI18" s="147">
        <v>3.5485061132387724E-2</v>
      </c>
      <c r="AJ18" s="147">
        <v>4.7077649018748956E-3</v>
      </c>
      <c r="AK18" s="147">
        <v>1.2734484085900288E-2</v>
      </c>
      <c r="AL18" s="147">
        <v>0</v>
      </c>
      <c r="AM18" s="147">
        <v>0</v>
      </c>
      <c r="AN18" s="147">
        <v>1.038051025104253E-2</v>
      </c>
      <c r="AO18" s="147">
        <v>0</v>
      </c>
      <c r="AP18" s="147">
        <v>0</v>
      </c>
      <c r="AQ18" s="147">
        <v>0</v>
      </c>
    </row>
    <row r="19" spans="1:43" customFormat="1" x14ac:dyDescent="0.15">
      <c r="A19" s="184" t="s">
        <v>210</v>
      </c>
      <c r="B19" s="147">
        <v>0</v>
      </c>
      <c r="C19" s="147">
        <v>0</v>
      </c>
      <c r="D19" s="147">
        <v>0</v>
      </c>
      <c r="E19" s="147">
        <v>0</v>
      </c>
      <c r="F19" s="147">
        <v>0</v>
      </c>
      <c r="G19" s="147">
        <v>0</v>
      </c>
      <c r="H19" s="147">
        <v>0</v>
      </c>
      <c r="I19" s="147">
        <v>0</v>
      </c>
      <c r="J19" s="147">
        <v>0</v>
      </c>
      <c r="K19" s="147">
        <v>0</v>
      </c>
      <c r="L19" s="147">
        <v>0</v>
      </c>
      <c r="M19" s="147">
        <v>0</v>
      </c>
      <c r="N19" s="147">
        <v>0</v>
      </c>
      <c r="O19" s="147">
        <v>0</v>
      </c>
      <c r="P19" s="147">
        <v>0</v>
      </c>
      <c r="Q19" s="147">
        <v>0</v>
      </c>
      <c r="R19" s="147">
        <v>0</v>
      </c>
      <c r="S19" s="147">
        <v>0</v>
      </c>
      <c r="T19" s="147">
        <v>0</v>
      </c>
      <c r="U19" s="147">
        <v>0</v>
      </c>
      <c r="V19" s="147">
        <v>0</v>
      </c>
      <c r="W19" s="147">
        <v>0</v>
      </c>
      <c r="X19" s="147">
        <v>0</v>
      </c>
      <c r="Y19" s="147">
        <v>0</v>
      </c>
      <c r="Z19" s="147">
        <v>0</v>
      </c>
      <c r="AA19" s="147">
        <v>4.9950895512206345E-3</v>
      </c>
      <c r="AB19" s="147">
        <v>0</v>
      </c>
      <c r="AC19" s="147">
        <v>3.026115344754968E-2</v>
      </c>
      <c r="AD19" s="147">
        <v>9.9915274834380258E-3</v>
      </c>
      <c r="AE19" s="147">
        <v>0</v>
      </c>
      <c r="AF19" s="147">
        <v>2.9986520621177577E-2</v>
      </c>
      <c r="AG19" s="147">
        <v>1.0002980818262978E-2</v>
      </c>
      <c r="AH19" s="147">
        <v>0</v>
      </c>
      <c r="AI19" s="147">
        <v>1.9021875797081724E-2</v>
      </c>
      <c r="AJ19" s="147">
        <v>1.6503629320410512E-4</v>
      </c>
      <c r="AK19" s="147">
        <v>6.3662835895508876E-3</v>
      </c>
      <c r="AL19" s="147">
        <v>0</v>
      </c>
      <c r="AM19" s="147">
        <v>0</v>
      </c>
      <c r="AN19" s="147">
        <v>0</v>
      </c>
      <c r="AO19" s="147">
        <v>0</v>
      </c>
      <c r="AP19" s="147">
        <v>0</v>
      </c>
      <c r="AQ19" s="147">
        <v>0</v>
      </c>
    </row>
    <row r="20" spans="1:43" customFormat="1" x14ac:dyDescent="0.15">
      <c r="A20" s="184" t="s">
        <v>211</v>
      </c>
      <c r="B20" s="147">
        <v>0</v>
      </c>
      <c r="C20" s="147">
        <v>0</v>
      </c>
      <c r="D20" s="147">
        <v>0</v>
      </c>
      <c r="E20" s="147">
        <v>0</v>
      </c>
      <c r="F20" s="147">
        <v>0</v>
      </c>
      <c r="G20" s="147">
        <v>0</v>
      </c>
      <c r="H20" s="147">
        <v>0</v>
      </c>
      <c r="I20" s="147">
        <v>0</v>
      </c>
      <c r="J20" s="147">
        <v>0</v>
      </c>
      <c r="K20" s="147">
        <v>0</v>
      </c>
      <c r="L20" s="147">
        <v>0</v>
      </c>
      <c r="M20" s="147">
        <v>0</v>
      </c>
      <c r="N20" s="147">
        <v>0</v>
      </c>
      <c r="O20" s="147">
        <v>0.13</v>
      </c>
      <c r="P20" s="147">
        <v>0</v>
      </c>
      <c r="Q20" s="147">
        <v>0</v>
      </c>
      <c r="R20" s="147">
        <v>0</v>
      </c>
      <c r="S20" s="147">
        <v>0</v>
      </c>
      <c r="T20" s="147">
        <v>0</v>
      </c>
      <c r="U20" s="147">
        <v>0</v>
      </c>
      <c r="V20" s="147">
        <v>0</v>
      </c>
      <c r="W20" s="147">
        <v>0</v>
      </c>
      <c r="X20" s="147">
        <v>0</v>
      </c>
      <c r="Y20" s="147">
        <v>0</v>
      </c>
      <c r="Z20" s="147">
        <v>0</v>
      </c>
      <c r="AA20" s="147">
        <v>0</v>
      </c>
      <c r="AB20" s="147">
        <v>0</v>
      </c>
      <c r="AC20" s="147">
        <v>0</v>
      </c>
      <c r="AD20" s="147">
        <v>0</v>
      </c>
      <c r="AE20" s="147">
        <v>0</v>
      </c>
      <c r="AF20" s="147">
        <v>9.9955068737258602E-4</v>
      </c>
      <c r="AG20" s="147">
        <v>6.0868428365573948E-2</v>
      </c>
      <c r="AH20" s="147">
        <v>0</v>
      </c>
      <c r="AI20" s="147">
        <v>3.9994692704278134E-2</v>
      </c>
      <c r="AJ20" s="147">
        <v>0.14005116531237705</v>
      </c>
      <c r="AK20" s="147">
        <v>0.10004732768850504</v>
      </c>
      <c r="AL20" s="147">
        <v>0.14499999999999999</v>
      </c>
      <c r="AM20" s="147">
        <v>0.27</v>
      </c>
      <c r="AN20" s="147">
        <v>5.2380911957620215E-3</v>
      </c>
      <c r="AO20" s="147">
        <v>0</v>
      </c>
      <c r="AP20" s="147">
        <v>0</v>
      </c>
      <c r="AQ20" s="147">
        <v>0</v>
      </c>
    </row>
    <row r="21" spans="1:43" customFormat="1" x14ac:dyDescent="0.15">
      <c r="A21" s="184" t="s">
        <v>212</v>
      </c>
      <c r="B21" s="147">
        <v>0</v>
      </c>
      <c r="C21" s="147">
        <v>0</v>
      </c>
      <c r="D21" s="147">
        <v>0</v>
      </c>
      <c r="E21" s="147">
        <v>0</v>
      </c>
      <c r="F21" s="147">
        <v>0</v>
      </c>
      <c r="G21" s="147">
        <v>0</v>
      </c>
      <c r="H21" s="147">
        <v>0</v>
      </c>
      <c r="I21" s="147">
        <v>0</v>
      </c>
      <c r="J21" s="147">
        <v>0</v>
      </c>
      <c r="K21" s="147">
        <v>0</v>
      </c>
      <c r="L21" s="147">
        <v>0</v>
      </c>
      <c r="M21" s="147">
        <v>0</v>
      </c>
      <c r="N21" s="147">
        <v>3.3971482244487754E-2</v>
      </c>
      <c r="O21" s="147">
        <v>0.44</v>
      </c>
      <c r="P21" s="147">
        <v>0</v>
      </c>
      <c r="Q21" s="147">
        <v>0</v>
      </c>
      <c r="R21" s="147">
        <v>0</v>
      </c>
      <c r="S21" s="147">
        <v>0</v>
      </c>
      <c r="T21" s="147">
        <v>9.002483064878955E-2</v>
      </c>
      <c r="U21" s="147">
        <v>0</v>
      </c>
      <c r="V21" s="147">
        <v>0</v>
      </c>
      <c r="W21" s="147">
        <v>0</v>
      </c>
      <c r="X21" s="147">
        <v>0</v>
      </c>
      <c r="Y21" s="147">
        <v>0</v>
      </c>
      <c r="Z21" s="147">
        <v>0</v>
      </c>
      <c r="AA21" s="147">
        <v>0</v>
      </c>
      <c r="AB21" s="147">
        <v>0</v>
      </c>
      <c r="AC21" s="147">
        <v>0.14979270406532302</v>
      </c>
      <c r="AD21" s="147">
        <v>6.2035496792764791E-4</v>
      </c>
      <c r="AE21" s="147">
        <v>1.4975729540051682E-2</v>
      </c>
      <c r="AF21" s="147">
        <v>0</v>
      </c>
      <c r="AG21" s="147">
        <v>2.5482003458656657E-2</v>
      </c>
      <c r="AH21" s="147">
        <v>1.9955386596762627E-2</v>
      </c>
      <c r="AI21" s="147">
        <v>0.12698314933608307</v>
      </c>
      <c r="AJ21" s="147">
        <v>0.12904714518069027</v>
      </c>
      <c r="AK21" s="147">
        <v>0.35016564690976759</v>
      </c>
      <c r="AL21" s="147">
        <v>0.155</v>
      </c>
      <c r="AM21" s="147">
        <v>0.35</v>
      </c>
      <c r="AN21" s="147">
        <v>3.000318009706485E-2</v>
      </c>
      <c r="AO21" s="147">
        <v>0</v>
      </c>
      <c r="AP21" s="147">
        <v>0</v>
      </c>
      <c r="AQ21" s="147">
        <v>0</v>
      </c>
    </row>
    <row r="22" spans="1:43" customFormat="1" x14ac:dyDescent="0.15">
      <c r="A22" s="184" t="s">
        <v>213</v>
      </c>
      <c r="B22" s="147">
        <v>0</v>
      </c>
      <c r="C22" s="147">
        <v>0</v>
      </c>
      <c r="D22" s="147">
        <v>0</v>
      </c>
      <c r="E22" s="147">
        <v>0</v>
      </c>
      <c r="F22" s="147">
        <v>0</v>
      </c>
      <c r="G22" s="147">
        <v>0</v>
      </c>
      <c r="H22" s="147">
        <v>0</v>
      </c>
      <c r="I22" s="147">
        <v>0</v>
      </c>
      <c r="J22" s="147">
        <v>0</v>
      </c>
      <c r="K22" s="147">
        <v>0</v>
      </c>
      <c r="L22" s="147">
        <v>0</v>
      </c>
      <c r="M22" s="147">
        <v>0</v>
      </c>
      <c r="N22" s="147">
        <v>1.9983223090858884E-2</v>
      </c>
      <c r="O22" s="147">
        <v>0.15</v>
      </c>
      <c r="P22" s="147">
        <v>0</v>
      </c>
      <c r="Q22" s="147">
        <v>0</v>
      </c>
      <c r="R22" s="147">
        <v>0</v>
      </c>
      <c r="S22" s="147">
        <v>0</v>
      </c>
      <c r="T22" s="147">
        <v>2.0005517921953233E-2</v>
      </c>
      <c r="U22" s="147">
        <v>0</v>
      </c>
      <c r="V22" s="147">
        <v>0</v>
      </c>
      <c r="W22" s="147">
        <v>0</v>
      </c>
      <c r="X22" s="147">
        <v>0</v>
      </c>
      <c r="Y22" s="147">
        <v>0</v>
      </c>
      <c r="Z22" s="147">
        <v>0</v>
      </c>
      <c r="AA22" s="147">
        <v>0</v>
      </c>
      <c r="AB22" s="147">
        <v>0</v>
      </c>
      <c r="AC22" s="147">
        <v>2.0174103431709656E-2</v>
      </c>
      <c r="AD22" s="147">
        <v>6.2035496792764791E-4</v>
      </c>
      <c r="AE22" s="147">
        <v>4.9919103132534792E-3</v>
      </c>
      <c r="AF22" s="147">
        <v>0</v>
      </c>
      <c r="AG22" s="147">
        <v>7.1791083240268028E-3</v>
      </c>
      <c r="AH22" s="147">
        <v>1.3322784860484641E-2</v>
      </c>
      <c r="AI22" s="147">
        <v>4.9993365880347668E-2</v>
      </c>
      <c r="AJ22" s="147">
        <v>7.0025582656188523E-2</v>
      </c>
      <c r="AK22" s="147">
        <v>0.14006625876390705</v>
      </c>
      <c r="AL22" s="147">
        <v>0.1</v>
      </c>
      <c r="AM22" s="147">
        <v>7.2999999999999995E-2</v>
      </c>
      <c r="AN22" s="147">
        <v>4.3298429287117008E-3</v>
      </c>
      <c r="AO22" s="147">
        <v>0</v>
      </c>
      <c r="AP22" s="147">
        <v>0</v>
      </c>
      <c r="AQ22" s="147">
        <v>0</v>
      </c>
    </row>
    <row r="23" spans="1:43" customFormat="1" x14ac:dyDescent="0.15">
      <c r="A23" s="184" t="s">
        <v>214</v>
      </c>
      <c r="B23" s="147">
        <v>0</v>
      </c>
      <c r="C23" s="147">
        <v>0</v>
      </c>
      <c r="D23" s="147">
        <v>0</v>
      </c>
      <c r="E23" s="147">
        <v>0</v>
      </c>
      <c r="F23" s="147">
        <v>0</v>
      </c>
      <c r="G23" s="147">
        <v>0</v>
      </c>
      <c r="H23" s="147">
        <v>0</v>
      </c>
      <c r="I23" s="147">
        <v>0</v>
      </c>
      <c r="J23" s="147">
        <v>0</v>
      </c>
      <c r="K23" s="147">
        <v>0</v>
      </c>
      <c r="L23" s="147">
        <v>0</v>
      </c>
      <c r="M23" s="147">
        <v>0</v>
      </c>
      <c r="N23" s="147">
        <v>2.5083527954908057E-2</v>
      </c>
      <c r="O23" s="147">
        <v>0.05</v>
      </c>
      <c r="P23" s="147">
        <v>0</v>
      </c>
      <c r="Q23" s="147">
        <v>0</v>
      </c>
      <c r="R23" s="147">
        <v>0</v>
      </c>
      <c r="S23" s="147">
        <v>0</v>
      </c>
      <c r="T23" s="147">
        <v>0</v>
      </c>
      <c r="U23" s="147">
        <v>0</v>
      </c>
      <c r="V23" s="147">
        <v>0</v>
      </c>
      <c r="W23" s="147">
        <v>0</v>
      </c>
      <c r="X23" s="147">
        <v>0</v>
      </c>
      <c r="Y23" s="147">
        <v>0</v>
      </c>
      <c r="Z23" s="147">
        <v>0</v>
      </c>
      <c r="AA23" s="147">
        <v>0</v>
      </c>
      <c r="AB23" s="147">
        <v>0</v>
      </c>
      <c r="AC23" s="147">
        <v>2.0174103431709656E-2</v>
      </c>
      <c r="AD23" s="147">
        <v>0</v>
      </c>
      <c r="AE23" s="147">
        <v>1.6059227392319568E-2</v>
      </c>
      <c r="AF23" s="147">
        <v>4.8035297432488751E-2</v>
      </c>
      <c r="AG23" s="147">
        <v>2.279487271250422E-2</v>
      </c>
      <c r="AH23" s="147">
        <v>2.000395620242211E-2</v>
      </c>
      <c r="AI23" s="147">
        <v>1.9997346352139067E-2</v>
      </c>
      <c r="AJ23" s="147">
        <v>6.0021927991018735E-2</v>
      </c>
      <c r="AK23" s="147">
        <v>6.6031236274413319E-2</v>
      </c>
      <c r="AL23" s="147">
        <v>0.06</v>
      </c>
      <c r="AM23" s="147">
        <v>0.14000000000000001</v>
      </c>
      <c r="AN23" s="147">
        <v>4.4411067217836553E-2</v>
      </c>
      <c r="AO23" s="147">
        <v>0</v>
      </c>
      <c r="AP23" s="147">
        <v>0</v>
      </c>
      <c r="AQ23" s="147">
        <v>0</v>
      </c>
    </row>
    <row r="24" spans="1:43" customFormat="1" x14ac:dyDescent="0.15">
      <c r="A24" s="184" t="s">
        <v>215</v>
      </c>
      <c r="B24" s="147">
        <v>0</v>
      </c>
      <c r="C24" s="147">
        <v>0</v>
      </c>
      <c r="D24" s="147">
        <v>0</v>
      </c>
      <c r="E24" s="147">
        <v>0</v>
      </c>
      <c r="F24" s="147">
        <v>0</v>
      </c>
      <c r="G24" s="147">
        <v>0</v>
      </c>
      <c r="H24" s="147">
        <v>0</v>
      </c>
      <c r="I24" s="147">
        <v>0</v>
      </c>
      <c r="J24" s="147">
        <v>0</v>
      </c>
      <c r="K24" s="147">
        <v>0</v>
      </c>
      <c r="L24" s="147">
        <v>0</v>
      </c>
      <c r="M24" s="147">
        <v>0</v>
      </c>
      <c r="N24" s="147">
        <v>1.3988257253611301E-2</v>
      </c>
      <c r="O24" s="147">
        <v>0.02</v>
      </c>
      <c r="P24" s="147">
        <v>0</v>
      </c>
      <c r="Q24" s="147">
        <v>0</v>
      </c>
      <c r="R24" s="147">
        <v>0</v>
      </c>
      <c r="S24" s="147">
        <v>0</v>
      </c>
      <c r="T24" s="147">
        <v>0</v>
      </c>
      <c r="U24" s="147">
        <v>0</v>
      </c>
      <c r="V24" s="147">
        <v>0</v>
      </c>
      <c r="W24" s="147">
        <v>0</v>
      </c>
      <c r="X24" s="147">
        <v>0</v>
      </c>
      <c r="Y24" s="147">
        <v>0</v>
      </c>
      <c r="Z24" s="147">
        <v>0</v>
      </c>
      <c r="AA24" s="147">
        <v>0</v>
      </c>
      <c r="AB24" s="147">
        <v>0</v>
      </c>
      <c r="AC24" s="147">
        <v>5.5478782987188925E-2</v>
      </c>
      <c r="AD24" s="147">
        <v>0</v>
      </c>
      <c r="AE24" s="147">
        <v>3.9935280506443897E-2</v>
      </c>
      <c r="AF24" s="147">
        <v>1.1758477992468605E-2</v>
      </c>
      <c r="AG24" s="147">
        <v>4.4013115600357103E-2</v>
      </c>
      <c r="AH24" s="147">
        <v>6.0011868607266327E-3</v>
      </c>
      <c r="AI24" s="147">
        <v>1.9997346352139067E-2</v>
      </c>
      <c r="AJ24" s="147">
        <v>9.0032891986528089E-3</v>
      </c>
      <c r="AK24" s="147">
        <v>3.0014198306551509E-2</v>
      </c>
      <c r="AL24" s="147">
        <v>0.02</v>
      </c>
      <c r="AM24" s="147">
        <v>6.5000000000000002E-2</v>
      </c>
      <c r="AN24" s="147">
        <v>5.7910007997567688E-2</v>
      </c>
      <c r="AO24" s="147">
        <v>0</v>
      </c>
      <c r="AP24" s="147">
        <v>0</v>
      </c>
      <c r="AQ24" s="147">
        <v>0</v>
      </c>
    </row>
    <row r="25" spans="1:43" customFormat="1" x14ac:dyDescent="0.15">
      <c r="A25" s="184" t="s">
        <v>216</v>
      </c>
      <c r="B25" s="147">
        <v>0</v>
      </c>
      <c r="C25" s="147">
        <v>0</v>
      </c>
      <c r="D25" s="147">
        <v>0</v>
      </c>
      <c r="E25" s="147">
        <v>0</v>
      </c>
      <c r="F25" s="147">
        <v>0</v>
      </c>
      <c r="G25" s="147">
        <v>0</v>
      </c>
      <c r="H25" s="147">
        <v>0</v>
      </c>
      <c r="I25" s="147">
        <v>0</v>
      </c>
      <c r="J25" s="147">
        <v>0</v>
      </c>
      <c r="K25" s="147">
        <v>0</v>
      </c>
      <c r="L25" s="147">
        <v>0</v>
      </c>
      <c r="M25" s="147">
        <v>0</v>
      </c>
      <c r="N25" s="147">
        <v>0</v>
      </c>
      <c r="O25" s="147">
        <v>0.05</v>
      </c>
      <c r="P25" s="147">
        <v>0</v>
      </c>
      <c r="Q25" s="147">
        <v>0</v>
      </c>
      <c r="R25" s="147">
        <v>0</v>
      </c>
      <c r="S25" s="147">
        <v>0</v>
      </c>
      <c r="T25" s="147">
        <v>0</v>
      </c>
      <c r="U25" s="147">
        <v>0</v>
      </c>
      <c r="V25" s="147">
        <v>0</v>
      </c>
      <c r="W25" s="147">
        <v>0</v>
      </c>
      <c r="X25" s="147">
        <v>0</v>
      </c>
      <c r="Y25" s="147">
        <v>0</v>
      </c>
      <c r="Z25" s="147">
        <v>0</v>
      </c>
      <c r="AA25" s="147">
        <v>0</v>
      </c>
      <c r="AB25" s="147">
        <v>0</v>
      </c>
      <c r="AC25" s="147">
        <v>8.876605277950228E-2</v>
      </c>
      <c r="AD25" s="147">
        <v>0</v>
      </c>
      <c r="AE25" s="147">
        <v>2.5211667007599057E-2</v>
      </c>
      <c r="AF25" s="147">
        <v>0</v>
      </c>
      <c r="AG25" s="147">
        <v>1.3003875063741871E-2</v>
      </c>
      <c r="AH25" s="147">
        <v>1.9032544085276289E-3</v>
      </c>
      <c r="AI25" s="147">
        <v>3.0995886845815553E-2</v>
      </c>
      <c r="AJ25" s="147">
        <v>2.901059852899239E-2</v>
      </c>
      <c r="AK25" s="147">
        <v>1.3006152599505653E-2</v>
      </c>
      <c r="AL25" s="147">
        <v>3.3000000000000002E-2</v>
      </c>
      <c r="AM25" s="147">
        <v>0</v>
      </c>
      <c r="AN25" s="147">
        <v>3.6466945204456112E-2</v>
      </c>
      <c r="AO25" s="147">
        <v>0</v>
      </c>
      <c r="AP25" s="147">
        <v>0</v>
      </c>
      <c r="AQ25" s="147">
        <v>0</v>
      </c>
    </row>
    <row r="26" spans="1:43" customFormat="1" x14ac:dyDescent="0.15">
      <c r="A26" s="184" t="s">
        <v>217</v>
      </c>
      <c r="B26" s="147">
        <v>0</v>
      </c>
      <c r="C26" s="147">
        <v>0</v>
      </c>
      <c r="D26" s="147">
        <v>0</v>
      </c>
      <c r="E26" s="147">
        <v>0</v>
      </c>
      <c r="F26" s="147">
        <v>0</v>
      </c>
      <c r="G26" s="147">
        <v>0</v>
      </c>
      <c r="H26" s="147">
        <v>0</v>
      </c>
      <c r="I26" s="147">
        <v>0</v>
      </c>
      <c r="J26" s="147">
        <v>0</v>
      </c>
      <c r="K26" s="147">
        <v>0</v>
      </c>
      <c r="L26" s="147">
        <v>0</v>
      </c>
      <c r="M26" s="147">
        <v>0</v>
      </c>
      <c r="N26" s="147">
        <v>0</v>
      </c>
      <c r="O26" s="147">
        <v>0</v>
      </c>
      <c r="P26" s="147">
        <v>9.9990000999900007E-4</v>
      </c>
      <c r="Q26" s="147">
        <v>0</v>
      </c>
      <c r="R26" s="147">
        <v>0</v>
      </c>
      <c r="S26" s="147">
        <v>0</v>
      </c>
      <c r="T26" s="147">
        <v>0</v>
      </c>
      <c r="U26" s="147">
        <v>0</v>
      </c>
      <c r="V26" s="147">
        <v>0</v>
      </c>
      <c r="W26" s="147">
        <v>0</v>
      </c>
      <c r="X26" s="147">
        <v>0</v>
      </c>
      <c r="Y26" s="147">
        <v>0</v>
      </c>
      <c r="Z26" s="147">
        <v>0</v>
      </c>
      <c r="AA26" s="147">
        <v>0</v>
      </c>
      <c r="AB26" s="147">
        <v>0</v>
      </c>
      <c r="AC26" s="147">
        <v>3.026115344754968E-2</v>
      </c>
      <c r="AD26" s="147">
        <v>0</v>
      </c>
      <c r="AE26" s="147">
        <v>5.042333821432439E-3</v>
      </c>
      <c r="AF26" s="147">
        <v>1.6689467840539445E-3</v>
      </c>
      <c r="AG26" s="147">
        <v>5.001490409131489E-3</v>
      </c>
      <c r="AH26" s="147">
        <v>1.0001978101211055E-2</v>
      </c>
      <c r="AI26" s="147">
        <v>9.9986731760695335E-3</v>
      </c>
      <c r="AJ26" s="147">
        <v>1.504883783707353E-3</v>
      </c>
      <c r="AK26" s="147">
        <v>5.0023663844252515E-3</v>
      </c>
      <c r="AL26" s="147">
        <v>0</v>
      </c>
      <c r="AM26" s="147">
        <v>0</v>
      </c>
      <c r="AN26" s="147">
        <v>1.0001060032354949E-2</v>
      </c>
      <c r="AO26" s="147">
        <v>0</v>
      </c>
      <c r="AP26" s="147">
        <v>0</v>
      </c>
      <c r="AQ26" s="147">
        <v>0</v>
      </c>
    </row>
    <row r="27" spans="1:43" customFormat="1" x14ac:dyDescent="0.15">
      <c r="A27" s="184" t="s">
        <v>218</v>
      </c>
      <c r="B27" s="147">
        <v>0</v>
      </c>
      <c r="C27" s="147">
        <v>0</v>
      </c>
      <c r="D27" s="147">
        <v>0</v>
      </c>
      <c r="E27" s="147">
        <v>0</v>
      </c>
      <c r="F27" s="147">
        <v>0</v>
      </c>
      <c r="G27" s="147">
        <v>0</v>
      </c>
      <c r="H27" s="147">
        <v>0</v>
      </c>
      <c r="I27" s="147">
        <v>0</v>
      </c>
      <c r="J27" s="147">
        <v>0</v>
      </c>
      <c r="K27" s="147">
        <v>0</v>
      </c>
      <c r="L27" s="147">
        <v>0</v>
      </c>
      <c r="M27" s="147">
        <v>0</v>
      </c>
      <c r="N27" s="147">
        <v>0</v>
      </c>
      <c r="O27" s="147">
        <v>0</v>
      </c>
      <c r="P27" s="147">
        <v>9.9990000999900007E-4</v>
      </c>
      <c r="Q27" s="147">
        <v>0</v>
      </c>
      <c r="R27" s="147">
        <v>0</v>
      </c>
      <c r="S27" s="147">
        <v>0</v>
      </c>
      <c r="T27" s="147">
        <v>0</v>
      </c>
      <c r="U27" s="147">
        <v>0</v>
      </c>
      <c r="V27" s="147">
        <v>0</v>
      </c>
      <c r="W27" s="147">
        <v>0</v>
      </c>
      <c r="X27" s="147">
        <v>0</v>
      </c>
      <c r="Y27" s="147">
        <v>0</v>
      </c>
      <c r="Z27" s="147">
        <v>0</v>
      </c>
      <c r="AA27" s="147">
        <v>0</v>
      </c>
      <c r="AB27" s="147">
        <v>0</v>
      </c>
      <c r="AC27" s="147">
        <v>9.9861809376940048E-3</v>
      </c>
      <c r="AD27" s="147">
        <v>0</v>
      </c>
      <c r="AE27" s="147">
        <v>0</v>
      </c>
      <c r="AF27" s="147">
        <v>0</v>
      </c>
      <c r="AG27" s="147">
        <v>0</v>
      </c>
      <c r="AH27" s="147">
        <v>5.0009890506055275E-3</v>
      </c>
      <c r="AI27" s="147">
        <v>4.9993365880347668E-3</v>
      </c>
      <c r="AJ27" s="147">
        <v>0</v>
      </c>
      <c r="AK27" s="147">
        <v>0</v>
      </c>
      <c r="AL27" s="147">
        <v>0</v>
      </c>
      <c r="AM27" s="147">
        <v>0</v>
      </c>
      <c r="AN27" s="147">
        <v>4.4004664142361774E-2</v>
      </c>
      <c r="AO27" s="147">
        <v>0</v>
      </c>
      <c r="AP27" s="147">
        <v>0</v>
      </c>
      <c r="AQ27" s="147">
        <v>0</v>
      </c>
    </row>
    <row r="28" spans="1:43" customFormat="1" x14ac:dyDescent="0.15">
      <c r="A28" s="184" t="s">
        <v>219</v>
      </c>
      <c r="B28" s="147">
        <v>0</v>
      </c>
      <c r="C28" s="147">
        <v>0</v>
      </c>
      <c r="D28" s="147">
        <v>0</v>
      </c>
      <c r="E28" s="147">
        <v>0</v>
      </c>
      <c r="F28" s="147">
        <v>0</v>
      </c>
      <c r="G28" s="147">
        <v>0</v>
      </c>
      <c r="H28" s="147">
        <v>0</v>
      </c>
      <c r="I28" s="147">
        <v>0</v>
      </c>
      <c r="J28" s="147">
        <v>0</v>
      </c>
      <c r="K28" s="147">
        <v>0</v>
      </c>
      <c r="L28" s="147">
        <v>0</v>
      </c>
      <c r="M28" s="147">
        <v>0</v>
      </c>
      <c r="N28" s="147">
        <v>0</v>
      </c>
      <c r="O28" s="147">
        <v>0</v>
      </c>
      <c r="P28" s="147">
        <v>0</v>
      </c>
      <c r="Q28" s="147">
        <v>0</v>
      </c>
      <c r="R28" s="147">
        <v>0</v>
      </c>
      <c r="S28" s="147">
        <v>0</v>
      </c>
      <c r="T28" s="147">
        <v>0</v>
      </c>
      <c r="U28" s="147">
        <v>0</v>
      </c>
      <c r="V28" s="147">
        <v>0</v>
      </c>
      <c r="W28" s="147">
        <v>0</v>
      </c>
      <c r="X28" s="147">
        <v>0</v>
      </c>
      <c r="Y28" s="147">
        <v>0</v>
      </c>
      <c r="Z28" s="147">
        <v>0</v>
      </c>
      <c r="AA28" s="147">
        <v>0</v>
      </c>
      <c r="AB28" s="147">
        <v>0</v>
      </c>
      <c r="AC28" s="147">
        <v>1.0087051715854828E-2</v>
      </c>
      <c r="AD28" s="147">
        <v>0</v>
      </c>
      <c r="AE28" s="147">
        <v>0</v>
      </c>
      <c r="AF28" s="147">
        <v>0</v>
      </c>
      <c r="AG28" s="147">
        <v>3.0008942454788933E-3</v>
      </c>
      <c r="AH28" s="147">
        <v>0</v>
      </c>
      <c r="AI28" s="147">
        <v>4.9993365880347668E-3</v>
      </c>
      <c r="AJ28" s="147">
        <v>0</v>
      </c>
      <c r="AK28" s="147">
        <v>1.0004732768850502E-3</v>
      </c>
      <c r="AL28" s="147">
        <v>0</v>
      </c>
      <c r="AM28" s="147">
        <v>7.0000000000000001E-3</v>
      </c>
      <c r="AN28" s="147">
        <v>5.8200968837088978E-4</v>
      </c>
      <c r="AO28" s="147">
        <v>0</v>
      </c>
      <c r="AP28" s="147">
        <v>0</v>
      </c>
      <c r="AQ28" s="147">
        <v>0</v>
      </c>
    </row>
    <row r="29" spans="1:43" customFormat="1" x14ac:dyDescent="0.15">
      <c r="A29" s="184" t="s">
        <v>220</v>
      </c>
      <c r="B29" s="147">
        <v>0</v>
      </c>
      <c r="C29" s="147">
        <v>0</v>
      </c>
      <c r="D29" s="147">
        <v>0</v>
      </c>
      <c r="E29" s="147">
        <v>0</v>
      </c>
      <c r="F29" s="147">
        <v>0</v>
      </c>
      <c r="G29" s="147">
        <v>0</v>
      </c>
      <c r="H29" s="147">
        <v>0</v>
      </c>
      <c r="I29" s="147">
        <v>0</v>
      </c>
      <c r="J29" s="147">
        <v>0</v>
      </c>
      <c r="K29" s="147">
        <v>0</v>
      </c>
      <c r="L29" s="147">
        <v>0</v>
      </c>
      <c r="M29" s="147">
        <v>0</v>
      </c>
      <c r="N29" s="147">
        <v>0</v>
      </c>
      <c r="O29" s="147">
        <v>0</v>
      </c>
      <c r="P29" s="147">
        <v>0</v>
      </c>
      <c r="Q29" s="147">
        <v>0</v>
      </c>
      <c r="R29" s="147">
        <v>0</v>
      </c>
      <c r="S29" s="147">
        <v>0</v>
      </c>
      <c r="T29" s="147">
        <v>0</v>
      </c>
      <c r="U29" s="147">
        <v>0</v>
      </c>
      <c r="V29" s="147">
        <v>0</v>
      </c>
      <c r="W29" s="147">
        <v>0</v>
      </c>
      <c r="X29" s="147">
        <v>0</v>
      </c>
      <c r="Y29" s="147">
        <v>0</v>
      </c>
      <c r="Z29" s="147">
        <v>0</v>
      </c>
      <c r="AA29" s="147">
        <v>0</v>
      </c>
      <c r="AB29" s="147">
        <v>0</v>
      </c>
      <c r="AC29" s="147">
        <v>0</v>
      </c>
      <c r="AD29" s="147">
        <v>0</v>
      </c>
      <c r="AE29" s="147">
        <v>0</v>
      </c>
      <c r="AF29" s="147">
        <v>0</v>
      </c>
      <c r="AG29" s="147">
        <v>0</v>
      </c>
      <c r="AH29" s="147">
        <v>0</v>
      </c>
      <c r="AI29" s="147">
        <v>1.9997346352139067E-2</v>
      </c>
      <c r="AJ29" s="147">
        <v>0</v>
      </c>
      <c r="AK29" s="147">
        <v>0</v>
      </c>
      <c r="AL29" s="147">
        <v>0</v>
      </c>
      <c r="AM29" s="147">
        <v>0</v>
      </c>
      <c r="AN29" s="147">
        <v>0</v>
      </c>
      <c r="AO29" s="147">
        <v>0</v>
      </c>
      <c r="AP29" s="147">
        <v>0</v>
      </c>
      <c r="AQ29" s="147">
        <v>0</v>
      </c>
    </row>
    <row r="30" spans="1:43" customFormat="1" x14ac:dyDescent="0.15">
      <c r="A30" s="184" t="s">
        <v>221</v>
      </c>
      <c r="B30" s="147">
        <v>0</v>
      </c>
      <c r="C30" s="147">
        <v>0</v>
      </c>
      <c r="D30" s="147">
        <v>0</v>
      </c>
      <c r="E30" s="147">
        <v>0</v>
      </c>
      <c r="F30" s="147">
        <v>0</v>
      </c>
      <c r="G30" s="147">
        <v>0</v>
      </c>
      <c r="H30" s="147">
        <v>0</v>
      </c>
      <c r="I30" s="147">
        <v>0</v>
      </c>
      <c r="J30" s="147">
        <v>0</v>
      </c>
      <c r="K30" s="147">
        <v>0</v>
      </c>
      <c r="L30" s="147">
        <v>0</v>
      </c>
      <c r="M30" s="147">
        <v>0</v>
      </c>
      <c r="N30" s="147">
        <v>0</v>
      </c>
      <c r="O30" s="147">
        <v>0.01</v>
      </c>
      <c r="P30" s="147">
        <v>6.0993900609939014E-3</v>
      </c>
      <c r="Q30" s="147">
        <v>0</v>
      </c>
      <c r="R30" s="147">
        <v>0</v>
      </c>
      <c r="S30" s="147">
        <v>0</v>
      </c>
      <c r="T30" s="147">
        <v>0</v>
      </c>
      <c r="U30" s="147">
        <v>0</v>
      </c>
      <c r="V30" s="147">
        <v>0</v>
      </c>
      <c r="W30" s="147">
        <v>0</v>
      </c>
      <c r="X30" s="147">
        <v>0</v>
      </c>
      <c r="Y30" s="147">
        <v>0</v>
      </c>
      <c r="Z30" s="147">
        <v>0</v>
      </c>
      <c r="AA30" s="147">
        <v>0</v>
      </c>
      <c r="AB30" s="147">
        <v>0</v>
      </c>
      <c r="AC30" s="147">
        <v>1.6007091554537653E-2</v>
      </c>
      <c r="AD30" s="147">
        <v>0</v>
      </c>
      <c r="AE30" s="147">
        <v>1.0084666243156119E-2</v>
      </c>
      <c r="AF30" s="147">
        <v>0</v>
      </c>
      <c r="AG30" s="147">
        <v>2.0005961636525956E-2</v>
      </c>
      <c r="AH30" s="147">
        <v>0</v>
      </c>
      <c r="AI30" s="147">
        <v>2.9996019528208601E-2</v>
      </c>
      <c r="AJ30" s="147">
        <v>1.1230472862342215E-3</v>
      </c>
      <c r="AK30" s="147">
        <v>0</v>
      </c>
      <c r="AL30" s="147">
        <v>0</v>
      </c>
      <c r="AM30" s="147">
        <v>0</v>
      </c>
      <c r="AN30" s="147">
        <v>0.11677337704377963</v>
      </c>
      <c r="AO30" s="147">
        <v>0</v>
      </c>
      <c r="AP30" s="147">
        <v>0</v>
      </c>
      <c r="AQ30" s="147">
        <v>0</v>
      </c>
    </row>
    <row r="31" spans="1:43" customFormat="1" x14ac:dyDescent="0.15">
      <c r="A31" s="184" t="s">
        <v>222</v>
      </c>
      <c r="B31" s="147">
        <v>0</v>
      </c>
      <c r="C31" s="147">
        <v>0</v>
      </c>
      <c r="D31" s="147">
        <v>0</v>
      </c>
      <c r="E31" s="147">
        <v>0</v>
      </c>
      <c r="F31" s="147">
        <v>0</v>
      </c>
      <c r="G31" s="147">
        <v>0</v>
      </c>
      <c r="H31" s="147">
        <v>0</v>
      </c>
      <c r="I31" s="147">
        <v>0</v>
      </c>
      <c r="J31" s="147">
        <v>0</v>
      </c>
      <c r="K31" s="147">
        <v>0</v>
      </c>
      <c r="L31" s="147">
        <v>0</v>
      </c>
      <c r="M31" s="147">
        <v>0</v>
      </c>
      <c r="N31" s="147">
        <v>0</v>
      </c>
      <c r="O31" s="147">
        <v>0</v>
      </c>
      <c r="P31" s="147">
        <v>0</v>
      </c>
      <c r="Q31" s="147">
        <v>0</v>
      </c>
      <c r="R31" s="147">
        <v>0</v>
      </c>
      <c r="S31" s="147">
        <v>0</v>
      </c>
      <c r="T31" s="147">
        <v>0</v>
      </c>
      <c r="U31" s="147">
        <v>0</v>
      </c>
      <c r="V31" s="147">
        <v>0</v>
      </c>
      <c r="W31" s="147">
        <v>0</v>
      </c>
      <c r="X31" s="147">
        <v>0</v>
      </c>
      <c r="Y31" s="147">
        <v>0</v>
      </c>
      <c r="Z31" s="147">
        <v>0</v>
      </c>
      <c r="AA31" s="147">
        <v>0</v>
      </c>
      <c r="AB31" s="147">
        <v>0</v>
      </c>
      <c r="AC31" s="147">
        <v>7.0609364711007299E-3</v>
      </c>
      <c r="AD31" s="147">
        <v>0</v>
      </c>
      <c r="AE31" s="147">
        <v>2.9951457880353E-3</v>
      </c>
      <c r="AF31" s="147">
        <v>0</v>
      </c>
      <c r="AG31" s="147">
        <v>1.5004471227394466E-2</v>
      </c>
      <c r="AH31" s="147">
        <v>2.8548826129892531E-3</v>
      </c>
      <c r="AI31" s="147">
        <v>1.1498474152479963E-2</v>
      </c>
      <c r="AJ31" s="147">
        <v>0</v>
      </c>
      <c r="AK31" s="147">
        <v>0</v>
      </c>
      <c r="AL31" s="147">
        <v>0</v>
      </c>
      <c r="AM31" s="147">
        <v>0.01</v>
      </c>
      <c r="AN31" s="147">
        <v>5.7433807524127099E-2</v>
      </c>
      <c r="AO31" s="147">
        <v>0</v>
      </c>
      <c r="AP31" s="147">
        <v>0</v>
      </c>
      <c r="AQ31" s="147">
        <v>0</v>
      </c>
    </row>
    <row r="32" spans="1:43" customFormat="1" x14ac:dyDescent="0.15">
      <c r="A32" s="184" t="s">
        <v>223</v>
      </c>
      <c r="B32" s="147">
        <v>0</v>
      </c>
      <c r="C32" s="147">
        <v>0</v>
      </c>
      <c r="D32" s="147">
        <v>0</v>
      </c>
      <c r="E32" s="147">
        <v>0</v>
      </c>
      <c r="F32" s="147">
        <v>0</v>
      </c>
      <c r="G32" s="147">
        <v>0</v>
      </c>
      <c r="H32" s="147">
        <v>0</v>
      </c>
      <c r="I32" s="147">
        <v>0</v>
      </c>
      <c r="J32" s="147">
        <v>0</v>
      </c>
      <c r="K32" s="147">
        <v>0</v>
      </c>
      <c r="L32" s="147">
        <v>0</v>
      </c>
      <c r="M32" s="147">
        <v>0</v>
      </c>
      <c r="N32" s="147">
        <v>0</v>
      </c>
      <c r="O32" s="147">
        <v>0</v>
      </c>
      <c r="P32" s="147">
        <v>0</v>
      </c>
      <c r="Q32" s="147">
        <v>0</v>
      </c>
      <c r="R32" s="147">
        <v>0</v>
      </c>
      <c r="S32" s="147">
        <v>0</v>
      </c>
      <c r="T32" s="147">
        <v>0</v>
      </c>
      <c r="U32" s="147">
        <v>0</v>
      </c>
      <c r="V32" s="147">
        <v>0</v>
      </c>
      <c r="W32" s="147">
        <v>0</v>
      </c>
      <c r="X32" s="147">
        <v>0</v>
      </c>
      <c r="Y32" s="147">
        <v>0</v>
      </c>
      <c r="Z32" s="147">
        <v>0</v>
      </c>
      <c r="AA32" s="147">
        <v>6.1537221170227295E-3</v>
      </c>
      <c r="AB32" s="147">
        <v>0</v>
      </c>
      <c r="AC32" s="147">
        <v>1.2104462079025968E-2</v>
      </c>
      <c r="AD32" s="147">
        <v>0</v>
      </c>
      <c r="AE32" s="147">
        <v>9.997919692857828E-4</v>
      </c>
      <c r="AF32" s="147">
        <v>0</v>
      </c>
      <c r="AG32" s="147">
        <v>0</v>
      </c>
      <c r="AH32" s="147">
        <v>0</v>
      </c>
      <c r="AI32" s="147">
        <v>2.9996019528208601E-3</v>
      </c>
      <c r="AJ32" s="147">
        <v>0</v>
      </c>
      <c r="AK32" s="147">
        <v>0</v>
      </c>
      <c r="AL32" s="147">
        <v>0</v>
      </c>
      <c r="AM32" s="147">
        <v>0</v>
      </c>
      <c r="AN32" s="147">
        <v>8.8009328284723558E-3</v>
      </c>
      <c r="AO32" s="147">
        <v>0</v>
      </c>
      <c r="AP32" s="147">
        <v>0</v>
      </c>
      <c r="AQ32" s="147">
        <v>0</v>
      </c>
    </row>
    <row r="33" spans="1:43" customFormat="1" x14ac:dyDescent="0.15">
      <c r="A33" s="184" t="s">
        <v>224</v>
      </c>
      <c r="B33" s="147">
        <v>0</v>
      </c>
      <c r="C33" s="147">
        <v>0</v>
      </c>
      <c r="D33" s="147">
        <v>0</v>
      </c>
      <c r="E33" s="147">
        <v>0</v>
      </c>
      <c r="F33" s="147">
        <v>0</v>
      </c>
      <c r="G33" s="147">
        <v>0</v>
      </c>
      <c r="H33" s="147">
        <v>0</v>
      </c>
      <c r="I33" s="147">
        <v>0</v>
      </c>
      <c r="J33" s="147">
        <v>0</v>
      </c>
      <c r="K33" s="147">
        <v>0</v>
      </c>
      <c r="L33" s="147">
        <v>0</v>
      </c>
      <c r="M33" s="147">
        <v>0</v>
      </c>
      <c r="N33" s="147">
        <v>0</v>
      </c>
      <c r="O33" s="147">
        <v>0</v>
      </c>
      <c r="P33" s="147">
        <v>0</v>
      </c>
      <c r="Q33" s="147">
        <v>0</v>
      </c>
      <c r="R33" s="147">
        <v>0</v>
      </c>
      <c r="S33" s="147">
        <v>0</v>
      </c>
      <c r="T33" s="147">
        <v>0</v>
      </c>
      <c r="U33" s="147">
        <v>0</v>
      </c>
      <c r="V33" s="147">
        <v>0</v>
      </c>
      <c r="W33" s="147">
        <v>0</v>
      </c>
      <c r="X33" s="147">
        <v>0</v>
      </c>
      <c r="Y33" s="147">
        <v>0</v>
      </c>
      <c r="Z33" s="147">
        <v>0</v>
      </c>
      <c r="AA33" s="147">
        <v>0</v>
      </c>
      <c r="AB33" s="147">
        <v>0</v>
      </c>
      <c r="AC33" s="147">
        <v>0</v>
      </c>
      <c r="AD33" s="147">
        <v>0</v>
      </c>
      <c r="AE33" s="147">
        <v>0</v>
      </c>
      <c r="AF33" s="147">
        <v>0</v>
      </c>
      <c r="AG33" s="147">
        <v>0</v>
      </c>
      <c r="AH33" s="147">
        <v>0</v>
      </c>
      <c r="AI33" s="147">
        <v>0</v>
      </c>
      <c r="AJ33" s="147">
        <v>0</v>
      </c>
      <c r="AK33" s="147">
        <v>0</v>
      </c>
      <c r="AL33" s="147">
        <v>0</v>
      </c>
      <c r="AM33" s="147">
        <v>0</v>
      </c>
      <c r="AN33" s="147">
        <v>0</v>
      </c>
      <c r="AO33" s="147">
        <v>0</v>
      </c>
      <c r="AP33" s="147">
        <v>0</v>
      </c>
      <c r="AQ33" s="147">
        <v>0</v>
      </c>
    </row>
    <row r="34" spans="1:43" customFormat="1" x14ac:dyDescent="0.15">
      <c r="A34" s="184" t="s">
        <v>225</v>
      </c>
      <c r="B34" s="147">
        <v>0</v>
      </c>
      <c r="C34" s="147">
        <v>0</v>
      </c>
      <c r="D34" s="147">
        <v>0</v>
      </c>
      <c r="E34" s="147">
        <v>0</v>
      </c>
      <c r="F34" s="147">
        <v>0</v>
      </c>
      <c r="G34" s="147">
        <v>0</v>
      </c>
      <c r="H34" s="147">
        <v>0</v>
      </c>
      <c r="I34" s="147">
        <v>0</v>
      </c>
      <c r="J34" s="147">
        <v>0</v>
      </c>
      <c r="K34" s="147">
        <v>0</v>
      </c>
      <c r="L34" s="147">
        <v>0</v>
      </c>
      <c r="M34" s="147">
        <v>0</v>
      </c>
      <c r="N34" s="147">
        <v>0</v>
      </c>
      <c r="O34" s="147">
        <v>0</v>
      </c>
      <c r="P34" s="147">
        <v>0</v>
      </c>
      <c r="Q34" s="147">
        <v>0</v>
      </c>
      <c r="R34" s="147">
        <v>0</v>
      </c>
      <c r="S34" s="147">
        <v>0</v>
      </c>
      <c r="T34" s="147">
        <v>0</v>
      </c>
      <c r="U34" s="147">
        <v>0</v>
      </c>
      <c r="V34" s="147">
        <v>0</v>
      </c>
      <c r="W34" s="147">
        <v>0</v>
      </c>
      <c r="X34" s="147">
        <v>0</v>
      </c>
      <c r="Y34" s="147">
        <v>0</v>
      </c>
      <c r="Z34" s="147">
        <v>0</v>
      </c>
      <c r="AA34" s="147">
        <v>0</v>
      </c>
      <c r="AB34" s="147">
        <v>0</v>
      </c>
      <c r="AC34" s="147">
        <v>0</v>
      </c>
      <c r="AD34" s="147">
        <v>0</v>
      </c>
      <c r="AE34" s="147">
        <v>0</v>
      </c>
      <c r="AF34" s="147">
        <v>0</v>
      </c>
      <c r="AG34" s="147">
        <v>0</v>
      </c>
      <c r="AH34" s="147">
        <v>7.6130186343083255E-3</v>
      </c>
      <c r="AI34" s="147">
        <v>6.5437186485353379E-3</v>
      </c>
      <c r="AJ34" s="147">
        <v>0</v>
      </c>
      <c r="AK34" s="147">
        <v>0</v>
      </c>
      <c r="AL34" s="147">
        <v>0</v>
      </c>
      <c r="AM34" s="147">
        <v>0</v>
      </c>
      <c r="AN34" s="147">
        <v>0</v>
      </c>
      <c r="AO34" s="147">
        <v>0</v>
      </c>
      <c r="AP34" s="147">
        <v>0</v>
      </c>
      <c r="AQ34" s="147">
        <v>0</v>
      </c>
    </row>
    <row r="35" spans="1:43" customFormat="1" x14ac:dyDescent="0.15">
      <c r="A35" s="184" t="s">
        <v>226</v>
      </c>
      <c r="B35" s="147">
        <v>0</v>
      </c>
      <c r="C35" s="147">
        <v>0</v>
      </c>
      <c r="D35" s="147">
        <v>0</v>
      </c>
      <c r="E35" s="147">
        <v>0</v>
      </c>
      <c r="F35" s="147">
        <v>0</v>
      </c>
      <c r="G35" s="147">
        <v>0</v>
      </c>
      <c r="H35" s="147">
        <v>0</v>
      </c>
      <c r="I35" s="147">
        <v>0</v>
      </c>
      <c r="J35" s="147">
        <v>0</v>
      </c>
      <c r="K35" s="147">
        <v>0</v>
      </c>
      <c r="L35" s="147">
        <v>0</v>
      </c>
      <c r="M35" s="147">
        <v>0</v>
      </c>
      <c r="N35" s="147">
        <v>0</v>
      </c>
      <c r="O35" s="147">
        <v>0</v>
      </c>
      <c r="P35" s="147">
        <v>0</v>
      </c>
      <c r="Q35" s="147">
        <v>0</v>
      </c>
      <c r="R35" s="147">
        <v>0</v>
      </c>
      <c r="S35" s="147">
        <v>0</v>
      </c>
      <c r="T35" s="147">
        <v>0</v>
      </c>
      <c r="U35" s="147">
        <v>0</v>
      </c>
      <c r="V35" s="147">
        <v>0</v>
      </c>
      <c r="W35" s="147">
        <v>0</v>
      </c>
      <c r="X35" s="147">
        <v>0</v>
      </c>
      <c r="Y35" s="147">
        <v>0</v>
      </c>
      <c r="Z35" s="147">
        <v>0</v>
      </c>
      <c r="AA35" s="147">
        <v>0</v>
      </c>
      <c r="AB35" s="147">
        <v>0</v>
      </c>
      <c r="AC35" s="147">
        <v>2.9252450365982393E-2</v>
      </c>
      <c r="AD35" s="147">
        <v>0</v>
      </c>
      <c r="AE35" s="147">
        <v>0</v>
      </c>
      <c r="AF35" s="147">
        <v>0</v>
      </c>
      <c r="AG35" s="147">
        <v>0</v>
      </c>
      <c r="AH35" s="147">
        <v>4.8609613571885724E-5</v>
      </c>
      <c r="AI35" s="147">
        <v>0</v>
      </c>
      <c r="AJ35" s="147">
        <v>0</v>
      </c>
      <c r="AK35" s="147">
        <v>0</v>
      </c>
      <c r="AL35" s="147">
        <v>0</v>
      </c>
      <c r="AM35" s="147">
        <v>0</v>
      </c>
      <c r="AN35" s="147">
        <v>0</v>
      </c>
      <c r="AO35" s="147">
        <v>0</v>
      </c>
      <c r="AP35" s="147">
        <v>0</v>
      </c>
      <c r="AQ35" s="147">
        <v>0</v>
      </c>
    </row>
    <row r="36" spans="1:43" customFormat="1" x14ac:dyDescent="0.15">
      <c r="A36" s="184" t="s">
        <v>227</v>
      </c>
      <c r="B36" s="147">
        <v>0</v>
      </c>
      <c r="C36" s="147">
        <v>0</v>
      </c>
      <c r="D36" s="147">
        <v>0</v>
      </c>
      <c r="E36" s="147">
        <v>0</v>
      </c>
      <c r="F36" s="147">
        <v>0</v>
      </c>
      <c r="G36" s="147">
        <v>0</v>
      </c>
      <c r="H36" s="147">
        <v>0</v>
      </c>
      <c r="I36" s="147">
        <v>0</v>
      </c>
      <c r="J36" s="147">
        <v>0</v>
      </c>
      <c r="K36" s="147">
        <v>0</v>
      </c>
      <c r="L36" s="147">
        <v>0</v>
      </c>
      <c r="M36" s="147">
        <v>0</v>
      </c>
      <c r="N36" s="147">
        <v>0</v>
      </c>
      <c r="O36" s="147">
        <v>0</v>
      </c>
      <c r="P36" s="147">
        <v>0</v>
      </c>
      <c r="Q36" s="147">
        <v>0</v>
      </c>
      <c r="R36" s="147">
        <v>0</v>
      </c>
      <c r="S36" s="147">
        <v>0</v>
      </c>
      <c r="T36" s="147">
        <v>0</v>
      </c>
      <c r="U36" s="147">
        <v>0</v>
      </c>
      <c r="V36" s="147">
        <v>0</v>
      </c>
      <c r="W36" s="147">
        <v>0</v>
      </c>
      <c r="X36" s="147">
        <v>0</v>
      </c>
      <c r="Y36" s="147">
        <v>0</v>
      </c>
      <c r="Z36" s="147">
        <v>0</v>
      </c>
      <c r="AA36" s="147">
        <v>0</v>
      </c>
      <c r="AB36" s="147">
        <v>0</v>
      </c>
      <c r="AC36" s="147">
        <v>0</v>
      </c>
      <c r="AD36" s="147">
        <v>0</v>
      </c>
      <c r="AE36" s="147">
        <v>0</v>
      </c>
      <c r="AF36" s="147">
        <v>0</v>
      </c>
      <c r="AG36" s="147">
        <v>0</v>
      </c>
      <c r="AH36" s="147">
        <v>0</v>
      </c>
      <c r="AI36" s="147">
        <v>0</v>
      </c>
      <c r="AJ36" s="147">
        <v>0</v>
      </c>
      <c r="AK36" s="147">
        <v>0</v>
      </c>
      <c r="AL36" s="147">
        <v>6.0000000000000001E-3</v>
      </c>
      <c r="AM36" s="147">
        <v>0</v>
      </c>
      <c r="AN36" s="147">
        <v>0</v>
      </c>
      <c r="AO36" s="147">
        <v>0</v>
      </c>
      <c r="AP36" s="147">
        <v>0</v>
      </c>
      <c r="AQ36" s="147">
        <v>0</v>
      </c>
    </row>
    <row r="37" spans="1:43" customFormat="1" x14ac:dyDescent="0.15">
      <c r="A37" s="184" t="s">
        <v>228</v>
      </c>
      <c r="B37" s="147">
        <v>0</v>
      </c>
      <c r="C37" s="147">
        <v>0</v>
      </c>
      <c r="D37" s="147">
        <v>0</v>
      </c>
      <c r="E37" s="147">
        <v>0</v>
      </c>
      <c r="F37" s="147">
        <v>0</v>
      </c>
      <c r="G37" s="147">
        <v>0</v>
      </c>
      <c r="H37" s="147">
        <v>0</v>
      </c>
      <c r="I37" s="147">
        <v>0</v>
      </c>
      <c r="J37" s="147">
        <v>0</v>
      </c>
      <c r="K37" s="147">
        <v>0</v>
      </c>
      <c r="L37" s="147">
        <v>0</v>
      </c>
      <c r="M37" s="147">
        <v>0</v>
      </c>
      <c r="N37" s="147">
        <v>1.2391314586203373E-4</v>
      </c>
      <c r="O37" s="147">
        <v>0</v>
      </c>
      <c r="P37" s="147">
        <v>0</v>
      </c>
      <c r="Q37" s="147">
        <v>0</v>
      </c>
      <c r="R37" s="147">
        <v>0</v>
      </c>
      <c r="S37" s="147">
        <v>0</v>
      </c>
      <c r="T37" s="147">
        <v>0</v>
      </c>
      <c r="U37" s="147">
        <v>0</v>
      </c>
      <c r="V37" s="147">
        <v>0</v>
      </c>
      <c r="W37" s="147">
        <v>0</v>
      </c>
      <c r="X37" s="147">
        <v>0</v>
      </c>
      <c r="Y37" s="147">
        <v>0</v>
      </c>
      <c r="Z37" s="147">
        <v>0</v>
      </c>
      <c r="AA37" s="147">
        <v>0</v>
      </c>
      <c r="AB37" s="147">
        <v>0</v>
      </c>
      <c r="AC37" s="147">
        <v>0</v>
      </c>
      <c r="AD37" s="147">
        <v>0</v>
      </c>
      <c r="AE37" s="147">
        <v>4.7097700193130003E-3</v>
      </c>
      <c r="AF37" s="147">
        <v>0</v>
      </c>
      <c r="AG37" s="147">
        <v>5.001490409131489E-3</v>
      </c>
      <c r="AH37" s="147">
        <v>5.0009890506055275E-3</v>
      </c>
      <c r="AI37" s="147">
        <v>5.9992039056417203E-3</v>
      </c>
      <c r="AJ37" s="147">
        <v>2.000730933033958E-2</v>
      </c>
      <c r="AK37" s="147">
        <v>0</v>
      </c>
      <c r="AL37" s="147">
        <v>5.0000000000000001E-3</v>
      </c>
      <c r="AM37" s="147">
        <v>5.0000000000000001E-3</v>
      </c>
      <c r="AN37" s="147">
        <v>0</v>
      </c>
      <c r="AO37" s="147">
        <v>0</v>
      </c>
      <c r="AP37" s="147">
        <v>0</v>
      </c>
      <c r="AQ37" s="147">
        <v>0</v>
      </c>
    </row>
    <row r="38" spans="1:43" customFormat="1" x14ac:dyDescent="0.15">
      <c r="A38" s="184" t="s">
        <v>229</v>
      </c>
      <c r="B38" s="147">
        <v>0</v>
      </c>
      <c r="C38" s="147">
        <v>0</v>
      </c>
      <c r="D38" s="147">
        <v>0</v>
      </c>
      <c r="E38" s="147">
        <v>0</v>
      </c>
      <c r="F38" s="147">
        <v>0</v>
      </c>
      <c r="G38" s="147">
        <v>0</v>
      </c>
      <c r="H38" s="147">
        <v>0</v>
      </c>
      <c r="I38" s="147">
        <v>0</v>
      </c>
      <c r="J38" s="147">
        <v>0</v>
      </c>
      <c r="K38" s="147">
        <v>0</v>
      </c>
      <c r="L38" s="147">
        <v>0</v>
      </c>
      <c r="M38" s="147">
        <v>0</v>
      </c>
      <c r="N38" s="147">
        <v>0</v>
      </c>
      <c r="O38" s="147">
        <v>0</v>
      </c>
      <c r="P38" s="147">
        <v>0</v>
      </c>
      <c r="Q38" s="147">
        <v>0</v>
      </c>
      <c r="R38" s="147">
        <v>0</v>
      </c>
      <c r="S38" s="147">
        <v>0</v>
      </c>
      <c r="T38" s="147">
        <v>0</v>
      </c>
      <c r="U38" s="147">
        <v>0</v>
      </c>
      <c r="V38" s="147">
        <v>0</v>
      </c>
      <c r="W38" s="147">
        <v>0</v>
      </c>
      <c r="X38" s="147">
        <v>0</v>
      </c>
      <c r="Y38" s="147">
        <v>0</v>
      </c>
      <c r="Z38" s="147">
        <v>0</v>
      </c>
      <c r="AA38" s="147">
        <v>0</v>
      </c>
      <c r="AB38" s="147">
        <v>0</v>
      </c>
      <c r="AC38" s="147">
        <v>0</v>
      </c>
      <c r="AD38" s="147">
        <v>0</v>
      </c>
      <c r="AE38" s="147">
        <v>0</v>
      </c>
      <c r="AF38" s="147">
        <v>0</v>
      </c>
      <c r="AG38" s="147">
        <v>0</v>
      </c>
      <c r="AH38" s="147">
        <v>0</v>
      </c>
      <c r="AI38" s="147">
        <v>0</v>
      </c>
      <c r="AJ38" s="147">
        <v>0</v>
      </c>
      <c r="AK38" s="147">
        <v>0</v>
      </c>
      <c r="AL38" s="147">
        <v>0</v>
      </c>
      <c r="AM38" s="147">
        <v>0</v>
      </c>
      <c r="AN38" s="147">
        <v>0</v>
      </c>
      <c r="AO38" s="147">
        <v>0</v>
      </c>
      <c r="AP38" s="147">
        <v>0</v>
      </c>
      <c r="AQ38" s="147">
        <v>0</v>
      </c>
    </row>
    <row r="39" spans="1:43" x14ac:dyDescent="0.15">
      <c r="A39" s="184" t="s">
        <v>230</v>
      </c>
      <c r="B39" s="147">
        <v>0</v>
      </c>
      <c r="C39" s="147">
        <v>0</v>
      </c>
      <c r="D39" s="147">
        <v>0</v>
      </c>
      <c r="E39" s="147">
        <v>0</v>
      </c>
      <c r="F39" s="147">
        <v>0</v>
      </c>
      <c r="G39" s="147">
        <v>0</v>
      </c>
      <c r="H39" s="147">
        <v>0</v>
      </c>
      <c r="I39" s="147">
        <v>0</v>
      </c>
      <c r="J39" s="147">
        <v>0</v>
      </c>
      <c r="K39" s="147">
        <v>0</v>
      </c>
      <c r="L39" s="147">
        <v>0</v>
      </c>
      <c r="M39" s="147">
        <v>0</v>
      </c>
      <c r="N39" s="147">
        <v>0</v>
      </c>
      <c r="O39" s="147">
        <v>0</v>
      </c>
      <c r="P39" s="147">
        <v>0</v>
      </c>
      <c r="Q39" s="147">
        <v>0</v>
      </c>
      <c r="R39" s="147">
        <v>0</v>
      </c>
      <c r="S39" s="147">
        <v>0</v>
      </c>
      <c r="T39" s="147">
        <v>0</v>
      </c>
      <c r="U39" s="147">
        <v>0</v>
      </c>
      <c r="V39" s="147">
        <v>0</v>
      </c>
      <c r="W39" s="147">
        <v>0</v>
      </c>
      <c r="X39" s="147">
        <v>0</v>
      </c>
      <c r="Y39" s="147">
        <v>0</v>
      </c>
      <c r="Z39" s="147">
        <v>0</v>
      </c>
      <c r="AA39" s="147">
        <v>0</v>
      </c>
      <c r="AB39" s="147">
        <v>0</v>
      </c>
      <c r="AC39" s="147">
        <v>0</v>
      </c>
      <c r="AD39" s="147">
        <v>0</v>
      </c>
      <c r="AE39" s="147">
        <v>0</v>
      </c>
      <c r="AF39" s="147">
        <v>0</v>
      </c>
      <c r="AG39" s="147">
        <v>0</v>
      </c>
      <c r="AH39" s="147">
        <v>0</v>
      </c>
      <c r="AI39" s="147">
        <v>0</v>
      </c>
      <c r="AJ39" s="147">
        <v>0</v>
      </c>
      <c r="AK39" s="147">
        <v>0</v>
      </c>
      <c r="AL39" s="147">
        <v>0</v>
      </c>
      <c r="AM39" s="147">
        <v>0</v>
      </c>
      <c r="AN39" s="147">
        <v>0</v>
      </c>
      <c r="AO39" s="147">
        <v>0</v>
      </c>
      <c r="AP39" s="147">
        <v>0</v>
      </c>
      <c r="AQ39" s="147">
        <v>0</v>
      </c>
    </row>
    <row r="40" spans="1:43" x14ac:dyDescent="0.15">
      <c r="A40" s="184" t="s">
        <v>231</v>
      </c>
      <c r="B40" s="147">
        <v>0</v>
      </c>
      <c r="C40" s="147">
        <v>0</v>
      </c>
      <c r="D40" s="147">
        <v>0</v>
      </c>
      <c r="E40" s="147">
        <v>0</v>
      </c>
      <c r="F40" s="147">
        <v>0</v>
      </c>
      <c r="G40" s="147">
        <v>0</v>
      </c>
      <c r="H40" s="147">
        <v>0</v>
      </c>
      <c r="I40" s="147">
        <v>0</v>
      </c>
      <c r="J40" s="147">
        <v>0</v>
      </c>
      <c r="K40" s="147">
        <v>0</v>
      </c>
      <c r="L40" s="147">
        <v>0</v>
      </c>
      <c r="M40" s="147">
        <v>0</v>
      </c>
      <c r="N40" s="147">
        <v>0</v>
      </c>
      <c r="O40" s="147">
        <v>0</v>
      </c>
      <c r="P40" s="147">
        <v>0</v>
      </c>
      <c r="Q40" s="147">
        <v>0</v>
      </c>
      <c r="R40" s="147">
        <v>0</v>
      </c>
      <c r="S40" s="147">
        <v>0</v>
      </c>
      <c r="T40" s="147">
        <v>0</v>
      </c>
      <c r="U40" s="147">
        <v>0</v>
      </c>
      <c r="V40" s="147">
        <v>0</v>
      </c>
      <c r="W40" s="147">
        <v>0</v>
      </c>
      <c r="X40" s="147">
        <v>0</v>
      </c>
      <c r="Y40" s="147">
        <v>0</v>
      </c>
      <c r="Z40" s="147">
        <v>0</v>
      </c>
      <c r="AA40" s="147">
        <v>0</v>
      </c>
      <c r="AB40" s="147">
        <v>0</v>
      </c>
      <c r="AC40" s="147">
        <v>0</v>
      </c>
      <c r="AD40" s="147">
        <v>0</v>
      </c>
      <c r="AE40" s="147">
        <v>0</v>
      </c>
      <c r="AF40" s="147">
        <v>0</v>
      </c>
      <c r="AG40" s="147">
        <v>0</v>
      </c>
      <c r="AH40" s="147">
        <v>0</v>
      </c>
      <c r="AI40" s="147">
        <v>0</v>
      </c>
      <c r="AJ40" s="147">
        <v>0</v>
      </c>
      <c r="AK40" s="147">
        <v>0</v>
      </c>
      <c r="AL40" s="147">
        <v>0</v>
      </c>
      <c r="AM40" s="147">
        <v>0</v>
      </c>
      <c r="AN40" s="147">
        <v>0</v>
      </c>
      <c r="AO40" s="147">
        <v>0</v>
      </c>
      <c r="AP40" s="147">
        <v>0</v>
      </c>
      <c r="AQ40" s="147">
        <v>0</v>
      </c>
    </row>
    <row r="41" spans="1:43" x14ac:dyDescent="0.15">
      <c r="A41" s="184" t="s">
        <v>232</v>
      </c>
      <c r="B41" s="147">
        <v>0</v>
      </c>
      <c r="C41" s="147">
        <v>0</v>
      </c>
      <c r="D41" s="147">
        <v>0</v>
      </c>
      <c r="E41" s="147">
        <v>0</v>
      </c>
      <c r="F41" s="147">
        <v>0</v>
      </c>
      <c r="G41" s="147">
        <v>0</v>
      </c>
      <c r="H41" s="147">
        <v>0</v>
      </c>
      <c r="I41" s="147">
        <v>0</v>
      </c>
      <c r="J41" s="147">
        <v>7.0021006301890568E-4</v>
      </c>
      <c r="K41" s="147">
        <v>0</v>
      </c>
      <c r="L41" s="147">
        <v>0</v>
      </c>
      <c r="M41" s="147">
        <v>1.0000096047922511E-3</v>
      </c>
      <c r="N41" s="147">
        <v>1.0000092473855134E-3</v>
      </c>
      <c r="O41" s="147">
        <v>0</v>
      </c>
      <c r="P41" s="147">
        <v>0</v>
      </c>
      <c r="Q41" s="147">
        <v>1.0000090749823546E-3</v>
      </c>
      <c r="R41" s="147">
        <v>1.0000088740787485E-3</v>
      </c>
      <c r="S41" s="147">
        <v>1.0000090753823619E-3</v>
      </c>
      <c r="T41" s="147">
        <v>0</v>
      </c>
      <c r="U41" s="147">
        <v>0</v>
      </c>
      <c r="V41" s="147">
        <v>0</v>
      </c>
      <c r="W41" s="147">
        <v>0</v>
      </c>
      <c r="X41" s="147">
        <v>1E-3</v>
      </c>
      <c r="Y41" s="147">
        <v>0</v>
      </c>
      <c r="Z41" s="147">
        <v>1.000009542991068E-3</v>
      </c>
      <c r="AA41" s="147">
        <v>1.0000091192831604E-3</v>
      </c>
      <c r="AB41" s="147">
        <v>0</v>
      </c>
      <c r="AC41" s="147">
        <v>1.0000087058757916E-3</v>
      </c>
      <c r="AD41" s="147">
        <v>9.9999994830000244E-4</v>
      </c>
      <c r="AE41" s="147">
        <v>9.997919692857828E-4</v>
      </c>
      <c r="AF41" s="147">
        <v>9.9955068737258602E-4</v>
      </c>
      <c r="AG41" s="147">
        <v>0</v>
      </c>
      <c r="AH41" s="147">
        <v>0</v>
      </c>
      <c r="AI41" s="147">
        <v>0</v>
      </c>
      <c r="AJ41" s="147">
        <v>0</v>
      </c>
      <c r="AK41" s="147">
        <v>0</v>
      </c>
      <c r="AL41" s="147">
        <v>0</v>
      </c>
      <c r="AM41" s="147">
        <v>0</v>
      </c>
      <c r="AN41" s="147">
        <v>0.2400254407765188</v>
      </c>
      <c r="AO41" s="147">
        <v>0</v>
      </c>
      <c r="AP41" s="147">
        <v>0</v>
      </c>
      <c r="AQ41" s="147">
        <v>0</v>
      </c>
    </row>
    <row r="42" spans="1:43" x14ac:dyDescent="0.15">
      <c r="A42" s="184" t="s">
        <v>233</v>
      </c>
      <c r="B42" s="147">
        <v>0</v>
      </c>
      <c r="C42" s="147">
        <v>0</v>
      </c>
      <c r="D42" s="147">
        <v>0</v>
      </c>
      <c r="E42" s="147">
        <v>0.3</v>
      </c>
      <c r="F42" s="147">
        <v>0</v>
      </c>
      <c r="G42" s="147">
        <v>0.64</v>
      </c>
      <c r="H42" s="147">
        <v>0.374</v>
      </c>
      <c r="I42" s="147">
        <v>0.48</v>
      </c>
      <c r="J42" s="147">
        <v>0.74922476743022903</v>
      </c>
      <c r="K42" s="147">
        <v>0.41125</v>
      </c>
      <c r="L42" s="147">
        <v>0.21499999999999994</v>
      </c>
      <c r="M42" s="147">
        <v>0.17991086798991376</v>
      </c>
      <c r="N42" s="147">
        <v>0</v>
      </c>
      <c r="O42" s="147">
        <v>0</v>
      </c>
      <c r="P42" s="147">
        <v>0</v>
      </c>
      <c r="Q42" s="147">
        <v>0</v>
      </c>
      <c r="R42" s="147">
        <v>0</v>
      </c>
      <c r="S42" s="147">
        <v>0</v>
      </c>
      <c r="T42" s="147">
        <v>0</v>
      </c>
      <c r="U42" s="147">
        <v>0</v>
      </c>
      <c r="V42" s="147">
        <v>0</v>
      </c>
      <c r="W42" s="147">
        <v>0</v>
      </c>
      <c r="X42" s="147">
        <v>0</v>
      </c>
      <c r="Y42" s="147">
        <v>0</v>
      </c>
      <c r="Z42" s="147">
        <v>0</v>
      </c>
      <c r="AA42" s="147">
        <v>0</v>
      </c>
      <c r="AB42" s="147">
        <v>0.15793722405980407</v>
      </c>
      <c r="AC42" s="147">
        <v>0</v>
      </c>
      <c r="AD42" s="147">
        <v>0</v>
      </c>
      <c r="AE42" s="147">
        <v>0</v>
      </c>
      <c r="AF42" s="147">
        <v>0</v>
      </c>
      <c r="AG42" s="147">
        <v>0</v>
      </c>
      <c r="AH42" s="147">
        <v>0</v>
      </c>
      <c r="AI42" s="147">
        <v>0</v>
      </c>
      <c r="AJ42" s="147">
        <v>0</v>
      </c>
      <c r="AK42" s="147">
        <v>0</v>
      </c>
      <c r="AL42" s="147">
        <v>0</v>
      </c>
      <c r="AM42" s="147">
        <v>0</v>
      </c>
      <c r="AN42" s="147">
        <v>0</v>
      </c>
      <c r="AO42" s="147">
        <v>0</v>
      </c>
      <c r="AP42" s="147">
        <v>0</v>
      </c>
      <c r="AQ42" s="147">
        <v>0</v>
      </c>
    </row>
    <row r="43" spans="1:43" x14ac:dyDescent="0.15">
      <c r="A43" s="184" t="s">
        <v>234</v>
      </c>
      <c r="B43" s="147">
        <v>0</v>
      </c>
      <c r="C43" s="147">
        <v>0</v>
      </c>
      <c r="D43" s="147">
        <v>0</v>
      </c>
      <c r="E43" s="147">
        <v>0</v>
      </c>
      <c r="F43" s="147">
        <v>0</v>
      </c>
      <c r="G43" s="147">
        <v>0</v>
      </c>
      <c r="H43" s="147">
        <v>0</v>
      </c>
      <c r="I43" s="147">
        <v>0</v>
      </c>
      <c r="J43" s="147">
        <v>0</v>
      </c>
      <c r="K43" s="147">
        <v>0</v>
      </c>
      <c r="L43" s="147">
        <v>0</v>
      </c>
      <c r="M43" s="147">
        <v>0</v>
      </c>
      <c r="N43" s="147">
        <v>0</v>
      </c>
      <c r="O43" s="147">
        <v>0</v>
      </c>
      <c r="P43" s="147">
        <v>0</v>
      </c>
      <c r="Q43" s="147">
        <v>0</v>
      </c>
      <c r="R43" s="147">
        <v>0</v>
      </c>
      <c r="S43" s="147">
        <v>0</v>
      </c>
      <c r="T43" s="147">
        <v>0</v>
      </c>
      <c r="U43" s="147">
        <v>0</v>
      </c>
      <c r="V43" s="147">
        <v>0</v>
      </c>
      <c r="W43" s="147">
        <v>0</v>
      </c>
      <c r="X43" s="147">
        <v>0</v>
      </c>
      <c r="Y43" s="147">
        <v>0</v>
      </c>
      <c r="Z43" s="147">
        <v>0</v>
      </c>
      <c r="AA43" s="147">
        <v>0</v>
      </c>
      <c r="AB43" s="147">
        <v>0</v>
      </c>
      <c r="AC43" s="147">
        <v>0</v>
      </c>
      <c r="AD43" s="147">
        <v>0</v>
      </c>
      <c r="AE43" s="147">
        <v>0</v>
      </c>
      <c r="AF43" s="147">
        <v>0</v>
      </c>
      <c r="AG43" s="147">
        <v>0</v>
      </c>
      <c r="AH43" s="147">
        <v>0</v>
      </c>
      <c r="AI43" s="147">
        <v>0</v>
      </c>
      <c r="AJ43" s="147">
        <v>0</v>
      </c>
      <c r="AK43" s="147">
        <v>0</v>
      </c>
      <c r="AL43" s="147">
        <v>0</v>
      </c>
      <c r="AM43" s="147">
        <v>0</v>
      </c>
      <c r="AN43" s="147">
        <v>0</v>
      </c>
      <c r="AO43" s="147">
        <v>0</v>
      </c>
      <c r="AP43" s="147">
        <v>0</v>
      </c>
      <c r="AQ43" s="147">
        <v>0</v>
      </c>
    </row>
    <row r="44" spans="1:43" x14ac:dyDescent="0.15">
      <c r="A44" s="184" t="s">
        <v>241</v>
      </c>
      <c r="B44" s="147">
        <v>0</v>
      </c>
      <c r="C44" s="147">
        <v>0</v>
      </c>
      <c r="D44" s="147">
        <v>0</v>
      </c>
      <c r="E44" s="147">
        <v>0</v>
      </c>
      <c r="F44" s="147">
        <v>0</v>
      </c>
      <c r="G44" s="147">
        <v>0</v>
      </c>
      <c r="H44" s="147">
        <v>0</v>
      </c>
      <c r="I44" s="147">
        <v>0</v>
      </c>
      <c r="J44" s="147">
        <v>0</v>
      </c>
      <c r="K44" s="147">
        <v>0</v>
      </c>
      <c r="L44" s="147">
        <v>0</v>
      </c>
      <c r="M44" s="147">
        <v>0</v>
      </c>
      <c r="N44" s="147">
        <v>0</v>
      </c>
      <c r="O44" s="147">
        <v>0</v>
      </c>
      <c r="P44" s="147">
        <v>0</v>
      </c>
      <c r="Q44" s="147">
        <v>0</v>
      </c>
      <c r="R44" s="147">
        <v>0</v>
      </c>
      <c r="S44" s="147">
        <v>0</v>
      </c>
      <c r="T44" s="147">
        <v>0</v>
      </c>
      <c r="U44" s="147">
        <v>0</v>
      </c>
      <c r="V44" s="147">
        <v>0</v>
      </c>
      <c r="W44" s="147">
        <v>0</v>
      </c>
      <c r="X44" s="147">
        <v>0</v>
      </c>
      <c r="Y44" s="147">
        <v>0</v>
      </c>
      <c r="Z44" s="147">
        <v>0</v>
      </c>
      <c r="AA44" s="147">
        <v>0</v>
      </c>
      <c r="AB44" s="147">
        <v>0</v>
      </c>
      <c r="AC44" s="147">
        <v>0</v>
      </c>
      <c r="AD44" s="147">
        <v>0</v>
      </c>
      <c r="AE44" s="147">
        <v>0</v>
      </c>
      <c r="AF44" s="147">
        <v>0</v>
      </c>
      <c r="AG44" s="147">
        <v>0</v>
      </c>
      <c r="AH44" s="147">
        <v>0</v>
      </c>
      <c r="AI44" s="147">
        <v>0</v>
      </c>
      <c r="AJ44" s="147">
        <v>0.40014618660679158</v>
      </c>
      <c r="AK44" s="147">
        <v>0</v>
      </c>
      <c r="AL44" s="147">
        <v>0.42</v>
      </c>
      <c r="AM44" s="147">
        <v>0</v>
      </c>
      <c r="AN44" s="147">
        <v>0.14301515846267576</v>
      </c>
      <c r="AO44" s="147">
        <v>0</v>
      </c>
      <c r="AP44" s="147">
        <v>0</v>
      </c>
      <c r="AQ44" s="147">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31" activePane="bottomRight" state="frozen"/>
      <selection pane="topRight" activeCell="C1" sqref="C1"/>
      <selection pane="bottomLeft" activeCell="A2" sqref="A2"/>
      <selection pane="bottomRight" activeCell="D52" sqref="D52"/>
    </sheetView>
  </sheetViews>
  <sheetFormatPr baseColWidth="10" defaultColWidth="8.83203125" defaultRowHeight="13" x14ac:dyDescent="0.15"/>
  <cols>
    <col min="1" max="1" width="3.33203125" customWidth="1"/>
    <col min="2" max="2" width="27.83203125" customWidth="1"/>
    <col min="3" max="4" width="15.83203125" style="117" customWidth="1"/>
    <col min="5" max="6" width="15.83203125" style="116" customWidth="1"/>
    <col min="7" max="7" width="15.83203125" style="117" customWidth="1"/>
    <col min="8" max="8" width="8.83203125" style="117"/>
  </cols>
  <sheetData>
    <row r="1" spans="1:8" ht="70" x14ac:dyDescent="0.15">
      <c r="A1" s="5" t="s">
        <v>20</v>
      </c>
      <c r="B1" s="1" t="s">
        <v>0</v>
      </c>
      <c r="C1" s="187" t="s">
        <v>232</v>
      </c>
      <c r="D1" s="187" t="s">
        <v>233</v>
      </c>
      <c r="E1" s="187" t="s">
        <v>234</v>
      </c>
      <c r="F1" s="187" t="s">
        <v>242</v>
      </c>
      <c r="G1" s="187" t="s">
        <v>243</v>
      </c>
      <c r="H1"/>
    </row>
    <row r="2" spans="1:8" x14ac:dyDescent="0.15">
      <c r="A2">
        <v>1</v>
      </c>
      <c r="B2" s="186" t="s">
        <v>193</v>
      </c>
      <c r="C2" s="117">
        <v>0</v>
      </c>
      <c r="D2" s="117">
        <v>1</v>
      </c>
      <c r="E2" s="116">
        <v>0</v>
      </c>
      <c r="F2" s="116">
        <v>0</v>
      </c>
      <c r="G2" s="117">
        <f>SUM(C2:F2)</f>
        <v>1</v>
      </c>
      <c r="H2"/>
    </row>
    <row r="3" spans="1:8" x14ac:dyDescent="0.15">
      <c r="A3">
        <v>2</v>
      </c>
      <c r="B3" s="186" t="s">
        <v>194</v>
      </c>
      <c r="C3" s="117">
        <v>0</v>
      </c>
      <c r="D3" s="117">
        <v>1</v>
      </c>
      <c r="E3" s="116">
        <v>0</v>
      </c>
      <c r="F3" s="116">
        <v>0</v>
      </c>
      <c r="G3" s="117">
        <f t="shared" ref="G3:G43" si="0">SUM(C3:F3)</f>
        <v>1</v>
      </c>
      <c r="H3"/>
    </row>
    <row r="4" spans="1:8" x14ac:dyDescent="0.15">
      <c r="A4">
        <v>3</v>
      </c>
      <c r="B4" s="186" t="s">
        <v>195</v>
      </c>
      <c r="C4" s="117">
        <v>0</v>
      </c>
      <c r="D4" s="117">
        <v>1</v>
      </c>
      <c r="E4" s="116">
        <v>0</v>
      </c>
      <c r="F4" s="116">
        <v>0</v>
      </c>
      <c r="G4" s="117">
        <f t="shared" si="0"/>
        <v>1</v>
      </c>
      <c r="H4"/>
    </row>
    <row r="5" spans="1:8" x14ac:dyDescent="0.15">
      <c r="A5">
        <v>4</v>
      </c>
      <c r="B5" s="186" t="s">
        <v>196</v>
      </c>
      <c r="C5" s="117">
        <v>0</v>
      </c>
      <c r="D5" s="117">
        <v>1</v>
      </c>
      <c r="E5" s="116">
        <v>0</v>
      </c>
      <c r="F5" s="116">
        <v>0</v>
      </c>
      <c r="G5" s="117">
        <f t="shared" si="0"/>
        <v>1</v>
      </c>
      <c r="H5"/>
    </row>
    <row r="6" spans="1:8" x14ac:dyDescent="0.15">
      <c r="A6">
        <v>5</v>
      </c>
      <c r="B6" s="186" t="s">
        <v>197</v>
      </c>
      <c r="C6" s="117">
        <v>0</v>
      </c>
      <c r="D6" s="117">
        <v>1</v>
      </c>
      <c r="E6" s="116">
        <v>0</v>
      </c>
      <c r="F6" s="116">
        <v>0</v>
      </c>
      <c r="G6" s="117">
        <f t="shared" si="0"/>
        <v>1</v>
      </c>
      <c r="H6"/>
    </row>
    <row r="7" spans="1:8" x14ac:dyDescent="0.15">
      <c r="A7">
        <v>6</v>
      </c>
      <c r="B7" s="186" t="s">
        <v>198</v>
      </c>
      <c r="C7" s="117">
        <v>0</v>
      </c>
      <c r="D7" s="117">
        <v>1</v>
      </c>
      <c r="E7" s="116">
        <v>0</v>
      </c>
      <c r="F7" s="116">
        <v>0</v>
      </c>
      <c r="G7" s="117">
        <f t="shared" si="0"/>
        <v>1</v>
      </c>
      <c r="H7"/>
    </row>
    <row r="8" spans="1:8" x14ac:dyDescent="0.15">
      <c r="A8">
        <v>7</v>
      </c>
      <c r="B8" s="186" t="s">
        <v>199</v>
      </c>
      <c r="C8" s="117">
        <v>0</v>
      </c>
      <c r="D8" s="117">
        <v>1</v>
      </c>
      <c r="E8" s="116">
        <v>0</v>
      </c>
      <c r="F8" s="116">
        <v>0</v>
      </c>
      <c r="G8" s="117">
        <f t="shared" si="0"/>
        <v>1</v>
      </c>
      <c r="H8"/>
    </row>
    <row r="9" spans="1:8" x14ac:dyDescent="0.15">
      <c r="A9">
        <v>8</v>
      </c>
      <c r="B9" s="186" t="s">
        <v>200</v>
      </c>
      <c r="C9" s="117">
        <v>0</v>
      </c>
      <c r="D9" s="117">
        <v>1</v>
      </c>
      <c r="E9" s="116">
        <v>0</v>
      </c>
      <c r="F9" s="116">
        <v>0</v>
      </c>
      <c r="G9" s="117">
        <f t="shared" si="0"/>
        <v>1</v>
      </c>
      <c r="H9"/>
    </row>
    <row r="10" spans="1:8" x14ac:dyDescent="0.15">
      <c r="A10">
        <v>9</v>
      </c>
      <c r="B10" s="186" t="s">
        <v>201</v>
      </c>
      <c r="C10" s="117">
        <v>0</v>
      </c>
      <c r="D10" s="117">
        <v>1</v>
      </c>
      <c r="E10" s="116">
        <v>0</v>
      </c>
      <c r="F10" s="116">
        <v>0</v>
      </c>
      <c r="G10" s="117">
        <f t="shared" si="0"/>
        <v>1</v>
      </c>
      <c r="H10"/>
    </row>
    <row r="11" spans="1:8" x14ac:dyDescent="0.15">
      <c r="A11">
        <v>10</v>
      </c>
      <c r="B11" s="186" t="s">
        <v>202</v>
      </c>
      <c r="C11" s="117">
        <v>0</v>
      </c>
      <c r="D11" s="117">
        <v>1</v>
      </c>
      <c r="E11" s="116">
        <v>0</v>
      </c>
      <c r="F11" s="116">
        <v>0</v>
      </c>
      <c r="G11" s="117">
        <f t="shared" si="0"/>
        <v>1</v>
      </c>
      <c r="H11"/>
    </row>
    <row r="12" spans="1:8" x14ac:dyDescent="0.15">
      <c r="A12">
        <v>11</v>
      </c>
      <c r="B12" s="186" t="s">
        <v>203</v>
      </c>
      <c r="C12" s="117">
        <v>0</v>
      </c>
      <c r="D12" s="117">
        <v>1</v>
      </c>
      <c r="E12" s="116">
        <v>0</v>
      </c>
      <c r="F12" s="116">
        <v>0</v>
      </c>
      <c r="G12" s="117">
        <f t="shared" si="0"/>
        <v>1</v>
      </c>
      <c r="H12"/>
    </row>
    <row r="13" spans="1:8" x14ac:dyDescent="0.15">
      <c r="A13">
        <v>12</v>
      </c>
      <c r="B13" s="186" t="s">
        <v>204</v>
      </c>
      <c r="C13" s="117">
        <v>0</v>
      </c>
      <c r="D13" s="117">
        <v>1</v>
      </c>
      <c r="E13" s="116">
        <v>0</v>
      </c>
      <c r="F13" s="116">
        <v>0</v>
      </c>
      <c r="G13" s="117">
        <f t="shared" si="0"/>
        <v>1</v>
      </c>
      <c r="H13"/>
    </row>
    <row r="14" spans="1:8" x14ac:dyDescent="0.15">
      <c r="A14">
        <v>13</v>
      </c>
      <c r="B14" s="186" t="s">
        <v>205</v>
      </c>
      <c r="C14" s="117">
        <v>0</v>
      </c>
      <c r="D14" s="117">
        <v>1</v>
      </c>
      <c r="E14" s="116">
        <v>0</v>
      </c>
      <c r="F14" s="116">
        <v>0</v>
      </c>
      <c r="G14" s="117">
        <f t="shared" si="0"/>
        <v>1</v>
      </c>
      <c r="H14"/>
    </row>
    <row r="15" spans="1:8" x14ac:dyDescent="0.15">
      <c r="A15">
        <v>14</v>
      </c>
      <c r="B15" s="186" t="s">
        <v>206</v>
      </c>
      <c r="C15" s="117">
        <v>0</v>
      </c>
      <c r="D15" s="117">
        <v>1</v>
      </c>
      <c r="E15" s="116">
        <v>0</v>
      </c>
      <c r="F15" s="116">
        <v>0</v>
      </c>
      <c r="G15" s="117">
        <f t="shared" si="0"/>
        <v>1</v>
      </c>
      <c r="H15"/>
    </row>
    <row r="16" spans="1:8" x14ac:dyDescent="0.15">
      <c r="A16">
        <v>15</v>
      </c>
      <c r="B16" s="186" t="s">
        <v>207</v>
      </c>
      <c r="C16" s="117">
        <v>0</v>
      </c>
      <c r="D16" s="117">
        <v>1</v>
      </c>
      <c r="E16" s="116">
        <v>0</v>
      </c>
      <c r="F16" s="116">
        <v>0</v>
      </c>
      <c r="G16" s="117">
        <f t="shared" si="0"/>
        <v>1</v>
      </c>
      <c r="H16"/>
    </row>
    <row r="17" spans="1:8" ht="15" customHeight="1" x14ac:dyDescent="0.15">
      <c r="A17">
        <v>16</v>
      </c>
      <c r="B17" s="186" t="s">
        <v>208</v>
      </c>
      <c r="C17" s="117">
        <v>0</v>
      </c>
      <c r="D17" s="117">
        <v>1</v>
      </c>
      <c r="E17" s="116">
        <v>0</v>
      </c>
      <c r="F17" s="116">
        <v>0</v>
      </c>
      <c r="G17" s="117">
        <f t="shared" si="0"/>
        <v>1</v>
      </c>
      <c r="H17"/>
    </row>
    <row r="18" spans="1:8" ht="15" customHeight="1" x14ac:dyDescent="0.15">
      <c r="A18">
        <v>17</v>
      </c>
      <c r="B18" s="186" t="s">
        <v>209</v>
      </c>
      <c r="C18" s="117">
        <v>0</v>
      </c>
      <c r="D18" s="117">
        <v>1</v>
      </c>
      <c r="E18" s="116">
        <v>0</v>
      </c>
      <c r="F18" s="116">
        <v>0</v>
      </c>
      <c r="G18" s="117">
        <f t="shared" si="0"/>
        <v>1</v>
      </c>
      <c r="H18"/>
    </row>
    <row r="19" spans="1:8" ht="15" customHeight="1" x14ac:dyDescent="0.15">
      <c r="A19">
        <v>18</v>
      </c>
      <c r="B19" s="186" t="s">
        <v>210</v>
      </c>
      <c r="C19" s="117">
        <v>0</v>
      </c>
      <c r="D19" s="117">
        <v>1</v>
      </c>
      <c r="E19" s="116">
        <v>0</v>
      </c>
      <c r="F19" s="116">
        <v>0</v>
      </c>
      <c r="G19" s="117">
        <f t="shared" si="0"/>
        <v>1</v>
      </c>
      <c r="H19"/>
    </row>
    <row r="20" spans="1:8" ht="15" customHeight="1" x14ac:dyDescent="0.15">
      <c r="A20">
        <v>19</v>
      </c>
      <c r="B20" s="186" t="s">
        <v>211</v>
      </c>
      <c r="C20" s="117">
        <v>0</v>
      </c>
      <c r="D20" s="117">
        <v>1</v>
      </c>
      <c r="E20" s="116">
        <v>0</v>
      </c>
      <c r="F20" s="116">
        <v>0</v>
      </c>
      <c r="G20" s="117">
        <f t="shared" si="0"/>
        <v>1</v>
      </c>
      <c r="H20"/>
    </row>
    <row r="21" spans="1:8" ht="15" customHeight="1" x14ac:dyDescent="0.15">
      <c r="A21">
        <v>20</v>
      </c>
      <c r="B21" s="186" t="s">
        <v>212</v>
      </c>
      <c r="C21" s="117">
        <v>0</v>
      </c>
      <c r="D21" s="117">
        <v>1</v>
      </c>
      <c r="E21" s="116">
        <v>0</v>
      </c>
      <c r="F21" s="116">
        <v>0</v>
      </c>
      <c r="G21" s="117">
        <f t="shared" si="0"/>
        <v>1</v>
      </c>
      <c r="H21"/>
    </row>
    <row r="22" spans="1:8" ht="15" customHeight="1" x14ac:dyDescent="0.15">
      <c r="A22">
        <v>21</v>
      </c>
      <c r="B22" s="186" t="s">
        <v>213</v>
      </c>
      <c r="C22" s="117">
        <v>0</v>
      </c>
      <c r="D22" s="117">
        <v>1</v>
      </c>
      <c r="E22" s="116">
        <v>0</v>
      </c>
      <c r="F22" s="116">
        <v>0</v>
      </c>
      <c r="G22" s="117">
        <f t="shared" si="0"/>
        <v>1</v>
      </c>
      <c r="H22"/>
    </row>
    <row r="23" spans="1:8" ht="15" customHeight="1" x14ac:dyDescent="0.15">
      <c r="A23">
        <v>22</v>
      </c>
      <c r="B23" s="186" t="s">
        <v>214</v>
      </c>
      <c r="C23" s="117">
        <v>0</v>
      </c>
      <c r="D23" s="117">
        <v>1</v>
      </c>
      <c r="E23" s="116">
        <v>0</v>
      </c>
      <c r="F23" s="116">
        <v>0</v>
      </c>
      <c r="G23" s="117">
        <f t="shared" si="0"/>
        <v>1</v>
      </c>
      <c r="H23"/>
    </row>
    <row r="24" spans="1:8" ht="15" customHeight="1" x14ac:dyDescent="0.15">
      <c r="A24">
        <v>23</v>
      </c>
      <c r="B24" s="186" t="s">
        <v>215</v>
      </c>
      <c r="C24" s="117">
        <v>0</v>
      </c>
      <c r="D24" s="117">
        <v>1</v>
      </c>
      <c r="E24" s="116">
        <v>0</v>
      </c>
      <c r="F24" s="116">
        <v>0</v>
      </c>
      <c r="G24" s="117">
        <f t="shared" si="0"/>
        <v>1</v>
      </c>
      <c r="H24"/>
    </row>
    <row r="25" spans="1:8" ht="15" customHeight="1" x14ac:dyDescent="0.15">
      <c r="A25">
        <v>24</v>
      </c>
      <c r="B25" s="186" t="s">
        <v>216</v>
      </c>
      <c r="C25" s="117">
        <v>0</v>
      </c>
      <c r="D25" s="117">
        <v>1</v>
      </c>
      <c r="E25" s="116">
        <v>0</v>
      </c>
      <c r="F25" s="116">
        <v>0</v>
      </c>
      <c r="G25" s="117">
        <f t="shared" si="0"/>
        <v>1</v>
      </c>
      <c r="H25"/>
    </row>
    <row r="26" spans="1:8" ht="15" customHeight="1" x14ac:dyDescent="0.15">
      <c r="A26">
        <v>25</v>
      </c>
      <c r="B26" s="186" t="s">
        <v>217</v>
      </c>
      <c r="C26" s="117">
        <v>0</v>
      </c>
      <c r="D26" s="117">
        <v>1</v>
      </c>
      <c r="E26" s="116">
        <v>0</v>
      </c>
      <c r="F26" s="116">
        <v>0</v>
      </c>
      <c r="G26" s="117">
        <f t="shared" si="0"/>
        <v>1</v>
      </c>
      <c r="H26"/>
    </row>
    <row r="27" spans="1:8" ht="15" customHeight="1" x14ac:dyDescent="0.15">
      <c r="A27">
        <v>26</v>
      </c>
      <c r="B27" s="186" t="s">
        <v>218</v>
      </c>
      <c r="C27" s="117">
        <v>0</v>
      </c>
      <c r="D27" s="117">
        <v>1</v>
      </c>
      <c r="E27" s="116">
        <v>0</v>
      </c>
      <c r="F27" s="116">
        <v>0</v>
      </c>
      <c r="G27" s="117">
        <f t="shared" si="0"/>
        <v>1</v>
      </c>
      <c r="H27"/>
    </row>
    <row r="28" spans="1:8" ht="15" customHeight="1" x14ac:dyDescent="0.15">
      <c r="A28">
        <v>27</v>
      </c>
      <c r="B28" s="186" t="s">
        <v>219</v>
      </c>
      <c r="C28" s="117">
        <v>0</v>
      </c>
      <c r="D28" s="117">
        <v>1</v>
      </c>
      <c r="E28" s="116">
        <v>0</v>
      </c>
      <c r="F28" s="116">
        <v>0</v>
      </c>
      <c r="G28" s="117">
        <f t="shared" si="0"/>
        <v>1</v>
      </c>
      <c r="H28"/>
    </row>
    <row r="29" spans="1:8" ht="15" customHeight="1" x14ac:dyDescent="0.15">
      <c r="A29">
        <v>28</v>
      </c>
      <c r="B29" s="186" t="s">
        <v>220</v>
      </c>
      <c r="C29" s="117">
        <v>0</v>
      </c>
      <c r="D29" s="117">
        <v>1</v>
      </c>
      <c r="E29" s="116">
        <v>0</v>
      </c>
      <c r="F29" s="116">
        <v>0</v>
      </c>
      <c r="G29" s="117">
        <f t="shared" si="0"/>
        <v>1</v>
      </c>
      <c r="H29"/>
    </row>
    <row r="30" spans="1:8" ht="15" customHeight="1" x14ac:dyDescent="0.15">
      <c r="A30">
        <v>29</v>
      </c>
      <c r="B30" s="186" t="s">
        <v>221</v>
      </c>
      <c r="C30" s="117">
        <v>0</v>
      </c>
      <c r="D30" s="117">
        <v>1</v>
      </c>
      <c r="E30" s="116">
        <v>0</v>
      </c>
      <c r="F30" s="116">
        <v>0</v>
      </c>
      <c r="G30" s="117">
        <f t="shared" si="0"/>
        <v>1</v>
      </c>
      <c r="H30"/>
    </row>
    <row r="31" spans="1:8" ht="15" customHeight="1" x14ac:dyDescent="0.15">
      <c r="A31">
        <v>30</v>
      </c>
      <c r="B31" s="186" t="s">
        <v>222</v>
      </c>
      <c r="C31" s="117">
        <v>0</v>
      </c>
      <c r="D31" s="117">
        <v>1</v>
      </c>
      <c r="E31" s="116">
        <v>0</v>
      </c>
      <c r="F31" s="116">
        <v>0</v>
      </c>
      <c r="G31" s="117">
        <f t="shared" si="0"/>
        <v>1</v>
      </c>
      <c r="H31"/>
    </row>
    <row r="32" spans="1:8" ht="15" customHeight="1" x14ac:dyDescent="0.15">
      <c r="A32">
        <v>31</v>
      </c>
      <c r="B32" s="186" t="s">
        <v>223</v>
      </c>
      <c r="C32" s="117">
        <v>0</v>
      </c>
      <c r="D32" s="117">
        <v>1</v>
      </c>
      <c r="E32" s="116">
        <v>0</v>
      </c>
      <c r="F32" s="116">
        <v>0</v>
      </c>
      <c r="G32" s="117">
        <f t="shared" si="0"/>
        <v>1</v>
      </c>
    </row>
    <row r="33" spans="1:8" ht="15" customHeight="1" x14ac:dyDescent="0.15">
      <c r="A33">
        <v>32</v>
      </c>
      <c r="B33" s="186" t="s">
        <v>224</v>
      </c>
      <c r="C33" s="117">
        <v>0</v>
      </c>
      <c r="D33" s="117">
        <v>1</v>
      </c>
      <c r="E33" s="116">
        <v>0</v>
      </c>
      <c r="F33" s="116">
        <v>0</v>
      </c>
      <c r="G33" s="117">
        <f t="shared" si="0"/>
        <v>1</v>
      </c>
    </row>
    <row r="34" spans="1:8" ht="15" customHeight="1" x14ac:dyDescent="0.15">
      <c r="A34">
        <v>33</v>
      </c>
      <c r="B34" s="186" t="s">
        <v>225</v>
      </c>
      <c r="C34" s="117">
        <v>0</v>
      </c>
      <c r="D34" s="117">
        <v>1</v>
      </c>
      <c r="E34" s="116">
        <v>0</v>
      </c>
      <c r="F34" s="116">
        <v>0</v>
      </c>
      <c r="G34" s="117">
        <f t="shared" si="0"/>
        <v>1</v>
      </c>
    </row>
    <row r="35" spans="1:8" ht="15" customHeight="1" x14ac:dyDescent="0.15">
      <c r="A35">
        <v>34</v>
      </c>
      <c r="B35" s="186" t="s">
        <v>226</v>
      </c>
      <c r="C35" s="117">
        <v>0</v>
      </c>
      <c r="D35" s="117">
        <v>1</v>
      </c>
      <c r="E35" s="116">
        <v>0</v>
      </c>
      <c r="F35" s="116">
        <v>0</v>
      </c>
      <c r="G35" s="117">
        <f t="shared" si="0"/>
        <v>1</v>
      </c>
    </row>
    <row r="36" spans="1:8" ht="15" customHeight="1" x14ac:dyDescent="0.15">
      <c r="A36">
        <v>35</v>
      </c>
      <c r="B36" s="186" t="s">
        <v>227</v>
      </c>
      <c r="C36" s="117">
        <v>0</v>
      </c>
      <c r="D36" s="117">
        <v>1</v>
      </c>
      <c r="E36" s="117">
        <v>0</v>
      </c>
      <c r="F36" s="117">
        <v>0</v>
      </c>
      <c r="G36" s="117">
        <f t="shared" si="0"/>
        <v>1</v>
      </c>
      <c r="H36"/>
    </row>
    <row r="37" spans="1:8" ht="15" customHeight="1" x14ac:dyDescent="0.15">
      <c r="A37">
        <v>36</v>
      </c>
      <c r="B37" s="186" t="s">
        <v>228</v>
      </c>
      <c r="C37" s="117">
        <v>0</v>
      </c>
      <c r="D37" s="117">
        <v>1</v>
      </c>
      <c r="E37" s="117">
        <v>0</v>
      </c>
      <c r="F37" s="117">
        <v>0</v>
      </c>
      <c r="G37" s="117">
        <f t="shared" si="0"/>
        <v>1</v>
      </c>
      <c r="H37"/>
    </row>
    <row r="38" spans="1:8" ht="15" customHeight="1" x14ac:dyDescent="0.15">
      <c r="A38">
        <v>37</v>
      </c>
      <c r="B38" s="186" t="s">
        <v>229</v>
      </c>
      <c r="C38" s="117">
        <v>0</v>
      </c>
      <c r="D38" s="117">
        <v>1</v>
      </c>
      <c r="E38" s="117">
        <v>0</v>
      </c>
      <c r="F38" s="117">
        <v>0</v>
      </c>
      <c r="G38" s="117">
        <f t="shared" si="0"/>
        <v>1</v>
      </c>
      <c r="H38"/>
    </row>
    <row r="39" spans="1:8" ht="15" customHeight="1" x14ac:dyDescent="0.15">
      <c r="A39">
        <v>38</v>
      </c>
      <c r="B39" s="186" t="s">
        <v>230</v>
      </c>
      <c r="C39" s="117">
        <v>0</v>
      </c>
      <c r="D39" s="117">
        <v>1</v>
      </c>
      <c r="E39" s="117">
        <v>0</v>
      </c>
      <c r="F39" s="117">
        <v>0</v>
      </c>
      <c r="G39" s="117">
        <f t="shared" si="0"/>
        <v>1</v>
      </c>
      <c r="H39"/>
    </row>
    <row r="40" spans="1:8" ht="15" customHeight="1" x14ac:dyDescent="0.15">
      <c r="A40">
        <v>39</v>
      </c>
      <c r="B40" s="186" t="s">
        <v>231</v>
      </c>
      <c r="C40" s="117">
        <v>0</v>
      </c>
      <c r="D40" s="117">
        <v>1</v>
      </c>
      <c r="E40" s="117">
        <v>0</v>
      </c>
      <c r="F40" s="117">
        <v>0</v>
      </c>
      <c r="G40" s="117">
        <f t="shared" si="0"/>
        <v>1</v>
      </c>
      <c r="H40"/>
    </row>
    <row r="41" spans="1:8" ht="15" customHeight="1" x14ac:dyDescent="0.15">
      <c r="A41">
        <v>40</v>
      </c>
      <c r="B41" s="186" t="s">
        <v>232</v>
      </c>
      <c r="C41" s="117">
        <v>0</v>
      </c>
      <c r="D41" s="117">
        <v>1</v>
      </c>
      <c r="E41" s="117">
        <v>0</v>
      </c>
      <c r="F41" s="117">
        <v>0</v>
      </c>
      <c r="G41" s="117">
        <f t="shared" si="0"/>
        <v>1</v>
      </c>
      <c r="H41"/>
    </row>
    <row r="42" spans="1:8" ht="15" customHeight="1" x14ac:dyDescent="0.15">
      <c r="A42">
        <v>41</v>
      </c>
      <c r="B42" s="186" t="s">
        <v>233</v>
      </c>
      <c r="C42" s="117">
        <v>0</v>
      </c>
      <c r="D42" s="117">
        <v>0</v>
      </c>
      <c r="E42" s="117">
        <v>1</v>
      </c>
      <c r="F42" s="117">
        <v>0</v>
      </c>
      <c r="G42" s="117">
        <f t="shared" si="0"/>
        <v>1</v>
      </c>
      <c r="H42"/>
    </row>
    <row r="43" spans="1:8" ht="15" customHeight="1" x14ac:dyDescent="0.15">
      <c r="A43">
        <v>42</v>
      </c>
      <c r="B43" s="186" t="s">
        <v>234</v>
      </c>
      <c r="C43" s="117">
        <v>0</v>
      </c>
      <c r="D43" s="117">
        <v>0</v>
      </c>
      <c r="E43" s="117">
        <v>0</v>
      </c>
      <c r="F43" s="117">
        <v>1</v>
      </c>
      <c r="G43" s="117">
        <f t="shared" si="0"/>
        <v>1</v>
      </c>
      <c r="H43"/>
    </row>
    <row r="44" spans="1:8" ht="15" customHeight="1" x14ac:dyDescent="0.15">
      <c r="A44">
        <v>43</v>
      </c>
      <c r="B44" s="186" t="s">
        <v>235</v>
      </c>
      <c r="C44" s="209">
        <v>1</v>
      </c>
      <c r="D44" s="117">
        <v>0</v>
      </c>
      <c r="E44" s="209">
        <v>0</v>
      </c>
      <c r="F44" s="116">
        <v>0</v>
      </c>
      <c r="G44" s="117">
        <f t="shared" ref="G44:G49" si="1">SUM(C44:F44)</f>
        <v>1</v>
      </c>
      <c r="H44"/>
    </row>
    <row r="45" spans="1:8" ht="15" customHeight="1" x14ac:dyDescent="0.15">
      <c r="A45">
        <v>44</v>
      </c>
      <c r="B45" s="186" t="s">
        <v>236</v>
      </c>
      <c r="C45" s="209">
        <v>1</v>
      </c>
      <c r="D45" s="117">
        <v>0</v>
      </c>
      <c r="E45" s="209">
        <v>0</v>
      </c>
      <c r="F45" s="116">
        <v>0</v>
      </c>
      <c r="G45" s="117">
        <f t="shared" si="1"/>
        <v>1</v>
      </c>
      <c r="H45"/>
    </row>
    <row r="46" spans="1:8" ht="15" customHeight="1" x14ac:dyDescent="0.15">
      <c r="A46">
        <v>45</v>
      </c>
      <c r="B46" s="186" t="s">
        <v>237</v>
      </c>
      <c r="C46" s="209">
        <v>1</v>
      </c>
      <c r="D46" s="117">
        <v>0</v>
      </c>
      <c r="E46" s="209">
        <v>0</v>
      </c>
      <c r="F46" s="117">
        <v>0</v>
      </c>
      <c r="G46" s="117">
        <f t="shared" si="1"/>
        <v>1</v>
      </c>
      <c r="H46"/>
    </row>
    <row r="47" spans="1:8" ht="15" customHeight="1" x14ac:dyDescent="0.15">
      <c r="A47">
        <v>46</v>
      </c>
      <c r="B47" s="186" t="s">
        <v>238</v>
      </c>
      <c r="C47" s="209">
        <v>1</v>
      </c>
      <c r="D47" s="117">
        <v>0</v>
      </c>
      <c r="E47" s="209">
        <v>0</v>
      </c>
      <c r="F47" s="116">
        <v>0</v>
      </c>
      <c r="G47" s="117">
        <f t="shared" si="1"/>
        <v>1</v>
      </c>
      <c r="H47"/>
    </row>
    <row r="48" spans="1:8" ht="15" customHeight="1" x14ac:dyDescent="0.15">
      <c r="A48">
        <v>47</v>
      </c>
      <c r="B48" s="186" t="s">
        <v>239</v>
      </c>
      <c r="C48" s="209">
        <v>1</v>
      </c>
      <c r="D48" s="117">
        <v>0</v>
      </c>
      <c r="E48" s="209">
        <v>0</v>
      </c>
      <c r="F48" s="116">
        <v>0</v>
      </c>
      <c r="G48" s="117">
        <f t="shared" si="1"/>
        <v>1</v>
      </c>
      <c r="H48"/>
    </row>
    <row r="49" spans="1:8" ht="15" customHeight="1" x14ac:dyDescent="0.15">
      <c r="A49">
        <v>48</v>
      </c>
      <c r="B49" s="186" t="s">
        <v>240</v>
      </c>
      <c r="C49" s="209">
        <v>1</v>
      </c>
      <c r="D49" s="117">
        <v>0</v>
      </c>
      <c r="E49" s="209">
        <v>0</v>
      </c>
      <c r="F49" s="116">
        <v>0</v>
      </c>
      <c r="G49" s="117">
        <f t="shared" si="1"/>
        <v>1</v>
      </c>
      <c r="H49"/>
    </row>
    <row r="50" spans="1:8" ht="15" customHeight="1" x14ac:dyDescent="0.15">
      <c r="C50"/>
      <c r="D50"/>
      <c r="G50"/>
      <c r="H50"/>
    </row>
    <row r="51" spans="1:8" ht="15" customHeight="1" x14ac:dyDescent="0.15">
      <c r="C51"/>
      <c r="D51"/>
      <c r="G51"/>
      <c r="H51"/>
    </row>
    <row r="52" spans="1:8" ht="15" customHeight="1" x14ac:dyDescent="0.15">
      <c r="C52"/>
      <c r="D52"/>
      <c r="E52"/>
      <c r="F52"/>
      <c r="G52"/>
      <c r="H52"/>
    </row>
    <row r="53" spans="1:8" ht="15" customHeight="1" x14ac:dyDescent="0.15">
      <c r="C53"/>
      <c r="D53"/>
      <c r="E53"/>
      <c r="F53"/>
      <c r="G53"/>
      <c r="H53"/>
    </row>
    <row r="54" spans="1:8" ht="15" customHeight="1" x14ac:dyDescent="0.15">
      <c r="C54"/>
      <c r="D54"/>
      <c r="E54"/>
      <c r="F54"/>
      <c r="G54"/>
      <c r="H54"/>
    </row>
    <row r="55" spans="1:8" ht="15" customHeight="1" x14ac:dyDescent="0.15">
      <c r="C55"/>
      <c r="D55"/>
      <c r="E55"/>
      <c r="F55"/>
      <c r="G55"/>
      <c r="H55"/>
    </row>
    <row r="56" spans="1:8" ht="15" customHeight="1" x14ac:dyDescent="0.15">
      <c r="C56"/>
      <c r="D56"/>
      <c r="E56"/>
      <c r="F56"/>
      <c r="G56"/>
      <c r="H56"/>
    </row>
    <row r="57" spans="1:8" ht="15" customHeight="1" x14ac:dyDescent="0.15">
      <c r="C57"/>
      <c r="D57"/>
      <c r="E57"/>
      <c r="F57"/>
      <c r="G57"/>
      <c r="H57"/>
    </row>
    <row r="58" spans="1:8" ht="15" customHeight="1" x14ac:dyDescent="0.15">
      <c r="C58"/>
      <c r="D58"/>
      <c r="E58"/>
      <c r="F58"/>
      <c r="G58"/>
      <c r="H58"/>
    </row>
    <row r="59" spans="1:8" ht="15" customHeight="1" x14ac:dyDescent="0.15">
      <c r="C59"/>
      <c r="D59"/>
      <c r="E59"/>
      <c r="F59"/>
      <c r="G59"/>
      <c r="H59"/>
    </row>
    <row r="60" spans="1:8" ht="15" customHeight="1" x14ac:dyDescent="0.15">
      <c r="C60"/>
      <c r="D60"/>
      <c r="E60"/>
      <c r="F60"/>
      <c r="G60"/>
      <c r="H60"/>
    </row>
    <row r="61" spans="1:8" ht="15" customHeight="1" x14ac:dyDescent="0.15">
      <c r="C61"/>
      <c r="D61"/>
      <c r="E61"/>
      <c r="F61"/>
      <c r="G61"/>
      <c r="H61"/>
    </row>
    <row r="62" spans="1:8" ht="15" customHeight="1" x14ac:dyDescent="0.15">
      <c r="C62"/>
      <c r="D62"/>
      <c r="E62"/>
      <c r="F62"/>
      <c r="G62"/>
      <c r="H62"/>
    </row>
    <row r="63" spans="1:8" ht="15" customHeight="1" x14ac:dyDescent="0.15">
      <c r="C63"/>
      <c r="D63"/>
      <c r="E63"/>
      <c r="F63"/>
      <c r="G63"/>
      <c r="H63"/>
    </row>
    <row r="64" spans="1: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I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7.83203125" bestFit="1" customWidth="1"/>
    <col min="3" max="5" width="12.83203125" bestFit="1" customWidth="1"/>
    <col min="6" max="7" width="12.83203125" customWidth="1"/>
    <col min="8" max="8" width="11.83203125" customWidth="1"/>
    <col min="9" max="9" width="13.83203125" customWidth="1"/>
  </cols>
  <sheetData>
    <row r="1" spans="1:9" s="118" customFormat="1" ht="112" x14ac:dyDescent="0.15">
      <c r="A1" s="5" t="s">
        <v>21</v>
      </c>
      <c r="B1" s="3" t="s">
        <v>0</v>
      </c>
      <c r="C1" s="189" t="s">
        <v>235</v>
      </c>
      <c r="D1" s="189" t="s">
        <v>236</v>
      </c>
      <c r="E1" s="189" t="s">
        <v>237</v>
      </c>
      <c r="F1" s="189" t="s">
        <v>238</v>
      </c>
      <c r="G1" s="189" t="s">
        <v>239</v>
      </c>
      <c r="H1" s="189" t="s">
        <v>240</v>
      </c>
      <c r="I1" s="189" t="s">
        <v>244</v>
      </c>
    </row>
    <row r="2" spans="1:9" ht="15" customHeight="1" x14ac:dyDescent="0.15">
      <c r="A2">
        <v>1</v>
      </c>
      <c r="B2" s="188" t="s">
        <v>193</v>
      </c>
      <c r="C2">
        <v>0</v>
      </c>
      <c r="D2">
        <v>0</v>
      </c>
      <c r="E2">
        <v>0</v>
      </c>
      <c r="F2">
        <v>0</v>
      </c>
      <c r="G2">
        <v>0</v>
      </c>
      <c r="H2">
        <v>0</v>
      </c>
      <c r="I2">
        <v>0</v>
      </c>
    </row>
    <row r="3" spans="1:9" ht="15" customHeight="1" x14ac:dyDescent="0.15">
      <c r="A3">
        <v>2</v>
      </c>
      <c r="B3" s="188" t="s">
        <v>194</v>
      </c>
      <c r="C3">
        <v>0</v>
      </c>
      <c r="D3">
        <v>0</v>
      </c>
      <c r="E3">
        <v>0</v>
      </c>
      <c r="F3">
        <v>0</v>
      </c>
      <c r="G3">
        <v>0</v>
      </c>
      <c r="H3">
        <v>0</v>
      </c>
      <c r="I3">
        <v>0</v>
      </c>
    </row>
    <row r="4" spans="1:9" ht="15" customHeight="1" x14ac:dyDescent="0.15">
      <c r="A4">
        <v>3</v>
      </c>
      <c r="B4" s="188" t="s">
        <v>195</v>
      </c>
      <c r="C4">
        <v>0</v>
      </c>
      <c r="D4">
        <v>0</v>
      </c>
      <c r="E4">
        <v>0</v>
      </c>
      <c r="F4">
        <v>0</v>
      </c>
      <c r="G4">
        <v>0</v>
      </c>
      <c r="H4">
        <v>0</v>
      </c>
      <c r="I4">
        <v>0</v>
      </c>
    </row>
    <row r="5" spans="1:9" ht="15" customHeight="1" x14ac:dyDescent="0.15">
      <c r="A5">
        <v>4</v>
      </c>
      <c r="B5" s="188" t="s">
        <v>196</v>
      </c>
      <c r="C5">
        <v>0</v>
      </c>
      <c r="D5">
        <v>0</v>
      </c>
      <c r="E5">
        <v>0</v>
      </c>
      <c r="F5">
        <v>0</v>
      </c>
      <c r="G5">
        <v>0</v>
      </c>
      <c r="H5">
        <v>0</v>
      </c>
      <c r="I5">
        <v>0</v>
      </c>
    </row>
    <row r="6" spans="1:9" ht="15" customHeight="1" x14ac:dyDescent="0.15">
      <c r="A6">
        <v>5</v>
      </c>
      <c r="B6" s="188" t="s">
        <v>197</v>
      </c>
      <c r="C6">
        <v>0</v>
      </c>
      <c r="D6">
        <v>0</v>
      </c>
      <c r="E6">
        <v>0</v>
      </c>
      <c r="F6">
        <v>0</v>
      </c>
      <c r="G6">
        <v>0</v>
      </c>
      <c r="H6">
        <v>0</v>
      </c>
      <c r="I6">
        <v>0</v>
      </c>
    </row>
    <row r="7" spans="1:9" ht="15" customHeight="1" x14ac:dyDescent="0.15">
      <c r="A7">
        <v>6</v>
      </c>
      <c r="B7" s="188" t="s">
        <v>198</v>
      </c>
      <c r="C7">
        <v>0</v>
      </c>
      <c r="D7">
        <v>0</v>
      </c>
      <c r="E7">
        <v>0</v>
      </c>
      <c r="F7">
        <v>0</v>
      </c>
      <c r="G7">
        <v>0</v>
      </c>
      <c r="H7">
        <v>0</v>
      </c>
      <c r="I7">
        <v>0</v>
      </c>
    </row>
    <row r="8" spans="1:9" ht="15" customHeight="1" x14ac:dyDescent="0.15">
      <c r="A8">
        <v>7</v>
      </c>
      <c r="B8" s="188" t="s">
        <v>199</v>
      </c>
      <c r="C8">
        <v>2.6429200000000001E-5</v>
      </c>
      <c r="D8">
        <v>0</v>
      </c>
      <c r="E8">
        <v>0</v>
      </c>
      <c r="F8">
        <v>0</v>
      </c>
      <c r="G8">
        <v>0</v>
      </c>
      <c r="H8">
        <v>1.0624670000000001E-3</v>
      </c>
      <c r="I8">
        <v>1.0888962000000001E-3</v>
      </c>
    </row>
    <row r="9" spans="1:9" ht="15" customHeight="1" x14ac:dyDescent="0.15">
      <c r="A9">
        <v>8</v>
      </c>
      <c r="B9" s="188" t="s">
        <v>200</v>
      </c>
      <c r="C9">
        <v>0</v>
      </c>
      <c r="D9">
        <v>0</v>
      </c>
      <c r="E9">
        <v>0</v>
      </c>
      <c r="F9">
        <v>0</v>
      </c>
      <c r="G9">
        <v>0</v>
      </c>
      <c r="H9">
        <v>0</v>
      </c>
      <c r="I9">
        <v>0</v>
      </c>
    </row>
    <row r="10" spans="1:9" ht="15" customHeight="1" x14ac:dyDescent="0.15">
      <c r="A10">
        <v>9</v>
      </c>
      <c r="B10" s="188" t="s">
        <v>201</v>
      </c>
      <c r="C10">
        <v>0</v>
      </c>
      <c r="D10">
        <v>0</v>
      </c>
      <c r="E10">
        <v>0</v>
      </c>
      <c r="F10">
        <v>0</v>
      </c>
      <c r="G10">
        <v>0</v>
      </c>
      <c r="H10">
        <v>0</v>
      </c>
      <c r="I10">
        <v>0</v>
      </c>
    </row>
    <row r="11" spans="1:9" ht="15" customHeight="1" x14ac:dyDescent="0.15">
      <c r="A11">
        <v>10</v>
      </c>
      <c r="B11" s="188" t="s">
        <v>202</v>
      </c>
      <c r="C11">
        <v>0</v>
      </c>
      <c r="D11">
        <v>0</v>
      </c>
      <c r="E11">
        <v>0</v>
      </c>
      <c r="F11">
        <v>0</v>
      </c>
      <c r="G11">
        <v>0</v>
      </c>
      <c r="H11">
        <v>0</v>
      </c>
      <c r="I11">
        <v>0</v>
      </c>
    </row>
    <row r="12" spans="1:9" ht="15" customHeight="1" x14ac:dyDescent="0.15">
      <c r="A12">
        <v>11</v>
      </c>
      <c r="B12" s="188" t="s">
        <v>203</v>
      </c>
      <c r="C12">
        <v>0</v>
      </c>
      <c r="D12">
        <v>0</v>
      </c>
      <c r="E12">
        <v>0</v>
      </c>
      <c r="F12">
        <v>0</v>
      </c>
      <c r="G12">
        <v>0</v>
      </c>
      <c r="H12">
        <v>0</v>
      </c>
      <c r="I12">
        <v>0</v>
      </c>
    </row>
    <row r="13" spans="1:9" ht="15" customHeight="1" x14ac:dyDescent="0.15">
      <c r="A13">
        <v>12</v>
      </c>
      <c r="B13" s="188" t="s">
        <v>204</v>
      </c>
      <c r="C13">
        <v>0</v>
      </c>
      <c r="D13">
        <v>0</v>
      </c>
      <c r="E13">
        <v>0</v>
      </c>
      <c r="F13">
        <v>0</v>
      </c>
      <c r="G13">
        <v>0</v>
      </c>
      <c r="H13">
        <v>0</v>
      </c>
      <c r="I13">
        <v>0</v>
      </c>
    </row>
    <row r="14" spans="1:9" ht="15" customHeight="1" x14ac:dyDescent="0.15">
      <c r="A14">
        <v>13</v>
      </c>
      <c r="B14" s="188" t="s">
        <v>205</v>
      </c>
      <c r="C14">
        <v>4.5330469999999998E-2</v>
      </c>
      <c r="D14">
        <v>0</v>
      </c>
      <c r="E14">
        <v>1.5318600000000001E-7</v>
      </c>
      <c r="F14">
        <v>0</v>
      </c>
      <c r="G14">
        <v>0.19148521099999999</v>
      </c>
      <c r="H14">
        <v>0</v>
      </c>
      <c r="I14">
        <v>0.236815834186</v>
      </c>
    </row>
    <row r="15" spans="1:9" ht="15" customHeight="1" x14ac:dyDescent="0.15">
      <c r="A15">
        <v>14</v>
      </c>
      <c r="B15" s="188" t="s">
        <v>206</v>
      </c>
      <c r="C15">
        <v>3.3345500000000003E-4</v>
      </c>
      <c r="D15">
        <v>0</v>
      </c>
      <c r="E15">
        <v>0</v>
      </c>
      <c r="F15">
        <v>0</v>
      </c>
      <c r="G15">
        <v>2.9323800000000001E-3</v>
      </c>
      <c r="H15">
        <v>0</v>
      </c>
      <c r="I15">
        <v>3.2658349999999999E-3</v>
      </c>
    </row>
    <row r="16" spans="1:9" ht="15" customHeight="1" x14ac:dyDescent="0.15">
      <c r="A16">
        <v>15</v>
      </c>
      <c r="B16" s="188" t="s">
        <v>207</v>
      </c>
      <c r="C16">
        <v>0</v>
      </c>
      <c r="D16">
        <v>0</v>
      </c>
      <c r="E16">
        <v>0</v>
      </c>
      <c r="F16">
        <v>0</v>
      </c>
      <c r="G16">
        <v>0</v>
      </c>
      <c r="H16">
        <v>0</v>
      </c>
      <c r="I16">
        <v>0</v>
      </c>
    </row>
    <row r="17" spans="1:9" ht="15" customHeight="1" x14ac:dyDescent="0.15">
      <c r="A17">
        <v>16</v>
      </c>
      <c r="B17" s="188" t="s">
        <v>208</v>
      </c>
      <c r="C17">
        <v>9.5051609999999998E-3</v>
      </c>
      <c r="D17">
        <v>0</v>
      </c>
      <c r="E17">
        <v>0</v>
      </c>
      <c r="F17">
        <v>0</v>
      </c>
      <c r="G17">
        <v>7.8468930000000006E-2</v>
      </c>
      <c r="H17">
        <v>0</v>
      </c>
      <c r="I17">
        <v>8.7974091000000004E-2</v>
      </c>
    </row>
    <row r="18" spans="1:9" ht="15" customHeight="1" x14ac:dyDescent="0.15">
      <c r="A18">
        <v>17</v>
      </c>
      <c r="B18" s="188" t="s">
        <v>209</v>
      </c>
      <c r="C18">
        <v>3.9526709999999996E-3</v>
      </c>
      <c r="D18">
        <v>0</v>
      </c>
      <c r="E18">
        <v>0</v>
      </c>
      <c r="F18">
        <v>0</v>
      </c>
      <c r="G18">
        <v>4.1395574800000001E-2</v>
      </c>
      <c r="H18">
        <v>0</v>
      </c>
      <c r="I18">
        <v>4.5348245799999999E-2</v>
      </c>
    </row>
    <row r="19" spans="1:9" ht="15" customHeight="1" x14ac:dyDescent="0.15">
      <c r="A19">
        <v>18</v>
      </c>
      <c r="B19" s="188" t="s">
        <v>210</v>
      </c>
      <c r="C19">
        <v>1.0303600000000001E-5</v>
      </c>
      <c r="D19">
        <v>0</v>
      </c>
      <c r="E19">
        <v>0</v>
      </c>
      <c r="F19">
        <v>0</v>
      </c>
      <c r="G19">
        <v>1.6141448199999998E-2</v>
      </c>
      <c r="H19">
        <v>0</v>
      </c>
      <c r="I19">
        <v>1.6151751799999999E-2</v>
      </c>
    </row>
    <row r="20" spans="1:9" ht="15" customHeight="1" x14ac:dyDescent="0.15">
      <c r="A20">
        <v>19</v>
      </c>
      <c r="B20" s="188" t="s">
        <v>211</v>
      </c>
      <c r="C20">
        <v>1.178368E-3</v>
      </c>
      <c r="D20">
        <v>1.5636872499999999E-2</v>
      </c>
      <c r="E20">
        <v>5.1367720000000004E-3</v>
      </c>
      <c r="F20">
        <v>3.7563899999999999E-4</v>
      </c>
      <c r="G20">
        <v>5.8892349999999996E-3</v>
      </c>
      <c r="H20">
        <v>0</v>
      </c>
      <c r="I20">
        <v>2.82168865E-2</v>
      </c>
    </row>
    <row r="21" spans="1:9" ht="15" customHeight="1" x14ac:dyDescent="0.15">
      <c r="A21">
        <v>20</v>
      </c>
      <c r="B21" s="188" t="s">
        <v>212</v>
      </c>
      <c r="C21">
        <v>6.1462599999999995E-4</v>
      </c>
      <c r="D21">
        <v>0.13434542699999999</v>
      </c>
      <c r="E21">
        <v>4.7140203399999997E-2</v>
      </c>
      <c r="F21">
        <v>0</v>
      </c>
      <c r="G21">
        <v>0</v>
      </c>
      <c r="H21">
        <v>0</v>
      </c>
      <c r="I21">
        <v>0.18210025639999999</v>
      </c>
    </row>
    <row r="22" spans="1:9" ht="15" customHeight="1" x14ac:dyDescent="0.15">
      <c r="A22">
        <v>21</v>
      </c>
      <c r="B22" s="188" t="s">
        <v>213</v>
      </c>
      <c r="C22">
        <v>2.5254980000000002E-3</v>
      </c>
      <c r="D22">
        <v>6.8179690000000001E-2</v>
      </c>
      <c r="E22">
        <v>0.22560836400000001</v>
      </c>
      <c r="F22">
        <v>0</v>
      </c>
      <c r="G22">
        <v>0</v>
      </c>
      <c r="H22">
        <v>0</v>
      </c>
      <c r="I22">
        <v>0.29631355199999998</v>
      </c>
    </row>
    <row r="23" spans="1:9" ht="15" customHeight="1" x14ac:dyDescent="0.15">
      <c r="A23">
        <v>22</v>
      </c>
      <c r="B23" s="188" t="s">
        <v>214</v>
      </c>
      <c r="C23">
        <v>1.2640099999999999E-6</v>
      </c>
      <c r="D23">
        <v>4.7794100000000002E-6</v>
      </c>
      <c r="E23">
        <v>0</v>
      </c>
      <c r="F23">
        <v>0</v>
      </c>
      <c r="G23">
        <v>9.3510200000000005E-6</v>
      </c>
      <c r="H23">
        <v>0</v>
      </c>
      <c r="I23">
        <v>1.5394439999999999E-5</v>
      </c>
    </row>
    <row r="24" spans="1:9" ht="15" customHeight="1" x14ac:dyDescent="0.15">
      <c r="A24">
        <v>23</v>
      </c>
      <c r="B24" s="188" t="s">
        <v>215</v>
      </c>
      <c r="C24">
        <v>1.5846799999999999E-4</v>
      </c>
      <c r="D24">
        <v>0</v>
      </c>
      <c r="E24">
        <v>8.9939499999999999E-4</v>
      </c>
      <c r="F24">
        <v>0</v>
      </c>
      <c r="G24">
        <v>1.3197457399999999E-2</v>
      </c>
      <c r="H24">
        <v>0</v>
      </c>
      <c r="I24">
        <v>1.42553204E-2</v>
      </c>
    </row>
    <row r="25" spans="1:9" ht="15" customHeight="1" x14ac:dyDescent="0.15">
      <c r="A25">
        <v>24</v>
      </c>
      <c r="B25" s="188" t="s">
        <v>216</v>
      </c>
      <c r="C25">
        <v>1.7812889999999999E-3</v>
      </c>
      <c r="D25">
        <v>1.66512784E-2</v>
      </c>
      <c r="E25">
        <v>5.7075699999999997E-4</v>
      </c>
      <c r="F25">
        <v>0</v>
      </c>
      <c r="G25">
        <v>1.1962920000000001E-3</v>
      </c>
      <c r="H25">
        <v>0</v>
      </c>
      <c r="I25">
        <v>2.0199616400000002E-2</v>
      </c>
    </row>
    <row r="26" spans="1:9" ht="15" customHeight="1" x14ac:dyDescent="0.15">
      <c r="A26">
        <v>25</v>
      </c>
      <c r="B26" s="188" t="s">
        <v>217</v>
      </c>
      <c r="C26">
        <v>1.02867E-3</v>
      </c>
      <c r="D26">
        <v>2.23422E-4</v>
      </c>
      <c r="E26">
        <v>0</v>
      </c>
      <c r="F26">
        <v>0</v>
      </c>
      <c r="G26">
        <v>3.30957E-4</v>
      </c>
      <c r="H26">
        <v>0</v>
      </c>
      <c r="I26">
        <v>1.583049E-3</v>
      </c>
    </row>
    <row r="27" spans="1:9" ht="15" customHeight="1" x14ac:dyDescent="0.15">
      <c r="A27">
        <v>26</v>
      </c>
      <c r="B27" s="188" t="s">
        <v>218</v>
      </c>
      <c r="C27">
        <v>3.8616589999999999E-3</v>
      </c>
      <c r="D27">
        <v>0</v>
      </c>
      <c r="E27">
        <v>1.29109E-8</v>
      </c>
      <c r="F27">
        <v>0</v>
      </c>
      <c r="G27">
        <v>1.1260539999999999E-2</v>
      </c>
      <c r="H27">
        <v>0</v>
      </c>
      <c r="I27">
        <v>1.51222119109E-2</v>
      </c>
    </row>
    <row r="28" spans="1:9" ht="15" customHeight="1" x14ac:dyDescent="0.15">
      <c r="A28">
        <v>27</v>
      </c>
      <c r="B28" s="188" t="s">
        <v>219</v>
      </c>
      <c r="C28">
        <v>2.8700050000000001E-3</v>
      </c>
      <c r="D28">
        <v>0</v>
      </c>
      <c r="E28">
        <v>0</v>
      </c>
      <c r="F28">
        <v>0</v>
      </c>
      <c r="G28">
        <v>8.6458854399999993E-2</v>
      </c>
      <c r="H28">
        <v>0</v>
      </c>
      <c r="I28">
        <v>8.9328859399999988E-2</v>
      </c>
    </row>
    <row r="29" spans="1:9" ht="15" customHeight="1" x14ac:dyDescent="0.15">
      <c r="A29">
        <v>28</v>
      </c>
      <c r="B29" s="188" t="s">
        <v>220</v>
      </c>
      <c r="C29">
        <v>1.7026140000000001E-3</v>
      </c>
      <c r="D29">
        <v>0</v>
      </c>
      <c r="E29">
        <v>0</v>
      </c>
      <c r="F29">
        <v>0</v>
      </c>
      <c r="G29">
        <v>6.3159999999999996E-4</v>
      </c>
      <c r="H29">
        <v>0</v>
      </c>
      <c r="I29">
        <v>2.3342140000000003E-3</v>
      </c>
    </row>
    <row r="30" spans="1:9" ht="15" customHeight="1" x14ac:dyDescent="0.15">
      <c r="A30">
        <v>29</v>
      </c>
      <c r="B30" s="188" t="s">
        <v>221</v>
      </c>
      <c r="C30">
        <v>2.04455573E-2</v>
      </c>
      <c r="D30">
        <v>0</v>
      </c>
      <c r="E30">
        <v>0</v>
      </c>
      <c r="F30">
        <v>0</v>
      </c>
      <c r="G30">
        <v>3.8318660000000002E-3</v>
      </c>
      <c r="H30">
        <v>0</v>
      </c>
      <c r="I30">
        <v>2.42774233E-2</v>
      </c>
    </row>
    <row r="31" spans="1:9" ht="15" customHeight="1" x14ac:dyDescent="0.15">
      <c r="A31">
        <v>30</v>
      </c>
      <c r="B31" s="188" t="s">
        <v>222</v>
      </c>
      <c r="C31">
        <v>7.2700769999999998E-3</v>
      </c>
      <c r="D31">
        <v>0</v>
      </c>
      <c r="E31">
        <v>1.0469E-4</v>
      </c>
      <c r="F31">
        <v>0</v>
      </c>
      <c r="G31">
        <v>4.9213562199999998E-2</v>
      </c>
      <c r="H31">
        <v>0</v>
      </c>
      <c r="I31">
        <v>5.6588329199999995E-2</v>
      </c>
    </row>
    <row r="32" spans="1:9" ht="15" customHeight="1" x14ac:dyDescent="0.15">
      <c r="A32">
        <v>31</v>
      </c>
      <c r="B32" s="188" t="s">
        <v>223</v>
      </c>
      <c r="C32">
        <v>6.7875100000000001E-4</v>
      </c>
      <c r="D32">
        <v>0</v>
      </c>
      <c r="E32">
        <v>0</v>
      </c>
      <c r="F32">
        <v>0</v>
      </c>
      <c r="G32">
        <v>2.8211880000000001E-3</v>
      </c>
      <c r="H32">
        <v>0</v>
      </c>
      <c r="I32">
        <v>3.4999390000000001E-3</v>
      </c>
    </row>
    <row r="33" spans="1:9" ht="15" customHeight="1" x14ac:dyDescent="0.15">
      <c r="A33">
        <v>32</v>
      </c>
      <c r="B33" s="188" t="s">
        <v>224</v>
      </c>
      <c r="C33">
        <v>3.5365639999999999E-3</v>
      </c>
      <c r="D33">
        <v>0</v>
      </c>
      <c r="E33">
        <v>2.6170000000000002E-4</v>
      </c>
      <c r="F33">
        <v>0</v>
      </c>
      <c r="G33">
        <v>4.4189909999999997E-3</v>
      </c>
      <c r="H33">
        <v>0</v>
      </c>
      <c r="I33">
        <v>8.2172549999999997E-3</v>
      </c>
    </row>
    <row r="34" spans="1:9" ht="15" customHeight="1" x14ac:dyDescent="0.15">
      <c r="A34">
        <v>33</v>
      </c>
      <c r="B34" s="188" t="s">
        <v>225</v>
      </c>
      <c r="C34">
        <v>1.3080590000000001E-3</v>
      </c>
      <c r="D34">
        <v>0</v>
      </c>
      <c r="E34">
        <v>9.6794300000000003E-5</v>
      </c>
      <c r="F34">
        <v>0</v>
      </c>
      <c r="G34">
        <v>1.6344409999999999E-3</v>
      </c>
      <c r="H34">
        <v>0</v>
      </c>
      <c r="I34">
        <v>3.0392943000000002E-3</v>
      </c>
    </row>
    <row r="35" spans="1:9" ht="15" customHeight="1" x14ac:dyDescent="0.15">
      <c r="A35">
        <v>34</v>
      </c>
      <c r="B35" s="188" t="s">
        <v>226</v>
      </c>
      <c r="C35">
        <v>6.4499550000000003E-3</v>
      </c>
      <c r="D35">
        <v>0</v>
      </c>
      <c r="E35">
        <v>7.8737699999999997E-5</v>
      </c>
      <c r="F35">
        <v>0</v>
      </c>
      <c r="G35">
        <v>8.0193520000000004E-3</v>
      </c>
      <c r="H35">
        <v>0</v>
      </c>
      <c r="I35">
        <v>1.4548044700000002E-2</v>
      </c>
    </row>
    <row r="36" spans="1:9" ht="15" customHeight="1" x14ac:dyDescent="0.15">
      <c r="A36">
        <v>35</v>
      </c>
      <c r="B36" s="188" t="s">
        <v>227</v>
      </c>
      <c r="C36">
        <v>3.1815709999999998E-3</v>
      </c>
      <c r="D36">
        <v>4.3891700000000004E-3</v>
      </c>
      <c r="E36">
        <v>7.409789E-3</v>
      </c>
      <c r="F36">
        <v>2.1541906499999999E-2</v>
      </c>
      <c r="G36">
        <v>0</v>
      </c>
      <c r="H36">
        <v>0</v>
      </c>
      <c r="I36">
        <v>3.6522436499999998E-2</v>
      </c>
    </row>
    <row r="37" spans="1:9" ht="15" customHeight="1" x14ac:dyDescent="0.15">
      <c r="A37">
        <v>36</v>
      </c>
      <c r="B37" s="188" t="s">
        <v>228</v>
      </c>
      <c r="C37">
        <v>3.8092429999999999E-3</v>
      </c>
      <c r="D37">
        <v>5.5690832400000001E-2</v>
      </c>
      <c r="E37">
        <v>1.5818513900000001E-2</v>
      </c>
      <c r="F37">
        <v>0</v>
      </c>
      <c r="G37">
        <v>1.4254855E-2</v>
      </c>
      <c r="H37">
        <v>0</v>
      </c>
      <c r="I37">
        <v>8.9573444299999999E-2</v>
      </c>
    </row>
    <row r="38" spans="1:9" ht="15" customHeight="1" x14ac:dyDescent="0.15">
      <c r="A38">
        <v>37</v>
      </c>
      <c r="B38" s="188" t="s">
        <v>229</v>
      </c>
      <c r="C38">
        <v>0</v>
      </c>
      <c r="D38">
        <v>0</v>
      </c>
      <c r="E38">
        <v>0</v>
      </c>
      <c r="F38">
        <v>6.4771750000000003E-2</v>
      </c>
      <c r="G38">
        <v>0</v>
      </c>
      <c r="H38">
        <v>0</v>
      </c>
      <c r="I38">
        <v>6.4771750000000003E-2</v>
      </c>
    </row>
    <row r="39" spans="1:9" ht="15" customHeight="1" x14ac:dyDescent="0.15">
      <c r="A39">
        <v>38</v>
      </c>
      <c r="B39" s="188" t="s">
        <v>230</v>
      </c>
      <c r="C39">
        <v>0</v>
      </c>
      <c r="D39">
        <v>0</v>
      </c>
      <c r="E39">
        <v>0</v>
      </c>
      <c r="F39">
        <v>0</v>
      </c>
      <c r="G39">
        <v>0</v>
      </c>
      <c r="H39">
        <v>0</v>
      </c>
      <c r="I39">
        <v>0</v>
      </c>
    </row>
    <row r="40" spans="1:9" ht="15" customHeight="1" x14ac:dyDescent="0.15">
      <c r="A40">
        <v>39</v>
      </c>
      <c r="B40" s="188" t="s">
        <v>231</v>
      </c>
      <c r="C40">
        <v>0</v>
      </c>
      <c r="D40">
        <v>0</v>
      </c>
      <c r="E40">
        <v>0</v>
      </c>
      <c r="F40">
        <v>0</v>
      </c>
      <c r="G40">
        <v>0</v>
      </c>
      <c r="H40">
        <v>0</v>
      </c>
      <c r="I40">
        <v>0</v>
      </c>
    </row>
    <row r="41" spans="1:9" ht="15" customHeight="1" x14ac:dyDescent="0.15">
      <c r="A41">
        <v>40</v>
      </c>
      <c r="B41" s="188" t="s">
        <v>232</v>
      </c>
      <c r="C41">
        <v>0</v>
      </c>
      <c r="D41">
        <v>0</v>
      </c>
      <c r="E41">
        <v>0</v>
      </c>
      <c r="F41">
        <v>0</v>
      </c>
      <c r="G41">
        <v>0</v>
      </c>
      <c r="H41">
        <v>0</v>
      </c>
      <c r="I41">
        <v>0</v>
      </c>
    </row>
    <row r="42" spans="1:9" ht="15" customHeight="1" x14ac:dyDescent="0.15">
      <c r="A42">
        <v>41</v>
      </c>
      <c r="B42" s="188" t="s">
        <v>233</v>
      </c>
      <c r="C42">
        <v>0</v>
      </c>
      <c r="D42">
        <v>0</v>
      </c>
      <c r="E42">
        <v>0</v>
      </c>
      <c r="F42">
        <v>0</v>
      </c>
      <c r="G42">
        <v>0</v>
      </c>
      <c r="H42">
        <v>0</v>
      </c>
      <c r="I42">
        <v>0</v>
      </c>
    </row>
    <row r="43" spans="1:9" ht="15" customHeight="1" x14ac:dyDescent="0.15">
      <c r="A43">
        <v>42</v>
      </c>
      <c r="B43" s="188" t="s">
        <v>234</v>
      </c>
      <c r="C43">
        <v>0</v>
      </c>
      <c r="D43">
        <v>0</v>
      </c>
      <c r="E43">
        <v>0</v>
      </c>
      <c r="F43">
        <v>0</v>
      </c>
      <c r="G43">
        <v>0</v>
      </c>
      <c r="H43">
        <v>0</v>
      </c>
      <c r="I43">
        <v>0</v>
      </c>
    </row>
    <row r="44" spans="1:9" ht="15" customHeight="1" x14ac:dyDescent="0.15"/>
    <row r="45" spans="1:9" ht="15" customHeight="1" x14ac:dyDescent="0.15"/>
    <row r="46" spans="1:9" ht="15" customHeight="1" x14ac:dyDescent="0.15"/>
    <row r="47" spans="1:9" ht="15" customHeight="1" x14ac:dyDescent="0.15"/>
    <row r="48" spans="1:9"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I43"/>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7.83203125" bestFit="1" customWidth="1"/>
    <col min="3" max="3" width="11.83203125" bestFit="1" customWidth="1"/>
    <col min="4" max="4" width="2.33203125" bestFit="1" customWidth="1"/>
    <col min="5" max="5" width="12.83203125" bestFit="1" customWidth="1"/>
    <col min="6" max="6" width="2.33203125" customWidth="1"/>
    <col min="7" max="7" width="12.83203125" customWidth="1"/>
    <col min="8" max="8" width="2.33203125" customWidth="1"/>
    <col min="9" max="9" width="12.83203125" customWidth="1"/>
  </cols>
  <sheetData>
    <row r="1" spans="1:9" s="118" customFormat="1" ht="112" x14ac:dyDescent="0.15">
      <c r="A1" s="5" t="s">
        <v>22</v>
      </c>
      <c r="B1" s="3" t="s">
        <v>0</v>
      </c>
      <c r="C1" s="191" t="s">
        <v>235</v>
      </c>
      <c r="D1" s="191" t="s">
        <v>236</v>
      </c>
      <c r="E1" s="191" t="s">
        <v>237</v>
      </c>
      <c r="F1" s="191" t="s">
        <v>238</v>
      </c>
      <c r="G1" s="191" t="s">
        <v>239</v>
      </c>
      <c r="H1" s="191" t="s">
        <v>240</v>
      </c>
      <c r="I1" s="191" t="s">
        <v>244</v>
      </c>
    </row>
    <row r="2" spans="1:9" x14ac:dyDescent="0.15">
      <c r="A2">
        <v>1</v>
      </c>
      <c r="B2" s="190" t="s">
        <v>193</v>
      </c>
      <c r="C2">
        <v>0</v>
      </c>
      <c r="D2">
        <v>0</v>
      </c>
      <c r="E2">
        <v>0</v>
      </c>
      <c r="F2">
        <v>0</v>
      </c>
      <c r="G2">
        <v>0</v>
      </c>
      <c r="H2">
        <v>0</v>
      </c>
      <c r="I2">
        <v>0</v>
      </c>
    </row>
    <row r="3" spans="1:9" x14ac:dyDescent="0.15">
      <c r="A3">
        <v>2</v>
      </c>
      <c r="B3" s="190" t="s">
        <v>194</v>
      </c>
      <c r="C3">
        <v>0</v>
      </c>
      <c r="D3">
        <v>0</v>
      </c>
      <c r="E3">
        <v>0</v>
      </c>
      <c r="F3">
        <v>0</v>
      </c>
      <c r="G3">
        <v>0</v>
      </c>
      <c r="H3">
        <v>0</v>
      </c>
      <c r="I3">
        <v>0</v>
      </c>
    </row>
    <row r="4" spans="1:9" x14ac:dyDescent="0.15">
      <c r="A4">
        <v>3</v>
      </c>
      <c r="B4" s="190" t="s">
        <v>195</v>
      </c>
      <c r="C4">
        <v>0</v>
      </c>
      <c r="D4">
        <v>0</v>
      </c>
      <c r="E4">
        <v>0</v>
      </c>
      <c r="F4">
        <v>0</v>
      </c>
      <c r="G4">
        <v>0</v>
      </c>
      <c r="H4">
        <v>0</v>
      </c>
      <c r="I4">
        <v>0</v>
      </c>
    </row>
    <row r="5" spans="1:9" x14ac:dyDescent="0.15">
      <c r="A5">
        <v>4</v>
      </c>
      <c r="B5" s="190" t="s">
        <v>196</v>
      </c>
      <c r="C5">
        <v>0</v>
      </c>
      <c r="D5">
        <v>0</v>
      </c>
      <c r="E5">
        <v>0</v>
      </c>
      <c r="F5">
        <v>0</v>
      </c>
      <c r="G5">
        <v>0</v>
      </c>
      <c r="H5">
        <v>0</v>
      </c>
      <c r="I5">
        <v>0</v>
      </c>
    </row>
    <row r="6" spans="1:9" x14ac:dyDescent="0.15">
      <c r="A6">
        <v>5</v>
      </c>
      <c r="B6" s="190" t="s">
        <v>197</v>
      </c>
      <c r="C6">
        <v>0</v>
      </c>
      <c r="D6">
        <v>0</v>
      </c>
      <c r="E6">
        <v>0</v>
      </c>
      <c r="F6">
        <v>0</v>
      </c>
      <c r="G6">
        <v>0</v>
      </c>
      <c r="H6">
        <v>0</v>
      </c>
      <c r="I6">
        <v>0</v>
      </c>
    </row>
    <row r="7" spans="1:9" x14ac:dyDescent="0.15">
      <c r="A7">
        <v>6</v>
      </c>
      <c r="B7" s="190" t="s">
        <v>198</v>
      </c>
      <c r="C7">
        <v>0</v>
      </c>
      <c r="D7">
        <v>0</v>
      </c>
      <c r="E7">
        <v>0</v>
      </c>
      <c r="F7">
        <v>0</v>
      </c>
      <c r="G7">
        <v>0</v>
      </c>
      <c r="H7">
        <v>0</v>
      </c>
      <c r="I7">
        <v>0</v>
      </c>
    </row>
    <row r="8" spans="1:9" x14ac:dyDescent="0.15">
      <c r="A8">
        <v>7</v>
      </c>
      <c r="B8" s="190" t="s">
        <v>199</v>
      </c>
      <c r="C8">
        <v>0</v>
      </c>
      <c r="D8">
        <v>0</v>
      </c>
      <c r="E8">
        <v>0</v>
      </c>
      <c r="F8">
        <v>0</v>
      </c>
      <c r="G8">
        <v>5.9202913199999999E-2</v>
      </c>
      <c r="H8">
        <v>0</v>
      </c>
      <c r="I8">
        <v>5.9202913199999999E-2</v>
      </c>
    </row>
    <row r="9" spans="1:9" x14ac:dyDescent="0.15">
      <c r="A9">
        <v>8</v>
      </c>
      <c r="B9" s="190" t="s">
        <v>200</v>
      </c>
      <c r="C9">
        <v>0</v>
      </c>
      <c r="D9">
        <v>0</v>
      </c>
      <c r="E9">
        <v>0</v>
      </c>
      <c r="F9">
        <v>0</v>
      </c>
      <c r="G9">
        <v>0</v>
      </c>
      <c r="H9">
        <v>0</v>
      </c>
      <c r="I9">
        <v>0</v>
      </c>
    </row>
    <row r="10" spans="1:9" x14ac:dyDescent="0.15">
      <c r="A10">
        <v>9</v>
      </c>
      <c r="B10" s="190" t="s">
        <v>201</v>
      </c>
      <c r="C10">
        <v>5.6999800000000005E-4</v>
      </c>
      <c r="D10">
        <v>0</v>
      </c>
      <c r="E10">
        <v>0</v>
      </c>
      <c r="F10">
        <v>0</v>
      </c>
      <c r="G10">
        <v>0</v>
      </c>
      <c r="H10">
        <v>0</v>
      </c>
      <c r="I10">
        <v>5.6999800000000005E-4</v>
      </c>
    </row>
    <row r="11" spans="1:9" x14ac:dyDescent="0.15">
      <c r="A11">
        <v>10</v>
      </c>
      <c r="B11" s="190" t="s">
        <v>202</v>
      </c>
      <c r="C11">
        <v>2.6103950000000002E-3</v>
      </c>
      <c r="D11">
        <v>0</v>
      </c>
      <c r="E11">
        <v>0</v>
      </c>
      <c r="F11">
        <v>0</v>
      </c>
      <c r="G11">
        <v>3.5872314099999997E-2</v>
      </c>
      <c r="H11">
        <v>0</v>
      </c>
      <c r="I11">
        <v>3.8482709099999998E-2</v>
      </c>
    </row>
    <row r="12" spans="1:9" x14ac:dyDescent="0.15">
      <c r="A12">
        <v>11</v>
      </c>
      <c r="B12" s="190" t="s">
        <v>203</v>
      </c>
      <c r="C12">
        <v>5.1245140000000002E-3</v>
      </c>
      <c r="D12">
        <v>0</v>
      </c>
      <c r="E12">
        <v>0</v>
      </c>
      <c r="F12">
        <v>0</v>
      </c>
      <c r="G12">
        <v>5.0136779999999997E-3</v>
      </c>
      <c r="H12">
        <v>0</v>
      </c>
      <c r="I12">
        <v>1.0138192000000001E-2</v>
      </c>
    </row>
    <row r="13" spans="1:9" x14ac:dyDescent="0.15">
      <c r="A13">
        <v>12</v>
      </c>
      <c r="B13" s="190" t="s">
        <v>204</v>
      </c>
      <c r="C13">
        <v>0</v>
      </c>
      <c r="D13">
        <v>0</v>
      </c>
      <c r="E13">
        <v>0</v>
      </c>
      <c r="F13">
        <v>0</v>
      </c>
      <c r="G13">
        <v>7.210429E-3</v>
      </c>
      <c r="H13">
        <v>0</v>
      </c>
      <c r="I13">
        <v>7.210429E-3</v>
      </c>
    </row>
    <row r="14" spans="1:9" x14ac:dyDescent="0.15">
      <c r="A14">
        <v>13</v>
      </c>
      <c r="B14" s="190" t="s">
        <v>205</v>
      </c>
      <c r="C14">
        <v>0</v>
      </c>
      <c r="D14">
        <v>0</v>
      </c>
      <c r="E14">
        <v>0</v>
      </c>
      <c r="F14">
        <v>0</v>
      </c>
      <c r="G14">
        <v>6.8267200000000005E-4</v>
      </c>
      <c r="H14">
        <v>0</v>
      </c>
      <c r="I14">
        <v>6.8267200000000005E-4</v>
      </c>
    </row>
    <row r="15" spans="1:9" x14ac:dyDescent="0.15">
      <c r="A15">
        <v>14</v>
      </c>
      <c r="B15" s="190" t="s">
        <v>206</v>
      </c>
      <c r="C15">
        <v>3.9385700000000001E-4</v>
      </c>
      <c r="D15">
        <v>0</v>
      </c>
      <c r="E15">
        <v>0</v>
      </c>
      <c r="F15">
        <v>0</v>
      </c>
      <c r="G15">
        <v>0</v>
      </c>
      <c r="H15">
        <v>0</v>
      </c>
      <c r="I15">
        <v>3.9385700000000001E-4</v>
      </c>
    </row>
    <row r="16" spans="1:9" x14ac:dyDescent="0.15">
      <c r="A16">
        <v>15</v>
      </c>
      <c r="B16" s="190" t="s">
        <v>207</v>
      </c>
      <c r="C16">
        <v>0</v>
      </c>
      <c r="D16">
        <v>0</v>
      </c>
      <c r="E16">
        <v>0</v>
      </c>
      <c r="F16">
        <v>0</v>
      </c>
      <c r="G16">
        <v>8.2086800000000001E-2</v>
      </c>
      <c r="H16">
        <v>0</v>
      </c>
      <c r="I16">
        <v>8.2086800000000001E-2</v>
      </c>
    </row>
    <row r="17" spans="1:9" x14ac:dyDescent="0.15">
      <c r="A17">
        <v>16</v>
      </c>
      <c r="B17" s="190" t="s">
        <v>208</v>
      </c>
      <c r="C17">
        <v>0</v>
      </c>
      <c r="D17">
        <v>0</v>
      </c>
      <c r="E17">
        <v>0</v>
      </c>
      <c r="F17">
        <v>0</v>
      </c>
      <c r="G17">
        <v>0</v>
      </c>
      <c r="H17">
        <v>0</v>
      </c>
      <c r="I17">
        <v>0</v>
      </c>
    </row>
    <row r="18" spans="1:9" x14ac:dyDescent="0.15">
      <c r="A18">
        <v>17</v>
      </c>
      <c r="B18" s="190" t="s">
        <v>209</v>
      </c>
      <c r="C18">
        <v>0</v>
      </c>
      <c r="D18">
        <v>0</v>
      </c>
      <c r="E18">
        <v>0</v>
      </c>
      <c r="F18">
        <v>0</v>
      </c>
      <c r="G18">
        <v>2.3119389999999998E-3</v>
      </c>
      <c r="H18">
        <v>0</v>
      </c>
      <c r="I18">
        <v>2.3119389999999998E-3</v>
      </c>
    </row>
    <row r="19" spans="1:9" x14ac:dyDescent="0.15">
      <c r="A19">
        <v>18</v>
      </c>
      <c r="B19" s="190" t="s">
        <v>210</v>
      </c>
      <c r="C19">
        <v>0</v>
      </c>
      <c r="D19">
        <v>0</v>
      </c>
      <c r="E19">
        <v>0</v>
      </c>
      <c r="F19">
        <v>0</v>
      </c>
      <c r="G19">
        <v>0</v>
      </c>
      <c r="H19">
        <v>0</v>
      </c>
      <c r="I19">
        <v>0</v>
      </c>
    </row>
    <row r="20" spans="1:9" x14ac:dyDescent="0.15">
      <c r="A20">
        <v>19</v>
      </c>
      <c r="B20" s="190" t="s">
        <v>211</v>
      </c>
      <c r="C20">
        <v>0</v>
      </c>
      <c r="D20">
        <v>0</v>
      </c>
      <c r="E20">
        <v>0</v>
      </c>
      <c r="F20">
        <v>0</v>
      </c>
      <c r="G20">
        <v>2.7128959999999998E-3</v>
      </c>
      <c r="H20">
        <v>0</v>
      </c>
      <c r="I20">
        <v>2.7128959999999998E-3</v>
      </c>
    </row>
    <row r="21" spans="1:9" x14ac:dyDescent="0.15">
      <c r="A21">
        <v>20</v>
      </c>
      <c r="B21" s="190" t="s">
        <v>212</v>
      </c>
      <c r="C21">
        <v>0</v>
      </c>
      <c r="D21">
        <v>0</v>
      </c>
      <c r="E21">
        <v>7.7328040000000002E-3</v>
      </c>
      <c r="F21">
        <v>0</v>
      </c>
      <c r="G21">
        <v>8.1245680000000004E-3</v>
      </c>
      <c r="H21">
        <v>0</v>
      </c>
      <c r="I21">
        <v>1.5857372000000002E-2</v>
      </c>
    </row>
    <row r="22" spans="1:9" x14ac:dyDescent="0.15">
      <c r="A22">
        <v>21</v>
      </c>
      <c r="B22" s="190" t="s">
        <v>213</v>
      </c>
      <c r="C22">
        <v>0</v>
      </c>
      <c r="D22">
        <v>0</v>
      </c>
      <c r="E22">
        <v>5.6707229999999999E-3</v>
      </c>
      <c r="F22">
        <v>0</v>
      </c>
      <c r="G22">
        <v>4.1021649999999996E-3</v>
      </c>
      <c r="H22">
        <v>0</v>
      </c>
      <c r="I22">
        <v>9.7728880000000004E-3</v>
      </c>
    </row>
    <row r="23" spans="1:9" x14ac:dyDescent="0.15">
      <c r="A23">
        <v>22</v>
      </c>
      <c r="B23" s="190" t="s">
        <v>214</v>
      </c>
      <c r="C23">
        <v>0</v>
      </c>
      <c r="D23">
        <v>0</v>
      </c>
      <c r="E23">
        <v>5.6707229999999999E-3</v>
      </c>
      <c r="F23">
        <v>0</v>
      </c>
      <c r="G23">
        <v>0</v>
      </c>
      <c r="H23">
        <v>0</v>
      </c>
      <c r="I23">
        <v>5.6707229999999999E-3</v>
      </c>
    </row>
    <row r="24" spans="1:9" x14ac:dyDescent="0.15">
      <c r="A24">
        <v>23</v>
      </c>
      <c r="B24" s="190" t="s">
        <v>215</v>
      </c>
      <c r="C24">
        <v>0</v>
      </c>
      <c r="D24">
        <v>0</v>
      </c>
      <c r="E24">
        <v>5.6707229999999999E-3</v>
      </c>
      <c r="F24">
        <v>0</v>
      </c>
      <c r="G24">
        <v>2.022111E-3</v>
      </c>
      <c r="H24">
        <v>0</v>
      </c>
      <c r="I24">
        <v>7.692834E-3</v>
      </c>
    </row>
    <row r="25" spans="1:9" x14ac:dyDescent="0.15">
      <c r="A25">
        <v>24</v>
      </c>
      <c r="B25" s="190" t="s">
        <v>216</v>
      </c>
      <c r="C25">
        <v>3.8182199999999998E-4</v>
      </c>
      <c r="D25">
        <v>0</v>
      </c>
      <c r="E25">
        <v>1.5465606E-2</v>
      </c>
      <c r="F25">
        <v>0</v>
      </c>
      <c r="G25">
        <v>7.4152400000000002E-4</v>
      </c>
      <c r="H25">
        <v>0</v>
      </c>
      <c r="I25">
        <v>1.6588952000000001E-2</v>
      </c>
    </row>
    <row r="26" spans="1:9" x14ac:dyDescent="0.15">
      <c r="A26">
        <v>25</v>
      </c>
      <c r="B26" s="190" t="s">
        <v>217</v>
      </c>
      <c r="C26">
        <v>0</v>
      </c>
      <c r="D26">
        <v>0</v>
      </c>
      <c r="E26">
        <v>0</v>
      </c>
      <c r="F26">
        <v>0</v>
      </c>
      <c r="G26">
        <v>7.3993169999999997E-2</v>
      </c>
      <c r="H26">
        <v>0</v>
      </c>
      <c r="I26">
        <v>7.3993169999999997E-2</v>
      </c>
    </row>
    <row r="27" spans="1:9" x14ac:dyDescent="0.15">
      <c r="A27">
        <v>26</v>
      </c>
      <c r="B27" s="190" t="s">
        <v>218</v>
      </c>
      <c r="C27">
        <v>7.0675399999999998E-4</v>
      </c>
      <c r="D27">
        <v>0</v>
      </c>
      <c r="E27">
        <v>0</v>
      </c>
      <c r="F27">
        <v>0</v>
      </c>
      <c r="G27">
        <v>0</v>
      </c>
      <c r="H27">
        <v>0</v>
      </c>
      <c r="I27">
        <v>7.0675399999999998E-4</v>
      </c>
    </row>
    <row r="28" spans="1:9" x14ac:dyDescent="0.15">
      <c r="A28">
        <v>27</v>
      </c>
      <c r="B28" s="190" t="s">
        <v>219</v>
      </c>
      <c r="C28">
        <v>0</v>
      </c>
      <c r="D28">
        <v>0</v>
      </c>
      <c r="E28">
        <v>0</v>
      </c>
      <c r="F28">
        <v>0</v>
      </c>
      <c r="G28">
        <v>7.9785999999999995E-4</v>
      </c>
      <c r="H28">
        <v>0</v>
      </c>
      <c r="I28">
        <v>7.9785999999999995E-4</v>
      </c>
    </row>
    <row r="29" spans="1:9" x14ac:dyDescent="0.15">
      <c r="A29">
        <v>28</v>
      </c>
      <c r="B29" s="190" t="s">
        <v>220</v>
      </c>
      <c r="C29">
        <v>1.85988E-4</v>
      </c>
      <c r="D29">
        <v>0</v>
      </c>
      <c r="E29">
        <v>0</v>
      </c>
      <c r="F29">
        <v>0</v>
      </c>
      <c r="G29">
        <v>0</v>
      </c>
      <c r="H29">
        <v>0</v>
      </c>
      <c r="I29">
        <v>1.85988E-4</v>
      </c>
    </row>
    <row r="30" spans="1:9" x14ac:dyDescent="0.15">
      <c r="A30">
        <v>29</v>
      </c>
      <c r="B30" s="190" t="s">
        <v>221</v>
      </c>
      <c r="C30">
        <v>2.7898199999999999E-4</v>
      </c>
      <c r="D30">
        <v>0</v>
      </c>
      <c r="E30">
        <v>0</v>
      </c>
      <c r="F30">
        <v>0</v>
      </c>
      <c r="G30">
        <v>1.2543101799999999E-2</v>
      </c>
      <c r="H30">
        <v>0</v>
      </c>
      <c r="I30">
        <v>1.28220838E-2</v>
      </c>
    </row>
    <row r="31" spans="1:9" x14ac:dyDescent="0.15">
      <c r="A31">
        <v>30</v>
      </c>
      <c r="B31" s="190" t="s">
        <v>222</v>
      </c>
      <c r="C31">
        <v>0</v>
      </c>
      <c r="D31">
        <v>0</v>
      </c>
      <c r="E31">
        <v>0</v>
      </c>
      <c r="F31">
        <v>0</v>
      </c>
      <c r="G31">
        <v>8.8506790000000002E-3</v>
      </c>
      <c r="H31">
        <v>0</v>
      </c>
      <c r="I31">
        <v>8.8506790000000002E-3</v>
      </c>
    </row>
    <row r="32" spans="1:9" x14ac:dyDescent="0.15">
      <c r="A32">
        <v>31</v>
      </c>
      <c r="B32" s="190" t="s">
        <v>223</v>
      </c>
      <c r="C32">
        <v>0</v>
      </c>
      <c r="D32">
        <v>0</v>
      </c>
      <c r="E32">
        <v>0</v>
      </c>
      <c r="F32">
        <v>0</v>
      </c>
      <c r="G32">
        <v>1.29995523E-2</v>
      </c>
      <c r="H32">
        <v>0</v>
      </c>
      <c r="I32">
        <v>1.29995523E-2</v>
      </c>
    </row>
    <row r="33" spans="1:9" x14ac:dyDescent="0.15">
      <c r="A33">
        <v>32</v>
      </c>
      <c r="B33" s="190" t="s">
        <v>224</v>
      </c>
      <c r="C33">
        <v>0</v>
      </c>
      <c r="D33">
        <v>0</v>
      </c>
      <c r="E33">
        <v>0</v>
      </c>
      <c r="F33">
        <v>0</v>
      </c>
      <c r="G33">
        <v>0</v>
      </c>
      <c r="H33">
        <v>0</v>
      </c>
      <c r="I33">
        <v>0</v>
      </c>
    </row>
    <row r="34" spans="1:9" x14ac:dyDescent="0.15">
      <c r="A34">
        <v>33</v>
      </c>
      <c r="B34" s="190" t="s">
        <v>225</v>
      </c>
      <c r="C34">
        <v>0</v>
      </c>
      <c r="D34">
        <v>0</v>
      </c>
      <c r="E34">
        <v>0</v>
      </c>
      <c r="F34">
        <v>0</v>
      </c>
      <c r="G34">
        <v>0</v>
      </c>
      <c r="H34">
        <v>0</v>
      </c>
      <c r="I34">
        <v>0</v>
      </c>
    </row>
    <row r="35" spans="1:9" x14ac:dyDescent="0.15">
      <c r="A35">
        <v>34</v>
      </c>
      <c r="B35" s="190" t="s">
        <v>226</v>
      </c>
      <c r="C35">
        <v>0</v>
      </c>
      <c r="D35">
        <v>0</v>
      </c>
      <c r="E35">
        <v>0</v>
      </c>
      <c r="F35">
        <v>0</v>
      </c>
      <c r="G35">
        <v>0</v>
      </c>
      <c r="H35">
        <v>0</v>
      </c>
      <c r="I35">
        <v>0</v>
      </c>
    </row>
    <row r="36" spans="1:9" x14ac:dyDescent="0.15">
      <c r="A36">
        <v>35</v>
      </c>
      <c r="B36" s="190" t="s">
        <v>227</v>
      </c>
      <c r="C36">
        <v>0</v>
      </c>
      <c r="D36">
        <v>0</v>
      </c>
      <c r="E36">
        <v>0</v>
      </c>
      <c r="F36">
        <v>0</v>
      </c>
      <c r="G36">
        <v>0</v>
      </c>
      <c r="H36">
        <v>0</v>
      </c>
      <c r="I36">
        <v>0</v>
      </c>
    </row>
    <row r="37" spans="1:9" x14ac:dyDescent="0.15">
      <c r="A37">
        <v>36</v>
      </c>
      <c r="B37" s="190" t="s">
        <v>228</v>
      </c>
      <c r="C37">
        <v>0</v>
      </c>
      <c r="D37">
        <v>0</v>
      </c>
      <c r="E37">
        <v>1.0310401199999999E-2</v>
      </c>
      <c r="F37">
        <v>0</v>
      </c>
      <c r="G37">
        <v>8.8692299999999996E-4</v>
      </c>
      <c r="H37">
        <v>0</v>
      </c>
      <c r="I37">
        <v>1.1197324199999999E-2</v>
      </c>
    </row>
    <row r="38" spans="1:9" x14ac:dyDescent="0.15">
      <c r="A38">
        <v>37</v>
      </c>
      <c r="B38" s="190" t="s">
        <v>229</v>
      </c>
      <c r="C38">
        <v>0</v>
      </c>
      <c r="D38">
        <v>0</v>
      </c>
      <c r="E38">
        <v>0</v>
      </c>
      <c r="F38">
        <v>0</v>
      </c>
      <c r="G38">
        <v>0</v>
      </c>
      <c r="H38">
        <v>0</v>
      </c>
      <c r="I38">
        <v>0</v>
      </c>
    </row>
    <row r="39" spans="1:9" x14ac:dyDescent="0.15">
      <c r="A39">
        <v>38</v>
      </c>
      <c r="B39" s="190" t="s">
        <v>230</v>
      </c>
      <c r="C39">
        <v>0</v>
      </c>
      <c r="D39">
        <v>0</v>
      </c>
      <c r="E39">
        <v>0</v>
      </c>
      <c r="F39">
        <v>0</v>
      </c>
      <c r="G39">
        <v>0</v>
      </c>
      <c r="H39">
        <v>0</v>
      </c>
      <c r="I39">
        <v>0</v>
      </c>
    </row>
    <row r="40" spans="1:9" x14ac:dyDescent="0.15">
      <c r="A40">
        <v>39</v>
      </c>
      <c r="B40" s="190" t="s">
        <v>231</v>
      </c>
      <c r="C40">
        <v>0</v>
      </c>
      <c r="D40">
        <v>0</v>
      </c>
      <c r="E40">
        <v>0</v>
      </c>
      <c r="F40">
        <v>0</v>
      </c>
      <c r="G40">
        <v>0</v>
      </c>
      <c r="H40">
        <v>0</v>
      </c>
      <c r="I40">
        <v>0</v>
      </c>
    </row>
    <row r="41" spans="1:9" x14ac:dyDescent="0.15">
      <c r="A41">
        <v>40</v>
      </c>
      <c r="B41" s="190" t="s">
        <v>232</v>
      </c>
      <c r="C41">
        <v>0</v>
      </c>
      <c r="D41">
        <v>0</v>
      </c>
      <c r="E41">
        <v>0</v>
      </c>
      <c r="F41">
        <v>0</v>
      </c>
      <c r="G41">
        <v>0</v>
      </c>
      <c r="H41">
        <v>0</v>
      </c>
      <c r="I41">
        <v>0</v>
      </c>
    </row>
    <row r="42" spans="1:9" x14ac:dyDescent="0.15">
      <c r="A42">
        <v>41</v>
      </c>
      <c r="B42" s="190" t="s">
        <v>233</v>
      </c>
      <c r="C42">
        <v>0</v>
      </c>
      <c r="D42">
        <v>0</v>
      </c>
      <c r="E42">
        <v>0</v>
      </c>
      <c r="F42">
        <v>0</v>
      </c>
      <c r="G42">
        <v>0</v>
      </c>
      <c r="H42">
        <v>0</v>
      </c>
      <c r="I42">
        <v>0</v>
      </c>
    </row>
    <row r="43" spans="1:9" x14ac:dyDescent="0.15">
      <c r="A43">
        <v>42</v>
      </c>
      <c r="B43" s="190" t="s">
        <v>234</v>
      </c>
      <c r="C43">
        <v>0</v>
      </c>
      <c r="D43">
        <v>0</v>
      </c>
      <c r="E43">
        <v>0</v>
      </c>
      <c r="F43">
        <v>0</v>
      </c>
      <c r="G43">
        <v>0</v>
      </c>
      <c r="H43">
        <v>0</v>
      </c>
      <c r="I43">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27.83203125" bestFit="1" customWidth="1"/>
    <col min="6" max="6" width="4.83203125" bestFit="1" customWidth="1"/>
    <col min="7" max="9" width="3.83203125" bestFit="1" customWidth="1"/>
    <col min="10" max="11" width="4.83203125" style="117"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9" customFormat="1" ht="14" thickBot="1" x14ac:dyDescent="0.2">
      <c r="D1" s="120" t="s">
        <v>8</v>
      </c>
      <c r="E1" s="120" t="s">
        <v>0</v>
      </c>
      <c r="F1" s="121" t="s">
        <v>99</v>
      </c>
      <c r="G1" s="122" t="s">
        <v>84</v>
      </c>
      <c r="H1" s="122" t="s">
        <v>85</v>
      </c>
      <c r="I1" s="122" t="s">
        <v>86</v>
      </c>
      <c r="J1" s="122" t="s">
        <v>87</v>
      </c>
      <c r="K1" s="122" t="s">
        <v>88</v>
      </c>
      <c r="L1" s="123" t="s">
        <v>89</v>
      </c>
      <c r="M1" s="123" t="s">
        <v>93</v>
      </c>
      <c r="N1" s="123" t="s">
        <v>92</v>
      </c>
      <c r="O1" s="123" t="s">
        <v>90</v>
      </c>
      <c r="P1" s="123" t="s">
        <v>91</v>
      </c>
      <c r="Q1" s="124" t="s">
        <v>94</v>
      </c>
      <c r="R1" s="124" t="s">
        <v>95</v>
      </c>
      <c r="S1" s="124" t="s">
        <v>96</v>
      </c>
      <c r="T1" s="124" t="s">
        <v>97</v>
      </c>
      <c r="U1" s="124" t="s">
        <v>98</v>
      </c>
      <c r="V1" s="122" t="s">
        <v>100</v>
      </c>
      <c r="W1" s="122" t="s">
        <v>101</v>
      </c>
      <c r="X1" s="122" t="s">
        <v>102</v>
      </c>
      <c r="Y1" s="122" t="s">
        <v>134</v>
      </c>
      <c r="Z1" s="123" t="s">
        <v>103</v>
      </c>
      <c r="AA1" s="123" t="s">
        <v>104</v>
      </c>
      <c r="AB1" s="123" t="s">
        <v>105</v>
      </c>
      <c r="AC1" s="125" t="s">
        <v>135</v>
      </c>
      <c r="AD1" s="124" t="s">
        <v>106</v>
      </c>
      <c r="AE1" s="124" t="s">
        <v>107</v>
      </c>
      <c r="AF1" s="124" t="s">
        <v>108</v>
      </c>
      <c r="AG1" s="124" t="s">
        <v>136</v>
      </c>
      <c r="AH1" s="122" t="s">
        <v>109</v>
      </c>
      <c r="AI1" s="122" t="s">
        <v>111</v>
      </c>
      <c r="AJ1" s="122" t="s">
        <v>110</v>
      </c>
      <c r="AK1" s="123" t="s">
        <v>115</v>
      </c>
      <c r="AL1" s="123" t="s">
        <v>116</v>
      </c>
      <c r="AM1" s="123" t="s">
        <v>117</v>
      </c>
      <c r="AN1" s="124" t="s">
        <v>112</v>
      </c>
      <c r="AO1" s="124" t="s">
        <v>113</v>
      </c>
      <c r="AP1" s="124" t="s">
        <v>114</v>
      </c>
    </row>
    <row r="2" spans="1:42" x14ac:dyDescent="0.15">
      <c r="A2" s="126" t="s">
        <v>74</v>
      </c>
      <c r="B2" s="127">
        <v>1</v>
      </c>
      <c r="D2">
        <v>1</v>
      </c>
      <c r="E2" s="192" t="s">
        <v>193</v>
      </c>
      <c r="F2">
        <v>0.98</v>
      </c>
      <c r="G2">
        <v>0.8</v>
      </c>
      <c r="H2">
        <v>0.8</v>
      </c>
      <c r="I2">
        <v>0</v>
      </c>
      <c r="J2" s="117">
        <v>0</v>
      </c>
      <c r="K2" s="117">
        <v>0</v>
      </c>
    </row>
    <row r="3" spans="1:42" x14ac:dyDescent="0.15">
      <c r="A3" s="126" t="s">
        <v>75</v>
      </c>
      <c r="B3" s="128">
        <v>1</v>
      </c>
      <c r="D3">
        <v>2</v>
      </c>
      <c r="E3" s="192" t="s">
        <v>194</v>
      </c>
      <c r="F3">
        <v>0.98</v>
      </c>
      <c r="G3">
        <v>0.8</v>
      </c>
      <c r="H3">
        <v>0.8</v>
      </c>
      <c r="I3">
        <v>0</v>
      </c>
      <c r="J3" s="117">
        <v>0</v>
      </c>
      <c r="K3" s="117">
        <v>0</v>
      </c>
    </row>
    <row r="4" spans="1:42" x14ac:dyDescent="0.15">
      <c r="A4" s="126" t="s">
        <v>76</v>
      </c>
      <c r="B4" s="128">
        <v>1</v>
      </c>
      <c r="D4">
        <v>3</v>
      </c>
      <c r="E4" s="192" t="s">
        <v>195</v>
      </c>
      <c r="F4">
        <v>0.98</v>
      </c>
      <c r="G4">
        <v>0.8</v>
      </c>
      <c r="H4">
        <v>0.8</v>
      </c>
      <c r="I4">
        <v>0</v>
      </c>
      <c r="J4" s="117">
        <v>0</v>
      </c>
      <c r="K4" s="117">
        <v>0</v>
      </c>
    </row>
    <row r="5" spans="1:42" x14ac:dyDescent="0.15">
      <c r="A5" s="126" t="s">
        <v>77</v>
      </c>
      <c r="B5" s="128">
        <v>1</v>
      </c>
      <c r="D5">
        <v>4</v>
      </c>
      <c r="E5" s="192" t="s">
        <v>196</v>
      </c>
      <c r="F5">
        <v>0.98</v>
      </c>
      <c r="G5">
        <v>0.8</v>
      </c>
      <c r="H5">
        <v>0.8</v>
      </c>
      <c r="I5">
        <v>0.8</v>
      </c>
      <c r="J5" s="117">
        <v>0.25</v>
      </c>
      <c r="K5" s="117">
        <v>0.05</v>
      </c>
    </row>
    <row r="6" spans="1:42" x14ac:dyDescent="0.15">
      <c r="A6" s="126" t="s">
        <v>78</v>
      </c>
      <c r="B6" s="128">
        <v>1</v>
      </c>
      <c r="D6">
        <v>5</v>
      </c>
      <c r="E6" s="192" t="s">
        <v>197</v>
      </c>
      <c r="F6">
        <v>0.98</v>
      </c>
      <c r="G6">
        <v>0.8</v>
      </c>
      <c r="H6">
        <v>0.8</v>
      </c>
      <c r="I6">
        <v>0.8</v>
      </c>
      <c r="J6" s="117">
        <v>0.25</v>
      </c>
      <c r="K6" s="117">
        <v>0.05</v>
      </c>
    </row>
    <row r="7" spans="1:42" x14ac:dyDescent="0.15">
      <c r="A7" s="126" t="s">
        <v>79</v>
      </c>
      <c r="B7" s="128">
        <v>1</v>
      </c>
      <c r="D7">
        <v>6</v>
      </c>
      <c r="E7" s="192" t="s">
        <v>198</v>
      </c>
      <c r="F7">
        <v>0.98</v>
      </c>
      <c r="G7">
        <v>0.8</v>
      </c>
      <c r="H7">
        <v>0.8</v>
      </c>
      <c r="I7">
        <v>0.8</v>
      </c>
      <c r="J7" s="117">
        <v>0.25</v>
      </c>
      <c r="K7" s="117">
        <v>0.05</v>
      </c>
    </row>
    <row r="8" spans="1:42" x14ac:dyDescent="0.15">
      <c r="A8" s="126" t="s">
        <v>80</v>
      </c>
      <c r="B8" s="128">
        <v>1</v>
      </c>
      <c r="D8">
        <v>7</v>
      </c>
      <c r="E8" s="192" t="s">
        <v>199</v>
      </c>
      <c r="F8">
        <v>0.98</v>
      </c>
      <c r="G8">
        <v>0.8</v>
      </c>
      <c r="H8">
        <v>0.8</v>
      </c>
      <c r="I8">
        <v>0.8</v>
      </c>
      <c r="J8" s="117">
        <v>0.25</v>
      </c>
      <c r="K8" s="117">
        <v>0.05</v>
      </c>
    </row>
    <row r="9" spans="1:42" x14ac:dyDescent="0.15">
      <c r="A9" s="126" t="s">
        <v>81</v>
      </c>
      <c r="B9" s="128">
        <v>0.1</v>
      </c>
      <c r="C9" s="61" t="s">
        <v>150</v>
      </c>
      <c r="D9">
        <v>8</v>
      </c>
      <c r="E9" s="192" t="s">
        <v>200</v>
      </c>
      <c r="F9">
        <v>0.98</v>
      </c>
      <c r="G9">
        <v>0.8</v>
      </c>
      <c r="H9">
        <v>0.8</v>
      </c>
      <c r="I9">
        <v>0.8</v>
      </c>
      <c r="J9" s="117">
        <v>0.25</v>
      </c>
      <c r="K9" s="117">
        <v>0.05</v>
      </c>
    </row>
    <row r="10" spans="1:42" ht="14" thickBot="1" x14ac:dyDescent="0.2">
      <c r="A10" s="126" t="s">
        <v>149</v>
      </c>
      <c r="B10" s="129">
        <f>1/3</f>
        <v>0.33333333333333331</v>
      </c>
      <c r="C10" s="61" t="s">
        <v>150</v>
      </c>
      <c r="D10">
        <v>9</v>
      </c>
      <c r="E10" s="192" t="s">
        <v>201</v>
      </c>
      <c r="F10">
        <v>0.98</v>
      </c>
      <c r="G10">
        <v>0.8</v>
      </c>
      <c r="H10">
        <v>0.8</v>
      </c>
      <c r="I10">
        <v>0.8</v>
      </c>
      <c r="J10" s="117">
        <v>0.25</v>
      </c>
      <c r="K10" s="117">
        <v>0.05</v>
      </c>
    </row>
    <row r="11" spans="1:42" x14ac:dyDescent="0.15">
      <c r="D11">
        <v>10</v>
      </c>
      <c r="E11" s="192" t="s">
        <v>202</v>
      </c>
      <c r="F11">
        <v>0.98</v>
      </c>
      <c r="G11">
        <v>0.8</v>
      </c>
      <c r="H11">
        <v>0.8</v>
      </c>
      <c r="I11">
        <v>0.8</v>
      </c>
      <c r="J11" s="117">
        <v>0.25</v>
      </c>
      <c r="K11" s="117">
        <v>0.05</v>
      </c>
    </row>
    <row r="12" spans="1:42" x14ac:dyDescent="0.15">
      <c r="D12">
        <v>11</v>
      </c>
      <c r="E12" s="192" t="s">
        <v>203</v>
      </c>
      <c r="F12">
        <v>0.98</v>
      </c>
      <c r="G12">
        <v>0.8</v>
      </c>
      <c r="H12">
        <v>0.8</v>
      </c>
      <c r="I12">
        <v>0.8</v>
      </c>
      <c r="J12" s="117">
        <v>0.25</v>
      </c>
      <c r="K12" s="117">
        <v>0.05</v>
      </c>
    </row>
    <row r="13" spans="1:42" x14ac:dyDescent="0.15">
      <c r="D13">
        <v>12</v>
      </c>
      <c r="E13" s="192" t="s">
        <v>204</v>
      </c>
      <c r="F13">
        <v>0.98</v>
      </c>
      <c r="G13">
        <v>0.8</v>
      </c>
      <c r="H13">
        <v>0.8</v>
      </c>
      <c r="I13">
        <v>0.8</v>
      </c>
      <c r="J13" s="117">
        <v>0.25</v>
      </c>
      <c r="K13" s="117">
        <v>0.05</v>
      </c>
    </row>
    <row r="14" spans="1:42" x14ac:dyDescent="0.15">
      <c r="D14">
        <v>13</v>
      </c>
      <c r="E14" s="192" t="s">
        <v>205</v>
      </c>
      <c r="F14">
        <v>0.98</v>
      </c>
      <c r="G14">
        <v>0.8</v>
      </c>
      <c r="H14">
        <v>0.8</v>
      </c>
      <c r="I14">
        <v>0.8</v>
      </c>
      <c r="J14" s="117">
        <v>0.25</v>
      </c>
      <c r="K14" s="117">
        <v>0.05</v>
      </c>
    </row>
    <row r="15" spans="1:42" x14ac:dyDescent="0.15">
      <c r="D15">
        <v>14</v>
      </c>
      <c r="E15" s="192" t="s">
        <v>206</v>
      </c>
      <c r="F15">
        <v>0.98</v>
      </c>
      <c r="G15">
        <v>0.8</v>
      </c>
      <c r="H15">
        <v>0.8</v>
      </c>
      <c r="I15">
        <v>0.8</v>
      </c>
      <c r="J15" s="117">
        <v>0.25</v>
      </c>
      <c r="K15" s="117">
        <v>0.05</v>
      </c>
    </row>
    <row r="16" spans="1:42" x14ac:dyDescent="0.15">
      <c r="D16">
        <v>15</v>
      </c>
      <c r="E16" s="192" t="s">
        <v>207</v>
      </c>
      <c r="F16">
        <v>0.98</v>
      </c>
      <c r="G16">
        <v>0.8</v>
      </c>
      <c r="H16">
        <v>0.8</v>
      </c>
      <c r="I16">
        <v>0.8</v>
      </c>
      <c r="J16" s="117">
        <v>0.25</v>
      </c>
      <c r="K16" s="117">
        <v>0.05</v>
      </c>
    </row>
    <row r="17" spans="4:33" ht="15" customHeight="1" x14ac:dyDescent="0.15">
      <c r="D17">
        <v>16</v>
      </c>
      <c r="E17" s="192" t="s">
        <v>208</v>
      </c>
      <c r="F17">
        <v>0.98</v>
      </c>
      <c r="G17">
        <v>0.8</v>
      </c>
      <c r="H17">
        <v>0.8</v>
      </c>
      <c r="I17">
        <v>0.8</v>
      </c>
      <c r="J17" s="117">
        <v>0.25</v>
      </c>
      <c r="K17" s="117">
        <v>0.05</v>
      </c>
    </row>
    <row r="18" spans="4:33" ht="15" customHeight="1" x14ac:dyDescent="0.15">
      <c r="D18">
        <v>17</v>
      </c>
      <c r="E18" s="192" t="s">
        <v>209</v>
      </c>
      <c r="F18">
        <v>0.98</v>
      </c>
      <c r="G18">
        <v>0.8</v>
      </c>
      <c r="H18">
        <v>0.8</v>
      </c>
      <c r="I18">
        <v>0.8</v>
      </c>
      <c r="J18" s="117">
        <v>0.25</v>
      </c>
      <c r="K18" s="117">
        <v>0.05</v>
      </c>
    </row>
    <row r="19" spans="4:33" ht="15" customHeight="1" x14ac:dyDescent="0.15">
      <c r="D19">
        <v>18</v>
      </c>
      <c r="E19" s="192" t="s">
        <v>210</v>
      </c>
      <c r="F19">
        <v>0.98</v>
      </c>
      <c r="G19">
        <v>0.8</v>
      </c>
      <c r="H19">
        <v>0.8</v>
      </c>
      <c r="I19">
        <v>0.8</v>
      </c>
      <c r="J19" s="117">
        <v>0.25</v>
      </c>
      <c r="K19" s="117">
        <v>0.05</v>
      </c>
    </row>
    <row r="20" spans="4:33" ht="15" customHeight="1" x14ac:dyDescent="0.15">
      <c r="D20">
        <v>19</v>
      </c>
      <c r="E20" s="192" t="s">
        <v>211</v>
      </c>
      <c r="F20">
        <v>0.98</v>
      </c>
      <c r="G20">
        <v>0.8</v>
      </c>
      <c r="H20">
        <v>0.8</v>
      </c>
      <c r="I20">
        <v>0.8</v>
      </c>
      <c r="J20" s="117">
        <v>0.25</v>
      </c>
      <c r="K20" s="117">
        <v>0.05</v>
      </c>
    </row>
    <row r="21" spans="4:33" ht="15" customHeight="1" x14ac:dyDescent="0.15">
      <c r="D21">
        <v>20</v>
      </c>
      <c r="E21" s="192" t="s">
        <v>212</v>
      </c>
      <c r="F21">
        <v>0.98</v>
      </c>
      <c r="G21">
        <v>0.8</v>
      </c>
      <c r="H21">
        <v>0.8</v>
      </c>
      <c r="I21">
        <v>0.8</v>
      </c>
      <c r="J21" s="117">
        <v>0.25</v>
      </c>
      <c r="K21" s="117">
        <v>0.05</v>
      </c>
    </row>
    <row r="22" spans="4:33" ht="15" customHeight="1" x14ac:dyDescent="0.15">
      <c r="D22">
        <v>21</v>
      </c>
      <c r="E22" s="192" t="s">
        <v>213</v>
      </c>
      <c r="F22">
        <v>0.98</v>
      </c>
      <c r="G22">
        <v>0.8</v>
      </c>
      <c r="H22">
        <v>0.8</v>
      </c>
      <c r="I22">
        <v>0.8</v>
      </c>
      <c r="J22" s="117">
        <v>0.25</v>
      </c>
      <c r="K22" s="117">
        <v>0.05</v>
      </c>
    </row>
    <row r="23" spans="4:33" ht="15" customHeight="1" x14ac:dyDescent="0.15">
      <c r="D23">
        <v>22</v>
      </c>
      <c r="E23" s="192" t="s">
        <v>214</v>
      </c>
      <c r="F23">
        <v>0.98</v>
      </c>
      <c r="G23">
        <v>0.8</v>
      </c>
      <c r="H23">
        <v>0.8</v>
      </c>
      <c r="I23">
        <v>0.8</v>
      </c>
      <c r="J23" s="117">
        <v>0.25</v>
      </c>
      <c r="K23" s="117">
        <v>0.05</v>
      </c>
    </row>
    <row r="24" spans="4:33" ht="15" customHeight="1" x14ac:dyDescent="0.15">
      <c r="D24">
        <v>23</v>
      </c>
      <c r="E24" s="192" t="s">
        <v>215</v>
      </c>
      <c r="F24">
        <v>0.98</v>
      </c>
      <c r="G24">
        <v>0.8</v>
      </c>
      <c r="H24">
        <v>0.8</v>
      </c>
      <c r="I24">
        <v>0.8</v>
      </c>
      <c r="J24" s="117">
        <v>0.25</v>
      </c>
      <c r="K24" s="117">
        <v>0.05</v>
      </c>
    </row>
    <row r="25" spans="4:33" ht="15" customHeight="1" x14ac:dyDescent="0.15">
      <c r="D25">
        <v>24</v>
      </c>
      <c r="E25" s="192" t="s">
        <v>216</v>
      </c>
      <c r="F25">
        <v>0.98</v>
      </c>
      <c r="G25">
        <v>0.8</v>
      </c>
      <c r="H25">
        <v>0.8</v>
      </c>
      <c r="I25">
        <v>0.8</v>
      </c>
      <c r="J25" s="117">
        <v>0.25</v>
      </c>
      <c r="K25" s="117">
        <v>0.05</v>
      </c>
    </row>
    <row r="26" spans="4:33" ht="15" customHeight="1" x14ac:dyDescent="0.15">
      <c r="D26">
        <v>25</v>
      </c>
      <c r="E26" s="192" t="s">
        <v>217</v>
      </c>
      <c r="F26">
        <v>0.98</v>
      </c>
      <c r="G26">
        <v>0.8</v>
      </c>
      <c r="H26">
        <v>0.8</v>
      </c>
      <c r="I26">
        <v>0.8</v>
      </c>
      <c r="J26" s="117">
        <v>0.25</v>
      </c>
      <c r="K26" s="117">
        <v>0.05</v>
      </c>
    </row>
    <row r="27" spans="4:33" ht="15" customHeight="1" x14ac:dyDescent="0.15">
      <c r="D27">
        <v>26</v>
      </c>
      <c r="E27" s="192" t="s">
        <v>218</v>
      </c>
      <c r="F27">
        <v>0.98</v>
      </c>
      <c r="G27">
        <v>0.8</v>
      </c>
      <c r="H27">
        <v>0.8</v>
      </c>
      <c r="I27">
        <v>0.8</v>
      </c>
      <c r="J27" s="117">
        <v>0.25</v>
      </c>
      <c r="K27" s="117">
        <v>0.05</v>
      </c>
    </row>
    <row r="28" spans="4:33" ht="15" customHeight="1" x14ac:dyDescent="0.15">
      <c r="D28">
        <v>27</v>
      </c>
      <c r="E28" s="192" t="s">
        <v>219</v>
      </c>
      <c r="F28">
        <v>0.98</v>
      </c>
      <c r="G28">
        <v>0.8</v>
      </c>
      <c r="H28">
        <v>0.8</v>
      </c>
      <c r="I28">
        <v>0.8</v>
      </c>
      <c r="J28" s="117">
        <v>0.25</v>
      </c>
      <c r="K28" s="117">
        <v>0.05</v>
      </c>
    </row>
    <row r="29" spans="4:33" ht="15" customHeight="1" x14ac:dyDescent="0.15">
      <c r="D29">
        <v>28</v>
      </c>
      <c r="E29" s="192" t="s">
        <v>220</v>
      </c>
      <c r="F29">
        <v>0.98</v>
      </c>
      <c r="G29">
        <v>0.8</v>
      </c>
      <c r="H29">
        <v>0.8</v>
      </c>
      <c r="I29">
        <v>0.8</v>
      </c>
      <c r="J29" s="117">
        <v>0.25</v>
      </c>
      <c r="K29" s="117">
        <v>0.05</v>
      </c>
      <c r="Y29"/>
      <c r="AC29"/>
      <c r="AG29"/>
    </row>
    <row r="30" spans="4:33" ht="15" customHeight="1" x14ac:dyDescent="0.15">
      <c r="D30">
        <v>29</v>
      </c>
      <c r="E30" s="192" t="s">
        <v>221</v>
      </c>
      <c r="F30">
        <v>0.98</v>
      </c>
      <c r="G30">
        <v>0.8</v>
      </c>
      <c r="H30">
        <v>0.8</v>
      </c>
      <c r="I30">
        <v>0.8</v>
      </c>
      <c r="J30" s="117">
        <v>0.25</v>
      </c>
      <c r="K30" s="117">
        <v>0.05</v>
      </c>
      <c r="Y30"/>
      <c r="AC30"/>
      <c r="AG30"/>
    </row>
    <row r="31" spans="4:33" ht="15" customHeight="1" x14ac:dyDescent="0.15">
      <c r="D31">
        <v>30</v>
      </c>
      <c r="E31" s="192" t="s">
        <v>222</v>
      </c>
      <c r="F31">
        <v>0.98</v>
      </c>
      <c r="G31">
        <v>0.8</v>
      </c>
      <c r="H31">
        <v>0.8</v>
      </c>
      <c r="I31">
        <v>0.8</v>
      </c>
      <c r="J31" s="117">
        <v>0.25</v>
      </c>
      <c r="K31" s="117">
        <v>0.05</v>
      </c>
      <c r="Y31"/>
      <c r="AC31"/>
      <c r="AG31"/>
    </row>
    <row r="32" spans="4:33" ht="15" customHeight="1" x14ac:dyDescent="0.15">
      <c r="D32">
        <v>31</v>
      </c>
      <c r="E32" s="192" t="s">
        <v>223</v>
      </c>
      <c r="F32">
        <v>0.98</v>
      </c>
      <c r="G32">
        <v>0.8</v>
      </c>
      <c r="H32">
        <v>0.8</v>
      </c>
      <c r="I32">
        <v>0.8</v>
      </c>
      <c r="J32" s="117">
        <v>0.25</v>
      </c>
      <c r="K32" s="117">
        <v>0.05</v>
      </c>
      <c r="Y32"/>
      <c r="AC32"/>
      <c r="AG32"/>
    </row>
    <row r="33" spans="4:33" ht="15" customHeight="1" x14ac:dyDescent="0.15">
      <c r="D33">
        <v>32</v>
      </c>
      <c r="E33" s="192" t="s">
        <v>224</v>
      </c>
      <c r="F33">
        <v>0.98</v>
      </c>
      <c r="G33">
        <v>0.8</v>
      </c>
      <c r="H33">
        <v>0.8</v>
      </c>
      <c r="I33">
        <v>0.8</v>
      </c>
      <c r="J33" s="117">
        <v>0.25</v>
      </c>
      <c r="K33" s="117">
        <v>0.05</v>
      </c>
      <c r="Y33"/>
      <c r="AC33"/>
      <c r="AG33"/>
    </row>
    <row r="34" spans="4:33" ht="15" customHeight="1" x14ac:dyDescent="0.15">
      <c r="D34">
        <v>33</v>
      </c>
      <c r="E34" s="192" t="s">
        <v>225</v>
      </c>
      <c r="F34">
        <v>0.98</v>
      </c>
      <c r="G34">
        <v>0.8</v>
      </c>
      <c r="H34">
        <v>0.8</v>
      </c>
      <c r="I34">
        <v>0.8</v>
      </c>
      <c r="J34" s="117">
        <v>0.25</v>
      </c>
      <c r="K34" s="117">
        <v>0.05</v>
      </c>
      <c r="Y34"/>
      <c r="AC34"/>
      <c r="AG34"/>
    </row>
    <row r="35" spans="4:33" ht="15" customHeight="1" x14ac:dyDescent="0.15">
      <c r="D35">
        <v>34</v>
      </c>
      <c r="E35" s="192" t="s">
        <v>226</v>
      </c>
      <c r="F35">
        <v>0.98</v>
      </c>
      <c r="G35">
        <v>0.8</v>
      </c>
      <c r="H35">
        <v>0.8</v>
      </c>
      <c r="I35">
        <v>0.8</v>
      </c>
      <c r="J35" s="117">
        <v>0.25</v>
      </c>
      <c r="K35" s="117">
        <v>0.05</v>
      </c>
      <c r="Y35"/>
      <c r="AC35"/>
      <c r="AG35"/>
    </row>
    <row r="36" spans="4:33" ht="15" customHeight="1" x14ac:dyDescent="0.15">
      <c r="D36">
        <v>35</v>
      </c>
      <c r="E36" s="192" t="s">
        <v>227</v>
      </c>
      <c r="F36">
        <v>0.98</v>
      </c>
      <c r="G36">
        <v>0.8</v>
      </c>
      <c r="H36">
        <v>0.8</v>
      </c>
      <c r="I36">
        <v>0.8</v>
      </c>
      <c r="J36" s="117">
        <v>0.25</v>
      </c>
      <c r="K36" s="117">
        <v>0.05</v>
      </c>
      <c r="Y36"/>
      <c r="AC36"/>
      <c r="AG36"/>
    </row>
    <row r="37" spans="4:33" ht="15" customHeight="1" x14ac:dyDescent="0.15">
      <c r="D37">
        <v>36</v>
      </c>
      <c r="E37" s="192" t="s">
        <v>228</v>
      </c>
      <c r="F37">
        <v>0.98</v>
      </c>
      <c r="G37">
        <v>0.8</v>
      </c>
      <c r="H37">
        <v>0.8</v>
      </c>
      <c r="I37">
        <v>0.8</v>
      </c>
      <c r="J37" s="117">
        <v>0.25</v>
      </c>
      <c r="K37" s="117">
        <v>0.05</v>
      </c>
      <c r="Y37"/>
      <c r="AC37"/>
      <c r="AG37"/>
    </row>
    <row r="38" spans="4:33" ht="15" customHeight="1" x14ac:dyDescent="0.15">
      <c r="D38">
        <v>37</v>
      </c>
      <c r="E38" s="192" t="s">
        <v>229</v>
      </c>
      <c r="F38">
        <v>0.98</v>
      </c>
      <c r="G38">
        <v>0.8</v>
      </c>
      <c r="H38">
        <v>0.8</v>
      </c>
      <c r="I38">
        <v>0.8</v>
      </c>
      <c r="J38" s="117">
        <v>0.25</v>
      </c>
      <c r="K38" s="117">
        <v>0.05</v>
      </c>
      <c r="Y38"/>
      <c r="AC38"/>
      <c r="AG38"/>
    </row>
    <row r="39" spans="4:33" ht="15" customHeight="1" x14ac:dyDescent="0.15">
      <c r="D39">
        <v>38</v>
      </c>
      <c r="E39" s="192" t="s">
        <v>230</v>
      </c>
      <c r="F39">
        <v>0.98</v>
      </c>
      <c r="G39">
        <v>0.8</v>
      </c>
      <c r="H39">
        <v>0.8</v>
      </c>
      <c r="I39">
        <v>0.8</v>
      </c>
      <c r="J39" s="117">
        <v>0.25</v>
      </c>
      <c r="K39" s="117">
        <v>0.05</v>
      </c>
    </row>
    <row r="40" spans="4:33" ht="15" customHeight="1" x14ac:dyDescent="0.15">
      <c r="D40">
        <v>39</v>
      </c>
      <c r="E40" s="192" t="s">
        <v>231</v>
      </c>
      <c r="F40">
        <v>0.98</v>
      </c>
      <c r="G40">
        <v>0.8</v>
      </c>
      <c r="H40">
        <v>0.8</v>
      </c>
      <c r="I40">
        <v>0.8</v>
      </c>
      <c r="J40" s="117">
        <v>0.25</v>
      </c>
      <c r="K40" s="117">
        <v>0.05</v>
      </c>
      <c r="Y40"/>
      <c r="AC40"/>
      <c r="AG40"/>
    </row>
    <row r="41" spans="4:33" ht="15" customHeight="1" x14ac:dyDescent="0.15">
      <c r="D41">
        <v>40</v>
      </c>
      <c r="E41" s="192" t="s">
        <v>232</v>
      </c>
      <c r="F41">
        <v>0.98</v>
      </c>
      <c r="G41">
        <v>0.8</v>
      </c>
      <c r="H41">
        <v>0</v>
      </c>
      <c r="I41">
        <v>0</v>
      </c>
      <c r="J41" s="117">
        <v>0</v>
      </c>
      <c r="K41" s="117">
        <v>0</v>
      </c>
      <c r="Y41"/>
      <c r="AC41"/>
      <c r="AG41"/>
    </row>
    <row r="42" spans="4:33" ht="15" customHeight="1" x14ac:dyDescent="0.15">
      <c r="D42">
        <v>41</v>
      </c>
      <c r="E42" s="192" t="s">
        <v>233</v>
      </c>
      <c r="F42">
        <v>0.98</v>
      </c>
      <c r="G42">
        <v>0.8</v>
      </c>
      <c r="H42">
        <v>0</v>
      </c>
      <c r="I42">
        <v>0</v>
      </c>
      <c r="J42" s="117">
        <v>0</v>
      </c>
      <c r="K42" s="117">
        <v>0</v>
      </c>
      <c r="Y42"/>
      <c r="AC42"/>
      <c r="AG42"/>
    </row>
    <row r="43" spans="4:33" ht="15" customHeight="1" x14ac:dyDescent="0.15">
      <c r="D43">
        <v>42</v>
      </c>
      <c r="E43" s="192" t="s">
        <v>234</v>
      </c>
      <c r="F43">
        <v>0.98</v>
      </c>
      <c r="G43">
        <v>0.8</v>
      </c>
      <c r="H43">
        <v>0</v>
      </c>
      <c r="I43">
        <v>0</v>
      </c>
      <c r="J43" s="117">
        <v>0</v>
      </c>
      <c r="K43" s="117">
        <v>0</v>
      </c>
      <c r="Y43"/>
      <c r="AC43"/>
      <c r="AG43"/>
    </row>
    <row r="44" spans="4:33" ht="15" customHeight="1" x14ac:dyDescent="0.15">
      <c r="J44"/>
      <c r="K44"/>
      <c r="Y44"/>
      <c r="AC44"/>
      <c r="AG44"/>
    </row>
    <row r="45" spans="4:33" ht="15" customHeight="1" x14ac:dyDescent="0.15">
      <c r="J45"/>
      <c r="K45"/>
      <c r="Y45"/>
      <c r="AC45"/>
      <c r="AG45"/>
    </row>
    <row r="46" spans="4:33" ht="15" customHeight="1" x14ac:dyDescent="0.15">
      <c r="J46"/>
      <c r="K46"/>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Q44"/>
  <sheetViews>
    <sheetView workbookViewId="0">
      <selection activeCell="A3" sqref="A3"/>
    </sheetView>
  </sheetViews>
  <sheetFormatPr baseColWidth="10" defaultRowHeight="13" x14ac:dyDescent="0.15"/>
  <cols>
    <col min="1" max="1" width="27.83203125" style="115" bestFit="1" customWidth="1"/>
    <col min="2" max="4" width="2.33203125" style="115" customWidth="1"/>
    <col min="5" max="40" width="3.83203125" style="115" customWidth="1"/>
    <col min="41" max="43" width="2.33203125" style="115" customWidth="1"/>
    <col min="44" max="16384" width="10.83203125" style="115"/>
  </cols>
  <sheetData>
    <row r="1" spans="1:43" x14ac:dyDescent="0.15">
      <c r="A1" s="63" t="s">
        <v>118</v>
      </c>
      <c r="B1" s="194" t="s">
        <v>193</v>
      </c>
      <c r="C1" s="194" t="s">
        <v>194</v>
      </c>
      <c r="D1" s="194" t="s">
        <v>195</v>
      </c>
      <c r="E1" s="194" t="s">
        <v>196</v>
      </c>
      <c r="F1" s="194" t="s">
        <v>197</v>
      </c>
      <c r="G1" s="194" t="s">
        <v>198</v>
      </c>
      <c r="H1" s="194" t="s">
        <v>199</v>
      </c>
      <c r="I1" s="194" t="s">
        <v>200</v>
      </c>
      <c r="J1" s="194" t="s">
        <v>201</v>
      </c>
      <c r="K1" s="194" t="s">
        <v>202</v>
      </c>
      <c r="L1" s="194" t="s">
        <v>203</v>
      </c>
      <c r="M1" s="194" t="s">
        <v>204</v>
      </c>
      <c r="N1" s="194" t="s">
        <v>205</v>
      </c>
      <c r="O1" s="194" t="s">
        <v>206</v>
      </c>
      <c r="P1" s="194" t="s">
        <v>207</v>
      </c>
      <c r="Q1" s="194" t="s">
        <v>208</v>
      </c>
      <c r="R1" s="194" t="s">
        <v>209</v>
      </c>
      <c r="S1" s="194" t="s">
        <v>210</v>
      </c>
      <c r="T1" s="194" t="s">
        <v>211</v>
      </c>
      <c r="U1" s="194" t="s">
        <v>212</v>
      </c>
      <c r="V1" s="194" t="s">
        <v>213</v>
      </c>
      <c r="W1" s="194" t="s">
        <v>214</v>
      </c>
      <c r="X1" s="194" t="s">
        <v>215</v>
      </c>
      <c r="Y1" s="194" t="s">
        <v>216</v>
      </c>
      <c r="Z1" s="194" t="s">
        <v>217</v>
      </c>
      <c r="AA1" s="194" t="s">
        <v>218</v>
      </c>
      <c r="AB1" s="194" t="s">
        <v>219</v>
      </c>
      <c r="AC1" s="194" t="s">
        <v>220</v>
      </c>
      <c r="AD1" s="194" t="s">
        <v>221</v>
      </c>
      <c r="AE1" s="194" t="s">
        <v>222</v>
      </c>
      <c r="AF1" s="194" t="s">
        <v>223</v>
      </c>
      <c r="AG1" s="194" t="s">
        <v>224</v>
      </c>
      <c r="AH1" s="194" t="s">
        <v>225</v>
      </c>
      <c r="AI1" s="194" t="s">
        <v>226</v>
      </c>
      <c r="AJ1" s="194" t="s">
        <v>227</v>
      </c>
      <c r="AK1" s="194" t="s">
        <v>228</v>
      </c>
      <c r="AL1" s="194" t="s">
        <v>229</v>
      </c>
      <c r="AM1" s="194" t="s">
        <v>230</v>
      </c>
      <c r="AN1" s="194" t="s">
        <v>231</v>
      </c>
      <c r="AO1" s="194" t="s">
        <v>232</v>
      </c>
      <c r="AP1" s="194" t="s">
        <v>233</v>
      </c>
      <c r="AQ1" s="194" t="s">
        <v>234</v>
      </c>
    </row>
    <row r="2" spans="1:43" customFormat="1" x14ac:dyDescent="0.15">
      <c r="A2" s="193" t="s">
        <v>193</v>
      </c>
      <c r="B2" s="115">
        <v>0</v>
      </c>
      <c r="C2" s="115">
        <v>0</v>
      </c>
      <c r="D2" s="115">
        <v>0</v>
      </c>
      <c r="E2" s="115">
        <v>0.8</v>
      </c>
      <c r="F2" s="115">
        <v>0.8</v>
      </c>
      <c r="G2" s="115">
        <v>0.8</v>
      </c>
      <c r="H2" s="115">
        <v>0.8</v>
      </c>
      <c r="I2" s="115">
        <v>0.8</v>
      </c>
      <c r="J2" s="115">
        <v>0.8</v>
      </c>
      <c r="K2" s="115">
        <v>0.8</v>
      </c>
      <c r="L2" s="115">
        <v>0.8</v>
      </c>
      <c r="M2" s="115">
        <v>0</v>
      </c>
      <c r="N2" s="115">
        <v>0</v>
      </c>
      <c r="O2" s="115">
        <v>0</v>
      </c>
      <c r="P2" s="115">
        <v>0</v>
      </c>
      <c r="Q2" s="115">
        <v>0</v>
      </c>
      <c r="R2" s="115">
        <v>0</v>
      </c>
      <c r="S2" s="115">
        <v>0</v>
      </c>
      <c r="T2" s="115">
        <v>0</v>
      </c>
      <c r="U2" s="115">
        <v>0</v>
      </c>
      <c r="V2" s="115">
        <v>0</v>
      </c>
      <c r="W2" s="115">
        <v>0.8</v>
      </c>
      <c r="X2" s="115">
        <v>0</v>
      </c>
      <c r="Y2" s="115">
        <v>0</v>
      </c>
      <c r="Z2" s="115">
        <v>0</v>
      </c>
      <c r="AA2" s="115">
        <v>0.8</v>
      </c>
      <c r="AB2" s="115">
        <v>0</v>
      </c>
      <c r="AC2" s="115">
        <v>0</v>
      </c>
      <c r="AD2" s="115">
        <v>0</v>
      </c>
      <c r="AE2" s="115">
        <v>0.8</v>
      </c>
      <c r="AF2" s="115">
        <v>0</v>
      </c>
      <c r="AG2" s="115">
        <v>0</v>
      </c>
      <c r="AH2" s="115">
        <v>0</v>
      </c>
      <c r="AI2" s="115">
        <v>0</v>
      </c>
      <c r="AJ2" s="115">
        <v>0.8</v>
      </c>
      <c r="AK2" s="115">
        <v>0</v>
      </c>
      <c r="AL2" s="115">
        <v>0</v>
      </c>
      <c r="AM2" s="115">
        <v>0</v>
      </c>
      <c r="AN2" s="115">
        <v>0</v>
      </c>
      <c r="AO2" s="115">
        <v>0</v>
      </c>
      <c r="AP2" s="115">
        <v>0</v>
      </c>
      <c r="AQ2" s="115">
        <v>0</v>
      </c>
    </row>
    <row r="3" spans="1:43" customFormat="1" x14ac:dyDescent="0.15">
      <c r="A3" s="193" t="s">
        <v>194</v>
      </c>
      <c r="B3" s="115">
        <v>0</v>
      </c>
      <c r="C3" s="115">
        <v>0</v>
      </c>
      <c r="D3" s="115">
        <v>0</v>
      </c>
      <c r="E3" s="115">
        <v>0</v>
      </c>
      <c r="F3" s="115">
        <v>0</v>
      </c>
      <c r="G3" s="115">
        <v>0</v>
      </c>
      <c r="H3" s="115">
        <v>0</v>
      </c>
      <c r="I3" s="115">
        <v>0.8</v>
      </c>
      <c r="J3" s="115">
        <v>0.8</v>
      </c>
      <c r="K3" s="115">
        <v>0.8</v>
      </c>
      <c r="L3" s="115">
        <v>0.8</v>
      </c>
      <c r="M3" s="115">
        <v>0</v>
      </c>
      <c r="N3" s="115">
        <v>0.8</v>
      </c>
      <c r="O3" s="115">
        <v>0</v>
      </c>
      <c r="P3" s="115">
        <v>0</v>
      </c>
      <c r="Q3" s="115">
        <v>0.8</v>
      </c>
      <c r="R3" s="115">
        <v>0.8</v>
      </c>
      <c r="S3" s="115">
        <v>0</v>
      </c>
      <c r="T3" s="115">
        <v>0.8</v>
      </c>
      <c r="U3" s="115">
        <v>0</v>
      </c>
      <c r="V3" s="115">
        <v>0</v>
      </c>
      <c r="W3" s="115">
        <v>0</v>
      </c>
      <c r="X3" s="115">
        <v>0</v>
      </c>
      <c r="Y3" s="115">
        <v>0</v>
      </c>
      <c r="Z3" s="115">
        <v>0.8</v>
      </c>
      <c r="AA3" s="115">
        <v>0.8</v>
      </c>
      <c r="AB3" s="115">
        <v>0.8</v>
      </c>
      <c r="AC3" s="115">
        <v>0.8</v>
      </c>
      <c r="AD3" s="115">
        <v>0.8</v>
      </c>
      <c r="AE3" s="115">
        <v>0.8</v>
      </c>
      <c r="AF3" s="115">
        <v>0</v>
      </c>
      <c r="AG3" s="115">
        <v>0</v>
      </c>
      <c r="AH3" s="115">
        <v>0</v>
      </c>
      <c r="AI3" s="115">
        <v>0</v>
      </c>
      <c r="AJ3" s="115">
        <v>0</v>
      </c>
      <c r="AK3" s="115">
        <v>0.8</v>
      </c>
      <c r="AL3" s="115">
        <v>0</v>
      </c>
      <c r="AM3" s="115">
        <v>0</v>
      </c>
      <c r="AN3" s="115">
        <v>0</v>
      </c>
      <c r="AO3" s="115">
        <v>0</v>
      </c>
      <c r="AP3" s="115">
        <v>0</v>
      </c>
      <c r="AQ3" s="115">
        <v>0</v>
      </c>
    </row>
    <row r="4" spans="1:43" customFormat="1" x14ac:dyDescent="0.15">
      <c r="A4" s="193" t="s">
        <v>195</v>
      </c>
      <c r="B4" s="115">
        <v>0</v>
      </c>
      <c r="C4" s="115">
        <v>0</v>
      </c>
      <c r="D4" s="115">
        <v>0</v>
      </c>
      <c r="E4" s="115">
        <v>0</v>
      </c>
      <c r="F4" s="115">
        <v>0</v>
      </c>
      <c r="G4" s="115">
        <v>0</v>
      </c>
      <c r="H4" s="115">
        <v>0</v>
      </c>
      <c r="I4" s="115">
        <v>0</v>
      </c>
      <c r="J4" s="115">
        <v>0</v>
      </c>
      <c r="K4" s="115">
        <v>0.8</v>
      </c>
      <c r="L4" s="115">
        <v>0</v>
      </c>
      <c r="M4" s="115">
        <v>0</v>
      </c>
      <c r="N4" s="115">
        <v>0.8</v>
      </c>
      <c r="O4" s="115">
        <v>0</v>
      </c>
      <c r="P4" s="115">
        <v>0</v>
      </c>
      <c r="Q4" s="115">
        <v>0</v>
      </c>
      <c r="R4" s="115">
        <v>0.8</v>
      </c>
      <c r="S4" s="115">
        <v>0</v>
      </c>
      <c r="T4" s="115">
        <v>0</v>
      </c>
      <c r="U4" s="115">
        <v>0</v>
      </c>
      <c r="V4" s="115">
        <v>0</v>
      </c>
      <c r="W4" s="115">
        <v>0</v>
      </c>
      <c r="X4" s="115">
        <v>0</v>
      </c>
      <c r="Y4" s="115">
        <v>0</v>
      </c>
      <c r="Z4" s="115">
        <v>0.8</v>
      </c>
      <c r="AA4" s="115">
        <v>0</v>
      </c>
      <c r="AB4" s="115">
        <v>0</v>
      </c>
      <c r="AC4" s="115">
        <v>0.8</v>
      </c>
      <c r="AD4" s="115">
        <v>0.8</v>
      </c>
      <c r="AE4" s="115">
        <v>0.8</v>
      </c>
      <c r="AF4" s="115">
        <v>0</v>
      </c>
      <c r="AG4" s="115">
        <v>0</v>
      </c>
      <c r="AH4" s="115">
        <v>0</v>
      </c>
      <c r="AI4" s="115">
        <v>0</v>
      </c>
      <c r="AJ4" s="115">
        <v>0</v>
      </c>
      <c r="AK4" s="115">
        <v>0.8</v>
      </c>
      <c r="AL4" s="115">
        <v>0</v>
      </c>
      <c r="AM4" s="115">
        <v>0</v>
      </c>
      <c r="AN4" s="115">
        <v>0</v>
      </c>
      <c r="AO4" s="115">
        <v>0</v>
      </c>
      <c r="AP4" s="115">
        <v>0</v>
      </c>
      <c r="AQ4" s="115">
        <v>0</v>
      </c>
    </row>
    <row r="5" spans="1:43" customFormat="1" x14ac:dyDescent="0.15">
      <c r="A5" s="193" t="s">
        <v>196</v>
      </c>
      <c r="B5" s="115">
        <v>0</v>
      </c>
      <c r="C5" s="115">
        <v>0</v>
      </c>
      <c r="D5" s="115">
        <v>0</v>
      </c>
      <c r="E5" s="115">
        <v>0</v>
      </c>
      <c r="F5" s="115">
        <v>0.8</v>
      </c>
      <c r="G5" s="115">
        <v>0</v>
      </c>
      <c r="H5" s="115">
        <v>0.8</v>
      </c>
      <c r="I5" s="115">
        <v>0.8</v>
      </c>
      <c r="J5" s="115">
        <v>0</v>
      </c>
      <c r="K5" s="115">
        <v>0.8</v>
      </c>
      <c r="L5" s="115">
        <v>0.8</v>
      </c>
      <c r="M5" s="115">
        <v>0</v>
      </c>
      <c r="N5" s="115">
        <v>0.8</v>
      </c>
      <c r="O5" s="115">
        <v>0</v>
      </c>
      <c r="P5" s="115">
        <v>0</v>
      </c>
      <c r="Q5" s="115">
        <v>0</v>
      </c>
      <c r="R5" s="115">
        <v>0.8</v>
      </c>
      <c r="S5" s="115">
        <v>0</v>
      </c>
      <c r="T5" s="115">
        <v>0.8</v>
      </c>
      <c r="U5" s="115">
        <v>0.8</v>
      </c>
      <c r="V5" s="115">
        <v>0.8</v>
      </c>
      <c r="W5" s="115">
        <v>0.8</v>
      </c>
      <c r="X5" s="115">
        <v>0.8</v>
      </c>
      <c r="Y5" s="115">
        <v>0.8</v>
      </c>
      <c r="Z5" s="115">
        <v>0</v>
      </c>
      <c r="AA5" s="115">
        <v>0</v>
      </c>
      <c r="AB5" s="115">
        <v>0</v>
      </c>
      <c r="AC5" s="115">
        <v>0</v>
      </c>
      <c r="AD5" s="115">
        <v>0</v>
      </c>
      <c r="AE5" s="115">
        <v>0</v>
      </c>
      <c r="AF5" s="115">
        <v>0</v>
      </c>
      <c r="AG5" s="115">
        <v>0</v>
      </c>
      <c r="AH5" s="115">
        <v>0</v>
      </c>
      <c r="AI5" s="115">
        <v>0</v>
      </c>
      <c r="AJ5" s="115">
        <v>0.8</v>
      </c>
      <c r="AK5" s="115">
        <v>0.8</v>
      </c>
      <c r="AL5" s="115">
        <v>0</v>
      </c>
      <c r="AM5" s="115">
        <v>0</v>
      </c>
      <c r="AN5" s="115">
        <v>0</v>
      </c>
      <c r="AO5" s="115">
        <v>0</v>
      </c>
      <c r="AP5" s="115">
        <v>0</v>
      </c>
      <c r="AQ5" s="115">
        <v>0</v>
      </c>
    </row>
    <row r="6" spans="1:43" customFormat="1" x14ac:dyDescent="0.15">
      <c r="A6" s="193" t="s">
        <v>197</v>
      </c>
      <c r="B6" s="115">
        <v>0</v>
      </c>
      <c r="C6" s="115">
        <v>0</v>
      </c>
      <c r="D6" s="115">
        <v>0</v>
      </c>
      <c r="E6" s="115">
        <v>0.8</v>
      </c>
      <c r="F6" s="115">
        <v>0.8</v>
      </c>
      <c r="G6" s="115">
        <v>0</v>
      </c>
      <c r="H6" s="115">
        <v>0.8</v>
      </c>
      <c r="I6" s="115">
        <v>0</v>
      </c>
      <c r="J6" s="115">
        <v>0</v>
      </c>
      <c r="K6" s="115">
        <v>0.8</v>
      </c>
      <c r="L6" s="115">
        <v>0</v>
      </c>
      <c r="M6" s="115">
        <v>0.8</v>
      </c>
      <c r="N6" s="115">
        <v>0.8</v>
      </c>
      <c r="O6" s="115">
        <v>0.8</v>
      </c>
      <c r="P6" s="115">
        <v>0</v>
      </c>
      <c r="Q6" s="115">
        <v>0.8</v>
      </c>
      <c r="R6" s="115">
        <v>0</v>
      </c>
      <c r="S6" s="115">
        <v>0</v>
      </c>
      <c r="T6" s="115">
        <v>0.8</v>
      </c>
      <c r="U6" s="115">
        <v>0.8</v>
      </c>
      <c r="V6" s="115">
        <v>0.8</v>
      </c>
      <c r="W6" s="115">
        <v>0</v>
      </c>
      <c r="X6" s="115">
        <v>0</v>
      </c>
      <c r="Y6" s="115">
        <v>0.8</v>
      </c>
      <c r="Z6" s="115">
        <v>0.8</v>
      </c>
      <c r="AA6" s="115">
        <v>0.8</v>
      </c>
      <c r="AB6" s="115">
        <v>0.8</v>
      </c>
      <c r="AC6" s="115">
        <v>0.8</v>
      </c>
      <c r="AD6" s="115">
        <v>0</v>
      </c>
      <c r="AE6" s="115">
        <v>0.8</v>
      </c>
      <c r="AF6" s="115">
        <v>0.8</v>
      </c>
      <c r="AG6" s="115">
        <v>0.8</v>
      </c>
      <c r="AH6" s="115">
        <v>0</v>
      </c>
      <c r="AI6" s="115">
        <v>0</v>
      </c>
      <c r="AJ6" s="115">
        <v>0.8</v>
      </c>
      <c r="AK6" s="115">
        <v>0.8</v>
      </c>
      <c r="AL6" s="115">
        <v>0</v>
      </c>
      <c r="AM6" s="115">
        <v>0</v>
      </c>
      <c r="AN6" s="115">
        <v>0</v>
      </c>
      <c r="AO6" s="115">
        <v>0</v>
      </c>
      <c r="AP6" s="115">
        <v>0</v>
      </c>
      <c r="AQ6" s="115">
        <v>0</v>
      </c>
    </row>
    <row r="7" spans="1:43" customFormat="1" x14ac:dyDescent="0.15">
      <c r="A7" s="193" t="s">
        <v>198</v>
      </c>
      <c r="B7" s="115">
        <v>0</v>
      </c>
      <c r="C7" s="115">
        <v>0</v>
      </c>
      <c r="D7" s="115">
        <v>0</v>
      </c>
      <c r="E7" s="115">
        <v>0</v>
      </c>
      <c r="F7" s="115">
        <v>0</v>
      </c>
      <c r="G7" s="115">
        <v>0</v>
      </c>
      <c r="H7" s="115">
        <v>0</v>
      </c>
      <c r="I7" s="115">
        <v>0</v>
      </c>
      <c r="J7" s="115">
        <v>0</v>
      </c>
      <c r="K7" s="115">
        <v>0.8</v>
      </c>
      <c r="L7" s="115">
        <v>0.8</v>
      </c>
      <c r="M7" s="115">
        <v>0</v>
      </c>
      <c r="N7" s="115">
        <v>0.8</v>
      </c>
      <c r="O7" s="115">
        <v>0</v>
      </c>
      <c r="P7" s="115">
        <v>0</v>
      </c>
      <c r="Q7" s="115">
        <v>0</v>
      </c>
      <c r="R7" s="115">
        <v>0.8</v>
      </c>
      <c r="S7" s="115">
        <v>0.8</v>
      </c>
      <c r="T7" s="115">
        <v>0</v>
      </c>
      <c r="U7" s="115">
        <v>0</v>
      </c>
      <c r="V7" s="115">
        <v>0</v>
      </c>
      <c r="W7" s="115">
        <v>0</v>
      </c>
      <c r="X7" s="115">
        <v>0</v>
      </c>
      <c r="Y7" s="115">
        <v>0</v>
      </c>
      <c r="Z7" s="115">
        <v>0.8</v>
      </c>
      <c r="AA7" s="115">
        <v>0.8</v>
      </c>
      <c r="AB7" s="115">
        <v>0</v>
      </c>
      <c r="AC7" s="115">
        <v>0</v>
      </c>
      <c r="AD7" s="115">
        <v>0</v>
      </c>
      <c r="AE7" s="115">
        <v>0</v>
      </c>
      <c r="AF7" s="115">
        <v>0</v>
      </c>
      <c r="AG7" s="115">
        <v>0</v>
      </c>
      <c r="AH7" s="115">
        <v>0</v>
      </c>
      <c r="AI7" s="115">
        <v>0</v>
      </c>
      <c r="AJ7" s="115">
        <v>0</v>
      </c>
      <c r="AK7" s="115">
        <v>0</v>
      </c>
      <c r="AL7" s="115">
        <v>0</v>
      </c>
      <c r="AM7" s="115">
        <v>0</v>
      </c>
      <c r="AN7" s="115">
        <v>0</v>
      </c>
      <c r="AO7" s="115">
        <v>0</v>
      </c>
      <c r="AP7" s="115">
        <v>0</v>
      </c>
      <c r="AQ7" s="115">
        <v>0</v>
      </c>
    </row>
    <row r="8" spans="1:43" customFormat="1" x14ac:dyDescent="0.15">
      <c r="A8" s="193" t="s">
        <v>199</v>
      </c>
      <c r="B8" s="115">
        <v>0</v>
      </c>
      <c r="C8" s="115">
        <v>0</v>
      </c>
      <c r="D8" s="115">
        <v>0</v>
      </c>
      <c r="E8" s="115">
        <v>0</v>
      </c>
      <c r="F8" s="115">
        <v>0</v>
      </c>
      <c r="G8" s="115">
        <v>0</v>
      </c>
      <c r="H8" s="115">
        <v>0</v>
      </c>
      <c r="I8" s="115">
        <v>0.8</v>
      </c>
      <c r="J8" s="115">
        <v>0</v>
      </c>
      <c r="K8" s="115">
        <v>0.8</v>
      </c>
      <c r="L8" s="115">
        <v>0.8</v>
      </c>
      <c r="M8" s="115">
        <v>0</v>
      </c>
      <c r="N8" s="115">
        <v>0</v>
      </c>
      <c r="O8" s="115">
        <v>0</v>
      </c>
      <c r="P8" s="115">
        <v>0</v>
      </c>
      <c r="Q8" s="115">
        <v>0.8</v>
      </c>
      <c r="R8" s="115">
        <v>0</v>
      </c>
      <c r="S8" s="115">
        <v>0</v>
      </c>
      <c r="T8" s="115">
        <v>0</v>
      </c>
      <c r="U8" s="115">
        <v>0</v>
      </c>
      <c r="V8" s="115">
        <v>0</v>
      </c>
      <c r="W8" s="115">
        <v>0</v>
      </c>
      <c r="X8" s="115">
        <v>0</v>
      </c>
      <c r="Y8" s="115">
        <v>0</v>
      </c>
      <c r="Z8" s="115">
        <v>0.8</v>
      </c>
      <c r="AA8" s="115">
        <v>0.8</v>
      </c>
      <c r="AB8" s="115">
        <v>0</v>
      </c>
      <c r="AC8" s="115">
        <v>0.8</v>
      </c>
      <c r="AD8" s="115">
        <v>0.8</v>
      </c>
      <c r="AE8" s="115">
        <v>0.8</v>
      </c>
      <c r="AF8" s="115">
        <v>0</v>
      </c>
      <c r="AG8" s="115">
        <v>0</v>
      </c>
      <c r="AH8" s="115">
        <v>0.8</v>
      </c>
      <c r="AI8" s="115">
        <v>0</v>
      </c>
      <c r="AJ8" s="115">
        <v>0</v>
      </c>
      <c r="AK8" s="115">
        <v>0.8</v>
      </c>
      <c r="AL8" s="115">
        <v>0</v>
      </c>
      <c r="AM8" s="115">
        <v>0</v>
      </c>
      <c r="AN8" s="115">
        <v>0</v>
      </c>
      <c r="AO8" s="115">
        <v>0</v>
      </c>
      <c r="AP8" s="115">
        <v>0</v>
      </c>
      <c r="AQ8" s="115">
        <v>0</v>
      </c>
    </row>
    <row r="9" spans="1:43" customFormat="1" x14ac:dyDescent="0.15">
      <c r="A9" s="193" t="s">
        <v>200</v>
      </c>
      <c r="B9" s="115">
        <v>0</v>
      </c>
      <c r="C9" s="115">
        <v>0</v>
      </c>
      <c r="D9" s="115">
        <v>0</v>
      </c>
      <c r="E9" s="115">
        <v>0</v>
      </c>
      <c r="F9" s="115">
        <v>0</v>
      </c>
      <c r="G9" s="115">
        <v>0</v>
      </c>
      <c r="H9" s="115">
        <v>0</v>
      </c>
      <c r="I9" s="115">
        <v>0.8</v>
      </c>
      <c r="J9" s="115">
        <v>0</v>
      </c>
      <c r="K9" s="115">
        <v>0.8</v>
      </c>
      <c r="L9" s="115">
        <v>0.8</v>
      </c>
      <c r="M9" s="115">
        <v>0.8</v>
      </c>
      <c r="N9" s="115">
        <v>0.8</v>
      </c>
      <c r="O9" s="115">
        <v>0</v>
      </c>
      <c r="P9" s="115">
        <v>0.8</v>
      </c>
      <c r="Q9" s="115">
        <v>0.8</v>
      </c>
      <c r="R9" s="115">
        <v>0.8</v>
      </c>
      <c r="S9" s="115">
        <v>0.8</v>
      </c>
      <c r="T9" s="115">
        <v>0.8</v>
      </c>
      <c r="U9" s="115">
        <v>0.8</v>
      </c>
      <c r="V9" s="115">
        <v>0.8</v>
      </c>
      <c r="W9" s="115">
        <v>0</v>
      </c>
      <c r="X9" s="115">
        <v>0</v>
      </c>
      <c r="Y9" s="115">
        <v>0.8</v>
      </c>
      <c r="Z9" s="115">
        <v>0.8</v>
      </c>
      <c r="AA9" s="115">
        <v>0.8</v>
      </c>
      <c r="AB9" s="115">
        <v>0.8</v>
      </c>
      <c r="AC9" s="115">
        <v>0.8</v>
      </c>
      <c r="AD9" s="115">
        <v>0.8</v>
      </c>
      <c r="AE9" s="115">
        <v>0.8</v>
      </c>
      <c r="AF9" s="115">
        <v>0.8</v>
      </c>
      <c r="AG9" s="115">
        <v>0.8</v>
      </c>
      <c r="AH9" s="115">
        <v>0.8</v>
      </c>
      <c r="AI9" s="115">
        <v>0.8</v>
      </c>
      <c r="AJ9" s="115">
        <v>0</v>
      </c>
      <c r="AK9" s="115">
        <v>0.8</v>
      </c>
      <c r="AL9" s="115">
        <v>0</v>
      </c>
      <c r="AM9" s="115">
        <v>0</v>
      </c>
      <c r="AN9" s="115">
        <v>0</v>
      </c>
      <c r="AO9" s="115">
        <v>0</v>
      </c>
      <c r="AP9" s="115">
        <v>0</v>
      </c>
      <c r="AQ9" s="115">
        <v>0</v>
      </c>
    </row>
    <row r="10" spans="1:43" customFormat="1" x14ac:dyDescent="0.15">
      <c r="A10" s="193" t="s">
        <v>201</v>
      </c>
      <c r="B10" s="115">
        <v>0</v>
      </c>
      <c r="C10" s="115">
        <v>0</v>
      </c>
      <c r="D10" s="115">
        <v>0</v>
      </c>
      <c r="E10" s="115">
        <v>0</v>
      </c>
      <c r="F10" s="115">
        <v>0</v>
      </c>
      <c r="G10" s="115">
        <v>0</v>
      </c>
      <c r="H10" s="115">
        <v>0</v>
      </c>
      <c r="I10" s="115">
        <v>0.8</v>
      </c>
      <c r="J10" s="115">
        <v>0</v>
      </c>
      <c r="K10" s="115">
        <v>0.8</v>
      </c>
      <c r="L10" s="115">
        <v>0.8</v>
      </c>
      <c r="M10" s="115">
        <v>0.8</v>
      </c>
      <c r="N10" s="115">
        <v>0.8</v>
      </c>
      <c r="O10" s="115">
        <v>0</v>
      </c>
      <c r="P10" s="115">
        <v>0.8</v>
      </c>
      <c r="Q10" s="115">
        <v>0.8</v>
      </c>
      <c r="R10" s="115">
        <v>0.8</v>
      </c>
      <c r="S10" s="115">
        <v>0.8</v>
      </c>
      <c r="T10" s="115">
        <v>0</v>
      </c>
      <c r="U10" s="115">
        <v>0.8</v>
      </c>
      <c r="V10" s="115">
        <v>0.8</v>
      </c>
      <c r="W10" s="115">
        <v>0</v>
      </c>
      <c r="X10" s="115">
        <v>0</v>
      </c>
      <c r="Y10" s="115">
        <v>0.8</v>
      </c>
      <c r="Z10" s="115">
        <v>0.8</v>
      </c>
      <c r="AA10" s="115">
        <v>0.8</v>
      </c>
      <c r="AB10" s="115">
        <v>0.8</v>
      </c>
      <c r="AC10" s="115">
        <v>0.8</v>
      </c>
      <c r="AD10" s="115">
        <v>0.8</v>
      </c>
      <c r="AE10" s="115">
        <v>0.8</v>
      </c>
      <c r="AF10" s="115">
        <v>0.8</v>
      </c>
      <c r="AG10" s="115">
        <v>0.8</v>
      </c>
      <c r="AH10" s="115">
        <v>0</v>
      </c>
      <c r="AI10" s="115">
        <v>0.8</v>
      </c>
      <c r="AJ10" s="115">
        <v>0</v>
      </c>
      <c r="AK10" s="115">
        <v>0.8</v>
      </c>
      <c r="AL10" s="115">
        <v>0</v>
      </c>
      <c r="AM10" s="115">
        <v>0</v>
      </c>
      <c r="AN10" s="115">
        <v>0</v>
      </c>
      <c r="AO10" s="115">
        <v>0</v>
      </c>
      <c r="AP10" s="115">
        <v>0</v>
      </c>
      <c r="AQ10" s="115">
        <v>0</v>
      </c>
    </row>
    <row r="11" spans="1:43" customFormat="1" x14ac:dyDescent="0.15">
      <c r="A11" s="193" t="s">
        <v>202</v>
      </c>
      <c r="B11" s="115">
        <v>0</v>
      </c>
      <c r="C11" s="115">
        <v>0</v>
      </c>
      <c r="D11" s="115">
        <v>0</v>
      </c>
      <c r="E11" s="115">
        <v>0</v>
      </c>
      <c r="F11" s="115">
        <v>0</v>
      </c>
      <c r="G11" s="115">
        <v>0</v>
      </c>
      <c r="H11" s="115">
        <v>0</v>
      </c>
      <c r="I11" s="115">
        <v>0.8</v>
      </c>
      <c r="J11" s="115">
        <v>0</v>
      </c>
      <c r="K11" s="115">
        <v>0.8</v>
      </c>
      <c r="L11" s="115">
        <v>0.8</v>
      </c>
      <c r="M11" s="115">
        <v>0.8</v>
      </c>
      <c r="N11" s="115">
        <v>0</v>
      </c>
      <c r="O11" s="115">
        <v>0</v>
      </c>
      <c r="P11" s="115">
        <v>0</v>
      </c>
      <c r="Q11" s="115">
        <v>0.8</v>
      </c>
      <c r="R11" s="115">
        <v>0.8</v>
      </c>
      <c r="S11" s="115">
        <v>0.8</v>
      </c>
      <c r="T11" s="115">
        <v>0</v>
      </c>
      <c r="U11" s="115">
        <v>0</v>
      </c>
      <c r="V11" s="115">
        <v>0</v>
      </c>
      <c r="W11" s="115">
        <v>0</v>
      </c>
      <c r="X11" s="115">
        <v>0</v>
      </c>
      <c r="Y11" s="115">
        <v>0</v>
      </c>
      <c r="Z11" s="115">
        <v>0.8</v>
      </c>
      <c r="AA11" s="115">
        <v>0.8</v>
      </c>
      <c r="AB11" s="115">
        <v>0.8</v>
      </c>
      <c r="AC11" s="115">
        <v>0.8</v>
      </c>
      <c r="AD11" s="115">
        <v>0.8</v>
      </c>
      <c r="AE11" s="115">
        <v>0.8</v>
      </c>
      <c r="AF11" s="115">
        <v>0</v>
      </c>
      <c r="AG11" s="115">
        <v>0.8</v>
      </c>
      <c r="AH11" s="115">
        <v>0.8</v>
      </c>
      <c r="AI11" s="115">
        <v>0.8</v>
      </c>
      <c r="AJ11" s="115">
        <v>0</v>
      </c>
      <c r="AK11" s="115">
        <v>0</v>
      </c>
      <c r="AL11" s="115">
        <v>0</v>
      </c>
      <c r="AM11" s="115">
        <v>0</v>
      </c>
      <c r="AN11" s="115">
        <v>0</v>
      </c>
      <c r="AO11" s="115">
        <v>0</v>
      </c>
      <c r="AP11" s="115">
        <v>0</v>
      </c>
      <c r="AQ11" s="115">
        <v>0</v>
      </c>
    </row>
    <row r="12" spans="1:43" customFormat="1" x14ac:dyDescent="0.15">
      <c r="A12" s="193" t="s">
        <v>203</v>
      </c>
      <c r="B12" s="115">
        <v>0</v>
      </c>
      <c r="C12" s="115">
        <v>0</v>
      </c>
      <c r="D12" s="115">
        <v>0</v>
      </c>
      <c r="E12" s="115">
        <v>0</v>
      </c>
      <c r="F12" s="115">
        <v>0</v>
      </c>
      <c r="G12" s="115">
        <v>0</v>
      </c>
      <c r="H12" s="115">
        <v>0</v>
      </c>
      <c r="I12" s="115">
        <v>0.8</v>
      </c>
      <c r="J12" s="115">
        <v>0</v>
      </c>
      <c r="K12" s="115">
        <v>0.8</v>
      </c>
      <c r="L12" s="115">
        <v>0.8</v>
      </c>
      <c r="M12" s="115">
        <v>0.8</v>
      </c>
      <c r="N12" s="115">
        <v>0.8</v>
      </c>
      <c r="O12" s="115">
        <v>0</v>
      </c>
      <c r="P12" s="115">
        <v>0.8</v>
      </c>
      <c r="Q12" s="115">
        <v>0.8</v>
      </c>
      <c r="R12" s="115">
        <v>0.8</v>
      </c>
      <c r="S12" s="115">
        <v>0.8</v>
      </c>
      <c r="T12" s="115">
        <v>0.8</v>
      </c>
      <c r="U12" s="115">
        <v>0</v>
      </c>
      <c r="V12" s="115">
        <v>0</v>
      </c>
      <c r="W12" s="115">
        <v>0</v>
      </c>
      <c r="X12" s="115">
        <v>0</v>
      </c>
      <c r="Y12" s="115">
        <v>0.8</v>
      </c>
      <c r="Z12" s="115">
        <v>0.8</v>
      </c>
      <c r="AA12" s="115">
        <v>0.8</v>
      </c>
      <c r="AB12" s="115">
        <v>0.8</v>
      </c>
      <c r="AC12" s="115">
        <v>0.8</v>
      </c>
      <c r="AD12" s="115">
        <v>0.8</v>
      </c>
      <c r="AE12" s="115">
        <v>0.8</v>
      </c>
      <c r="AF12" s="115">
        <v>0.8</v>
      </c>
      <c r="AG12" s="115">
        <v>0.8</v>
      </c>
      <c r="AH12" s="115">
        <v>0.8</v>
      </c>
      <c r="AI12" s="115">
        <v>0.8</v>
      </c>
      <c r="AJ12" s="115">
        <v>0</v>
      </c>
      <c r="AK12" s="115">
        <v>0</v>
      </c>
      <c r="AL12" s="115">
        <v>0</v>
      </c>
      <c r="AM12" s="115">
        <v>0</v>
      </c>
      <c r="AN12" s="115">
        <v>0</v>
      </c>
      <c r="AO12" s="115">
        <v>0</v>
      </c>
      <c r="AP12" s="115">
        <v>0</v>
      </c>
      <c r="AQ12" s="115">
        <v>0</v>
      </c>
    </row>
    <row r="13" spans="1:43" customFormat="1" x14ac:dyDescent="0.15">
      <c r="A13" s="193" t="s">
        <v>204</v>
      </c>
      <c r="B13" s="115">
        <v>0</v>
      </c>
      <c r="C13" s="115">
        <v>0</v>
      </c>
      <c r="D13" s="115">
        <v>0</v>
      </c>
      <c r="E13" s="115">
        <v>0</v>
      </c>
      <c r="F13" s="115">
        <v>0</v>
      </c>
      <c r="G13" s="115">
        <v>0</v>
      </c>
      <c r="H13" s="115">
        <v>0</v>
      </c>
      <c r="I13" s="115">
        <v>0</v>
      </c>
      <c r="J13" s="115">
        <v>0</v>
      </c>
      <c r="K13" s="115">
        <v>0</v>
      </c>
      <c r="L13" s="115">
        <v>0</v>
      </c>
      <c r="M13" s="115">
        <v>0.8</v>
      </c>
      <c r="N13" s="115">
        <v>0.8</v>
      </c>
      <c r="O13" s="115">
        <v>0.8</v>
      </c>
      <c r="P13" s="115">
        <v>0.8</v>
      </c>
      <c r="Q13" s="115">
        <v>0.8</v>
      </c>
      <c r="R13" s="115">
        <v>0</v>
      </c>
      <c r="S13" s="115">
        <v>0</v>
      </c>
      <c r="T13" s="115">
        <v>0.8</v>
      </c>
      <c r="U13" s="115">
        <v>0</v>
      </c>
      <c r="V13" s="115">
        <v>0</v>
      </c>
      <c r="W13" s="115">
        <v>0</v>
      </c>
      <c r="X13" s="115">
        <v>0</v>
      </c>
      <c r="Y13" s="115">
        <v>0</v>
      </c>
      <c r="Z13" s="115">
        <v>0.8</v>
      </c>
      <c r="AA13" s="115">
        <v>0.8</v>
      </c>
      <c r="AB13" s="115">
        <v>0.8</v>
      </c>
      <c r="AC13" s="115">
        <v>0.8</v>
      </c>
      <c r="AD13" s="115">
        <v>0.8</v>
      </c>
      <c r="AE13" s="115">
        <v>0.8</v>
      </c>
      <c r="AF13" s="115">
        <v>0.8</v>
      </c>
      <c r="AG13" s="115">
        <v>0.8</v>
      </c>
      <c r="AH13" s="115">
        <v>0.8</v>
      </c>
      <c r="AI13" s="115">
        <v>0.8</v>
      </c>
      <c r="AJ13" s="115">
        <v>0</v>
      </c>
      <c r="AK13" s="115">
        <v>0.8</v>
      </c>
      <c r="AL13" s="115">
        <v>0</v>
      </c>
      <c r="AM13" s="115">
        <v>0</v>
      </c>
      <c r="AN13" s="115">
        <v>0</v>
      </c>
      <c r="AO13" s="115">
        <v>0</v>
      </c>
      <c r="AP13" s="115">
        <v>0</v>
      </c>
      <c r="AQ13" s="115">
        <v>0</v>
      </c>
    </row>
    <row r="14" spans="1:43" customFormat="1" x14ac:dyDescent="0.15">
      <c r="A14" s="193" t="s">
        <v>205</v>
      </c>
      <c r="B14" s="115">
        <v>0</v>
      </c>
      <c r="C14" s="115">
        <v>0</v>
      </c>
      <c r="D14" s="115">
        <v>0</v>
      </c>
      <c r="E14" s="115">
        <v>0</v>
      </c>
      <c r="F14" s="115">
        <v>0</v>
      </c>
      <c r="G14" s="115">
        <v>0</v>
      </c>
      <c r="H14" s="115">
        <v>0</v>
      </c>
      <c r="I14" s="115">
        <v>0</v>
      </c>
      <c r="J14" s="115">
        <v>0</v>
      </c>
      <c r="K14" s="115">
        <v>0</v>
      </c>
      <c r="L14" s="115">
        <v>0</v>
      </c>
      <c r="M14" s="115">
        <v>0</v>
      </c>
      <c r="N14" s="115">
        <v>0.8</v>
      </c>
      <c r="O14" s="115">
        <v>0.8</v>
      </c>
      <c r="P14" s="115">
        <v>0.8</v>
      </c>
      <c r="Q14" s="115">
        <v>0</v>
      </c>
      <c r="R14" s="115">
        <v>0</v>
      </c>
      <c r="S14" s="115">
        <v>0</v>
      </c>
      <c r="T14" s="115">
        <v>0.8</v>
      </c>
      <c r="U14" s="115">
        <v>0</v>
      </c>
      <c r="V14" s="115">
        <v>0</v>
      </c>
      <c r="W14" s="115">
        <v>0</v>
      </c>
      <c r="X14" s="115">
        <v>0</v>
      </c>
      <c r="Y14" s="115">
        <v>0</v>
      </c>
      <c r="Z14" s="115">
        <v>0.8</v>
      </c>
      <c r="AA14" s="115">
        <v>0.8</v>
      </c>
      <c r="AB14" s="115">
        <v>0</v>
      </c>
      <c r="AC14" s="115">
        <v>0.8</v>
      </c>
      <c r="AD14" s="115">
        <v>0.8</v>
      </c>
      <c r="AE14" s="115">
        <v>0.8</v>
      </c>
      <c r="AF14" s="115">
        <v>0.8</v>
      </c>
      <c r="AG14" s="115">
        <v>0.8</v>
      </c>
      <c r="AH14" s="115">
        <v>0.8</v>
      </c>
      <c r="AI14" s="115">
        <v>0.8</v>
      </c>
      <c r="AJ14" s="115">
        <v>0.8</v>
      </c>
      <c r="AK14" s="115">
        <v>0.8</v>
      </c>
      <c r="AL14" s="115">
        <v>0.8</v>
      </c>
      <c r="AM14" s="115">
        <v>0.8</v>
      </c>
      <c r="AN14" s="115">
        <v>0.8</v>
      </c>
      <c r="AO14" s="115">
        <v>0</v>
      </c>
      <c r="AP14" s="115">
        <v>0</v>
      </c>
      <c r="AQ14" s="115">
        <v>0</v>
      </c>
    </row>
    <row r="15" spans="1:43" customFormat="1" x14ac:dyDescent="0.15">
      <c r="A15" s="193" t="s">
        <v>206</v>
      </c>
      <c r="B15" s="115">
        <v>0</v>
      </c>
      <c r="C15" s="115">
        <v>0</v>
      </c>
      <c r="D15" s="115">
        <v>0</v>
      </c>
      <c r="E15" s="115">
        <v>0</v>
      </c>
      <c r="F15" s="115">
        <v>0</v>
      </c>
      <c r="G15" s="115">
        <v>0</v>
      </c>
      <c r="H15" s="115">
        <v>0</v>
      </c>
      <c r="I15" s="115">
        <v>0</v>
      </c>
      <c r="J15" s="115">
        <v>0</v>
      </c>
      <c r="K15" s="115">
        <v>0</v>
      </c>
      <c r="L15" s="115">
        <v>0</v>
      </c>
      <c r="M15" s="115">
        <v>0</v>
      </c>
      <c r="N15" s="115">
        <v>0</v>
      </c>
      <c r="O15" s="115">
        <v>0.8</v>
      </c>
      <c r="P15" s="115">
        <v>0</v>
      </c>
      <c r="Q15" s="115">
        <v>0</v>
      </c>
      <c r="R15" s="115">
        <v>0</v>
      </c>
      <c r="S15" s="115">
        <v>0</v>
      </c>
      <c r="T15" s="115">
        <v>0</v>
      </c>
      <c r="U15" s="115">
        <v>0</v>
      </c>
      <c r="V15" s="115">
        <v>0</v>
      </c>
      <c r="W15" s="115">
        <v>0</v>
      </c>
      <c r="X15" s="115">
        <v>0</v>
      </c>
      <c r="Y15" s="115">
        <v>0</v>
      </c>
      <c r="Z15" s="115">
        <v>0.8</v>
      </c>
      <c r="AA15" s="115">
        <v>0</v>
      </c>
      <c r="AB15" s="115">
        <v>0</v>
      </c>
      <c r="AC15" s="115">
        <v>0.8</v>
      </c>
      <c r="AD15" s="115">
        <v>0.8</v>
      </c>
      <c r="AE15" s="115">
        <v>0</v>
      </c>
      <c r="AF15" s="115">
        <v>0.8</v>
      </c>
      <c r="AG15" s="115">
        <v>0</v>
      </c>
      <c r="AH15" s="115">
        <v>0</v>
      </c>
      <c r="AI15" s="115">
        <v>0.8</v>
      </c>
      <c r="AJ15" s="115">
        <v>0.8</v>
      </c>
      <c r="AK15" s="115">
        <v>0.8</v>
      </c>
      <c r="AL15" s="115">
        <v>0.8</v>
      </c>
      <c r="AM15" s="115">
        <v>0.8</v>
      </c>
      <c r="AN15" s="115">
        <v>0</v>
      </c>
      <c r="AO15" s="115">
        <v>0</v>
      </c>
      <c r="AP15" s="115">
        <v>0</v>
      </c>
      <c r="AQ15" s="115">
        <v>0</v>
      </c>
    </row>
    <row r="16" spans="1:43" customFormat="1" x14ac:dyDescent="0.15">
      <c r="A16" s="193" t="s">
        <v>207</v>
      </c>
      <c r="B16" s="115">
        <v>0</v>
      </c>
      <c r="C16" s="115">
        <v>0</v>
      </c>
      <c r="D16" s="115">
        <v>0</v>
      </c>
      <c r="E16" s="115">
        <v>0</v>
      </c>
      <c r="F16" s="115">
        <v>0</v>
      </c>
      <c r="G16" s="115">
        <v>0</v>
      </c>
      <c r="H16" s="115">
        <v>0</v>
      </c>
      <c r="I16" s="115">
        <v>0</v>
      </c>
      <c r="J16" s="115">
        <v>0</v>
      </c>
      <c r="K16" s="115">
        <v>0</v>
      </c>
      <c r="L16" s="115">
        <v>0</v>
      </c>
      <c r="M16" s="115">
        <v>0</v>
      </c>
      <c r="N16" s="115">
        <v>0.8</v>
      </c>
      <c r="O16" s="115">
        <v>0</v>
      </c>
      <c r="P16" s="115">
        <v>0</v>
      </c>
      <c r="Q16" s="115">
        <v>0</v>
      </c>
      <c r="R16" s="115">
        <v>0</v>
      </c>
      <c r="S16" s="115">
        <v>0</v>
      </c>
      <c r="T16" s="115">
        <v>0</v>
      </c>
      <c r="U16" s="115">
        <v>0</v>
      </c>
      <c r="V16" s="115">
        <v>0</v>
      </c>
      <c r="W16" s="115">
        <v>0</v>
      </c>
      <c r="X16" s="115">
        <v>0</v>
      </c>
      <c r="Y16" s="115">
        <v>0</v>
      </c>
      <c r="Z16" s="115">
        <v>0.8</v>
      </c>
      <c r="AA16" s="115">
        <v>0.8</v>
      </c>
      <c r="AB16" s="115">
        <v>0</v>
      </c>
      <c r="AC16" s="115">
        <v>0.8</v>
      </c>
      <c r="AD16" s="115">
        <v>0</v>
      </c>
      <c r="AE16" s="115">
        <v>0.8</v>
      </c>
      <c r="AF16" s="115">
        <v>0.8</v>
      </c>
      <c r="AG16" s="115">
        <v>0.8</v>
      </c>
      <c r="AH16" s="115">
        <v>0.8</v>
      </c>
      <c r="AI16" s="115">
        <v>0.8</v>
      </c>
      <c r="AJ16" s="115">
        <v>0</v>
      </c>
      <c r="AK16" s="115">
        <v>0</v>
      </c>
      <c r="AL16" s="115">
        <v>0</v>
      </c>
      <c r="AM16" s="115">
        <v>0</v>
      </c>
      <c r="AN16" s="115">
        <v>0</v>
      </c>
      <c r="AO16" s="115">
        <v>0</v>
      </c>
      <c r="AP16" s="115">
        <v>0</v>
      </c>
      <c r="AQ16" s="115">
        <v>0</v>
      </c>
    </row>
    <row r="17" spans="1:43" customFormat="1" x14ac:dyDescent="0.15">
      <c r="A17" s="193" t="s">
        <v>208</v>
      </c>
      <c r="B17" s="115">
        <v>0</v>
      </c>
      <c r="C17" s="115">
        <v>0</v>
      </c>
      <c r="D17" s="115">
        <v>0</v>
      </c>
      <c r="E17" s="115">
        <v>0</v>
      </c>
      <c r="F17" s="115">
        <v>0</v>
      </c>
      <c r="G17" s="115">
        <v>0</v>
      </c>
      <c r="H17" s="115">
        <v>0</v>
      </c>
      <c r="I17" s="115">
        <v>0</v>
      </c>
      <c r="J17" s="115">
        <v>0</v>
      </c>
      <c r="K17" s="115">
        <v>0</v>
      </c>
      <c r="L17" s="115">
        <v>0</v>
      </c>
      <c r="M17" s="115">
        <v>0.8</v>
      </c>
      <c r="N17" s="115">
        <v>0.8</v>
      </c>
      <c r="O17" s="115">
        <v>0.8</v>
      </c>
      <c r="P17" s="115">
        <v>0</v>
      </c>
      <c r="Q17" s="115">
        <v>0</v>
      </c>
      <c r="R17" s="115">
        <v>0</v>
      </c>
      <c r="S17" s="115">
        <v>0</v>
      </c>
      <c r="T17" s="115">
        <v>0</v>
      </c>
      <c r="U17" s="115">
        <v>0</v>
      </c>
      <c r="V17" s="115">
        <v>0</v>
      </c>
      <c r="W17" s="115">
        <v>0</v>
      </c>
      <c r="X17" s="115">
        <v>0</v>
      </c>
      <c r="Y17" s="115">
        <v>0</v>
      </c>
      <c r="Z17" s="115">
        <v>0</v>
      </c>
      <c r="AA17" s="115">
        <v>0.8</v>
      </c>
      <c r="AB17" s="115">
        <v>0</v>
      </c>
      <c r="AC17" s="115">
        <v>0.8</v>
      </c>
      <c r="AD17" s="115">
        <v>0.8</v>
      </c>
      <c r="AE17" s="115">
        <v>0.8</v>
      </c>
      <c r="AF17" s="115">
        <v>0.8</v>
      </c>
      <c r="AG17" s="115">
        <v>0.8</v>
      </c>
      <c r="AH17" s="115">
        <v>0.8</v>
      </c>
      <c r="AI17" s="115">
        <v>0.8</v>
      </c>
      <c r="AJ17" s="115">
        <v>0.8</v>
      </c>
      <c r="AK17" s="115">
        <v>0.8</v>
      </c>
      <c r="AL17" s="115">
        <v>0</v>
      </c>
      <c r="AM17" s="115">
        <v>0</v>
      </c>
      <c r="AN17" s="115">
        <v>0</v>
      </c>
      <c r="AO17" s="115">
        <v>0</v>
      </c>
      <c r="AP17" s="115">
        <v>0</v>
      </c>
      <c r="AQ17" s="115">
        <v>0</v>
      </c>
    </row>
    <row r="18" spans="1:43" customFormat="1" x14ac:dyDescent="0.15">
      <c r="A18" s="193" t="s">
        <v>209</v>
      </c>
      <c r="B18" s="115">
        <v>0</v>
      </c>
      <c r="C18" s="115">
        <v>0</v>
      </c>
      <c r="D18" s="115">
        <v>0</v>
      </c>
      <c r="E18" s="115">
        <v>0</v>
      </c>
      <c r="F18" s="115">
        <v>0</v>
      </c>
      <c r="G18" s="115">
        <v>0</v>
      </c>
      <c r="H18" s="115">
        <v>0</v>
      </c>
      <c r="I18" s="115">
        <v>0</v>
      </c>
      <c r="J18" s="115">
        <v>0</v>
      </c>
      <c r="K18" s="115">
        <v>0</v>
      </c>
      <c r="L18" s="115">
        <v>0</v>
      </c>
      <c r="M18" s="115">
        <v>0.8</v>
      </c>
      <c r="N18" s="115">
        <v>0.8</v>
      </c>
      <c r="O18" s="115">
        <v>0.8</v>
      </c>
      <c r="P18" s="115">
        <v>0</v>
      </c>
      <c r="Q18" s="115">
        <v>0</v>
      </c>
      <c r="R18" s="115">
        <v>0</v>
      </c>
      <c r="S18" s="115">
        <v>0</v>
      </c>
      <c r="T18" s="115">
        <v>0</v>
      </c>
      <c r="U18" s="115">
        <v>0</v>
      </c>
      <c r="V18" s="115">
        <v>0</v>
      </c>
      <c r="W18" s="115">
        <v>0</v>
      </c>
      <c r="X18" s="115">
        <v>0</v>
      </c>
      <c r="Y18" s="115">
        <v>0</v>
      </c>
      <c r="Z18" s="115">
        <v>0.8</v>
      </c>
      <c r="AA18" s="115">
        <v>0.8</v>
      </c>
      <c r="AB18" s="115">
        <v>0</v>
      </c>
      <c r="AC18" s="115">
        <v>0.8</v>
      </c>
      <c r="AD18" s="115">
        <v>0.8</v>
      </c>
      <c r="AE18" s="115">
        <v>0.8</v>
      </c>
      <c r="AF18" s="115">
        <v>0.8</v>
      </c>
      <c r="AG18" s="115">
        <v>0.8</v>
      </c>
      <c r="AH18" s="115">
        <v>0.8</v>
      </c>
      <c r="AI18" s="115">
        <v>0.8</v>
      </c>
      <c r="AJ18" s="115">
        <v>0.8</v>
      </c>
      <c r="AK18" s="115">
        <v>0.8</v>
      </c>
      <c r="AL18" s="115">
        <v>0</v>
      </c>
      <c r="AM18" s="115">
        <v>0</v>
      </c>
      <c r="AN18" s="115">
        <v>0.8</v>
      </c>
      <c r="AO18" s="115">
        <v>0</v>
      </c>
      <c r="AP18" s="115">
        <v>0</v>
      </c>
      <c r="AQ18" s="115">
        <v>0</v>
      </c>
    </row>
    <row r="19" spans="1:43" customFormat="1" x14ac:dyDescent="0.15">
      <c r="A19" s="193" t="s">
        <v>210</v>
      </c>
      <c r="B19" s="115">
        <v>0</v>
      </c>
      <c r="C19" s="115">
        <v>0</v>
      </c>
      <c r="D19" s="115">
        <v>0</v>
      </c>
      <c r="E19" s="115">
        <v>0</v>
      </c>
      <c r="F19" s="115">
        <v>0</v>
      </c>
      <c r="G19" s="115">
        <v>0</v>
      </c>
      <c r="H19" s="115">
        <v>0</v>
      </c>
      <c r="I19" s="115">
        <v>0</v>
      </c>
      <c r="J19" s="115">
        <v>0</v>
      </c>
      <c r="K19" s="115">
        <v>0</v>
      </c>
      <c r="L19" s="115">
        <v>0</v>
      </c>
      <c r="M19" s="115">
        <v>0</v>
      </c>
      <c r="N19" s="115">
        <v>0</v>
      </c>
      <c r="O19" s="115">
        <v>0</v>
      </c>
      <c r="P19" s="115">
        <v>0</v>
      </c>
      <c r="Q19" s="115">
        <v>0</v>
      </c>
      <c r="R19" s="115">
        <v>0</v>
      </c>
      <c r="S19" s="115">
        <v>0</v>
      </c>
      <c r="T19" s="115">
        <v>0</v>
      </c>
      <c r="U19" s="115">
        <v>0</v>
      </c>
      <c r="V19" s="115">
        <v>0</v>
      </c>
      <c r="W19" s="115">
        <v>0</v>
      </c>
      <c r="X19" s="115">
        <v>0</v>
      </c>
      <c r="Y19" s="115">
        <v>0</v>
      </c>
      <c r="Z19" s="115">
        <v>0</v>
      </c>
      <c r="AA19" s="115">
        <v>0.8</v>
      </c>
      <c r="AB19" s="115">
        <v>0</v>
      </c>
      <c r="AC19" s="115">
        <v>0.8</v>
      </c>
      <c r="AD19" s="115">
        <v>0.8</v>
      </c>
      <c r="AE19" s="115">
        <v>0</v>
      </c>
      <c r="AF19" s="115">
        <v>0.8</v>
      </c>
      <c r="AG19" s="115">
        <v>0.8</v>
      </c>
      <c r="AH19" s="115">
        <v>0</v>
      </c>
      <c r="AI19" s="115">
        <v>0.8</v>
      </c>
      <c r="AJ19" s="115">
        <v>0.8</v>
      </c>
      <c r="AK19" s="115">
        <v>0.8</v>
      </c>
      <c r="AL19" s="115">
        <v>0</v>
      </c>
      <c r="AM19" s="115">
        <v>0</v>
      </c>
      <c r="AN19" s="115">
        <v>0</v>
      </c>
      <c r="AO19" s="115">
        <v>0</v>
      </c>
      <c r="AP19" s="115">
        <v>0</v>
      </c>
      <c r="AQ19" s="115">
        <v>0</v>
      </c>
    </row>
    <row r="20" spans="1:43" customFormat="1" x14ac:dyDescent="0.15">
      <c r="A20" s="193" t="s">
        <v>211</v>
      </c>
      <c r="B20" s="115">
        <v>0</v>
      </c>
      <c r="C20" s="115">
        <v>0</v>
      </c>
      <c r="D20" s="115">
        <v>0</v>
      </c>
      <c r="E20" s="115">
        <v>0</v>
      </c>
      <c r="F20" s="115">
        <v>0</v>
      </c>
      <c r="G20" s="115">
        <v>0</v>
      </c>
      <c r="H20" s="115">
        <v>0</v>
      </c>
      <c r="I20" s="115">
        <v>0</v>
      </c>
      <c r="J20" s="115">
        <v>0</v>
      </c>
      <c r="K20" s="115">
        <v>0</v>
      </c>
      <c r="L20" s="115">
        <v>0</v>
      </c>
      <c r="M20" s="115">
        <v>0</v>
      </c>
      <c r="N20" s="115">
        <v>0</v>
      </c>
      <c r="O20" s="115">
        <v>0.8</v>
      </c>
      <c r="P20" s="115">
        <v>0</v>
      </c>
      <c r="Q20" s="115">
        <v>0</v>
      </c>
      <c r="R20" s="115">
        <v>0</v>
      </c>
      <c r="S20" s="115">
        <v>0</v>
      </c>
      <c r="T20" s="115">
        <v>0</v>
      </c>
      <c r="U20" s="115">
        <v>0</v>
      </c>
      <c r="V20" s="115">
        <v>0</v>
      </c>
      <c r="W20" s="115">
        <v>0</v>
      </c>
      <c r="X20" s="115">
        <v>0</v>
      </c>
      <c r="Y20" s="115">
        <v>0</v>
      </c>
      <c r="Z20" s="115">
        <v>0</v>
      </c>
      <c r="AA20" s="115">
        <v>0</v>
      </c>
      <c r="AB20" s="115">
        <v>0</v>
      </c>
      <c r="AC20" s="115">
        <v>0</v>
      </c>
      <c r="AD20" s="115">
        <v>0</v>
      </c>
      <c r="AE20" s="115">
        <v>0</v>
      </c>
      <c r="AF20" s="115">
        <v>0.8</v>
      </c>
      <c r="AG20" s="115">
        <v>0.8</v>
      </c>
      <c r="AH20" s="115">
        <v>0</v>
      </c>
      <c r="AI20" s="115">
        <v>0.8</v>
      </c>
      <c r="AJ20" s="115">
        <v>0.8</v>
      </c>
      <c r="AK20" s="115">
        <v>0.8</v>
      </c>
      <c r="AL20" s="115">
        <v>0.8</v>
      </c>
      <c r="AM20" s="115">
        <v>0.8</v>
      </c>
      <c r="AN20" s="115">
        <v>0.8</v>
      </c>
      <c r="AO20" s="115">
        <v>0</v>
      </c>
      <c r="AP20" s="115">
        <v>0</v>
      </c>
      <c r="AQ20" s="115">
        <v>0</v>
      </c>
    </row>
    <row r="21" spans="1:43" customFormat="1" x14ac:dyDescent="0.15">
      <c r="A21" s="193" t="s">
        <v>212</v>
      </c>
      <c r="B21" s="115">
        <v>0</v>
      </c>
      <c r="C21" s="115">
        <v>0</v>
      </c>
      <c r="D21" s="115">
        <v>0</v>
      </c>
      <c r="E21" s="115">
        <v>0</v>
      </c>
      <c r="F21" s="115">
        <v>0</v>
      </c>
      <c r="G21" s="115">
        <v>0</v>
      </c>
      <c r="H21" s="115">
        <v>0</v>
      </c>
      <c r="I21" s="115">
        <v>0</v>
      </c>
      <c r="J21" s="115">
        <v>0</v>
      </c>
      <c r="K21" s="115">
        <v>0</v>
      </c>
      <c r="L21" s="115">
        <v>0</v>
      </c>
      <c r="M21" s="115">
        <v>0</v>
      </c>
      <c r="N21" s="115">
        <v>0.8</v>
      </c>
      <c r="O21" s="115">
        <v>0.8</v>
      </c>
      <c r="P21" s="115">
        <v>0</v>
      </c>
      <c r="Q21" s="115">
        <v>0</v>
      </c>
      <c r="R21" s="115">
        <v>0</v>
      </c>
      <c r="S21" s="115">
        <v>0</v>
      </c>
      <c r="T21" s="115">
        <v>0.8</v>
      </c>
      <c r="U21" s="115">
        <v>0</v>
      </c>
      <c r="V21" s="115">
        <v>0</v>
      </c>
      <c r="W21" s="115">
        <v>0</v>
      </c>
      <c r="X21" s="115">
        <v>0</v>
      </c>
      <c r="Y21" s="115">
        <v>0</v>
      </c>
      <c r="Z21" s="115">
        <v>0</v>
      </c>
      <c r="AA21" s="115">
        <v>0</v>
      </c>
      <c r="AB21" s="115">
        <v>0</v>
      </c>
      <c r="AC21" s="115">
        <v>0.8</v>
      </c>
      <c r="AD21" s="115">
        <v>0.8</v>
      </c>
      <c r="AE21" s="115">
        <v>0.8</v>
      </c>
      <c r="AF21" s="115">
        <v>0</v>
      </c>
      <c r="AG21" s="115">
        <v>0.8</v>
      </c>
      <c r="AH21" s="115">
        <v>0.8</v>
      </c>
      <c r="AI21" s="115">
        <v>0.8</v>
      </c>
      <c r="AJ21" s="115">
        <v>0.8</v>
      </c>
      <c r="AK21" s="115">
        <v>0.8</v>
      </c>
      <c r="AL21" s="115">
        <v>0.8</v>
      </c>
      <c r="AM21" s="115">
        <v>0.8</v>
      </c>
      <c r="AN21" s="115">
        <v>0.8</v>
      </c>
      <c r="AO21" s="115">
        <v>0</v>
      </c>
      <c r="AP21" s="115">
        <v>0</v>
      </c>
      <c r="AQ21" s="115">
        <v>0</v>
      </c>
    </row>
    <row r="22" spans="1:43" customFormat="1" x14ac:dyDescent="0.15">
      <c r="A22" s="193" t="s">
        <v>213</v>
      </c>
      <c r="B22" s="115">
        <v>0</v>
      </c>
      <c r="C22" s="115">
        <v>0</v>
      </c>
      <c r="D22" s="115">
        <v>0</v>
      </c>
      <c r="E22" s="115">
        <v>0</v>
      </c>
      <c r="F22" s="115">
        <v>0</v>
      </c>
      <c r="G22" s="115">
        <v>0</v>
      </c>
      <c r="H22" s="115">
        <v>0</v>
      </c>
      <c r="I22" s="115">
        <v>0</v>
      </c>
      <c r="J22" s="115">
        <v>0</v>
      </c>
      <c r="K22" s="115">
        <v>0</v>
      </c>
      <c r="L22" s="115">
        <v>0</v>
      </c>
      <c r="M22" s="115">
        <v>0</v>
      </c>
      <c r="N22" s="115">
        <v>0.8</v>
      </c>
      <c r="O22" s="115">
        <v>0.8</v>
      </c>
      <c r="P22" s="115">
        <v>0</v>
      </c>
      <c r="Q22" s="115">
        <v>0</v>
      </c>
      <c r="R22" s="115">
        <v>0</v>
      </c>
      <c r="S22" s="115">
        <v>0</v>
      </c>
      <c r="T22" s="115">
        <v>0.8</v>
      </c>
      <c r="U22" s="115">
        <v>0</v>
      </c>
      <c r="V22" s="115">
        <v>0</v>
      </c>
      <c r="W22" s="115">
        <v>0</v>
      </c>
      <c r="X22" s="115">
        <v>0</v>
      </c>
      <c r="Y22" s="115">
        <v>0</v>
      </c>
      <c r="Z22" s="115">
        <v>0</v>
      </c>
      <c r="AA22" s="115">
        <v>0</v>
      </c>
      <c r="AB22" s="115">
        <v>0</v>
      </c>
      <c r="AC22" s="115">
        <v>0.8</v>
      </c>
      <c r="AD22" s="115">
        <v>0.8</v>
      </c>
      <c r="AE22" s="115">
        <v>0.8</v>
      </c>
      <c r="AF22" s="115">
        <v>0</v>
      </c>
      <c r="AG22" s="115">
        <v>0.8</v>
      </c>
      <c r="AH22" s="115">
        <v>0.8</v>
      </c>
      <c r="AI22" s="115">
        <v>0.8</v>
      </c>
      <c r="AJ22" s="115">
        <v>0.8</v>
      </c>
      <c r="AK22" s="115">
        <v>0.8</v>
      </c>
      <c r="AL22" s="115">
        <v>0.8</v>
      </c>
      <c r="AM22" s="115">
        <v>0.8</v>
      </c>
      <c r="AN22" s="115">
        <v>0.8</v>
      </c>
      <c r="AO22" s="115">
        <v>0</v>
      </c>
      <c r="AP22" s="115">
        <v>0</v>
      </c>
      <c r="AQ22" s="115">
        <v>0</v>
      </c>
    </row>
    <row r="23" spans="1:43" customFormat="1" x14ac:dyDescent="0.15">
      <c r="A23" s="193" t="s">
        <v>214</v>
      </c>
      <c r="B23" s="115">
        <v>0</v>
      </c>
      <c r="C23" s="115">
        <v>0</v>
      </c>
      <c r="D23" s="115">
        <v>0</v>
      </c>
      <c r="E23" s="115">
        <v>0</v>
      </c>
      <c r="F23" s="115">
        <v>0</v>
      </c>
      <c r="G23" s="115">
        <v>0</v>
      </c>
      <c r="H23" s="115">
        <v>0</v>
      </c>
      <c r="I23" s="115">
        <v>0</v>
      </c>
      <c r="J23" s="115">
        <v>0</v>
      </c>
      <c r="K23" s="115">
        <v>0</v>
      </c>
      <c r="L23" s="115">
        <v>0</v>
      </c>
      <c r="M23" s="115">
        <v>0</v>
      </c>
      <c r="N23" s="115">
        <v>0.8</v>
      </c>
      <c r="O23" s="115">
        <v>0.8</v>
      </c>
      <c r="P23" s="115">
        <v>0</v>
      </c>
      <c r="Q23" s="115">
        <v>0</v>
      </c>
      <c r="R23" s="115">
        <v>0</v>
      </c>
      <c r="S23" s="115">
        <v>0</v>
      </c>
      <c r="T23" s="115">
        <v>0</v>
      </c>
      <c r="U23" s="115">
        <v>0</v>
      </c>
      <c r="V23" s="115">
        <v>0</v>
      </c>
      <c r="W23" s="115">
        <v>0</v>
      </c>
      <c r="X23" s="115">
        <v>0</v>
      </c>
      <c r="Y23" s="115">
        <v>0</v>
      </c>
      <c r="Z23" s="115">
        <v>0</v>
      </c>
      <c r="AA23" s="115">
        <v>0</v>
      </c>
      <c r="AB23" s="115">
        <v>0</v>
      </c>
      <c r="AC23" s="115">
        <v>0.8</v>
      </c>
      <c r="AD23" s="115">
        <v>0</v>
      </c>
      <c r="AE23" s="115">
        <v>0.8</v>
      </c>
      <c r="AF23" s="115">
        <v>0.8</v>
      </c>
      <c r="AG23" s="115">
        <v>0.8</v>
      </c>
      <c r="AH23" s="115">
        <v>0.8</v>
      </c>
      <c r="AI23" s="115">
        <v>0.8</v>
      </c>
      <c r="AJ23" s="115">
        <v>0.8</v>
      </c>
      <c r="AK23" s="115">
        <v>0.8</v>
      </c>
      <c r="AL23" s="115">
        <v>0.8</v>
      </c>
      <c r="AM23" s="115">
        <v>0.8</v>
      </c>
      <c r="AN23" s="115">
        <v>0.8</v>
      </c>
      <c r="AO23" s="115">
        <v>0</v>
      </c>
      <c r="AP23" s="115">
        <v>0</v>
      </c>
      <c r="AQ23" s="115">
        <v>0</v>
      </c>
    </row>
    <row r="24" spans="1:43" customFormat="1" x14ac:dyDescent="0.15">
      <c r="A24" s="193" t="s">
        <v>215</v>
      </c>
      <c r="B24" s="115">
        <v>0</v>
      </c>
      <c r="C24" s="115">
        <v>0</v>
      </c>
      <c r="D24" s="115">
        <v>0</v>
      </c>
      <c r="E24" s="115">
        <v>0</v>
      </c>
      <c r="F24" s="115">
        <v>0</v>
      </c>
      <c r="G24" s="115">
        <v>0</v>
      </c>
      <c r="H24" s="115">
        <v>0</v>
      </c>
      <c r="I24" s="115">
        <v>0</v>
      </c>
      <c r="J24" s="115">
        <v>0</v>
      </c>
      <c r="K24" s="115">
        <v>0</v>
      </c>
      <c r="L24" s="115">
        <v>0</v>
      </c>
      <c r="M24" s="115">
        <v>0</v>
      </c>
      <c r="N24" s="115">
        <v>0.8</v>
      </c>
      <c r="O24" s="115">
        <v>0.8</v>
      </c>
      <c r="P24" s="115">
        <v>0</v>
      </c>
      <c r="Q24" s="115">
        <v>0</v>
      </c>
      <c r="R24" s="115">
        <v>0</v>
      </c>
      <c r="S24" s="115">
        <v>0</v>
      </c>
      <c r="T24" s="115">
        <v>0</v>
      </c>
      <c r="U24" s="115">
        <v>0</v>
      </c>
      <c r="V24" s="115">
        <v>0</v>
      </c>
      <c r="W24" s="115">
        <v>0</v>
      </c>
      <c r="X24" s="115">
        <v>0</v>
      </c>
      <c r="Y24" s="115">
        <v>0</v>
      </c>
      <c r="Z24" s="115">
        <v>0</v>
      </c>
      <c r="AA24" s="115">
        <v>0</v>
      </c>
      <c r="AB24" s="115">
        <v>0</v>
      </c>
      <c r="AC24" s="115">
        <v>0.8</v>
      </c>
      <c r="AD24" s="115">
        <v>0</v>
      </c>
      <c r="AE24" s="115">
        <v>0.8</v>
      </c>
      <c r="AF24" s="115">
        <v>0.8</v>
      </c>
      <c r="AG24" s="115">
        <v>0.8</v>
      </c>
      <c r="AH24" s="115">
        <v>0.8</v>
      </c>
      <c r="AI24" s="115">
        <v>0.8</v>
      </c>
      <c r="AJ24" s="115">
        <v>0.8</v>
      </c>
      <c r="AK24" s="115">
        <v>0.8</v>
      </c>
      <c r="AL24" s="115">
        <v>0.8</v>
      </c>
      <c r="AM24" s="115">
        <v>0.8</v>
      </c>
      <c r="AN24" s="115">
        <v>0.8</v>
      </c>
      <c r="AO24" s="115">
        <v>0</v>
      </c>
      <c r="AP24" s="115">
        <v>0</v>
      </c>
      <c r="AQ24" s="115">
        <v>0</v>
      </c>
    </row>
    <row r="25" spans="1:43" customFormat="1" x14ac:dyDescent="0.15">
      <c r="A25" s="193" t="s">
        <v>216</v>
      </c>
      <c r="B25" s="115">
        <v>0</v>
      </c>
      <c r="C25" s="115">
        <v>0</v>
      </c>
      <c r="D25" s="115">
        <v>0</v>
      </c>
      <c r="E25" s="115">
        <v>0</v>
      </c>
      <c r="F25" s="115">
        <v>0</v>
      </c>
      <c r="G25" s="115">
        <v>0</v>
      </c>
      <c r="H25" s="115">
        <v>0</v>
      </c>
      <c r="I25" s="115">
        <v>0</v>
      </c>
      <c r="J25" s="115">
        <v>0</v>
      </c>
      <c r="K25" s="115">
        <v>0</v>
      </c>
      <c r="L25" s="115">
        <v>0</v>
      </c>
      <c r="M25" s="115">
        <v>0</v>
      </c>
      <c r="N25" s="115">
        <v>0</v>
      </c>
      <c r="O25" s="115">
        <v>0.8</v>
      </c>
      <c r="P25" s="115">
        <v>0</v>
      </c>
      <c r="Q25" s="115">
        <v>0</v>
      </c>
      <c r="R25" s="115">
        <v>0</v>
      </c>
      <c r="S25" s="115">
        <v>0</v>
      </c>
      <c r="T25" s="115">
        <v>0</v>
      </c>
      <c r="U25" s="115">
        <v>0</v>
      </c>
      <c r="V25" s="115">
        <v>0</v>
      </c>
      <c r="W25" s="115">
        <v>0</v>
      </c>
      <c r="X25" s="115">
        <v>0</v>
      </c>
      <c r="Y25" s="115">
        <v>0</v>
      </c>
      <c r="Z25" s="115">
        <v>0</v>
      </c>
      <c r="AA25" s="115">
        <v>0</v>
      </c>
      <c r="AB25" s="115">
        <v>0</v>
      </c>
      <c r="AC25" s="115">
        <v>0.8</v>
      </c>
      <c r="AD25" s="115">
        <v>0</v>
      </c>
      <c r="AE25" s="115">
        <v>0.8</v>
      </c>
      <c r="AF25" s="115">
        <v>0</v>
      </c>
      <c r="AG25" s="115">
        <v>0.8</v>
      </c>
      <c r="AH25" s="115">
        <v>0.8</v>
      </c>
      <c r="AI25" s="115">
        <v>0.8</v>
      </c>
      <c r="AJ25" s="115">
        <v>0.8</v>
      </c>
      <c r="AK25" s="115">
        <v>0.8</v>
      </c>
      <c r="AL25" s="115">
        <v>0.8</v>
      </c>
      <c r="AM25" s="115">
        <v>0</v>
      </c>
      <c r="AN25" s="115">
        <v>0.8</v>
      </c>
      <c r="AO25" s="115">
        <v>0</v>
      </c>
      <c r="AP25" s="115">
        <v>0</v>
      </c>
      <c r="AQ25" s="115">
        <v>0</v>
      </c>
    </row>
    <row r="26" spans="1:43" customFormat="1" x14ac:dyDescent="0.15">
      <c r="A26" s="193" t="s">
        <v>217</v>
      </c>
      <c r="B26" s="115">
        <v>0</v>
      </c>
      <c r="C26" s="115">
        <v>0</v>
      </c>
      <c r="D26" s="115">
        <v>0</v>
      </c>
      <c r="E26" s="115">
        <v>0</v>
      </c>
      <c r="F26" s="115">
        <v>0</v>
      </c>
      <c r="G26" s="115">
        <v>0</v>
      </c>
      <c r="H26" s="115">
        <v>0</v>
      </c>
      <c r="I26" s="115">
        <v>0</v>
      </c>
      <c r="J26" s="115">
        <v>0</v>
      </c>
      <c r="K26" s="115">
        <v>0</v>
      </c>
      <c r="L26" s="115">
        <v>0</v>
      </c>
      <c r="M26" s="115">
        <v>0</v>
      </c>
      <c r="N26" s="115">
        <v>0</v>
      </c>
      <c r="O26" s="115">
        <v>0</v>
      </c>
      <c r="P26" s="115">
        <v>0.8</v>
      </c>
      <c r="Q26" s="115">
        <v>0</v>
      </c>
      <c r="R26" s="115">
        <v>0</v>
      </c>
      <c r="S26" s="115">
        <v>0</v>
      </c>
      <c r="T26" s="115">
        <v>0</v>
      </c>
      <c r="U26" s="115">
        <v>0</v>
      </c>
      <c r="V26" s="115">
        <v>0</v>
      </c>
      <c r="W26" s="115">
        <v>0</v>
      </c>
      <c r="X26" s="115">
        <v>0</v>
      </c>
      <c r="Y26" s="115">
        <v>0</v>
      </c>
      <c r="Z26" s="115">
        <v>0</v>
      </c>
      <c r="AA26" s="115">
        <v>0</v>
      </c>
      <c r="AB26" s="115">
        <v>0</v>
      </c>
      <c r="AC26" s="115">
        <v>0.8</v>
      </c>
      <c r="AD26" s="115">
        <v>0</v>
      </c>
      <c r="AE26" s="115">
        <v>0.8</v>
      </c>
      <c r="AF26" s="115">
        <v>0.8</v>
      </c>
      <c r="AG26" s="115">
        <v>0.8</v>
      </c>
      <c r="AH26" s="115">
        <v>0.8</v>
      </c>
      <c r="AI26" s="115">
        <v>0.8</v>
      </c>
      <c r="AJ26" s="115">
        <v>0.8</v>
      </c>
      <c r="AK26" s="115">
        <v>0.8</v>
      </c>
      <c r="AL26" s="115">
        <v>0</v>
      </c>
      <c r="AM26" s="115">
        <v>0</v>
      </c>
      <c r="AN26" s="115">
        <v>0.8</v>
      </c>
      <c r="AO26" s="115">
        <v>0</v>
      </c>
      <c r="AP26" s="115">
        <v>0</v>
      </c>
      <c r="AQ26" s="115">
        <v>0</v>
      </c>
    </row>
    <row r="27" spans="1:43" customFormat="1" x14ac:dyDescent="0.15">
      <c r="A27" s="193" t="s">
        <v>218</v>
      </c>
      <c r="B27" s="115">
        <v>0</v>
      </c>
      <c r="C27" s="115">
        <v>0</v>
      </c>
      <c r="D27" s="115">
        <v>0</v>
      </c>
      <c r="E27" s="115">
        <v>0</v>
      </c>
      <c r="F27" s="115">
        <v>0</v>
      </c>
      <c r="G27" s="115">
        <v>0</v>
      </c>
      <c r="H27" s="115">
        <v>0</v>
      </c>
      <c r="I27" s="115">
        <v>0</v>
      </c>
      <c r="J27" s="115">
        <v>0</v>
      </c>
      <c r="K27" s="115">
        <v>0</v>
      </c>
      <c r="L27" s="115">
        <v>0</v>
      </c>
      <c r="M27" s="115">
        <v>0</v>
      </c>
      <c r="N27" s="115">
        <v>0</v>
      </c>
      <c r="O27" s="115">
        <v>0</v>
      </c>
      <c r="P27" s="115">
        <v>0.8</v>
      </c>
      <c r="Q27" s="115">
        <v>0</v>
      </c>
      <c r="R27" s="115">
        <v>0</v>
      </c>
      <c r="S27" s="115">
        <v>0</v>
      </c>
      <c r="T27" s="115">
        <v>0</v>
      </c>
      <c r="U27" s="115">
        <v>0</v>
      </c>
      <c r="V27" s="115">
        <v>0</v>
      </c>
      <c r="W27" s="115">
        <v>0</v>
      </c>
      <c r="X27" s="115">
        <v>0</v>
      </c>
      <c r="Y27" s="115">
        <v>0</v>
      </c>
      <c r="Z27" s="115">
        <v>0</v>
      </c>
      <c r="AA27" s="115">
        <v>0</v>
      </c>
      <c r="AB27" s="115">
        <v>0</v>
      </c>
      <c r="AC27" s="115">
        <v>0.8</v>
      </c>
      <c r="AD27" s="115">
        <v>0</v>
      </c>
      <c r="AE27" s="115">
        <v>0</v>
      </c>
      <c r="AF27" s="115">
        <v>0</v>
      </c>
      <c r="AG27" s="115">
        <v>0</v>
      </c>
      <c r="AH27" s="115">
        <v>0.8</v>
      </c>
      <c r="AI27" s="115">
        <v>0.8</v>
      </c>
      <c r="AJ27" s="115">
        <v>0</v>
      </c>
      <c r="AK27" s="115">
        <v>0</v>
      </c>
      <c r="AL27" s="115">
        <v>0</v>
      </c>
      <c r="AM27" s="115">
        <v>0</v>
      </c>
      <c r="AN27" s="115">
        <v>0.8</v>
      </c>
      <c r="AO27" s="115">
        <v>0</v>
      </c>
      <c r="AP27" s="115">
        <v>0</v>
      </c>
      <c r="AQ27" s="115">
        <v>0</v>
      </c>
    </row>
    <row r="28" spans="1:43" customFormat="1" x14ac:dyDescent="0.15">
      <c r="A28" s="193" t="s">
        <v>219</v>
      </c>
      <c r="B28" s="115">
        <v>0</v>
      </c>
      <c r="C28" s="115">
        <v>0</v>
      </c>
      <c r="D28" s="115">
        <v>0</v>
      </c>
      <c r="E28" s="115">
        <v>0</v>
      </c>
      <c r="F28" s="115">
        <v>0</v>
      </c>
      <c r="G28" s="115">
        <v>0</v>
      </c>
      <c r="H28" s="115">
        <v>0</v>
      </c>
      <c r="I28" s="115">
        <v>0</v>
      </c>
      <c r="J28" s="115">
        <v>0</v>
      </c>
      <c r="K28" s="115">
        <v>0</v>
      </c>
      <c r="L28" s="115">
        <v>0</v>
      </c>
      <c r="M28" s="115">
        <v>0</v>
      </c>
      <c r="N28" s="115">
        <v>0</v>
      </c>
      <c r="O28" s="115">
        <v>0</v>
      </c>
      <c r="P28" s="115">
        <v>0</v>
      </c>
      <c r="Q28" s="115">
        <v>0</v>
      </c>
      <c r="R28" s="115">
        <v>0</v>
      </c>
      <c r="S28" s="115">
        <v>0</v>
      </c>
      <c r="T28" s="115">
        <v>0</v>
      </c>
      <c r="U28" s="115">
        <v>0</v>
      </c>
      <c r="V28" s="115">
        <v>0</v>
      </c>
      <c r="W28" s="115">
        <v>0</v>
      </c>
      <c r="X28" s="115">
        <v>0</v>
      </c>
      <c r="Y28" s="115">
        <v>0</v>
      </c>
      <c r="Z28" s="115">
        <v>0</v>
      </c>
      <c r="AA28" s="115">
        <v>0</v>
      </c>
      <c r="AB28" s="115">
        <v>0</v>
      </c>
      <c r="AC28" s="115">
        <v>0.8</v>
      </c>
      <c r="AD28" s="115">
        <v>0</v>
      </c>
      <c r="AE28" s="115">
        <v>0</v>
      </c>
      <c r="AF28" s="115">
        <v>0</v>
      </c>
      <c r="AG28" s="115">
        <v>0.8</v>
      </c>
      <c r="AH28" s="115">
        <v>0</v>
      </c>
      <c r="AI28" s="115">
        <v>0.8</v>
      </c>
      <c r="AJ28" s="115">
        <v>0</v>
      </c>
      <c r="AK28" s="115">
        <v>0.8</v>
      </c>
      <c r="AL28" s="115">
        <v>0</v>
      </c>
      <c r="AM28" s="115">
        <v>0.8</v>
      </c>
      <c r="AN28" s="115">
        <v>0.8</v>
      </c>
      <c r="AO28" s="115">
        <v>0</v>
      </c>
      <c r="AP28" s="115">
        <v>0</v>
      </c>
      <c r="AQ28" s="115">
        <v>0</v>
      </c>
    </row>
    <row r="29" spans="1:43" customFormat="1" x14ac:dyDescent="0.15">
      <c r="A29" s="193" t="s">
        <v>220</v>
      </c>
      <c r="B29" s="115">
        <v>0</v>
      </c>
      <c r="C29" s="115">
        <v>0</v>
      </c>
      <c r="D29" s="115">
        <v>0</v>
      </c>
      <c r="E29" s="115">
        <v>0</v>
      </c>
      <c r="F29" s="115">
        <v>0</v>
      </c>
      <c r="G29" s="115">
        <v>0</v>
      </c>
      <c r="H29" s="115">
        <v>0</v>
      </c>
      <c r="I29" s="115">
        <v>0</v>
      </c>
      <c r="J29" s="115">
        <v>0</v>
      </c>
      <c r="K29" s="115">
        <v>0</v>
      </c>
      <c r="L29" s="115">
        <v>0</v>
      </c>
      <c r="M29" s="115">
        <v>0</v>
      </c>
      <c r="N29" s="115">
        <v>0</v>
      </c>
      <c r="O29" s="115">
        <v>0</v>
      </c>
      <c r="P29" s="115">
        <v>0</v>
      </c>
      <c r="Q29" s="115">
        <v>0</v>
      </c>
      <c r="R29" s="115">
        <v>0</v>
      </c>
      <c r="S29" s="115">
        <v>0</v>
      </c>
      <c r="T29" s="115">
        <v>0</v>
      </c>
      <c r="U29" s="115">
        <v>0</v>
      </c>
      <c r="V29" s="115">
        <v>0</v>
      </c>
      <c r="W29" s="115">
        <v>0</v>
      </c>
      <c r="X29" s="115">
        <v>0</v>
      </c>
      <c r="Y29" s="115">
        <v>0</v>
      </c>
      <c r="Z29" s="115">
        <v>0</v>
      </c>
      <c r="AA29" s="115">
        <v>0</v>
      </c>
      <c r="AB29" s="115">
        <v>0</v>
      </c>
      <c r="AC29" s="115">
        <v>0</v>
      </c>
      <c r="AD29" s="115">
        <v>0</v>
      </c>
      <c r="AE29" s="115">
        <v>0</v>
      </c>
      <c r="AF29" s="115">
        <v>0</v>
      </c>
      <c r="AG29" s="115">
        <v>0</v>
      </c>
      <c r="AH29" s="115">
        <v>0</v>
      </c>
      <c r="AI29" s="115">
        <v>0.8</v>
      </c>
      <c r="AJ29" s="115">
        <v>0</v>
      </c>
      <c r="AK29" s="115">
        <v>0</v>
      </c>
      <c r="AL29" s="115">
        <v>0</v>
      </c>
      <c r="AM29" s="115">
        <v>0</v>
      </c>
      <c r="AN29" s="115">
        <v>0</v>
      </c>
      <c r="AO29" s="115">
        <v>0</v>
      </c>
      <c r="AP29" s="115">
        <v>0</v>
      </c>
      <c r="AQ29" s="115">
        <v>0</v>
      </c>
    </row>
    <row r="30" spans="1:43" customFormat="1" x14ac:dyDescent="0.15">
      <c r="A30" s="193" t="s">
        <v>221</v>
      </c>
      <c r="B30" s="115">
        <v>0</v>
      </c>
      <c r="C30" s="115">
        <v>0</v>
      </c>
      <c r="D30" s="115">
        <v>0</v>
      </c>
      <c r="E30" s="115">
        <v>0</v>
      </c>
      <c r="F30" s="115">
        <v>0</v>
      </c>
      <c r="G30" s="115">
        <v>0</v>
      </c>
      <c r="H30" s="115">
        <v>0</v>
      </c>
      <c r="I30" s="115">
        <v>0</v>
      </c>
      <c r="J30" s="115">
        <v>0</v>
      </c>
      <c r="K30" s="115">
        <v>0</v>
      </c>
      <c r="L30" s="115">
        <v>0</v>
      </c>
      <c r="M30" s="115">
        <v>0</v>
      </c>
      <c r="N30" s="115">
        <v>0</v>
      </c>
      <c r="O30" s="115">
        <v>0.8</v>
      </c>
      <c r="P30" s="115">
        <v>0.8</v>
      </c>
      <c r="Q30" s="115">
        <v>0</v>
      </c>
      <c r="R30" s="115">
        <v>0</v>
      </c>
      <c r="S30" s="115">
        <v>0</v>
      </c>
      <c r="T30" s="115">
        <v>0</v>
      </c>
      <c r="U30" s="115">
        <v>0</v>
      </c>
      <c r="V30" s="115">
        <v>0</v>
      </c>
      <c r="W30" s="115">
        <v>0</v>
      </c>
      <c r="X30" s="115">
        <v>0</v>
      </c>
      <c r="Y30" s="115">
        <v>0</v>
      </c>
      <c r="Z30" s="115">
        <v>0</v>
      </c>
      <c r="AA30" s="115">
        <v>0</v>
      </c>
      <c r="AB30" s="115">
        <v>0</v>
      </c>
      <c r="AC30" s="115">
        <v>0.8</v>
      </c>
      <c r="AD30" s="115">
        <v>0</v>
      </c>
      <c r="AE30" s="115">
        <v>0.8</v>
      </c>
      <c r="AF30" s="115">
        <v>0</v>
      </c>
      <c r="AG30" s="115">
        <v>0.8</v>
      </c>
      <c r="AH30" s="115">
        <v>0</v>
      </c>
      <c r="AI30" s="115">
        <v>0.8</v>
      </c>
      <c r="AJ30" s="115">
        <v>0.8</v>
      </c>
      <c r="AK30" s="115">
        <v>0</v>
      </c>
      <c r="AL30" s="115">
        <v>0</v>
      </c>
      <c r="AM30" s="115">
        <v>0</v>
      </c>
      <c r="AN30" s="115">
        <v>0.8</v>
      </c>
      <c r="AO30" s="115">
        <v>0</v>
      </c>
      <c r="AP30" s="115">
        <v>0</v>
      </c>
      <c r="AQ30" s="115">
        <v>0</v>
      </c>
    </row>
    <row r="31" spans="1:43" customFormat="1" x14ac:dyDescent="0.15">
      <c r="A31" s="193" t="s">
        <v>222</v>
      </c>
      <c r="B31" s="115">
        <v>0</v>
      </c>
      <c r="C31" s="115">
        <v>0</v>
      </c>
      <c r="D31" s="115">
        <v>0</v>
      </c>
      <c r="E31" s="115">
        <v>0</v>
      </c>
      <c r="F31" s="115">
        <v>0</v>
      </c>
      <c r="G31" s="115">
        <v>0</v>
      </c>
      <c r="H31" s="115">
        <v>0</v>
      </c>
      <c r="I31" s="115">
        <v>0</v>
      </c>
      <c r="J31" s="115">
        <v>0</v>
      </c>
      <c r="K31" s="115">
        <v>0</v>
      </c>
      <c r="L31" s="115">
        <v>0</v>
      </c>
      <c r="M31" s="115">
        <v>0</v>
      </c>
      <c r="N31" s="115">
        <v>0</v>
      </c>
      <c r="O31" s="115">
        <v>0</v>
      </c>
      <c r="P31" s="115">
        <v>0</v>
      </c>
      <c r="Q31" s="115">
        <v>0</v>
      </c>
      <c r="R31" s="115">
        <v>0</v>
      </c>
      <c r="S31" s="115">
        <v>0</v>
      </c>
      <c r="T31" s="115">
        <v>0</v>
      </c>
      <c r="U31" s="115">
        <v>0</v>
      </c>
      <c r="V31" s="115">
        <v>0</v>
      </c>
      <c r="W31" s="115">
        <v>0</v>
      </c>
      <c r="X31" s="115">
        <v>0</v>
      </c>
      <c r="Y31" s="115">
        <v>0</v>
      </c>
      <c r="Z31" s="115">
        <v>0</v>
      </c>
      <c r="AA31" s="115">
        <v>0</v>
      </c>
      <c r="AB31" s="115">
        <v>0</v>
      </c>
      <c r="AC31" s="115">
        <v>0.8</v>
      </c>
      <c r="AD31" s="115">
        <v>0</v>
      </c>
      <c r="AE31" s="115">
        <v>0.8</v>
      </c>
      <c r="AF31" s="115">
        <v>0</v>
      </c>
      <c r="AG31" s="115">
        <v>0.8</v>
      </c>
      <c r="AH31" s="115">
        <v>0.8</v>
      </c>
      <c r="AI31" s="115">
        <v>0.8</v>
      </c>
      <c r="AJ31" s="115">
        <v>0</v>
      </c>
      <c r="AK31" s="115">
        <v>0</v>
      </c>
      <c r="AL31" s="115">
        <v>0</v>
      </c>
      <c r="AM31" s="115">
        <v>0.8</v>
      </c>
      <c r="AN31" s="115">
        <v>0.8</v>
      </c>
      <c r="AO31" s="115">
        <v>0</v>
      </c>
      <c r="AP31" s="115">
        <v>0</v>
      </c>
      <c r="AQ31" s="115">
        <v>0</v>
      </c>
    </row>
    <row r="32" spans="1:43" customFormat="1" x14ac:dyDescent="0.15">
      <c r="A32" s="193" t="s">
        <v>223</v>
      </c>
      <c r="B32" s="115">
        <v>0</v>
      </c>
      <c r="C32" s="115">
        <v>0</v>
      </c>
      <c r="D32" s="115">
        <v>0</v>
      </c>
      <c r="E32" s="115">
        <v>0</v>
      </c>
      <c r="F32" s="115">
        <v>0</v>
      </c>
      <c r="G32" s="115">
        <v>0</v>
      </c>
      <c r="H32" s="115">
        <v>0</v>
      </c>
      <c r="I32" s="115">
        <v>0</v>
      </c>
      <c r="J32" s="115">
        <v>0</v>
      </c>
      <c r="K32" s="115">
        <v>0</v>
      </c>
      <c r="L32" s="115">
        <v>0</v>
      </c>
      <c r="M32" s="115">
        <v>0</v>
      </c>
      <c r="N32" s="115">
        <v>0</v>
      </c>
      <c r="O32" s="115">
        <v>0</v>
      </c>
      <c r="P32" s="115">
        <v>0</v>
      </c>
      <c r="Q32" s="115">
        <v>0</v>
      </c>
      <c r="R32" s="115">
        <v>0</v>
      </c>
      <c r="S32" s="115">
        <v>0</v>
      </c>
      <c r="T32" s="115">
        <v>0</v>
      </c>
      <c r="U32" s="115">
        <v>0</v>
      </c>
      <c r="V32" s="115">
        <v>0</v>
      </c>
      <c r="W32" s="115">
        <v>0</v>
      </c>
      <c r="X32" s="115">
        <v>0</v>
      </c>
      <c r="Y32" s="115">
        <v>0</v>
      </c>
      <c r="Z32" s="115">
        <v>0</v>
      </c>
      <c r="AA32" s="115">
        <v>0.8</v>
      </c>
      <c r="AB32" s="115">
        <v>0</v>
      </c>
      <c r="AC32" s="115">
        <v>0.8</v>
      </c>
      <c r="AD32" s="115">
        <v>0</v>
      </c>
      <c r="AE32" s="115">
        <v>0.8</v>
      </c>
      <c r="AF32" s="115">
        <v>0</v>
      </c>
      <c r="AG32" s="115">
        <v>0</v>
      </c>
      <c r="AH32" s="115">
        <v>0</v>
      </c>
      <c r="AI32" s="115">
        <v>0.8</v>
      </c>
      <c r="AJ32" s="115">
        <v>0</v>
      </c>
      <c r="AK32" s="115">
        <v>0</v>
      </c>
      <c r="AL32" s="115">
        <v>0</v>
      </c>
      <c r="AM32" s="115">
        <v>0</v>
      </c>
      <c r="AN32" s="115">
        <v>0.8</v>
      </c>
      <c r="AO32" s="115">
        <v>0</v>
      </c>
      <c r="AP32" s="115">
        <v>0</v>
      </c>
      <c r="AQ32" s="115">
        <v>0</v>
      </c>
    </row>
    <row r="33" spans="1:43" x14ac:dyDescent="0.15">
      <c r="A33" s="193" t="s">
        <v>224</v>
      </c>
      <c r="B33" s="115">
        <v>0</v>
      </c>
      <c r="C33" s="115">
        <v>0</v>
      </c>
      <c r="D33" s="115">
        <v>0</v>
      </c>
      <c r="E33" s="115">
        <v>0</v>
      </c>
      <c r="F33" s="115">
        <v>0</v>
      </c>
      <c r="G33" s="115">
        <v>0</v>
      </c>
      <c r="H33" s="115">
        <v>0</v>
      </c>
      <c r="I33" s="115">
        <v>0</v>
      </c>
      <c r="J33" s="115">
        <v>0</v>
      </c>
      <c r="K33" s="115">
        <v>0</v>
      </c>
      <c r="L33" s="115">
        <v>0</v>
      </c>
      <c r="M33" s="115">
        <v>0</v>
      </c>
      <c r="N33" s="115">
        <v>0</v>
      </c>
      <c r="O33" s="115">
        <v>0</v>
      </c>
      <c r="P33" s="115">
        <v>0</v>
      </c>
      <c r="Q33" s="115">
        <v>0</v>
      </c>
      <c r="R33" s="115">
        <v>0</v>
      </c>
      <c r="S33" s="115">
        <v>0</v>
      </c>
      <c r="T33" s="115">
        <v>0</v>
      </c>
      <c r="U33" s="115">
        <v>0</v>
      </c>
      <c r="V33" s="115">
        <v>0</v>
      </c>
      <c r="W33" s="115">
        <v>0</v>
      </c>
      <c r="X33" s="115">
        <v>0</v>
      </c>
      <c r="Y33" s="115">
        <v>0</v>
      </c>
      <c r="Z33" s="115">
        <v>0</v>
      </c>
      <c r="AA33" s="115">
        <v>0</v>
      </c>
      <c r="AB33" s="115">
        <v>0</v>
      </c>
      <c r="AC33" s="115">
        <v>0</v>
      </c>
      <c r="AD33" s="115">
        <v>0</v>
      </c>
      <c r="AE33" s="115">
        <v>0</v>
      </c>
      <c r="AF33" s="115">
        <v>0</v>
      </c>
      <c r="AG33" s="115">
        <v>0</v>
      </c>
      <c r="AH33" s="115">
        <v>0</v>
      </c>
      <c r="AI33" s="115">
        <v>0</v>
      </c>
      <c r="AJ33" s="115">
        <v>0</v>
      </c>
      <c r="AK33" s="115">
        <v>0</v>
      </c>
      <c r="AL33" s="115">
        <v>0</v>
      </c>
      <c r="AM33" s="115">
        <v>0</v>
      </c>
      <c r="AN33" s="115">
        <v>0</v>
      </c>
      <c r="AO33" s="115">
        <v>0</v>
      </c>
      <c r="AP33" s="115">
        <v>0</v>
      </c>
      <c r="AQ33" s="115">
        <v>0</v>
      </c>
    </row>
    <row r="34" spans="1:43" x14ac:dyDescent="0.15">
      <c r="A34" s="193" t="s">
        <v>225</v>
      </c>
      <c r="B34" s="115">
        <v>0</v>
      </c>
      <c r="C34" s="115">
        <v>0</v>
      </c>
      <c r="D34" s="115">
        <v>0</v>
      </c>
      <c r="E34" s="115">
        <v>0</v>
      </c>
      <c r="F34" s="115">
        <v>0</v>
      </c>
      <c r="G34" s="115">
        <v>0</v>
      </c>
      <c r="H34" s="115">
        <v>0</v>
      </c>
      <c r="I34" s="115">
        <v>0</v>
      </c>
      <c r="J34" s="115">
        <v>0</v>
      </c>
      <c r="K34" s="115">
        <v>0</v>
      </c>
      <c r="L34" s="115">
        <v>0</v>
      </c>
      <c r="M34" s="115">
        <v>0</v>
      </c>
      <c r="N34" s="115">
        <v>0</v>
      </c>
      <c r="O34" s="115">
        <v>0</v>
      </c>
      <c r="P34" s="115">
        <v>0</v>
      </c>
      <c r="Q34" s="115">
        <v>0</v>
      </c>
      <c r="R34" s="115">
        <v>0</v>
      </c>
      <c r="S34" s="115">
        <v>0</v>
      </c>
      <c r="T34" s="115">
        <v>0</v>
      </c>
      <c r="U34" s="115">
        <v>0</v>
      </c>
      <c r="V34" s="115">
        <v>0</v>
      </c>
      <c r="W34" s="115">
        <v>0</v>
      </c>
      <c r="X34" s="115">
        <v>0</v>
      </c>
      <c r="Y34" s="115">
        <v>0</v>
      </c>
      <c r="Z34" s="115">
        <v>0</v>
      </c>
      <c r="AA34" s="115">
        <v>0</v>
      </c>
      <c r="AB34" s="115">
        <v>0</v>
      </c>
      <c r="AC34" s="115">
        <v>0</v>
      </c>
      <c r="AD34" s="115">
        <v>0</v>
      </c>
      <c r="AE34" s="115">
        <v>0</v>
      </c>
      <c r="AF34" s="115">
        <v>0</v>
      </c>
      <c r="AG34" s="115">
        <v>0</v>
      </c>
      <c r="AH34" s="115">
        <v>0.8</v>
      </c>
      <c r="AI34" s="115">
        <v>0.8</v>
      </c>
      <c r="AJ34" s="115">
        <v>0</v>
      </c>
      <c r="AK34" s="115">
        <v>0</v>
      </c>
      <c r="AL34" s="115">
        <v>0</v>
      </c>
      <c r="AM34" s="115">
        <v>0</v>
      </c>
      <c r="AN34" s="115">
        <v>0</v>
      </c>
      <c r="AO34" s="115">
        <v>0</v>
      </c>
      <c r="AP34" s="115">
        <v>0</v>
      </c>
      <c r="AQ34" s="115">
        <v>0</v>
      </c>
    </row>
    <row r="35" spans="1:43" x14ac:dyDescent="0.15">
      <c r="A35" s="193" t="s">
        <v>226</v>
      </c>
      <c r="B35" s="115">
        <v>0</v>
      </c>
      <c r="C35" s="115">
        <v>0</v>
      </c>
      <c r="D35" s="115">
        <v>0</v>
      </c>
      <c r="E35" s="115">
        <v>0</v>
      </c>
      <c r="F35" s="115">
        <v>0</v>
      </c>
      <c r="G35" s="115">
        <v>0</v>
      </c>
      <c r="H35" s="115">
        <v>0</v>
      </c>
      <c r="I35" s="115">
        <v>0</v>
      </c>
      <c r="J35" s="115">
        <v>0</v>
      </c>
      <c r="K35" s="115">
        <v>0</v>
      </c>
      <c r="L35" s="115">
        <v>0</v>
      </c>
      <c r="M35" s="115">
        <v>0</v>
      </c>
      <c r="N35" s="115">
        <v>0</v>
      </c>
      <c r="O35" s="115">
        <v>0</v>
      </c>
      <c r="P35" s="115">
        <v>0</v>
      </c>
      <c r="Q35" s="115">
        <v>0</v>
      </c>
      <c r="R35" s="115">
        <v>0</v>
      </c>
      <c r="S35" s="115">
        <v>0</v>
      </c>
      <c r="T35" s="115">
        <v>0</v>
      </c>
      <c r="U35" s="115">
        <v>0</v>
      </c>
      <c r="V35" s="115">
        <v>0</v>
      </c>
      <c r="W35" s="115">
        <v>0</v>
      </c>
      <c r="X35" s="115">
        <v>0</v>
      </c>
      <c r="Y35" s="115">
        <v>0</v>
      </c>
      <c r="Z35" s="115">
        <v>0</v>
      </c>
      <c r="AA35" s="115">
        <v>0</v>
      </c>
      <c r="AB35" s="115">
        <v>0</v>
      </c>
      <c r="AC35" s="115">
        <v>0.8</v>
      </c>
      <c r="AD35" s="115">
        <v>0</v>
      </c>
      <c r="AE35" s="115">
        <v>0</v>
      </c>
      <c r="AF35" s="115">
        <v>0</v>
      </c>
      <c r="AG35" s="115">
        <v>0</v>
      </c>
      <c r="AH35" s="115">
        <v>0.8</v>
      </c>
      <c r="AI35" s="115">
        <v>0</v>
      </c>
      <c r="AJ35" s="115">
        <v>0</v>
      </c>
      <c r="AK35" s="115">
        <v>0</v>
      </c>
      <c r="AL35" s="115">
        <v>0</v>
      </c>
      <c r="AM35" s="115">
        <v>0</v>
      </c>
      <c r="AN35" s="115">
        <v>0</v>
      </c>
      <c r="AO35" s="115">
        <v>0</v>
      </c>
      <c r="AP35" s="115">
        <v>0</v>
      </c>
      <c r="AQ35" s="115">
        <v>0</v>
      </c>
    </row>
    <row r="36" spans="1:43" x14ac:dyDescent="0.15">
      <c r="A36" s="193" t="s">
        <v>227</v>
      </c>
      <c r="B36" s="115">
        <v>0</v>
      </c>
      <c r="C36" s="115">
        <v>0</v>
      </c>
      <c r="D36" s="115">
        <v>0</v>
      </c>
      <c r="E36" s="115">
        <v>0</v>
      </c>
      <c r="F36" s="115">
        <v>0</v>
      </c>
      <c r="G36" s="115">
        <v>0</v>
      </c>
      <c r="H36" s="115">
        <v>0</v>
      </c>
      <c r="I36" s="115">
        <v>0</v>
      </c>
      <c r="J36" s="115">
        <v>0</v>
      </c>
      <c r="K36" s="115">
        <v>0</v>
      </c>
      <c r="L36" s="115">
        <v>0</v>
      </c>
      <c r="M36" s="115">
        <v>0</v>
      </c>
      <c r="N36" s="115">
        <v>0</v>
      </c>
      <c r="O36" s="115">
        <v>0</v>
      </c>
      <c r="P36" s="115">
        <v>0</v>
      </c>
      <c r="Q36" s="115">
        <v>0</v>
      </c>
      <c r="R36" s="115">
        <v>0</v>
      </c>
      <c r="S36" s="115">
        <v>0</v>
      </c>
      <c r="T36" s="115">
        <v>0</v>
      </c>
      <c r="U36" s="115">
        <v>0</v>
      </c>
      <c r="V36" s="115">
        <v>0</v>
      </c>
      <c r="W36" s="115">
        <v>0</v>
      </c>
      <c r="X36" s="115">
        <v>0</v>
      </c>
      <c r="Y36" s="115">
        <v>0</v>
      </c>
      <c r="Z36" s="115">
        <v>0</v>
      </c>
      <c r="AA36" s="115">
        <v>0</v>
      </c>
      <c r="AB36" s="115">
        <v>0</v>
      </c>
      <c r="AC36" s="115">
        <v>0</v>
      </c>
      <c r="AD36" s="115">
        <v>0</v>
      </c>
      <c r="AE36" s="115">
        <v>0</v>
      </c>
      <c r="AF36" s="115">
        <v>0</v>
      </c>
      <c r="AG36" s="115">
        <v>0</v>
      </c>
      <c r="AH36" s="115">
        <v>0</v>
      </c>
      <c r="AI36" s="115">
        <v>0</v>
      </c>
      <c r="AJ36" s="115">
        <v>0</v>
      </c>
      <c r="AK36" s="115">
        <v>0</v>
      </c>
      <c r="AL36" s="115">
        <v>0.8</v>
      </c>
      <c r="AM36" s="115">
        <v>0</v>
      </c>
      <c r="AN36" s="115">
        <v>0</v>
      </c>
      <c r="AO36" s="115">
        <v>0</v>
      </c>
      <c r="AP36" s="115">
        <v>0</v>
      </c>
      <c r="AQ36" s="115">
        <v>0</v>
      </c>
    </row>
    <row r="37" spans="1:43" x14ac:dyDescent="0.15">
      <c r="A37" s="193" t="s">
        <v>228</v>
      </c>
      <c r="B37" s="115">
        <v>0</v>
      </c>
      <c r="C37" s="115">
        <v>0</v>
      </c>
      <c r="D37" s="115">
        <v>0</v>
      </c>
      <c r="E37" s="115">
        <v>0</v>
      </c>
      <c r="F37" s="115">
        <v>0</v>
      </c>
      <c r="G37" s="115">
        <v>0</v>
      </c>
      <c r="H37" s="115">
        <v>0</v>
      </c>
      <c r="I37" s="115">
        <v>0</v>
      </c>
      <c r="J37" s="115">
        <v>0</v>
      </c>
      <c r="K37" s="115">
        <v>0</v>
      </c>
      <c r="L37" s="115">
        <v>0</v>
      </c>
      <c r="M37" s="115">
        <v>0</v>
      </c>
      <c r="N37" s="115">
        <v>0.8</v>
      </c>
      <c r="O37" s="115">
        <v>0</v>
      </c>
      <c r="P37" s="115">
        <v>0</v>
      </c>
      <c r="Q37" s="115">
        <v>0</v>
      </c>
      <c r="R37" s="115">
        <v>0</v>
      </c>
      <c r="S37" s="115">
        <v>0</v>
      </c>
      <c r="T37" s="115">
        <v>0</v>
      </c>
      <c r="U37" s="115">
        <v>0</v>
      </c>
      <c r="V37" s="115">
        <v>0</v>
      </c>
      <c r="W37" s="115">
        <v>0</v>
      </c>
      <c r="X37" s="115">
        <v>0</v>
      </c>
      <c r="Y37" s="115">
        <v>0</v>
      </c>
      <c r="Z37" s="115">
        <v>0</v>
      </c>
      <c r="AA37" s="115">
        <v>0</v>
      </c>
      <c r="AB37" s="115">
        <v>0</v>
      </c>
      <c r="AC37" s="115">
        <v>0</v>
      </c>
      <c r="AD37" s="115">
        <v>0</v>
      </c>
      <c r="AE37" s="115">
        <v>0.8</v>
      </c>
      <c r="AF37" s="115">
        <v>0</v>
      </c>
      <c r="AG37" s="115">
        <v>0.8</v>
      </c>
      <c r="AH37" s="115">
        <v>0.8</v>
      </c>
      <c r="AI37" s="115">
        <v>0.8</v>
      </c>
      <c r="AJ37" s="115">
        <v>0.8</v>
      </c>
      <c r="AK37" s="115">
        <v>0</v>
      </c>
      <c r="AL37" s="115">
        <v>0.8</v>
      </c>
      <c r="AM37" s="115">
        <v>0.8</v>
      </c>
      <c r="AN37" s="115">
        <v>0</v>
      </c>
      <c r="AO37" s="115">
        <v>0</v>
      </c>
      <c r="AP37" s="115">
        <v>0</v>
      </c>
      <c r="AQ37" s="115">
        <v>0</v>
      </c>
    </row>
    <row r="38" spans="1:43" x14ac:dyDescent="0.15">
      <c r="A38" s="193" t="s">
        <v>229</v>
      </c>
      <c r="B38" s="115">
        <v>0</v>
      </c>
      <c r="C38" s="115">
        <v>0</v>
      </c>
      <c r="D38" s="115">
        <v>0</v>
      </c>
      <c r="E38" s="115">
        <v>0</v>
      </c>
      <c r="F38" s="115">
        <v>0</v>
      </c>
      <c r="G38" s="115">
        <v>0</v>
      </c>
      <c r="H38" s="115">
        <v>0</v>
      </c>
      <c r="I38" s="115">
        <v>0</v>
      </c>
      <c r="J38" s="115">
        <v>0</v>
      </c>
      <c r="K38" s="115">
        <v>0</v>
      </c>
      <c r="L38" s="115">
        <v>0</v>
      </c>
      <c r="M38" s="115">
        <v>0</v>
      </c>
      <c r="N38" s="115">
        <v>0</v>
      </c>
      <c r="O38" s="115">
        <v>0</v>
      </c>
      <c r="P38" s="115">
        <v>0</v>
      </c>
      <c r="Q38" s="115">
        <v>0</v>
      </c>
      <c r="R38" s="115">
        <v>0</v>
      </c>
      <c r="S38" s="115">
        <v>0</v>
      </c>
      <c r="T38" s="115">
        <v>0</v>
      </c>
      <c r="U38" s="115">
        <v>0</v>
      </c>
      <c r="V38" s="115">
        <v>0</v>
      </c>
      <c r="W38" s="115">
        <v>0</v>
      </c>
      <c r="X38" s="115">
        <v>0</v>
      </c>
      <c r="Y38" s="115">
        <v>0</v>
      </c>
      <c r="Z38" s="115">
        <v>0</v>
      </c>
      <c r="AA38" s="115">
        <v>0</v>
      </c>
      <c r="AB38" s="115">
        <v>0</v>
      </c>
      <c r="AC38" s="115">
        <v>0</v>
      </c>
      <c r="AD38" s="115">
        <v>0</v>
      </c>
      <c r="AE38" s="115">
        <v>0</v>
      </c>
      <c r="AF38" s="115">
        <v>0</v>
      </c>
      <c r="AG38" s="115">
        <v>0</v>
      </c>
      <c r="AH38" s="115">
        <v>0</v>
      </c>
      <c r="AI38" s="115">
        <v>0</v>
      </c>
      <c r="AJ38" s="115">
        <v>0</v>
      </c>
      <c r="AK38" s="115">
        <v>0</v>
      </c>
      <c r="AL38" s="115">
        <v>0</v>
      </c>
      <c r="AM38" s="115">
        <v>0</v>
      </c>
      <c r="AN38" s="115">
        <v>0</v>
      </c>
      <c r="AO38" s="115">
        <v>0</v>
      </c>
      <c r="AP38" s="115">
        <v>0</v>
      </c>
      <c r="AQ38" s="115">
        <v>0</v>
      </c>
    </row>
    <row r="39" spans="1:43" x14ac:dyDescent="0.15">
      <c r="A39" s="193" t="s">
        <v>230</v>
      </c>
      <c r="B39" s="115">
        <v>0</v>
      </c>
      <c r="C39" s="115">
        <v>0</v>
      </c>
      <c r="D39" s="115">
        <v>0</v>
      </c>
      <c r="E39" s="115">
        <v>0</v>
      </c>
      <c r="F39" s="115">
        <v>0</v>
      </c>
      <c r="G39" s="115">
        <v>0</v>
      </c>
      <c r="H39" s="115">
        <v>0</v>
      </c>
      <c r="I39" s="115">
        <v>0</v>
      </c>
      <c r="J39" s="115">
        <v>0</v>
      </c>
      <c r="K39" s="115">
        <v>0</v>
      </c>
      <c r="L39" s="115">
        <v>0</v>
      </c>
      <c r="M39" s="115">
        <v>0</v>
      </c>
      <c r="N39" s="115">
        <v>0</v>
      </c>
      <c r="O39" s="115">
        <v>0</v>
      </c>
      <c r="P39" s="115">
        <v>0</v>
      </c>
      <c r="Q39" s="115">
        <v>0</v>
      </c>
      <c r="R39" s="115">
        <v>0</v>
      </c>
      <c r="S39" s="115">
        <v>0</v>
      </c>
      <c r="T39" s="115">
        <v>0</v>
      </c>
      <c r="U39" s="115">
        <v>0</v>
      </c>
      <c r="V39" s="115">
        <v>0</v>
      </c>
      <c r="W39" s="115">
        <v>0</v>
      </c>
      <c r="X39" s="115">
        <v>0</v>
      </c>
      <c r="Y39" s="115">
        <v>0</v>
      </c>
      <c r="Z39" s="115">
        <v>0</v>
      </c>
      <c r="AA39" s="115">
        <v>0</v>
      </c>
      <c r="AB39" s="115">
        <v>0</v>
      </c>
      <c r="AC39" s="115">
        <v>0</v>
      </c>
      <c r="AD39" s="115">
        <v>0</v>
      </c>
      <c r="AE39" s="115">
        <v>0</v>
      </c>
      <c r="AF39" s="115">
        <v>0</v>
      </c>
      <c r="AG39" s="115">
        <v>0</v>
      </c>
      <c r="AH39" s="115">
        <v>0</v>
      </c>
      <c r="AI39" s="115">
        <v>0</v>
      </c>
      <c r="AJ39" s="115">
        <v>0</v>
      </c>
      <c r="AK39" s="115">
        <v>0</v>
      </c>
      <c r="AL39" s="115">
        <v>0</v>
      </c>
      <c r="AM39" s="115">
        <v>0</v>
      </c>
      <c r="AN39" s="115">
        <v>0</v>
      </c>
      <c r="AO39" s="115">
        <v>0</v>
      </c>
      <c r="AP39" s="115">
        <v>0</v>
      </c>
      <c r="AQ39" s="115">
        <v>0</v>
      </c>
    </row>
    <row r="40" spans="1:43" x14ac:dyDescent="0.15">
      <c r="A40" s="193" t="s">
        <v>231</v>
      </c>
      <c r="B40" s="115">
        <v>0</v>
      </c>
      <c r="C40" s="115">
        <v>0</v>
      </c>
      <c r="D40" s="115">
        <v>0</v>
      </c>
      <c r="E40" s="115">
        <v>0</v>
      </c>
      <c r="F40" s="115">
        <v>0</v>
      </c>
      <c r="G40" s="115">
        <v>0</v>
      </c>
      <c r="H40" s="115">
        <v>0</v>
      </c>
      <c r="I40" s="115">
        <v>0</v>
      </c>
      <c r="J40" s="115">
        <v>0</v>
      </c>
      <c r="K40" s="115">
        <v>0</v>
      </c>
      <c r="L40" s="115">
        <v>0</v>
      </c>
      <c r="M40" s="115">
        <v>0</v>
      </c>
      <c r="N40" s="115">
        <v>0</v>
      </c>
      <c r="O40" s="115">
        <v>0</v>
      </c>
      <c r="P40" s="115">
        <v>0</v>
      </c>
      <c r="Q40" s="115">
        <v>0</v>
      </c>
      <c r="R40" s="115">
        <v>0</v>
      </c>
      <c r="S40" s="115">
        <v>0</v>
      </c>
      <c r="T40" s="115">
        <v>0</v>
      </c>
      <c r="U40" s="115">
        <v>0</v>
      </c>
      <c r="V40" s="115">
        <v>0</v>
      </c>
      <c r="W40" s="115">
        <v>0</v>
      </c>
      <c r="X40" s="115">
        <v>0</v>
      </c>
      <c r="Y40" s="115">
        <v>0</v>
      </c>
      <c r="Z40" s="115">
        <v>0</v>
      </c>
      <c r="AA40" s="115">
        <v>0</v>
      </c>
      <c r="AB40" s="115">
        <v>0</v>
      </c>
      <c r="AC40" s="115">
        <v>0</v>
      </c>
      <c r="AD40" s="115">
        <v>0</v>
      </c>
      <c r="AE40" s="115">
        <v>0</v>
      </c>
      <c r="AF40" s="115">
        <v>0</v>
      </c>
      <c r="AG40" s="115">
        <v>0</v>
      </c>
      <c r="AH40" s="115">
        <v>0</v>
      </c>
      <c r="AI40" s="115">
        <v>0</v>
      </c>
      <c r="AJ40" s="115">
        <v>0</v>
      </c>
      <c r="AK40" s="115">
        <v>0</v>
      </c>
      <c r="AL40" s="115">
        <v>0</v>
      </c>
      <c r="AM40" s="115">
        <v>0</v>
      </c>
      <c r="AN40" s="115">
        <v>0</v>
      </c>
      <c r="AO40" s="115">
        <v>0</v>
      </c>
      <c r="AP40" s="115">
        <v>0</v>
      </c>
      <c r="AQ40" s="115">
        <v>0</v>
      </c>
    </row>
    <row r="41" spans="1:43" x14ac:dyDescent="0.15">
      <c r="A41" s="193" t="s">
        <v>232</v>
      </c>
      <c r="B41" s="115">
        <v>0</v>
      </c>
      <c r="C41" s="115">
        <v>0</v>
      </c>
      <c r="D41" s="115">
        <v>0</v>
      </c>
      <c r="E41" s="115">
        <v>0</v>
      </c>
      <c r="F41" s="115">
        <v>0</v>
      </c>
      <c r="G41" s="115">
        <v>0</v>
      </c>
      <c r="H41" s="115">
        <v>0</v>
      </c>
      <c r="I41" s="115">
        <v>0</v>
      </c>
      <c r="J41" s="115">
        <v>0.8</v>
      </c>
      <c r="K41" s="115">
        <v>0</v>
      </c>
      <c r="L41" s="115">
        <v>0</v>
      </c>
      <c r="M41" s="115">
        <v>0.8</v>
      </c>
      <c r="N41" s="115">
        <v>0.8</v>
      </c>
      <c r="O41" s="115">
        <v>0</v>
      </c>
      <c r="P41" s="115">
        <v>0</v>
      </c>
      <c r="Q41" s="115">
        <v>0.8</v>
      </c>
      <c r="R41" s="115">
        <v>0.8</v>
      </c>
      <c r="S41" s="115">
        <v>0.8</v>
      </c>
      <c r="T41" s="115">
        <v>0</v>
      </c>
      <c r="U41" s="115">
        <v>0</v>
      </c>
      <c r="V41" s="115">
        <v>0</v>
      </c>
      <c r="W41" s="115">
        <v>0</v>
      </c>
      <c r="X41" s="115">
        <v>0.8</v>
      </c>
      <c r="Y41" s="115">
        <v>0</v>
      </c>
      <c r="Z41" s="115">
        <v>0.8</v>
      </c>
      <c r="AA41" s="115">
        <v>0.8</v>
      </c>
      <c r="AB41" s="115">
        <v>0</v>
      </c>
      <c r="AC41" s="115">
        <v>0.8</v>
      </c>
      <c r="AD41" s="115">
        <v>0.8</v>
      </c>
      <c r="AE41" s="115">
        <v>0.8</v>
      </c>
      <c r="AF41" s="115">
        <v>0.8</v>
      </c>
      <c r="AG41" s="115">
        <v>0</v>
      </c>
      <c r="AH41" s="115">
        <v>0</v>
      </c>
      <c r="AI41" s="115">
        <v>0</v>
      </c>
      <c r="AJ41" s="115">
        <v>0</v>
      </c>
      <c r="AK41" s="115">
        <v>0</v>
      </c>
      <c r="AL41" s="115">
        <v>0</v>
      </c>
      <c r="AM41" s="115">
        <v>0</v>
      </c>
      <c r="AN41" s="115">
        <v>0.8</v>
      </c>
      <c r="AO41" s="115">
        <v>0</v>
      </c>
      <c r="AP41" s="115">
        <v>0</v>
      </c>
      <c r="AQ41" s="115">
        <v>0</v>
      </c>
    </row>
    <row r="42" spans="1:43" x14ac:dyDescent="0.15">
      <c r="A42" s="193" t="s">
        <v>233</v>
      </c>
      <c r="B42" s="115">
        <v>0</v>
      </c>
      <c r="C42" s="115">
        <v>0</v>
      </c>
      <c r="D42" s="115">
        <v>0</v>
      </c>
      <c r="E42" s="115">
        <v>0.8</v>
      </c>
      <c r="F42" s="115">
        <v>0</v>
      </c>
      <c r="G42" s="115">
        <v>0.8</v>
      </c>
      <c r="H42" s="115">
        <v>0.8</v>
      </c>
      <c r="I42" s="115">
        <v>0.8</v>
      </c>
      <c r="J42" s="115">
        <v>0.8</v>
      </c>
      <c r="K42" s="115">
        <v>0.8</v>
      </c>
      <c r="L42" s="115">
        <v>0.8</v>
      </c>
      <c r="M42" s="115">
        <v>0.8</v>
      </c>
      <c r="N42" s="115">
        <v>0</v>
      </c>
      <c r="O42" s="115">
        <v>0</v>
      </c>
      <c r="P42" s="115">
        <v>0</v>
      </c>
      <c r="Q42" s="115">
        <v>0</v>
      </c>
      <c r="R42" s="115">
        <v>0</v>
      </c>
      <c r="S42" s="115">
        <v>0</v>
      </c>
      <c r="T42" s="115">
        <v>0</v>
      </c>
      <c r="U42" s="115">
        <v>0</v>
      </c>
      <c r="V42" s="115">
        <v>0</v>
      </c>
      <c r="W42" s="115">
        <v>0</v>
      </c>
      <c r="X42" s="115">
        <v>0</v>
      </c>
      <c r="Y42" s="115">
        <v>0</v>
      </c>
      <c r="Z42" s="115">
        <v>0</v>
      </c>
      <c r="AA42" s="115">
        <v>0</v>
      </c>
      <c r="AB42" s="115">
        <v>0.8</v>
      </c>
      <c r="AC42" s="115">
        <v>0</v>
      </c>
      <c r="AD42" s="115">
        <v>0</v>
      </c>
      <c r="AE42" s="115">
        <v>0</v>
      </c>
      <c r="AF42" s="115">
        <v>0</v>
      </c>
      <c r="AG42" s="115">
        <v>0</v>
      </c>
      <c r="AH42" s="115">
        <v>0</v>
      </c>
      <c r="AI42" s="115">
        <v>0</v>
      </c>
      <c r="AJ42" s="115">
        <v>0</v>
      </c>
      <c r="AK42" s="115">
        <v>0</v>
      </c>
      <c r="AL42" s="115">
        <v>0</v>
      </c>
      <c r="AM42" s="115">
        <v>0</v>
      </c>
      <c r="AN42" s="115">
        <v>0</v>
      </c>
      <c r="AO42" s="115">
        <v>0</v>
      </c>
      <c r="AP42" s="115">
        <v>0</v>
      </c>
      <c r="AQ42" s="115">
        <v>0</v>
      </c>
    </row>
    <row r="43" spans="1:43" x14ac:dyDescent="0.15">
      <c r="A43" s="193" t="s">
        <v>234</v>
      </c>
      <c r="B43" s="115">
        <v>0</v>
      </c>
      <c r="C43" s="115">
        <v>0</v>
      </c>
      <c r="D43" s="115">
        <v>0</v>
      </c>
      <c r="E43" s="115">
        <v>0</v>
      </c>
      <c r="F43" s="115">
        <v>0</v>
      </c>
      <c r="G43" s="115">
        <v>0</v>
      </c>
      <c r="H43" s="115">
        <v>0</v>
      </c>
      <c r="I43" s="115">
        <v>0</v>
      </c>
      <c r="J43" s="115">
        <v>0</v>
      </c>
      <c r="K43" s="115">
        <v>0</v>
      </c>
      <c r="L43" s="115">
        <v>0</v>
      </c>
      <c r="M43" s="115">
        <v>0</v>
      </c>
      <c r="N43" s="115">
        <v>0</v>
      </c>
      <c r="O43" s="115">
        <v>0</v>
      </c>
      <c r="P43" s="115">
        <v>0</v>
      </c>
      <c r="Q43" s="115">
        <v>0</v>
      </c>
      <c r="R43" s="115">
        <v>0</v>
      </c>
      <c r="S43" s="115">
        <v>0</v>
      </c>
      <c r="T43" s="115">
        <v>0</v>
      </c>
      <c r="U43" s="115">
        <v>0</v>
      </c>
      <c r="V43" s="115">
        <v>0</v>
      </c>
      <c r="W43" s="115">
        <v>0</v>
      </c>
      <c r="X43" s="115">
        <v>0</v>
      </c>
      <c r="Y43" s="115">
        <v>0</v>
      </c>
      <c r="Z43" s="115">
        <v>0</v>
      </c>
      <c r="AA43" s="115">
        <v>0</v>
      </c>
      <c r="AB43" s="115">
        <v>0</v>
      </c>
      <c r="AC43" s="115">
        <v>0</v>
      </c>
      <c r="AD43" s="115">
        <v>0</v>
      </c>
      <c r="AE43" s="115">
        <v>0</v>
      </c>
      <c r="AF43" s="115">
        <v>0</v>
      </c>
      <c r="AG43" s="115">
        <v>0</v>
      </c>
      <c r="AH43" s="115">
        <v>0</v>
      </c>
      <c r="AI43" s="115">
        <v>0</v>
      </c>
      <c r="AJ43" s="115">
        <v>0</v>
      </c>
      <c r="AK43" s="115">
        <v>0</v>
      </c>
      <c r="AL43" s="115">
        <v>0</v>
      </c>
      <c r="AM43" s="115">
        <v>0</v>
      </c>
      <c r="AN43" s="115">
        <v>0</v>
      </c>
      <c r="AO43" s="115">
        <v>0</v>
      </c>
      <c r="AP43" s="115">
        <v>0</v>
      </c>
      <c r="AQ43" s="115">
        <v>0</v>
      </c>
    </row>
    <row r="44" spans="1:43" x14ac:dyDescent="0.15">
      <c r="A44" s="193" t="s">
        <v>241</v>
      </c>
      <c r="B44" s="115">
        <v>0</v>
      </c>
      <c r="C44" s="115">
        <v>0</v>
      </c>
      <c r="D44" s="115">
        <v>0</v>
      </c>
      <c r="E44" s="115">
        <v>0</v>
      </c>
      <c r="F44" s="115">
        <v>0</v>
      </c>
      <c r="G44" s="115">
        <v>0</v>
      </c>
      <c r="H44" s="115">
        <v>0</v>
      </c>
      <c r="I44" s="115">
        <v>0</v>
      </c>
      <c r="J44" s="115">
        <v>0</v>
      </c>
      <c r="K44" s="115">
        <v>0</v>
      </c>
      <c r="L44" s="115">
        <v>0</v>
      </c>
      <c r="M44" s="115">
        <v>0</v>
      </c>
      <c r="N44" s="115">
        <v>0</v>
      </c>
      <c r="O44" s="115">
        <v>0</v>
      </c>
      <c r="P44" s="115">
        <v>0</v>
      </c>
      <c r="Q44" s="115">
        <v>0</v>
      </c>
      <c r="R44" s="115">
        <v>0</v>
      </c>
      <c r="S44" s="115">
        <v>0</v>
      </c>
      <c r="T44" s="115">
        <v>0</v>
      </c>
      <c r="U44" s="115">
        <v>0</v>
      </c>
      <c r="V44" s="115">
        <v>0</v>
      </c>
      <c r="W44" s="115">
        <v>0</v>
      </c>
      <c r="X44" s="115">
        <v>0</v>
      </c>
      <c r="Y44" s="115">
        <v>0</v>
      </c>
      <c r="Z44" s="115">
        <v>0</v>
      </c>
      <c r="AA44" s="115">
        <v>0</v>
      </c>
      <c r="AB44" s="115">
        <v>0</v>
      </c>
      <c r="AC44" s="115">
        <v>0</v>
      </c>
      <c r="AD44" s="115">
        <v>0</v>
      </c>
      <c r="AE44" s="115">
        <v>0</v>
      </c>
      <c r="AF44" s="115">
        <v>0</v>
      </c>
      <c r="AG44" s="115">
        <v>0</v>
      </c>
      <c r="AH44" s="115">
        <v>0</v>
      </c>
      <c r="AI44" s="115">
        <v>0</v>
      </c>
      <c r="AJ44" s="115">
        <v>0.8</v>
      </c>
      <c r="AK44" s="115">
        <v>0</v>
      </c>
      <c r="AL44" s="115">
        <v>0.8</v>
      </c>
      <c r="AM44" s="115">
        <v>0</v>
      </c>
      <c r="AN44" s="115">
        <v>0.8</v>
      </c>
      <c r="AO44" s="115">
        <v>0</v>
      </c>
      <c r="AP44" s="115">
        <v>0</v>
      </c>
      <c r="AQ44" s="115">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Q44"/>
  <sheetViews>
    <sheetView workbookViewId="0">
      <selection activeCell="A3" sqref="A3"/>
    </sheetView>
  </sheetViews>
  <sheetFormatPr baseColWidth="10" defaultRowHeight="13" x14ac:dyDescent="0.15"/>
  <cols>
    <col min="1" max="1" width="27.83203125" style="115" bestFit="1" customWidth="1"/>
    <col min="2" max="43" width="2.33203125" style="115" customWidth="1"/>
    <col min="44" max="16384" width="10.83203125" style="115"/>
  </cols>
  <sheetData>
    <row r="1" spans="1:43" x14ac:dyDescent="0.15">
      <c r="A1" s="63" t="s">
        <v>139</v>
      </c>
      <c r="B1" s="196" t="s">
        <v>193</v>
      </c>
      <c r="C1" s="196" t="s">
        <v>194</v>
      </c>
      <c r="D1" s="196" t="s">
        <v>195</v>
      </c>
      <c r="E1" s="196" t="s">
        <v>196</v>
      </c>
      <c r="F1" s="196" t="s">
        <v>197</v>
      </c>
      <c r="G1" s="196" t="s">
        <v>198</v>
      </c>
      <c r="H1" s="196" t="s">
        <v>199</v>
      </c>
      <c r="I1" s="196" t="s">
        <v>200</v>
      </c>
      <c r="J1" s="196" t="s">
        <v>201</v>
      </c>
      <c r="K1" s="196" t="s">
        <v>202</v>
      </c>
      <c r="L1" s="196" t="s">
        <v>203</v>
      </c>
      <c r="M1" s="196" t="s">
        <v>204</v>
      </c>
      <c r="N1" s="196" t="s">
        <v>205</v>
      </c>
      <c r="O1" s="196" t="s">
        <v>206</v>
      </c>
      <c r="P1" s="196" t="s">
        <v>207</v>
      </c>
      <c r="Q1" s="196" t="s">
        <v>208</v>
      </c>
      <c r="R1" s="196" t="s">
        <v>209</v>
      </c>
      <c r="S1" s="196" t="s">
        <v>210</v>
      </c>
      <c r="T1" s="196" t="s">
        <v>211</v>
      </c>
      <c r="U1" s="196" t="s">
        <v>212</v>
      </c>
      <c r="V1" s="196" t="s">
        <v>213</v>
      </c>
      <c r="W1" s="196" t="s">
        <v>214</v>
      </c>
      <c r="X1" s="196" t="s">
        <v>215</v>
      </c>
      <c r="Y1" s="196" t="s">
        <v>216</v>
      </c>
      <c r="Z1" s="196" t="s">
        <v>217</v>
      </c>
      <c r="AA1" s="196" t="s">
        <v>218</v>
      </c>
      <c r="AB1" s="196" t="s">
        <v>219</v>
      </c>
      <c r="AC1" s="196" t="s">
        <v>220</v>
      </c>
      <c r="AD1" s="196" t="s">
        <v>221</v>
      </c>
      <c r="AE1" s="196" t="s">
        <v>222</v>
      </c>
      <c r="AF1" s="196" t="s">
        <v>223</v>
      </c>
      <c r="AG1" s="196" t="s">
        <v>224</v>
      </c>
      <c r="AH1" s="196" t="s">
        <v>225</v>
      </c>
      <c r="AI1" s="196" t="s">
        <v>226</v>
      </c>
      <c r="AJ1" s="196" t="s">
        <v>227</v>
      </c>
      <c r="AK1" s="196" t="s">
        <v>228</v>
      </c>
      <c r="AL1" s="196" t="s">
        <v>229</v>
      </c>
      <c r="AM1" s="196" t="s">
        <v>230</v>
      </c>
      <c r="AN1" s="196" t="s">
        <v>231</v>
      </c>
      <c r="AO1" s="196" t="s">
        <v>232</v>
      </c>
      <c r="AP1" s="196" t="s">
        <v>233</v>
      </c>
      <c r="AQ1" s="196" t="s">
        <v>234</v>
      </c>
    </row>
    <row r="2" spans="1:43" customFormat="1" x14ac:dyDescent="0.15">
      <c r="A2" s="195" t="s">
        <v>193</v>
      </c>
      <c r="B2" s="115">
        <v>0</v>
      </c>
      <c r="C2" s="115">
        <v>0</v>
      </c>
      <c r="D2" s="115">
        <v>0</v>
      </c>
      <c r="E2" s="115">
        <v>1</v>
      </c>
      <c r="F2" s="115">
        <v>1</v>
      </c>
      <c r="G2" s="115">
        <v>1</v>
      </c>
      <c r="H2" s="115">
        <v>1</v>
      </c>
      <c r="I2" s="115">
        <v>1</v>
      </c>
      <c r="J2" s="115">
        <v>1</v>
      </c>
      <c r="K2" s="115">
        <v>1</v>
      </c>
      <c r="L2" s="115">
        <v>1</v>
      </c>
      <c r="M2" s="115">
        <v>0</v>
      </c>
      <c r="N2" s="115">
        <v>0</v>
      </c>
      <c r="O2" s="115">
        <v>0</v>
      </c>
      <c r="P2" s="115">
        <v>0</v>
      </c>
      <c r="Q2" s="115">
        <v>0</v>
      </c>
      <c r="R2" s="115">
        <v>0</v>
      </c>
      <c r="S2" s="115">
        <v>0</v>
      </c>
      <c r="T2" s="115">
        <v>0</v>
      </c>
      <c r="U2" s="115">
        <v>0</v>
      </c>
      <c r="V2" s="115">
        <v>0</v>
      </c>
      <c r="W2" s="115">
        <v>1</v>
      </c>
      <c r="X2" s="115">
        <v>0</v>
      </c>
      <c r="Y2" s="115">
        <v>0</v>
      </c>
      <c r="Z2" s="115">
        <v>0</v>
      </c>
      <c r="AA2" s="115">
        <v>1</v>
      </c>
      <c r="AB2" s="115">
        <v>0</v>
      </c>
      <c r="AC2" s="115">
        <v>0</v>
      </c>
      <c r="AD2" s="115">
        <v>0</v>
      </c>
      <c r="AE2" s="115">
        <v>1</v>
      </c>
      <c r="AF2" s="115">
        <v>0</v>
      </c>
      <c r="AG2" s="115">
        <v>0</v>
      </c>
      <c r="AH2" s="115">
        <v>0</v>
      </c>
      <c r="AI2" s="115">
        <v>0</v>
      </c>
      <c r="AJ2" s="115">
        <v>1</v>
      </c>
      <c r="AK2" s="115">
        <v>0</v>
      </c>
      <c r="AL2" s="115">
        <v>0</v>
      </c>
      <c r="AM2" s="115">
        <v>0</v>
      </c>
      <c r="AN2" s="115">
        <v>0</v>
      </c>
      <c r="AO2" s="115">
        <v>0</v>
      </c>
      <c r="AP2" s="115">
        <v>0</v>
      </c>
      <c r="AQ2" s="115">
        <v>0</v>
      </c>
    </row>
    <row r="3" spans="1:43" customFormat="1" x14ac:dyDescent="0.15">
      <c r="A3" s="195" t="s">
        <v>194</v>
      </c>
      <c r="B3" s="115">
        <v>0</v>
      </c>
      <c r="C3" s="115">
        <v>0</v>
      </c>
      <c r="D3" s="115">
        <v>0</v>
      </c>
      <c r="E3" s="115">
        <v>0</v>
      </c>
      <c r="F3" s="115">
        <v>0</v>
      </c>
      <c r="G3" s="115">
        <v>0</v>
      </c>
      <c r="H3" s="115">
        <v>0</v>
      </c>
      <c r="I3" s="115">
        <v>1</v>
      </c>
      <c r="J3" s="115">
        <v>1</v>
      </c>
      <c r="K3" s="115">
        <v>1</v>
      </c>
      <c r="L3" s="115">
        <v>1</v>
      </c>
      <c r="M3" s="115">
        <v>0</v>
      </c>
      <c r="N3" s="115">
        <v>1</v>
      </c>
      <c r="O3" s="115">
        <v>0</v>
      </c>
      <c r="P3" s="115">
        <v>0</v>
      </c>
      <c r="Q3" s="115">
        <v>1</v>
      </c>
      <c r="R3" s="115">
        <v>1</v>
      </c>
      <c r="S3" s="115">
        <v>0</v>
      </c>
      <c r="T3" s="115">
        <v>1</v>
      </c>
      <c r="U3" s="115">
        <v>0</v>
      </c>
      <c r="V3" s="115">
        <v>0</v>
      </c>
      <c r="W3" s="115">
        <v>0</v>
      </c>
      <c r="X3" s="115">
        <v>0</v>
      </c>
      <c r="Y3" s="115">
        <v>0</v>
      </c>
      <c r="Z3" s="115">
        <v>1</v>
      </c>
      <c r="AA3" s="115">
        <v>1</v>
      </c>
      <c r="AB3" s="115">
        <v>1</v>
      </c>
      <c r="AC3" s="115">
        <v>1</v>
      </c>
      <c r="AD3" s="115">
        <v>1</v>
      </c>
      <c r="AE3" s="115">
        <v>1</v>
      </c>
      <c r="AF3" s="115">
        <v>0</v>
      </c>
      <c r="AG3" s="115">
        <v>0</v>
      </c>
      <c r="AH3" s="115">
        <v>0</v>
      </c>
      <c r="AI3" s="115">
        <v>0</v>
      </c>
      <c r="AJ3" s="115">
        <v>0</v>
      </c>
      <c r="AK3" s="115">
        <v>1</v>
      </c>
      <c r="AL3" s="115">
        <v>0</v>
      </c>
      <c r="AM3" s="115">
        <v>0</v>
      </c>
      <c r="AN3" s="115">
        <v>0</v>
      </c>
      <c r="AO3" s="115">
        <v>0</v>
      </c>
      <c r="AP3" s="115">
        <v>0</v>
      </c>
      <c r="AQ3" s="115">
        <v>0</v>
      </c>
    </row>
    <row r="4" spans="1:43" customFormat="1" x14ac:dyDescent="0.15">
      <c r="A4" s="195" t="s">
        <v>195</v>
      </c>
      <c r="B4" s="115">
        <v>0</v>
      </c>
      <c r="C4" s="115">
        <v>0</v>
      </c>
      <c r="D4" s="115">
        <v>0</v>
      </c>
      <c r="E4" s="115">
        <v>0</v>
      </c>
      <c r="F4" s="115">
        <v>0</v>
      </c>
      <c r="G4" s="115">
        <v>0</v>
      </c>
      <c r="H4" s="115">
        <v>0</v>
      </c>
      <c r="I4" s="115">
        <v>0</v>
      </c>
      <c r="J4" s="115">
        <v>0</v>
      </c>
      <c r="K4" s="115">
        <v>1</v>
      </c>
      <c r="L4" s="115">
        <v>0</v>
      </c>
      <c r="M4" s="115">
        <v>0</v>
      </c>
      <c r="N4" s="115">
        <v>1</v>
      </c>
      <c r="O4" s="115">
        <v>0</v>
      </c>
      <c r="P4" s="115">
        <v>0</v>
      </c>
      <c r="Q4" s="115">
        <v>0</v>
      </c>
      <c r="R4" s="115">
        <v>1</v>
      </c>
      <c r="S4" s="115">
        <v>0</v>
      </c>
      <c r="T4" s="115">
        <v>0</v>
      </c>
      <c r="U4" s="115">
        <v>0</v>
      </c>
      <c r="V4" s="115">
        <v>0</v>
      </c>
      <c r="W4" s="115">
        <v>0</v>
      </c>
      <c r="X4" s="115">
        <v>0</v>
      </c>
      <c r="Y4" s="115">
        <v>0</v>
      </c>
      <c r="Z4" s="115">
        <v>1</v>
      </c>
      <c r="AA4" s="115">
        <v>0</v>
      </c>
      <c r="AB4" s="115">
        <v>0</v>
      </c>
      <c r="AC4" s="115">
        <v>1</v>
      </c>
      <c r="AD4" s="115">
        <v>1</v>
      </c>
      <c r="AE4" s="115">
        <v>1</v>
      </c>
      <c r="AF4" s="115">
        <v>0</v>
      </c>
      <c r="AG4" s="115">
        <v>0</v>
      </c>
      <c r="AH4" s="115">
        <v>0</v>
      </c>
      <c r="AI4" s="115">
        <v>0</v>
      </c>
      <c r="AJ4" s="115">
        <v>0</v>
      </c>
      <c r="AK4" s="115">
        <v>1</v>
      </c>
      <c r="AL4" s="115">
        <v>0</v>
      </c>
      <c r="AM4" s="115">
        <v>0</v>
      </c>
      <c r="AN4" s="115">
        <v>0</v>
      </c>
      <c r="AO4" s="115">
        <v>0</v>
      </c>
      <c r="AP4" s="115">
        <v>0</v>
      </c>
      <c r="AQ4" s="115">
        <v>0</v>
      </c>
    </row>
    <row r="5" spans="1:43" customFormat="1" x14ac:dyDescent="0.15">
      <c r="A5" s="195" t="s">
        <v>196</v>
      </c>
      <c r="B5" s="115">
        <v>0</v>
      </c>
      <c r="C5" s="115">
        <v>0</v>
      </c>
      <c r="D5" s="115">
        <v>0</v>
      </c>
      <c r="E5" s="115">
        <v>0</v>
      </c>
      <c r="F5" s="115">
        <v>1</v>
      </c>
      <c r="G5" s="115">
        <v>0</v>
      </c>
      <c r="H5" s="115">
        <v>1</v>
      </c>
      <c r="I5" s="115">
        <v>1</v>
      </c>
      <c r="J5" s="115">
        <v>0</v>
      </c>
      <c r="K5" s="115">
        <v>1</v>
      </c>
      <c r="L5" s="115">
        <v>1</v>
      </c>
      <c r="M5" s="115">
        <v>0</v>
      </c>
      <c r="N5" s="115">
        <v>1</v>
      </c>
      <c r="O5" s="115">
        <v>0</v>
      </c>
      <c r="P5" s="115">
        <v>0</v>
      </c>
      <c r="Q5" s="115">
        <v>0</v>
      </c>
      <c r="R5" s="115">
        <v>1</v>
      </c>
      <c r="S5" s="115">
        <v>0</v>
      </c>
      <c r="T5" s="115">
        <v>1</v>
      </c>
      <c r="U5" s="115">
        <v>1</v>
      </c>
      <c r="V5" s="115">
        <v>1</v>
      </c>
      <c r="W5" s="115">
        <v>1</v>
      </c>
      <c r="X5" s="115">
        <v>1</v>
      </c>
      <c r="Y5" s="115">
        <v>1</v>
      </c>
      <c r="Z5" s="115">
        <v>0</v>
      </c>
      <c r="AA5" s="115">
        <v>0</v>
      </c>
      <c r="AB5" s="115">
        <v>0</v>
      </c>
      <c r="AC5" s="115">
        <v>0</v>
      </c>
      <c r="AD5" s="115">
        <v>0</v>
      </c>
      <c r="AE5" s="115">
        <v>0</v>
      </c>
      <c r="AF5" s="115">
        <v>0</v>
      </c>
      <c r="AG5" s="115">
        <v>0</v>
      </c>
      <c r="AH5" s="115">
        <v>0</v>
      </c>
      <c r="AI5" s="115">
        <v>0</v>
      </c>
      <c r="AJ5" s="115">
        <v>1</v>
      </c>
      <c r="AK5" s="115">
        <v>1</v>
      </c>
      <c r="AL5" s="115">
        <v>0</v>
      </c>
      <c r="AM5" s="115">
        <v>0</v>
      </c>
      <c r="AN5" s="115">
        <v>0</v>
      </c>
      <c r="AO5" s="115">
        <v>0</v>
      </c>
      <c r="AP5" s="115">
        <v>0</v>
      </c>
      <c r="AQ5" s="115">
        <v>0</v>
      </c>
    </row>
    <row r="6" spans="1:43" customFormat="1" x14ac:dyDescent="0.15">
      <c r="A6" s="195" t="s">
        <v>197</v>
      </c>
      <c r="B6" s="115">
        <v>0</v>
      </c>
      <c r="C6" s="115">
        <v>0</v>
      </c>
      <c r="D6" s="115">
        <v>0</v>
      </c>
      <c r="E6" s="115">
        <v>1</v>
      </c>
      <c r="F6" s="115">
        <v>1</v>
      </c>
      <c r="G6" s="115">
        <v>0</v>
      </c>
      <c r="H6" s="115">
        <v>1</v>
      </c>
      <c r="I6" s="115">
        <v>0</v>
      </c>
      <c r="J6" s="115">
        <v>0</v>
      </c>
      <c r="K6" s="115">
        <v>1</v>
      </c>
      <c r="L6" s="115">
        <v>0</v>
      </c>
      <c r="M6" s="115">
        <v>1</v>
      </c>
      <c r="N6" s="115">
        <v>1</v>
      </c>
      <c r="O6" s="115">
        <v>1</v>
      </c>
      <c r="P6" s="115">
        <v>0</v>
      </c>
      <c r="Q6" s="115">
        <v>1</v>
      </c>
      <c r="R6" s="115">
        <v>0</v>
      </c>
      <c r="S6" s="115">
        <v>0</v>
      </c>
      <c r="T6" s="115">
        <v>1</v>
      </c>
      <c r="U6" s="115">
        <v>1</v>
      </c>
      <c r="V6" s="115">
        <v>1</v>
      </c>
      <c r="W6" s="115">
        <v>0</v>
      </c>
      <c r="X6" s="115">
        <v>0</v>
      </c>
      <c r="Y6" s="115">
        <v>1</v>
      </c>
      <c r="Z6" s="115">
        <v>1</v>
      </c>
      <c r="AA6" s="115">
        <v>1</v>
      </c>
      <c r="AB6" s="115">
        <v>1</v>
      </c>
      <c r="AC6" s="115">
        <v>1</v>
      </c>
      <c r="AD6" s="115">
        <v>0</v>
      </c>
      <c r="AE6" s="115">
        <v>1</v>
      </c>
      <c r="AF6" s="115">
        <v>1</v>
      </c>
      <c r="AG6" s="115">
        <v>1</v>
      </c>
      <c r="AH6" s="115">
        <v>0</v>
      </c>
      <c r="AI6" s="115">
        <v>0</v>
      </c>
      <c r="AJ6" s="115">
        <v>1</v>
      </c>
      <c r="AK6" s="115">
        <v>1</v>
      </c>
      <c r="AL6" s="115">
        <v>0</v>
      </c>
      <c r="AM6" s="115">
        <v>0</v>
      </c>
      <c r="AN6" s="115">
        <v>0</v>
      </c>
      <c r="AO6" s="115">
        <v>0</v>
      </c>
      <c r="AP6" s="115">
        <v>0</v>
      </c>
      <c r="AQ6" s="115">
        <v>0</v>
      </c>
    </row>
    <row r="7" spans="1:43" customFormat="1" x14ac:dyDescent="0.15">
      <c r="A7" s="195" t="s">
        <v>198</v>
      </c>
      <c r="B7" s="115">
        <v>0</v>
      </c>
      <c r="C7" s="115">
        <v>0</v>
      </c>
      <c r="D7" s="115">
        <v>0</v>
      </c>
      <c r="E7" s="115">
        <v>0</v>
      </c>
      <c r="F7" s="115">
        <v>0</v>
      </c>
      <c r="G7" s="115">
        <v>0</v>
      </c>
      <c r="H7" s="115">
        <v>0</v>
      </c>
      <c r="I7" s="115">
        <v>0</v>
      </c>
      <c r="J7" s="115">
        <v>0</v>
      </c>
      <c r="K7" s="115">
        <v>1</v>
      </c>
      <c r="L7" s="115">
        <v>1</v>
      </c>
      <c r="M7" s="115">
        <v>0</v>
      </c>
      <c r="N7" s="115">
        <v>1</v>
      </c>
      <c r="O7" s="115">
        <v>0</v>
      </c>
      <c r="P7" s="115">
        <v>0</v>
      </c>
      <c r="Q7" s="115">
        <v>0</v>
      </c>
      <c r="R7" s="115">
        <v>1</v>
      </c>
      <c r="S7" s="115">
        <v>1</v>
      </c>
      <c r="T7" s="115">
        <v>0</v>
      </c>
      <c r="U7" s="115">
        <v>0</v>
      </c>
      <c r="V7" s="115">
        <v>0</v>
      </c>
      <c r="W7" s="115">
        <v>0</v>
      </c>
      <c r="X7" s="115">
        <v>0</v>
      </c>
      <c r="Y7" s="115">
        <v>0</v>
      </c>
      <c r="Z7" s="115">
        <v>1</v>
      </c>
      <c r="AA7" s="115">
        <v>1</v>
      </c>
      <c r="AB7" s="115">
        <v>0</v>
      </c>
      <c r="AC7" s="115">
        <v>0</v>
      </c>
      <c r="AD7" s="115">
        <v>0</v>
      </c>
      <c r="AE7" s="115">
        <v>0</v>
      </c>
      <c r="AF7" s="115">
        <v>0</v>
      </c>
      <c r="AG7" s="115">
        <v>0</v>
      </c>
      <c r="AH7" s="115">
        <v>0</v>
      </c>
      <c r="AI7" s="115">
        <v>0</v>
      </c>
      <c r="AJ7" s="115">
        <v>0</v>
      </c>
      <c r="AK7" s="115">
        <v>0</v>
      </c>
      <c r="AL7" s="115">
        <v>0</v>
      </c>
      <c r="AM7" s="115">
        <v>0</v>
      </c>
      <c r="AN7" s="115">
        <v>0</v>
      </c>
      <c r="AO7" s="115">
        <v>0</v>
      </c>
      <c r="AP7" s="115">
        <v>0</v>
      </c>
      <c r="AQ7" s="115">
        <v>0</v>
      </c>
    </row>
    <row r="8" spans="1:43" customFormat="1" x14ac:dyDescent="0.15">
      <c r="A8" s="195" t="s">
        <v>199</v>
      </c>
      <c r="B8" s="115">
        <v>0</v>
      </c>
      <c r="C8" s="115">
        <v>0</v>
      </c>
      <c r="D8" s="115">
        <v>0</v>
      </c>
      <c r="E8" s="115">
        <v>0</v>
      </c>
      <c r="F8" s="115">
        <v>0</v>
      </c>
      <c r="G8" s="115">
        <v>0</v>
      </c>
      <c r="H8" s="115">
        <v>0</v>
      </c>
      <c r="I8" s="115">
        <v>1</v>
      </c>
      <c r="J8" s="115">
        <v>0</v>
      </c>
      <c r="K8" s="115">
        <v>1</v>
      </c>
      <c r="L8" s="115">
        <v>1</v>
      </c>
      <c r="M8" s="115">
        <v>0</v>
      </c>
      <c r="N8" s="115">
        <v>0</v>
      </c>
      <c r="O8" s="115">
        <v>0</v>
      </c>
      <c r="P8" s="115">
        <v>0</v>
      </c>
      <c r="Q8" s="115">
        <v>1</v>
      </c>
      <c r="R8" s="115">
        <v>0</v>
      </c>
      <c r="S8" s="115">
        <v>0</v>
      </c>
      <c r="T8" s="115">
        <v>0</v>
      </c>
      <c r="U8" s="115">
        <v>0</v>
      </c>
      <c r="V8" s="115">
        <v>0</v>
      </c>
      <c r="W8" s="115">
        <v>0</v>
      </c>
      <c r="X8" s="115">
        <v>0</v>
      </c>
      <c r="Y8" s="115">
        <v>0</v>
      </c>
      <c r="Z8" s="115">
        <v>1</v>
      </c>
      <c r="AA8" s="115">
        <v>1</v>
      </c>
      <c r="AB8" s="115">
        <v>0</v>
      </c>
      <c r="AC8" s="115">
        <v>1</v>
      </c>
      <c r="AD8" s="115">
        <v>1</v>
      </c>
      <c r="AE8" s="115">
        <v>1</v>
      </c>
      <c r="AF8" s="115">
        <v>0</v>
      </c>
      <c r="AG8" s="115">
        <v>0</v>
      </c>
      <c r="AH8" s="115">
        <v>1</v>
      </c>
      <c r="AI8" s="115">
        <v>0</v>
      </c>
      <c r="AJ8" s="115">
        <v>0</v>
      </c>
      <c r="AK8" s="115">
        <v>1</v>
      </c>
      <c r="AL8" s="115">
        <v>0</v>
      </c>
      <c r="AM8" s="115">
        <v>0</v>
      </c>
      <c r="AN8" s="115">
        <v>0</v>
      </c>
      <c r="AO8" s="115">
        <v>0</v>
      </c>
      <c r="AP8" s="115">
        <v>0</v>
      </c>
      <c r="AQ8" s="115">
        <v>0</v>
      </c>
    </row>
    <row r="9" spans="1:43" customFormat="1" x14ac:dyDescent="0.15">
      <c r="A9" s="195" t="s">
        <v>200</v>
      </c>
      <c r="B9" s="115">
        <v>0</v>
      </c>
      <c r="C9" s="115">
        <v>0</v>
      </c>
      <c r="D9" s="115">
        <v>0</v>
      </c>
      <c r="E9" s="115">
        <v>0</v>
      </c>
      <c r="F9" s="115">
        <v>0</v>
      </c>
      <c r="G9" s="115">
        <v>0</v>
      </c>
      <c r="H9" s="115">
        <v>0</v>
      </c>
      <c r="I9" s="115">
        <v>1</v>
      </c>
      <c r="J9" s="115">
        <v>0</v>
      </c>
      <c r="K9" s="115">
        <v>1</v>
      </c>
      <c r="L9" s="115">
        <v>1</v>
      </c>
      <c r="M9" s="115">
        <v>1</v>
      </c>
      <c r="N9" s="115">
        <v>1</v>
      </c>
      <c r="O9" s="115">
        <v>0</v>
      </c>
      <c r="P9" s="115">
        <v>1</v>
      </c>
      <c r="Q9" s="115">
        <v>1</v>
      </c>
      <c r="R9" s="115">
        <v>1</v>
      </c>
      <c r="S9" s="115">
        <v>1</v>
      </c>
      <c r="T9" s="115">
        <v>1</v>
      </c>
      <c r="U9" s="115">
        <v>1</v>
      </c>
      <c r="V9" s="115">
        <v>1</v>
      </c>
      <c r="W9" s="115">
        <v>0</v>
      </c>
      <c r="X9" s="115">
        <v>0</v>
      </c>
      <c r="Y9" s="115">
        <v>1</v>
      </c>
      <c r="Z9" s="115">
        <v>1</v>
      </c>
      <c r="AA9" s="115">
        <v>1</v>
      </c>
      <c r="AB9" s="115">
        <v>1</v>
      </c>
      <c r="AC9" s="115">
        <v>1</v>
      </c>
      <c r="AD9" s="115">
        <v>1</v>
      </c>
      <c r="AE9" s="115">
        <v>1</v>
      </c>
      <c r="AF9" s="115">
        <v>1</v>
      </c>
      <c r="AG9" s="115">
        <v>1</v>
      </c>
      <c r="AH9" s="115">
        <v>1</v>
      </c>
      <c r="AI9" s="115">
        <v>1</v>
      </c>
      <c r="AJ9" s="115">
        <v>0</v>
      </c>
      <c r="AK9" s="115">
        <v>1</v>
      </c>
      <c r="AL9" s="115">
        <v>0</v>
      </c>
      <c r="AM9" s="115">
        <v>0</v>
      </c>
      <c r="AN9" s="115">
        <v>0</v>
      </c>
      <c r="AO9" s="115">
        <v>0</v>
      </c>
      <c r="AP9" s="115">
        <v>0</v>
      </c>
      <c r="AQ9" s="115">
        <v>0</v>
      </c>
    </row>
    <row r="10" spans="1:43" customFormat="1" x14ac:dyDescent="0.15">
      <c r="A10" s="195" t="s">
        <v>201</v>
      </c>
      <c r="B10" s="115">
        <v>0</v>
      </c>
      <c r="C10" s="115">
        <v>0</v>
      </c>
      <c r="D10" s="115">
        <v>0</v>
      </c>
      <c r="E10" s="115">
        <v>0</v>
      </c>
      <c r="F10" s="115">
        <v>0</v>
      </c>
      <c r="G10" s="115">
        <v>0</v>
      </c>
      <c r="H10" s="115">
        <v>0</v>
      </c>
      <c r="I10" s="115">
        <v>1</v>
      </c>
      <c r="J10" s="115">
        <v>0</v>
      </c>
      <c r="K10" s="115">
        <v>1</v>
      </c>
      <c r="L10" s="115">
        <v>1</v>
      </c>
      <c r="M10" s="115">
        <v>1</v>
      </c>
      <c r="N10" s="115">
        <v>1</v>
      </c>
      <c r="O10" s="115">
        <v>0</v>
      </c>
      <c r="P10" s="115">
        <v>1</v>
      </c>
      <c r="Q10" s="115">
        <v>1</v>
      </c>
      <c r="R10" s="115">
        <v>1</v>
      </c>
      <c r="S10" s="115">
        <v>1</v>
      </c>
      <c r="T10" s="115">
        <v>0</v>
      </c>
      <c r="U10" s="115">
        <v>1</v>
      </c>
      <c r="V10" s="115">
        <v>1</v>
      </c>
      <c r="W10" s="115">
        <v>0</v>
      </c>
      <c r="X10" s="115">
        <v>0</v>
      </c>
      <c r="Y10" s="115">
        <v>1</v>
      </c>
      <c r="Z10" s="115">
        <v>1</v>
      </c>
      <c r="AA10" s="115">
        <v>1</v>
      </c>
      <c r="AB10" s="115">
        <v>1</v>
      </c>
      <c r="AC10" s="115">
        <v>1</v>
      </c>
      <c r="AD10" s="115">
        <v>1</v>
      </c>
      <c r="AE10" s="115">
        <v>1</v>
      </c>
      <c r="AF10" s="115">
        <v>1</v>
      </c>
      <c r="AG10" s="115">
        <v>1</v>
      </c>
      <c r="AH10" s="115">
        <v>0</v>
      </c>
      <c r="AI10" s="115">
        <v>1</v>
      </c>
      <c r="AJ10" s="115">
        <v>0</v>
      </c>
      <c r="AK10" s="115">
        <v>1</v>
      </c>
      <c r="AL10" s="115">
        <v>0</v>
      </c>
      <c r="AM10" s="115">
        <v>0</v>
      </c>
      <c r="AN10" s="115">
        <v>0</v>
      </c>
      <c r="AO10" s="115">
        <v>0</v>
      </c>
      <c r="AP10" s="115">
        <v>0</v>
      </c>
      <c r="AQ10" s="115">
        <v>0</v>
      </c>
    </row>
    <row r="11" spans="1:43" customFormat="1" x14ac:dyDescent="0.15">
      <c r="A11" s="195" t="s">
        <v>202</v>
      </c>
      <c r="B11" s="115">
        <v>0</v>
      </c>
      <c r="C11" s="115">
        <v>0</v>
      </c>
      <c r="D11" s="115">
        <v>0</v>
      </c>
      <c r="E11" s="115">
        <v>0</v>
      </c>
      <c r="F11" s="115">
        <v>0</v>
      </c>
      <c r="G11" s="115">
        <v>0</v>
      </c>
      <c r="H11" s="115">
        <v>0</v>
      </c>
      <c r="I11" s="115">
        <v>1</v>
      </c>
      <c r="J11" s="115">
        <v>0</v>
      </c>
      <c r="K11" s="115">
        <v>1</v>
      </c>
      <c r="L11" s="115">
        <v>1</v>
      </c>
      <c r="M11" s="115">
        <v>1</v>
      </c>
      <c r="N11" s="115">
        <v>0</v>
      </c>
      <c r="O11" s="115">
        <v>0</v>
      </c>
      <c r="P11" s="115">
        <v>0</v>
      </c>
      <c r="Q11" s="115">
        <v>1</v>
      </c>
      <c r="R11" s="115">
        <v>1</v>
      </c>
      <c r="S11" s="115">
        <v>1</v>
      </c>
      <c r="T11" s="115">
        <v>0</v>
      </c>
      <c r="U11" s="115">
        <v>0</v>
      </c>
      <c r="V11" s="115">
        <v>0</v>
      </c>
      <c r="W11" s="115">
        <v>0</v>
      </c>
      <c r="X11" s="115">
        <v>0</v>
      </c>
      <c r="Y11" s="115">
        <v>0</v>
      </c>
      <c r="Z11" s="115">
        <v>1</v>
      </c>
      <c r="AA11" s="115">
        <v>1</v>
      </c>
      <c r="AB11" s="115">
        <v>1</v>
      </c>
      <c r="AC11" s="115">
        <v>1</v>
      </c>
      <c r="AD11" s="115">
        <v>1</v>
      </c>
      <c r="AE11" s="115">
        <v>1</v>
      </c>
      <c r="AF11" s="115">
        <v>0</v>
      </c>
      <c r="AG11" s="115">
        <v>1</v>
      </c>
      <c r="AH11" s="115">
        <v>1</v>
      </c>
      <c r="AI11" s="115">
        <v>1</v>
      </c>
      <c r="AJ11" s="115">
        <v>0</v>
      </c>
      <c r="AK11" s="115">
        <v>0</v>
      </c>
      <c r="AL11" s="115">
        <v>0</v>
      </c>
      <c r="AM11" s="115">
        <v>0</v>
      </c>
      <c r="AN11" s="115">
        <v>0</v>
      </c>
      <c r="AO11" s="115">
        <v>0</v>
      </c>
      <c r="AP11" s="115">
        <v>0</v>
      </c>
      <c r="AQ11" s="115">
        <v>0</v>
      </c>
    </row>
    <row r="12" spans="1:43" customFormat="1" x14ac:dyDescent="0.15">
      <c r="A12" s="195" t="s">
        <v>203</v>
      </c>
      <c r="B12" s="115">
        <v>0</v>
      </c>
      <c r="C12" s="115">
        <v>0</v>
      </c>
      <c r="D12" s="115">
        <v>0</v>
      </c>
      <c r="E12" s="115">
        <v>0</v>
      </c>
      <c r="F12" s="115">
        <v>0</v>
      </c>
      <c r="G12" s="115">
        <v>0</v>
      </c>
      <c r="H12" s="115">
        <v>0</v>
      </c>
      <c r="I12" s="115">
        <v>1</v>
      </c>
      <c r="J12" s="115">
        <v>0</v>
      </c>
      <c r="K12" s="115">
        <v>1</v>
      </c>
      <c r="L12" s="115">
        <v>1</v>
      </c>
      <c r="M12" s="115">
        <v>1</v>
      </c>
      <c r="N12" s="115">
        <v>1</v>
      </c>
      <c r="O12" s="115">
        <v>0</v>
      </c>
      <c r="P12" s="115">
        <v>1</v>
      </c>
      <c r="Q12" s="115">
        <v>1</v>
      </c>
      <c r="R12" s="115">
        <v>1</v>
      </c>
      <c r="S12" s="115">
        <v>1</v>
      </c>
      <c r="T12" s="115">
        <v>1</v>
      </c>
      <c r="U12" s="115">
        <v>0</v>
      </c>
      <c r="V12" s="115">
        <v>0</v>
      </c>
      <c r="W12" s="115">
        <v>0</v>
      </c>
      <c r="X12" s="115">
        <v>0</v>
      </c>
      <c r="Y12" s="115">
        <v>1</v>
      </c>
      <c r="Z12" s="115">
        <v>1</v>
      </c>
      <c r="AA12" s="115">
        <v>1</v>
      </c>
      <c r="AB12" s="115">
        <v>1</v>
      </c>
      <c r="AC12" s="115">
        <v>1</v>
      </c>
      <c r="AD12" s="115">
        <v>1</v>
      </c>
      <c r="AE12" s="115">
        <v>1</v>
      </c>
      <c r="AF12" s="115">
        <v>1</v>
      </c>
      <c r="AG12" s="115">
        <v>1</v>
      </c>
      <c r="AH12" s="115">
        <v>1</v>
      </c>
      <c r="AI12" s="115">
        <v>1</v>
      </c>
      <c r="AJ12" s="115">
        <v>0</v>
      </c>
      <c r="AK12" s="115">
        <v>0</v>
      </c>
      <c r="AL12" s="115">
        <v>0</v>
      </c>
      <c r="AM12" s="115">
        <v>0</v>
      </c>
      <c r="AN12" s="115">
        <v>0</v>
      </c>
      <c r="AO12" s="115">
        <v>0</v>
      </c>
      <c r="AP12" s="115">
        <v>0</v>
      </c>
      <c r="AQ12" s="115">
        <v>0</v>
      </c>
    </row>
    <row r="13" spans="1:43" customFormat="1" x14ac:dyDescent="0.15">
      <c r="A13" s="195" t="s">
        <v>204</v>
      </c>
      <c r="B13" s="115">
        <v>0</v>
      </c>
      <c r="C13" s="115">
        <v>0</v>
      </c>
      <c r="D13" s="115">
        <v>0</v>
      </c>
      <c r="E13" s="115">
        <v>0</v>
      </c>
      <c r="F13" s="115">
        <v>0</v>
      </c>
      <c r="G13" s="115">
        <v>0</v>
      </c>
      <c r="H13" s="115">
        <v>0</v>
      </c>
      <c r="I13" s="115">
        <v>0</v>
      </c>
      <c r="J13" s="115">
        <v>0</v>
      </c>
      <c r="K13" s="115">
        <v>0</v>
      </c>
      <c r="L13" s="115">
        <v>0</v>
      </c>
      <c r="M13" s="115">
        <v>1</v>
      </c>
      <c r="N13" s="115">
        <v>1</v>
      </c>
      <c r="O13" s="115">
        <v>1</v>
      </c>
      <c r="P13" s="115">
        <v>1</v>
      </c>
      <c r="Q13" s="115">
        <v>1</v>
      </c>
      <c r="R13" s="115">
        <v>0</v>
      </c>
      <c r="S13" s="115">
        <v>0</v>
      </c>
      <c r="T13" s="115">
        <v>1</v>
      </c>
      <c r="U13" s="115">
        <v>0</v>
      </c>
      <c r="V13" s="115">
        <v>0</v>
      </c>
      <c r="W13" s="115">
        <v>0</v>
      </c>
      <c r="X13" s="115">
        <v>0</v>
      </c>
      <c r="Y13" s="115">
        <v>0</v>
      </c>
      <c r="Z13" s="115">
        <v>1</v>
      </c>
      <c r="AA13" s="115">
        <v>1</v>
      </c>
      <c r="AB13" s="115">
        <v>1</v>
      </c>
      <c r="AC13" s="115">
        <v>1</v>
      </c>
      <c r="AD13" s="115">
        <v>1</v>
      </c>
      <c r="AE13" s="115">
        <v>1</v>
      </c>
      <c r="AF13" s="115">
        <v>1</v>
      </c>
      <c r="AG13" s="115">
        <v>1</v>
      </c>
      <c r="AH13" s="115">
        <v>1</v>
      </c>
      <c r="AI13" s="115">
        <v>1</v>
      </c>
      <c r="AJ13" s="115">
        <v>0</v>
      </c>
      <c r="AK13" s="115">
        <v>1</v>
      </c>
      <c r="AL13" s="115">
        <v>0</v>
      </c>
      <c r="AM13" s="115">
        <v>0</v>
      </c>
      <c r="AN13" s="115">
        <v>0</v>
      </c>
      <c r="AO13" s="115">
        <v>0</v>
      </c>
      <c r="AP13" s="115">
        <v>0</v>
      </c>
      <c r="AQ13" s="115">
        <v>0</v>
      </c>
    </row>
    <row r="14" spans="1:43" customFormat="1" x14ac:dyDescent="0.15">
      <c r="A14" s="195" t="s">
        <v>205</v>
      </c>
      <c r="B14" s="115">
        <v>0</v>
      </c>
      <c r="C14" s="115">
        <v>0</v>
      </c>
      <c r="D14" s="115">
        <v>0</v>
      </c>
      <c r="E14" s="115">
        <v>0</v>
      </c>
      <c r="F14" s="115">
        <v>0</v>
      </c>
      <c r="G14" s="115">
        <v>0</v>
      </c>
      <c r="H14" s="115">
        <v>0</v>
      </c>
      <c r="I14" s="115">
        <v>0</v>
      </c>
      <c r="J14" s="115">
        <v>0</v>
      </c>
      <c r="K14" s="115">
        <v>0</v>
      </c>
      <c r="L14" s="115">
        <v>0</v>
      </c>
      <c r="M14" s="115">
        <v>0</v>
      </c>
      <c r="N14" s="115">
        <v>1</v>
      </c>
      <c r="O14" s="115">
        <v>1</v>
      </c>
      <c r="P14" s="115">
        <v>1</v>
      </c>
      <c r="Q14" s="115">
        <v>0</v>
      </c>
      <c r="R14" s="115">
        <v>0</v>
      </c>
      <c r="S14" s="115">
        <v>0</v>
      </c>
      <c r="T14" s="115">
        <v>1</v>
      </c>
      <c r="U14" s="115">
        <v>0</v>
      </c>
      <c r="V14" s="115">
        <v>0</v>
      </c>
      <c r="W14" s="115">
        <v>0</v>
      </c>
      <c r="X14" s="115">
        <v>0</v>
      </c>
      <c r="Y14" s="115">
        <v>0</v>
      </c>
      <c r="Z14" s="115">
        <v>1</v>
      </c>
      <c r="AA14" s="115">
        <v>1</v>
      </c>
      <c r="AB14" s="115">
        <v>0</v>
      </c>
      <c r="AC14" s="115">
        <v>1</v>
      </c>
      <c r="AD14" s="115">
        <v>1</v>
      </c>
      <c r="AE14" s="115">
        <v>1</v>
      </c>
      <c r="AF14" s="115">
        <v>1</v>
      </c>
      <c r="AG14" s="115">
        <v>1</v>
      </c>
      <c r="AH14" s="115">
        <v>1</v>
      </c>
      <c r="AI14" s="115">
        <v>1</v>
      </c>
      <c r="AJ14" s="115">
        <v>1</v>
      </c>
      <c r="AK14" s="115">
        <v>1</v>
      </c>
      <c r="AL14" s="115">
        <v>1</v>
      </c>
      <c r="AM14" s="115">
        <v>1</v>
      </c>
      <c r="AN14" s="115">
        <v>1</v>
      </c>
      <c r="AO14" s="115">
        <v>0</v>
      </c>
      <c r="AP14" s="115">
        <v>0</v>
      </c>
      <c r="AQ14" s="115">
        <v>0</v>
      </c>
    </row>
    <row r="15" spans="1:43" customFormat="1" x14ac:dyDescent="0.15">
      <c r="A15" s="195" t="s">
        <v>206</v>
      </c>
      <c r="B15" s="115">
        <v>0</v>
      </c>
      <c r="C15" s="115">
        <v>0</v>
      </c>
      <c r="D15" s="115">
        <v>0</v>
      </c>
      <c r="E15" s="115">
        <v>0</v>
      </c>
      <c r="F15" s="115">
        <v>0</v>
      </c>
      <c r="G15" s="115">
        <v>0</v>
      </c>
      <c r="H15" s="115">
        <v>0</v>
      </c>
      <c r="I15" s="115">
        <v>0</v>
      </c>
      <c r="J15" s="115">
        <v>0</v>
      </c>
      <c r="K15" s="115">
        <v>0</v>
      </c>
      <c r="L15" s="115">
        <v>0</v>
      </c>
      <c r="M15" s="115">
        <v>0</v>
      </c>
      <c r="N15" s="115">
        <v>0</v>
      </c>
      <c r="O15" s="115">
        <v>1</v>
      </c>
      <c r="P15" s="115">
        <v>0</v>
      </c>
      <c r="Q15" s="115">
        <v>0</v>
      </c>
      <c r="R15" s="115">
        <v>0</v>
      </c>
      <c r="S15" s="115">
        <v>0</v>
      </c>
      <c r="T15" s="115">
        <v>0</v>
      </c>
      <c r="U15" s="115">
        <v>0</v>
      </c>
      <c r="V15" s="115">
        <v>0</v>
      </c>
      <c r="W15" s="115">
        <v>0</v>
      </c>
      <c r="X15" s="115">
        <v>0</v>
      </c>
      <c r="Y15" s="115">
        <v>0</v>
      </c>
      <c r="Z15" s="115">
        <v>1</v>
      </c>
      <c r="AA15" s="115">
        <v>0</v>
      </c>
      <c r="AB15" s="115">
        <v>0</v>
      </c>
      <c r="AC15" s="115">
        <v>1</v>
      </c>
      <c r="AD15" s="115">
        <v>1</v>
      </c>
      <c r="AE15" s="115">
        <v>0</v>
      </c>
      <c r="AF15" s="115">
        <v>1</v>
      </c>
      <c r="AG15" s="115">
        <v>0</v>
      </c>
      <c r="AH15" s="115">
        <v>0</v>
      </c>
      <c r="AI15" s="115">
        <v>1</v>
      </c>
      <c r="AJ15" s="115">
        <v>1</v>
      </c>
      <c r="AK15" s="115">
        <v>1</v>
      </c>
      <c r="AL15" s="115">
        <v>1</v>
      </c>
      <c r="AM15" s="115">
        <v>1</v>
      </c>
      <c r="AN15" s="115">
        <v>0</v>
      </c>
      <c r="AO15" s="115">
        <v>0</v>
      </c>
      <c r="AP15" s="115">
        <v>0</v>
      </c>
      <c r="AQ15" s="115">
        <v>0</v>
      </c>
    </row>
    <row r="16" spans="1:43" customFormat="1" x14ac:dyDescent="0.15">
      <c r="A16" s="195" t="s">
        <v>207</v>
      </c>
      <c r="B16" s="115">
        <v>0</v>
      </c>
      <c r="C16" s="115">
        <v>0</v>
      </c>
      <c r="D16" s="115">
        <v>0</v>
      </c>
      <c r="E16" s="115">
        <v>0</v>
      </c>
      <c r="F16" s="115">
        <v>0</v>
      </c>
      <c r="G16" s="115">
        <v>0</v>
      </c>
      <c r="H16" s="115">
        <v>0</v>
      </c>
      <c r="I16" s="115">
        <v>0</v>
      </c>
      <c r="J16" s="115">
        <v>0</v>
      </c>
      <c r="K16" s="115">
        <v>0</v>
      </c>
      <c r="L16" s="115">
        <v>0</v>
      </c>
      <c r="M16" s="115">
        <v>0</v>
      </c>
      <c r="N16" s="115">
        <v>1</v>
      </c>
      <c r="O16" s="115">
        <v>0</v>
      </c>
      <c r="P16" s="115">
        <v>0</v>
      </c>
      <c r="Q16" s="115">
        <v>0</v>
      </c>
      <c r="R16" s="115">
        <v>0</v>
      </c>
      <c r="S16" s="115">
        <v>0</v>
      </c>
      <c r="T16" s="115">
        <v>0</v>
      </c>
      <c r="U16" s="115">
        <v>0</v>
      </c>
      <c r="V16" s="115">
        <v>0</v>
      </c>
      <c r="W16" s="115">
        <v>0</v>
      </c>
      <c r="X16" s="115">
        <v>0</v>
      </c>
      <c r="Y16" s="115">
        <v>0</v>
      </c>
      <c r="Z16" s="115">
        <v>1</v>
      </c>
      <c r="AA16" s="115">
        <v>1</v>
      </c>
      <c r="AB16" s="115">
        <v>0</v>
      </c>
      <c r="AC16" s="115">
        <v>1</v>
      </c>
      <c r="AD16" s="115">
        <v>0</v>
      </c>
      <c r="AE16" s="115">
        <v>1</v>
      </c>
      <c r="AF16" s="115">
        <v>1</v>
      </c>
      <c r="AG16" s="115">
        <v>1</v>
      </c>
      <c r="AH16" s="115">
        <v>1</v>
      </c>
      <c r="AI16" s="115">
        <v>1</v>
      </c>
      <c r="AJ16" s="115">
        <v>0</v>
      </c>
      <c r="AK16" s="115">
        <v>0</v>
      </c>
      <c r="AL16" s="115">
        <v>0</v>
      </c>
      <c r="AM16" s="115">
        <v>0</v>
      </c>
      <c r="AN16" s="115">
        <v>0</v>
      </c>
      <c r="AO16" s="115">
        <v>0</v>
      </c>
      <c r="AP16" s="115">
        <v>0</v>
      </c>
      <c r="AQ16" s="115">
        <v>0</v>
      </c>
    </row>
    <row r="17" spans="1:43" customFormat="1" x14ac:dyDescent="0.15">
      <c r="A17" s="195" t="s">
        <v>208</v>
      </c>
      <c r="B17" s="115">
        <v>0</v>
      </c>
      <c r="C17" s="115">
        <v>0</v>
      </c>
      <c r="D17" s="115">
        <v>0</v>
      </c>
      <c r="E17" s="115">
        <v>0</v>
      </c>
      <c r="F17" s="115">
        <v>0</v>
      </c>
      <c r="G17" s="115">
        <v>0</v>
      </c>
      <c r="H17" s="115">
        <v>0</v>
      </c>
      <c r="I17" s="115">
        <v>0</v>
      </c>
      <c r="J17" s="115">
        <v>0</v>
      </c>
      <c r="K17" s="115">
        <v>0</v>
      </c>
      <c r="L17" s="115">
        <v>0</v>
      </c>
      <c r="M17" s="115">
        <v>1</v>
      </c>
      <c r="N17" s="115">
        <v>1</v>
      </c>
      <c r="O17" s="115">
        <v>1</v>
      </c>
      <c r="P17" s="115">
        <v>0</v>
      </c>
      <c r="Q17" s="115">
        <v>0</v>
      </c>
      <c r="R17" s="115">
        <v>0</v>
      </c>
      <c r="S17" s="115">
        <v>0</v>
      </c>
      <c r="T17" s="115">
        <v>0</v>
      </c>
      <c r="U17" s="115">
        <v>0</v>
      </c>
      <c r="V17" s="115">
        <v>0</v>
      </c>
      <c r="W17" s="115">
        <v>0</v>
      </c>
      <c r="X17" s="115">
        <v>0</v>
      </c>
      <c r="Y17" s="115">
        <v>0</v>
      </c>
      <c r="Z17" s="115">
        <v>0</v>
      </c>
      <c r="AA17" s="115">
        <v>1</v>
      </c>
      <c r="AB17" s="115">
        <v>0</v>
      </c>
      <c r="AC17" s="115">
        <v>1</v>
      </c>
      <c r="AD17" s="115">
        <v>1</v>
      </c>
      <c r="AE17" s="115">
        <v>1</v>
      </c>
      <c r="AF17" s="115">
        <v>1</v>
      </c>
      <c r="AG17" s="115">
        <v>1</v>
      </c>
      <c r="AH17" s="115">
        <v>1</v>
      </c>
      <c r="AI17" s="115">
        <v>1</v>
      </c>
      <c r="AJ17" s="115">
        <v>1</v>
      </c>
      <c r="AK17" s="115">
        <v>1</v>
      </c>
      <c r="AL17" s="115">
        <v>0</v>
      </c>
      <c r="AM17" s="115">
        <v>0</v>
      </c>
      <c r="AN17" s="115">
        <v>0</v>
      </c>
      <c r="AO17" s="115">
        <v>0</v>
      </c>
      <c r="AP17" s="115">
        <v>0</v>
      </c>
      <c r="AQ17" s="115">
        <v>0</v>
      </c>
    </row>
    <row r="18" spans="1:43" customFormat="1" x14ac:dyDescent="0.15">
      <c r="A18" s="195" t="s">
        <v>209</v>
      </c>
      <c r="B18" s="115">
        <v>0</v>
      </c>
      <c r="C18" s="115">
        <v>0</v>
      </c>
      <c r="D18" s="115">
        <v>0</v>
      </c>
      <c r="E18" s="115">
        <v>0</v>
      </c>
      <c r="F18" s="115">
        <v>0</v>
      </c>
      <c r="G18" s="115">
        <v>0</v>
      </c>
      <c r="H18" s="115">
        <v>0</v>
      </c>
      <c r="I18" s="115">
        <v>0</v>
      </c>
      <c r="J18" s="115">
        <v>0</v>
      </c>
      <c r="K18" s="115">
        <v>0</v>
      </c>
      <c r="L18" s="115">
        <v>0</v>
      </c>
      <c r="M18" s="115">
        <v>1</v>
      </c>
      <c r="N18" s="115">
        <v>1</v>
      </c>
      <c r="O18" s="115">
        <v>1</v>
      </c>
      <c r="P18" s="115">
        <v>0</v>
      </c>
      <c r="Q18" s="115">
        <v>0</v>
      </c>
      <c r="R18" s="115">
        <v>0</v>
      </c>
      <c r="S18" s="115">
        <v>0</v>
      </c>
      <c r="T18" s="115">
        <v>0</v>
      </c>
      <c r="U18" s="115">
        <v>0</v>
      </c>
      <c r="V18" s="115">
        <v>0</v>
      </c>
      <c r="W18" s="115">
        <v>0</v>
      </c>
      <c r="X18" s="115">
        <v>0</v>
      </c>
      <c r="Y18" s="115">
        <v>0</v>
      </c>
      <c r="Z18" s="115">
        <v>1</v>
      </c>
      <c r="AA18" s="115">
        <v>1</v>
      </c>
      <c r="AB18" s="115">
        <v>0</v>
      </c>
      <c r="AC18" s="115">
        <v>1</v>
      </c>
      <c r="AD18" s="115">
        <v>1</v>
      </c>
      <c r="AE18" s="115">
        <v>1</v>
      </c>
      <c r="AF18" s="115">
        <v>1</v>
      </c>
      <c r="AG18" s="115">
        <v>1</v>
      </c>
      <c r="AH18" s="115">
        <v>1</v>
      </c>
      <c r="AI18" s="115">
        <v>1</v>
      </c>
      <c r="AJ18" s="115">
        <v>1</v>
      </c>
      <c r="AK18" s="115">
        <v>1</v>
      </c>
      <c r="AL18" s="115">
        <v>0</v>
      </c>
      <c r="AM18" s="115">
        <v>0</v>
      </c>
      <c r="AN18" s="115">
        <v>1</v>
      </c>
      <c r="AO18" s="115">
        <v>0</v>
      </c>
      <c r="AP18" s="115">
        <v>0</v>
      </c>
      <c r="AQ18" s="115">
        <v>0</v>
      </c>
    </row>
    <row r="19" spans="1:43" customFormat="1" x14ac:dyDescent="0.15">
      <c r="A19" s="195" t="s">
        <v>210</v>
      </c>
      <c r="B19" s="115">
        <v>0</v>
      </c>
      <c r="C19" s="115">
        <v>0</v>
      </c>
      <c r="D19" s="115">
        <v>0</v>
      </c>
      <c r="E19" s="115">
        <v>0</v>
      </c>
      <c r="F19" s="115">
        <v>0</v>
      </c>
      <c r="G19" s="115">
        <v>0</v>
      </c>
      <c r="H19" s="115">
        <v>0</v>
      </c>
      <c r="I19" s="115">
        <v>0</v>
      </c>
      <c r="J19" s="115">
        <v>0</v>
      </c>
      <c r="K19" s="115">
        <v>0</v>
      </c>
      <c r="L19" s="115">
        <v>0</v>
      </c>
      <c r="M19" s="115">
        <v>0</v>
      </c>
      <c r="N19" s="115">
        <v>0</v>
      </c>
      <c r="O19" s="115">
        <v>0</v>
      </c>
      <c r="P19" s="115">
        <v>0</v>
      </c>
      <c r="Q19" s="115">
        <v>0</v>
      </c>
      <c r="R19" s="115">
        <v>0</v>
      </c>
      <c r="S19" s="115">
        <v>0</v>
      </c>
      <c r="T19" s="115">
        <v>0</v>
      </c>
      <c r="U19" s="115">
        <v>0</v>
      </c>
      <c r="V19" s="115">
        <v>0</v>
      </c>
      <c r="W19" s="115">
        <v>0</v>
      </c>
      <c r="X19" s="115">
        <v>0</v>
      </c>
      <c r="Y19" s="115">
        <v>0</v>
      </c>
      <c r="Z19" s="115">
        <v>0</v>
      </c>
      <c r="AA19" s="115">
        <v>1</v>
      </c>
      <c r="AB19" s="115">
        <v>0</v>
      </c>
      <c r="AC19" s="115">
        <v>1</v>
      </c>
      <c r="AD19" s="115">
        <v>1</v>
      </c>
      <c r="AE19" s="115">
        <v>0</v>
      </c>
      <c r="AF19" s="115">
        <v>1</v>
      </c>
      <c r="AG19" s="115">
        <v>1</v>
      </c>
      <c r="AH19" s="115">
        <v>0</v>
      </c>
      <c r="AI19" s="115">
        <v>1</v>
      </c>
      <c r="AJ19" s="115">
        <v>1</v>
      </c>
      <c r="AK19" s="115">
        <v>1</v>
      </c>
      <c r="AL19" s="115">
        <v>0</v>
      </c>
      <c r="AM19" s="115">
        <v>0</v>
      </c>
      <c r="AN19" s="115">
        <v>0</v>
      </c>
      <c r="AO19" s="115">
        <v>0</v>
      </c>
      <c r="AP19" s="115">
        <v>0</v>
      </c>
      <c r="AQ19" s="115">
        <v>0</v>
      </c>
    </row>
    <row r="20" spans="1:43" customFormat="1" x14ac:dyDescent="0.15">
      <c r="A20" s="195" t="s">
        <v>211</v>
      </c>
      <c r="B20" s="115">
        <v>0</v>
      </c>
      <c r="C20" s="115">
        <v>0</v>
      </c>
      <c r="D20" s="115">
        <v>0</v>
      </c>
      <c r="E20" s="115">
        <v>0</v>
      </c>
      <c r="F20" s="115">
        <v>0</v>
      </c>
      <c r="G20" s="115">
        <v>0</v>
      </c>
      <c r="H20" s="115">
        <v>0</v>
      </c>
      <c r="I20" s="115">
        <v>0</v>
      </c>
      <c r="J20" s="115">
        <v>0</v>
      </c>
      <c r="K20" s="115">
        <v>0</v>
      </c>
      <c r="L20" s="115">
        <v>0</v>
      </c>
      <c r="M20" s="115">
        <v>0</v>
      </c>
      <c r="N20" s="115">
        <v>0</v>
      </c>
      <c r="O20" s="115">
        <v>1</v>
      </c>
      <c r="P20" s="115">
        <v>0</v>
      </c>
      <c r="Q20" s="115">
        <v>0</v>
      </c>
      <c r="R20" s="115">
        <v>0</v>
      </c>
      <c r="S20" s="115">
        <v>0</v>
      </c>
      <c r="T20" s="115">
        <v>0</v>
      </c>
      <c r="U20" s="115">
        <v>0</v>
      </c>
      <c r="V20" s="115">
        <v>0</v>
      </c>
      <c r="W20" s="115">
        <v>0</v>
      </c>
      <c r="X20" s="115">
        <v>0</v>
      </c>
      <c r="Y20" s="115">
        <v>0</v>
      </c>
      <c r="Z20" s="115">
        <v>0</v>
      </c>
      <c r="AA20" s="115">
        <v>0</v>
      </c>
      <c r="AB20" s="115">
        <v>0</v>
      </c>
      <c r="AC20" s="115">
        <v>0</v>
      </c>
      <c r="AD20" s="115">
        <v>0</v>
      </c>
      <c r="AE20" s="115">
        <v>0</v>
      </c>
      <c r="AF20" s="115">
        <v>1</v>
      </c>
      <c r="AG20" s="115">
        <v>1</v>
      </c>
      <c r="AH20" s="115">
        <v>0</v>
      </c>
      <c r="AI20" s="115">
        <v>1</v>
      </c>
      <c r="AJ20" s="115">
        <v>1</v>
      </c>
      <c r="AK20" s="115">
        <v>1</v>
      </c>
      <c r="AL20" s="115">
        <v>1</v>
      </c>
      <c r="AM20" s="115">
        <v>1</v>
      </c>
      <c r="AN20" s="115">
        <v>1</v>
      </c>
      <c r="AO20" s="115">
        <v>0</v>
      </c>
      <c r="AP20" s="115">
        <v>0</v>
      </c>
      <c r="AQ20" s="115">
        <v>0</v>
      </c>
    </row>
    <row r="21" spans="1:43" customFormat="1" x14ac:dyDescent="0.15">
      <c r="A21" s="195" t="s">
        <v>212</v>
      </c>
      <c r="B21" s="115">
        <v>0</v>
      </c>
      <c r="C21" s="115">
        <v>0</v>
      </c>
      <c r="D21" s="115">
        <v>0</v>
      </c>
      <c r="E21" s="115">
        <v>0</v>
      </c>
      <c r="F21" s="115">
        <v>0</v>
      </c>
      <c r="G21" s="115">
        <v>0</v>
      </c>
      <c r="H21" s="115">
        <v>0</v>
      </c>
      <c r="I21" s="115">
        <v>0</v>
      </c>
      <c r="J21" s="115">
        <v>0</v>
      </c>
      <c r="K21" s="115">
        <v>0</v>
      </c>
      <c r="L21" s="115">
        <v>0</v>
      </c>
      <c r="M21" s="115">
        <v>0</v>
      </c>
      <c r="N21" s="115">
        <v>1</v>
      </c>
      <c r="O21" s="115">
        <v>1</v>
      </c>
      <c r="P21" s="115">
        <v>0</v>
      </c>
      <c r="Q21" s="115">
        <v>0</v>
      </c>
      <c r="R21" s="115">
        <v>0</v>
      </c>
      <c r="S21" s="115">
        <v>0</v>
      </c>
      <c r="T21" s="115">
        <v>1</v>
      </c>
      <c r="U21" s="115">
        <v>0</v>
      </c>
      <c r="V21" s="115">
        <v>0</v>
      </c>
      <c r="W21" s="115">
        <v>0</v>
      </c>
      <c r="X21" s="115">
        <v>0</v>
      </c>
      <c r="Y21" s="115">
        <v>0</v>
      </c>
      <c r="Z21" s="115">
        <v>0</v>
      </c>
      <c r="AA21" s="115">
        <v>0</v>
      </c>
      <c r="AB21" s="115">
        <v>0</v>
      </c>
      <c r="AC21" s="115">
        <v>1</v>
      </c>
      <c r="AD21" s="115">
        <v>1</v>
      </c>
      <c r="AE21" s="115">
        <v>1</v>
      </c>
      <c r="AF21" s="115">
        <v>0</v>
      </c>
      <c r="AG21" s="115">
        <v>1</v>
      </c>
      <c r="AH21" s="115">
        <v>1</v>
      </c>
      <c r="AI21" s="115">
        <v>1</v>
      </c>
      <c r="AJ21" s="115">
        <v>1</v>
      </c>
      <c r="AK21" s="115">
        <v>1</v>
      </c>
      <c r="AL21" s="115">
        <v>1</v>
      </c>
      <c r="AM21" s="115">
        <v>1</v>
      </c>
      <c r="AN21" s="115">
        <v>1</v>
      </c>
      <c r="AO21" s="115">
        <v>0</v>
      </c>
      <c r="AP21" s="115">
        <v>0</v>
      </c>
      <c r="AQ21" s="115">
        <v>0</v>
      </c>
    </row>
    <row r="22" spans="1:43" customFormat="1" x14ac:dyDescent="0.15">
      <c r="A22" s="195" t="s">
        <v>213</v>
      </c>
      <c r="B22" s="115">
        <v>0</v>
      </c>
      <c r="C22" s="115">
        <v>0</v>
      </c>
      <c r="D22" s="115">
        <v>0</v>
      </c>
      <c r="E22" s="115">
        <v>0</v>
      </c>
      <c r="F22" s="115">
        <v>0</v>
      </c>
      <c r="G22" s="115">
        <v>0</v>
      </c>
      <c r="H22" s="115">
        <v>0</v>
      </c>
      <c r="I22" s="115">
        <v>0</v>
      </c>
      <c r="J22" s="115">
        <v>0</v>
      </c>
      <c r="K22" s="115">
        <v>0</v>
      </c>
      <c r="L22" s="115">
        <v>0</v>
      </c>
      <c r="M22" s="115">
        <v>0</v>
      </c>
      <c r="N22" s="115">
        <v>1</v>
      </c>
      <c r="O22" s="115">
        <v>1</v>
      </c>
      <c r="P22" s="115">
        <v>0</v>
      </c>
      <c r="Q22" s="115">
        <v>0</v>
      </c>
      <c r="R22" s="115">
        <v>0</v>
      </c>
      <c r="S22" s="115">
        <v>0</v>
      </c>
      <c r="T22" s="115">
        <v>1</v>
      </c>
      <c r="U22" s="115">
        <v>0</v>
      </c>
      <c r="V22" s="115">
        <v>0</v>
      </c>
      <c r="W22" s="115">
        <v>0</v>
      </c>
      <c r="X22" s="115">
        <v>0</v>
      </c>
      <c r="Y22" s="115">
        <v>0</v>
      </c>
      <c r="Z22" s="115">
        <v>0</v>
      </c>
      <c r="AA22" s="115">
        <v>0</v>
      </c>
      <c r="AB22" s="115">
        <v>0</v>
      </c>
      <c r="AC22" s="115">
        <v>1</v>
      </c>
      <c r="AD22" s="115">
        <v>1</v>
      </c>
      <c r="AE22" s="115">
        <v>1</v>
      </c>
      <c r="AF22" s="115">
        <v>0</v>
      </c>
      <c r="AG22" s="115">
        <v>1</v>
      </c>
      <c r="AH22" s="115">
        <v>1</v>
      </c>
      <c r="AI22" s="115">
        <v>1</v>
      </c>
      <c r="AJ22" s="115">
        <v>1</v>
      </c>
      <c r="AK22" s="115">
        <v>1</v>
      </c>
      <c r="AL22" s="115">
        <v>1</v>
      </c>
      <c r="AM22" s="115">
        <v>1</v>
      </c>
      <c r="AN22" s="115">
        <v>1</v>
      </c>
      <c r="AO22" s="115">
        <v>0</v>
      </c>
      <c r="AP22" s="115">
        <v>0</v>
      </c>
      <c r="AQ22" s="115">
        <v>0</v>
      </c>
    </row>
    <row r="23" spans="1:43" customFormat="1" x14ac:dyDescent="0.15">
      <c r="A23" s="195" t="s">
        <v>214</v>
      </c>
      <c r="B23" s="115">
        <v>0</v>
      </c>
      <c r="C23" s="115">
        <v>0</v>
      </c>
      <c r="D23" s="115">
        <v>0</v>
      </c>
      <c r="E23" s="115">
        <v>0</v>
      </c>
      <c r="F23" s="115">
        <v>0</v>
      </c>
      <c r="G23" s="115">
        <v>0</v>
      </c>
      <c r="H23" s="115">
        <v>0</v>
      </c>
      <c r="I23" s="115">
        <v>0</v>
      </c>
      <c r="J23" s="115">
        <v>0</v>
      </c>
      <c r="K23" s="115">
        <v>0</v>
      </c>
      <c r="L23" s="115">
        <v>0</v>
      </c>
      <c r="M23" s="115">
        <v>0</v>
      </c>
      <c r="N23" s="115">
        <v>1</v>
      </c>
      <c r="O23" s="115">
        <v>1</v>
      </c>
      <c r="P23" s="115">
        <v>0</v>
      </c>
      <c r="Q23" s="115">
        <v>0</v>
      </c>
      <c r="R23" s="115">
        <v>0</v>
      </c>
      <c r="S23" s="115">
        <v>0</v>
      </c>
      <c r="T23" s="115">
        <v>0</v>
      </c>
      <c r="U23" s="115">
        <v>0</v>
      </c>
      <c r="V23" s="115">
        <v>0</v>
      </c>
      <c r="W23" s="115">
        <v>0</v>
      </c>
      <c r="X23" s="115">
        <v>0</v>
      </c>
      <c r="Y23" s="115">
        <v>0</v>
      </c>
      <c r="Z23" s="115">
        <v>0</v>
      </c>
      <c r="AA23" s="115">
        <v>0</v>
      </c>
      <c r="AB23" s="115">
        <v>0</v>
      </c>
      <c r="AC23" s="115">
        <v>1</v>
      </c>
      <c r="AD23" s="115">
        <v>0</v>
      </c>
      <c r="AE23" s="115">
        <v>1</v>
      </c>
      <c r="AF23" s="115">
        <v>1</v>
      </c>
      <c r="AG23" s="115">
        <v>1</v>
      </c>
      <c r="AH23" s="115">
        <v>1</v>
      </c>
      <c r="AI23" s="115">
        <v>1</v>
      </c>
      <c r="AJ23" s="115">
        <v>1</v>
      </c>
      <c r="AK23" s="115">
        <v>1</v>
      </c>
      <c r="AL23" s="115">
        <v>1</v>
      </c>
      <c r="AM23" s="115">
        <v>1</v>
      </c>
      <c r="AN23" s="115">
        <v>1</v>
      </c>
      <c r="AO23" s="115">
        <v>0</v>
      </c>
      <c r="AP23" s="115">
        <v>0</v>
      </c>
      <c r="AQ23" s="115">
        <v>0</v>
      </c>
    </row>
    <row r="24" spans="1:43" customFormat="1" x14ac:dyDescent="0.15">
      <c r="A24" s="195" t="s">
        <v>215</v>
      </c>
      <c r="B24" s="115">
        <v>0</v>
      </c>
      <c r="C24" s="115">
        <v>0</v>
      </c>
      <c r="D24" s="115">
        <v>0</v>
      </c>
      <c r="E24" s="115">
        <v>0</v>
      </c>
      <c r="F24" s="115">
        <v>0</v>
      </c>
      <c r="G24" s="115">
        <v>0</v>
      </c>
      <c r="H24" s="115">
        <v>0</v>
      </c>
      <c r="I24" s="115">
        <v>0</v>
      </c>
      <c r="J24" s="115">
        <v>0</v>
      </c>
      <c r="K24" s="115">
        <v>0</v>
      </c>
      <c r="L24" s="115">
        <v>0</v>
      </c>
      <c r="M24" s="115">
        <v>0</v>
      </c>
      <c r="N24" s="115">
        <v>1</v>
      </c>
      <c r="O24" s="115">
        <v>1</v>
      </c>
      <c r="P24" s="115">
        <v>0</v>
      </c>
      <c r="Q24" s="115">
        <v>0</v>
      </c>
      <c r="R24" s="115">
        <v>0</v>
      </c>
      <c r="S24" s="115">
        <v>0</v>
      </c>
      <c r="T24" s="115">
        <v>0</v>
      </c>
      <c r="U24" s="115">
        <v>0</v>
      </c>
      <c r="V24" s="115">
        <v>0</v>
      </c>
      <c r="W24" s="115">
        <v>0</v>
      </c>
      <c r="X24" s="115">
        <v>0</v>
      </c>
      <c r="Y24" s="115">
        <v>0</v>
      </c>
      <c r="Z24" s="115">
        <v>0</v>
      </c>
      <c r="AA24" s="115">
        <v>0</v>
      </c>
      <c r="AB24" s="115">
        <v>0</v>
      </c>
      <c r="AC24" s="115">
        <v>1</v>
      </c>
      <c r="AD24" s="115">
        <v>0</v>
      </c>
      <c r="AE24" s="115">
        <v>1</v>
      </c>
      <c r="AF24" s="115">
        <v>1</v>
      </c>
      <c r="AG24" s="115">
        <v>1</v>
      </c>
      <c r="AH24" s="115">
        <v>1</v>
      </c>
      <c r="AI24" s="115">
        <v>1</v>
      </c>
      <c r="AJ24" s="115">
        <v>1</v>
      </c>
      <c r="AK24" s="115">
        <v>1</v>
      </c>
      <c r="AL24" s="115">
        <v>1</v>
      </c>
      <c r="AM24" s="115">
        <v>1</v>
      </c>
      <c r="AN24" s="115">
        <v>1</v>
      </c>
      <c r="AO24" s="115">
        <v>0</v>
      </c>
      <c r="AP24" s="115">
        <v>0</v>
      </c>
      <c r="AQ24" s="115">
        <v>0</v>
      </c>
    </row>
    <row r="25" spans="1:43" customFormat="1" x14ac:dyDescent="0.15">
      <c r="A25" s="195" t="s">
        <v>216</v>
      </c>
      <c r="B25" s="115">
        <v>0</v>
      </c>
      <c r="C25" s="115">
        <v>0</v>
      </c>
      <c r="D25" s="115">
        <v>0</v>
      </c>
      <c r="E25" s="115">
        <v>0</v>
      </c>
      <c r="F25" s="115">
        <v>0</v>
      </c>
      <c r="G25" s="115">
        <v>0</v>
      </c>
      <c r="H25" s="115">
        <v>0</v>
      </c>
      <c r="I25" s="115">
        <v>0</v>
      </c>
      <c r="J25" s="115">
        <v>0</v>
      </c>
      <c r="K25" s="115">
        <v>0</v>
      </c>
      <c r="L25" s="115">
        <v>0</v>
      </c>
      <c r="M25" s="115">
        <v>0</v>
      </c>
      <c r="N25" s="115">
        <v>0</v>
      </c>
      <c r="O25" s="115">
        <v>1</v>
      </c>
      <c r="P25" s="115">
        <v>0</v>
      </c>
      <c r="Q25" s="115">
        <v>0</v>
      </c>
      <c r="R25" s="115">
        <v>0</v>
      </c>
      <c r="S25" s="115">
        <v>0</v>
      </c>
      <c r="T25" s="115">
        <v>0</v>
      </c>
      <c r="U25" s="115">
        <v>0</v>
      </c>
      <c r="V25" s="115">
        <v>0</v>
      </c>
      <c r="W25" s="115">
        <v>0</v>
      </c>
      <c r="X25" s="115">
        <v>0</v>
      </c>
      <c r="Y25" s="115">
        <v>0</v>
      </c>
      <c r="Z25" s="115">
        <v>0</v>
      </c>
      <c r="AA25" s="115">
        <v>0</v>
      </c>
      <c r="AB25" s="115">
        <v>0</v>
      </c>
      <c r="AC25" s="115">
        <v>1</v>
      </c>
      <c r="AD25" s="115">
        <v>0</v>
      </c>
      <c r="AE25" s="115">
        <v>1</v>
      </c>
      <c r="AF25" s="115">
        <v>0</v>
      </c>
      <c r="AG25" s="115">
        <v>1</v>
      </c>
      <c r="AH25" s="115">
        <v>1</v>
      </c>
      <c r="AI25" s="115">
        <v>1</v>
      </c>
      <c r="AJ25" s="115">
        <v>1</v>
      </c>
      <c r="AK25" s="115">
        <v>1</v>
      </c>
      <c r="AL25" s="115">
        <v>1</v>
      </c>
      <c r="AM25" s="115">
        <v>0</v>
      </c>
      <c r="AN25" s="115">
        <v>1</v>
      </c>
      <c r="AO25" s="115">
        <v>0</v>
      </c>
      <c r="AP25" s="115">
        <v>0</v>
      </c>
      <c r="AQ25" s="115">
        <v>0</v>
      </c>
    </row>
    <row r="26" spans="1:43" customFormat="1" x14ac:dyDescent="0.15">
      <c r="A26" s="195" t="s">
        <v>217</v>
      </c>
      <c r="B26" s="115">
        <v>0</v>
      </c>
      <c r="C26" s="115">
        <v>0</v>
      </c>
      <c r="D26" s="115">
        <v>0</v>
      </c>
      <c r="E26" s="115">
        <v>0</v>
      </c>
      <c r="F26" s="115">
        <v>0</v>
      </c>
      <c r="G26" s="115">
        <v>0</v>
      </c>
      <c r="H26" s="115">
        <v>0</v>
      </c>
      <c r="I26" s="115">
        <v>0</v>
      </c>
      <c r="J26" s="115">
        <v>0</v>
      </c>
      <c r="K26" s="115">
        <v>0</v>
      </c>
      <c r="L26" s="115">
        <v>0</v>
      </c>
      <c r="M26" s="115">
        <v>0</v>
      </c>
      <c r="N26" s="115">
        <v>0</v>
      </c>
      <c r="O26" s="115">
        <v>0</v>
      </c>
      <c r="P26" s="115">
        <v>1</v>
      </c>
      <c r="Q26" s="115">
        <v>0</v>
      </c>
      <c r="R26" s="115">
        <v>0</v>
      </c>
      <c r="S26" s="115">
        <v>0</v>
      </c>
      <c r="T26" s="115">
        <v>0</v>
      </c>
      <c r="U26" s="115">
        <v>0</v>
      </c>
      <c r="V26" s="115">
        <v>0</v>
      </c>
      <c r="W26" s="115">
        <v>0</v>
      </c>
      <c r="X26" s="115">
        <v>0</v>
      </c>
      <c r="Y26" s="115">
        <v>0</v>
      </c>
      <c r="Z26" s="115">
        <v>0</v>
      </c>
      <c r="AA26" s="115">
        <v>0</v>
      </c>
      <c r="AB26" s="115">
        <v>0</v>
      </c>
      <c r="AC26" s="115">
        <v>1</v>
      </c>
      <c r="AD26" s="115">
        <v>0</v>
      </c>
      <c r="AE26" s="115">
        <v>1</v>
      </c>
      <c r="AF26" s="115">
        <v>1</v>
      </c>
      <c r="AG26" s="115">
        <v>1</v>
      </c>
      <c r="AH26" s="115">
        <v>1</v>
      </c>
      <c r="AI26" s="115">
        <v>1</v>
      </c>
      <c r="AJ26" s="115">
        <v>1</v>
      </c>
      <c r="AK26" s="115">
        <v>1</v>
      </c>
      <c r="AL26" s="115">
        <v>0</v>
      </c>
      <c r="AM26" s="115">
        <v>0</v>
      </c>
      <c r="AN26" s="115">
        <v>1</v>
      </c>
      <c r="AO26" s="115">
        <v>0</v>
      </c>
      <c r="AP26" s="115">
        <v>0</v>
      </c>
      <c r="AQ26" s="115">
        <v>0</v>
      </c>
    </row>
    <row r="27" spans="1:43" customFormat="1" x14ac:dyDescent="0.15">
      <c r="A27" s="195" t="s">
        <v>218</v>
      </c>
      <c r="B27" s="115">
        <v>0</v>
      </c>
      <c r="C27" s="115">
        <v>0</v>
      </c>
      <c r="D27" s="115">
        <v>0</v>
      </c>
      <c r="E27" s="115">
        <v>0</v>
      </c>
      <c r="F27" s="115">
        <v>0</v>
      </c>
      <c r="G27" s="115">
        <v>0</v>
      </c>
      <c r="H27" s="115">
        <v>0</v>
      </c>
      <c r="I27" s="115">
        <v>0</v>
      </c>
      <c r="J27" s="115">
        <v>0</v>
      </c>
      <c r="K27" s="115">
        <v>0</v>
      </c>
      <c r="L27" s="115">
        <v>0</v>
      </c>
      <c r="M27" s="115">
        <v>0</v>
      </c>
      <c r="N27" s="115">
        <v>0</v>
      </c>
      <c r="O27" s="115">
        <v>0</v>
      </c>
      <c r="P27" s="115">
        <v>1</v>
      </c>
      <c r="Q27" s="115">
        <v>0</v>
      </c>
      <c r="R27" s="115">
        <v>0</v>
      </c>
      <c r="S27" s="115">
        <v>0</v>
      </c>
      <c r="T27" s="115">
        <v>0</v>
      </c>
      <c r="U27" s="115">
        <v>0</v>
      </c>
      <c r="V27" s="115">
        <v>0</v>
      </c>
      <c r="W27" s="115">
        <v>0</v>
      </c>
      <c r="X27" s="115">
        <v>0</v>
      </c>
      <c r="Y27" s="115">
        <v>0</v>
      </c>
      <c r="Z27" s="115">
        <v>0</v>
      </c>
      <c r="AA27" s="115">
        <v>0</v>
      </c>
      <c r="AB27" s="115">
        <v>0</v>
      </c>
      <c r="AC27" s="115">
        <v>1</v>
      </c>
      <c r="AD27" s="115">
        <v>0</v>
      </c>
      <c r="AE27" s="115">
        <v>0</v>
      </c>
      <c r="AF27" s="115">
        <v>0</v>
      </c>
      <c r="AG27" s="115">
        <v>0</v>
      </c>
      <c r="AH27" s="115">
        <v>1</v>
      </c>
      <c r="AI27" s="115">
        <v>1</v>
      </c>
      <c r="AJ27" s="115">
        <v>0</v>
      </c>
      <c r="AK27" s="115">
        <v>0</v>
      </c>
      <c r="AL27" s="115">
        <v>0</v>
      </c>
      <c r="AM27" s="115">
        <v>0</v>
      </c>
      <c r="AN27" s="115">
        <v>1</v>
      </c>
      <c r="AO27" s="115">
        <v>0</v>
      </c>
      <c r="AP27" s="115">
        <v>0</v>
      </c>
      <c r="AQ27" s="115">
        <v>0</v>
      </c>
    </row>
    <row r="28" spans="1:43" customFormat="1" x14ac:dyDescent="0.15">
      <c r="A28" s="195" t="s">
        <v>219</v>
      </c>
      <c r="B28" s="115">
        <v>0</v>
      </c>
      <c r="C28" s="115">
        <v>0</v>
      </c>
      <c r="D28" s="115">
        <v>0</v>
      </c>
      <c r="E28" s="115">
        <v>0</v>
      </c>
      <c r="F28" s="115">
        <v>0</v>
      </c>
      <c r="G28" s="115">
        <v>0</v>
      </c>
      <c r="H28" s="115">
        <v>0</v>
      </c>
      <c r="I28" s="115">
        <v>0</v>
      </c>
      <c r="J28" s="115">
        <v>0</v>
      </c>
      <c r="K28" s="115">
        <v>0</v>
      </c>
      <c r="L28" s="115">
        <v>0</v>
      </c>
      <c r="M28" s="115">
        <v>0</v>
      </c>
      <c r="N28" s="115">
        <v>0</v>
      </c>
      <c r="O28" s="115">
        <v>0</v>
      </c>
      <c r="P28" s="115">
        <v>0</v>
      </c>
      <c r="Q28" s="115">
        <v>0</v>
      </c>
      <c r="R28" s="115">
        <v>0</v>
      </c>
      <c r="S28" s="115">
        <v>0</v>
      </c>
      <c r="T28" s="115">
        <v>0</v>
      </c>
      <c r="U28" s="115">
        <v>0</v>
      </c>
      <c r="V28" s="115">
        <v>0</v>
      </c>
      <c r="W28" s="115">
        <v>0</v>
      </c>
      <c r="X28" s="115">
        <v>0</v>
      </c>
      <c r="Y28" s="115">
        <v>0</v>
      </c>
      <c r="Z28" s="115">
        <v>0</v>
      </c>
      <c r="AA28" s="115">
        <v>0</v>
      </c>
      <c r="AB28" s="115">
        <v>0</v>
      </c>
      <c r="AC28" s="115">
        <v>1</v>
      </c>
      <c r="AD28" s="115">
        <v>0</v>
      </c>
      <c r="AE28" s="115">
        <v>0</v>
      </c>
      <c r="AF28" s="115">
        <v>0</v>
      </c>
      <c r="AG28" s="115">
        <v>1</v>
      </c>
      <c r="AH28" s="115">
        <v>0</v>
      </c>
      <c r="AI28" s="115">
        <v>1</v>
      </c>
      <c r="AJ28" s="115">
        <v>0</v>
      </c>
      <c r="AK28" s="115">
        <v>1</v>
      </c>
      <c r="AL28" s="115">
        <v>0</v>
      </c>
      <c r="AM28" s="115">
        <v>1</v>
      </c>
      <c r="AN28" s="115">
        <v>1</v>
      </c>
      <c r="AO28" s="115">
        <v>0</v>
      </c>
      <c r="AP28" s="115">
        <v>0</v>
      </c>
      <c r="AQ28" s="115">
        <v>0</v>
      </c>
    </row>
    <row r="29" spans="1:43" customFormat="1" x14ac:dyDescent="0.15">
      <c r="A29" s="195" t="s">
        <v>220</v>
      </c>
      <c r="B29" s="115">
        <v>0</v>
      </c>
      <c r="C29" s="115">
        <v>0</v>
      </c>
      <c r="D29" s="115">
        <v>0</v>
      </c>
      <c r="E29" s="115">
        <v>0</v>
      </c>
      <c r="F29" s="115">
        <v>0</v>
      </c>
      <c r="G29" s="115">
        <v>0</v>
      </c>
      <c r="H29" s="115">
        <v>0</v>
      </c>
      <c r="I29" s="115">
        <v>0</v>
      </c>
      <c r="J29" s="115">
        <v>0</v>
      </c>
      <c r="K29" s="115">
        <v>0</v>
      </c>
      <c r="L29" s="115">
        <v>0</v>
      </c>
      <c r="M29" s="115">
        <v>0</v>
      </c>
      <c r="N29" s="115">
        <v>0</v>
      </c>
      <c r="O29" s="115">
        <v>0</v>
      </c>
      <c r="P29" s="115">
        <v>0</v>
      </c>
      <c r="Q29" s="115">
        <v>0</v>
      </c>
      <c r="R29" s="115">
        <v>0</v>
      </c>
      <c r="S29" s="115">
        <v>0</v>
      </c>
      <c r="T29" s="115">
        <v>0</v>
      </c>
      <c r="U29" s="115">
        <v>0</v>
      </c>
      <c r="V29" s="115">
        <v>0</v>
      </c>
      <c r="W29" s="115">
        <v>0</v>
      </c>
      <c r="X29" s="115">
        <v>0</v>
      </c>
      <c r="Y29" s="115">
        <v>0</v>
      </c>
      <c r="Z29" s="115">
        <v>0</v>
      </c>
      <c r="AA29" s="115">
        <v>0</v>
      </c>
      <c r="AB29" s="115">
        <v>0</v>
      </c>
      <c r="AC29" s="115">
        <v>0</v>
      </c>
      <c r="AD29" s="115">
        <v>0</v>
      </c>
      <c r="AE29" s="115">
        <v>0</v>
      </c>
      <c r="AF29" s="115">
        <v>0</v>
      </c>
      <c r="AG29" s="115">
        <v>0</v>
      </c>
      <c r="AH29" s="115">
        <v>0</v>
      </c>
      <c r="AI29" s="115">
        <v>1</v>
      </c>
      <c r="AJ29" s="115">
        <v>0</v>
      </c>
      <c r="AK29" s="115">
        <v>0</v>
      </c>
      <c r="AL29" s="115">
        <v>0</v>
      </c>
      <c r="AM29" s="115">
        <v>0</v>
      </c>
      <c r="AN29" s="115">
        <v>0</v>
      </c>
      <c r="AO29" s="115">
        <v>0</v>
      </c>
      <c r="AP29" s="115">
        <v>0</v>
      </c>
      <c r="AQ29" s="115">
        <v>0</v>
      </c>
    </row>
    <row r="30" spans="1:43" customFormat="1" x14ac:dyDescent="0.15">
      <c r="A30" s="195" t="s">
        <v>221</v>
      </c>
      <c r="B30" s="115">
        <v>0</v>
      </c>
      <c r="C30" s="115">
        <v>0</v>
      </c>
      <c r="D30" s="115">
        <v>0</v>
      </c>
      <c r="E30" s="115">
        <v>0</v>
      </c>
      <c r="F30" s="115">
        <v>0</v>
      </c>
      <c r="G30" s="115">
        <v>0</v>
      </c>
      <c r="H30" s="115">
        <v>0</v>
      </c>
      <c r="I30" s="115">
        <v>0</v>
      </c>
      <c r="J30" s="115">
        <v>0</v>
      </c>
      <c r="K30" s="115">
        <v>0</v>
      </c>
      <c r="L30" s="115">
        <v>0</v>
      </c>
      <c r="M30" s="115">
        <v>0</v>
      </c>
      <c r="N30" s="115">
        <v>0</v>
      </c>
      <c r="O30" s="115">
        <v>1</v>
      </c>
      <c r="P30" s="115">
        <v>1</v>
      </c>
      <c r="Q30" s="115">
        <v>0</v>
      </c>
      <c r="R30" s="115">
        <v>0</v>
      </c>
      <c r="S30" s="115">
        <v>0</v>
      </c>
      <c r="T30" s="115">
        <v>0</v>
      </c>
      <c r="U30" s="115">
        <v>0</v>
      </c>
      <c r="V30" s="115">
        <v>0</v>
      </c>
      <c r="W30" s="115">
        <v>0</v>
      </c>
      <c r="X30" s="115">
        <v>0</v>
      </c>
      <c r="Y30" s="115">
        <v>0</v>
      </c>
      <c r="Z30" s="115">
        <v>0</v>
      </c>
      <c r="AA30" s="115">
        <v>0</v>
      </c>
      <c r="AB30" s="115">
        <v>0</v>
      </c>
      <c r="AC30" s="115">
        <v>1</v>
      </c>
      <c r="AD30" s="115">
        <v>0</v>
      </c>
      <c r="AE30" s="115">
        <v>1</v>
      </c>
      <c r="AF30" s="115">
        <v>0</v>
      </c>
      <c r="AG30" s="115">
        <v>1</v>
      </c>
      <c r="AH30" s="115">
        <v>0</v>
      </c>
      <c r="AI30" s="115">
        <v>1</v>
      </c>
      <c r="AJ30" s="115">
        <v>1</v>
      </c>
      <c r="AK30" s="115">
        <v>0</v>
      </c>
      <c r="AL30" s="115">
        <v>0</v>
      </c>
      <c r="AM30" s="115">
        <v>0</v>
      </c>
      <c r="AN30" s="115">
        <v>1</v>
      </c>
      <c r="AO30" s="115">
        <v>0</v>
      </c>
      <c r="AP30" s="115">
        <v>0</v>
      </c>
      <c r="AQ30" s="115">
        <v>0</v>
      </c>
    </row>
    <row r="31" spans="1:43" customFormat="1" x14ac:dyDescent="0.15">
      <c r="A31" s="195" t="s">
        <v>222</v>
      </c>
      <c r="B31" s="115">
        <v>0</v>
      </c>
      <c r="C31" s="115">
        <v>0</v>
      </c>
      <c r="D31" s="115">
        <v>0</v>
      </c>
      <c r="E31" s="115">
        <v>0</v>
      </c>
      <c r="F31" s="115">
        <v>0</v>
      </c>
      <c r="G31" s="115">
        <v>0</v>
      </c>
      <c r="H31" s="115">
        <v>0</v>
      </c>
      <c r="I31" s="115">
        <v>0</v>
      </c>
      <c r="J31" s="115">
        <v>0</v>
      </c>
      <c r="K31" s="115">
        <v>0</v>
      </c>
      <c r="L31" s="115">
        <v>0</v>
      </c>
      <c r="M31" s="115">
        <v>0</v>
      </c>
      <c r="N31" s="115">
        <v>0</v>
      </c>
      <c r="O31" s="115">
        <v>0</v>
      </c>
      <c r="P31" s="115">
        <v>0</v>
      </c>
      <c r="Q31" s="115">
        <v>0</v>
      </c>
      <c r="R31" s="115">
        <v>0</v>
      </c>
      <c r="S31" s="115">
        <v>0</v>
      </c>
      <c r="T31" s="115">
        <v>0</v>
      </c>
      <c r="U31" s="115">
        <v>0</v>
      </c>
      <c r="V31" s="115">
        <v>0</v>
      </c>
      <c r="W31" s="115">
        <v>0</v>
      </c>
      <c r="X31" s="115">
        <v>0</v>
      </c>
      <c r="Y31" s="115">
        <v>0</v>
      </c>
      <c r="Z31" s="115">
        <v>0</v>
      </c>
      <c r="AA31" s="115">
        <v>0</v>
      </c>
      <c r="AB31" s="115">
        <v>0</v>
      </c>
      <c r="AC31" s="115">
        <v>1</v>
      </c>
      <c r="AD31" s="115">
        <v>0</v>
      </c>
      <c r="AE31" s="115">
        <v>1</v>
      </c>
      <c r="AF31" s="115">
        <v>0</v>
      </c>
      <c r="AG31" s="115">
        <v>1</v>
      </c>
      <c r="AH31" s="115">
        <v>1</v>
      </c>
      <c r="AI31" s="115">
        <v>1</v>
      </c>
      <c r="AJ31" s="115">
        <v>0</v>
      </c>
      <c r="AK31" s="115">
        <v>0</v>
      </c>
      <c r="AL31" s="115">
        <v>0</v>
      </c>
      <c r="AM31" s="115">
        <v>1</v>
      </c>
      <c r="AN31" s="115">
        <v>1</v>
      </c>
      <c r="AO31" s="115">
        <v>0</v>
      </c>
      <c r="AP31" s="115">
        <v>0</v>
      </c>
      <c r="AQ31" s="115">
        <v>0</v>
      </c>
    </row>
    <row r="32" spans="1:43" x14ac:dyDescent="0.15">
      <c r="A32" s="195" t="s">
        <v>223</v>
      </c>
      <c r="B32" s="115">
        <v>0</v>
      </c>
      <c r="C32" s="115">
        <v>0</v>
      </c>
      <c r="D32" s="115">
        <v>0</v>
      </c>
      <c r="E32" s="115">
        <v>0</v>
      </c>
      <c r="F32" s="115">
        <v>0</v>
      </c>
      <c r="G32" s="115">
        <v>0</v>
      </c>
      <c r="H32" s="115">
        <v>0</v>
      </c>
      <c r="I32" s="115">
        <v>0</v>
      </c>
      <c r="J32" s="115">
        <v>0</v>
      </c>
      <c r="K32" s="115">
        <v>0</v>
      </c>
      <c r="L32" s="115">
        <v>0</v>
      </c>
      <c r="M32" s="115">
        <v>0</v>
      </c>
      <c r="N32" s="115">
        <v>0</v>
      </c>
      <c r="O32" s="115">
        <v>0</v>
      </c>
      <c r="P32" s="115">
        <v>0</v>
      </c>
      <c r="Q32" s="115">
        <v>0</v>
      </c>
      <c r="R32" s="115">
        <v>0</v>
      </c>
      <c r="S32" s="115">
        <v>0</v>
      </c>
      <c r="T32" s="115">
        <v>0</v>
      </c>
      <c r="U32" s="115">
        <v>0</v>
      </c>
      <c r="V32" s="115">
        <v>0</v>
      </c>
      <c r="W32" s="115">
        <v>0</v>
      </c>
      <c r="X32" s="115">
        <v>0</v>
      </c>
      <c r="Y32" s="115">
        <v>0</v>
      </c>
      <c r="Z32" s="115">
        <v>0</v>
      </c>
      <c r="AA32" s="115">
        <v>1</v>
      </c>
      <c r="AB32" s="115">
        <v>0</v>
      </c>
      <c r="AC32" s="115">
        <v>1</v>
      </c>
      <c r="AD32" s="115">
        <v>0</v>
      </c>
      <c r="AE32" s="115">
        <v>1</v>
      </c>
      <c r="AF32" s="115">
        <v>0</v>
      </c>
      <c r="AG32" s="115">
        <v>0</v>
      </c>
      <c r="AH32" s="115">
        <v>0</v>
      </c>
      <c r="AI32" s="115">
        <v>1</v>
      </c>
      <c r="AJ32" s="115">
        <v>0</v>
      </c>
      <c r="AK32" s="115">
        <v>0</v>
      </c>
      <c r="AL32" s="115">
        <v>0</v>
      </c>
      <c r="AM32" s="115">
        <v>0</v>
      </c>
      <c r="AN32" s="115">
        <v>1</v>
      </c>
      <c r="AO32" s="115">
        <v>0</v>
      </c>
      <c r="AP32" s="115">
        <v>0</v>
      </c>
      <c r="AQ32" s="115">
        <v>0</v>
      </c>
    </row>
    <row r="33" spans="1:43" x14ac:dyDescent="0.15">
      <c r="A33" s="195" t="s">
        <v>224</v>
      </c>
      <c r="B33" s="115">
        <v>0</v>
      </c>
      <c r="C33" s="115">
        <v>0</v>
      </c>
      <c r="D33" s="115">
        <v>0</v>
      </c>
      <c r="E33" s="115">
        <v>0</v>
      </c>
      <c r="F33" s="115">
        <v>0</v>
      </c>
      <c r="G33" s="115">
        <v>0</v>
      </c>
      <c r="H33" s="115">
        <v>0</v>
      </c>
      <c r="I33" s="115">
        <v>0</v>
      </c>
      <c r="J33" s="115">
        <v>0</v>
      </c>
      <c r="K33" s="115">
        <v>0</v>
      </c>
      <c r="L33" s="115">
        <v>0</v>
      </c>
      <c r="M33" s="115">
        <v>0</v>
      </c>
      <c r="N33" s="115">
        <v>0</v>
      </c>
      <c r="O33" s="115">
        <v>0</v>
      </c>
      <c r="P33" s="115">
        <v>0</v>
      </c>
      <c r="Q33" s="115">
        <v>0</v>
      </c>
      <c r="R33" s="115">
        <v>0</v>
      </c>
      <c r="S33" s="115">
        <v>0</v>
      </c>
      <c r="T33" s="115">
        <v>0</v>
      </c>
      <c r="U33" s="115">
        <v>0</v>
      </c>
      <c r="V33" s="115">
        <v>0</v>
      </c>
      <c r="W33" s="115">
        <v>0</v>
      </c>
      <c r="X33" s="115">
        <v>0</v>
      </c>
      <c r="Y33" s="115">
        <v>0</v>
      </c>
      <c r="Z33" s="115">
        <v>0</v>
      </c>
      <c r="AA33" s="115">
        <v>0</v>
      </c>
      <c r="AB33" s="115">
        <v>0</v>
      </c>
      <c r="AC33" s="115">
        <v>0</v>
      </c>
      <c r="AD33" s="115">
        <v>0</v>
      </c>
      <c r="AE33" s="115">
        <v>0</v>
      </c>
      <c r="AF33" s="115">
        <v>0</v>
      </c>
      <c r="AG33" s="115">
        <v>0</v>
      </c>
      <c r="AH33" s="115">
        <v>0</v>
      </c>
      <c r="AI33" s="115">
        <v>0</v>
      </c>
      <c r="AJ33" s="115">
        <v>0</v>
      </c>
      <c r="AK33" s="115">
        <v>0</v>
      </c>
      <c r="AL33" s="115">
        <v>0</v>
      </c>
      <c r="AM33" s="115">
        <v>0</v>
      </c>
      <c r="AN33" s="115">
        <v>0</v>
      </c>
      <c r="AO33" s="115">
        <v>0</v>
      </c>
      <c r="AP33" s="115">
        <v>0</v>
      </c>
      <c r="AQ33" s="115">
        <v>0</v>
      </c>
    </row>
    <row r="34" spans="1:43" x14ac:dyDescent="0.15">
      <c r="A34" s="195" t="s">
        <v>225</v>
      </c>
      <c r="B34" s="115">
        <v>0</v>
      </c>
      <c r="C34" s="115">
        <v>0</v>
      </c>
      <c r="D34" s="115">
        <v>0</v>
      </c>
      <c r="E34" s="115">
        <v>0</v>
      </c>
      <c r="F34" s="115">
        <v>0</v>
      </c>
      <c r="G34" s="115">
        <v>0</v>
      </c>
      <c r="H34" s="115">
        <v>0</v>
      </c>
      <c r="I34" s="115">
        <v>0</v>
      </c>
      <c r="J34" s="115">
        <v>0</v>
      </c>
      <c r="K34" s="115">
        <v>0</v>
      </c>
      <c r="L34" s="115">
        <v>0</v>
      </c>
      <c r="M34" s="115">
        <v>0</v>
      </c>
      <c r="N34" s="115">
        <v>0</v>
      </c>
      <c r="O34" s="115">
        <v>0</v>
      </c>
      <c r="P34" s="115">
        <v>0</v>
      </c>
      <c r="Q34" s="115">
        <v>0</v>
      </c>
      <c r="R34" s="115">
        <v>0</v>
      </c>
      <c r="S34" s="115">
        <v>0</v>
      </c>
      <c r="T34" s="115">
        <v>0</v>
      </c>
      <c r="U34" s="115">
        <v>0</v>
      </c>
      <c r="V34" s="115">
        <v>0</v>
      </c>
      <c r="W34" s="115">
        <v>0</v>
      </c>
      <c r="X34" s="115">
        <v>0</v>
      </c>
      <c r="Y34" s="115">
        <v>0</v>
      </c>
      <c r="Z34" s="115">
        <v>0</v>
      </c>
      <c r="AA34" s="115">
        <v>0</v>
      </c>
      <c r="AB34" s="115">
        <v>0</v>
      </c>
      <c r="AC34" s="115">
        <v>0</v>
      </c>
      <c r="AD34" s="115">
        <v>0</v>
      </c>
      <c r="AE34" s="115">
        <v>0</v>
      </c>
      <c r="AF34" s="115">
        <v>0</v>
      </c>
      <c r="AG34" s="115">
        <v>0</v>
      </c>
      <c r="AH34" s="115">
        <v>1</v>
      </c>
      <c r="AI34" s="115">
        <v>1</v>
      </c>
      <c r="AJ34" s="115">
        <v>0</v>
      </c>
      <c r="AK34" s="115">
        <v>0</v>
      </c>
      <c r="AL34" s="115">
        <v>0</v>
      </c>
      <c r="AM34" s="115">
        <v>0</v>
      </c>
      <c r="AN34" s="115">
        <v>0</v>
      </c>
      <c r="AO34" s="115">
        <v>0</v>
      </c>
      <c r="AP34" s="115">
        <v>0</v>
      </c>
      <c r="AQ34" s="115">
        <v>0</v>
      </c>
    </row>
    <row r="35" spans="1:43" x14ac:dyDescent="0.15">
      <c r="A35" s="195" t="s">
        <v>226</v>
      </c>
      <c r="B35" s="115">
        <v>0</v>
      </c>
      <c r="C35" s="115">
        <v>0</v>
      </c>
      <c r="D35" s="115">
        <v>0</v>
      </c>
      <c r="E35" s="115">
        <v>0</v>
      </c>
      <c r="F35" s="115">
        <v>0</v>
      </c>
      <c r="G35" s="115">
        <v>0</v>
      </c>
      <c r="H35" s="115">
        <v>0</v>
      </c>
      <c r="I35" s="115">
        <v>0</v>
      </c>
      <c r="J35" s="115">
        <v>0</v>
      </c>
      <c r="K35" s="115">
        <v>0</v>
      </c>
      <c r="L35" s="115">
        <v>0</v>
      </c>
      <c r="M35" s="115">
        <v>0</v>
      </c>
      <c r="N35" s="115">
        <v>0</v>
      </c>
      <c r="O35" s="115">
        <v>0</v>
      </c>
      <c r="P35" s="115">
        <v>0</v>
      </c>
      <c r="Q35" s="115">
        <v>0</v>
      </c>
      <c r="R35" s="115">
        <v>0</v>
      </c>
      <c r="S35" s="115">
        <v>0</v>
      </c>
      <c r="T35" s="115">
        <v>0</v>
      </c>
      <c r="U35" s="115">
        <v>0</v>
      </c>
      <c r="V35" s="115">
        <v>0</v>
      </c>
      <c r="W35" s="115">
        <v>0</v>
      </c>
      <c r="X35" s="115">
        <v>0</v>
      </c>
      <c r="Y35" s="115">
        <v>0</v>
      </c>
      <c r="Z35" s="115">
        <v>0</v>
      </c>
      <c r="AA35" s="115">
        <v>0</v>
      </c>
      <c r="AB35" s="115">
        <v>0</v>
      </c>
      <c r="AC35" s="115">
        <v>1</v>
      </c>
      <c r="AD35" s="115">
        <v>0</v>
      </c>
      <c r="AE35" s="115">
        <v>0</v>
      </c>
      <c r="AF35" s="115">
        <v>0</v>
      </c>
      <c r="AG35" s="115">
        <v>0</v>
      </c>
      <c r="AH35" s="115">
        <v>1</v>
      </c>
      <c r="AI35" s="115">
        <v>0</v>
      </c>
      <c r="AJ35" s="115">
        <v>0</v>
      </c>
      <c r="AK35" s="115">
        <v>0</v>
      </c>
      <c r="AL35" s="115">
        <v>0</v>
      </c>
      <c r="AM35" s="115">
        <v>0</v>
      </c>
      <c r="AN35" s="115">
        <v>0</v>
      </c>
      <c r="AO35" s="115">
        <v>0</v>
      </c>
      <c r="AP35" s="115">
        <v>0</v>
      </c>
      <c r="AQ35" s="115">
        <v>0</v>
      </c>
    </row>
    <row r="36" spans="1:43" x14ac:dyDescent="0.15">
      <c r="A36" s="195" t="s">
        <v>227</v>
      </c>
      <c r="B36" s="115">
        <v>0</v>
      </c>
      <c r="C36" s="115">
        <v>0</v>
      </c>
      <c r="D36" s="115">
        <v>0</v>
      </c>
      <c r="E36" s="115">
        <v>0</v>
      </c>
      <c r="F36" s="115">
        <v>0</v>
      </c>
      <c r="G36" s="115">
        <v>0</v>
      </c>
      <c r="H36" s="115">
        <v>0</v>
      </c>
      <c r="I36" s="115">
        <v>0</v>
      </c>
      <c r="J36" s="115">
        <v>0</v>
      </c>
      <c r="K36" s="115">
        <v>0</v>
      </c>
      <c r="L36" s="115">
        <v>0</v>
      </c>
      <c r="M36" s="115">
        <v>0</v>
      </c>
      <c r="N36" s="115">
        <v>0</v>
      </c>
      <c r="O36" s="115">
        <v>0</v>
      </c>
      <c r="P36" s="115">
        <v>0</v>
      </c>
      <c r="Q36" s="115">
        <v>0</v>
      </c>
      <c r="R36" s="115">
        <v>0</v>
      </c>
      <c r="S36" s="115">
        <v>0</v>
      </c>
      <c r="T36" s="115">
        <v>0</v>
      </c>
      <c r="U36" s="115">
        <v>0</v>
      </c>
      <c r="V36" s="115">
        <v>0</v>
      </c>
      <c r="W36" s="115">
        <v>0</v>
      </c>
      <c r="X36" s="115">
        <v>0</v>
      </c>
      <c r="Y36" s="115">
        <v>0</v>
      </c>
      <c r="Z36" s="115">
        <v>0</v>
      </c>
      <c r="AA36" s="115">
        <v>0</v>
      </c>
      <c r="AB36" s="115">
        <v>0</v>
      </c>
      <c r="AC36" s="115">
        <v>0</v>
      </c>
      <c r="AD36" s="115">
        <v>0</v>
      </c>
      <c r="AE36" s="115">
        <v>0</v>
      </c>
      <c r="AF36" s="115">
        <v>0</v>
      </c>
      <c r="AG36" s="115">
        <v>0</v>
      </c>
      <c r="AH36" s="115">
        <v>0</v>
      </c>
      <c r="AI36" s="115">
        <v>0</v>
      </c>
      <c r="AJ36" s="115">
        <v>0</v>
      </c>
      <c r="AK36" s="115">
        <v>0</v>
      </c>
      <c r="AL36" s="115">
        <v>1</v>
      </c>
      <c r="AM36" s="115">
        <v>0</v>
      </c>
      <c r="AN36" s="115">
        <v>0</v>
      </c>
      <c r="AO36" s="115">
        <v>0</v>
      </c>
      <c r="AP36" s="115">
        <v>0</v>
      </c>
      <c r="AQ36" s="115">
        <v>0</v>
      </c>
    </row>
    <row r="37" spans="1:43" x14ac:dyDescent="0.15">
      <c r="A37" s="195" t="s">
        <v>228</v>
      </c>
      <c r="B37" s="115">
        <v>0</v>
      </c>
      <c r="C37" s="115">
        <v>0</v>
      </c>
      <c r="D37" s="115">
        <v>0</v>
      </c>
      <c r="E37" s="115">
        <v>0</v>
      </c>
      <c r="F37" s="115">
        <v>0</v>
      </c>
      <c r="G37" s="115">
        <v>0</v>
      </c>
      <c r="H37" s="115">
        <v>0</v>
      </c>
      <c r="I37" s="115">
        <v>0</v>
      </c>
      <c r="J37" s="115">
        <v>0</v>
      </c>
      <c r="K37" s="115">
        <v>0</v>
      </c>
      <c r="L37" s="115">
        <v>0</v>
      </c>
      <c r="M37" s="115">
        <v>0</v>
      </c>
      <c r="N37" s="115">
        <v>1</v>
      </c>
      <c r="O37" s="115">
        <v>0</v>
      </c>
      <c r="P37" s="115">
        <v>0</v>
      </c>
      <c r="Q37" s="115">
        <v>0</v>
      </c>
      <c r="R37" s="115">
        <v>0</v>
      </c>
      <c r="S37" s="115">
        <v>0</v>
      </c>
      <c r="T37" s="115">
        <v>0</v>
      </c>
      <c r="U37" s="115">
        <v>0</v>
      </c>
      <c r="V37" s="115">
        <v>0</v>
      </c>
      <c r="W37" s="115">
        <v>0</v>
      </c>
      <c r="X37" s="115">
        <v>0</v>
      </c>
      <c r="Y37" s="115">
        <v>0</v>
      </c>
      <c r="Z37" s="115">
        <v>0</v>
      </c>
      <c r="AA37" s="115">
        <v>0</v>
      </c>
      <c r="AB37" s="115">
        <v>0</v>
      </c>
      <c r="AC37" s="115">
        <v>0</v>
      </c>
      <c r="AD37" s="115">
        <v>0</v>
      </c>
      <c r="AE37" s="115">
        <v>1</v>
      </c>
      <c r="AF37" s="115">
        <v>0</v>
      </c>
      <c r="AG37" s="115">
        <v>1</v>
      </c>
      <c r="AH37" s="115">
        <v>1</v>
      </c>
      <c r="AI37" s="115">
        <v>1</v>
      </c>
      <c r="AJ37" s="115">
        <v>1</v>
      </c>
      <c r="AK37" s="115">
        <v>0</v>
      </c>
      <c r="AL37" s="115">
        <v>1</v>
      </c>
      <c r="AM37" s="115">
        <v>1</v>
      </c>
      <c r="AN37" s="115">
        <v>0</v>
      </c>
      <c r="AO37" s="115">
        <v>0</v>
      </c>
      <c r="AP37" s="115">
        <v>0</v>
      </c>
      <c r="AQ37" s="115">
        <v>0</v>
      </c>
    </row>
    <row r="38" spans="1:43" x14ac:dyDescent="0.15">
      <c r="A38" s="195" t="s">
        <v>229</v>
      </c>
      <c r="B38" s="115">
        <v>0</v>
      </c>
      <c r="C38" s="115">
        <v>0</v>
      </c>
      <c r="D38" s="115">
        <v>0</v>
      </c>
      <c r="E38" s="115">
        <v>0</v>
      </c>
      <c r="F38" s="115">
        <v>0</v>
      </c>
      <c r="G38" s="115">
        <v>0</v>
      </c>
      <c r="H38" s="115">
        <v>0</v>
      </c>
      <c r="I38" s="115">
        <v>0</v>
      </c>
      <c r="J38" s="115">
        <v>0</v>
      </c>
      <c r="K38" s="115">
        <v>0</v>
      </c>
      <c r="L38" s="115">
        <v>0</v>
      </c>
      <c r="M38" s="115">
        <v>0</v>
      </c>
      <c r="N38" s="115">
        <v>0</v>
      </c>
      <c r="O38" s="115">
        <v>0</v>
      </c>
      <c r="P38" s="115">
        <v>0</v>
      </c>
      <c r="Q38" s="115">
        <v>0</v>
      </c>
      <c r="R38" s="115">
        <v>0</v>
      </c>
      <c r="S38" s="115">
        <v>0</v>
      </c>
      <c r="T38" s="115">
        <v>0</v>
      </c>
      <c r="U38" s="115">
        <v>0</v>
      </c>
      <c r="V38" s="115">
        <v>0</v>
      </c>
      <c r="W38" s="115">
        <v>0</v>
      </c>
      <c r="X38" s="115">
        <v>0</v>
      </c>
      <c r="Y38" s="115">
        <v>0</v>
      </c>
      <c r="Z38" s="115">
        <v>0</v>
      </c>
      <c r="AA38" s="115">
        <v>0</v>
      </c>
      <c r="AB38" s="115">
        <v>0</v>
      </c>
      <c r="AC38" s="115">
        <v>0</v>
      </c>
      <c r="AD38" s="115">
        <v>0</v>
      </c>
      <c r="AE38" s="115">
        <v>0</v>
      </c>
      <c r="AF38" s="115">
        <v>0</v>
      </c>
      <c r="AG38" s="115">
        <v>0</v>
      </c>
      <c r="AH38" s="115">
        <v>0</v>
      </c>
      <c r="AI38" s="115">
        <v>0</v>
      </c>
      <c r="AJ38" s="115">
        <v>0</v>
      </c>
      <c r="AK38" s="115">
        <v>0</v>
      </c>
      <c r="AL38" s="115">
        <v>0</v>
      </c>
      <c r="AM38" s="115">
        <v>0</v>
      </c>
      <c r="AN38" s="115">
        <v>0</v>
      </c>
      <c r="AO38" s="115">
        <v>0</v>
      </c>
      <c r="AP38" s="115">
        <v>0</v>
      </c>
      <c r="AQ38" s="115">
        <v>0</v>
      </c>
    </row>
    <row r="39" spans="1:43" x14ac:dyDescent="0.15">
      <c r="A39" s="195" t="s">
        <v>230</v>
      </c>
      <c r="B39" s="115">
        <v>0</v>
      </c>
      <c r="C39" s="115">
        <v>0</v>
      </c>
      <c r="D39" s="115">
        <v>0</v>
      </c>
      <c r="E39" s="115">
        <v>0</v>
      </c>
      <c r="F39" s="115">
        <v>0</v>
      </c>
      <c r="G39" s="115">
        <v>0</v>
      </c>
      <c r="H39" s="115">
        <v>0</v>
      </c>
      <c r="I39" s="115">
        <v>0</v>
      </c>
      <c r="J39" s="115">
        <v>0</v>
      </c>
      <c r="K39" s="115">
        <v>0</v>
      </c>
      <c r="L39" s="115">
        <v>0</v>
      </c>
      <c r="M39" s="115">
        <v>0</v>
      </c>
      <c r="N39" s="115">
        <v>0</v>
      </c>
      <c r="O39" s="115">
        <v>0</v>
      </c>
      <c r="P39" s="115">
        <v>0</v>
      </c>
      <c r="Q39" s="115">
        <v>0</v>
      </c>
      <c r="R39" s="115">
        <v>0</v>
      </c>
      <c r="S39" s="115">
        <v>0</v>
      </c>
      <c r="T39" s="115">
        <v>0</v>
      </c>
      <c r="U39" s="115">
        <v>0</v>
      </c>
      <c r="V39" s="115">
        <v>0</v>
      </c>
      <c r="W39" s="115">
        <v>0</v>
      </c>
      <c r="X39" s="115">
        <v>0</v>
      </c>
      <c r="Y39" s="115">
        <v>0</v>
      </c>
      <c r="Z39" s="115">
        <v>0</v>
      </c>
      <c r="AA39" s="115">
        <v>0</v>
      </c>
      <c r="AB39" s="115">
        <v>0</v>
      </c>
      <c r="AC39" s="115">
        <v>0</v>
      </c>
      <c r="AD39" s="115">
        <v>0</v>
      </c>
      <c r="AE39" s="115">
        <v>0</v>
      </c>
      <c r="AF39" s="115">
        <v>0</v>
      </c>
      <c r="AG39" s="115">
        <v>0</v>
      </c>
      <c r="AH39" s="115">
        <v>0</v>
      </c>
      <c r="AI39" s="115">
        <v>0</v>
      </c>
      <c r="AJ39" s="115">
        <v>0</v>
      </c>
      <c r="AK39" s="115">
        <v>0</v>
      </c>
      <c r="AL39" s="115">
        <v>0</v>
      </c>
      <c r="AM39" s="115">
        <v>0</v>
      </c>
      <c r="AN39" s="115">
        <v>0</v>
      </c>
      <c r="AO39" s="115">
        <v>0</v>
      </c>
      <c r="AP39" s="115">
        <v>0</v>
      </c>
      <c r="AQ39" s="115">
        <v>0</v>
      </c>
    </row>
    <row r="40" spans="1:43" x14ac:dyDescent="0.15">
      <c r="A40" s="195" t="s">
        <v>231</v>
      </c>
      <c r="B40" s="115">
        <v>0</v>
      </c>
      <c r="C40" s="115">
        <v>0</v>
      </c>
      <c r="D40" s="115">
        <v>0</v>
      </c>
      <c r="E40" s="115">
        <v>0</v>
      </c>
      <c r="F40" s="115">
        <v>0</v>
      </c>
      <c r="G40" s="115">
        <v>0</v>
      </c>
      <c r="H40" s="115">
        <v>0</v>
      </c>
      <c r="I40" s="115">
        <v>0</v>
      </c>
      <c r="J40" s="115">
        <v>0</v>
      </c>
      <c r="K40" s="115">
        <v>0</v>
      </c>
      <c r="L40" s="115">
        <v>0</v>
      </c>
      <c r="M40" s="115">
        <v>0</v>
      </c>
      <c r="N40" s="115">
        <v>0</v>
      </c>
      <c r="O40" s="115">
        <v>0</v>
      </c>
      <c r="P40" s="115">
        <v>0</v>
      </c>
      <c r="Q40" s="115">
        <v>0</v>
      </c>
      <c r="R40" s="115">
        <v>0</v>
      </c>
      <c r="S40" s="115">
        <v>0</v>
      </c>
      <c r="T40" s="115">
        <v>0</v>
      </c>
      <c r="U40" s="115">
        <v>0</v>
      </c>
      <c r="V40" s="115">
        <v>0</v>
      </c>
      <c r="W40" s="115">
        <v>0</v>
      </c>
      <c r="X40" s="115">
        <v>0</v>
      </c>
      <c r="Y40" s="115">
        <v>0</v>
      </c>
      <c r="Z40" s="115">
        <v>0</v>
      </c>
      <c r="AA40" s="115">
        <v>0</v>
      </c>
      <c r="AB40" s="115">
        <v>0</v>
      </c>
      <c r="AC40" s="115">
        <v>0</v>
      </c>
      <c r="AD40" s="115">
        <v>0</v>
      </c>
      <c r="AE40" s="115">
        <v>0</v>
      </c>
      <c r="AF40" s="115">
        <v>0</v>
      </c>
      <c r="AG40" s="115">
        <v>0</v>
      </c>
      <c r="AH40" s="115">
        <v>0</v>
      </c>
      <c r="AI40" s="115">
        <v>0</v>
      </c>
      <c r="AJ40" s="115">
        <v>0</v>
      </c>
      <c r="AK40" s="115">
        <v>0</v>
      </c>
      <c r="AL40" s="115">
        <v>0</v>
      </c>
      <c r="AM40" s="115">
        <v>0</v>
      </c>
      <c r="AN40" s="115">
        <v>0</v>
      </c>
      <c r="AO40" s="115">
        <v>0</v>
      </c>
      <c r="AP40" s="115">
        <v>0</v>
      </c>
      <c r="AQ40" s="115">
        <v>0</v>
      </c>
    </row>
    <row r="41" spans="1:43" x14ac:dyDescent="0.15">
      <c r="A41" s="195" t="s">
        <v>232</v>
      </c>
      <c r="B41" s="115">
        <v>0</v>
      </c>
      <c r="C41" s="115">
        <v>0</v>
      </c>
      <c r="D41" s="115">
        <v>0</v>
      </c>
      <c r="E41" s="115">
        <v>0</v>
      </c>
      <c r="F41" s="115">
        <v>0</v>
      </c>
      <c r="G41" s="115">
        <v>0</v>
      </c>
      <c r="H41" s="115">
        <v>0</v>
      </c>
      <c r="I41" s="115">
        <v>0</v>
      </c>
      <c r="J41" s="115">
        <v>1</v>
      </c>
      <c r="K41" s="115">
        <v>0</v>
      </c>
      <c r="L41" s="115">
        <v>0</v>
      </c>
      <c r="M41" s="115">
        <v>1</v>
      </c>
      <c r="N41" s="115">
        <v>1</v>
      </c>
      <c r="O41" s="115">
        <v>0</v>
      </c>
      <c r="P41" s="115">
        <v>0</v>
      </c>
      <c r="Q41" s="115">
        <v>1</v>
      </c>
      <c r="R41" s="115">
        <v>1</v>
      </c>
      <c r="S41" s="115">
        <v>1</v>
      </c>
      <c r="T41" s="115">
        <v>0</v>
      </c>
      <c r="U41" s="115">
        <v>0</v>
      </c>
      <c r="V41" s="115">
        <v>0</v>
      </c>
      <c r="W41" s="115">
        <v>0</v>
      </c>
      <c r="X41" s="115">
        <v>1</v>
      </c>
      <c r="Y41" s="115">
        <v>0</v>
      </c>
      <c r="Z41" s="115">
        <v>1</v>
      </c>
      <c r="AA41" s="115">
        <v>1</v>
      </c>
      <c r="AB41" s="115">
        <v>0</v>
      </c>
      <c r="AC41" s="115">
        <v>1</v>
      </c>
      <c r="AD41" s="115">
        <v>1</v>
      </c>
      <c r="AE41" s="115">
        <v>1</v>
      </c>
      <c r="AF41" s="115">
        <v>1</v>
      </c>
      <c r="AG41" s="115">
        <v>0</v>
      </c>
      <c r="AH41" s="115">
        <v>0</v>
      </c>
      <c r="AI41" s="115">
        <v>0</v>
      </c>
      <c r="AJ41" s="115">
        <v>0</v>
      </c>
      <c r="AK41" s="115">
        <v>0</v>
      </c>
      <c r="AL41" s="115">
        <v>0</v>
      </c>
      <c r="AM41" s="115">
        <v>0</v>
      </c>
      <c r="AN41" s="115">
        <v>1</v>
      </c>
      <c r="AO41" s="115">
        <v>0</v>
      </c>
      <c r="AP41" s="115">
        <v>0</v>
      </c>
      <c r="AQ41" s="115">
        <v>0</v>
      </c>
    </row>
    <row r="42" spans="1:43" x14ac:dyDescent="0.15">
      <c r="A42" s="195" t="s">
        <v>233</v>
      </c>
      <c r="B42" s="115">
        <v>0</v>
      </c>
      <c r="C42" s="115">
        <v>0</v>
      </c>
      <c r="D42" s="115">
        <v>0</v>
      </c>
      <c r="E42" s="115">
        <v>1</v>
      </c>
      <c r="F42" s="115">
        <v>0</v>
      </c>
      <c r="G42" s="115">
        <v>1</v>
      </c>
      <c r="H42" s="115">
        <v>1</v>
      </c>
      <c r="I42" s="115">
        <v>1</v>
      </c>
      <c r="J42" s="115">
        <v>1</v>
      </c>
      <c r="K42" s="115">
        <v>1</v>
      </c>
      <c r="L42" s="115">
        <v>1</v>
      </c>
      <c r="M42" s="115">
        <v>1</v>
      </c>
      <c r="N42" s="115">
        <v>0</v>
      </c>
      <c r="O42" s="115">
        <v>0</v>
      </c>
      <c r="P42" s="115">
        <v>0</v>
      </c>
      <c r="Q42" s="115">
        <v>0</v>
      </c>
      <c r="R42" s="115">
        <v>0</v>
      </c>
      <c r="S42" s="115">
        <v>0</v>
      </c>
      <c r="T42" s="115">
        <v>0</v>
      </c>
      <c r="U42" s="115">
        <v>0</v>
      </c>
      <c r="V42" s="115">
        <v>0</v>
      </c>
      <c r="W42" s="115">
        <v>0</v>
      </c>
      <c r="X42" s="115">
        <v>0</v>
      </c>
      <c r="Y42" s="115">
        <v>0</v>
      </c>
      <c r="Z42" s="115">
        <v>0</v>
      </c>
      <c r="AA42" s="115">
        <v>0</v>
      </c>
      <c r="AB42" s="115">
        <v>1</v>
      </c>
      <c r="AC42" s="115">
        <v>0</v>
      </c>
      <c r="AD42" s="115">
        <v>0</v>
      </c>
      <c r="AE42" s="115">
        <v>0</v>
      </c>
      <c r="AF42" s="115">
        <v>0</v>
      </c>
      <c r="AG42" s="115">
        <v>0</v>
      </c>
      <c r="AH42" s="115">
        <v>0</v>
      </c>
      <c r="AI42" s="115">
        <v>0</v>
      </c>
      <c r="AJ42" s="115">
        <v>0</v>
      </c>
      <c r="AK42" s="115">
        <v>0</v>
      </c>
      <c r="AL42" s="115">
        <v>0</v>
      </c>
      <c r="AM42" s="115">
        <v>0</v>
      </c>
      <c r="AN42" s="115">
        <v>0</v>
      </c>
      <c r="AO42" s="115">
        <v>0</v>
      </c>
      <c r="AP42" s="115">
        <v>0</v>
      </c>
      <c r="AQ42" s="115">
        <v>0</v>
      </c>
    </row>
    <row r="43" spans="1:43" x14ac:dyDescent="0.15">
      <c r="A43" s="195" t="s">
        <v>234</v>
      </c>
      <c r="B43" s="115">
        <v>0</v>
      </c>
      <c r="C43" s="115">
        <v>0</v>
      </c>
      <c r="D43" s="115">
        <v>0</v>
      </c>
      <c r="E43" s="115">
        <v>0</v>
      </c>
      <c r="F43" s="115">
        <v>0</v>
      </c>
      <c r="G43" s="115">
        <v>0</v>
      </c>
      <c r="H43" s="115">
        <v>0</v>
      </c>
      <c r="I43" s="115">
        <v>0</v>
      </c>
      <c r="J43" s="115">
        <v>0</v>
      </c>
      <c r="K43" s="115">
        <v>0</v>
      </c>
      <c r="L43" s="115">
        <v>0</v>
      </c>
      <c r="M43" s="115">
        <v>0</v>
      </c>
      <c r="N43" s="115">
        <v>0</v>
      </c>
      <c r="O43" s="115">
        <v>0</v>
      </c>
      <c r="P43" s="115">
        <v>0</v>
      </c>
      <c r="Q43" s="115">
        <v>0</v>
      </c>
      <c r="R43" s="115">
        <v>0</v>
      </c>
      <c r="S43" s="115">
        <v>0</v>
      </c>
      <c r="T43" s="115">
        <v>0</v>
      </c>
      <c r="U43" s="115">
        <v>0</v>
      </c>
      <c r="V43" s="115">
        <v>0</v>
      </c>
      <c r="W43" s="115">
        <v>0</v>
      </c>
      <c r="X43" s="115">
        <v>0</v>
      </c>
      <c r="Y43" s="115">
        <v>0</v>
      </c>
      <c r="Z43" s="115">
        <v>0</v>
      </c>
      <c r="AA43" s="115">
        <v>0</v>
      </c>
      <c r="AB43" s="115">
        <v>0</v>
      </c>
      <c r="AC43" s="115">
        <v>0</v>
      </c>
      <c r="AD43" s="115">
        <v>0</v>
      </c>
      <c r="AE43" s="115">
        <v>0</v>
      </c>
      <c r="AF43" s="115">
        <v>0</v>
      </c>
      <c r="AG43" s="115">
        <v>0</v>
      </c>
      <c r="AH43" s="115">
        <v>0</v>
      </c>
      <c r="AI43" s="115">
        <v>0</v>
      </c>
      <c r="AJ43" s="115">
        <v>0</v>
      </c>
      <c r="AK43" s="115">
        <v>0</v>
      </c>
      <c r="AL43" s="115">
        <v>0</v>
      </c>
      <c r="AM43" s="115">
        <v>0</v>
      </c>
      <c r="AN43" s="115">
        <v>0</v>
      </c>
      <c r="AO43" s="115">
        <v>0</v>
      </c>
      <c r="AP43" s="115">
        <v>0</v>
      </c>
      <c r="AQ43" s="115">
        <v>0</v>
      </c>
    </row>
    <row r="44" spans="1:43" x14ac:dyDescent="0.15">
      <c r="A44" s="195" t="s">
        <v>241</v>
      </c>
      <c r="B44" s="115">
        <v>0</v>
      </c>
      <c r="C44" s="115">
        <v>0</v>
      </c>
      <c r="D44" s="115">
        <v>0</v>
      </c>
      <c r="E44" s="115">
        <v>0</v>
      </c>
      <c r="F44" s="115">
        <v>0</v>
      </c>
      <c r="G44" s="115">
        <v>0</v>
      </c>
      <c r="H44" s="115">
        <v>0</v>
      </c>
      <c r="I44" s="115">
        <v>0</v>
      </c>
      <c r="J44" s="115">
        <v>0</v>
      </c>
      <c r="K44" s="115">
        <v>0</v>
      </c>
      <c r="L44" s="115">
        <v>0</v>
      </c>
      <c r="M44" s="115">
        <v>0</v>
      </c>
      <c r="N44" s="115">
        <v>0</v>
      </c>
      <c r="O44" s="115">
        <v>0</v>
      </c>
      <c r="P44" s="115">
        <v>0</v>
      </c>
      <c r="Q44" s="115">
        <v>0</v>
      </c>
      <c r="R44" s="115">
        <v>0</v>
      </c>
      <c r="S44" s="115">
        <v>0</v>
      </c>
      <c r="T44" s="115">
        <v>0</v>
      </c>
      <c r="U44" s="115">
        <v>0</v>
      </c>
      <c r="V44" s="115">
        <v>0</v>
      </c>
      <c r="W44" s="115">
        <v>0</v>
      </c>
      <c r="X44" s="115">
        <v>0</v>
      </c>
      <c r="Y44" s="115">
        <v>0</v>
      </c>
      <c r="Z44" s="115">
        <v>0</v>
      </c>
      <c r="AA44" s="115">
        <v>0</v>
      </c>
      <c r="AB44" s="115">
        <v>0</v>
      </c>
      <c r="AC44" s="115">
        <v>0</v>
      </c>
      <c r="AD44" s="115">
        <v>0</v>
      </c>
      <c r="AE44" s="115">
        <v>0</v>
      </c>
      <c r="AF44" s="115">
        <v>0</v>
      </c>
      <c r="AG44" s="115">
        <v>0</v>
      </c>
      <c r="AH44" s="115">
        <v>0</v>
      </c>
      <c r="AI44" s="115">
        <v>0</v>
      </c>
      <c r="AJ44" s="115">
        <v>1</v>
      </c>
      <c r="AK44" s="115">
        <v>0</v>
      </c>
      <c r="AL44" s="115">
        <v>1</v>
      </c>
      <c r="AM44" s="115">
        <v>0</v>
      </c>
      <c r="AN44" s="115">
        <v>1</v>
      </c>
      <c r="AO44" s="115">
        <v>0</v>
      </c>
      <c r="AP44" s="115">
        <v>0</v>
      </c>
      <c r="AQ44" s="115">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H185"/>
  <sheetViews>
    <sheetView workbookViewId="0">
      <selection activeCell="A3" sqref="A3"/>
    </sheetView>
  </sheetViews>
  <sheetFormatPr baseColWidth="10" defaultRowHeight="13" x14ac:dyDescent="0.15"/>
  <cols>
    <col min="1" max="1" width="3.33203125" customWidth="1"/>
    <col min="2" max="2" width="27.83203125" bestFit="1" customWidth="1"/>
    <col min="3" max="4" width="3.83203125" bestFit="1" customWidth="1"/>
    <col min="5" max="8" width="3.83203125" customWidth="1"/>
  </cols>
  <sheetData>
    <row r="1" spans="1:8" ht="112" x14ac:dyDescent="0.15">
      <c r="A1" s="5" t="s">
        <v>83</v>
      </c>
      <c r="B1" s="3" t="s">
        <v>0</v>
      </c>
      <c r="C1" s="198" t="s">
        <v>235</v>
      </c>
      <c r="D1" s="198" t="s">
        <v>236</v>
      </c>
      <c r="E1" s="198" t="s">
        <v>237</v>
      </c>
      <c r="F1" s="198" t="s">
        <v>238</v>
      </c>
      <c r="G1" s="198" t="s">
        <v>239</v>
      </c>
      <c r="H1" s="198" t="s">
        <v>240</v>
      </c>
    </row>
    <row r="2" spans="1:8" x14ac:dyDescent="0.15">
      <c r="A2">
        <v>1</v>
      </c>
      <c r="B2" s="197" t="s">
        <v>193</v>
      </c>
      <c r="C2">
        <v>0</v>
      </c>
      <c r="D2">
        <v>0</v>
      </c>
      <c r="E2">
        <v>0</v>
      </c>
      <c r="F2">
        <v>0</v>
      </c>
      <c r="G2">
        <v>0</v>
      </c>
      <c r="H2">
        <v>0</v>
      </c>
    </row>
    <row r="3" spans="1:8" x14ac:dyDescent="0.15">
      <c r="A3">
        <v>2</v>
      </c>
      <c r="B3" s="197" t="s">
        <v>194</v>
      </c>
      <c r="C3">
        <v>0</v>
      </c>
      <c r="D3">
        <v>0</v>
      </c>
      <c r="E3">
        <v>0</v>
      </c>
      <c r="F3">
        <v>0</v>
      </c>
      <c r="G3">
        <v>0</v>
      </c>
      <c r="H3">
        <v>0</v>
      </c>
    </row>
    <row r="4" spans="1:8" x14ac:dyDescent="0.15">
      <c r="A4">
        <v>3</v>
      </c>
      <c r="B4" s="197" t="s">
        <v>195</v>
      </c>
      <c r="C4">
        <v>0</v>
      </c>
      <c r="D4">
        <v>0</v>
      </c>
      <c r="E4">
        <v>0</v>
      </c>
      <c r="F4">
        <v>0</v>
      </c>
      <c r="G4">
        <v>0</v>
      </c>
      <c r="H4">
        <v>0</v>
      </c>
    </row>
    <row r="5" spans="1:8" x14ac:dyDescent="0.15">
      <c r="A5">
        <v>4</v>
      </c>
      <c r="B5" s="197" t="s">
        <v>196</v>
      </c>
      <c r="C5">
        <v>0</v>
      </c>
      <c r="D5">
        <v>0</v>
      </c>
      <c r="E5">
        <v>0</v>
      </c>
      <c r="F5">
        <v>0</v>
      </c>
      <c r="G5">
        <v>0</v>
      </c>
      <c r="H5">
        <v>0</v>
      </c>
    </row>
    <row r="6" spans="1:8" x14ac:dyDescent="0.15">
      <c r="A6">
        <v>5</v>
      </c>
      <c r="B6" s="197" t="s">
        <v>197</v>
      </c>
      <c r="C6">
        <v>0</v>
      </c>
      <c r="D6">
        <v>0</v>
      </c>
      <c r="E6">
        <v>0</v>
      </c>
      <c r="F6">
        <v>0</v>
      </c>
      <c r="G6">
        <v>0</v>
      </c>
      <c r="H6">
        <v>0</v>
      </c>
    </row>
    <row r="7" spans="1:8" x14ac:dyDescent="0.15">
      <c r="A7">
        <v>6</v>
      </c>
      <c r="B7" s="197" t="s">
        <v>198</v>
      </c>
      <c r="C7">
        <v>0</v>
      </c>
      <c r="D7">
        <v>0</v>
      </c>
      <c r="E7">
        <v>0</v>
      </c>
      <c r="F7">
        <v>0</v>
      </c>
      <c r="G7">
        <v>0</v>
      </c>
      <c r="H7">
        <v>0</v>
      </c>
    </row>
    <row r="8" spans="1:8" x14ac:dyDescent="0.15">
      <c r="A8">
        <v>7</v>
      </c>
      <c r="B8" s="197" t="s">
        <v>199</v>
      </c>
      <c r="C8">
        <v>0.8</v>
      </c>
      <c r="D8">
        <v>0</v>
      </c>
      <c r="E8">
        <v>0</v>
      </c>
      <c r="F8">
        <v>0</v>
      </c>
      <c r="G8">
        <v>0.8</v>
      </c>
      <c r="H8">
        <v>0.8</v>
      </c>
    </row>
    <row r="9" spans="1:8" x14ac:dyDescent="0.15">
      <c r="A9">
        <v>8</v>
      </c>
      <c r="B9" s="197" t="s">
        <v>200</v>
      </c>
      <c r="C9">
        <v>0</v>
      </c>
      <c r="D9">
        <v>0</v>
      </c>
      <c r="E9">
        <v>0</v>
      </c>
      <c r="F9">
        <v>0</v>
      </c>
      <c r="G9">
        <v>0</v>
      </c>
      <c r="H9">
        <v>0</v>
      </c>
    </row>
    <row r="10" spans="1:8" x14ac:dyDescent="0.15">
      <c r="A10">
        <v>9</v>
      </c>
      <c r="B10" s="197" t="s">
        <v>201</v>
      </c>
      <c r="C10">
        <v>0.8</v>
      </c>
      <c r="D10">
        <v>0</v>
      </c>
      <c r="E10">
        <v>0</v>
      </c>
      <c r="F10">
        <v>0</v>
      </c>
      <c r="G10">
        <v>0</v>
      </c>
      <c r="H10">
        <v>0</v>
      </c>
    </row>
    <row r="11" spans="1:8" x14ac:dyDescent="0.15">
      <c r="A11">
        <v>10</v>
      </c>
      <c r="B11" s="197" t="s">
        <v>202</v>
      </c>
      <c r="C11">
        <v>0.8</v>
      </c>
      <c r="D11">
        <v>0</v>
      </c>
      <c r="E11">
        <v>0</v>
      </c>
      <c r="F11">
        <v>0</v>
      </c>
      <c r="G11">
        <v>0.8</v>
      </c>
      <c r="H11">
        <v>0</v>
      </c>
    </row>
    <row r="12" spans="1:8" x14ac:dyDescent="0.15">
      <c r="A12">
        <v>11</v>
      </c>
      <c r="B12" s="197" t="s">
        <v>203</v>
      </c>
      <c r="C12">
        <v>0.8</v>
      </c>
      <c r="D12">
        <v>0</v>
      </c>
      <c r="E12">
        <v>0</v>
      </c>
      <c r="F12">
        <v>0</v>
      </c>
      <c r="G12">
        <v>0.8</v>
      </c>
      <c r="H12">
        <v>0</v>
      </c>
    </row>
    <row r="13" spans="1:8" x14ac:dyDescent="0.15">
      <c r="A13">
        <v>12</v>
      </c>
      <c r="B13" s="197" t="s">
        <v>204</v>
      </c>
      <c r="C13">
        <v>0</v>
      </c>
      <c r="D13">
        <v>0</v>
      </c>
      <c r="E13">
        <v>0</v>
      </c>
      <c r="F13">
        <v>0</v>
      </c>
      <c r="G13">
        <v>0.8</v>
      </c>
      <c r="H13">
        <v>0</v>
      </c>
    </row>
    <row r="14" spans="1:8" x14ac:dyDescent="0.15">
      <c r="A14">
        <v>13</v>
      </c>
      <c r="B14" s="197" t="s">
        <v>205</v>
      </c>
      <c r="C14">
        <v>0.8</v>
      </c>
      <c r="D14">
        <v>0</v>
      </c>
      <c r="E14">
        <v>0.8</v>
      </c>
      <c r="F14">
        <v>0</v>
      </c>
      <c r="G14">
        <v>0.8</v>
      </c>
      <c r="H14">
        <v>0</v>
      </c>
    </row>
    <row r="15" spans="1:8" x14ac:dyDescent="0.15">
      <c r="A15">
        <v>14</v>
      </c>
      <c r="B15" s="197" t="s">
        <v>206</v>
      </c>
      <c r="C15">
        <v>0.8</v>
      </c>
      <c r="D15">
        <v>0</v>
      </c>
      <c r="E15">
        <v>0</v>
      </c>
      <c r="F15">
        <v>0</v>
      </c>
      <c r="G15">
        <v>0.8</v>
      </c>
      <c r="H15">
        <v>0</v>
      </c>
    </row>
    <row r="16" spans="1:8" x14ac:dyDescent="0.15">
      <c r="A16">
        <v>15</v>
      </c>
      <c r="B16" s="197" t="s">
        <v>207</v>
      </c>
      <c r="C16">
        <v>0</v>
      </c>
      <c r="D16">
        <v>0</v>
      </c>
      <c r="E16">
        <v>0</v>
      </c>
      <c r="F16">
        <v>0</v>
      </c>
      <c r="G16">
        <v>0.8</v>
      </c>
      <c r="H16">
        <v>0</v>
      </c>
    </row>
    <row r="17" spans="1:8" x14ac:dyDescent="0.15">
      <c r="A17">
        <v>16</v>
      </c>
      <c r="B17" s="197" t="s">
        <v>208</v>
      </c>
      <c r="C17">
        <v>0.8</v>
      </c>
      <c r="D17">
        <v>0</v>
      </c>
      <c r="E17">
        <v>0</v>
      </c>
      <c r="F17">
        <v>0</v>
      </c>
      <c r="G17">
        <v>0.8</v>
      </c>
      <c r="H17">
        <v>0</v>
      </c>
    </row>
    <row r="18" spans="1:8" x14ac:dyDescent="0.15">
      <c r="A18">
        <v>17</v>
      </c>
      <c r="B18" s="197" t="s">
        <v>209</v>
      </c>
      <c r="C18">
        <v>0.8</v>
      </c>
      <c r="D18">
        <v>0</v>
      </c>
      <c r="E18">
        <v>0</v>
      </c>
      <c r="F18">
        <v>0</v>
      </c>
      <c r="G18">
        <v>0.8</v>
      </c>
      <c r="H18">
        <v>0</v>
      </c>
    </row>
    <row r="19" spans="1:8" x14ac:dyDescent="0.15">
      <c r="A19">
        <v>18</v>
      </c>
      <c r="B19" s="197" t="s">
        <v>210</v>
      </c>
      <c r="C19">
        <v>0.8</v>
      </c>
      <c r="D19">
        <v>0</v>
      </c>
      <c r="E19">
        <v>0</v>
      </c>
      <c r="F19">
        <v>0</v>
      </c>
      <c r="G19">
        <v>0.8</v>
      </c>
      <c r="H19">
        <v>0</v>
      </c>
    </row>
    <row r="20" spans="1:8" x14ac:dyDescent="0.15">
      <c r="A20">
        <v>19</v>
      </c>
      <c r="B20" s="197" t="s">
        <v>211</v>
      </c>
      <c r="C20">
        <v>0.8</v>
      </c>
      <c r="D20">
        <v>0.8</v>
      </c>
      <c r="E20">
        <v>0.8</v>
      </c>
      <c r="F20">
        <v>0.8</v>
      </c>
      <c r="G20">
        <v>0.8</v>
      </c>
      <c r="H20">
        <v>0</v>
      </c>
    </row>
    <row r="21" spans="1:8" x14ac:dyDescent="0.15">
      <c r="A21">
        <v>20</v>
      </c>
      <c r="B21" s="197" t="s">
        <v>212</v>
      </c>
      <c r="C21">
        <v>0.8</v>
      </c>
      <c r="D21">
        <v>0.8</v>
      </c>
      <c r="E21">
        <v>0.8</v>
      </c>
      <c r="F21">
        <v>0</v>
      </c>
      <c r="G21">
        <v>0.8</v>
      </c>
      <c r="H21">
        <v>0</v>
      </c>
    </row>
    <row r="22" spans="1:8" x14ac:dyDescent="0.15">
      <c r="A22">
        <v>21</v>
      </c>
      <c r="B22" s="197" t="s">
        <v>213</v>
      </c>
      <c r="C22">
        <v>0.8</v>
      </c>
      <c r="D22">
        <v>0.8</v>
      </c>
      <c r="E22">
        <v>0.8</v>
      </c>
      <c r="F22">
        <v>0</v>
      </c>
      <c r="G22">
        <v>0.8</v>
      </c>
      <c r="H22">
        <v>0</v>
      </c>
    </row>
    <row r="23" spans="1:8" x14ac:dyDescent="0.15">
      <c r="A23">
        <v>22</v>
      </c>
      <c r="B23" s="197" t="s">
        <v>214</v>
      </c>
      <c r="C23">
        <v>0.8</v>
      </c>
      <c r="D23">
        <v>0.8</v>
      </c>
      <c r="E23">
        <v>0.8</v>
      </c>
      <c r="F23">
        <v>0</v>
      </c>
      <c r="G23">
        <v>0.8</v>
      </c>
      <c r="H23">
        <v>0</v>
      </c>
    </row>
    <row r="24" spans="1:8" x14ac:dyDescent="0.15">
      <c r="A24">
        <v>23</v>
      </c>
      <c r="B24" s="197" t="s">
        <v>215</v>
      </c>
      <c r="C24">
        <v>0.8</v>
      </c>
      <c r="D24">
        <v>0</v>
      </c>
      <c r="E24">
        <v>0.8</v>
      </c>
      <c r="F24">
        <v>0</v>
      </c>
      <c r="G24">
        <v>0.8</v>
      </c>
      <c r="H24">
        <v>0</v>
      </c>
    </row>
    <row r="25" spans="1:8" x14ac:dyDescent="0.15">
      <c r="A25">
        <v>24</v>
      </c>
      <c r="B25" s="197" t="s">
        <v>216</v>
      </c>
      <c r="C25">
        <v>0.8</v>
      </c>
      <c r="D25">
        <v>0.8</v>
      </c>
      <c r="E25">
        <v>0.8</v>
      </c>
      <c r="F25">
        <v>0</v>
      </c>
      <c r="G25">
        <v>0.8</v>
      </c>
      <c r="H25">
        <v>0</v>
      </c>
    </row>
    <row r="26" spans="1:8" x14ac:dyDescent="0.15">
      <c r="A26">
        <v>25</v>
      </c>
      <c r="B26" s="197" t="s">
        <v>217</v>
      </c>
      <c r="C26">
        <v>0.8</v>
      </c>
      <c r="D26">
        <v>0.8</v>
      </c>
      <c r="E26">
        <v>0</v>
      </c>
      <c r="F26">
        <v>0</v>
      </c>
      <c r="G26">
        <v>0.8</v>
      </c>
      <c r="H26">
        <v>0</v>
      </c>
    </row>
    <row r="27" spans="1:8" x14ac:dyDescent="0.15">
      <c r="A27">
        <v>26</v>
      </c>
      <c r="B27" s="197" t="s">
        <v>218</v>
      </c>
      <c r="C27">
        <v>0.8</v>
      </c>
      <c r="D27">
        <v>0</v>
      </c>
      <c r="E27">
        <v>0.8</v>
      </c>
      <c r="F27">
        <v>0</v>
      </c>
      <c r="G27">
        <v>0.8</v>
      </c>
      <c r="H27">
        <v>0</v>
      </c>
    </row>
    <row r="28" spans="1:8" x14ac:dyDescent="0.15">
      <c r="A28">
        <v>27</v>
      </c>
      <c r="B28" s="197" t="s">
        <v>219</v>
      </c>
      <c r="C28">
        <v>0.8</v>
      </c>
      <c r="D28">
        <v>0</v>
      </c>
      <c r="E28">
        <v>0</v>
      </c>
      <c r="F28">
        <v>0</v>
      </c>
      <c r="G28">
        <v>0.8</v>
      </c>
      <c r="H28">
        <v>0</v>
      </c>
    </row>
    <row r="29" spans="1:8" x14ac:dyDescent="0.15">
      <c r="A29">
        <v>28</v>
      </c>
      <c r="B29" s="197" t="s">
        <v>220</v>
      </c>
      <c r="C29">
        <v>0.8</v>
      </c>
      <c r="D29">
        <v>0</v>
      </c>
      <c r="E29">
        <v>0</v>
      </c>
      <c r="F29">
        <v>0</v>
      </c>
      <c r="G29">
        <v>0.8</v>
      </c>
      <c r="H29">
        <v>0</v>
      </c>
    </row>
    <row r="30" spans="1:8" x14ac:dyDescent="0.15">
      <c r="A30">
        <v>29</v>
      </c>
      <c r="B30" s="197" t="s">
        <v>221</v>
      </c>
      <c r="C30">
        <v>0.8</v>
      </c>
      <c r="D30">
        <v>0</v>
      </c>
      <c r="E30">
        <v>0</v>
      </c>
      <c r="F30">
        <v>0</v>
      </c>
      <c r="G30">
        <v>0.8</v>
      </c>
      <c r="H30">
        <v>0</v>
      </c>
    </row>
    <row r="31" spans="1:8" x14ac:dyDescent="0.15">
      <c r="A31">
        <v>30</v>
      </c>
      <c r="B31" s="197" t="s">
        <v>222</v>
      </c>
      <c r="C31">
        <v>0.8</v>
      </c>
      <c r="D31">
        <v>0</v>
      </c>
      <c r="E31">
        <v>0.8</v>
      </c>
      <c r="F31">
        <v>0</v>
      </c>
      <c r="G31">
        <v>0.8</v>
      </c>
      <c r="H31">
        <v>0</v>
      </c>
    </row>
    <row r="32" spans="1:8" x14ac:dyDescent="0.15">
      <c r="A32">
        <v>31</v>
      </c>
      <c r="B32" s="197" t="s">
        <v>223</v>
      </c>
      <c r="C32">
        <v>0.8</v>
      </c>
      <c r="D32">
        <v>0</v>
      </c>
      <c r="E32">
        <v>0</v>
      </c>
      <c r="F32">
        <v>0</v>
      </c>
      <c r="G32">
        <v>0.8</v>
      </c>
      <c r="H32">
        <v>0</v>
      </c>
    </row>
    <row r="33" spans="1:8" x14ac:dyDescent="0.15">
      <c r="A33">
        <v>32</v>
      </c>
      <c r="B33" s="197" t="s">
        <v>224</v>
      </c>
      <c r="C33">
        <v>0.8</v>
      </c>
      <c r="D33">
        <v>0</v>
      </c>
      <c r="E33">
        <v>0.8</v>
      </c>
      <c r="F33">
        <v>0</v>
      </c>
      <c r="G33">
        <v>0.8</v>
      </c>
      <c r="H33">
        <v>0</v>
      </c>
    </row>
    <row r="34" spans="1:8" x14ac:dyDescent="0.15">
      <c r="A34">
        <v>33</v>
      </c>
      <c r="B34" s="197" t="s">
        <v>225</v>
      </c>
      <c r="C34">
        <v>0.8</v>
      </c>
      <c r="D34">
        <v>0</v>
      </c>
      <c r="E34">
        <v>0.8</v>
      </c>
      <c r="F34">
        <v>0</v>
      </c>
      <c r="G34">
        <v>0.8</v>
      </c>
      <c r="H34">
        <v>0</v>
      </c>
    </row>
    <row r="35" spans="1:8" x14ac:dyDescent="0.15">
      <c r="A35">
        <v>34</v>
      </c>
      <c r="B35" s="197" t="s">
        <v>226</v>
      </c>
      <c r="C35">
        <v>0.8</v>
      </c>
      <c r="D35">
        <v>0</v>
      </c>
      <c r="E35">
        <v>0.8</v>
      </c>
      <c r="F35">
        <v>0</v>
      </c>
      <c r="G35">
        <v>0.8</v>
      </c>
      <c r="H35">
        <v>0</v>
      </c>
    </row>
    <row r="36" spans="1:8" x14ac:dyDescent="0.15">
      <c r="A36">
        <v>35</v>
      </c>
      <c r="B36" s="197" t="s">
        <v>227</v>
      </c>
      <c r="C36">
        <v>0.8</v>
      </c>
      <c r="D36">
        <v>0.8</v>
      </c>
      <c r="E36">
        <v>0.8</v>
      </c>
      <c r="F36">
        <v>0.8</v>
      </c>
      <c r="G36">
        <v>0</v>
      </c>
      <c r="H36">
        <v>0</v>
      </c>
    </row>
    <row r="37" spans="1:8" x14ac:dyDescent="0.15">
      <c r="A37">
        <v>36</v>
      </c>
      <c r="B37" s="197" t="s">
        <v>228</v>
      </c>
      <c r="C37">
        <v>0.8</v>
      </c>
      <c r="D37">
        <v>0.8</v>
      </c>
      <c r="E37">
        <v>0.8</v>
      </c>
      <c r="F37">
        <v>0</v>
      </c>
      <c r="G37">
        <v>0.8</v>
      </c>
      <c r="H37">
        <v>0</v>
      </c>
    </row>
    <row r="38" spans="1:8" x14ac:dyDescent="0.15">
      <c r="A38">
        <v>37</v>
      </c>
      <c r="B38" s="197" t="s">
        <v>229</v>
      </c>
      <c r="C38">
        <v>0</v>
      </c>
      <c r="D38">
        <v>0</v>
      </c>
      <c r="E38">
        <v>0</v>
      </c>
      <c r="F38">
        <v>0.8</v>
      </c>
      <c r="G38">
        <v>0</v>
      </c>
      <c r="H38">
        <v>0</v>
      </c>
    </row>
    <row r="39" spans="1:8" x14ac:dyDescent="0.15">
      <c r="A39">
        <v>38</v>
      </c>
      <c r="B39" s="197" t="s">
        <v>230</v>
      </c>
      <c r="C39">
        <v>0</v>
      </c>
      <c r="D39">
        <v>0</v>
      </c>
      <c r="E39">
        <v>0</v>
      </c>
      <c r="F39">
        <v>0</v>
      </c>
      <c r="G39">
        <v>0</v>
      </c>
      <c r="H39">
        <v>0</v>
      </c>
    </row>
    <row r="40" spans="1:8" x14ac:dyDescent="0.15">
      <c r="A40">
        <v>39</v>
      </c>
      <c r="B40" s="197" t="s">
        <v>231</v>
      </c>
      <c r="C40">
        <v>0</v>
      </c>
      <c r="D40">
        <v>0</v>
      </c>
      <c r="E40">
        <v>0</v>
      </c>
      <c r="F40">
        <v>0</v>
      </c>
      <c r="G40">
        <v>0</v>
      </c>
      <c r="H40">
        <v>0</v>
      </c>
    </row>
    <row r="41" spans="1:8" x14ac:dyDescent="0.15">
      <c r="A41">
        <v>40</v>
      </c>
      <c r="B41" s="197" t="s">
        <v>232</v>
      </c>
      <c r="C41">
        <v>0</v>
      </c>
      <c r="D41">
        <v>0</v>
      </c>
      <c r="E41">
        <v>0</v>
      </c>
      <c r="F41">
        <v>0</v>
      </c>
      <c r="G41">
        <v>0</v>
      </c>
      <c r="H41">
        <v>0</v>
      </c>
    </row>
    <row r="42" spans="1:8" x14ac:dyDescent="0.15">
      <c r="A42">
        <v>41</v>
      </c>
      <c r="B42" s="197" t="s">
        <v>233</v>
      </c>
      <c r="C42">
        <v>0</v>
      </c>
      <c r="D42">
        <v>0</v>
      </c>
      <c r="E42">
        <v>0</v>
      </c>
      <c r="F42">
        <v>0</v>
      </c>
      <c r="G42">
        <v>0</v>
      </c>
      <c r="H42">
        <v>0</v>
      </c>
    </row>
    <row r="43" spans="1:8" x14ac:dyDescent="0.15">
      <c r="A43">
        <v>42</v>
      </c>
      <c r="B43" s="197" t="s">
        <v>234</v>
      </c>
      <c r="C43">
        <v>0</v>
      </c>
      <c r="D43">
        <v>0</v>
      </c>
      <c r="E43">
        <v>0</v>
      </c>
      <c r="F43">
        <v>0</v>
      </c>
      <c r="G43">
        <v>0</v>
      </c>
      <c r="H43">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H43"/>
  <sheetViews>
    <sheetView workbookViewId="0">
      <selection activeCell="A3" sqref="A3"/>
    </sheetView>
  </sheetViews>
  <sheetFormatPr baseColWidth="10" defaultRowHeight="13" x14ac:dyDescent="0.15"/>
  <cols>
    <col min="1" max="1" width="3.33203125" customWidth="1"/>
    <col min="2" max="2" width="27.83203125" bestFit="1" customWidth="1"/>
    <col min="3" max="4" width="3.83203125" bestFit="1" customWidth="1"/>
    <col min="5" max="8" width="3.83203125" customWidth="1"/>
  </cols>
  <sheetData>
    <row r="1" spans="1:8" ht="112" x14ac:dyDescent="0.15">
      <c r="A1" s="5" t="s">
        <v>82</v>
      </c>
      <c r="B1" s="3" t="s">
        <v>0</v>
      </c>
      <c r="C1" s="200" t="s">
        <v>235</v>
      </c>
      <c r="D1" s="200" t="s">
        <v>236</v>
      </c>
      <c r="E1" s="200" t="s">
        <v>237</v>
      </c>
      <c r="F1" s="200" t="s">
        <v>238</v>
      </c>
      <c r="G1" s="200" t="s">
        <v>239</v>
      </c>
      <c r="H1" s="200" t="s">
        <v>240</v>
      </c>
    </row>
    <row r="2" spans="1:8" x14ac:dyDescent="0.15">
      <c r="A2">
        <v>1</v>
      </c>
      <c r="B2" s="199" t="s">
        <v>193</v>
      </c>
      <c r="C2">
        <v>0</v>
      </c>
      <c r="D2">
        <v>0</v>
      </c>
      <c r="E2">
        <v>0</v>
      </c>
      <c r="F2">
        <v>0</v>
      </c>
      <c r="G2">
        <v>0</v>
      </c>
      <c r="H2">
        <v>0</v>
      </c>
    </row>
    <row r="3" spans="1:8" x14ac:dyDescent="0.15">
      <c r="A3">
        <v>2</v>
      </c>
      <c r="B3" s="199" t="s">
        <v>194</v>
      </c>
      <c r="C3">
        <v>0</v>
      </c>
      <c r="D3">
        <v>0</v>
      </c>
      <c r="E3">
        <v>0</v>
      </c>
      <c r="F3">
        <v>0</v>
      </c>
      <c r="G3">
        <v>0</v>
      </c>
      <c r="H3">
        <v>0</v>
      </c>
    </row>
    <row r="4" spans="1:8" x14ac:dyDescent="0.15">
      <c r="A4">
        <v>3</v>
      </c>
      <c r="B4" s="199" t="s">
        <v>195</v>
      </c>
      <c r="C4">
        <v>0</v>
      </c>
      <c r="D4">
        <v>0</v>
      </c>
      <c r="E4">
        <v>0</v>
      </c>
      <c r="F4">
        <v>0</v>
      </c>
      <c r="G4">
        <v>0</v>
      </c>
      <c r="H4">
        <v>0</v>
      </c>
    </row>
    <row r="5" spans="1:8" x14ac:dyDescent="0.15">
      <c r="A5">
        <v>4</v>
      </c>
      <c r="B5" s="199" t="s">
        <v>196</v>
      </c>
      <c r="C5">
        <v>0</v>
      </c>
      <c r="D5">
        <v>0</v>
      </c>
      <c r="E5">
        <v>0</v>
      </c>
      <c r="F5">
        <v>0</v>
      </c>
      <c r="G5">
        <v>0</v>
      </c>
      <c r="H5">
        <v>0</v>
      </c>
    </row>
    <row r="6" spans="1:8" x14ac:dyDescent="0.15">
      <c r="A6">
        <v>5</v>
      </c>
      <c r="B6" s="199" t="s">
        <v>197</v>
      </c>
      <c r="C6">
        <v>0</v>
      </c>
      <c r="D6">
        <v>0</v>
      </c>
      <c r="E6">
        <v>0</v>
      </c>
      <c r="F6">
        <v>0</v>
      </c>
      <c r="G6">
        <v>0</v>
      </c>
      <c r="H6">
        <v>0</v>
      </c>
    </row>
    <row r="7" spans="1:8" x14ac:dyDescent="0.15">
      <c r="A7">
        <v>6</v>
      </c>
      <c r="B7" s="199" t="s">
        <v>198</v>
      </c>
      <c r="C7">
        <v>0</v>
      </c>
      <c r="D7">
        <v>0</v>
      </c>
      <c r="E7">
        <v>0</v>
      </c>
      <c r="F7">
        <v>0</v>
      </c>
      <c r="G7">
        <v>0</v>
      </c>
      <c r="H7">
        <v>0</v>
      </c>
    </row>
    <row r="8" spans="1:8" x14ac:dyDescent="0.15">
      <c r="A8">
        <v>7</v>
      </c>
      <c r="B8" s="199" t="s">
        <v>199</v>
      </c>
      <c r="C8">
        <v>0.8</v>
      </c>
      <c r="D8">
        <v>0</v>
      </c>
      <c r="E8">
        <v>0</v>
      </c>
      <c r="F8">
        <v>0</v>
      </c>
      <c r="G8">
        <v>0.8</v>
      </c>
      <c r="H8">
        <v>0.8</v>
      </c>
    </row>
    <row r="9" spans="1:8" x14ac:dyDescent="0.15">
      <c r="A9">
        <v>8</v>
      </c>
      <c r="B9" s="199" t="s">
        <v>200</v>
      </c>
      <c r="C9">
        <v>0</v>
      </c>
      <c r="D9">
        <v>0</v>
      </c>
      <c r="E9">
        <v>0</v>
      </c>
      <c r="F9">
        <v>0</v>
      </c>
      <c r="G9">
        <v>0</v>
      </c>
      <c r="H9">
        <v>0</v>
      </c>
    </row>
    <row r="10" spans="1:8" x14ac:dyDescent="0.15">
      <c r="A10">
        <v>9</v>
      </c>
      <c r="B10" s="199" t="s">
        <v>201</v>
      </c>
      <c r="C10">
        <v>0.8</v>
      </c>
      <c r="D10">
        <v>0</v>
      </c>
      <c r="E10">
        <v>0</v>
      </c>
      <c r="F10">
        <v>0</v>
      </c>
      <c r="G10">
        <v>0</v>
      </c>
      <c r="H10">
        <v>0</v>
      </c>
    </row>
    <row r="11" spans="1:8" x14ac:dyDescent="0.15">
      <c r="A11">
        <v>10</v>
      </c>
      <c r="B11" s="199" t="s">
        <v>202</v>
      </c>
      <c r="C11">
        <v>0.8</v>
      </c>
      <c r="D11">
        <v>0</v>
      </c>
      <c r="E11">
        <v>0</v>
      </c>
      <c r="F11">
        <v>0</v>
      </c>
      <c r="G11">
        <v>0.8</v>
      </c>
      <c r="H11">
        <v>0</v>
      </c>
    </row>
    <row r="12" spans="1:8" x14ac:dyDescent="0.15">
      <c r="A12">
        <v>11</v>
      </c>
      <c r="B12" s="199" t="s">
        <v>203</v>
      </c>
      <c r="C12">
        <v>0.8</v>
      </c>
      <c r="D12">
        <v>0</v>
      </c>
      <c r="E12">
        <v>0</v>
      </c>
      <c r="F12">
        <v>0</v>
      </c>
      <c r="G12">
        <v>0.8</v>
      </c>
      <c r="H12">
        <v>0</v>
      </c>
    </row>
    <row r="13" spans="1:8" x14ac:dyDescent="0.15">
      <c r="A13">
        <v>12</v>
      </c>
      <c r="B13" s="199" t="s">
        <v>204</v>
      </c>
      <c r="C13">
        <v>0</v>
      </c>
      <c r="D13">
        <v>0</v>
      </c>
      <c r="E13">
        <v>0</v>
      </c>
      <c r="F13">
        <v>0</v>
      </c>
      <c r="G13">
        <v>0.8</v>
      </c>
      <c r="H13">
        <v>0</v>
      </c>
    </row>
    <row r="14" spans="1:8" x14ac:dyDescent="0.15">
      <c r="A14">
        <v>13</v>
      </c>
      <c r="B14" s="199" t="s">
        <v>205</v>
      </c>
      <c r="C14">
        <v>0.8</v>
      </c>
      <c r="D14">
        <v>0</v>
      </c>
      <c r="E14">
        <v>0.8</v>
      </c>
      <c r="F14">
        <v>0</v>
      </c>
      <c r="G14">
        <v>0.8</v>
      </c>
      <c r="H14">
        <v>0</v>
      </c>
    </row>
    <row r="15" spans="1:8" x14ac:dyDescent="0.15">
      <c r="A15">
        <v>14</v>
      </c>
      <c r="B15" s="199" t="s">
        <v>206</v>
      </c>
      <c r="C15">
        <v>0.8</v>
      </c>
      <c r="D15">
        <v>0</v>
      </c>
      <c r="E15">
        <v>0</v>
      </c>
      <c r="F15">
        <v>0</v>
      </c>
      <c r="G15">
        <v>0.8</v>
      </c>
      <c r="H15">
        <v>0</v>
      </c>
    </row>
    <row r="16" spans="1:8" x14ac:dyDescent="0.15">
      <c r="A16">
        <v>15</v>
      </c>
      <c r="B16" s="199" t="s">
        <v>207</v>
      </c>
      <c r="C16">
        <v>0</v>
      </c>
      <c r="D16">
        <v>0</v>
      </c>
      <c r="E16">
        <v>0</v>
      </c>
      <c r="F16">
        <v>0</v>
      </c>
      <c r="G16">
        <v>0.8</v>
      </c>
      <c r="H16">
        <v>0</v>
      </c>
    </row>
    <row r="17" spans="1:8" x14ac:dyDescent="0.15">
      <c r="A17">
        <v>16</v>
      </c>
      <c r="B17" s="199" t="s">
        <v>208</v>
      </c>
      <c r="C17">
        <v>0.8</v>
      </c>
      <c r="D17">
        <v>0</v>
      </c>
      <c r="E17">
        <v>0</v>
      </c>
      <c r="F17">
        <v>0</v>
      </c>
      <c r="G17">
        <v>0.8</v>
      </c>
      <c r="H17">
        <v>0</v>
      </c>
    </row>
    <row r="18" spans="1:8" x14ac:dyDescent="0.15">
      <c r="A18">
        <v>17</v>
      </c>
      <c r="B18" s="199" t="s">
        <v>209</v>
      </c>
      <c r="C18">
        <v>0.8</v>
      </c>
      <c r="D18">
        <v>0</v>
      </c>
      <c r="E18">
        <v>0</v>
      </c>
      <c r="F18">
        <v>0</v>
      </c>
      <c r="G18">
        <v>0.8</v>
      </c>
      <c r="H18">
        <v>0</v>
      </c>
    </row>
    <row r="19" spans="1:8" x14ac:dyDescent="0.15">
      <c r="A19">
        <v>18</v>
      </c>
      <c r="B19" s="199" t="s">
        <v>210</v>
      </c>
      <c r="C19">
        <v>0.8</v>
      </c>
      <c r="D19">
        <v>0</v>
      </c>
      <c r="E19">
        <v>0</v>
      </c>
      <c r="F19">
        <v>0</v>
      </c>
      <c r="G19">
        <v>0.8</v>
      </c>
      <c r="H19">
        <v>0</v>
      </c>
    </row>
    <row r="20" spans="1:8" x14ac:dyDescent="0.15">
      <c r="A20">
        <v>19</v>
      </c>
      <c r="B20" s="199" t="s">
        <v>211</v>
      </c>
      <c r="C20">
        <v>0.8</v>
      </c>
      <c r="D20">
        <v>0.8</v>
      </c>
      <c r="E20">
        <v>0.8</v>
      </c>
      <c r="F20">
        <v>0.8</v>
      </c>
      <c r="G20">
        <v>0.8</v>
      </c>
      <c r="H20">
        <v>0</v>
      </c>
    </row>
    <row r="21" spans="1:8" x14ac:dyDescent="0.15">
      <c r="A21">
        <v>20</v>
      </c>
      <c r="B21" s="199" t="s">
        <v>212</v>
      </c>
      <c r="C21">
        <v>0.8</v>
      </c>
      <c r="D21">
        <v>0.8</v>
      </c>
      <c r="E21">
        <v>0.8</v>
      </c>
      <c r="F21">
        <v>0</v>
      </c>
      <c r="G21">
        <v>0.8</v>
      </c>
      <c r="H21">
        <v>0</v>
      </c>
    </row>
    <row r="22" spans="1:8" x14ac:dyDescent="0.15">
      <c r="A22">
        <v>21</v>
      </c>
      <c r="B22" s="199" t="s">
        <v>213</v>
      </c>
      <c r="C22">
        <v>0.8</v>
      </c>
      <c r="D22">
        <v>0.8</v>
      </c>
      <c r="E22">
        <v>0.8</v>
      </c>
      <c r="F22">
        <v>0</v>
      </c>
      <c r="G22">
        <v>0.8</v>
      </c>
      <c r="H22">
        <v>0</v>
      </c>
    </row>
    <row r="23" spans="1:8" x14ac:dyDescent="0.15">
      <c r="A23">
        <v>22</v>
      </c>
      <c r="B23" s="199" t="s">
        <v>214</v>
      </c>
      <c r="C23">
        <v>0.8</v>
      </c>
      <c r="D23">
        <v>0.8</v>
      </c>
      <c r="E23">
        <v>0.8</v>
      </c>
      <c r="F23">
        <v>0</v>
      </c>
      <c r="G23">
        <v>0.8</v>
      </c>
      <c r="H23">
        <v>0</v>
      </c>
    </row>
    <row r="24" spans="1:8" x14ac:dyDescent="0.15">
      <c r="A24">
        <v>23</v>
      </c>
      <c r="B24" s="199" t="s">
        <v>215</v>
      </c>
      <c r="C24">
        <v>0.8</v>
      </c>
      <c r="D24">
        <v>0</v>
      </c>
      <c r="E24">
        <v>0.8</v>
      </c>
      <c r="F24">
        <v>0</v>
      </c>
      <c r="G24">
        <v>0.8</v>
      </c>
      <c r="H24">
        <v>0</v>
      </c>
    </row>
    <row r="25" spans="1:8" x14ac:dyDescent="0.15">
      <c r="A25">
        <v>24</v>
      </c>
      <c r="B25" s="199" t="s">
        <v>216</v>
      </c>
      <c r="C25">
        <v>0.8</v>
      </c>
      <c r="D25">
        <v>0.8</v>
      </c>
      <c r="E25">
        <v>0.8</v>
      </c>
      <c r="F25">
        <v>0</v>
      </c>
      <c r="G25">
        <v>0.8</v>
      </c>
      <c r="H25">
        <v>0</v>
      </c>
    </row>
    <row r="26" spans="1:8" x14ac:dyDescent="0.15">
      <c r="A26">
        <v>25</v>
      </c>
      <c r="B26" s="199" t="s">
        <v>217</v>
      </c>
      <c r="C26">
        <v>0.8</v>
      </c>
      <c r="D26">
        <v>0.8</v>
      </c>
      <c r="E26">
        <v>0</v>
      </c>
      <c r="F26">
        <v>0</v>
      </c>
      <c r="G26">
        <v>0.8</v>
      </c>
      <c r="H26">
        <v>0</v>
      </c>
    </row>
    <row r="27" spans="1:8" x14ac:dyDescent="0.15">
      <c r="A27">
        <v>26</v>
      </c>
      <c r="B27" s="199" t="s">
        <v>218</v>
      </c>
      <c r="C27">
        <v>0.8</v>
      </c>
      <c r="D27">
        <v>0</v>
      </c>
      <c r="E27">
        <v>0.8</v>
      </c>
      <c r="F27">
        <v>0</v>
      </c>
      <c r="G27">
        <v>0.8</v>
      </c>
      <c r="H27">
        <v>0</v>
      </c>
    </row>
    <row r="28" spans="1:8" x14ac:dyDescent="0.15">
      <c r="A28">
        <v>27</v>
      </c>
      <c r="B28" s="199" t="s">
        <v>219</v>
      </c>
      <c r="C28">
        <v>0.8</v>
      </c>
      <c r="D28">
        <v>0</v>
      </c>
      <c r="E28">
        <v>0</v>
      </c>
      <c r="F28">
        <v>0</v>
      </c>
      <c r="G28">
        <v>0.8</v>
      </c>
      <c r="H28">
        <v>0</v>
      </c>
    </row>
    <row r="29" spans="1:8" x14ac:dyDescent="0.15">
      <c r="A29">
        <v>28</v>
      </c>
      <c r="B29" s="199" t="s">
        <v>220</v>
      </c>
      <c r="C29">
        <v>0.8</v>
      </c>
      <c r="D29">
        <v>0</v>
      </c>
      <c r="E29">
        <v>0</v>
      </c>
      <c r="F29">
        <v>0</v>
      </c>
      <c r="G29">
        <v>0.8</v>
      </c>
      <c r="H29">
        <v>0</v>
      </c>
    </row>
    <row r="30" spans="1:8" x14ac:dyDescent="0.15">
      <c r="A30">
        <v>29</v>
      </c>
      <c r="B30" s="199" t="s">
        <v>221</v>
      </c>
      <c r="C30">
        <v>0.8</v>
      </c>
      <c r="D30">
        <v>0</v>
      </c>
      <c r="E30">
        <v>0</v>
      </c>
      <c r="F30">
        <v>0</v>
      </c>
      <c r="G30">
        <v>0.8</v>
      </c>
      <c r="H30">
        <v>0</v>
      </c>
    </row>
    <row r="31" spans="1:8" x14ac:dyDescent="0.15">
      <c r="A31">
        <v>30</v>
      </c>
      <c r="B31" s="199" t="s">
        <v>222</v>
      </c>
      <c r="C31">
        <v>0.8</v>
      </c>
      <c r="D31">
        <v>0</v>
      </c>
      <c r="E31">
        <v>0.8</v>
      </c>
      <c r="F31">
        <v>0</v>
      </c>
      <c r="G31">
        <v>0.8</v>
      </c>
      <c r="H31">
        <v>0</v>
      </c>
    </row>
    <row r="32" spans="1:8" x14ac:dyDescent="0.15">
      <c r="A32">
        <v>31</v>
      </c>
      <c r="B32" s="199" t="s">
        <v>223</v>
      </c>
      <c r="C32">
        <v>0.8</v>
      </c>
      <c r="D32">
        <v>0</v>
      </c>
      <c r="E32">
        <v>0</v>
      </c>
      <c r="F32">
        <v>0</v>
      </c>
      <c r="G32">
        <v>0.8</v>
      </c>
      <c r="H32">
        <v>0</v>
      </c>
    </row>
    <row r="33" spans="1:8" x14ac:dyDescent="0.15">
      <c r="A33">
        <v>32</v>
      </c>
      <c r="B33" s="199" t="s">
        <v>224</v>
      </c>
      <c r="C33">
        <v>0.8</v>
      </c>
      <c r="D33">
        <v>0</v>
      </c>
      <c r="E33">
        <v>0.8</v>
      </c>
      <c r="F33">
        <v>0</v>
      </c>
      <c r="G33">
        <v>0.8</v>
      </c>
      <c r="H33">
        <v>0</v>
      </c>
    </row>
    <row r="34" spans="1:8" x14ac:dyDescent="0.15">
      <c r="A34">
        <v>33</v>
      </c>
      <c r="B34" s="199" t="s">
        <v>225</v>
      </c>
      <c r="C34">
        <v>0.8</v>
      </c>
      <c r="D34">
        <v>0</v>
      </c>
      <c r="E34">
        <v>0.8</v>
      </c>
      <c r="F34">
        <v>0</v>
      </c>
      <c r="G34">
        <v>0.8</v>
      </c>
      <c r="H34">
        <v>0</v>
      </c>
    </row>
    <row r="35" spans="1:8" x14ac:dyDescent="0.15">
      <c r="A35">
        <v>34</v>
      </c>
      <c r="B35" s="199" t="s">
        <v>226</v>
      </c>
      <c r="C35">
        <v>0.8</v>
      </c>
      <c r="D35">
        <v>0</v>
      </c>
      <c r="E35">
        <v>0.8</v>
      </c>
      <c r="F35">
        <v>0</v>
      </c>
      <c r="G35">
        <v>0.8</v>
      </c>
      <c r="H35">
        <v>0</v>
      </c>
    </row>
    <row r="36" spans="1:8" x14ac:dyDescent="0.15">
      <c r="A36">
        <v>35</v>
      </c>
      <c r="B36" s="199" t="s">
        <v>227</v>
      </c>
      <c r="C36">
        <v>0.8</v>
      </c>
      <c r="D36">
        <v>0.8</v>
      </c>
      <c r="E36">
        <v>0.8</v>
      </c>
      <c r="F36">
        <v>0.8</v>
      </c>
      <c r="G36">
        <v>0</v>
      </c>
      <c r="H36">
        <v>0</v>
      </c>
    </row>
    <row r="37" spans="1:8" x14ac:dyDescent="0.15">
      <c r="A37">
        <v>36</v>
      </c>
      <c r="B37" s="199" t="s">
        <v>228</v>
      </c>
      <c r="C37">
        <v>0.8</v>
      </c>
      <c r="D37">
        <v>0.8</v>
      </c>
      <c r="E37">
        <v>0.8</v>
      </c>
      <c r="F37">
        <v>0</v>
      </c>
      <c r="G37">
        <v>0.8</v>
      </c>
      <c r="H37">
        <v>0</v>
      </c>
    </row>
    <row r="38" spans="1:8" x14ac:dyDescent="0.15">
      <c r="A38">
        <v>37</v>
      </c>
      <c r="B38" s="199" t="s">
        <v>229</v>
      </c>
      <c r="C38">
        <v>0</v>
      </c>
      <c r="D38">
        <v>0</v>
      </c>
      <c r="E38">
        <v>0</v>
      </c>
      <c r="F38">
        <v>0.8</v>
      </c>
      <c r="G38">
        <v>0</v>
      </c>
      <c r="H38">
        <v>0</v>
      </c>
    </row>
    <row r="39" spans="1:8" x14ac:dyDescent="0.15">
      <c r="A39">
        <v>38</v>
      </c>
      <c r="B39" s="199" t="s">
        <v>230</v>
      </c>
      <c r="C39">
        <v>0</v>
      </c>
      <c r="D39">
        <v>0</v>
      </c>
      <c r="E39">
        <v>0</v>
      </c>
      <c r="F39">
        <v>0</v>
      </c>
      <c r="G39">
        <v>0</v>
      </c>
      <c r="H39">
        <v>0</v>
      </c>
    </row>
    <row r="40" spans="1:8" x14ac:dyDescent="0.15">
      <c r="A40">
        <v>39</v>
      </c>
      <c r="B40" s="199" t="s">
        <v>231</v>
      </c>
      <c r="C40">
        <v>0</v>
      </c>
      <c r="D40">
        <v>0</v>
      </c>
      <c r="E40">
        <v>0</v>
      </c>
      <c r="F40">
        <v>0</v>
      </c>
      <c r="G40">
        <v>0</v>
      </c>
      <c r="H40">
        <v>0</v>
      </c>
    </row>
    <row r="41" spans="1:8" x14ac:dyDescent="0.15">
      <c r="A41">
        <v>40</v>
      </c>
      <c r="B41" s="199" t="s">
        <v>232</v>
      </c>
      <c r="C41">
        <v>0</v>
      </c>
      <c r="D41">
        <v>0</v>
      </c>
      <c r="E41">
        <v>0</v>
      </c>
      <c r="F41">
        <v>0</v>
      </c>
      <c r="G41">
        <v>0</v>
      </c>
      <c r="H41">
        <v>0</v>
      </c>
    </row>
    <row r="42" spans="1:8" x14ac:dyDescent="0.15">
      <c r="A42">
        <v>41</v>
      </c>
      <c r="B42" s="199" t="s">
        <v>233</v>
      </c>
      <c r="C42">
        <v>0</v>
      </c>
      <c r="D42">
        <v>0</v>
      </c>
      <c r="E42">
        <v>0</v>
      </c>
      <c r="F42">
        <v>0</v>
      </c>
      <c r="G42">
        <v>0</v>
      </c>
      <c r="H42">
        <v>0</v>
      </c>
    </row>
    <row r="43" spans="1:8" x14ac:dyDescent="0.15">
      <c r="A43">
        <v>42</v>
      </c>
      <c r="B43" s="199" t="s">
        <v>234</v>
      </c>
      <c r="C43">
        <v>0</v>
      </c>
      <c r="D43">
        <v>0</v>
      </c>
      <c r="E43">
        <v>0</v>
      </c>
      <c r="F43">
        <v>0</v>
      </c>
      <c r="G43">
        <v>0</v>
      </c>
      <c r="H43">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G17" sqref="G17"/>
    </sheetView>
  </sheetViews>
  <sheetFormatPr baseColWidth="10" defaultColWidth="8.83203125" defaultRowHeight="15" customHeight="1" x14ac:dyDescent="0.15"/>
  <cols>
    <col min="1" max="1" width="8.83203125" style="85"/>
    <col min="2" max="2" width="41.83203125" style="85" bestFit="1" customWidth="1"/>
    <col min="3" max="3" width="9.33203125" style="85" bestFit="1" customWidth="1"/>
    <col min="4" max="4" width="13" style="85" bestFit="1" customWidth="1"/>
    <col min="5" max="6" width="9.33203125" style="85" bestFit="1" customWidth="1"/>
    <col min="7" max="7" width="9.33203125" style="101" bestFit="1" customWidth="1"/>
    <col min="8" max="8" width="9.33203125" style="85" bestFit="1" customWidth="1"/>
    <col min="9" max="9" width="11" style="85" customWidth="1"/>
    <col min="10" max="10" width="8.83203125" style="85"/>
    <col min="15" max="16384" width="8.83203125" style="85"/>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52">
        <v>1</v>
      </c>
      <c r="B2" s="152" t="s">
        <v>193</v>
      </c>
      <c r="C2" s="8">
        <v>1</v>
      </c>
      <c r="D2" s="9">
        <v>7.6500000953674316</v>
      </c>
      <c r="E2" s="9">
        <v>160</v>
      </c>
      <c r="F2" s="10"/>
      <c r="G2" s="9">
        <v>0.30857458710670471</v>
      </c>
      <c r="H2" s="10"/>
      <c r="I2">
        <v>0</v>
      </c>
      <c r="J2"/>
    </row>
    <row r="3" spans="1:10" ht="15" customHeight="1" x14ac:dyDescent="0.15">
      <c r="A3" s="153">
        <v>2</v>
      </c>
      <c r="B3" s="153" t="s">
        <v>194</v>
      </c>
      <c r="C3" s="8">
        <v>1</v>
      </c>
      <c r="D3" s="9">
        <v>2.187861442565918</v>
      </c>
      <c r="E3" s="9">
        <v>13.400429725646973</v>
      </c>
      <c r="F3" s="10"/>
      <c r="G3" s="9">
        <v>0.95019394159317017</v>
      </c>
      <c r="H3" s="10"/>
      <c r="I3">
        <v>0</v>
      </c>
      <c r="J3"/>
    </row>
    <row r="4" spans="1:10" ht="15" customHeight="1" x14ac:dyDescent="0.15">
      <c r="A4" s="154">
        <v>3</v>
      </c>
      <c r="B4" s="154" t="s">
        <v>195</v>
      </c>
      <c r="C4" s="8">
        <v>1</v>
      </c>
      <c r="D4" s="9">
        <v>4.5759081840515137E-2</v>
      </c>
      <c r="E4" s="9">
        <v>15.032659530639648</v>
      </c>
      <c r="F4" s="10"/>
      <c r="G4" s="9">
        <v>0.94999915361404419</v>
      </c>
      <c r="H4" s="10"/>
      <c r="I4">
        <v>0</v>
      </c>
      <c r="J4"/>
    </row>
    <row r="5" spans="1:10" ht="15" customHeight="1" x14ac:dyDescent="0.15">
      <c r="A5" s="155">
        <v>4</v>
      </c>
      <c r="B5" s="155" t="s">
        <v>196</v>
      </c>
      <c r="C5" s="8">
        <v>2.1046512126922607</v>
      </c>
      <c r="D5" s="9">
        <v>8.4596080780029297</v>
      </c>
      <c r="E5" s="9">
        <v>32.395153045654297</v>
      </c>
      <c r="F5" s="9">
        <v>51.069000244140625</v>
      </c>
      <c r="G5" s="9">
        <v>0.95000243186950684</v>
      </c>
      <c r="H5" s="9">
        <v>0.63434082269668579</v>
      </c>
      <c r="I5">
        <v>0</v>
      </c>
      <c r="J5"/>
    </row>
    <row r="6" spans="1:10" ht="15" customHeight="1" x14ac:dyDescent="0.15">
      <c r="A6" s="156">
        <v>5</v>
      </c>
      <c r="B6" s="156" t="s">
        <v>197</v>
      </c>
      <c r="C6" s="8">
        <v>3.0930235385894775</v>
      </c>
      <c r="D6" s="9">
        <v>3.4629900455474854</v>
      </c>
      <c r="E6" s="9">
        <v>22.649999618530273</v>
      </c>
      <c r="F6" s="9">
        <v>56.569999694824219</v>
      </c>
      <c r="G6" s="9">
        <v>0.95002585649490356</v>
      </c>
      <c r="H6" s="9">
        <v>0.40038889646530151</v>
      </c>
      <c r="I6">
        <v>0</v>
      </c>
      <c r="J6"/>
    </row>
    <row r="7" spans="1:10" ht="15" customHeight="1" x14ac:dyDescent="0.15">
      <c r="A7" s="157">
        <v>6</v>
      </c>
      <c r="B7" s="157" t="s">
        <v>198</v>
      </c>
      <c r="C7" s="8">
        <v>2</v>
      </c>
      <c r="D7" s="9">
        <v>0.36763989925384521</v>
      </c>
      <c r="E7" s="9">
        <v>7.8438711166381836</v>
      </c>
      <c r="F7" s="9">
        <v>23.531610488891602</v>
      </c>
      <c r="G7" s="9">
        <v>0.95000070333480835</v>
      </c>
      <c r="H7" s="9">
        <v>0.33333337306976318</v>
      </c>
      <c r="I7">
        <v>0</v>
      </c>
      <c r="J7"/>
    </row>
    <row r="8" spans="1:10" ht="15" customHeight="1" x14ac:dyDescent="0.15">
      <c r="A8" s="158">
        <v>7</v>
      </c>
      <c r="B8" s="158" t="s">
        <v>199</v>
      </c>
      <c r="C8" s="8">
        <v>2.7247095108032227</v>
      </c>
      <c r="D8" s="9">
        <v>7.3820805549621582</v>
      </c>
      <c r="E8" s="9">
        <v>1.6472129821777344</v>
      </c>
      <c r="F8" s="9">
        <v>9.9041948318481445</v>
      </c>
      <c r="G8" s="9">
        <v>0.94999945163726807</v>
      </c>
      <c r="H8" s="9">
        <v>0.16631467640399933</v>
      </c>
      <c r="I8">
        <v>6.029181182384491E-2</v>
      </c>
      <c r="J8"/>
    </row>
    <row r="9" spans="1:10" ht="15" customHeight="1" x14ac:dyDescent="0.15">
      <c r="A9" s="159">
        <v>8</v>
      </c>
      <c r="B9" s="159" t="s">
        <v>200</v>
      </c>
      <c r="C9" s="8">
        <v>2.3607423305511475</v>
      </c>
      <c r="D9" s="9">
        <v>4.4158258438110352</v>
      </c>
      <c r="E9" s="9">
        <v>3.5022408962249756</v>
      </c>
      <c r="F9" s="9">
        <v>19.723150253295898</v>
      </c>
      <c r="G9" s="9">
        <v>0.95001059770584106</v>
      </c>
      <c r="H9" s="9">
        <v>0.17757005989551544</v>
      </c>
      <c r="I9">
        <v>0</v>
      </c>
      <c r="J9"/>
    </row>
    <row r="10" spans="1:10" ht="15" customHeight="1" x14ac:dyDescent="0.15">
      <c r="A10" s="160">
        <v>9</v>
      </c>
      <c r="B10" s="160" t="s">
        <v>201</v>
      </c>
      <c r="C10" s="8">
        <v>2</v>
      </c>
      <c r="D10" s="9">
        <v>5.4638586044311523</v>
      </c>
      <c r="E10" s="9">
        <v>2.4049999713897705</v>
      </c>
      <c r="F10" s="9">
        <v>26.198530197143555</v>
      </c>
      <c r="G10" s="9">
        <v>0.94999659061431885</v>
      </c>
      <c r="H10" s="9">
        <v>9.1799043118953705E-2</v>
      </c>
      <c r="I10">
        <v>5.6999799562618136E-4</v>
      </c>
      <c r="J10"/>
    </row>
    <row r="11" spans="1:10" ht="15" customHeight="1" x14ac:dyDescent="0.15">
      <c r="A11" s="161">
        <v>10</v>
      </c>
      <c r="B11" s="161" t="s">
        <v>202</v>
      </c>
      <c r="C11" s="8">
        <v>2.3274247646331787</v>
      </c>
      <c r="D11" s="9">
        <v>4.5260748863220215</v>
      </c>
      <c r="E11" s="9">
        <v>0.56998801231384277</v>
      </c>
      <c r="F11" s="9">
        <v>2.4603610038757324</v>
      </c>
      <c r="G11" s="9">
        <v>0.94999134540557861</v>
      </c>
      <c r="H11" s="9">
        <v>0.23166844248771667</v>
      </c>
      <c r="I11">
        <v>3.8482710719108582E-2</v>
      </c>
      <c r="J11"/>
    </row>
    <row r="12" spans="1:10" ht="15" customHeight="1" x14ac:dyDescent="0.15">
      <c r="A12" s="162">
        <v>11</v>
      </c>
      <c r="B12" s="162" t="s">
        <v>203</v>
      </c>
      <c r="C12" s="8">
        <v>2.3531405925750732</v>
      </c>
      <c r="D12" s="9">
        <v>4.2584061622619629</v>
      </c>
      <c r="E12" s="9">
        <v>1.885612964630127</v>
      </c>
      <c r="F12" s="9">
        <v>9.386077880859375</v>
      </c>
      <c r="G12" s="9">
        <v>0.950034499168396</v>
      </c>
      <c r="H12" s="9">
        <v>0.20089466869831085</v>
      </c>
      <c r="I12">
        <v>1.0138192214071751E-2</v>
      </c>
      <c r="J12"/>
    </row>
    <row r="13" spans="1:10" ht="15" customHeight="1" x14ac:dyDescent="0.15">
      <c r="A13" s="163">
        <v>12</v>
      </c>
      <c r="B13" s="163" t="s">
        <v>204</v>
      </c>
      <c r="C13" s="8">
        <v>3.210798978805542</v>
      </c>
      <c r="D13" s="9">
        <v>2.0889637470245361</v>
      </c>
      <c r="E13" s="9">
        <v>2.5551350116729736</v>
      </c>
      <c r="F13" s="9">
        <v>4.953190803527832</v>
      </c>
      <c r="G13" s="9">
        <v>0.94996953010559082</v>
      </c>
      <c r="H13" s="9">
        <v>0.51585638523101807</v>
      </c>
      <c r="I13">
        <v>7.2104288265109062E-3</v>
      </c>
      <c r="J13"/>
    </row>
    <row r="14" spans="1:10" ht="15" customHeight="1" x14ac:dyDescent="0.15">
      <c r="A14" s="164">
        <v>13</v>
      </c>
      <c r="B14" s="164" t="s">
        <v>205</v>
      </c>
      <c r="C14" s="8">
        <v>3.7010416984558105</v>
      </c>
      <c r="D14" s="9">
        <v>0.55229997634887695</v>
      </c>
      <c r="E14" s="9">
        <v>2.7999999523162842</v>
      </c>
      <c r="F14" s="9">
        <v>5.6422719955444336</v>
      </c>
      <c r="G14" s="9">
        <v>0.96847832202911377</v>
      </c>
      <c r="H14" s="9">
        <v>0.49625399708747864</v>
      </c>
      <c r="I14">
        <v>0.23749850690364838</v>
      </c>
      <c r="J14"/>
    </row>
    <row r="15" spans="1:10" ht="15" customHeight="1" x14ac:dyDescent="0.15">
      <c r="A15" s="165">
        <v>14</v>
      </c>
      <c r="B15" s="165" t="s">
        <v>206</v>
      </c>
      <c r="C15" s="8">
        <v>4.2246465682983398</v>
      </c>
      <c r="D15" s="9">
        <v>6.4989998936653137E-2</v>
      </c>
      <c r="E15" s="9">
        <v>2.7124049663543701</v>
      </c>
      <c r="F15" s="9">
        <v>31.639999389648438</v>
      </c>
      <c r="G15" s="9">
        <v>0.88509213924407959</v>
      </c>
      <c r="H15" s="9">
        <v>8.5727088153362274E-2</v>
      </c>
      <c r="I15">
        <v>3.6596918944269419E-3</v>
      </c>
      <c r="J15"/>
    </row>
    <row r="16" spans="1:10" ht="15" customHeight="1" x14ac:dyDescent="0.15">
      <c r="A16" s="166">
        <v>15</v>
      </c>
      <c r="B16" s="166" t="s">
        <v>207</v>
      </c>
      <c r="C16" s="8">
        <v>3.7162714004516602</v>
      </c>
      <c r="D16" s="9">
        <v>0.5602571964263916</v>
      </c>
      <c r="E16" s="9">
        <v>1.5900000333786011</v>
      </c>
      <c r="F16" s="9">
        <v>4.8544831275939941</v>
      </c>
      <c r="G16" s="9">
        <v>0.88412803411483765</v>
      </c>
      <c r="H16" s="9">
        <v>0.32753229141235352</v>
      </c>
      <c r="I16">
        <v>8.2086801528930664E-2</v>
      </c>
      <c r="J16"/>
    </row>
    <row r="17" spans="1:10" ht="15" customHeight="1" x14ac:dyDescent="0.15">
      <c r="A17" s="167">
        <v>16</v>
      </c>
      <c r="B17" s="167" t="s">
        <v>208</v>
      </c>
      <c r="C17" s="8">
        <v>3.2792801856994629</v>
      </c>
      <c r="D17" s="9">
        <v>0.13112300634384155</v>
      </c>
      <c r="E17" s="9">
        <v>2.2599999904632568</v>
      </c>
      <c r="F17" s="9">
        <v>7.6649718284606934</v>
      </c>
      <c r="G17" s="9">
        <v>0.99412828683853149</v>
      </c>
      <c r="H17" s="9">
        <v>0.29484778642654419</v>
      </c>
      <c r="I17">
        <v>8.7974093854427338E-2</v>
      </c>
      <c r="J17"/>
    </row>
    <row r="18" spans="1:10" ht="15" customHeight="1" x14ac:dyDescent="0.15">
      <c r="A18" s="168">
        <v>17</v>
      </c>
      <c r="B18" s="168" t="s">
        <v>209</v>
      </c>
      <c r="C18" s="8">
        <v>2.8681857585906982</v>
      </c>
      <c r="D18" s="9">
        <v>0.12493299692869186</v>
      </c>
      <c r="E18" s="9">
        <v>3.7999999523162842</v>
      </c>
      <c r="F18" s="9">
        <v>7.6649718284606934</v>
      </c>
      <c r="G18" s="9">
        <v>0.99589115381240845</v>
      </c>
      <c r="H18" s="9">
        <v>0.49576175212860107</v>
      </c>
      <c r="I18">
        <v>4.7660183161497116E-2</v>
      </c>
      <c r="J18"/>
    </row>
    <row r="19" spans="1:10" ht="15" customHeight="1" x14ac:dyDescent="0.15">
      <c r="A19" s="169">
        <v>18</v>
      </c>
      <c r="B19" s="169" t="s">
        <v>210</v>
      </c>
      <c r="C19" s="8">
        <v>3.270402193069458</v>
      </c>
      <c r="D19" s="9">
        <v>3.6328241229057312E-2</v>
      </c>
      <c r="E19" s="9">
        <v>2.7957959175109863</v>
      </c>
      <c r="F19" s="9">
        <v>7.6649718284606934</v>
      </c>
      <c r="G19" s="9">
        <v>0.95234847068786621</v>
      </c>
      <c r="H19" s="9">
        <v>0.36474967002868652</v>
      </c>
      <c r="I19">
        <v>1.6151752322912216E-2</v>
      </c>
      <c r="J19"/>
    </row>
    <row r="20" spans="1:10" ht="15" customHeight="1" x14ac:dyDescent="0.15">
      <c r="A20" s="170">
        <v>19</v>
      </c>
      <c r="B20" s="170" t="s">
        <v>211</v>
      </c>
      <c r="C20" s="8">
        <v>3.6633131504058838</v>
      </c>
      <c r="D20" s="9">
        <v>1.5499999523162842</v>
      </c>
      <c r="E20" s="9">
        <v>0.7160000205039978</v>
      </c>
      <c r="F20" s="9">
        <v>9.0443687438964844</v>
      </c>
      <c r="G20" s="9">
        <v>0.99683594703674316</v>
      </c>
      <c r="H20" s="9">
        <v>7.916528731584549E-2</v>
      </c>
      <c r="I20">
        <v>3.0929785221815109E-2</v>
      </c>
      <c r="J20"/>
    </row>
    <row r="21" spans="1:10" ht="15" customHeight="1" x14ac:dyDescent="0.15">
      <c r="A21" s="171">
        <v>20</v>
      </c>
      <c r="B21" s="171" t="s">
        <v>212</v>
      </c>
      <c r="C21" s="8">
        <v>3.1219663619995117</v>
      </c>
      <c r="D21" s="9">
        <v>3.8287971019744873</v>
      </c>
      <c r="E21" s="9">
        <v>1.1155179738998413</v>
      </c>
      <c r="F21" s="9">
        <v>11.402549743652344</v>
      </c>
      <c r="G21" s="9">
        <v>0.92755520343780518</v>
      </c>
      <c r="H21" s="9">
        <v>9.7830571234226227E-2</v>
      </c>
      <c r="I21">
        <v>0.19795763492584229</v>
      </c>
      <c r="J21"/>
    </row>
    <row r="22" spans="1:10" ht="15" customHeight="1" x14ac:dyDescent="0.15">
      <c r="A22" s="172">
        <v>21</v>
      </c>
      <c r="B22" s="172" t="s">
        <v>213</v>
      </c>
      <c r="C22" s="8">
        <v>3.1254236698150635</v>
      </c>
      <c r="D22" s="9">
        <v>1.8500000238418579</v>
      </c>
      <c r="E22" s="9">
        <v>0.85288304090499878</v>
      </c>
      <c r="F22" s="9">
        <v>9.6346340179443359</v>
      </c>
      <c r="G22" s="9">
        <v>0.95293593406677246</v>
      </c>
      <c r="H22" s="9">
        <v>8.8522620499134064E-2</v>
      </c>
      <c r="I22">
        <v>0.30608645081520081</v>
      </c>
      <c r="J22"/>
    </row>
    <row r="23" spans="1:10" ht="15" customHeight="1" x14ac:dyDescent="0.15">
      <c r="A23" s="173">
        <v>22</v>
      </c>
      <c r="B23" s="173" t="s">
        <v>214</v>
      </c>
      <c r="C23" s="8">
        <v>3.0814535617828369</v>
      </c>
      <c r="D23" s="9">
        <v>0.69999998807907104</v>
      </c>
      <c r="E23" s="9">
        <v>1.0885895490646362</v>
      </c>
      <c r="F23" s="9">
        <v>10.505240440368652</v>
      </c>
      <c r="G23" s="9">
        <v>0.88230788707733154</v>
      </c>
      <c r="H23" s="9">
        <v>0.10362347960472107</v>
      </c>
      <c r="I23">
        <v>5.6861173361539841E-3</v>
      </c>
      <c r="J23"/>
    </row>
    <row r="24" spans="1:10" ht="15" customHeight="1" x14ac:dyDescent="0.15">
      <c r="A24" s="174">
        <v>23</v>
      </c>
      <c r="B24" s="174" t="s">
        <v>215</v>
      </c>
      <c r="C24" s="8">
        <v>3.1035466194152832</v>
      </c>
      <c r="D24" s="9">
        <v>0.61790001392364502</v>
      </c>
      <c r="E24" s="9">
        <v>0.88200002908706665</v>
      </c>
      <c r="F24" s="9">
        <v>27.280000686645508</v>
      </c>
      <c r="G24" s="9">
        <v>0.79088675975799561</v>
      </c>
      <c r="H24" s="9">
        <v>3.2331377267837524E-2</v>
      </c>
      <c r="I24">
        <v>2.1948155015707016E-2</v>
      </c>
      <c r="J24"/>
    </row>
    <row r="25" spans="1:10" ht="15" customHeight="1" x14ac:dyDescent="0.15">
      <c r="A25" s="175">
        <v>24</v>
      </c>
      <c r="B25" s="175" t="s">
        <v>216</v>
      </c>
      <c r="C25" s="8">
        <v>3.2000136375427246</v>
      </c>
      <c r="D25" s="9">
        <v>0.53848958015441895</v>
      </c>
      <c r="E25" s="9">
        <v>0.77247661352157593</v>
      </c>
      <c r="F25" s="9">
        <v>19.812530517578125</v>
      </c>
      <c r="G25" s="9">
        <v>0.78205013275146484</v>
      </c>
      <c r="H25" s="9">
        <v>3.8989294320344925E-2</v>
      </c>
      <c r="I25">
        <v>3.6788567900657654E-2</v>
      </c>
      <c r="J25"/>
    </row>
    <row r="26" spans="1:10" ht="15" customHeight="1" x14ac:dyDescent="0.15">
      <c r="A26" s="176">
        <v>25</v>
      </c>
      <c r="B26" s="176" t="s">
        <v>217</v>
      </c>
      <c r="C26" s="8">
        <v>3.5371294021606445</v>
      </c>
      <c r="D26" s="9">
        <v>0.21037359535694122</v>
      </c>
      <c r="E26" s="9">
        <v>0.60779738426208496</v>
      </c>
      <c r="F26" s="9">
        <v>6.8339338302612305</v>
      </c>
      <c r="G26" s="9">
        <v>0.99749058485031128</v>
      </c>
      <c r="H26" s="9">
        <v>8.8938139379024506E-2</v>
      </c>
      <c r="I26">
        <v>7.5576215982437134E-2</v>
      </c>
      <c r="J26"/>
    </row>
    <row r="27" spans="1:10" ht="15" customHeight="1" x14ac:dyDescent="0.15">
      <c r="A27" s="177">
        <v>26</v>
      </c>
      <c r="B27" s="177" t="s">
        <v>218</v>
      </c>
      <c r="C27" s="8">
        <v>3.3911230564117432</v>
      </c>
      <c r="D27" s="9">
        <v>4.9388159066438675E-2</v>
      </c>
      <c r="E27" s="9">
        <v>0.72276031970977783</v>
      </c>
      <c r="F27" s="9">
        <v>8.5292882919311523</v>
      </c>
      <c r="G27" s="9">
        <v>0.94558781385421753</v>
      </c>
      <c r="H27" s="9">
        <v>8.4738641977310181E-2</v>
      </c>
      <c r="I27">
        <v>1.5828967094421387E-2</v>
      </c>
      <c r="J27"/>
    </row>
    <row r="28" spans="1:10" ht="15" customHeight="1" x14ac:dyDescent="0.15">
      <c r="A28" s="178">
        <v>27</v>
      </c>
      <c r="B28" s="178" t="s">
        <v>219</v>
      </c>
      <c r="C28" s="8">
        <v>3.3047919273376465</v>
      </c>
      <c r="D28" s="9">
        <v>8.5351340472698212E-2</v>
      </c>
      <c r="E28" s="9">
        <v>1.3096209764480591</v>
      </c>
      <c r="F28" s="9">
        <v>6.5874900817871094</v>
      </c>
      <c r="G28" s="9">
        <v>0.99026447534561157</v>
      </c>
      <c r="H28" s="9">
        <v>0.19880424439907074</v>
      </c>
      <c r="I28">
        <v>9.0126723051071167E-2</v>
      </c>
      <c r="J28"/>
    </row>
    <row r="29" spans="1:10" ht="15" customHeight="1" x14ac:dyDescent="0.15">
      <c r="A29" s="179">
        <v>28</v>
      </c>
      <c r="B29" s="179" t="s">
        <v>220</v>
      </c>
      <c r="C29" s="8">
        <v>4.2129354476928711</v>
      </c>
      <c r="D29" s="9">
        <v>6.6610999405384064E-2</v>
      </c>
      <c r="E29" s="9">
        <v>0.35899510979652405</v>
      </c>
      <c r="F29" s="9">
        <v>4.3349862098693848</v>
      </c>
      <c r="G29" s="9">
        <v>0.78802627325057983</v>
      </c>
      <c r="H29" s="9">
        <v>8.2813434302806854E-2</v>
      </c>
      <c r="I29">
        <v>2.5202019605785608E-3</v>
      </c>
      <c r="J29"/>
    </row>
    <row r="30" spans="1:10" ht="15" customHeight="1" x14ac:dyDescent="0.15">
      <c r="A30" s="180">
        <v>29</v>
      </c>
      <c r="B30" s="180" t="s">
        <v>221</v>
      </c>
      <c r="C30" s="8">
        <v>3.3133738040924072</v>
      </c>
      <c r="D30" s="9">
        <v>0.21554380655288696</v>
      </c>
      <c r="E30" s="9">
        <v>0.77877348661422729</v>
      </c>
      <c r="F30" s="9">
        <v>7.8324589729309082</v>
      </c>
      <c r="G30" s="9">
        <v>0.95857810974121094</v>
      </c>
      <c r="H30" s="9">
        <v>9.9428988993167877E-2</v>
      </c>
      <c r="I30">
        <v>3.7099506705999374E-2</v>
      </c>
      <c r="J30"/>
    </row>
    <row r="31" spans="1:10" ht="15" customHeight="1" x14ac:dyDescent="0.15">
      <c r="A31" s="181">
        <v>30</v>
      </c>
      <c r="B31" s="181" t="s">
        <v>222</v>
      </c>
      <c r="C31" s="8">
        <v>4.026191234588623</v>
      </c>
      <c r="D31" s="9">
        <v>0.18858349323272705</v>
      </c>
      <c r="E31" s="9">
        <v>0.63870692253112793</v>
      </c>
      <c r="F31" s="9">
        <v>9.3797540664672852</v>
      </c>
      <c r="G31" s="9">
        <v>0.99936515092849731</v>
      </c>
      <c r="H31" s="9">
        <v>6.8094208836555481E-2</v>
      </c>
      <c r="I31">
        <v>6.5439008176326752E-2</v>
      </c>
      <c r="J31"/>
    </row>
    <row r="32" spans="1:10" ht="15" customHeight="1" x14ac:dyDescent="0.15">
      <c r="A32" s="210">
        <v>31</v>
      </c>
      <c r="B32" s="210" t="s">
        <v>223</v>
      </c>
      <c r="C32" s="8">
        <v>4.0557422637939453</v>
      </c>
      <c r="D32" s="9">
        <v>5.1590144634246826E-2</v>
      </c>
      <c r="E32" s="9">
        <v>0.57084381580352783</v>
      </c>
      <c r="F32" s="9">
        <v>8.5292882919311523</v>
      </c>
      <c r="G32" s="9">
        <v>0.94919192790985107</v>
      </c>
      <c r="H32" s="9">
        <v>6.6927485167980194E-2</v>
      </c>
      <c r="I32">
        <v>1.6499491408467293E-2</v>
      </c>
      <c r="J32"/>
    </row>
    <row r="33" spans="1:10" ht="15" customHeight="1" x14ac:dyDescent="0.15">
      <c r="A33" s="211">
        <v>32</v>
      </c>
      <c r="B33" s="211" t="s">
        <v>224</v>
      </c>
      <c r="C33" s="8">
        <v>4.0598835945129395</v>
      </c>
      <c r="D33" s="9">
        <v>0.36272120475769043</v>
      </c>
      <c r="E33" s="9">
        <v>0.238925501704216</v>
      </c>
      <c r="F33" s="9">
        <v>3.2767949104309082</v>
      </c>
      <c r="G33" s="9">
        <v>9.4818107783794403E-2</v>
      </c>
      <c r="H33" s="9">
        <v>7.2914391756057739E-2</v>
      </c>
      <c r="I33">
        <v>8.2172546535730362E-3</v>
      </c>
      <c r="J33"/>
    </row>
    <row r="34" spans="1:10" ht="15" customHeight="1" x14ac:dyDescent="0.15">
      <c r="A34" s="212">
        <v>33</v>
      </c>
      <c r="B34" s="212" t="s">
        <v>225</v>
      </c>
      <c r="C34" s="8">
        <v>3.7802720069885254</v>
      </c>
      <c r="D34" s="9">
        <v>0.13341900706291199</v>
      </c>
      <c r="E34" s="9">
        <v>0.34241381287574768</v>
      </c>
      <c r="F34" s="9">
        <v>3.7359070777893066</v>
      </c>
      <c r="G34" s="9">
        <v>0.26651465892791748</v>
      </c>
      <c r="H34" s="9">
        <v>9.165479987859726E-2</v>
      </c>
      <c r="I34">
        <v>3.0392943881452084E-3</v>
      </c>
      <c r="J34"/>
    </row>
    <row r="35" spans="1:10" ht="15" customHeight="1" x14ac:dyDescent="0.15">
      <c r="A35" s="213">
        <v>34</v>
      </c>
      <c r="B35" s="213" t="s">
        <v>226</v>
      </c>
      <c r="C35" s="8">
        <v>4.3550519943237305</v>
      </c>
      <c r="D35" s="9">
        <v>0.19282610714435577</v>
      </c>
      <c r="E35" s="9">
        <v>0.54354727268218994</v>
      </c>
      <c r="F35" s="9">
        <v>4.2333621978759766</v>
      </c>
      <c r="G35" s="9">
        <v>0.21962717175483704</v>
      </c>
      <c r="H35" s="9">
        <v>0.12839612364768982</v>
      </c>
      <c r="I35">
        <v>1.454804465174675E-2</v>
      </c>
      <c r="J35"/>
    </row>
    <row r="36" spans="1:10" ht="15" customHeight="1" x14ac:dyDescent="0.15">
      <c r="A36" s="214">
        <v>35</v>
      </c>
      <c r="B36" s="214" t="s">
        <v>227</v>
      </c>
      <c r="C36" s="8">
        <v>4.4187626838684082</v>
      </c>
      <c r="D36" s="9">
        <v>7.3685653507709503E-2</v>
      </c>
      <c r="E36" s="9">
        <v>0.5910000205039978</v>
      </c>
      <c r="F36" s="9">
        <v>8.1934003829956055</v>
      </c>
      <c r="G36" s="9">
        <v>0.94999998807907104</v>
      </c>
      <c r="H36" s="9">
        <v>7.2131223976612091E-2</v>
      </c>
      <c r="I36">
        <v>3.6522436887025833E-2</v>
      </c>
      <c r="J36"/>
    </row>
    <row r="37" spans="1:10" ht="15" customHeight="1" x14ac:dyDescent="0.15">
      <c r="A37" s="215">
        <v>36</v>
      </c>
      <c r="B37" s="215" t="s">
        <v>228</v>
      </c>
      <c r="C37" s="8">
        <v>4.1184148788452148</v>
      </c>
      <c r="D37" s="9">
        <v>1.4620000123977661</v>
      </c>
      <c r="E37" s="9">
        <v>0.11099240183830261</v>
      </c>
      <c r="F37" s="9">
        <v>1.3057320117950439</v>
      </c>
      <c r="G37" s="9">
        <v>0.89152109622955322</v>
      </c>
      <c r="H37" s="9">
        <v>8.5003964602947235E-2</v>
      </c>
      <c r="I37">
        <v>0.10077077150344849</v>
      </c>
      <c r="J37"/>
    </row>
    <row r="38" spans="1:10" ht="15" customHeight="1" x14ac:dyDescent="0.15">
      <c r="A38" s="216">
        <v>37</v>
      </c>
      <c r="B38" s="216" t="s">
        <v>229</v>
      </c>
      <c r="C38" s="8">
        <v>4.3805680274963379</v>
      </c>
      <c r="D38" s="9">
        <v>0.23000000417232513</v>
      </c>
      <c r="E38" s="9">
        <v>0.31330880522727966</v>
      </c>
      <c r="F38" s="9">
        <v>3.513314962387085</v>
      </c>
      <c r="G38" s="9">
        <v>0.89884579181671143</v>
      </c>
      <c r="H38" s="9">
        <v>8.9177548885345459E-2</v>
      </c>
      <c r="I38">
        <v>6.4771749079227448E-2</v>
      </c>
      <c r="J38"/>
    </row>
    <row r="39" spans="1:10" ht="15" customHeight="1" x14ac:dyDescent="0.15">
      <c r="A39" s="217">
        <v>38</v>
      </c>
      <c r="B39" s="217" t="s">
        <v>230</v>
      </c>
      <c r="C39" s="8">
        <v>4.3388514518737793</v>
      </c>
      <c r="D39" s="9">
        <v>7.9745002090930939E-2</v>
      </c>
      <c r="E39" s="9">
        <v>7.4520573019981384E-2</v>
      </c>
      <c r="F39" s="9">
        <v>14.361180305480957</v>
      </c>
      <c r="G39" s="7">
        <v>0</v>
      </c>
      <c r="H39" s="9">
        <v>5.1890285685658455E-3</v>
      </c>
      <c r="I39">
        <v>0</v>
      </c>
      <c r="J39"/>
    </row>
    <row r="40" spans="1:10" ht="15" customHeight="1" x14ac:dyDescent="0.15">
      <c r="A40" s="218">
        <v>39</v>
      </c>
      <c r="B40" s="218" t="s">
        <v>231</v>
      </c>
      <c r="C40" s="8">
        <v>3.7717397212982178</v>
      </c>
      <c r="D40" s="9">
        <v>2.0815299358218908E-3</v>
      </c>
      <c r="E40" s="9">
        <v>0.20000000298023224</v>
      </c>
      <c r="F40" s="9">
        <v>62.750968933105469</v>
      </c>
      <c r="G40" s="7">
        <v>0</v>
      </c>
      <c r="H40" s="9">
        <v>3.1872019171714783E-3</v>
      </c>
      <c r="I40">
        <v>0</v>
      </c>
      <c r="J40"/>
    </row>
    <row r="41" spans="1:10" ht="15" customHeight="1" x14ac:dyDescent="0.15">
      <c r="A41" s="219">
        <v>40</v>
      </c>
      <c r="B41" s="219" t="s">
        <v>232</v>
      </c>
      <c r="C41" s="8">
        <v>1</v>
      </c>
      <c r="D41" s="9">
        <v>0.38092869520187378</v>
      </c>
      <c r="E41" s="10"/>
      <c r="F41" s="10"/>
      <c r="G41" s="9">
        <v>0.44677230715751648</v>
      </c>
      <c r="H41" s="10"/>
      <c r="I41">
        <v>0</v>
      </c>
      <c r="J41"/>
    </row>
    <row r="42" spans="1:10" ht="15" customHeight="1" x14ac:dyDescent="0.15">
      <c r="A42" s="220">
        <v>41</v>
      </c>
      <c r="B42" s="220" t="s">
        <v>233</v>
      </c>
      <c r="C42" s="8">
        <v>1</v>
      </c>
      <c r="D42" s="9">
        <v>30</v>
      </c>
      <c r="E42" s="10"/>
      <c r="F42" s="10"/>
      <c r="G42" s="7">
        <v>0.27958711981773376</v>
      </c>
      <c r="H42" s="10"/>
      <c r="I42">
        <v>0</v>
      </c>
      <c r="J42"/>
    </row>
    <row r="43" spans="1:10" ht="15" customHeight="1" x14ac:dyDescent="0.15">
      <c r="A43" s="221">
        <v>42</v>
      </c>
      <c r="B43" s="221" t="s">
        <v>234</v>
      </c>
      <c r="C43" s="8">
        <v>1</v>
      </c>
      <c r="D43" s="9">
        <v>5</v>
      </c>
      <c r="E43" s="10"/>
      <c r="F43" s="10"/>
      <c r="G43" s="7">
        <v>0</v>
      </c>
      <c r="H43" s="10"/>
      <c r="I43">
        <v>0</v>
      </c>
      <c r="J43"/>
    </row>
    <row r="44" spans="1:10" ht="15" customHeight="1" x14ac:dyDescent="0.15">
      <c r="A44" s="222">
        <v>43</v>
      </c>
      <c r="B44" s="222" t="s">
        <v>235</v>
      </c>
      <c r="C44" s="8">
        <v>4.5556349754333496</v>
      </c>
      <c r="D44" s="10"/>
      <c r="E44" s="10"/>
      <c r="F44" s="10"/>
      <c r="G44" s="10"/>
      <c r="H44" s="10"/>
      <c r="I44">
        <v>0.13181306421756744</v>
      </c>
      <c r="J44"/>
    </row>
    <row r="45" spans="1:10" ht="15" customHeight="1" x14ac:dyDescent="0.15">
      <c r="A45" s="223">
        <v>44</v>
      </c>
      <c r="B45" s="223" t="s">
        <v>236</v>
      </c>
      <c r="C45" s="8">
        <v>4.3634867668151855</v>
      </c>
      <c r="D45" s="10"/>
      <c r="E45" s="10"/>
      <c r="F45" s="10"/>
      <c r="G45" s="10"/>
      <c r="H45" s="10"/>
      <c r="I45">
        <v>0.29512149095535278</v>
      </c>
      <c r="J45"/>
    </row>
    <row r="46" spans="1:10" ht="15" customHeight="1" x14ac:dyDescent="0.15">
      <c r="A46" s="224">
        <v>45</v>
      </c>
      <c r="B46" s="224" t="s">
        <v>237</v>
      </c>
      <c r="C46" s="8">
        <v>4.2368474006652832</v>
      </c>
      <c r="D46" s="10"/>
      <c r="E46" s="10"/>
      <c r="F46" s="10"/>
      <c r="G46" s="10"/>
      <c r="H46" s="10"/>
      <c r="I46">
        <v>0.35364687442779541</v>
      </c>
      <c r="J46"/>
    </row>
    <row r="47" spans="1:10" ht="15" customHeight="1" x14ac:dyDescent="0.15">
      <c r="A47" s="225">
        <v>46</v>
      </c>
      <c r="B47" s="225" t="s">
        <v>238</v>
      </c>
      <c r="C47" s="8">
        <v>5.3869514465332031</v>
      </c>
      <c r="D47" s="10"/>
      <c r="E47" s="10"/>
      <c r="F47" s="10"/>
      <c r="G47" s="10"/>
      <c r="H47" s="10"/>
      <c r="I47">
        <v>8.6689293384552002E-2</v>
      </c>
      <c r="J47"/>
    </row>
    <row r="48" spans="1:10" ht="15" customHeight="1" x14ac:dyDescent="0.15">
      <c r="A48" s="226">
        <v>47</v>
      </c>
      <c r="B48" s="226" t="s">
        <v>239</v>
      </c>
      <c r="C48" s="8">
        <v>4.4351620674133301</v>
      </c>
      <c r="D48" s="10"/>
      <c r="E48" s="10"/>
      <c r="F48" s="10"/>
      <c r="G48" s="10"/>
      <c r="H48" s="10"/>
      <c r="I48">
        <v>0.85374730825424194</v>
      </c>
      <c r="J48"/>
    </row>
    <row r="49" spans="1:10" ht="15" customHeight="1" x14ac:dyDescent="0.15">
      <c r="A49" s="227">
        <v>48</v>
      </c>
      <c r="B49" s="227" t="s">
        <v>240</v>
      </c>
      <c r="C49" s="8">
        <v>3.7247092723846436</v>
      </c>
      <c r="D49" s="10"/>
      <c r="E49" s="10"/>
      <c r="F49" s="10"/>
      <c r="G49" s="10"/>
      <c r="H49" s="10"/>
      <c r="I49">
        <v>1.0624669957906008E-3</v>
      </c>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5" bestFit="1" customWidth="1"/>
    <col min="2" max="4" width="9.5" style="85" bestFit="1" customWidth="1"/>
    <col min="5" max="7" width="9" style="85" bestFit="1" customWidth="1"/>
    <col min="8" max="16" width="12.6640625" style="85" bestFit="1" customWidth="1"/>
    <col min="17" max="17" width="12.33203125" style="85" bestFit="1" customWidth="1"/>
    <col min="18" max="18" width="8.83203125" style="85"/>
    <col min="19" max="21" width="9.33203125" style="85" bestFit="1" customWidth="1"/>
    <col min="22" max="23" width="8.83203125" style="85"/>
    <col min="24" max="24" width="9.33203125" style="85" bestFit="1" customWidth="1"/>
    <col min="25" max="27" width="8.83203125" style="85"/>
    <col min="28" max="58" width="9" style="85" bestFit="1" customWidth="1"/>
    <col min="59" max="59" width="12.33203125" style="85" bestFit="1" customWidth="1"/>
    <col min="60" max="60" width="9" style="85" bestFit="1" customWidth="1"/>
    <col min="61" max="61" width="11.33203125" style="85" bestFit="1" customWidth="1"/>
    <col min="62" max="77" width="9" style="85" bestFit="1" customWidth="1"/>
    <col min="78" max="78" width="12.33203125" style="85" bestFit="1" customWidth="1"/>
    <col min="79" max="79" width="9" style="85" bestFit="1" customWidth="1"/>
    <col min="80" max="80" width="12.33203125" style="85" bestFit="1" customWidth="1"/>
    <col min="81" max="107" width="9" style="85" bestFit="1" customWidth="1"/>
    <col min="108" max="108" width="11.33203125" style="85" bestFit="1" customWidth="1"/>
    <col min="109" max="124" width="9" style="85" bestFit="1" customWidth="1"/>
    <col min="125" max="125" width="10.33203125" style="85" bestFit="1" customWidth="1"/>
    <col min="126" max="129" width="9.33203125" style="85" bestFit="1" customWidth="1"/>
    <col min="130" max="130" width="9" style="85" bestFit="1" customWidth="1"/>
    <col min="131" max="134" width="9.33203125" style="85" bestFit="1" customWidth="1"/>
    <col min="135" max="165" width="9" style="85" bestFit="1" customWidth="1"/>
    <col min="166" max="166" width="12.33203125" style="85" bestFit="1" customWidth="1"/>
    <col min="167" max="170" width="9" style="85" bestFit="1" customWidth="1"/>
    <col min="171" max="176" width="8.83203125" style="85"/>
    <col min="177" max="177" width="13.83203125" style="85" bestFit="1" customWidth="1"/>
    <col min="178" max="16384" width="8.83203125" style="85"/>
  </cols>
  <sheetData>
    <row r="1" spans="1:209" ht="15" customHeight="1" x14ac:dyDescent="0.15">
      <c r="A1" t="s">
        <v>15</v>
      </c>
      <c r="B1" t="s">
        <v>1</v>
      </c>
      <c r="C1" t="s">
        <v>16</v>
      </c>
      <c r="D1" t="s">
        <v>245</v>
      </c>
      <c r="E1" t="s">
        <v>246</v>
      </c>
      <c r="F1" t="s">
        <v>247</v>
      </c>
      <c r="G1" t="s">
        <v>248</v>
      </c>
      <c r="H1" t="s">
        <v>249</v>
      </c>
      <c r="I1" t="s">
        <v>250</v>
      </c>
      <c r="J1" t="s">
        <v>193</v>
      </c>
      <c r="K1" t="s">
        <v>194</v>
      </c>
      <c r="L1" t="s">
        <v>195</v>
      </c>
      <c r="M1" t="s">
        <v>196</v>
      </c>
      <c r="N1" t="s">
        <v>197</v>
      </c>
      <c r="O1" t="s">
        <v>198</v>
      </c>
      <c r="P1" t="s">
        <v>199</v>
      </c>
      <c r="Q1" t="s">
        <v>200</v>
      </c>
      <c r="R1" t="s">
        <v>201</v>
      </c>
      <c r="S1" t="s">
        <v>202</v>
      </c>
      <c r="T1" t="s">
        <v>203</v>
      </c>
      <c r="U1" t="s">
        <v>204</v>
      </c>
      <c r="V1" t="s">
        <v>205</v>
      </c>
      <c r="W1" t="s">
        <v>206</v>
      </c>
      <c r="X1" t="s">
        <v>207</v>
      </c>
      <c r="Y1" t="s">
        <v>208</v>
      </c>
      <c r="Z1" t="s">
        <v>209</v>
      </c>
      <c r="AA1" t="s">
        <v>210</v>
      </c>
      <c r="AB1" t="s">
        <v>211</v>
      </c>
      <c r="AC1" t="s">
        <v>212</v>
      </c>
      <c r="AD1" t="s">
        <v>213</v>
      </c>
      <c r="AE1" t="s">
        <v>214</v>
      </c>
      <c r="AF1" t="s">
        <v>215</v>
      </c>
      <c r="AG1" t="s">
        <v>216</v>
      </c>
      <c r="AH1" t="s">
        <v>217</v>
      </c>
      <c r="AI1" t="s">
        <v>218</v>
      </c>
      <c r="AJ1" t="s">
        <v>219</v>
      </c>
      <c r="AK1" t="s">
        <v>220</v>
      </c>
      <c r="AL1" t="s">
        <v>221</v>
      </c>
      <c r="AM1" t="s">
        <v>222</v>
      </c>
      <c r="AN1" t="s">
        <v>223</v>
      </c>
      <c r="AO1" t="s">
        <v>224</v>
      </c>
      <c r="AP1" t="s">
        <v>225</v>
      </c>
      <c r="AQ1" t="s">
        <v>226</v>
      </c>
      <c r="AR1" t="s">
        <v>227</v>
      </c>
      <c r="AS1" t="s">
        <v>228</v>
      </c>
      <c r="AT1" t="s">
        <v>229</v>
      </c>
      <c r="AU1" t="s">
        <v>230</v>
      </c>
      <c r="AV1" t="s">
        <v>231</v>
      </c>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193</v>
      </c>
      <c r="B2">
        <v>160</v>
      </c>
      <c r="C2">
        <v>110.62806701660156</v>
      </c>
      <c r="D2"/>
      <c r="E2"/>
      <c r="F2"/>
      <c r="G2"/>
      <c r="H2"/>
      <c r="I2"/>
      <c r="J2"/>
      <c r="K2"/>
      <c r="L2"/>
      <c r="M2" s="265">
        <v>36.707893371582031</v>
      </c>
      <c r="N2" s="16">
        <v>2.5608019828796387</v>
      </c>
      <c r="O2" s="14">
        <v>0.40711337327957153</v>
      </c>
      <c r="P2" s="16">
        <v>2.3893320560455322</v>
      </c>
      <c r="Q2" s="16">
        <v>2.3908154964447021</v>
      </c>
      <c r="R2" s="17">
        <v>2.3396735191345215</v>
      </c>
      <c r="S2" s="14">
        <v>0.2037920206785202</v>
      </c>
      <c r="T2" s="17">
        <v>2.3511607646942139</v>
      </c>
      <c r="U2"/>
      <c r="V2"/>
      <c r="W2"/>
      <c r="X2"/>
      <c r="Y2"/>
      <c r="Z2"/>
      <c r="AA2"/>
      <c r="AB2"/>
      <c r="AC2"/>
      <c r="AD2"/>
      <c r="AE2" s="11">
        <v>2.0186539739370346E-2</v>
      </c>
      <c r="AF2"/>
      <c r="AG2"/>
      <c r="AH2"/>
      <c r="AI2" s="11">
        <v>8.2988888607360423E-5</v>
      </c>
      <c r="AJ2"/>
      <c r="AK2"/>
      <c r="AL2"/>
      <c r="AM2" s="11">
        <v>1.056271605193615E-3</v>
      </c>
      <c r="AN2"/>
      <c r="AO2"/>
      <c r="AP2"/>
      <c r="AQ2"/>
      <c r="AR2" s="11">
        <v>2.0839426724705845E-5</v>
      </c>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194</v>
      </c>
      <c r="B3">
        <v>13.400429725646973</v>
      </c>
      <c r="C3">
        <v>0.6674225926399231</v>
      </c>
      <c r="D3"/>
      <c r="E3"/>
      <c r="F3"/>
      <c r="G3"/>
      <c r="H3"/>
      <c r="I3"/>
      <c r="J3"/>
      <c r="K3"/>
      <c r="L3"/>
      <c r="M3"/>
      <c r="N3"/>
      <c r="O3"/>
      <c r="P3"/>
      <c r="Q3" s="260">
        <v>1.9903911352157593</v>
      </c>
      <c r="R3" s="296">
        <v>8.1808204650878906</v>
      </c>
      <c r="S3" s="111">
        <v>0.89071506261825562</v>
      </c>
      <c r="T3" s="253">
        <v>0.91344296932220459</v>
      </c>
      <c r="U3"/>
      <c r="V3" s="11">
        <v>6.3741565681993961E-3</v>
      </c>
      <c r="W3"/>
      <c r="X3"/>
      <c r="Y3" s="12">
        <v>5.3099453449249268E-2</v>
      </c>
      <c r="Z3" s="12">
        <v>5.3552854806184769E-2</v>
      </c>
      <c r="AA3"/>
      <c r="AB3" s="231">
        <v>0.5241929292678833</v>
      </c>
      <c r="AC3"/>
      <c r="AD3"/>
      <c r="AE3"/>
      <c r="AF3"/>
      <c r="AG3"/>
      <c r="AH3" s="11">
        <v>1.7323235515505075E-3</v>
      </c>
      <c r="AI3" s="11">
        <v>4.5302076614461839E-4</v>
      </c>
      <c r="AJ3" s="11">
        <v>1.3071013381704688E-3</v>
      </c>
      <c r="AK3" s="11">
        <v>1.9727350445464253E-4</v>
      </c>
      <c r="AL3" s="22">
        <v>0.11147870123386383</v>
      </c>
      <c r="AM3" s="11">
        <v>4.0931142866611481E-3</v>
      </c>
      <c r="AN3"/>
      <c r="AO3"/>
      <c r="AP3"/>
      <c r="AQ3"/>
      <c r="AR3"/>
      <c r="AS3" s="11">
        <v>1.1551843490451574E-3</v>
      </c>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195</v>
      </c>
      <c r="B4">
        <v>15.032659530639648</v>
      </c>
      <c r="C4">
        <v>0.75164568424224854</v>
      </c>
      <c r="D4"/>
      <c r="E4"/>
      <c r="F4"/>
      <c r="G4"/>
      <c r="H4"/>
      <c r="I4"/>
      <c r="J4"/>
      <c r="K4"/>
      <c r="L4"/>
      <c r="M4"/>
      <c r="N4"/>
      <c r="O4"/>
      <c r="P4"/>
      <c r="Q4"/>
      <c r="R4"/>
      <c r="S4" s="280">
        <v>6.0839171409606934</v>
      </c>
      <c r="T4"/>
      <c r="U4"/>
      <c r="V4" s="22">
        <v>0.11753992736339569</v>
      </c>
      <c r="W4"/>
      <c r="X4"/>
      <c r="Y4"/>
      <c r="Z4" s="234">
        <v>2.560502290725708</v>
      </c>
      <c r="AA4"/>
      <c r="AB4"/>
      <c r="AC4"/>
      <c r="AD4"/>
      <c r="AE4"/>
      <c r="AF4"/>
      <c r="AG4"/>
      <c r="AH4" s="12">
        <v>4.8629898577928543E-2</v>
      </c>
      <c r="AI4"/>
      <c r="AJ4"/>
      <c r="AK4" s="11">
        <v>1.0986419394612312E-2</v>
      </c>
      <c r="AL4" s="277">
        <v>5.2567992210388184</v>
      </c>
      <c r="AM4" s="17">
        <v>0.19570249319076538</v>
      </c>
      <c r="AN4"/>
      <c r="AO4"/>
      <c r="AP4"/>
      <c r="AQ4"/>
      <c r="AR4"/>
      <c r="AS4" s="11">
        <v>6.9366563111543655E-3</v>
      </c>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196</v>
      </c>
      <c r="B5">
        <v>32.395153045654297</v>
      </c>
      <c r="C5">
        <v>1.6196788549423218</v>
      </c>
      <c r="D5"/>
      <c r="E5"/>
      <c r="F5"/>
      <c r="G5"/>
      <c r="H5"/>
      <c r="I5"/>
      <c r="J5"/>
      <c r="K5"/>
      <c r="L5"/>
      <c r="M5"/>
      <c r="N5" s="300">
        <v>18.525808334350586</v>
      </c>
      <c r="O5"/>
      <c r="P5" s="19">
        <v>0.54448795318603516</v>
      </c>
      <c r="Q5" s="16">
        <v>0.51476383209228516</v>
      </c>
      <c r="R5"/>
      <c r="S5" s="11">
        <v>1.9745200872421265E-2</v>
      </c>
      <c r="T5" s="17">
        <v>0.47247734665870667</v>
      </c>
      <c r="U5"/>
      <c r="V5" s="11">
        <v>3.4148732665926218E-3</v>
      </c>
      <c r="W5"/>
      <c r="X5"/>
      <c r="Y5"/>
      <c r="Z5" s="11">
        <v>9.5424195751547813E-3</v>
      </c>
      <c r="AA5"/>
      <c r="AB5" s="22">
        <v>0.2718462347984314</v>
      </c>
      <c r="AC5" s="264">
        <v>4.7152128219604492</v>
      </c>
      <c r="AD5" s="64">
        <v>1.7625787258148193</v>
      </c>
      <c r="AE5" s="26">
        <v>0.85101354122161865</v>
      </c>
      <c r="AF5" s="149">
        <v>1.9905717372894287</v>
      </c>
      <c r="AG5" s="295">
        <v>1.0804311037063599</v>
      </c>
      <c r="AH5"/>
      <c r="AI5"/>
      <c r="AJ5"/>
      <c r="AK5"/>
      <c r="AL5"/>
      <c r="AM5"/>
      <c r="AN5"/>
      <c r="AO5"/>
      <c r="AP5"/>
      <c r="AQ5"/>
      <c r="AR5" s="11">
        <v>4.6970858238637447E-4</v>
      </c>
      <c r="AS5" s="11">
        <v>1.311118621379137E-2</v>
      </c>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197</v>
      </c>
      <c r="B6">
        <v>22.649999618530273</v>
      </c>
      <c r="C6">
        <v>1.1319143772125244</v>
      </c>
      <c r="D6"/>
      <c r="E6"/>
      <c r="F6"/>
      <c r="G6"/>
      <c r="H6"/>
      <c r="I6"/>
      <c r="J6"/>
      <c r="K6"/>
      <c r="L6"/>
      <c r="M6" s="298">
        <v>6.237727165222168</v>
      </c>
      <c r="N6" s="297">
        <v>5.6570000648498535</v>
      </c>
      <c r="O6"/>
      <c r="P6" s="299">
        <v>6.6083192825317383</v>
      </c>
      <c r="Q6"/>
      <c r="R6"/>
      <c r="S6" s="14">
        <v>2.4117404595017433E-2</v>
      </c>
      <c r="T6"/>
      <c r="U6" s="14">
        <v>2.9864115640521049E-2</v>
      </c>
      <c r="V6" s="11">
        <v>4.4601986883208156E-4</v>
      </c>
      <c r="W6" s="11">
        <v>1.7813652753829956E-2</v>
      </c>
      <c r="X6"/>
      <c r="Y6" s="11">
        <v>1.6627838835120201E-2</v>
      </c>
      <c r="Z6"/>
      <c r="AA6"/>
      <c r="AB6" s="247">
        <v>2.0003476142883301</v>
      </c>
      <c r="AC6" s="17">
        <v>0.30142873525619507</v>
      </c>
      <c r="AD6" s="22">
        <v>0.17568925023078918</v>
      </c>
      <c r="AE6"/>
      <c r="AF6"/>
      <c r="AG6" s="18">
        <v>0.28482139110565186</v>
      </c>
      <c r="AH6" s="11">
        <v>8.1459097564220428E-3</v>
      </c>
      <c r="AI6" s="11">
        <v>1.5607697423547506E-3</v>
      </c>
      <c r="AJ6" s="14">
        <v>3.6547616124153137E-2</v>
      </c>
      <c r="AK6" s="11">
        <v>7.4933384894393384E-5</v>
      </c>
      <c r="AL6"/>
      <c r="AM6" s="11">
        <v>5.0996532663702965E-3</v>
      </c>
      <c r="AN6" s="11">
        <v>1.1638356372714043E-3</v>
      </c>
      <c r="AO6" s="11">
        <v>2.0028345752507448E-3</v>
      </c>
      <c r="AP6"/>
      <c r="AQ6"/>
      <c r="AR6" s="11">
        <v>2.2948659025132656E-3</v>
      </c>
      <c r="AS6" s="12">
        <v>0.10699349641799927</v>
      </c>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198</v>
      </c>
      <c r="B7">
        <v>7.8438711166381836</v>
      </c>
      <c r="C7">
        <v>0.39218804240226746</v>
      </c>
      <c r="D7"/>
      <c r="E7"/>
      <c r="F7"/>
      <c r="G7"/>
      <c r="H7"/>
      <c r="I7"/>
      <c r="J7"/>
      <c r="K7"/>
      <c r="L7"/>
      <c r="M7"/>
      <c r="N7"/>
      <c r="O7"/>
      <c r="P7"/>
      <c r="Q7"/>
      <c r="R7"/>
      <c r="S7" s="286">
        <v>1.2115962505340576</v>
      </c>
      <c r="T7" s="290">
        <v>5.4359893798828125</v>
      </c>
      <c r="U7"/>
      <c r="V7" s="23">
        <v>4.0911402553319931E-2</v>
      </c>
      <c r="W7"/>
      <c r="X7"/>
      <c r="Y7"/>
      <c r="Z7" s="278">
        <v>0.65820962190628052</v>
      </c>
      <c r="AA7" s="17">
        <v>0.10232852399349213</v>
      </c>
      <c r="AB7"/>
      <c r="AC7"/>
      <c r="AD7"/>
      <c r="AE7"/>
      <c r="AF7"/>
      <c r="AG7"/>
      <c r="AH7" s="11">
        <v>1.0295752435922623E-3</v>
      </c>
      <c r="AI7" s="11">
        <v>1.6179631929844618E-3</v>
      </c>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199</v>
      </c>
      <c r="B8">
        <v>1.6472129821777344</v>
      </c>
      <c r="C8">
        <v>8.2361549139022827E-2</v>
      </c>
      <c r="D8" s="11">
        <v>3.5801829199044732E-6</v>
      </c>
      <c r="E8"/>
      <c r="F8"/>
      <c r="G8"/>
      <c r="H8" s="12">
        <v>8.0198142677545547E-3</v>
      </c>
      <c r="I8" s="11">
        <v>1.4392513548955321E-4</v>
      </c>
      <c r="J8"/>
      <c r="K8"/>
      <c r="L8"/>
      <c r="M8"/>
      <c r="N8"/>
      <c r="O8"/>
      <c r="P8"/>
      <c r="Q8" s="294">
        <v>1.1798028945922852</v>
      </c>
      <c r="R8"/>
      <c r="S8" s="271">
        <v>8.6738049983978271E-2</v>
      </c>
      <c r="T8" s="275">
        <v>0.27072131633758545</v>
      </c>
      <c r="U8"/>
      <c r="V8"/>
      <c r="W8"/>
      <c r="X8"/>
      <c r="Y8" s="23">
        <v>9.4287190586328506E-3</v>
      </c>
      <c r="Z8"/>
      <c r="AA8"/>
      <c r="AB8"/>
      <c r="AC8"/>
      <c r="AD8"/>
      <c r="AE8"/>
      <c r="AF8"/>
      <c r="AG8"/>
      <c r="AH8" s="11">
        <v>8.0208468716591597E-4</v>
      </c>
      <c r="AI8" s="11">
        <v>1.3558763384935446E-5</v>
      </c>
      <c r="AJ8"/>
      <c r="AK8" s="11">
        <v>2.6253488613292575E-4</v>
      </c>
      <c r="AL8" s="11">
        <v>1.1425017146393657E-3</v>
      </c>
      <c r="AM8" s="12">
        <v>6.9376290775835514E-3</v>
      </c>
      <c r="AN8"/>
      <c r="AO8"/>
      <c r="AP8" s="11">
        <v>7.8878406202420592E-4</v>
      </c>
      <c r="AQ8"/>
      <c r="AR8"/>
      <c r="AS8" s="11">
        <v>4.5854558266000822E-5</v>
      </c>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200</v>
      </c>
      <c r="B9">
        <v>3.5022408962249756</v>
      </c>
      <c r="C9">
        <v>0.17507493495941162</v>
      </c>
      <c r="D9"/>
      <c r="E9"/>
      <c r="F9"/>
      <c r="G9"/>
      <c r="H9"/>
      <c r="I9"/>
      <c r="J9"/>
      <c r="K9"/>
      <c r="L9"/>
      <c r="M9"/>
      <c r="N9"/>
      <c r="O9"/>
      <c r="P9"/>
      <c r="Q9" s="151">
        <v>0.88754177093505859</v>
      </c>
      <c r="R9"/>
      <c r="S9" s="19">
        <v>6.3044711947441101E-2</v>
      </c>
      <c r="T9" s="143">
        <v>0.45257368683815002</v>
      </c>
      <c r="U9" s="293">
        <v>1.2178457975387573</v>
      </c>
      <c r="V9" s="13">
        <v>0.12762366235256195</v>
      </c>
      <c r="W9"/>
      <c r="X9" s="18">
        <v>4.3109513819217682E-2</v>
      </c>
      <c r="Y9" s="16">
        <v>5.4904963821172714E-2</v>
      </c>
      <c r="Z9" s="15">
        <v>3.6821659654378891E-2</v>
      </c>
      <c r="AA9" s="12">
        <v>1.4278944581747055E-2</v>
      </c>
      <c r="AB9" s="66">
        <v>0.14111395180225372</v>
      </c>
      <c r="AC9" s="14">
        <v>5.9344065375626087E-3</v>
      </c>
      <c r="AD9" s="14">
        <v>6.3590491190552711E-3</v>
      </c>
      <c r="AE9"/>
      <c r="AF9"/>
      <c r="AG9" s="23">
        <v>1.8613610416650772E-2</v>
      </c>
      <c r="AH9" s="12">
        <v>1.6306448727846146E-2</v>
      </c>
      <c r="AI9" s="22">
        <v>2.8590267524123192E-2</v>
      </c>
      <c r="AJ9" s="14">
        <v>7.9961400479078293E-3</v>
      </c>
      <c r="AK9" s="14">
        <v>3.9917100220918655E-3</v>
      </c>
      <c r="AL9" s="24">
        <v>9.5054648816585541E-2</v>
      </c>
      <c r="AM9" s="21">
        <v>6.6882014274597168E-2</v>
      </c>
      <c r="AN9" s="11">
        <v>2.1725066471844912E-3</v>
      </c>
      <c r="AO9" s="23">
        <v>1.992376521229744E-2</v>
      </c>
      <c r="AP9" s="14">
        <v>7.564192172139883E-3</v>
      </c>
      <c r="AQ9" s="14">
        <v>8.8720284402370453E-3</v>
      </c>
      <c r="AR9"/>
      <c r="AS9" s="11">
        <v>4.6869248762959614E-5</v>
      </c>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201</v>
      </c>
      <c r="B10">
        <v>2.4049999713897705</v>
      </c>
      <c r="C10">
        <v>0.12025819718837738</v>
      </c>
      <c r="D10" s="11">
        <v>1.0432151611894369E-4</v>
      </c>
      <c r="E10"/>
      <c r="F10"/>
      <c r="G10"/>
      <c r="H10"/>
      <c r="I10"/>
      <c r="J10"/>
      <c r="K10"/>
      <c r="L10"/>
      <c r="M10"/>
      <c r="N10"/>
      <c r="O10"/>
      <c r="P10"/>
      <c r="Q10" s="292">
        <v>0.71730077266693115</v>
      </c>
      <c r="R10"/>
      <c r="S10" s="20">
        <v>0.10445157438516617</v>
      </c>
      <c r="T10" s="27">
        <v>0.18288235366344452</v>
      </c>
      <c r="U10" s="64">
        <v>0.13249498605728149</v>
      </c>
      <c r="V10" s="12">
        <v>8.3180898800492287E-3</v>
      </c>
      <c r="W10"/>
      <c r="X10" s="65">
        <v>4.9772284924983978E-2</v>
      </c>
      <c r="Y10" s="14">
        <v>4.807131364941597E-3</v>
      </c>
      <c r="Z10" s="22">
        <v>2.0831180736422539E-2</v>
      </c>
      <c r="AA10" s="14">
        <v>4.9457461573183537E-3</v>
      </c>
      <c r="AB10"/>
      <c r="AC10" s="291">
        <v>0.49400016665458679</v>
      </c>
      <c r="AD10" s="112">
        <v>0.4167124330997467</v>
      </c>
      <c r="AE10"/>
      <c r="AF10"/>
      <c r="AG10" s="21">
        <v>4.8138551414012909E-2</v>
      </c>
      <c r="AH10" s="23">
        <v>1.2005480006337166E-2</v>
      </c>
      <c r="AI10" s="22">
        <v>1.848505437374115E-2</v>
      </c>
      <c r="AJ10" s="22">
        <v>1.7186939716339111E-2</v>
      </c>
      <c r="AK10" s="11">
        <v>6.3970492919906974E-4</v>
      </c>
      <c r="AL10" s="12">
        <v>1.1597721837460995E-2</v>
      </c>
      <c r="AM10" s="23">
        <v>1.6160784289240837E-2</v>
      </c>
      <c r="AN10" s="14">
        <v>3.0589224770665169E-3</v>
      </c>
      <c r="AO10" s="22">
        <v>2.0671680569648743E-2</v>
      </c>
      <c r="AP10"/>
      <c r="AQ10" s="11">
        <v>1.0461705096531659E-4</v>
      </c>
      <c r="AR10"/>
      <c r="AS10" s="11">
        <v>7.1039437898434699E-5</v>
      </c>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202</v>
      </c>
      <c r="B11">
        <v>0.56998801231384277</v>
      </c>
      <c r="C11">
        <v>2.8504334390163422E-2</v>
      </c>
      <c r="D11" s="14">
        <v>5.767458351328969E-4</v>
      </c>
      <c r="E11"/>
      <c r="F11"/>
      <c r="G11"/>
      <c r="H11" s="17">
        <v>7.9257003962993622E-3</v>
      </c>
      <c r="I11"/>
      <c r="J11"/>
      <c r="K11"/>
      <c r="L11"/>
      <c r="M11"/>
      <c r="N11"/>
      <c r="O11"/>
      <c r="P11"/>
      <c r="Q11" s="287">
        <v>0.19242721796035767</v>
      </c>
      <c r="R11"/>
      <c r="S11" s="64">
        <v>3.0754514038562775E-2</v>
      </c>
      <c r="T11" s="76">
        <v>4.4154960662126541E-2</v>
      </c>
      <c r="U11" s="235">
        <v>9.1398514807224274E-2</v>
      </c>
      <c r="V11"/>
      <c r="W11"/>
      <c r="X11"/>
      <c r="Y11" s="248">
        <v>4.5532409101724625E-2</v>
      </c>
      <c r="Z11" s="229">
        <v>1.3271018862724304E-2</v>
      </c>
      <c r="AA11" s="12">
        <v>2.6925720740109682E-3</v>
      </c>
      <c r="AB11"/>
      <c r="AC11"/>
      <c r="AD11"/>
      <c r="AE11"/>
      <c r="AF11"/>
      <c r="AG11"/>
      <c r="AH11" s="69">
        <v>5.2063107490539551E-2</v>
      </c>
      <c r="AI11" s="13">
        <v>2.1385284140706062E-2</v>
      </c>
      <c r="AJ11" s="148">
        <v>1.6220254823565483E-2</v>
      </c>
      <c r="AK11" s="14">
        <v>7.3952646926045418E-4</v>
      </c>
      <c r="AL11" s="18">
        <v>7.0320735685527325E-3</v>
      </c>
      <c r="AM11" s="16">
        <v>8.6644068360328674E-3</v>
      </c>
      <c r="AN11"/>
      <c r="AO11" s="12">
        <v>2.6268174406141043E-3</v>
      </c>
      <c r="AP11" s="23">
        <v>2.7943213935941458E-3</v>
      </c>
      <c r="AQ11" s="14">
        <v>1.2242215452715755E-3</v>
      </c>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203</v>
      </c>
      <c r="B12">
        <v>1.885612964630127</v>
      </c>
      <c r="C12">
        <v>9.4215594232082367E-2</v>
      </c>
      <c r="D12" s="11">
        <v>1.2033877428621054E-3</v>
      </c>
      <c r="E12"/>
      <c r="F12"/>
      <c r="G12"/>
      <c r="H12" s="11">
        <v>1.1773603036999702E-3</v>
      </c>
      <c r="I12"/>
      <c r="J12"/>
      <c r="K12"/>
      <c r="L12"/>
      <c r="M12"/>
      <c r="N12"/>
      <c r="O12"/>
      <c r="P12"/>
      <c r="Q12" s="266">
        <v>0.2045225203037262</v>
      </c>
      <c r="R12"/>
      <c r="S12" s="64">
        <v>0.10460042953491211</v>
      </c>
      <c r="T12" s="26">
        <v>4.6930387616157532E-2</v>
      </c>
      <c r="U12" s="271">
        <v>0.10057787597179413</v>
      </c>
      <c r="V12" s="260">
        <v>0.28149986267089844</v>
      </c>
      <c r="W12"/>
      <c r="X12" s="143">
        <v>0.24267414212226868</v>
      </c>
      <c r="Y12" s="25">
        <v>5.9306908398866653E-2</v>
      </c>
      <c r="Z12" s="22">
        <v>1.482392568141222E-2</v>
      </c>
      <c r="AA12" s="19">
        <v>3.2475404441356659E-2</v>
      </c>
      <c r="AB12" s="259">
        <v>0.31447494029998779</v>
      </c>
      <c r="AC12"/>
      <c r="AD12"/>
      <c r="AE12"/>
      <c r="AF12"/>
      <c r="AG12" s="26">
        <v>4.6324063092470169E-2</v>
      </c>
      <c r="AH12" s="256">
        <v>0.17035649716854095</v>
      </c>
      <c r="AI12" s="12">
        <v>7.5774337165057659E-3</v>
      </c>
      <c r="AJ12" s="18">
        <v>2.2803781554102898E-2</v>
      </c>
      <c r="AK12" s="14">
        <v>3.419958520680666E-3</v>
      </c>
      <c r="AL12" s="21">
        <v>3.7196222692728043E-2</v>
      </c>
      <c r="AM12" s="22">
        <v>1.658841036260128E-2</v>
      </c>
      <c r="AN12" s="23">
        <v>1.0948210954666138E-2</v>
      </c>
      <c r="AO12" s="12">
        <v>8.3757899701595306E-3</v>
      </c>
      <c r="AP12" s="25">
        <v>5.9706658124923706E-2</v>
      </c>
      <c r="AQ12" s="14">
        <v>3.8333330303430557E-3</v>
      </c>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204</v>
      </c>
      <c r="B13">
        <v>2.5551350116729736</v>
      </c>
      <c r="C13">
        <v>0.12783460319042206</v>
      </c>
      <c r="D13"/>
      <c r="E13"/>
      <c r="F13"/>
      <c r="G13"/>
      <c r="H13" s="14">
        <v>3.4516772720962763E-3</v>
      </c>
      <c r="I13"/>
      <c r="J13"/>
      <c r="K13"/>
      <c r="L13"/>
      <c r="M13"/>
      <c r="N13"/>
      <c r="O13"/>
      <c r="P13"/>
      <c r="Q13"/>
      <c r="R13"/>
      <c r="S13"/>
      <c r="T13"/>
      <c r="U13" s="150">
        <v>0.64359599351882935</v>
      </c>
      <c r="V13" s="109">
        <v>0.31747770309448242</v>
      </c>
      <c r="W13" s="25">
        <v>7.8748464584350586E-2</v>
      </c>
      <c r="X13" s="289">
        <v>0.54677093029022217</v>
      </c>
      <c r="Y13" s="23">
        <v>1.5958622097969055E-2</v>
      </c>
      <c r="Z13"/>
      <c r="AA13"/>
      <c r="AB13" s="17">
        <v>3.3563625067472458E-2</v>
      </c>
      <c r="AC13"/>
      <c r="AD13"/>
      <c r="AE13"/>
      <c r="AF13"/>
      <c r="AG13"/>
      <c r="AH13" s="66">
        <v>0.10739399492740631</v>
      </c>
      <c r="AI13" s="22">
        <v>1.8752869218587875E-2</v>
      </c>
      <c r="AJ13" s="22">
        <v>2.1201185882091522E-2</v>
      </c>
      <c r="AK13" s="14">
        <v>3.0046910978853703E-3</v>
      </c>
      <c r="AL13" s="26">
        <v>6.6203013062477112E-2</v>
      </c>
      <c r="AM13" s="248">
        <v>0.20494481921195984</v>
      </c>
      <c r="AN13" s="66">
        <v>0.10407942533493042</v>
      </c>
      <c r="AO13" s="27">
        <v>0.19635404646396637</v>
      </c>
      <c r="AP13" s="23">
        <v>1.6944436356425285E-2</v>
      </c>
      <c r="AQ13" s="21">
        <v>4.8839673399925232E-2</v>
      </c>
      <c r="AR13"/>
      <c r="AS13" s="11">
        <v>1.5725499906693585E-5</v>
      </c>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205</v>
      </c>
      <c r="B14">
        <v>2.7999999523162842</v>
      </c>
      <c r="C14">
        <v>8.8260695338249207E-2</v>
      </c>
      <c r="D14" s="148">
        <v>8.2075811922550201E-2</v>
      </c>
      <c r="E14"/>
      <c r="F14" s="11">
        <v>2.7736012953027966E-7</v>
      </c>
      <c r="G14"/>
      <c r="H14" s="109">
        <v>0.34794113039970398</v>
      </c>
      <c r="I14"/>
      <c r="J14"/>
      <c r="K14"/>
      <c r="L14"/>
      <c r="M14"/>
      <c r="N14"/>
      <c r="O14"/>
      <c r="P14"/>
      <c r="Q14"/>
      <c r="R14"/>
      <c r="S14"/>
      <c r="T14"/>
      <c r="U14"/>
      <c r="V14" s="248">
        <v>0.22550155222415924</v>
      </c>
      <c r="W14" s="24">
        <v>7.4462562799453735E-2</v>
      </c>
      <c r="X14" s="231">
        <v>0.10832648724317551</v>
      </c>
      <c r="Y14"/>
      <c r="Z14"/>
      <c r="AA14"/>
      <c r="AB14" s="255">
        <v>0.12694767117500305</v>
      </c>
      <c r="AC14"/>
      <c r="AD14"/>
      <c r="AE14"/>
      <c r="AF14"/>
      <c r="AG14"/>
      <c r="AH14" s="22">
        <v>2.0618285983800888E-2</v>
      </c>
      <c r="AI14" s="11">
        <v>5.3379504242911935E-4</v>
      </c>
      <c r="AJ14"/>
      <c r="AK14" s="26">
        <v>7.2778314352035522E-2</v>
      </c>
      <c r="AL14" s="284">
        <v>0.61134821176528931</v>
      </c>
      <c r="AM14" s="64">
        <v>0.1524726003408432</v>
      </c>
      <c r="AN14" s="14">
        <v>4.5854691416025162E-3</v>
      </c>
      <c r="AO14" s="67">
        <v>0.16646534204483032</v>
      </c>
      <c r="AP14" s="255">
        <v>0.12728168070316315</v>
      </c>
      <c r="AQ14" s="251">
        <v>0.33102944493293762</v>
      </c>
      <c r="AR14" s="229">
        <v>6.7251056432723999E-2</v>
      </c>
      <c r="AS14" s="18">
        <v>3.4580551087856293E-2</v>
      </c>
      <c r="AT14" s="12">
        <v>8.7785180658102036E-3</v>
      </c>
      <c r="AU14" s="13">
        <v>0.10367847234010696</v>
      </c>
      <c r="AV14" s="16">
        <v>4.508223757147789E-2</v>
      </c>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206</v>
      </c>
      <c r="B15">
        <v>2.7124049663543701</v>
      </c>
      <c r="C15">
        <v>0.31167665123939514</v>
      </c>
      <c r="D15" s="12">
        <v>1.1191137135028839E-2</v>
      </c>
      <c r="E15"/>
      <c r="F15"/>
      <c r="G15"/>
      <c r="H15" s="16">
        <v>4.51204814016819E-2</v>
      </c>
      <c r="I15"/>
      <c r="J15"/>
      <c r="K15"/>
      <c r="L15"/>
      <c r="M15"/>
      <c r="N15"/>
      <c r="O15"/>
      <c r="P15"/>
      <c r="Q15"/>
      <c r="R15"/>
      <c r="S15"/>
      <c r="T15"/>
      <c r="U15"/>
      <c r="V15"/>
      <c r="W15" s="262">
        <v>0.31639999151229858</v>
      </c>
      <c r="X15"/>
      <c r="Y15"/>
      <c r="Z15"/>
      <c r="AA15"/>
      <c r="AB15"/>
      <c r="AC15"/>
      <c r="AD15"/>
      <c r="AE15"/>
      <c r="AF15"/>
      <c r="AG15"/>
      <c r="AH15" s="17">
        <v>3.6712843924760818E-2</v>
      </c>
      <c r="AI15"/>
      <c r="AJ15"/>
      <c r="AK15" s="26">
        <v>7.1708612143993378E-2</v>
      </c>
      <c r="AL15" s="11">
        <v>1.9093014998361468E-3</v>
      </c>
      <c r="AM15"/>
      <c r="AN15" s="12">
        <v>8.7218759581446648E-3</v>
      </c>
      <c r="AO15"/>
      <c r="AP15"/>
      <c r="AQ15" s="67">
        <v>0.1569846123456955</v>
      </c>
      <c r="AR15" s="259">
        <v>0.45471039414405823</v>
      </c>
      <c r="AS15" s="64">
        <v>0.14693674445152283</v>
      </c>
      <c r="AT15" s="265">
        <v>0.62168222665786743</v>
      </c>
      <c r="AU15" s="114">
        <v>0.52865010499954224</v>
      </c>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207</v>
      </c>
      <c r="B16">
        <v>1.5900000333786011</v>
      </c>
      <c r="C16">
        <v>0.18423642218112946</v>
      </c>
      <c r="D16"/>
      <c r="E16"/>
      <c r="F16"/>
      <c r="G16"/>
      <c r="H16" s="69">
        <v>0.14651627838611603</v>
      </c>
      <c r="I16"/>
      <c r="J16"/>
      <c r="K16"/>
      <c r="L16"/>
      <c r="M16"/>
      <c r="N16"/>
      <c r="O16"/>
      <c r="P16"/>
      <c r="Q16"/>
      <c r="R16"/>
      <c r="S16"/>
      <c r="T16"/>
      <c r="U16"/>
      <c r="V16" s="250">
        <v>0.17783902585506439</v>
      </c>
      <c r="W16"/>
      <c r="X16"/>
      <c r="Y16"/>
      <c r="Z16"/>
      <c r="AA16"/>
      <c r="AB16"/>
      <c r="AC16"/>
      <c r="AD16"/>
      <c r="AE16"/>
      <c r="AF16"/>
      <c r="AG16"/>
      <c r="AH16" s="70">
        <v>7.9502761363983154E-2</v>
      </c>
      <c r="AI16" s="12">
        <v>7.5114094652235508E-3</v>
      </c>
      <c r="AJ16"/>
      <c r="AK16" s="26">
        <v>4.1591104120016098E-2</v>
      </c>
      <c r="AL16"/>
      <c r="AM16" s="285">
        <v>0.6614450216293335</v>
      </c>
      <c r="AN16" s="66">
        <v>6.5600760281085968E-2</v>
      </c>
      <c r="AO16" s="25">
        <v>4.9123648554086685E-2</v>
      </c>
      <c r="AP16" s="65">
        <v>3.3865168690681458E-2</v>
      </c>
      <c r="AQ16" s="256">
        <v>0.14276845753192902</v>
      </c>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208</v>
      </c>
      <c r="B17">
        <v>2.2599999904632568</v>
      </c>
      <c r="C17">
        <v>1.327007170766592E-2</v>
      </c>
      <c r="D17" s="25">
        <v>7.2490416467189789E-2</v>
      </c>
      <c r="E17"/>
      <c r="F17"/>
      <c r="G17"/>
      <c r="H17" s="238">
        <v>0.59843754768371582</v>
      </c>
      <c r="I17"/>
      <c r="J17"/>
      <c r="K17"/>
      <c r="L17"/>
      <c r="M17"/>
      <c r="N17"/>
      <c r="O17"/>
      <c r="P17"/>
      <c r="Q17"/>
      <c r="R17"/>
      <c r="S17"/>
      <c r="T17"/>
      <c r="U17" s="261">
        <v>0.23900556564331055</v>
      </c>
      <c r="V17" s="261">
        <v>0.23985591530799866</v>
      </c>
      <c r="W17" s="28">
        <v>7.8410476446151733E-2</v>
      </c>
      <c r="X17"/>
      <c r="Y17"/>
      <c r="Z17"/>
      <c r="AA17"/>
      <c r="AB17"/>
      <c r="AC17"/>
      <c r="AD17"/>
      <c r="AE17"/>
      <c r="AF17"/>
      <c r="AG17"/>
      <c r="AH17"/>
      <c r="AI17" s="17">
        <v>3.2094452530145645E-2</v>
      </c>
      <c r="AJ17"/>
      <c r="AK17" s="21">
        <v>4.3982934206724167E-2</v>
      </c>
      <c r="AL17" s="148">
        <v>6.432158499956131E-2</v>
      </c>
      <c r="AM17" s="72">
        <v>0.16161966323852539</v>
      </c>
      <c r="AN17" s="255">
        <v>0.10062982141971588</v>
      </c>
      <c r="AO17" s="250">
        <v>0.25478804111480713</v>
      </c>
      <c r="AP17" s="231">
        <v>8.7447747588157654E-2</v>
      </c>
      <c r="AQ17" s="72">
        <v>0.15925684571266174</v>
      </c>
      <c r="AR17" s="15">
        <v>2.1676192060112953E-2</v>
      </c>
      <c r="AS17" s="66">
        <v>9.2712670564651489E-2</v>
      </c>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209</v>
      </c>
      <c r="B18">
        <v>3.7999999523162842</v>
      </c>
      <c r="C18">
        <v>1.56136155128479E-2</v>
      </c>
      <c r="D18" s="22">
        <v>3.163832426071167E-2</v>
      </c>
      <c r="E18"/>
      <c r="F18"/>
      <c r="G18"/>
      <c r="H18" s="69">
        <v>0.34984764456748962</v>
      </c>
      <c r="I18"/>
      <c r="J18"/>
      <c r="K18"/>
      <c r="L18"/>
      <c r="M18"/>
      <c r="N18"/>
      <c r="O18"/>
      <c r="P18"/>
      <c r="Q18"/>
      <c r="R18"/>
      <c r="S18"/>
      <c r="T18"/>
      <c r="U18" s="267">
        <v>0.41807922720909119</v>
      </c>
      <c r="V18" s="111">
        <v>0.2517399787902832</v>
      </c>
      <c r="W18" s="65">
        <v>8.2295455038547516E-2</v>
      </c>
      <c r="X18"/>
      <c r="Y18"/>
      <c r="Z18"/>
      <c r="AA18"/>
      <c r="AB18"/>
      <c r="AC18"/>
      <c r="AD18"/>
      <c r="AE18"/>
      <c r="AF18"/>
      <c r="AG18"/>
      <c r="AH18" s="148">
        <v>0.11500872671604156</v>
      </c>
      <c r="AI18" s="15">
        <v>3.3684626221656799E-2</v>
      </c>
      <c r="AJ18"/>
      <c r="AK18" s="67">
        <v>0.22148501873016357</v>
      </c>
      <c r="AL18" s="28">
        <v>0.13501700758934021</v>
      </c>
      <c r="AM18" s="250">
        <v>0.42835190892219543</v>
      </c>
      <c r="AN18" s="266">
        <v>0.41208064556121826</v>
      </c>
      <c r="AO18" s="272">
        <v>0.76131516695022583</v>
      </c>
      <c r="AP18" s="65">
        <v>8.3799570798873901E-2</v>
      </c>
      <c r="AQ18" s="149">
        <v>0.23185670375823975</v>
      </c>
      <c r="AR18" s="23">
        <v>2.2750174626708031E-2</v>
      </c>
      <c r="AS18" s="70">
        <v>0.19458331167697906</v>
      </c>
      <c r="AT18"/>
      <c r="AU18"/>
      <c r="AV18" s="14">
        <v>1.0852870531380177E-2</v>
      </c>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210</v>
      </c>
      <c r="B19">
        <v>2.7957959175109863</v>
      </c>
      <c r="C19">
        <v>0.13322395086288452</v>
      </c>
      <c r="D19" s="11">
        <v>2.836250641848892E-4</v>
      </c>
      <c r="E19"/>
      <c r="F19"/>
      <c r="G19"/>
      <c r="H19" s="239">
        <v>0.44432231783866882</v>
      </c>
      <c r="I19"/>
      <c r="J19"/>
      <c r="K19"/>
      <c r="L19"/>
      <c r="M19"/>
      <c r="N19"/>
      <c r="O19"/>
      <c r="P19"/>
      <c r="Q19"/>
      <c r="R19"/>
      <c r="S19"/>
      <c r="T19"/>
      <c r="U19"/>
      <c r="V19"/>
      <c r="W19"/>
      <c r="X19"/>
      <c r="Y19"/>
      <c r="Z19"/>
      <c r="AA19"/>
      <c r="AB19"/>
      <c r="AC19"/>
      <c r="AD19"/>
      <c r="AE19"/>
      <c r="AF19"/>
      <c r="AG19"/>
      <c r="AH19"/>
      <c r="AI19" s="65">
        <v>5.7920802384614944E-2</v>
      </c>
      <c r="AJ19"/>
      <c r="AK19" s="252">
        <v>0.24053306877613068</v>
      </c>
      <c r="AL19" s="259">
        <v>0.46432414650917053</v>
      </c>
      <c r="AM19"/>
      <c r="AN19" s="143">
        <v>0.36321288347244263</v>
      </c>
      <c r="AO19" s="251">
        <v>0.32727080583572388</v>
      </c>
      <c r="AP19"/>
      <c r="AQ19" s="257">
        <v>0.42742529511451721</v>
      </c>
      <c r="AR19" s="14">
        <v>2.7427247259765863E-3</v>
      </c>
      <c r="AS19" s="144">
        <v>0.3345361053943634</v>
      </c>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211</v>
      </c>
      <c r="B20">
        <v>0.7160000205039978</v>
      </c>
      <c r="C20">
        <v>2.2654619533568621E-3</v>
      </c>
      <c r="D20" s="14">
        <v>7.6023745350539684E-4</v>
      </c>
      <c r="E20" s="17">
        <v>1.0088304989039898E-2</v>
      </c>
      <c r="F20" s="12">
        <v>3.3140466548502445E-3</v>
      </c>
      <c r="G20" s="11">
        <v>2.4234775628428906E-4</v>
      </c>
      <c r="H20" s="22">
        <v>5.5497623980045319E-3</v>
      </c>
      <c r="I20"/>
      <c r="J20"/>
      <c r="K20"/>
      <c r="L20"/>
      <c r="M20"/>
      <c r="N20"/>
      <c r="O20"/>
      <c r="P20"/>
      <c r="Q20"/>
      <c r="R20"/>
      <c r="S20"/>
      <c r="T20"/>
      <c r="U20"/>
      <c r="V20"/>
      <c r="W20" s="279">
        <v>0.17246249318122864</v>
      </c>
      <c r="X20"/>
      <c r="Y20"/>
      <c r="Z20"/>
      <c r="AA20"/>
      <c r="AB20"/>
      <c r="AC20"/>
      <c r="AD20"/>
      <c r="AE20"/>
      <c r="AF20"/>
      <c r="AG20"/>
      <c r="AH20"/>
      <c r="AI20"/>
      <c r="AJ20"/>
      <c r="AK20"/>
      <c r="AL20"/>
      <c r="AM20"/>
      <c r="AN20" s="11">
        <v>2.8376097907312214E-4</v>
      </c>
      <c r="AO20" s="78">
        <v>4.6674814075231552E-2</v>
      </c>
      <c r="AP20"/>
      <c r="AQ20" s="148">
        <v>2.1063081920146942E-2</v>
      </c>
      <c r="AR20" s="27">
        <v>5.4550930857658386E-2</v>
      </c>
      <c r="AS20" s="112">
        <v>0.12321830540895462</v>
      </c>
      <c r="AT20" s="261">
        <v>7.5592949986457825E-2</v>
      </c>
      <c r="AU20" s="283">
        <v>0.19949209690093994</v>
      </c>
      <c r="AV20" s="11">
        <v>4.4141232501715422E-4</v>
      </c>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212</v>
      </c>
      <c r="B21">
        <v>1.1155179738998413</v>
      </c>
      <c r="C21">
        <v>8.0813474953174591E-2</v>
      </c>
      <c r="D21" s="11">
        <v>1.6052716819103807E-4</v>
      </c>
      <c r="E21" s="25">
        <v>3.5088155418634415E-2</v>
      </c>
      <c r="F21" s="17">
        <v>1.4331657439470291E-2</v>
      </c>
      <c r="G21"/>
      <c r="H21" s="14">
        <v>2.1219635382294655E-3</v>
      </c>
      <c r="I21"/>
      <c r="J21"/>
      <c r="K21"/>
      <c r="L21"/>
      <c r="M21"/>
      <c r="N21"/>
      <c r="O21"/>
      <c r="P21"/>
      <c r="Q21"/>
      <c r="R21"/>
      <c r="S21"/>
      <c r="T21"/>
      <c r="U21"/>
      <c r="V21" s="26">
        <v>2.7649108320474625E-2</v>
      </c>
      <c r="W21" s="288">
        <v>0.23630522191524506</v>
      </c>
      <c r="X21"/>
      <c r="Y21"/>
      <c r="Z21"/>
      <c r="AA21"/>
      <c r="AB21" s="113">
        <v>0.32961723208427429</v>
      </c>
      <c r="AC21"/>
      <c r="AD21"/>
      <c r="AE21"/>
      <c r="AF21"/>
      <c r="AG21"/>
      <c r="AH21"/>
      <c r="AI21"/>
      <c r="AJ21"/>
      <c r="AK21" s="15">
        <v>1.1296969838440418E-2</v>
      </c>
      <c r="AL21" s="11">
        <v>2.7353418408893049E-4</v>
      </c>
      <c r="AM21" s="23">
        <v>6.9186398759484291E-3</v>
      </c>
      <c r="AN21"/>
      <c r="AO21" s="22">
        <v>7.9103074967861176E-3</v>
      </c>
      <c r="AP21" s="14">
        <v>2.5978351477533579E-3</v>
      </c>
      <c r="AQ21" s="229">
        <v>2.7072913944721222E-2</v>
      </c>
      <c r="AR21" s="19">
        <v>2.0348535850644112E-2</v>
      </c>
      <c r="AS21" s="110">
        <v>0.17458727955818176</v>
      </c>
      <c r="AT21" s="148">
        <v>3.2712545245885849E-2</v>
      </c>
      <c r="AU21" s="75">
        <v>0.10468857735395432</v>
      </c>
      <c r="AV21" s="11">
        <v>1.0235476074740291E-3</v>
      </c>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213</v>
      </c>
      <c r="B22">
        <v>0.85288304090499878</v>
      </c>
      <c r="C22">
        <v>4.0140144526958466E-2</v>
      </c>
      <c r="D22" s="14">
        <v>1.3651340268552303E-3</v>
      </c>
      <c r="E22" s="20">
        <v>3.6853887140750885E-2</v>
      </c>
      <c r="F22" s="233">
        <v>0.12501572072505951</v>
      </c>
      <c r="G22"/>
      <c r="H22" s="14">
        <v>2.2173863835632801E-3</v>
      </c>
      <c r="I22"/>
      <c r="J22"/>
      <c r="K22"/>
      <c r="L22"/>
      <c r="M22"/>
      <c r="N22"/>
      <c r="O22"/>
      <c r="P22"/>
      <c r="Q22"/>
      <c r="R22"/>
      <c r="S22"/>
      <c r="T22"/>
      <c r="U22"/>
      <c r="V22" s="231">
        <v>3.3660672605037689E-2</v>
      </c>
      <c r="W22" s="282">
        <v>0.16672569513320923</v>
      </c>
      <c r="X22"/>
      <c r="Y22"/>
      <c r="Z22"/>
      <c r="AA22"/>
      <c r="AB22" s="281">
        <v>0.15159609913825989</v>
      </c>
      <c r="AC22"/>
      <c r="AD22"/>
      <c r="AE22"/>
      <c r="AF22"/>
      <c r="AG22"/>
      <c r="AH22"/>
      <c r="AI22"/>
      <c r="AJ22"/>
      <c r="AK22" s="12">
        <v>3.1488803215324879E-3</v>
      </c>
      <c r="AL22" s="11">
        <v>5.6611181935295463E-4</v>
      </c>
      <c r="AM22" s="23">
        <v>4.7729862853884697E-3</v>
      </c>
      <c r="AN22"/>
      <c r="AO22" s="23">
        <v>4.6123364008963108E-3</v>
      </c>
      <c r="AP22" s="12">
        <v>3.5895255859941244E-3</v>
      </c>
      <c r="AQ22" s="26">
        <v>2.2059308364987373E-2</v>
      </c>
      <c r="AR22" s="24">
        <v>2.2852417081594467E-2</v>
      </c>
      <c r="AS22" s="80">
        <v>0.1445317417383194</v>
      </c>
      <c r="AT22" s="70">
        <v>4.3679054826498032E-2</v>
      </c>
      <c r="AU22" s="271">
        <v>4.5190248638391495E-2</v>
      </c>
      <c r="AV22" s="11">
        <v>3.0570567469112575E-4</v>
      </c>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214</v>
      </c>
      <c r="B23">
        <v>1.0885895490646362</v>
      </c>
      <c r="C23">
        <v>0.12811841070652008</v>
      </c>
      <c r="D23" s="11">
        <v>1.805728629733494E-6</v>
      </c>
      <c r="E23" s="11">
        <v>6.8277290665719192E-6</v>
      </c>
      <c r="F23" s="22">
        <v>8.1010330468416214E-3</v>
      </c>
      <c r="G23"/>
      <c r="H23" s="11">
        <v>1.3358599971979856E-5</v>
      </c>
      <c r="I23"/>
      <c r="J23"/>
      <c r="K23"/>
      <c r="L23"/>
      <c r="M23"/>
      <c r="N23"/>
      <c r="O23"/>
      <c r="P23"/>
      <c r="Q23"/>
      <c r="R23"/>
      <c r="S23"/>
      <c r="T23"/>
      <c r="U23"/>
      <c r="V23" s="270">
        <v>0.11166564375162125</v>
      </c>
      <c r="W23" s="274">
        <v>0.14687739312648773</v>
      </c>
      <c r="X23"/>
      <c r="Y23"/>
      <c r="Z23"/>
      <c r="AA23"/>
      <c r="AB23"/>
      <c r="AC23"/>
      <c r="AD23"/>
      <c r="AE23"/>
      <c r="AF23"/>
      <c r="AG23"/>
      <c r="AH23"/>
      <c r="AI23"/>
      <c r="AJ23"/>
      <c r="AK23" s="22">
        <v>8.3220414817333221E-3</v>
      </c>
      <c r="AL23"/>
      <c r="AM23" s="13">
        <v>4.0580905973911285E-2</v>
      </c>
      <c r="AN23" s="24">
        <v>3.0195483937859535E-2</v>
      </c>
      <c r="AO23" s="28">
        <v>3.8704488426446915E-2</v>
      </c>
      <c r="AP23" s="17">
        <v>1.4243988320231438E-2</v>
      </c>
      <c r="AQ23" s="65">
        <v>2.3319840431213379E-2</v>
      </c>
      <c r="AR23" s="29">
        <v>5.1767721772193909E-2</v>
      </c>
      <c r="AS23" s="275">
        <v>0.18007476627826691</v>
      </c>
      <c r="AT23" s="68">
        <v>6.9262504577636719E-2</v>
      </c>
      <c r="AU23" s="276">
        <v>0.22904647886753082</v>
      </c>
      <c r="AV23" s="22">
        <v>8.2869799807667732E-3</v>
      </c>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215</v>
      </c>
      <c r="B24">
        <v>0.88200002908706665</v>
      </c>
      <c r="C24">
        <v>0.18443788588047028</v>
      </c>
      <c r="D24" s="11">
        <v>2.5646219728514552E-4</v>
      </c>
      <c r="E24"/>
      <c r="F24" s="18">
        <v>1.0632979683578014E-2</v>
      </c>
      <c r="G24"/>
      <c r="H24" s="24">
        <v>2.4631118401885033E-2</v>
      </c>
      <c r="I24"/>
      <c r="J24"/>
      <c r="K24"/>
      <c r="L24"/>
      <c r="M24"/>
      <c r="N24"/>
      <c r="O24"/>
      <c r="P24"/>
      <c r="Q24"/>
      <c r="R24"/>
      <c r="S24"/>
      <c r="T24"/>
      <c r="U24"/>
      <c r="V24" s="248">
        <v>7.0546329021453857E-2</v>
      </c>
      <c r="W24" s="254">
        <v>6.6557161509990692E-2</v>
      </c>
      <c r="X24"/>
      <c r="Y24"/>
      <c r="Z24"/>
      <c r="AA24"/>
      <c r="AB24"/>
      <c r="AC24"/>
      <c r="AD24"/>
      <c r="AE24"/>
      <c r="AF24"/>
      <c r="AG24"/>
      <c r="AH24"/>
      <c r="AI24"/>
      <c r="AJ24"/>
      <c r="AK24" s="148">
        <v>2.5926409289240837E-2</v>
      </c>
      <c r="AL24"/>
      <c r="AM24" s="143">
        <v>0.11432301253080368</v>
      </c>
      <c r="AN24" s="15">
        <v>8.3736050873994827E-3</v>
      </c>
      <c r="AO24" s="268">
        <v>8.4661535918712616E-2</v>
      </c>
      <c r="AP24" s="23">
        <v>4.8409737646579742E-3</v>
      </c>
      <c r="AQ24" s="148">
        <v>2.6418333873152733E-2</v>
      </c>
      <c r="AR24" s="15">
        <v>8.7969088926911354E-3</v>
      </c>
      <c r="AS24" s="261">
        <v>9.2727795243263245E-2</v>
      </c>
      <c r="AT24" s="148">
        <v>2.6155121624469757E-2</v>
      </c>
      <c r="AU24" s="269">
        <v>0.12047272920608521</v>
      </c>
      <c r="AV24" s="17">
        <v>1.2241608463227749E-2</v>
      </c>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216</v>
      </c>
      <c r="B25">
        <v>0.77247661352157593</v>
      </c>
      <c r="C25">
        <v>0.16836117208003998</v>
      </c>
      <c r="D25" s="23">
        <v>4.0169968269765377E-3</v>
      </c>
      <c r="E25" s="231">
        <v>3.0922193080186844E-2</v>
      </c>
      <c r="F25" s="231">
        <v>2.9780266806483269E-2</v>
      </c>
      <c r="G25"/>
      <c r="H25" s="12">
        <v>3.5986136645078659E-3</v>
      </c>
      <c r="I25"/>
      <c r="J25"/>
      <c r="K25"/>
      <c r="L25"/>
      <c r="M25"/>
      <c r="N25"/>
      <c r="O25"/>
      <c r="P25"/>
      <c r="Q25"/>
      <c r="R25"/>
      <c r="S25"/>
      <c r="T25"/>
      <c r="U25"/>
      <c r="V25"/>
      <c r="W25" s="273">
        <v>0.19093066453933716</v>
      </c>
      <c r="X25"/>
      <c r="Y25"/>
      <c r="Z25"/>
      <c r="AA25"/>
      <c r="AB25"/>
      <c r="AC25"/>
      <c r="AD25"/>
      <c r="AE25"/>
      <c r="AF25"/>
      <c r="AG25"/>
      <c r="AH25"/>
      <c r="AI25"/>
      <c r="AJ25"/>
      <c r="AK25" s="149">
        <v>4.759959876537323E-2</v>
      </c>
      <c r="AL25"/>
      <c r="AM25" s="266">
        <v>8.281698077917099E-2</v>
      </c>
      <c r="AN25"/>
      <c r="AO25" s="13">
        <v>2.870236337184906E-2</v>
      </c>
      <c r="AP25" s="14">
        <v>1.7617054982110858E-3</v>
      </c>
      <c r="AQ25" s="149">
        <v>4.6987034380435944E-2</v>
      </c>
      <c r="AR25" s="66">
        <v>3.2525688409805298E-2</v>
      </c>
      <c r="AS25" s="67">
        <v>4.6107646077871323E-2</v>
      </c>
      <c r="AT25" s="78">
        <v>4.9520112574100494E-2</v>
      </c>
      <c r="AU25"/>
      <c r="AV25" s="18">
        <v>8.8455565273761749E-3</v>
      </c>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217</v>
      </c>
      <c r="B26">
        <v>0.60779738426208496</v>
      </c>
      <c r="C26">
        <v>1.5252159209921956E-3</v>
      </c>
      <c r="D26" s="22">
        <v>4.8897294327616692E-3</v>
      </c>
      <c r="E26" s="14">
        <v>1.0620249668136239E-3</v>
      </c>
      <c r="F26"/>
      <c r="G26"/>
      <c r="H26" s="240">
        <v>0.35329589247703552</v>
      </c>
      <c r="I26"/>
      <c r="J26"/>
      <c r="K26"/>
      <c r="L26"/>
      <c r="M26"/>
      <c r="N26"/>
      <c r="O26"/>
      <c r="P26"/>
      <c r="Q26"/>
      <c r="R26"/>
      <c r="S26"/>
      <c r="T26"/>
      <c r="U26"/>
      <c r="V26"/>
      <c r="W26"/>
      <c r="X26" s="65">
        <v>1.2926941737532616E-2</v>
      </c>
      <c r="Y26"/>
      <c r="Z26"/>
      <c r="AA26"/>
      <c r="AB26"/>
      <c r="AC26"/>
      <c r="AD26"/>
      <c r="AE26"/>
      <c r="AF26"/>
      <c r="AG26"/>
      <c r="AH26"/>
      <c r="AI26"/>
      <c r="AJ26"/>
      <c r="AK26" s="253">
        <v>4.153631255030632E-2</v>
      </c>
      <c r="AL26"/>
      <c r="AM26" s="72">
        <v>4.2397033423185349E-2</v>
      </c>
      <c r="AN26" s="23">
        <v>3.4908468369394541E-3</v>
      </c>
      <c r="AO26" s="29">
        <v>2.8257284313440323E-2</v>
      </c>
      <c r="AP26" s="231">
        <v>2.3697821423411369E-2</v>
      </c>
      <c r="AQ26" s="78">
        <v>3.8797378540039062E-2</v>
      </c>
      <c r="AR26" s="22">
        <v>4.3187579140067101E-3</v>
      </c>
      <c r="AS26" s="254">
        <v>4.5392666012048721E-2</v>
      </c>
      <c r="AT26"/>
      <c r="AU26"/>
      <c r="AV26" s="15">
        <v>6.2095178291201591E-3</v>
      </c>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218</v>
      </c>
      <c r="B27">
        <v>0.72276031970977783</v>
      </c>
      <c r="C27">
        <v>3.9326969534158707E-2</v>
      </c>
      <c r="D27" s="228">
        <v>9.2500165104866028E-2</v>
      </c>
      <c r="E27"/>
      <c r="F27" s="11">
        <v>2.6141691478187568E-7</v>
      </c>
      <c r="G27"/>
      <c r="H27" s="241">
        <v>0.22800080478191376</v>
      </c>
      <c r="I27"/>
      <c r="J27"/>
      <c r="K27"/>
      <c r="L27"/>
      <c r="M27"/>
      <c r="N27"/>
      <c r="O27"/>
      <c r="P27"/>
      <c r="Q27"/>
      <c r="R27"/>
      <c r="S27"/>
      <c r="T27"/>
      <c r="U27"/>
      <c r="V27"/>
      <c r="W27"/>
      <c r="X27" s="27">
        <v>5.5063549429178238E-2</v>
      </c>
      <c r="Y27"/>
      <c r="Z27"/>
      <c r="AA27"/>
      <c r="AB27"/>
      <c r="AC27"/>
      <c r="AD27"/>
      <c r="AE27"/>
      <c r="AF27"/>
      <c r="AG27"/>
      <c r="AH27"/>
      <c r="AI27"/>
      <c r="AJ27"/>
      <c r="AK27" s="248">
        <v>5.838620662689209E-2</v>
      </c>
      <c r="AL27"/>
      <c r="AM27"/>
      <c r="AN27"/>
      <c r="AO27"/>
      <c r="AP27" s="72">
        <v>5.047157034277916E-2</v>
      </c>
      <c r="AQ27" s="249">
        <v>8.263058215379715E-2</v>
      </c>
      <c r="AR27"/>
      <c r="AS27"/>
      <c r="AT27"/>
      <c r="AU27"/>
      <c r="AV27" s="235">
        <v>0.11638016253709793</v>
      </c>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219</v>
      </c>
      <c r="B28">
        <v>1.3096209764480591</v>
      </c>
      <c r="C28">
        <v>1.2749847024679184E-2</v>
      </c>
      <c r="D28" s="26">
        <v>3.3625777810811996E-2</v>
      </c>
      <c r="E28"/>
      <c r="F28"/>
      <c r="G28"/>
      <c r="H28" s="242">
        <v>1.0223238468170166</v>
      </c>
      <c r="I28"/>
      <c r="J28"/>
      <c r="K28"/>
      <c r="L28"/>
      <c r="M28"/>
      <c r="N28"/>
      <c r="O28"/>
      <c r="P28"/>
      <c r="Q28"/>
      <c r="R28"/>
      <c r="S28"/>
      <c r="T28"/>
      <c r="U28"/>
      <c r="V28"/>
      <c r="W28"/>
      <c r="X28"/>
      <c r="Y28"/>
      <c r="Z28"/>
      <c r="AA28"/>
      <c r="AB28"/>
      <c r="AC28"/>
      <c r="AD28"/>
      <c r="AE28"/>
      <c r="AF28"/>
      <c r="AG28"/>
      <c r="AH28"/>
      <c r="AI28"/>
      <c r="AJ28"/>
      <c r="AK28" s="26">
        <v>3.4126169979572296E-2</v>
      </c>
      <c r="AL28"/>
      <c r="AM28"/>
      <c r="AN28"/>
      <c r="AO28" s="25">
        <v>4.1789054870605469E-2</v>
      </c>
      <c r="AP28"/>
      <c r="AQ28" s="13">
        <v>4.781380295753479E-2</v>
      </c>
      <c r="AR28"/>
      <c r="AS28" s="19">
        <v>2.2376727312803268E-2</v>
      </c>
      <c r="AT28"/>
      <c r="AU28" s="230">
        <v>9.3925021588802338E-2</v>
      </c>
      <c r="AV28" s="11">
        <v>8.9068256784230471E-4</v>
      </c>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220</v>
      </c>
      <c r="B29">
        <v>0.35899510979652405</v>
      </c>
      <c r="C29">
        <v>7.6097533106803894E-2</v>
      </c>
      <c r="D29" s="76">
        <v>2.8352705761790276E-2</v>
      </c>
      <c r="E29"/>
      <c r="F29"/>
      <c r="G29"/>
      <c r="H29" s="26">
        <v>9.4819171354174614E-3</v>
      </c>
      <c r="I29"/>
      <c r="J29"/>
      <c r="K29"/>
      <c r="L29"/>
      <c r="M29"/>
      <c r="N29"/>
      <c r="O29"/>
      <c r="P29"/>
      <c r="Q29"/>
      <c r="R29"/>
      <c r="S29"/>
      <c r="T29"/>
      <c r="U29"/>
      <c r="V29"/>
      <c r="W29"/>
      <c r="X29"/>
      <c r="Y29"/>
      <c r="Z29"/>
      <c r="AA29"/>
      <c r="AB29"/>
      <c r="AC29"/>
      <c r="AD29"/>
      <c r="AE29"/>
      <c r="AF29"/>
      <c r="AG29"/>
      <c r="AH29"/>
      <c r="AI29"/>
      <c r="AJ29"/>
      <c r="AK29"/>
      <c r="AL29"/>
      <c r="AM29"/>
      <c r="AN29"/>
      <c r="AO29"/>
      <c r="AP29"/>
      <c r="AQ29" s="258">
        <v>0.24506296217441559</v>
      </c>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221</v>
      </c>
      <c r="B30">
        <v>0.77877348661422729</v>
      </c>
      <c r="C30">
        <v>3.2258268445730209E-2</v>
      </c>
      <c r="D30" s="109">
        <v>9.6150010824203491E-2</v>
      </c>
      <c r="E30"/>
      <c r="F30"/>
      <c r="G30"/>
      <c r="H30" s="243">
        <v>7.5970485806465149E-2</v>
      </c>
      <c r="I30"/>
      <c r="J30"/>
      <c r="K30"/>
      <c r="L30"/>
      <c r="M30"/>
      <c r="N30"/>
      <c r="O30"/>
      <c r="P30"/>
      <c r="Q30"/>
      <c r="R30"/>
      <c r="S30"/>
      <c r="T30"/>
      <c r="U30"/>
      <c r="V30"/>
      <c r="W30" s="263">
        <v>9.5399796962738037E-2</v>
      </c>
      <c r="X30" s="243">
        <v>7.6962873339653015E-2</v>
      </c>
      <c r="Y30"/>
      <c r="Z30"/>
      <c r="AA30"/>
      <c r="AB30"/>
      <c r="AC30"/>
      <c r="AD30"/>
      <c r="AE30"/>
      <c r="AF30"/>
      <c r="AG30"/>
      <c r="AH30"/>
      <c r="AI30"/>
      <c r="AJ30"/>
      <c r="AK30" s="24">
        <v>2.1444234997034073E-2</v>
      </c>
      <c r="AL30"/>
      <c r="AM30" s="261">
        <v>8.2760117948055267E-2</v>
      </c>
      <c r="AN30"/>
      <c r="AO30" s="79">
        <v>0.11031792312860489</v>
      </c>
      <c r="AP30"/>
      <c r="AQ30" s="264">
        <v>0.11360026150941849</v>
      </c>
      <c r="AR30" s="12">
        <v>3.1456442084163427E-3</v>
      </c>
      <c r="AS30"/>
      <c r="AT30"/>
      <c r="AU30"/>
      <c r="AV30" s="256">
        <v>7.0763833820819855E-2</v>
      </c>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222</v>
      </c>
      <c r="B31">
        <v>0.63870692253112793</v>
      </c>
      <c r="C31">
        <v>4.0548251126892865E-4</v>
      </c>
      <c r="D31" s="149">
        <v>3.8550969213247299E-2</v>
      </c>
      <c r="E31"/>
      <c r="F31" s="11">
        <v>5.551387439481914E-4</v>
      </c>
      <c r="G31"/>
      <c r="H31" s="244">
        <v>0.30789673328399658</v>
      </c>
      <c r="I31"/>
      <c r="J31"/>
      <c r="K31"/>
      <c r="L31"/>
      <c r="M31"/>
      <c r="N31"/>
      <c r="O31"/>
      <c r="P31"/>
      <c r="Q31"/>
      <c r="R31"/>
      <c r="S31"/>
      <c r="T31"/>
      <c r="U31"/>
      <c r="V31"/>
      <c r="W31"/>
      <c r="X31"/>
      <c r="Y31"/>
      <c r="Z31"/>
      <c r="AA31"/>
      <c r="AB31"/>
      <c r="AC31"/>
      <c r="AD31"/>
      <c r="AE31"/>
      <c r="AF31"/>
      <c r="AG31"/>
      <c r="AH31"/>
      <c r="AI31"/>
      <c r="AJ31"/>
      <c r="AK31" s="19">
        <v>1.0811658576130867E-2</v>
      </c>
      <c r="AL31"/>
      <c r="AM31" s="20">
        <v>2.8093727305531502E-2</v>
      </c>
      <c r="AN31"/>
      <c r="AO31" s="260">
        <v>9.4566911458969116E-2</v>
      </c>
      <c r="AP31" s="18">
        <v>7.5456793420016766E-3</v>
      </c>
      <c r="AQ31" s="76">
        <v>4.9772314727306366E-2</v>
      </c>
      <c r="AR31"/>
      <c r="AS31"/>
      <c r="AT31"/>
      <c r="AU31" s="75">
        <v>6.0728128999471664E-2</v>
      </c>
      <c r="AV31" s="68">
        <v>3.9780203253030777E-2</v>
      </c>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223</v>
      </c>
      <c r="B32">
        <v>0.57084381580352783</v>
      </c>
      <c r="C32">
        <v>2.9003472998738289E-2</v>
      </c>
      <c r="D32" s="229">
        <v>1.315660122781992E-2</v>
      </c>
      <c r="E32"/>
      <c r="F32"/>
      <c r="G32"/>
      <c r="H32" s="245">
        <v>0.30666205286979675</v>
      </c>
      <c r="I32"/>
      <c r="J32"/>
      <c r="K32"/>
      <c r="L32"/>
      <c r="M32"/>
      <c r="N32"/>
      <c r="O32"/>
      <c r="P32"/>
      <c r="Q32"/>
      <c r="R32"/>
      <c r="S32"/>
      <c r="T32"/>
      <c r="U32"/>
      <c r="V32"/>
      <c r="W32"/>
      <c r="X32"/>
      <c r="Y32"/>
      <c r="Z32"/>
      <c r="AA32"/>
      <c r="AB32"/>
      <c r="AC32"/>
      <c r="AD32"/>
      <c r="AE32"/>
      <c r="AF32"/>
      <c r="AG32"/>
      <c r="AH32"/>
      <c r="AI32" s="247">
        <v>5.0246614962816238E-2</v>
      </c>
      <c r="AJ32"/>
      <c r="AK32" s="144">
        <v>6.7750483751296997E-2</v>
      </c>
      <c r="AL32"/>
      <c r="AM32" s="149">
        <v>3.4279782325029373E-2</v>
      </c>
      <c r="AN32"/>
      <c r="AO32"/>
      <c r="AP32"/>
      <c r="AQ32" s="246">
        <v>4.7462228685617447E-2</v>
      </c>
      <c r="AR32"/>
      <c r="AS32"/>
      <c r="AT32"/>
      <c r="AU32"/>
      <c r="AV32" s="231">
        <v>2.2282559424638748E-2</v>
      </c>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224</v>
      </c>
      <c r="B33">
        <v>0.238925501704216</v>
      </c>
      <c r="C33">
        <v>0.2162710428237915</v>
      </c>
      <c r="D33" s="66">
        <v>9.7500886768102646E-3</v>
      </c>
      <c r="E33"/>
      <c r="F33" s="12">
        <v>7.214908255264163E-4</v>
      </c>
      <c r="G33"/>
      <c r="H33" s="70">
        <v>1.2182885780930519E-2</v>
      </c>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225</v>
      </c>
      <c r="B34">
        <v>0.34241381287574768</v>
      </c>
      <c r="C34">
        <v>0.25115552544593811</v>
      </c>
      <c r="D34" s="148">
        <v>9.804142639040947E-3</v>
      </c>
      <c r="E34"/>
      <c r="F34" s="14">
        <v>7.2549108881503344E-4</v>
      </c>
      <c r="G34"/>
      <c r="H34" s="28">
        <v>1.2250435538589954E-2</v>
      </c>
      <c r="I34"/>
      <c r="J34"/>
      <c r="K34"/>
      <c r="L34"/>
      <c r="M34"/>
      <c r="N34"/>
      <c r="O34"/>
      <c r="P34"/>
      <c r="Q34"/>
      <c r="R34"/>
      <c r="S34"/>
      <c r="T34"/>
      <c r="U34"/>
      <c r="V34"/>
      <c r="W34"/>
      <c r="X34"/>
      <c r="Y34"/>
      <c r="Z34"/>
      <c r="AA34"/>
      <c r="AB34"/>
      <c r="AC34"/>
      <c r="AD34"/>
      <c r="AE34"/>
      <c r="AF34"/>
      <c r="AG34"/>
      <c r="AH34"/>
      <c r="AI34"/>
      <c r="AJ34"/>
      <c r="AK34"/>
      <c r="AL34"/>
      <c r="AM34"/>
      <c r="AN34"/>
      <c r="AO34"/>
      <c r="AP34" s="246">
        <v>2.8441529721021652E-2</v>
      </c>
      <c r="AQ34" s="251">
        <v>4.003668949007988E-2</v>
      </c>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226</v>
      </c>
      <c r="B35">
        <v>0.54354727268218994</v>
      </c>
      <c r="C35">
        <v>0.42416951060295105</v>
      </c>
      <c r="D35" s="149">
        <v>3.3449593931436539E-2</v>
      </c>
      <c r="E35"/>
      <c r="F35" s="11">
        <v>4.0833526873029768E-4</v>
      </c>
      <c r="G35"/>
      <c r="H35" s="27">
        <v>4.1588518768548965E-2</v>
      </c>
      <c r="I35"/>
      <c r="J35"/>
      <c r="K35"/>
      <c r="L35"/>
      <c r="M35"/>
      <c r="N35"/>
      <c r="O35"/>
      <c r="P35"/>
      <c r="Q35"/>
      <c r="R35"/>
      <c r="S35"/>
      <c r="T35"/>
      <c r="U35"/>
      <c r="V35"/>
      <c r="W35"/>
      <c r="X35"/>
      <c r="Y35"/>
      <c r="Z35"/>
      <c r="AA35"/>
      <c r="AB35"/>
      <c r="AC35"/>
      <c r="AD35"/>
      <c r="AE35"/>
      <c r="AF35"/>
      <c r="AG35"/>
      <c r="AH35"/>
      <c r="AI35"/>
      <c r="AJ35"/>
      <c r="AK35" s="248">
        <v>4.3805647641420364E-2</v>
      </c>
      <c r="AL35"/>
      <c r="AM35"/>
      <c r="AN35"/>
      <c r="AO35"/>
      <c r="AP35" s="11">
        <v>1.2565220822580159E-4</v>
      </c>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227</v>
      </c>
      <c r="B36">
        <v>0.5910000205039978</v>
      </c>
      <c r="C36">
        <v>2.9550008475780487E-2</v>
      </c>
      <c r="D36" s="230">
        <v>4.3177615851163864E-2</v>
      </c>
      <c r="E36" s="145">
        <v>5.9566140174865723E-2</v>
      </c>
      <c r="F36" s="234">
        <v>0.10055945813655853</v>
      </c>
      <c r="G36" s="236">
        <v>0.292348712682724</v>
      </c>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250">
        <v>6.5798088908195496E-2</v>
      </c>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228</v>
      </c>
      <c r="B37">
        <v>0.11099240183830261</v>
      </c>
      <c r="C37">
        <v>1.2040333822369576E-2</v>
      </c>
      <c r="D37" s="229">
        <v>2.6055013295263052E-3</v>
      </c>
      <c r="E37" s="232">
        <v>3.8092225790023804E-2</v>
      </c>
      <c r="F37" s="235">
        <v>1.7872035503387451E-2</v>
      </c>
      <c r="G37"/>
      <c r="H37" s="75">
        <v>1.0356892831623554E-2</v>
      </c>
      <c r="I37"/>
      <c r="J37"/>
      <c r="K37"/>
      <c r="L37"/>
      <c r="M37"/>
      <c r="N37"/>
      <c r="O37"/>
      <c r="P37"/>
      <c r="Q37"/>
      <c r="R37"/>
      <c r="S37"/>
      <c r="T37"/>
      <c r="U37"/>
      <c r="V37" s="14">
        <v>2.6411860017105937E-4</v>
      </c>
      <c r="W37"/>
      <c r="X37"/>
      <c r="Y37"/>
      <c r="Z37"/>
      <c r="AA37"/>
      <c r="AB37"/>
      <c r="AC37"/>
      <c r="AD37"/>
      <c r="AE37"/>
      <c r="AF37"/>
      <c r="AG37"/>
      <c r="AH37"/>
      <c r="AI37"/>
      <c r="AJ37"/>
      <c r="AK37"/>
      <c r="AL37"/>
      <c r="AM37" s="70">
        <v>5.6983283720910549E-3</v>
      </c>
      <c r="AN37"/>
      <c r="AO37" s="13">
        <v>4.0660644881427288E-3</v>
      </c>
      <c r="AP37" s="16">
        <v>1.7049916787073016E-3</v>
      </c>
      <c r="AQ37" s="148">
        <v>3.3496350515633821E-3</v>
      </c>
      <c r="AR37" s="254">
        <v>8.2620615139603615E-3</v>
      </c>
      <c r="AS37"/>
      <c r="AT37" s="26">
        <v>2.7635516598820686E-3</v>
      </c>
      <c r="AU37" s="28">
        <v>3.9166631177067757E-3</v>
      </c>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229</v>
      </c>
      <c r="B38">
        <v>0.31330880522727966</v>
      </c>
      <c r="C38">
        <v>3.16925048828125E-2</v>
      </c>
      <c r="D38"/>
      <c r="E38"/>
      <c r="F38"/>
      <c r="G38" s="237">
        <v>0.28161630034446716</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230</v>
      </c>
      <c r="B39">
        <v>7.4520573019981384E-2</v>
      </c>
      <c r="C39">
        <v>7.4520573019981384E-2</v>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231</v>
      </c>
      <c r="B40">
        <v>0.20000000298023224</v>
      </c>
      <c r="C40">
        <v>0.20000000298023224</v>
      </c>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232</v>
      </c>
      <c r="B41"/>
      <c r="C41">
        <v>0.44677230715751648</v>
      </c>
      <c r="D41"/>
      <c r="E41"/>
      <c r="F41"/>
      <c r="G41"/>
      <c r="H41"/>
      <c r="I41"/>
      <c r="J41"/>
      <c r="K41"/>
      <c r="L41"/>
      <c r="M41"/>
      <c r="N41"/>
      <c r="O41"/>
      <c r="P41"/>
      <c r="Q41"/>
      <c r="R41" s="9">
        <v>0.10023161023855209</v>
      </c>
      <c r="S41"/>
      <c r="T41"/>
      <c r="U41" s="9">
        <v>1.0347136296331882E-2</v>
      </c>
      <c r="V41" s="9">
        <v>3.116255160421133E-3</v>
      </c>
      <c r="W41"/>
      <c r="X41"/>
      <c r="Y41" s="9">
        <v>1.0050632990896702E-3</v>
      </c>
      <c r="Z41" s="9">
        <v>9.5761643024161458E-4</v>
      </c>
      <c r="AA41" s="9">
        <v>2.7845747536048293E-4</v>
      </c>
      <c r="AB41"/>
      <c r="AC41"/>
      <c r="AD41"/>
      <c r="AE41"/>
      <c r="AF41" s="9">
        <v>1.685631275177002E-2</v>
      </c>
      <c r="AG41"/>
      <c r="AH41" s="9">
        <v>1.4376930193975568E-3</v>
      </c>
      <c r="AI41" s="9">
        <v>4.2124974424950778E-4</v>
      </c>
      <c r="AJ41"/>
      <c r="AK41" s="9">
        <v>2.8876026044599712E-4</v>
      </c>
      <c r="AL41" s="9">
        <v>1.6882381169125438E-3</v>
      </c>
      <c r="AM41" s="9">
        <v>1.7684989143162966E-3</v>
      </c>
      <c r="AN41" s="9">
        <v>4.3982951319776475E-4</v>
      </c>
      <c r="AO41"/>
      <c r="AP41"/>
      <c r="AQ41"/>
      <c r="AR41"/>
      <c r="AS41"/>
      <c r="AT41"/>
      <c r="AU41"/>
      <c r="AV41" s="9">
        <v>3.1351648271083832E-2</v>
      </c>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233</v>
      </c>
      <c r="B42"/>
      <c r="C42">
        <v>0.27958711981773376</v>
      </c>
      <c r="D42"/>
      <c r="E42"/>
      <c r="F42"/>
      <c r="G42"/>
      <c r="H42"/>
      <c r="I42"/>
      <c r="J42"/>
      <c r="K42"/>
      <c r="L42"/>
      <c r="M42" s="9">
        <v>129.60711669921875</v>
      </c>
      <c r="N42"/>
      <c r="O42" s="9">
        <v>5.5367417335510254</v>
      </c>
      <c r="P42" s="9">
        <v>27.344474792480469</v>
      </c>
      <c r="Q42" s="9">
        <v>41.805118560791016</v>
      </c>
      <c r="R42" s="9">
        <v>107.24783325195312</v>
      </c>
      <c r="S42" s="9">
        <v>4.5795888900756836</v>
      </c>
      <c r="T42" s="9">
        <v>8.5934925079345703</v>
      </c>
      <c r="U42" s="9">
        <v>1.8615443706512451</v>
      </c>
      <c r="V42"/>
      <c r="W42"/>
      <c r="X42"/>
      <c r="Y42"/>
      <c r="Z42"/>
      <c r="AA42"/>
      <c r="AB42"/>
      <c r="AC42"/>
      <c r="AD42"/>
      <c r="AE42"/>
      <c r="AF42"/>
      <c r="AG42"/>
      <c r="AH42"/>
      <c r="AI42"/>
      <c r="AJ42" s="9">
        <v>8.8800385594367981E-2</v>
      </c>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234</v>
      </c>
      <c r="B43"/>
      <c r="C43">
        <v>0</v>
      </c>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7.83203125" bestFit="1" customWidth="1"/>
    <col min="5" max="5" width="3.33203125" bestFit="1" customWidth="1"/>
    <col min="6" max="6" width="4.83203125" bestFit="1" customWidth="1"/>
    <col min="7" max="7" width="3.33203125" bestFit="1" customWidth="1"/>
    <col min="8" max="8" width="27.832031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201" t="s">
        <v>193</v>
      </c>
      <c r="E5">
        <v>4</v>
      </c>
      <c r="F5">
        <v>2.1</v>
      </c>
      <c r="G5">
        <v>4</v>
      </c>
      <c r="H5" s="202" t="s">
        <v>193</v>
      </c>
      <c r="J5" s="57"/>
      <c r="K5" s="58"/>
    </row>
    <row r="6" spans="1:12" ht="14" thickBot="1" x14ac:dyDescent="0.2">
      <c r="A6" s="41" t="s">
        <v>121</v>
      </c>
      <c r="D6" s="201" t="s">
        <v>194</v>
      </c>
      <c r="E6">
        <v>5</v>
      </c>
      <c r="F6">
        <v>2.2200000000000002</v>
      </c>
      <c r="G6">
        <v>5</v>
      </c>
      <c r="H6" s="202" t="s">
        <v>194</v>
      </c>
      <c r="J6" s="57"/>
      <c r="K6" s="58"/>
    </row>
    <row r="7" spans="1:12" x14ac:dyDescent="0.15">
      <c r="A7" s="36" t="s">
        <v>126</v>
      </c>
      <c r="B7" s="43">
        <v>1</v>
      </c>
      <c r="C7" s="38"/>
      <c r="D7" s="201" t="s">
        <v>195</v>
      </c>
      <c r="E7">
        <v>6</v>
      </c>
      <c r="F7">
        <v>2.2200000000000002</v>
      </c>
      <c r="G7">
        <v>6</v>
      </c>
      <c r="H7" s="202" t="s">
        <v>195</v>
      </c>
      <c r="J7" s="57"/>
      <c r="K7" s="58"/>
    </row>
    <row r="8" spans="1:12" x14ac:dyDescent="0.15">
      <c r="A8" s="36" t="s">
        <v>38</v>
      </c>
      <c r="B8" s="44">
        <v>1</v>
      </c>
      <c r="C8" s="38"/>
      <c r="D8" s="201" t="s">
        <v>196</v>
      </c>
      <c r="E8">
        <v>7</v>
      </c>
      <c r="F8">
        <v>3.11</v>
      </c>
      <c r="G8">
        <v>7</v>
      </c>
      <c r="H8" s="202" t="s">
        <v>196</v>
      </c>
      <c r="J8" s="57"/>
      <c r="K8" s="58"/>
    </row>
    <row r="9" spans="1:12" x14ac:dyDescent="0.15">
      <c r="A9" s="36" t="s">
        <v>40</v>
      </c>
      <c r="B9" s="44">
        <v>1.1000000000000001</v>
      </c>
      <c r="C9" s="38"/>
      <c r="D9" s="201" t="s">
        <v>197</v>
      </c>
      <c r="E9">
        <v>8</v>
      </c>
      <c r="F9">
        <v>3.11</v>
      </c>
      <c r="G9">
        <v>8</v>
      </c>
      <c r="H9" s="202" t="s">
        <v>197</v>
      </c>
      <c r="J9" s="57"/>
      <c r="K9" s="58"/>
    </row>
    <row r="10" spans="1:12" x14ac:dyDescent="0.15">
      <c r="A10" s="36" t="s">
        <v>41</v>
      </c>
      <c r="B10" s="44">
        <v>1.2</v>
      </c>
      <c r="C10" s="38"/>
      <c r="D10" s="201" t="s">
        <v>198</v>
      </c>
      <c r="E10">
        <v>9</v>
      </c>
      <c r="F10">
        <v>3.21</v>
      </c>
      <c r="G10">
        <v>9</v>
      </c>
      <c r="H10" s="202" t="s">
        <v>198</v>
      </c>
      <c r="J10" s="57"/>
      <c r="K10" s="58"/>
    </row>
    <row r="11" spans="1:12" ht="12" customHeight="1" x14ac:dyDescent="0.15">
      <c r="A11" s="42" t="s">
        <v>127</v>
      </c>
      <c r="B11" s="44">
        <v>2</v>
      </c>
      <c r="C11" s="38"/>
      <c r="D11" s="201" t="s">
        <v>199</v>
      </c>
      <c r="E11">
        <v>10</v>
      </c>
      <c r="F11">
        <v>3.21</v>
      </c>
      <c r="G11">
        <v>10</v>
      </c>
      <c r="H11" s="202" t="s">
        <v>199</v>
      </c>
      <c r="J11" s="57"/>
      <c r="K11" s="58"/>
    </row>
    <row r="12" spans="1:12" x14ac:dyDescent="0.15">
      <c r="A12" s="36" t="s">
        <v>42</v>
      </c>
      <c r="B12" s="44">
        <v>2.1</v>
      </c>
      <c r="C12" s="38"/>
      <c r="D12" s="201" t="s">
        <v>200</v>
      </c>
      <c r="E12">
        <v>11</v>
      </c>
      <c r="F12">
        <v>3.21</v>
      </c>
      <c r="G12">
        <v>11</v>
      </c>
      <c r="H12" s="202" t="s">
        <v>200</v>
      </c>
      <c r="J12" s="57"/>
      <c r="K12" s="58"/>
    </row>
    <row r="13" spans="1:12" x14ac:dyDescent="0.15">
      <c r="A13" s="36" t="s">
        <v>43</v>
      </c>
      <c r="B13" s="44">
        <v>2.2000000000000002</v>
      </c>
      <c r="C13" s="38"/>
      <c r="D13" s="201" t="s">
        <v>201</v>
      </c>
      <c r="E13">
        <v>12</v>
      </c>
      <c r="F13">
        <v>3.21</v>
      </c>
      <c r="G13">
        <v>12</v>
      </c>
      <c r="H13" s="202" t="s">
        <v>201</v>
      </c>
      <c r="J13" s="57"/>
      <c r="K13" s="58"/>
    </row>
    <row r="14" spans="1:12" x14ac:dyDescent="0.15">
      <c r="A14" s="36" t="s">
        <v>67</v>
      </c>
      <c r="B14" s="44">
        <v>2.2999999999999998</v>
      </c>
      <c r="C14" s="38"/>
      <c r="D14" s="201" t="s">
        <v>202</v>
      </c>
      <c r="E14">
        <v>13</v>
      </c>
      <c r="F14">
        <v>3.21</v>
      </c>
      <c r="G14">
        <v>13</v>
      </c>
      <c r="H14" s="202" t="s">
        <v>202</v>
      </c>
      <c r="J14" s="57"/>
      <c r="K14" s="58"/>
    </row>
    <row r="15" spans="1:12" x14ac:dyDescent="0.15">
      <c r="A15" s="42" t="s">
        <v>128</v>
      </c>
      <c r="B15" s="44">
        <v>3</v>
      </c>
      <c r="C15" s="38"/>
      <c r="D15" s="201" t="s">
        <v>203</v>
      </c>
      <c r="E15">
        <v>14</v>
      </c>
      <c r="F15">
        <v>3.21</v>
      </c>
      <c r="G15">
        <v>14</v>
      </c>
      <c r="H15" s="202" t="s">
        <v>203</v>
      </c>
      <c r="J15" s="57"/>
      <c r="K15" s="58"/>
    </row>
    <row r="16" spans="1:12" x14ac:dyDescent="0.15">
      <c r="A16" s="36" t="s">
        <v>62</v>
      </c>
      <c r="B16" s="44">
        <v>3.11</v>
      </c>
      <c r="C16" s="38"/>
      <c r="D16" s="201" t="s">
        <v>204</v>
      </c>
      <c r="E16">
        <v>15</v>
      </c>
      <c r="F16">
        <v>3.21</v>
      </c>
      <c r="G16">
        <v>15</v>
      </c>
      <c r="H16" s="202" t="s">
        <v>204</v>
      </c>
      <c r="J16" s="57"/>
      <c r="K16" s="58"/>
    </row>
    <row r="17" spans="1:12" x14ac:dyDescent="0.15">
      <c r="A17" s="36" t="s">
        <v>61</v>
      </c>
      <c r="B17" s="44">
        <v>3.12</v>
      </c>
      <c r="C17" s="38"/>
      <c r="D17" s="201" t="s">
        <v>205</v>
      </c>
      <c r="E17">
        <v>16</v>
      </c>
      <c r="F17">
        <v>3.23</v>
      </c>
      <c r="G17">
        <v>16</v>
      </c>
      <c r="H17" s="202" t="s">
        <v>205</v>
      </c>
      <c r="J17" s="57"/>
      <c r="K17" s="58"/>
    </row>
    <row r="18" spans="1:12" x14ac:dyDescent="0.15">
      <c r="A18" s="36" t="s">
        <v>68</v>
      </c>
      <c r="B18" s="44">
        <v>3.13</v>
      </c>
      <c r="C18" s="38"/>
      <c r="D18" s="201" t="s">
        <v>206</v>
      </c>
      <c r="E18">
        <v>17</v>
      </c>
      <c r="F18">
        <v>3.21</v>
      </c>
      <c r="G18">
        <v>17</v>
      </c>
      <c r="H18" s="202" t="s">
        <v>206</v>
      </c>
      <c r="J18" s="57"/>
      <c r="K18" s="58"/>
    </row>
    <row r="19" spans="1:12" x14ac:dyDescent="0.15">
      <c r="A19" s="36" t="s">
        <v>66</v>
      </c>
      <c r="B19" s="44">
        <v>3.21</v>
      </c>
      <c r="C19" s="38"/>
      <c r="D19" s="201" t="s">
        <v>207</v>
      </c>
      <c r="E19">
        <v>18</v>
      </c>
      <c r="F19">
        <v>3.21</v>
      </c>
      <c r="G19">
        <v>18</v>
      </c>
      <c r="H19" s="202" t="s">
        <v>207</v>
      </c>
      <c r="J19" s="57"/>
      <c r="K19" s="58"/>
    </row>
    <row r="20" spans="1:12" x14ac:dyDescent="0.15">
      <c r="A20" s="36" t="s">
        <v>63</v>
      </c>
      <c r="B20" s="44">
        <v>3.22</v>
      </c>
      <c r="C20" s="38"/>
      <c r="D20" s="201" t="s">
        <v>208</v>
      </c>
      <c r="E20">
        <v>19</v>
      </c>
      <c r="F20">
        <v>3.02</v>
      </c>
      <c r="G20">
        <v>19</v>
      </c>
      <c r="H20" s="202" t="s">
        <v>208</v>
      </c>
      <c r="J20" s="57"/>
      <c r="K20" s="58"/>
    </row>
    <row r="21" spans="1:12" ht="14" thickBot="1" x14ac:dyDescent="0.2">
      <c r="A21" s="36" t="s">
        <v>69</v>
      </c>
      <c r="B21" s="44">
        <v>3.23</v>
      </c>
      <c r="C21" s="38"/>
      <c r="D21" s="201" t="s">
        <v>209</v>
      </c>
      <c r="E21">
        <v>20</v>
      </c>
      <c r="F21">
        <v>3.02</v>
      </c>
      <c r="G21">
        <v>20</v>
      </c>
      <c r="H21" s="202" t="s">
        <v>209</v>
      </c>
      <c r="J21" s="59"/>
      <c r="K21" s="60"/>
      <c r="L21" s="62" t="s">
        <v>152</v>
      </c>
    </row>
    <row r="22" spans="1:12" x14ac:dyDescent="0.15">
      <c r="A22" s="36" t="s">
        <v>64</v>
      </c>
      <c r="B22" s="44">
        <v>8</v>
      </c>
      <c r="C22" s="38"/>
      <c r="D22" s="201" t="s">
        <v>210</v>
      </c>
      <c r="E22">
        <v>21</v>
      </c>
      <c r="F22">
        <v>3.02</v>
      </c>
      <c r="G22">
        <v>21</v>
      </c>
      <c r="H22" s="202" t="s">
        <v>210</v>
      </c>
    </row>
    <row r="23" spans="1:12" x14ac:dyDescent="0.15">
      <c r="A23" s="36" t="s">
        <v>129</v>
      </c>
      <c r="B23" s="44">
        <v>4</v>
      </c>
      <c r="C23" s="38"/>
      <c r="D23" s="201" t="s">
        <v>211</v>
      </c>
      <c r="E23">
        <v>22</v>
      </c>
      <c r="F23">
        <v>3.14</v>
      </c>
      <c r="G23">
        <v>22</v>
      </c>
      <c r="H23" s="202" t="s">
        <v>211</v>
      </c>
    </row>
    <row r="24" spans="1:12" x14ac:dyDescent="0.15">
      <c r="A24" s="36" t="s">
        <v>122</v>
      </c>
      <c r="B24" s="44">
        <v>4.0999999999999996</v>
      </c>
      <c r="C24" s="38"/>
      <c r="D24" s="201" t="s">
        <v>212</v>
      </c>
      <c r="E24">
        <v>23</v>
      </c>
      <c r="F24">
        <v>3.14</v>
      </c>
      <c r="G24">
        <v>23</v>
      </c>
      <c r="H24" s="202" t="s">
        <v>212</v>
      </c>
    </row>
    <row r="25" spans="1:12" x14ac:dyDescent="0.15">
      <c r="A25" s="36" t="s">
        <v>70</v>
      </c>
      <c r="B25" s="44">
        <v>4.2</v>
      </c>
      <c r="C25" s="38"/>
      <c r="D25" s="201" t="s">
        <v>213</v>
      </c>
      <c r="E25">
        <v>24</v>
      </c>
      <c r="F25">
        <v>3.14</v>
      </c>
      <c r="G25">
        <v>24</v>
      </c>
      <c r="H25" s="202" t="s">
        <v>213</v>
      </c>
    </row>
    <row r="26" spans="1:12" x14ac:dyDescent="0.15">
      <c r="A26" s="36" t="s">
        <v>123</v>
      </c>
      <c r="B26" s="44">
        <v>4.3</v>
      </c>
      <c r="C26" s="38"/>
      <c r="D26" s="201" t="s">
        <v>214</v>
      </c>
      <c r="E26">
        <v>25</v>
      </c>
      <c r="F26">
        <v>3.14</v>
      </c>
      <c r="G26">
        <v>25</v>
      </c>
      <c r="H26" s="202" t="s">
        <v>214</v>
      </c>
    </row>
    <row r="27" spans="1:12" x14ac:dyDescent="0.15">
      <c r="A27" s="36" t="s">
        <v>125</v>
      </c>
      <c r="B27" s="44">
        <v>6.1</v>
      </c>
      <c r="D27" s="201" t="s">
        <v>215</v>
      </c>
      <c r="E27">
        <v>26</v>
      </c>
      <c r="F27">
        <v>3.24</v>
      </c>
      <c r="G27">
        <v>26</v>
      </c>
      <c r="H27" s="202" t="s">
        <v>215</v>
      </c>
    </row>
    <row r="28" spans="1:12" x14ac:dyDescent="0.15">
      <c r="A28" s="36" t="s">
        <v>124</v>
      </c>
      <c r="B28" s="44">
        <v>6.2</v>
      </c>
      <c r="D28" s="201" t="s">
        <v>216</v>
      </c>
      <c r="E28">
        <v>27</v>
      </c>
      <c r="F28">
        <v>3.24</v>
      </c>
      <c r="G28">
        <v>27</v>
      </c>
      <c r="H28" s="202" t="s">
        <v>216</v>
      </c>
    </row>
    <row r="29" spans="1:12" x14ac:dyDescent="0.15">
      <c r="A29" s="36" t="s">
        <v>44</v>
      </c>
      <c r="B29" s="44">
        <v>5</v>
      </c>
      <c r="D29" s="201" t="s">
        <v>217</v>
      </c>
      <c r="E29">
        <v>28</v>
      </c>
      <c r="F29">
        <v>3.2</v>
      </c>
      <c r="G29">
        <v>28</v>
      </c>
      <c r="H29" s="202" t="s">
        <v>217</v>
      </c>
    </row>
    <row r="30" spans="1:12" x14ac:dyDescent="0.15">
      <c r="A30" s="36" t="s">
        <v>73</v>
      </c>
      <c r="B30" s="44">
        <v>7</v>
      </c>
      <c r="D30" s="201" t="s">
        <v>218</v>
      </c>
      <c r="E30">
        <v>29</v>
      </c>
      <c r="F30">
        <v>3.2</v>
      </c>
      <c r="G30">
        <v>29</v>
      </c>
      <c r="H30" s="202" t="s">
        <v>218</v>
      </c>
    </row>
    <row r="31" spans="1:12" x14ac:dyDescent="0.15">
      <c r="A31" s="36" t="s">
        <v>169</v>
      </c>
      <c r="B31" s="44">
        <v>3.14</v>
      </c>
      <c r="D31" s="201" t="s">
        <v>219</v>
      </c>
      <c r="E31">
        <v>30</v>
      </c>
      <c r="F31">
        <v>3.14</v>
      </c>
      <c r="G31">
        <v>30</v>
      </c>
      <c r="H31" s="202" t="s">
        <v>219</v>
      </c>
    </row>
    <row r="32" spans="1:12" ht="12" customHeight="1" thickBot="1" x14ac:dyDescent="0.2">
      <c r="A32" s="42" t="s">
        <v>170</v>
      </c>
      <c r="B32" s="45">
        <v>9</v>
      </c>
      <c r="D32" s="201" t="s">
        <v>220</v>
      </c>
      <c r="E32">
        <v>31</v>
      </c>
      <c r="F32">
        <v>3.04</v>
      </c>
      <c r="G32">
        <v>31</v>
      </c>
      <c r="H32" s="202" t="s">
        <v>220</v>
      </c>
    </row>
    <row r="33" spans="4:8" customFormat="1" ht="12" customHeight="1" x14ac:dyDescent="0.15">
      <c r="D33" s="201" t="s">
        <v>221</v>
      </c>
      <c r="E33">
        <v>32</v>
      </c>
      <c r="F33">
        <v>3.24</v>
      </c>
      <c r="G33">
        <v>32</v>
      </c>
      <c r="H33" s="202" t="s">
        <v>221</v>
      </c>
    </row>
    <row r="34" spans="4:8" customFormat="1" ht="12" customHeight="1" x14ac:dyDescent="0.15">
      <c r="D34" s="201" t="s">
        <v>222</v>
      </c>
      <c r="E34">
        <v>33</v>
      </c>
      <c r="F34">
        <v>3.04</v>
      </c>
      <c r="G34">
        <v>33</v>
      </c>
      <c r="H34" s="202" t="s">
        <v>222</v>
      </c>
    </row>
    <row r="35" spans="4:8" customFormat="1" x14ac:dyDescent="0.15">
      <c r="D35" s="201" t="s">
        <v>223</v>
      </c>
      <c r="E35">
        <v>34</v>
      </c>
      <c r="F35">
        <v>3.04</v>
      </c>
      <c r="G35">
        <v>34</v>
      </c>
      <c r="H35" s="202" t="s">
        <v>223</v>
      </c>
    </row>
    <row r="36" spans="4:8" customFormat="1" x14ac:dyDescent="0.15">
      <c r="D36" s="201" t="s">
        <v>224</v>
      </c>
      <c r="E36">
        <v>35</v>
      </c>
      <c r="F36">
        <v>3.24</v>
      </c>
      <c r="G36">
        <v>35</v>
      </c>
      <c r="H36" s="202" t="s">
        <v>224</v>
      </c>
    </row>
    <row r="37" spans="4:8" customFormat="1" ht="12" customHeight="1" x14ac:dyDescent="0.15">
      <c r="D37" s="201" t="s">
        <v>225</v>
      </c>
      <c r="E37">
        <v>36</v>
      </c>
      <c r="F37">
        <v>3.24</v>
      </c>
      <c r="G37">
        <v>36</v>
      </c>
      <c r="H37" s="202" t="s">
        <v>225</v>
      </c>
    </row>
    <row r="38" spans="4:8" customFormat="1" x14ac:dyDescent="0.15">
      <c r="D38" s="201" t="s">
        <v>226</v>
      </c>
      <c r="E38">
        <v>37</v>
      </c>
      <c r="F38">
        <v>3.14</v>
      </c>
      <c r="G38">
        <v>37</v>
      </c>
      <c r="H38" s="202" t="s">
        <v>226</v>
      </c>
    </row>
    <row r="39" spans="4:8" customFormat="1" x14ac:dyDescent="0.15">
      <c r="D39" s="201" t="s">
        <v>227</v>
      </c>
      <c r="E39">
        <v>38</v>
      </c>
      <c r="F39">
        <v>3.14</v>
      </c>
      <c r="G39">
        <v>38</v>
      </c>
      <c r="H39" s="202" t="s">
        <v>227</v>
      </c>
    </row>
    <row r="40" spans="4:8" customFormat="1" x14ac:dyDescent="0.15">
      <c r="D40" s="201" t="s">
        <v>228</v>
      </c>
      <c r="E40">
        <v>39</v>
      </c>
      <c r="F40">
        <v>3.14</v>
      </c>
      <c r="G40">
        <v>39</v>
      </c>
      <c r="H40" s="202" t="s">
        <v>228</v>
      </c>
    </row>
    <row r="41" spans="4:8" customFormat="1" x14ac:dyDescent="0.15">
      <c r="D41" s="201" t="s">
        <v>229</v>
      </c>
      <c r="E41">
        <v>40</v>
      </c>
      <c r="F41">
        <v>3.14</v>
      </c>
      <c r="G41">
        <v>40</v>
      </c>
      <c r="H41" s="202" t="s">
        <v>229</v>
      </c>
    </row>
    <row r="42" spans="4:8" customFormat="1" x14ac:dyDescent="0.15">
      <c r="D42" s="201" t="s">
        <v>230</v>
      </c>
      <c r="E42">
        <v>41</v>
      </c>
      <c r="F42">
        <v>3.16</v>
      </c>
      <c r="G42">
        <v>41</v>
      </c>
      <c r="H42" s="202" t="s">
        <v>230</v>
      </c>
    </row>
    <row r="43" spans="4:8" customFormat="1" x14ac:dyDescent="0.15">
      <c r="D43" s="201" t="s">
        <v>231</v>
      </c>
      <c r="E43">
        <v>42</v>
      </c>
      <c r="F43">
        <v>3.16</v>
      </c>
      <c r="G43">
        <v>42</v>
      </c>
      <c r="H43" s="202" t="s">
        <v>231</v>
      </c>
    </row>
    <row r="44" spans="4:8" customFormat="1" x14ac:dyDescent="0.15">
      <c r="D44" s="201" t="s">
        <v>232</v>
      </c>
      <c r="E44">
        <v>43</v>
      </c>
      <c r="F44">
        <v>4.22</v>
      </c>
      <c r="G44">
        <v>43</v>
      </c>
      <c r="H44" s="202" t="s">
        <v>232</v>
      </c>
    </row>
    <row r="45" spans="4:8" customFormat="1" x14ac:dyDescent="0.15">
      <c r="D45" s="201" t="s">
        <v>233</v>
      </c>
      <c r="E45">
        <v>44</v>
      </c>
      <c r="F45">
        <v>4.0999999999999996</v>
      </c>
      <c r="G45">
        <v>44</v>
      </c>
      <c r="H45" s="202" t="s">
        <v>233</v>
      </c>
    </row>
    <row r="46" spans="4:8" customFormat="1" x14ac:dyDescent="0.15">
      <c r="D46" s="201" t="s">
        <v>234</v>
      </c>
      <c r="E46">
        <v>45</v>
      </c>
      <c r="F46">
        <v>4.3</v>
      </c>
      <c r="G46">
        <v>45</v>
      </c>
      <c r="H46" s="202" t="s">
        <v>234</v>
      </c>
    </row>
    <row r="47" spans="4:8" customFormat="1" x14ac:dyDescent="0.15">
      <c r="D47" s="201" t="s">
        <v>235</v>
      </c>
      <c r="E47">
        <v>46</v>
      </c>
      <c r="F47">
        <v>5</v>
      </c>
      <c r="G47">
        <v>46</v>
      </c>
      <c r="H47" s="202" t="s">
        <v>235</v>
      </c>
    </row>
    <row r="48" spans="4:8" customFormat="1" x14ac:dyDescent="0.15">
      <c r="D48" s="201" t="s">
        <v>236</v>
      </c>
      <c r="E48">
        <v>47</v>
      </c>
      <c r="F48">
        <v>5</v>
      </c>
      <c r="G48">
        <v>47</v>
      </c>
      <c r="H48" s="202" t="s">
        <v>236</v>
      </c>
    </row>
    <row r="49" spans="4:8" customFormat="1" x14ac:dyDescent="0.15">
      <c r="D49" s="201" t="s">
        <v>237</v>
      </c>
      <c r="E49">
        <v>48</v>
      </c>
      <c r="F49">
        <v>5</v>
      </c>
      <c r="G49">
        <v>48</v>
      </c>
      <c r="H49" s="202" t="s">
        <v>237</v>
      </c>
    </row>
    <row r="50" spans="4:8" customFormat="1" ht="12" customHeight="1" x14ac:dyDescent="0.15">
      <c r="D50" s="201" t="s">
        <v>238</v>
      </c>
      <c r="E50">
        <v>49</v>
      </c>
      <c r="F50">
        <v>5</v>
      </c>
      <c r="G50">
        <v>49</v>
      </c>
      <c r="H50" s="202" t="s">
        <v>238</v>
      </c>
    </row>
    <row r="51" spans="4:8" customFormat="1" x14ac:dyDescent="0.15">
      <c r="D51" s="201" t="s">
        <v>239</v>
      </c>
      <c r="E51">
        <v>50</v>
      </c>
      <c r="F51">
        <v>5</v>
      </c>
      <c r="G51">
        <v>50</v>
      </c>
      <c r="H51" s="202" t="s">
        <v>239</v>
      </c>
    </row>
    <row r="52" spans="4:8" customFormat="1" ht="12" customHeight="1" x14ac:dyDescent="0.15">
      <c r="D52" s="201" t="s">
        <v>240</v>
      </c>
      <c r="E52">
        <v>51</v>
      </c>
      <c r="F52">
        <v>5</v>
      </c>
      <c r="G52">
        <v>51</v>
      </c>
      <c r="H52" s="202" t="s">
        <v>240</v>
      </c>
    </row>
    <row r="53" spans="4:8" customFormat="1" x14ac:dyDescent="0.15">
      <c r="D53" s="201" t="s">
        <v>138</v>
      </c>
      <c r="E53">
        <v>52</v>
      </c>
      <c r="F53">
        <v>6.1</v>
      </c>
      <c r="G53">
        <v>52</v>
      </c>
      <c r="H53" s="202" t="s">
        <v>138</v>
      </c>
    </row>
    <row r="54" spans="4:8" customFormat="1" ht="12" customHeight="1" x14ac:dyDescent="0.15">
      <c r="D54" s="201" t="s">
        <v>45</v>
      </c>
      <c r="E54">
        <v>53</v>
      </c>
      <c r="F54">
        <v>6.2</v>
      </c>
      <c r="G54">
        <v>53</v>
      </c>
      <c r="H54" s="202" t="s">
        <v>45</v>
      </c>
    </row>
    <row r="55" spans="4:8" customFormat="1" ht="12" customHeight="1" x14ac:dyDescent="0.15"/>
    <row r="56" spans="4:8" customFormat="1" x14ac:dyDescent="0.15"/>
    <row r="57" spans="4:8" customFormat="1" x14ac:dyDescent="0.15"/>
    <row r="58" spans="4:8" customFormat="1" x14ac:dyDescent="0.15"/>
    <row r="59" spans="4:8" customFormat="1" x14ac:dyDescent="0.15"/>
    <row r="60" spans="4:8" customFormat="1" x14ac:dyDescent="0.15"/>
    <row r="61" spans="4:8" customFormat="1" x14ac:dyDescent="0.15"/>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abSelected="1" workbookViewId="0">
      <pane ySplit="2" topLeftCell="A3" activePane="bottomLeft" state="frozen"/>
      <selection pane="bottomLeft" activeCell="U7" sqref="U7"/>
    </sheetView>
  </sheetViews>
  <sheetFormatPr baseColWidth="10" defaultColWidth="11.5" defaultRowHeight="15" customHeight="1" x14ac:dyDescent="0.15"/>
  <cols>
    <col min="1" max="1" width="13.1640625" style="86" bestFit="1" customWidth="1"/>
    <col min="2" max="2" width="13.83203125" style="85" customWidth="1"/>
    <col min="3" max="3" width="13.1640625" style="85" customWidth="1"/>
    <col min="4" max="4" width="11.83203125" style="85" customWidth="1"/>
    <col min="5" max="5" width="13.83203125" style="85" customWidth="1"/>
    <col min="6" max="6" width="27.83203125" style="85" bestFit="1" customWidth="1"/>
    <col min="7" max="9" width="2.33203125" style="85" customWidth="1"/>
    <col min="10" max="10" width="2.33203125" style="85" bestFit="1" customWidth="1"/>
    <col min="11" max="15" width="2.33203125" style="85" customWidth="1"/>
    <col min="16" max="16" width="2.33203125" style="73" customWidth="1"/>
    <col min="17" max="17" width="2.33203125" style="85" customWidth="1"/>
    <col min="18" max="18" width="2.33203125" style="74" customWidth="1"/>
    <col min="19" max="16384" width="11.5" style="85"/>
  </cols>
  <sheetData>
    <row r="1" spans="1:23" ht="15" customHeight="1" thickBot="1" x14ac:dyDescent="0.2">
      <c r="F1" s="1"/>
      <c r="G1" s="71" t="s">
        <v>46</v>
      </c>
      <c r="H1" s="71" t="s">
        <v>47</v>
      </c>
      <c r="I1" s="71" t="s">
        <v>120</v>
      </c>
      <c r="J1" s="71" t="s">
        <v>132</v>
      </c>
      <c r="K1" s="87" t="s">
        <v>48</v>
      </c>
      <c r="L1" s="74"/>
      <c r="M1" s="87" t="s">
        <v>119</v>
      </c>
      <c r="N1" s="74"/>
      <c r="O1" s="87" t="s">
        <v>49</v>
      </c>
      <c r="P1" s="77"/>
      <c r="Q1" s="87" t="s">
        <v>50</v>
      </c>
      <c r="R1" s="71" t="s">
        <v>154</v>
      </c>
    </row>
    <row r="2" spans="1:23" ht="15" customHeight="1" x14ac:dyDescent="0.15">
      <c r="A2" s="87" t="s">
        <v>51</v>
      </c>
      <c r="B2" s="88">
        <v>0.5</v>
      </c>
      <c r="C2" s="86" t="s">
        <v>52</v>
      </c>
      <c r="D2" s="89"/>
      <c r="F2" s="1"/>
      <c r="G2" s="90"/>
      <c r="H2" s="90"/>
      <c r="I2" s="90" t="s">
        <v>133</v>
      </c>
      <c r="J2" s="90" t="s">
        <v>133</v>
      </c>
      <c r="K2" s="90" t="s">
        <v>52</v>
      </c>
      <c r="L2" s="90" t="s">
        <v>53</v>
      </c>
      <c r="M2" s="90" t="s">
        <v>52</v>
      </c>
      <c r="N2" s="90" t="s">
        <v>53</v>
      </c>
      <c r="O2" s="90" t="s">
        <v>52</v>
      </c>
      <c r="P2" s="91" t="s">
        <v>53</v>
      </c>
      <c r="Q2" s="90"/>
      <c r="R2" s="92" t="s">
        <v>155</v>
      </c>
    </row>
    <row r="3" spans="1:23" ht="15" customHeight="1" thickBot="1" x14ac:dyDescent="0.2">
      <c r="A3" s="87" t="s">
        <v>54</v>
      </c>
      <c r="B3" s="93">
        <v>0.5</v>
      </c>
      <c r="C3" s="86" t="s">
        <v>53</v>
      </c>
      <c r="D3" s="89"/>
      <c r="F3" t="s">
        <v>38</v>
      </c>
      <c r="G3">
        <v>0</v>
      </c>
      <c r="H3">
        <v>0</v>
      </c>
      <c r="I3">
        <v>0</v>
      </c>
      <c r="J3">
        <v>0</v>
      </c>
      <c r="K3">
        <v>0</v>
      </c>
      <c r="L3">
        <v>0</v>
      </c>
      <c r="M3">
        <v>0</v>
      </c>
      <c r="N3">
        <v>0</v>
      </c>
      <c r="O3">
        <v>0</v>
      </c>
      <c r="P3">
        <v>0</v>
      </c>
      <c r="Q3" s="142">
        <v>0</v>
      </c>
      <c r="R3" s="38">
        <v>0</v>
      </c>
    </row>
    <row r="4" spans="1:23" ht="15" customHeight="1" thickBot="1" x14ac:dyDescent="0.2">
      <c r="F4" t="s">
        <v>40</v>
      </c>
      <c r="G4">
        <v>0</v>
      </c>
      <c r="H4">
        <v>0</v>
      </c>
      <c r="I4">
        <v>0</v>
      </c>
      <c r="J4">
        <v>0</v>
      </c>
      <c r="K4">
        <v>0</v>
      </c>
      <c r="L4">
        <v>0</v>
      </c>
      <c r="M4">
        <v>0</v>
      </c>
      <c r="N4">
        <v>0</v>
      </c>
      <c r="O4">
        <v>0</v>
      </c>
      <c r="P4">
        <v>0</v>
      </c>
      <c r="Q4" s="142">
        <v>0</v>
      </c>
      <c r="R4" s="116">
        <v>0</v>
      </c>
    </row>
    <row r="5" spans="1:23" ht="15" customHeight="1" x14ac:dyDescent="0.15">
      <c r="A5" s="87" t="s">
        <v>55</v>
      </c>
      <c r="B5" s="94">
        <v>0.5</v>
      </c>
      <c r="C5" s="86" t="s">
        <v>52</v>
      </c>
      <c r="D5" s="89"/>
      <c r="F5" t="s">
        <v>41</v>
      </c>
      <c r="G5">
        <v>0</v>
      </c>
      <c r="H5">
        <v>0</v>
      </c>
      <c r="I5">
        <v>0</v>
      </c>
      <c r="J5">
        <v>0</v>
      </c>
      <c r="K5">
        <v>0</v>
      </c>
      <c r="L5">
        <v>0</v>
      </c>
      <c r="M5">
        <v>0</v>
      </c>
      <c r="N5">
        <v>0</v>
      </c>
      <c r="O5">
        <v>0</v>
      </c>
      <c r="P5">
        <v>0</v>
      </c>
      <c r="Q5" s="142">
        <v>0</v>
      </c>
      <c r="R5" s="116">
        <v>0</v>
      </c>
    </row>
    <row r="6" spans="1:23" ht="15" customHeight="1" thickBot="1" x14ac:dyDescent="0.2">
      <c r="A6" s="87"/>
      <c r="B6" s="95">
        <v>0.5</v>
      </c>
      <c r="C6" s="86" t="s">
        <v>53</v>
      </c>
      <c r="D6" s="89"/>
      <c r="F6" s="203" t="s">
        <v>193</v>
      </c>
      <c r="G6" s="85">
        <v>0</v>
      </c>
      <c r="H6" s="85">
        <v>0</v>
      </c>
      <c r="I6" s="85">
        <v>0</v>
      </c>
      <c r="J6" s="85">
        <v>0</v>
      </c>
      <c r="K6" s="85">
        <v>0</v>
      </c>
      <c r="L6" s="85">
        <v>0</v>
      </c>
      <c r="M6" s="85">
        <v>1</v>
      </c>
      <c r="N6" s="85">
        <v>0</v>
      </c>
      <c r="O6" s="85">
        <v>0</v>
      </c>
      <c r="P6" s="73">
        <v>0</v>
      </c>
      <c r="Q6" s="85">
        <v>0</v>
      </c>
      <c r="R6" s="74">
        <v>1</v>
      </c>
      <c r="S6"/>
      <c r="T6"/>
    </row>
    <row r="7" spans="1:23" ht="15" customHeight="1" thickBot="1" x14ac:dyDescent="0.2">
      <c r="F7" s="203" t="s">
        <v>194</v>
      </c>
      <c r="G7" s="85">
        <v>0</v>
      </c>
      <c r="H7" s="85">
        <v>0</v>
      </c>
      <c r="I7" s="85">
        <v>0</v>
      </c>
      <c r="J7" s="85">
        <v>0</v>
      </c>
      <c r="K7" s="85">
        <v>0</v>
      </c>
      <c r="L7" s="85">
        <v>0</v>
      </c>
      <c r="M7" s="85">
        <v>1</v>
      </c>
      <c r="N7" s="85">
        <v>0</v>
      </c>
      <c r="O7" s="85">
        <v>0</v>
      </c>
      <c r="P7" s="73">
        <v>0</v>
      </c>
      <c r="Q7" s="85">
        <v>0</v>
      </c>
      <c r="R7" s="74">
        <v>1</v>
      </c>
      <c r="S7"/>
      <c r="T7"/>
    </row>
    <row r="8" spans="1:23" ht="15" customHeight="1" x14ac:dyDescent="0.15">
      <c r="A8" s="87" t="s">
        <v>56</v>
      </c>
      <c r="B8" s="94">
        <v>0.97607175657423983</v>
      </c>
      <c r="C8" s="204" t="s">
        <v>193</v>
      </c>
      <c r="D8" s="89" t="s">
        <v>160</v>
      </c>
      <c r="F8" s="203" t="s">
        <v>195</v>
      </c>
      <c r="G8" s="85">
        <v>0</v>
      </c>
      <c r="H8" s="85">
        <v>0</v>
      </c>
      <c r="I8" s="85">
        <v>0</v>
      </c>
      <c r="J8" s="85">
        <v>0</v>
      </c>
      <c r="K8" s="85">
        <v>0</v>
      </c>
      <c r="L8" s="85">
        <v>0</v>
      </c>
      <c r="M8" s="85">
        <v>1</v>
      </c>
      <c r="N8" s="85">
        <v>0</v>
      </c>
      <c r="O8" s="85">
        <v>0</v>
      </c>
      <c r="P8" s="73">
        <v>0</v>
      </c>
      <c r="Q8" s="85">
        <v>0</v>
      </c>
      <c r="R8" s="74">
        <v>1</v>
      </c>
      <c r="S8"/>
      <c r="T8"/>
      <c r="W8"/>
    </row>
    <row r="9" spans="1:23" ht="15" customHeight="1" x14ac:dyDescent="0.15">
      <c r="A9" s="130" t="s">
        <v>168</v>
      </c>
      <c r="B9" s="96">
        <v>2.3379696926644648E-2</v>
      </c>
      <c r="C9" s="204" t="s">
        <v>194</v>
      </c>
      <c r="D9" s="89" t="s">
        <v>160</v>
      </c>
      <c r="F9" s="203" t="s">
        <v>196</v>
      </c>
      <c r="G9" s="85">
        <v>0</v>
      </c>
      <c r="H9" s="85">
        <v>0</v>
      </c>
      <c r="I9" s="85">
        <v>0</v>
      </c>
      <c r="J9" s="85">
        <v>0</v>
      </c>
      <c r="K9" s="85">
        <v>1</v>
      </c>
      <c r="L9" s="85">
        <v>0</v>
      </c>
      <c r="M9" s="85">
        <v>1</v>
      </c>
      <c r="N9" s="85">
        <v>0</v>
      </c>
      <c r="O9" s="85">
        <v>1</v>
      </c>
      <c r="P9" s="73">
        <v>0</v>
      </c>
      <c r="Q9" s="85">
        <v>0</v>
      </c>
      <c r="R9" s="74">
        <v>1</v>
      </c>
      <c r="S9"/>
      <c r="T9"/>
      <c r="W9"/>
    </row>
    <row r="10" spans="1:23" ht="15" customHeight="1" x14ac:dyDescent="0.15">
      <c r="B10" s="96">
        <v>5.4854649911555901E-4</v>
      </c>
      <c r="C10" s="204" t="s">
        <v>195</v>
      </c>
      <c r="D10" s="89" t="s">
        <v>160</v>
      </c>
      <c r="F10" s="203" t="s">
        <v>197</v>
      </c>
      <c r="G10" s="85">
        <v>0</v>
      </c>
      <c r="H10" s="85">
        <v>0</v>
      </c>
      <c r="I10" s="85">
        <v>0</v>
      </c>
      <c r="J10" s="85">
        <v>0</v>
      </c>
      <c r="K10" s="85">
        <v>1</v>
      </c>
      <c r="L10" s="85">
        <v>0</v>
      </c>
      <c r="M10" s="85">
        <v>1</v>
      </c>
      <c r="N10" s="85">
        <v>0</v>
      </c>
      <c r="O10" s="85">
        <v>1</v>
      </c>
      <c r="P10" s="73">
        <v>0</v>
      </c>
      <c r="Q10" s="85">
        <v>0</v>
      </c>
      <c r="R10" s="74">
        <v>1</v>
      </c>
      <c r="S10"/>
      <c r="T10"/>
      <c r="W10"/>
    </row>
    <row r="11" spans="1:23" ht="15" customHeight="1" x14ac:dyDescent="0.15">
      <c r="A11" s="87"/>
      <c r="B11" s="96"/>
      <c r="C11" s="99"/>
      <c r="D11" s="89" t="s">
        <v>160</v>
      </c>
      <c r="F11" s="203" t="s">
        <v>198</v>
      </c>
      <c r="G11" s="85">
        <v>0</v>
      </c>
      <c r="H11" s="85">
        <v>0</v>
      </c>
      <c r="I11" s="85">
        <v>0</v>
      </c>
      <c r="J11" s="85">
        <v>0</v>
      </c>
      <c r="K11" s="85">
        <v>1</v>
      </c>
      <c r="L11" s="85">
        <v>0</v>
      </c>
      <c r="M11" s="85">
        <v>1</v>
      </c>
      <c r="N11" s="85">
        <v>0</v>
      </c>
      <c r="O11" s="85">
        <v>1</v>
      </c>
      <c r="P11" s="73">
        <v>0</v>
      </c>
      <c r="Q11" s="85">
        <v>0</v>
      </c>
      <c r="R11" s="74">
        <v>1</v>
      </c>
      <c r="S11"/>
      <c r="T11"/>
      <c r="W11"/>
    </row>
    <row r="12" spans="1:23" ht="15" customHeight="1" x14ac:dyDescent="0.15">
      <c r="B12" s="96"/>
      <c r="C12" s="100"/>
      <c r="D12" s="89" t="s">
        <v>160</v>
      </c>
      <c r="F12" s="203" t="s">
        <v>199</v>
      </c>
      <c r="G12" s="85">
        <v>0</v>
      </c>
      <c r="H12" s="85">
        <v>0</v>
      </c>
      <c r="I12" s="85">
        <v>0</v>
      </c>
      <c r="J12" s="85">
        <v>0</v>
      </c>
      <c r="K12" s="85">
        <v>1</v>
      </c>
      <c r="L12" s="85">
        <v>0</v>
      </c>
      <c r="M12" s="85">
        <v>1</v>
      </c>
      <c r="N12" s="85">
        <v>0</v>
      </c>
      <c r="O12" s="85">
        <v>1</v>
      </c>
      <c r="P12" s="73">
        <v>0</v>
      </c>
      <c r="Q12" s="85">
        <v>0</v>
      </c>
      <c r="R12" s="74">
        <v>1</v>
      </c>
      <c r="S12"/>
      <c r="T12"/>
      <c r="W12"/>
    </row>
    <row r="13" spans="1:23" ht="15" customHeight="1" x14ac:dyDescent="0.15">
      <c r="B13" s="96"/>
      <c r="C13" s="100"/>
      <c r="D13" s="89" t="s">
        <v>160</v>
      </c>
      <c r="F13" s="203" t="s">
        <v>200</v>
      </c>
      <c r="G13" s="85">
        <v>0</v>
      </c>
      <c r="H13" s="85">
        <v>0</v>
      </c>
      <c r="I13" s="85">
        <v>0</v>
      </c>
      <c r="J13" s="85">
        <v>0</v>
      </c>
      <c r="K13" s="85">
        <v>1</v>
      </c>
      <c r="L13" s="85">
        <v>0</v>
      </c>
      <c r="M13" s="85">
        <v>1</v>
      </c>
      <c r="N13" s="85">
        <v>0</v>
      </c>
      <c r="O13" s="85">
        <v>1</v>
      </c>
      <c r="P13" s="73">
        <v>0</v>
      </c>
      <c r="Q13" s="85">
        <v>0</v>
      </c>
      <c r="R13" s="74">
        <v>1</v>
      </c>
      <c r="S13"/>
      <c r="T13"/>
      <c r="W13"/>
    </row>
    <row r="14" spans="1:23" ht="15" customHeight="1" x14ac:dyDescent="0.15">
      <c r="B14" s="96"/>
      <c r="C14" s="84"/>
      <c r="D14" s="89" t="s">
        <v>160</v>
      </c>
      <c r="F14" s="203" t="s">
        <v>201</v>
      </c>
      <c r="G14" s="85">
        <v>0</v>
      </c>
      <c r="H14" s="85">
        <v>0</v>
      </c>
      <c r="I14" s="85">
        <v>0</v>
      </c>
      <c r="J14" s="85">
        <v>0</v>
      </c>
      <c r="K14" s="85">
        <v>1</v>
      </c>
      <c r="L14" s="85">
        <v>0</v>
      </c>
      <c r="M14" s="85">
        <v>1</v>
      </c>
      <c r="N14" s="85">
        <v>0</v>
      </c>
      <c r="O14" s="85">
        <v>1</v>
      </c>
      <c r="P14" s="73">
        <v>0</v>
      </c>
      <c r="Q14" s="85">
        <v>0</v>
      </c>
      <c r="R14" s="74">
        <v>1</v>
      </c>
      <c r="S14"/>
      <c r="T14"/>
      <c r="W14"/>
    </row>
    <row r="15" spans="1:23" ht="15" customHeight="1" x14ac:dyDescent="0.15">
      <c r="B15" s="96"/>
      <c r="C15" s="84"/>
      <c r="D15" s="89" t="s">
        <v>160</v>
      </c>
      <c r="F15" s="203" t="s">
        <v>202</v>
      </c>
      <c r="G15" s="85">
        <v>0</v>
      </c>
      <c r="H15" s="85">
        <v>0</v>
      </c>
      <c r="I15" s="85">
        <v>0</v>
      </c>
      <c r="J15" s="85">
        <v>0</v>
      </c>
      <c r="K15" s="85">
        <v>1</v>
      </c>
      <c r="L15" s="85">
        <v>0</v>
      </c>
      <c r="M15" s="85">
        <v>1</v>
      </c>
      <c r="N15" s="85">
        <v>0</v>
      </c>
      <c r="O15" s="85">
        <v>1</v>
      </c>
      <c r="P15" s="73">
        <v>0</v>
      </c>
      <c r="Q15" s="85">
        <v>0</v>
      </c>
      <c r="R15" s="74">
        <v>1</v>
      </c>
      <c r="S15"/>
      <c r="T15"/>
      <c r="W15"/>
    </row>
    <row r="16" spans="1:23" ht="15" customHeight="1" x14ac:dyDescent="0.15">
      <c r="B16" s="96"/>
      <c r="C16" s="84"/>
      <c r="D16" s="89" t="s">
        <v>160</v>
      </c>
      <c r="F16" s="203" t="s">
        <v>203</v>
      </c>
      <c r="G16" s="85">
        <v>0</v>
      </c>
      <c r="H16" s="85">
        <v>0</v>
      </c>
      <c r="I16" s="85">
        <v>0</v>
      </c>
      <c r="J16" s="85">
        <v>0</v>
      </c>
      <c r="K16" s="85">
        <v>1</v>
      </c>
      <c r="L16" s="85">
        <v>0</v>
      </c>
      <c r="M16" s="85">
        <v>1</v>
      </c>
      <c r="N16" s="85">
        <v>0</v>
      </c>
      <c r="O16" s="85">
        <v>1</v>
      </c>
      <c r="P16" s="73">
        <v>0</v>
      </c>
      <c r="Q16" s="85">
        <v>0</v>
      </c>
      <c r="R16" s="74">
        <v>1</v>
      </c>
      <c r="S16"/>
      <c r="T16"/>
    </row>
    <row r="17" spans="1:20" ht="15" customHeight="1" thickBot="1" x14ac:dyDescent="0.2">
      <c r="B17" s="95"/>
      <c r="C17" s="84"/>
      <c r="D17" s="89" t="s">
        <v>160</v>
      </c>
      <c r="F17" s="203" t="s">
        <v>204</v>
      </c>
      <c r="G17" s="85">
        <v>0</v>
      </c>
      <c r="H17" s="85">
        <v>0</v>
      </c>
      <c r="I17" s="85">
        <v>0</v>
      </c>
      <c r="J17" s="85">
        <v>0</v>
      </c>
      <c r="K17" s="85">
        <v>1</v>
      </c>
      <c r="L17" s="85">
        <v>0</v>
      </c>
      <c r="M17" s="85">
        <v>1</v>
      </c>
      <c r="N17" s="85">
        <v>0</v>
      </c>
      <c r="O17" s="85">
        <v>1</v>
      </c>
      <c r="P17" s="73">
        <v>0</v>
      </c>
      <c r="Q17" s="85">
        <v>0</v>
      </c>
      <c r="R17" s="74">
        <v>1</v>
      </c>
      <c r="S17"/>
      <c r="T17"/>
    </row>
    <row r="18" spans="1:20" ht="15" customHeight="1" thickBot="1" x14ac:dyDescent="0.2">
      <c r="B18" s="97"/>
      <c r="F18" s="203" t="s">
        <v>205</v>
      </c>
      <c r="G18" s="85">
        <v>0</v>
      </c>
      <c r="H18" s="85">
        <v>0</v>
      </c>
      <c r="I18" s="85">
        <v>0</v>
      </c>
      <c r="J18" s="85">
        <v>0</v>
      </c>
      <c r="K18" s="85">
        <v>1</v>
      </c>
      <c r="L18" s="85">
        <v>0</v>
      </c>
      <c r="M18" s="85">
        <v>1</v>
      </c>
      <c r="N18" s="85">
        <v>0</v>
      </c>
      <c r="O18" s="85">
        <v>1</v>
      </c>
      <c r="P18" s="73">
        <v>0</v>
      </c>
      <c r="Q18" s="85">
        <v>0</v>
      </c>
      <c r="R18" s="74">
        <v>1</v>
      </c>
      <c r="S18"/>
      <c r="T18"/>
    </row>
    <row r="19" spans="1:20" ht="15" customHeight="1" x14ac:dyDescent="0.15">
      <c r="A19" s="87" t="s">
        <v>57</v>
      </c>
      <c r="B19" s="94">
        <v>0.97607175657423983</v>
      </c>
      <c r="C19" s="205" t="s">
        <v>193</v>
      </c>
      <c r="D19" s="89" t="s">
        <v>160</v>
      </c>
      <c r="F19" s="203" t="s">
        <v>206</v>
      </c>
      <c r="G19" s="85">
        <v>0</v>
      </c>
      <c r="H19" s="85">
        <v>0</v>
      </c>
      <c r="I19" s="85">
        <v>0</v>
      </c>
      <c r="J19" s="85">
        <v>0</v>
      </c>
      <c r="K19" s="85">
        <v>1</v>
      </c>
      <c r="L19" s="85">
        <v>0</v>
      </c>
      <c r="M19" s="85">
        <v>1</v>
      </c>
      <c r="N19" s="85">
        <v>0</v>
      </c>
      <c r="O19" s="85">
        <v>1</v>
      </c>
      <c r="P19" s="73">
        <v>0</v>
      </c>
      <c r="Q19" s="85">
        <v>0</v>
      </c>
      <c r="R19" s="74">
        <v>1</v>
      </c>
      <c r="S19"/>
      <c r="T19"/>
    </row>
    <row r="20" spans="1:20" ht="15" customHeight="1" x14ac:dyDescent="0.15">
      <c r="A20" s="130" t="s">
        <v>168</v>
      </c>
      <c r="B20" s="96">
        <v>2.3379696926644648E-2</v>
      </c>
      <c r="C20" s="205" t="s">
        <v>194</v>
      </c>
      <c r="D20" s="89" t="s">
        <v>160</v>
      </c>
      <c r="F20" s="203" t="s">
        <v>207</v>
      </c>
      <c r="G20" s="85">
        <v>0</v>
      </c>
      <c r="H20" s="85">
        <v>0</v>
      </c>
      <c r="I20" s="85">
        <v>0</v>
      </c>
      <c r="J20" s="85">
        <v>0</v>
      </c>
      <c r="K20" s="85">
        <v>1</v>
      </c>
      <c r="L20" s="85">
        <v>0</v>
      </c>
      <c r="M20" s="85">
        <v>1</v>
      </c>
      <c r="N20" s="85">
        <v>0</v>
      </c>
      <c r="O20" s="85">
        <v>1</v>
      </c>
      <c r="P20" s="73">
        <v>0</v>
      </c>
      <c r="Q20" s="85">
        <v>0</v>
      </c>
      <c r="R20" s="74">
        <v>1</v>
      </c>
      <c r="S20"/>
      <c r="T20"/>
    </row>
    <row r="21" spans="1:20" ht="15" customHeight="1" x14ac:dyDescent="0.15">
      <c r="B21" s="96">
        <v>5.4854649911555901E-4</v>
      </c>
      <c r="C21" s="205" t="s">
        <v>195</v>
      </c>
      <c r="D21" s="89" t="s">
        <v>160</v>
      </c>
      <c r="F21" s="203" t="s">
        <v>208</v>
      </c>
      <c r="G21" s="85">
        <v>0</v>
      </c>
      <c r="H21" s="85">
        <v>0</v>
      </c>
      <c r="I21" s="85">
        <v>0</v>
      </c>
      <c r="J21" s="85">
        <v>0</v>
      </c>
      <c r="K21" s="85">
        <v>1</v>
      </c>
      <c r="L21" s="85">
        <v>0</v>
      </c>
      <c r="M21" s="85">
        <v>1</v>
      </c>
      <c r="N21" s="85">
        <v>0</v>
      </c>
      <c r="O21" s="85">
        <v>1</v>
      </c>
      <c r="P21" s="73">
        <v>0</v>
      </c>
      <c r="Q21" s="85">
        <v>0</v>
      </c>
      <c r="R21" s="74">
        <v>1</v>
      </c>
      <c r="S21"/>
      <c r="T21"/>
    </row>
    <row r="22" spans="1:20" ht="15" customHeight="1" x14ac:dyDescent="0.15">
      <c r="A22" s="85"/>
      <c r="B22" s="96"/>
      <c r="C22" s="99"/>
      <c r="D22" s="89" t="s">
        <v>160</v>
      </c>
      <c r="F22" s="203" t="s">
        <v>209</v>
      </c>
      <c r="G22" s="85">
        <v>0</v>
      </c>
      <c r="H22" s="85">
        <v>0</v>
      </c>
      <c r="I22" s="85">
        <v>0</v>
      </c>
      <c r="J22" s="85">
        <v>0</v>
      </c>
      <c r="K22" s="85">
        <v>1</v>
      </c>
      <c r="L22" s="85">
        <v>0</v>
      </c>
      <c r="M22" s="85">
        <v>1</v>
      </c>
      <c r="N22" s="85">
        <v>0</v>
      </c>
      <c r="O22" s="85">
        <v>1</v>
      </c>
      <c r="P22" s="73">
        <v>0</v>
      </c>
      <c r="Q22" s="85">
        <v>0</v>
      </c>
      <c r="R22" s="74">
        <v>1</v>
      </c>
      <c r="S22"/>
      <c r="T22"/>
    </row>
    <row r="23" spans="1:20" ht="15" customHeight="1" x14ac:dyDescent="0.15">
      <c r="A23" s="85"/>
      <c r="B23" s="96"/>
      <c r="C23" s="100"/>
      <c r="D23" s="89" t="s">
        <v>160</v>
      </c>
      <c r="F23" s="203" t="s">
        <v>210</v>
      </c>
      <c r="G23" s="85">
        <v>0</v>
      </c>
      <c r="H23" s="85">
        <v>0</v>
      </c>
      <c r="I23" s="85">
        <v>0</v>
      </c>
      <c r="J23" s="85">
        <v>0</v>
      </c>
      <c r="K23" s="85">
        <v>1</v>
      </c>
      <c r="L23" s="85">
        <v>0</v>
      </c>
      <c r="M23" s="85">
        <v>1</v>
      </c>
      <c r="N23" s="85">
        <v>0</v>
      </c>
      <c r="O23" s="85">
        <v>1</v>
      </c>
      <c r="P23" s="73">
        <v>0</v>
      </c>
      <c r="Q23" s="85">
        <v>0</v>
      </c>
      <c r="R23" s="74">
        <v>1</v>
      </c>
      <c r="S23"/>
      <c r="T23"/>
    </row>
    <row r="24" spans="1:20" ht="15" customHeight="1" x14ac:dyDescent="0.15">
      <c r="A24" s="85"/>
      <c r="B24" s="96"/>
      <c r="C24" s="100"/>
      <c r="D24" s="89" t="s">
        <v>160</v>
      </c>
      <c r="F24" s="203" t="s">
        <v>211</v>
      </c>
      <c r="G24" s="85">
        <v>0</v>
      </c>
      <c r="H24" s="85">
        <v>0</v>
      </c>
      <c r="I24" s="85">
        <v>0</v>
      </c>
      <c r="J24" s="85">
        <v>0</v>
      </c>
      <c r="K24" s="85">
        <v>1</v>
      </c>
      <c r="L24" s="85">
        <v>0</v>
      </c>
      <c r="M24" s="85">
        <v>1</v>
      </c>
      <c r="N24" s="85">
        <v>0</v>
      </c>
      <c r="O24" s="85">
        <v>1</v>
      </c>
      <c r="P24" s="73">
        <v>0</v>
      </c>
      <c r="Q24" s="85">
        <v>0</v>
      </c>
      <c r="R24" s="74">
        <v>1</v>
      </c>
      <c r="S24"/>
      <c r="T24"/>
    </row>
    <row r="25" spans="1:20" ht="15" customHeight="1" x14ac:dyDescent="0.15">
      <c r="A25" s="85"/>
      <c r="B25" s="96"/>
      <c r="C25" s="84"/>
      <c r="D25" s="89" t="s">
        <v>160</v>
      </c>
      <c r="F25" s="203" t="s">
        <v>212</v>
      </c>
      <c r="G25" s="85">
        <v>0</v>
      </c>
      <c r="H25" s="85">
        <v>0</v>
      </c>
      <c r="I25" s="85">
        <v>0</v>
      </c>
      <c r="J25" s="85">
        <v>0</v>
      </c>
      <c r="K25" s="85">
        <v>1</v>
      </c>
      <c r="L25" s="85">
        <v>0</v>
      </c>
      <c r="M25" s="85">
        <v>1</v>
      </c>
      <c r="N25" s="85">
        <v>0</v>
      </c>
      <c r="O25" s="85">
        <v>1</v>
      </c>
      <c r="P25" s="73">
        <v>0</v>
      </c>
      <c r="Q25" s="85">
        <v>0</v>
      </c>
      <c r="R25" s="74">
        <v>1</v>
      </c>
      <c r="S25"/>
      <c r="T25"/>
    </row>
    <row r="26" spans="1:20" ht="15" customHeight="1" x14ac:dyDescent="0.15">
      <c r="B26" s="96"/>
      <c r="C26" s="84"/>
      <c r="D26" s="89" t="s">
        <v>160</v>
      </c>
      <c r="F26" s="203" t="s">
        <v>213</v>
      </c>
      <c r="G26" s="85">
        <v>0</v>
      </c>
      <c r="H26" s="85">
        <v>0</v>
      </c>
      <c r="I26" s="85">
        <v>0</v>
      </c>
      <c r="J26" s="85">
        <v>0</v>
      </c>
      <c r="K26" s="85">
        <v>1</v>
      </c>
      <c r="L26" s="85">
        <v>0</v>
      </c>
      <c r="M26" s="85">
        <v>1</v>
      </c>
      <c r="N26" s="85">
        <v>0</v>
      </c>
      <c r="O26" s="85">
        <v>1</v>
      </c>
      <c r="P26" s="73">
        <v>0</v>
      </c>
      <c r="Q26" s="85">
        <v>0</v>
      </c>
      <c r="R26" s="74">
        <v>1</v>
      </c>
      <c r="S26"/>
      <c r="T26"/>
    </row>
    <row r="27" spans="1:20" ht="15" customHeight="1" x14ac:dyDescent="0.15">
      <c r="B27" s="96"/>
      <c r="C27" s="84"/>
      <c r="D27" s="89" t="s">
        <v>160</v>
      </c>
      <c r="F27" s="203" t="s">
        <v>214</v>
      </c>
      <c r="G27" s="85">
        <v>0</v>
      </c>
      <c r="H27" s="85">
        <v>0</v>
      </c>
      <c r="I27" s="85">
        <v>0</v>
      </c>
      <c r="J27" s="85">
        <v>0</v>
      </c>
      <c r="K27" s="85">
        <v>1</v>
      </c>
      <c r="L27" s="85">
        <v>0</v>
      </c>
      <c r="M27" s="85">
        <v>1</v>
      </c>
      <c r="N27" s="85">
        <v>0</v>
      </c>
      <c r="O27" s="85">
        <v>1</v>
      </c>
      <c r="P27" s="73">
        <v>0</v>
      </c>
      <c r="Q27" s="85">
        <v>0</v>
      </c>
      <c r="R27" s="74">
        <v>1</v>
      </c>
      <c r="S27"/>
      <c r="T27"/>
    </row>
    <row r="28" spans="1:20" ht="15" customHeight="1" thickBot="1" x14ac:dyDescent="0.2">
      <c r="B28" s="95"/>
      <c r="C28" s="84"/>
      <c r="D28" s="89" t="s">
        <v>160</v>
      </c>
      <c r="F28" s="203" t="s">
        <v>215</v>
      </c>
      <c r="G28" s="85">
        <v>0</v>
      </c>
      <c r="H28" s="85">
        <v>0</v>
      </c>
      <c r="I28" s="85">
        <v>0</v>
      </c>
      <c r="J28" s="85">
        <v>0</v>
      </c>
      <c r="K28" s="85">
        <v>1</v>
      </c>
      <c r="L28" s="85">
        <v>0</v>
      </c>
      <c r="M28" s="85">
        <v>1</v>
      </c>
      <c r="N28" s="85">
        <v>0</v>
      </c>
      <c r="O28" s="85">
        <v>1</v>
      </c>
      <c r="P28" s="73">
        <v>0</v>
      </c>
      <c r="Q28" s="85">
        <v>0</v>
      </c>
      <c r="R28" s="74">
        <v>1</v>
      </c>
      <c r="S28"/>
      <c r="T28"/>
    </row>
    <row r="29" spans="1:20" ht="15" customHeight="1" x14ac:dyDescent="0.15">
      <c r="F29" s="203" t="s">
        <v>216</v>
      </c>
      <c r="G29" s="85">
        <v>0</v>
      </c>
      <c r="H29" s="85">
        <v>0</v>
      </c>
      <c r="I29" s="85">
        <v>0</v>
      </c>
      <c r="J29" s="85">
        <v>0</v>
      </c>
      <c r="K29" s="85">
        <v>1</v>
      </c>
      <c r="L29" s="85">
        <v>0</v>
      </c>
      <c r="M29" s="85">
        <v>1</v>
      </c>
      <c r="N29" s="85">
        <v>0</v>
      </c>
      <c r="O29" s="85">
        <v>1</v>
      </c>
      <c r="P29" s="73">
        <v>0</v>
      </c>
      <c r="Q29" s="85">
        <v>0</v>
      </c>
      <c r="R29" s="74">
        <v>1</v>
      </c>
      <c r="S29"/>
      <c r="T29"/>
    </row>
    <row r="30" spans="1:20" ht="15" customHeight="1" x14ac:dyDescent="0.15">
      <c r="F30" s="203" t="s">
        <v>217</v>
      </c>
      <c r="G30" s="85">
        <v>0</v>
      </c>
      <c r="H30" s="85">
        <v>0</v>
      </c>
      <c r="I30" s="85">
        <v>0</v>
      </c>
      <c r="J30" s="85">
        <v>0</v>
      </c>
      <c r="K30" s="85">
        <v>1</v>
      </c>
      <c r="L30" s="85">
        <v>0</v>
      </c>
      <c r="M30" s="85">
        <v>1</v>
      </c>
      <c r="N30" s="85">
        <v>0</v>
      </c>
      <c r="O30" s="85">
        <v>1</v>
      </c>
      <c r="P30" s="73">
        <v>0</v>
      </c>
      <c r="Q30" s="85">
        <v>0</v>
      </c>
      <c r="R30" s="74">
        <v>1</v>
      </c>
      <c r="S30"/>
      <c r="T30"/>
    </row>
    <row r="31" spans="1:20" ht="15" customHeight="1" x14ac:dyDescent="0.15">
      <c r="A31" s="131"/>
      <c r="B31" s="140" t="s">
        <v>17</v>
      </c>
      <c r="C31" s="140" t="s">
        <v>1</v>
      </c>
      <c r="D31" s="140" t="s">
        <v>161</v>
      </c>
      <c r="E31" s="141" t="s">
        <v>163</v>
      </c>
      <c r="F31" s="203" t="s">
        <v>218</v>
      </c>
      <c r="G31" s="85">
        <v>0</v>
      </c>
      <c r="H31" s="85">
        <v>0</v>
      </c>
      <c r="I31" s="85">
        <v>0</v>
      </c>
      <c r="J31" s="85">
        <v>0</v>
      </c>
      <c r="K31" s="85">
        <v>1</v>
      </c>
      <c r="L31" s="85">
        <v>0</v>
      </c>
      <c r="M31" s="85">
        <v>1</v>
      </c>
      <c r="N31" s="85">
        <v>0</v>
      </c>
      <c r="O31" s="85">
        <v>1</v>
      </c>
      <c r="P31" s="73">
        <v>0</v>
      </c>
      <c r="Q31" s="85">
        <v>0</v>
      </c>
      <c r="R31" s="74">
        <v>1</v>
      </c>
      <c r="S31"/>
      <c r="T31"/>
    </row>
    <row r="32" spans="1:20" ht="15" customHeight="1" x14ac:dyDescent="0.15">
      <c r="A32" s="206" t="s">
        <v>193</v>
      </c>
      <c r="B32" s="97">
        <v>7.65</v>
      </c>
      <c r="C32" s="97">
        <v>160</v>
      </c>
      <c r="D32" s="97">
        <v>1224</v>
      </c>
      <c r="E32" s="132">
        <v>0.97607175657423983</v>
      </c>
      <c r="F32" s="203" t="s">
        <v>219</v>
      </c>
      <c r="G32" s="85">
        <v>0</v>
      </c>
      <c r="H32" s="85">
        <v>0</v>
      </c>
      <c r="I32" s="85">
        <v>0</v>
      </c>
      <c r="J32" s="85">
        <v>0</v>
      </c>
      <c r="K32" s="85">
        <v>1</v>
      </c>
      <c r="L32" s="85">
        <v>0</v>
      </c>
      <c r="M32" s="85">
        <v>1</v>
      </c>
      <c r="N32" s="85">
        <v>0</v>
      </c>
      <c r="O32" s="85">
        <v>1</v>
      </c>
      <c r="P32" s="73">
        <v>0</v>
      </c>
      <c r="Q32" s="85">
        <v>0</v>
      </c>
      <c r="R32" s="74">
        <v>1</v>
      </c>
      <c r="S32"/>
      <c r="T32"/>
    </row>
    <row r="33" spans="1:20" ht="15" customHeight="1" x14ac:dyDescent="0.15">
      <c r="A33" s="206" t="s">
        <v>194</v>
      </c>
      <c r="B33" s="97">
        <v>2.1878614399999998</v>
      </c>
      <c r="C33" s="97">
        <v>13.40043</v>
      </c>
      <c r="D33" s="97">
        <v>29.318284076419197</v>
      </c>
      <c r="E33" s="132">
        <v>2.3379696926644648E-2</v>
      </c>
      <c r="F33" s="203" t="s">
        <v>220</v>
      </c>
      <c r="G33" s="85">
        <v>0</v>
      </c>
      <c r="H33" s="85">
        <v>0</v>
      </c>
      <c r="I33" s="85">
        <v>0</v>
      </c>
      <c r="J33" s="85">
        <v>0</v>
      </c>
      <c r="K33" s="85">
        <v>1</v>
      </c>
      <c r="L33" s="85">
        <v>0</v>
      </c>
      <c r="M33" s="85">
        <v>1</v>
      </c>
      <c r="N33" s="85">
        <v>0</v>
      </c>
      <c r="O33" s="85">
        <v>1</v>
      </c>
      <c r="P33" s="73">
        <v>0</v>
      </c>
      <c r="Q33" s="85">
        <v>0</v>
      </c>
      <c r="R33" s="74">
        <v>1</v>
      </c>
      <c r="S33"/>
      <c r="T33"/>
    </row>
    <row r="34" spans="1:20" ht="15" customHeight="1" x14ac:dyDescent="0.15">
      <c r="A34" s="206" t="s">
        <v>195</v>
      </c>
      <c r="B34" s="97">
        <v>4.5759080000000001E-2</v>
      </c>
      <c r="C34" s="97">
        <v>15.03266</v>
      </c>
      <c r="D34" s="97">
        <v>0.68788069155279996</v>
      </c>
      <c r="E34" s="132">
        <v>5.4854649911555901E-4</v>
      </c>
      <c r="F34" s="203" t="s">
        <v>221</v>
      </c>
      <c r="G34" s="85">
        <v>0</v>
      </c>
      <c r="H34" s="85">
        <v>0</v>
      </c>
      <c r="I34" s="85">
        <v>0</v>
      </c>
      <c r="J34" s="85">
        <v>0</v>
      </c>
      <c r="K34" s="85">
        <v>1</v>
      </c>
      <c r="L34" s="85">
        <v>0</v>
      </c>
      <c r="M34" s="85">
        <v>1</v>
      </c>
      <c r="N34" s="85">
        <v>0</v>
      </c>
      <c r="O34" s="85">
        <v>1</v>
      </c>
      <c r="P34" s="73">
        <v>0</v>
      </c>
      <c r="Q34" s="85">
        <v>0</v>
      </c>
      <c r="R34" s="74">
        <v>1</v>
      </c>
      <c r="S34"/>
      <c r="T34"/>
    </row>
    <row r="35" spans="1:20" ht="15" customHeight="1" x14ac:dyDescent="0.15">
      <c r="A35" s="133"/>
      <c r="B35" s="97"/>
      <c r="C35" s="97"/>
      <c r="D35" s="97"/>
      <c r="E35" s="132"/>
      <c r="F35" s="203" t="s">
        <v>222</v>
      </c>
      <c r="G35" s="85">
        <v>0</v>
      </c>
      <c r="H35" s="85">
        <v>0</v>
      </c>
      <c r="I35" s="85">
        <v>0</v>
      </c>
      <c r="J35" s="85">
        <v>0</v>
      </c>
      <c r="K35" s="85">
        <v>1</v>
      </c>
      <c r="L35" s="85">
        <v>0</v>
      </c>
      <c r="M35" s="85">
        <v>1</v>
      </c>
      <c r="N35" s="85">
        <v>0</v>
      </c>
      <c r="O35" s="85">
        <v>1</v>
      </c>
      <c r="P35" s="73">
        <v>0</v>
      </c>
      <c r="Q35" s="85">
        <v>0</v>
      </c>
      <c r="R35" s="74">
        <v>1</v>
      </c>
      <c r="S35"/>
      <c r="T35"/>
    </row>
    <row r="36" spans="1:20" ht="15" customHeight="1" x14ac:dyDescent="0.15">
      <c r="A36" s="134"/>
      <c r="B36" s="97"/>
      <c r="C36" s="97"/>
      <c r="D36" s="97"/>
      <c r="E36" s="132"/>
      <c r="F36" s="203" t="s">
        <v>223</v>
      </c>
      <c r="G36" s="85">
        <v>0</v>
      </c>
      <c r="H36" s="85">
        <v>0</v>
      </c>
      <c r="I36" s="85">
        <v>0</v>
      </c>
      <c r="J36" s="85">
        <v>0</v>
      </c>
      <c r="K36" s="85">
        <v>1</v>
      </c>
      <c r="L36" s="85">
        <v>0</v>
      </c>
      <c r="M36" s="85">
        <v>1</v>
      </c>
      <c r="N36" s="85">
        <v>0</v>
      </c>
      <c r="O36" s="85">
        <v>1</v>
      </c>
      <c r="P36" s="73">
        <v>0</v>
      </c>
      <c r="Q36" s="85">
        <v>0</v>
      </c>
      <c r="R36" s="74">
        <v>1</v>
      </c>
      <c r="S36"/>
      <c r="T36"/>
    </row>
    <row r="37" spans="1:20" ht="15" customHeight="1" x14ac:dyDescent="0.15">
      <c r="A37" s="134"/>
      <c r="B37" s="97"/>
      <c r="C37" s="97"/>
      <c r="D37" s="97"/>
      <c r="E37" s="132"/>
      <c r="F37" s="203" t="s">
        <v>224</v>
      </c>
      <c r="G37" s="85">
        <v>0</v>
      </c>
      <c r="H37" s="85">
        <v>0</v>
      </c>
      <c r="I37" s="85">
        <v>0</v>
      </c>
      <c r="J37" s="85">
        <v>0</v>
      </c>
      <c r="K37" s="85">
        <v>1</v>
      </c>
      <c r="L37" s="85">
        <v>0</v>
      </c>
      <c r="M37" s="85">
        <v>1</v>
      </c>
      <c r="N37" s="85">
        <v>0</v>
      </c>
      <c r="O37" s="85">
        <v>1</v>
      </c>
      <c r="P37" s="73">
        <v>0</v>
      </c>
      <c r="Q37" s="85">
        <v>0</v>
      </c>
      <c r="R37" s="74">
        <v>1</v>
      </c>
      <c r="S37"/>
      <c r="T37"/>
    </row>
    <row r="38" spans="1:20" ht="15" customHeight="1" x14ac:dyDescent="0.15">
      <c r="A38" s="135"/>
      <c r="B38" s="97"/>
      <c r="C38" s="97"/>
      <c r="D38" s="97"/>
      <c r="E38" s="132"/>
      <c r="F38" s="203" t="s">
        <v>225</v>
      </c>
      <c r="G38" s="85">
        <v>0</v>
      </c>
      <c r="H38" s="85">
        <v>0</v>
      </c>
      <c r="I38" s="85">
        <v>0</v>
      </c>
      <c r="J38" s="85">
        <v>0</v>
      </c>
      <c r="K38" s="85">
        <v>1</v>
      </c>
      <c r="L38" s="85">
        <v>0</v>
      </c>
      <c r="M38" s="85">
        <v>1</v>
      </c>
      <c r="N38" s="85">
        <v>0</v>
      </c>
      <c r="O38" s="85">
        <v>1</v>
      </c>
      <c r="P38" s="73">
        <v>0</v>
      </c>
      <c r="Q38" s="85">
        <v>0</v>
      </c>
      <c r="R38" s="74">
        <v>1</v>
      </c>
      <c r="S38"/>
      <c r="T38"/>
    </row>
    <row r="39" spans="1:20" ht="15" customHeight="1" x14ac:dyDescent="0.15">
      <c r="A39" s="135"/>
      <c r="B39" s="97"/>
      <c r="C39" s="97"/>
      <c r="D39" s="97"/>
      <c r="E39" s="132"/>
      <c r="F39" s="203" t="s">
        <v>226</v>
      </c>
      <c r="G39" s="85">
        <v>0</v>
      </c>
      <c r="H39" s="85">
        <v>0</v>
      </c>
      <c r="I39" s="85">
        <v>0</v>
      </c>
      <c r="J39" s="85">
        <v>0</v>
      </c>
      <c r="K39" s="85">
        <v>1</v>
      </c>
      <c r="L39" s="85">
        <v>0</v>
      </c>
      <c r="M39" s="85">
        <v>1</v>
      </c>
      <c r="N39" s="85">
        <v>0</v>
      </c>
      <c r="O39" s="85">
        <v>1</v>
      </c>
      <c r="P39" s="73">
        <v>0</v>
      </c>
      <c r="Q39" s="85">
        <v>0</v>
      </c>
      <c r="R39" s="74">
        <v>1</v>
      </c>
      <c r="S39"/>
      <c r="T39"/>
    </row>
    <row r="40" spans="1:20" ht="15" customHeight="1" x14ac:dyDescent="0.15">
      <c r="A40" s="135"/>
      <c r="B40" s="97"/>
      <c r="C40" s="97"/>
      <c r="D40" s="97"/>
      <c r="E40" s="132"/>
      <c r="F40" s="203" t="s">
        <v>227</v>
      </c>
      <c r="G40" s="85">
        <v>0</v>
      </c>
      <c r="H40" s="85">
        <v>0</v>
      </c>
      <c r="I40" s="85">
        <v>0</v>
      </c>
      <c r="J40" s="85">
        <v>0</v>
      </c>
      <c r="K40" s="85">
        <v>1</v>
      </c>
      <c r="L40" s="85">
        <v>0</v>
      </c>
      <c r="M40" s="85">
        <v>1</v>
      </c>
      <c r="N40" s="85">
        <v>0</v>
      </c>
      <c r="O40" s="85">
        <v>1</v>
      </c>
      <c r="P40" s="73">
        <v>0</v>
      </c>
      <c r="Q40" s="85">
        <v>0</v>
      </c>
      <c r="R40" s="74">
        <v>1</v>
      </c>
      <c r="S40"/>
      <c r="T40"/>
    </row>
    <row r="41" spans="1:20" ht="15" customHeight="1" thickBot="1" x14ac:dyDescent="0.2">
      <c r="A41" s="135"/>
      <c r="B41" s="97"/>
      <c r="C41" s="97"/>
      <c r="D41" s="98"/>
      <c r="E41" s="136"/>
      <c r="F41" s="203" t="s">
        <v>228</v>
      </c>
      <c r="G41" s="85">
        <v>0</v>
      </c>
      <c r="H41" s="85">
        <v>0</v>
      </c>
      <c r="I41" s="85">
        <v>0</v>
      </c>
      <c r="J41" s="85">
        <v>0</v>
      </c>
      <c r="K41" s="85">
        <v>1</v>
      </c>
      <c r="L41" s="85">
        <v>0</v>
      </c>
      <c r="M41" s="85">
        <v>1</v>
      </c>
      <c r="N41" s="85">
        <v>0</v>
      </c>
      <c r="O41" s="85">
        <v>1</v>
      </c>
      <c r="P41" s="73">
        <v>0</v>
      </c>
      <c r="Q41" s="85">
        <v>0</v>
      </c>
      <c r="R41" s="74">
        <v>1</v>
      </c>
      <c r="S41"/>
      <c r="T41"/>
    </row>
    <row r="42" spans="1:20" ht="15" customHeight="1" x14ac:dyDescent="0.15">
      <c r="A42" s="137"/>
      <c r="B42" s="138"/>
      <c r="C42" s="138" t="s">
        <v>162</v>
      </c>
      <c r="D42" s="138">
        <f>SUM(D32:D41)</f>
        <v>1254.006164767972</v>
      </c>
      <c r="E42" s="139">
        <f>SUM(E32:E41)</f>
        <v>1</v>
      </c>
      <c r="F42" s="203" t="s">
        <v>229</v>
      </c>
      <c r="G42" s="85">
        <v>0</v>
      </c>
      <c r="H42" s="85">
        <v>0</v>
      </c>
      <c r="I42" s="85">
        <v>0</v>
      </c>
      <c r="J42" s="85">
        <v>0</v>
      </c>
      <c r="K42" s="85">
        <v>1</v>
      </c>
      <c r="L42" s="85">
        <v>0</v>
      </c>
      <c r="M42" s="85">
        <v>1</v>
      </c>
      <c r="N42" s="85">
        <v>0</v>
      </c>
      <c r="O42" s="85">
        <v>1</v>
      </c>
      <c r="P42" s="73">
        <v>0</v>
      </c>
      <c r="Q42" s="85">
        <v>0</v>
      </c>
      <c r="R42" s="74">
        <v>1</v>
      </c>
      <c r="S42"/>
      <c r="T42"/>
    </row>
    <row r="43" spans="1:20" ht="15" customHeight="1" x14ac:dyDescent="0.15">
      <c r="A43" s="85"/>
      <c r="F43" s="203" t="s">
        <v>230</v>
      </c>
      <c r="G43" s="85">
        <v>0</v>
      </c>
      <c r="H43" s="85">
        <v>0</v>
      </c>
      <c r="I43" s="85">
        <v>0</v>
      </c>
      <c r="J43" s="85">
        <v>0</v>
      </c>
      <c r="K43" s="85">
        <v>1</v>
      </c>
      <c r="L43" s="85">
        <v>0</v>
      </c>
      <c r="M43" s="85">
        <v>1</v>
      </c>
      <c r="N43" s="85">
        <v>0</v>
      </c>
      <c r="O43" s="85">
        <v>1</v>
      </c>
      <c r="P43" s="73">
        <v>0</v>
      </c>
      <c r="Q43" s="85">
        <v>0</v>
      </c>
      <c r="R43" s="74">
        <v>1</v>
      </c>
      <c r="S43"/>
      <c r="T43"/>
    </row>
    <row r="44" spans="1:20" ht="15" customHeight="1" x14ac:dyDescent="0.15">
      <c r="A44" s="85"/>
      <c r="F44" s="203" t="s">
        <v>231</v>
      </c>
      <c r="G44" s="85">
        <v>0</v>
      </c>
      <c r="H44" s="85">
        <v>0</v>
      </c>
      <c r="I44" s="85">
        <v>0</v>
      </c>
      <c r="J44" s="85">
        <v>0</v>
      </c>
      <c r="K44" s="85">
        <v>1</v>
      </c>
      <c r="L44" s="85">
        <v>0</v>
      </c>
      <c r="M44" s="85">
        <v>1</v>
      </c>
      <c r="N44" s="85">
        <v>0</v>
      </c>
      <c r="O44" s="85">
        <v>1</v>
      </c>
      <c r="P44" s="73">
        <v>0</v>
      </c>
      <c r="Q44" s="85">
        <v>0</v>
      </c>
      <c r="R44" s="74">
        <v>1</v>
      </c>
    </row>
    <row r="45" spans="1:20" ht="15" customHeight="1" x14ac:dyDescent="0.15">
      <c r="A45" s="85"/>
      <c r="F45" s="203" t="s">
        <v>232</v>
      </c>
      <c r="G45" s="85">
        <v>0</v>
      </c>
      <c r="H45" s="85">
        <v>0</v>
      </c>
      <c r="I45" s="85">
        <v>0</v>
      </c>
      <c r="J45" s="85">
        <v>0</v>
      </c>
      <c r="K45" s="85">
        <v>1</v>
      </c>
      <c r="L45" s="85">
        <v>0</v>
      </c>
      <c r="M45" s="85">
        <v>1</v>
      </c>
      <c r="N45" s="85">
        <v>0</v>
      </c>
      <c r="O45" s="85">
        <v>1</v>
      </c>
      <c r="P45" s="73">
        <v>0</v>
      </c>
      <c r="Q45" s="85">
        <v>0</v>
      </c>
      <c r="R45" s="74">
        <v>1</v>
      </c>
    </row>
    <row r="46" spans="1:20" ht="15" customHeight="1" x14ac:dyDescent="0.15">
      <c r="A46" s="85"/>
      <c r="F46" s="203" t="s">
        <v>233</v>
      </c>
      <c r="G46" s="85">
        <v>0</v>
      </c>
      <c r="H46" s="85">
        <v>0</v>
      </c>
      <c r="I46" s="85">
        <v>0</v>
      </c>
      <c r="J46" s="85">
        <v>0</v>
      </c>
      <c r="K46" s="85">
        <v>0</v>
      </c>
      <c r="L46" s="85">
        <v>1</v>
      </c>
      <c r="M46" s="85">
        <v>0</v>
      </c>
      <c r="N46" s="85">
        <v>1</v>
      </c>
      <c r="O46" s="85">
        <v>0</v>
      </c>
      <c r="P46" s="73">
        <v>1</v>
      </c>
      <c r="Q46" s="85">
        <v>0</v>
      </c>
      <c r="R46" s="74">
        <v>1</v>
      </c>
    </row>
    <row r="47" spans="1:20" ht="15" customHeight="1" x14ac:dyDescent="0.15">
      <c r="A47" s="85"/>
      <c r="F47" s="203" t="s">
        <v>234</v>
      </c>
      <c r="G47" s="85">
        <v>0</v>
      </c>
      <c r="H47" s="85">
        <v>0</v>
      </c>
      <c r="I47" s="85">
        <v>0</v>
      </c>
      <c r="J47" s="85">
        <v>0</v>
      </c>
      <c r="K47" s="85">
        <v>0</v>
      </c>
      <c r="L47" s="85">
        <v>1</v>
      </c>
      <c r="M47" s="85">
        <v>0</v>
      </c>
      <c r="N47" s="85">
        <v>1</v>
      </c>
      <c r="O47" s="85">
        <v>0</v>
      </c>
      <c r="P47" s="73">
        <v>1</v>
      </c>
      <c r="Q47" s="85">
        <v>0</v>
      </c>
      <c r="R47" s="74">
        <v>1</v>
      </c>
    </row>
    <row r="48" spans="1:20" ht="15" customHeight="1" x14ac:dyDescent="0.15">
      <c r="A48" s="85"/>
      <c r="F48" s="203" t="s">
        <v>235</v>
      </c>
      <c r="G48" s="85">
        <v>0</v>
      </c>
      <c r="H48" s="85">
        <v>0</v>
      </c>
      <c r="I48" s="85">
        <v>0</v>
      </c>
      <c r="J48" s="85">
        <v>0</v>
      </c>
      <c r="K48" s="85">
        <v>0</v>
      </c>
      <c r="L48" s="85">
        <v>1</v>
      </c>
      <c r="M48" s="85">
        <v>0</v>
      </c>
      <c r="N48" s="85">
        <v>0</v>
      </c>
      <c r="O48" s="85">
        <v>0</v>
      </c>
      <c r="P48" s="73">
        <v>0</v>
      </c>
      <c r="Q48" s="85">
        <v>0</v>
      </c>
      <c r="R48" s="74">
        <v>1</v>
      </c>
    </row>
    <row r="49" spans="6:18" s="85" customFormat="1" ht="15" customHeight="1" x14ac:dyDescent="0.15">
      <c r="F49" s="203" t="s">
        <v>236</v>
      </c>
      <c r="G49" s="85">
        <v>0</v>
      </c>
      <c r="H49" s="85">
        <v>0</v>
      </c>
      <c r="I49" s="85">
        <v>0</v>
      </c>
      <c r="J49" s="85">
        <v>0</v>
      </c>
      <c r="K49" s="85">
        <v>0</v>
      </c>
      <c r="L49" s="85">
        <v>1</v>
      </c>
      <c r="M49" s="85">
        <v>0</v>
      </c>
      <c r="N49" s="85">
        <v>0</v>
      </c>
      <c r="O49" s="85">
        <v>0</v>
      </c>
      <c r="P49" s="73">
        <v>0</v>
      </c>
      <c r="Q49" s="85">
        <v>0</v>
      </c>
      <c r="R49" s="74">
        <v>1</v>
      </c>
    </row>
    <row r="50" spans="6:18" s="85" customFormat="1" ht="15" customHeight="1" x14ac:dyDescent="0.15">
      <c r="F50" s="203" t="s">
        <v>237</v>
      </c>
      <c r="G50" s="85">
        <v>0</v>
      </c>
      <c r="H50" s="85">
        <v>0</v>
      </c>
      <c r="I50" s="85">
        <v>0</v>
      </c>
      <c r="J50" s="85">
        <v>0</v>
      </c>
      <c r="K50" s="85">
        <v>0</v>
      </c>
      <c r="L50" s="85">
        <v>1</v>
      </c>
      <c r="M50" s="85">
        <v>0</v>
      </c>
      <c r="N50" s="85">
        <v>0</v>
      </c>
      <c r="O50" s="85">
        <v>0</v>
      </c>
      <c r="P50" s="73">
        <v>0</v>
      </c>
      <c r="Q50" s="85">
        <v>0</v>
      </c>
      <c r="R50" s="74">
        <v>1</v>
      </c>
    </row>
    <row r="51" spans="6:18" s="85" customFormat="1" ht="15" customHeight="1" x14ac:dyDescent="0.15">
      <c r="F51" s="203" t="s">
        <v>238</v>
      </c>
      <c r="G51" s="85">
        <v>0</v>
      </c>
      <c r="H51" s="85">
        <v>0</v>
      </c>
      <c r="I51" s="85">
        <v>0</v>
      </c>
      <c r="J51" s="85">
        <v>0</v>
      </c>
      <c r="K51" s="85">
        <v>0</v>
      </c>
      <c r="L51" s="85">
        <v>1</v>
      </c>
      <c r="M51" s="85">
        <v>0</v>
      </c>
      <c r="N51" s="85">
        <v>0</v>
      </c>
      <c r="O51" s="85">
        <v>0</v>
      </c>
      <c r="P51" s="73">
        <v>0</v>
      </c>
      <c r="Q51" s="85">
        <v>0</v>
      </c>
      <c r="R51" s="74">
        <v>1</v>
      </c>
    </row>
    <row r="52" spans="6:18" s="85" customFormat="1" ht="15" customHeight="1" x14ac:dyDescent="0.15">
      <c r="F52" s="203" t="s">
        <v>239</v>
      </c>
      <c r="G52" s="85">
        <v>0</v>
      </c>
      <c r="H52" s="85">
        <v>0</v>
      </c>
      <c r="I52" s="85">
        <v>0</v>
      </c>
      <c r="J52" s="85">
        <v>0</v>
      </c>
      <c r="K52" s="85">
        <v>0</v>
      </c>
      <c r="L52" s="85">
        <v>1</v>
      </c>
      <c r="M52" s="85">
        <v>0</v>
      </c>
      <c r="N52" s="85">
        <v>0</v>
      </c>
      <c r="O52" s="85">
        <v>0</v>
      </c>
      <c r="P52" s="73">
        <v>0</v>
      </c>
      <c r="Q52" s="85">
        <v>0</v>
      </c>
      <c r="R52" s="74">
        <v>1</v>
      </c>
    </row>
    <row r="53" spans="6:18" s="85" customFormat="1" ht="15" customHeight="1" x14ac:dyDescent="0.15">
      <c r="F53" s="203" t="s">
        <v>240</v>
      </c>
      <c r="G53" s="85">
        <v>0</v>
      </c>
      <c r="H53" s="85">
        <v>0</v>
      </c>
      <c r="I53" s="85">
        <v>0</v>
      </c>
      <c r="J53" s="85">
        <v>0</v>
      </c>
      <c r="K53" s="85">
        <v>0</v>
      </c>
      <c r="L53" s="85">
        <v>1</v>
      </c>
      <c r="M53" s="85">
        <v>0</v>
      </c>
      <c r="N53" s="85">
        <v>0</v>
      </c>
      <c r="O53" s="85">
        <v>0</v>
      </c>
      <c r="P53" s="73">
        <v>0</v>
      </c>
      <c r="Q53" s="85">
        <v>0</v>
      </c>
      <c r="R53" s="74">
        <v>1</v>
      </c>
    </row>
    <row r="54" spans="6:18" s="85" customFormat="1" ht="15" customHeight="1" x14ac:dyDescent="0.15">
      <c r="F54"/>
      <c r="G54"/>
      <c r="H54"/>
      <c r="I54"/>
      <c r="J54"/>
      <c r="K54"/>
      <c r="L54"/>
      <c r="M54"/>
      <c r="N54"/>
      <c r="O54"/>
      <c r="P54"/>
      <c r="Q54"/>
      <c r="R54"/>
    </row>
    <row r="55" spans="6:18" s="85" customFormat="1" ht="15" customHeight="1" x14ac:dyDescent="0.15">
      <c r="F55"/>
      <c r="G55"/>
      <c r="H55"/>
      <c r="I55"/>
      <c r="J55"/>
      <c r="K55"/>
      <c r="L55"/>
      <c r="M55"/>
      <c r="N55"/>
      <c r="O55"/>
      <c r="P55"/>
      <c r="Q55"/>
      <c r="R55"/>
    </row>
    <row r="56" spans="6:18" s="85" customFormat="1" ht="15" customHeight="1" x14ac:dyDescent="0.15">
      <c r="F56"/>
      <c r="G56"/>
      <c r="H56"/>
      <c r="I56"/>
      <c r="J56"/>
      <c r="K56"/>
      <c r="L56"/>
      <c r="M56"/>
      <c r="N56"/>
      <c r="O56"/>
      <c r="P56"/>
      <c r="Q56"/>
      <c r="R56"/>
    </row>
    <row r="57" spans="6:18" s="85" customFormat="1" ht="15" customHeight="1" x14ac:dyDescent="0.15">
      <c r="F57"/>
      <c r="G57"/>
      <c r="H57"/>
      <c r="I57"/>
      <c r="J57"/>
      <c r="K57"/>
      <c r="L57"/>
      <c r="M57"/>
      <c r="N57"/>
      <c r="O57"/>
      <c r="P57"/>
      <c r="Q57"/>
      <c r="R57"/>
    </row>
    <row r="58" spans="6:18" s="85" customFormat="1" ht="15" customHeight="1" x14ac:dyDescent="0.15">
      <c r="F58"/>
      <c r="G58"/>
      <c r="H58"/>
      <c r="I58"/>
      <c r="J58"/>
      <c r="K58"/>
      <c r="L58"/>
      <c r="M58"/>
      <c r="N58"/>
      <c r="O58"/>
      <c r="P58"/>
      <c r="Q58"/>
      <c r="R58"/>
    </row>
    <row r="59" spans="6:18" s="85" customFormat="1" ht="15" customHeight="1" x14ac:dyDescent="0.15">
      <c r="F59"/>
      <c r="G59"/>
      <c r="H59"/>
      <c r="I59"/>
      <c r="J59"/>
      <c r="K59"/>
      <c r="L59"/>
      <c r="M59"/>
      <c r="N59"/>
      <c r="O59"/>
      <c r="P59"/>
      <c r="Q59"/>
      <c r="R59"/>
    </row>
    <row r="60" spans="6:18" s="85" customFormat="1" ht="15" customHeight="1" x14ac:dyDescent="0.15">
      <c r="F60"/>
      <c r="G60"/>
      <c r="H60"/>
      <c r="I60"/>
      <c r="J60"/>
      <c r="K60"/>
      <c r="L60"/>
      <c r="M60"/>
      <c r="N60"/>
      <c r="O60"/>
      <c r="P60"/>
      <c r="Q60"/>
      <c r="R60"/>
    </row>
    <row r="61" spans="6:18" s="85" customFormat="1" ht="15" customHeight="1" x14ac:dyDescent="0.15">
      <c r="F61"/>
      <c r="G61"/>
      <c r="H61"/>
      <c r="I61"/>
      <c r="J61"/>
      <c r="K61"/>
      <c r="L61"/>
      <c r="M61"/>
      <c r="N61"/>
      <c r="O61"/>
      <c r="P61"/>
      <c r="Q61"/>
      <c r="R61"/>
    </row>
    <row r="62" spans="6:18" s="85" customFormat="1" ht="15" customHeight="1" x14ac:dyDescent="0.15">
      <c r="F62"/>
      <c r="G62"/>
      <c r="H62"/>
      <c r="I62"/>
      <c r="J62"/>
      <c r="K62"/>
      <c r="L62"/>
      <c r="M62"/>
      <c r="N62"/>
      <c r="O62"/>
      <c r="P62"/>
      <c r="Q62"/>
      <c r="R62"/>
    </row>
    <row r="63" spans="6:18" s="85" customFormat="1" ht="15" customHeight="1" x14ac:dyDescent="0.15">
      <c r="F63"/>
      <c r="G63"/>
      <c r="H63"/>
      <c r="I63"/>
      <c r="J63"/>
      <c r="K63"/>
      <c r="L63"/>
      <c r="M63"/>
      <c r="N63"/>
      <c r="O63"/>
      <c r="P63"/>
      <c r="Q63"/>
      <c r="R63"/>
    </row>
    <row r="64" spans="6:18" s="85"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5"/>
      <c r="F76"/>
      <c r="G76"/>
      <c r="H76"/>
      <c r="I76"/>
      <c r="J76"/>
      <c r="K76"/>
      <c r="L76"/>
      <c r="M76"/>
      <c r="N76"/>
      <c r="O76"/>
      <c r="P76"/>
      <c r="Q76"/>
      <c r="R76"/>
    </row>
    <row r="77" spans="1:18" ht="15" customHeight="1" x14ac:dyDescent="0.15">
      <c r="A77" s="85"/>
      <c r="F77"/>
      <c r="G77"/>
      <c r="H77"/>
      <c r="I77"/>
      <c r="J77"/>
      <c r="K77"/>
      <c r="L77"/>
      <c r="M77"/>
      <c r="N77"/>
      <c r="O77"/>
      <c r="P77"/>
      <c r="Q77"/>
      <c r="R77"/>
    </row>
    <row r="78" spans="1:18" ht="15" customHeight="1" x14ac:dyDescent="0.15">
      <c r="A78" s="85"/>
      <c r="F78"/>
      <c r="G78"/>
      <c r="H78"/>
      <c r="I78"/>
      <c r="J78"/>
      <c r="K78"/>
      <c r="L78"/>
      <c r="M78"/>
      <c r="N78"/>
      <c r="O78"/>
      <c r="P78"/>
      <c r="Q78"/>
      <c r="R78"/>
    </row>
    <row r="79" spans="1:18" ht="15" customHeight="1" x14ac:dyDescent="0.15">
      <c r="A79" s="85"/>
      <c r="F79"/>
      <c r="G79"/>
      <c r="H79"/>
      <c r="I79"/>
      <c r="J79"/>
      <c r="K79"/>
      <c r="L79"/>
      <c r="M79"/>
      <c r="N79"/>
      <c r="O79"/>
      <c r="P79"/>
      <c r="Q79"/>
      <c r="R79"/>
    </row>
    <row r="80" spans="1:18" ht="15" customHeight="1" x14ac:dyDescent="0.15">
      <c r="A80" s="85"/>
      <c r="F80"/>
      <c r="G80"/>
      <c r="H80"/>
      <c r="I80"/>
      <c r="J80"/>
      <c r="K80"/>
      <c r="L80"/>
      <c r="M80"/>
      <c r="N80"/>
      <c r="O80"/>
      <c r="P80"/>
      <c r="Q80"/>
      <c r="R80"/>
    </row>
    <row r="81" spans="1:18" ht="15" customHeight="1" x14ac:dyDescent="0.15">
      <c r="A81" s="85"/>
      <c r="F81"/>
      <c r="G81"/>
      <c r="H81"/>
      <c r="I81"/>
      <c r="J81"/>
      <c r="K81"/>
      <c r="L81"/>
      <c r="M81"/>
      <c r="N81"/>
      <c r="O81"/>
      <c r="P81"/>
      <c r="Q81"/>
      <c r="R81"/>
    </row>
    <row r="82" spans="1:18" ht="15" customHeight="1" x14ac:dyDescent="0.15">
      <c r="A82" s="85"/>
      <c r="F82"/>
      <c r="G82"/>
      <c r="H82"/>
      <c r="I82"/>
      <c r="J82"/>
      <c r="K82"/>
      <c r="L82"/>
      <c r="M82"/>
      <c r="N82"/>
      <c r="O82"/>
      <c r="P82"/>
      <c r="Q82"/>
      <c r="R82"/>
    </row>
    <row r="83" spans="1:18" ht="15" customHeight="1" x14ac:dyDescent="0.15">
      <c r="A83" s="85"/>
      <c r="F83"/>
      <c r="G83"/>
      <c r="H83"/>
      <c r="I83"/>
      <c r="J83"/>
      <c r="K83"/>
      <c r="L83"/>
      <c r="M83"/>
      <c r="N83"/>
      <c r="O83"/>
      <c r="P83"/>
      <c r="Q83"/>
      <c r="R83"/>
    </row>
    <row r="84" spans="1:18" ht="15" customHeight="1" x14ac:dyDescent="0.15">
      <c r="A84" s="85"/>
      <c r="F84"/>
      <c r="G84"/>
      <c r="H84"/>
      <c r="I84"/>
      <c r="J84"/>
      <c r="K84"/>
      <c r="L84"/>
      <c r="M84"/>
      <c r="N84"/>
      <c r="O84"/>
      <c r="P84"/>
      <c r="Q84"/>
      <c r="R84"/>
    </row>
    <row r="85" spans="1:18" ht="15" customHeight="1" x14ac:dyDescent="0.15">
      <c r="A85" s="85"/>
      <c r="F85"/>
      <c r="G85"/>
      <c r="H85"/>
      <c r="I85"/>
      <c r="J85"/>
      <c r="K85"/>
      <c r="L85"/>
      <c r="M85"/>
      <c r="N85"/>
      <c r="O85"/>
      <c r="P85"/>
      <c r="Q85"/>
      <c r="R85"/>
    </row>
    <row r="86" spans="1:18" ht="15" customHeight="1" x14ac:dyDescent="0.15">
      <c r="A86" s="85"/>
      <c r="F86"/>
      <c r="G86"/>
      <c r="H86"/>
      <c r="I86"/>
      <c r="J86"/>
      <c r="K86"/>
      <c r="L86"/>
      <c r="M86"/>
      <c r="N86"/>
      <c r="O86"/>
      <c r="P86"/>
      <c r="Q86"/>
      <c r="R86"/>
    </row>
    <row r="87" spans="1:18" ht="15" customHeight="1" x14ac:dyDescent="0.15">
      <c r="A87" s="85"/>
      <c r="F87"/>
      <c r="G87"/>
      <c r="H87"/>
      <c r="I87"/>
      <c r="J87"/>
      <c r="K87"/>
      <c r="L87"/>
      <c r="M87"/>
      <c r="N87"/>
      <c r="O87"/>
      <c r="P87"/>
      <c r="Q87"/>
      <c r="R87"/>
    </row>
    <row r="88" spans="1:18" ht="15" customHeight="1" x14ac:dyDescent="0.15">
      <c r="A88" s="85"/>
      <c r="F88"/>
      <c r="G88"/>
      <c r="H88"/>
      <c r="I88"/>
      <c r="J88"/>
      <c r="K88"/>
      <c r="L88"/>
      <c r="M88"/>
      <c r="N88"/>
      <c r="O88"/>
      <c r="P88"/>
      <c r="Q88"/>
      <c r="R88"/>
    </row>
    <row r="89" spans="1:18" ht="15" customHeight="1" x14ac:dyDescent="0.15">
      <c r="A89" s="85"/>
      <c r="F89"/>
      <c r="G89"/>
      <c r="H89"/>
      <c r="I89"/>
      <c r="J89"/>
      <c r="K89"/>
      <c r="L89"/>
      <c r="M89"/>
      <c r="N89"/>
      <c r="O89"/>
      <c r="P89"/>
      <c r="Q89"/>
      <c r="R89"/>
    </row>
    <row r="90" spans="1:18" ht="15" customHeight="1" x14ac:dyDescent="0.15">
      <c r="A90" s="85"/>
      <c r="F90"/>
      <c r="G90"/>
      <c r="H90"/>
      <c r="I90"/>
      <c r="J90"/>
      <c r="K90"/>
      <c r="L90"/>
      <c r="M90"/>
      <c r="N90"/>
      <c r="O90"/>
      <c r="P90"/>
      <c r="Q90"/>
      <c r="R90"/>
    </row>
    <row r="91" spans="1:18" ht="15" customHeight="1" x14ac:dyDescent="0.15">
      <c r="A91" s="85"/>
      <c r="F91"/>
      <c r="G91"/>
      <c r="H91"/>
      <c r="I91"/>
      <c r="J91"/>
      <c r="K91"/>
      <c r="L91"/>
      <c r="M91"/>
      <c r="N91"/>
      <c r="O91"/>
      <c r="P91"/>
      <c r="Q91"/>
      <c r="R91"/>
    </row>
    <row r="92" spans="1:18" ht="15" customHeight="1" x14ac:dyDescent="0.15">
      <c r="A92" s="85"/>
      <c r="F92"/>
      <c r="G92"/>
      <c r="H92"/>
      <c r="I92"/>
      <c r="J92"/>
      <c r="K92"/>
      <c r="L92"/>
      <c r="M92"/>
      <c r="N92"/>
      <c r="O92"/>
      <c r="P92"/>
      <c r="Q92"/>
      <c r="R92"/>
    </row>
    <row r="93" spans="1:18" ht="15" customHeight="1" x14ac:dyDescent="0.15">
      <c r="A93" s="85"/>
      <c r="F93"/>
      <c r="G93"/>
      <c r="H93"/>
      <c r="I93"/>
      <c r="J93"/>
      <c r="K93"/>
      <c r="L93"/>
      <c r="M93"/>
      <c r="N93"/>
      <c r="O93"/>
      <c r="P93"/>
      <c r="Q93"/>
      <c r="R93"/>
    </row>
    <row r="94" spans="1:18" ht="15" customHeight="1" x14ac:dyDescent="0.15">
      <c r="A94" s="85"/>
      <c r="F94"/>
      <c r="G94"/>
      <c r="H94"/>
      <c r="I94"/>
      <c r="J94"/>
      <c r="K94"/>
      <c r="L94"/>
      <c r="M94"/>
      <c r="N94"/>
      <c r="O94"/>
      <c r="P94"/>
      <c r="Q94"/>
      <c r="R94"/>
    </row>
    <row r="95" spans="1:18" ht="15" customHeight="1" x14ac:dyDescent="0.15">
      <c r="A95" s="85"/>
      <c r="F95"/>
      <c r="G95"/>
      <c r="H95"/>
      <c r="I95"/>
      <c r="J95"/>
      <c r="K95"/>
      <c r="L95"/>
      <c r="M95"/>
      <c r="N95"/>
      <c r="O95"/>
      <c r="P95"/>
      <c r="Q95"/>
      <c r="R95"/>
    </row>
    <row r="96" spans="1:18" ht="15" customHeight="1" x14ac:dyDescent="0.15">
      <c r="A96" s="85"/>
      <c r="F96"/>
      <c r="G96"/>
      <c r="H96"/>
      <c r="I96"/>
      <c r="J96"/>
      <c r="K96"/>
      <c r="L96"/>
      <c r="M96"/>
      <c r="N96"/>
      <c r="O96"/>
      <c r="P96"/>
      <c r="Q96"/>
      <c r="R96"/>
    </row>
    <row r="97" spans="1:18" ht="15" customHeight="1" x14ac:dyDescent="0.15">
      <c r="A97" s="85"/>
      <c r="F97"/>
      <c r="G97"/>
      <c r="H97"/>
      <c r="I97"/>
      <c r="J97"/>
      <c r="K97"/>
      <c r="L97"/>
      <c r="M97"/>
      <c r="N97"/>
      <c r="O97"/>
      <c r="P97"/>
      <c r="Q97"/>
      <c r="R97"/>
    </row>
    <row r="98" spans="1:18" ht="15" customHeight="1" x14ac:dyDescent="0.15">
      <c r="A98" s="85"/>
      <c r="F98"/>
      <c r="G98"/>
      <c r="H98"/>
      <c r="I98"/>
      <c r="J98"/>
      <c r="K98"/>
      <c r="L98"/>
      <c r="M98"/>
      <c r="N98"/>
      <c r="O98"/>
      <c r="P98"/>
      <c r="Q98"/>
      <c r="R98"/>
    </row>
    <row r="99" spans="1:18" ht="15" customHeight="1" x14ac:dyDescent="0.15">
      <c r="A99" s="85"/>
      <c r="F99"/>
      <c r="G99"/>
      <c r="H99"/>
      <c r="I99"/>
      <c r="J99"/>
      <c r="K99"/>
      <c r="L99"/>
      <c r="M99"/>
      <c r="N99"/>
      <c r="O99"/>
      <c r="P99"/>
      <c r="Q99"/>
      <c r="R99"/>
    </row>
    <row r="100" spans="1:18" ht="15" customHeight="1" x14ac:dyDescent="0.15">
      <c r="A100" s="85"/>
      <c r="F100"/>
      <c r="G100"/>
      <c r="H100"/>
      <c r="I100"/>
      <c r="J100"/>
      <c r="K100"/>
      <c r="L100"/>
      <c r="M100"/>
      <c r="N100"/>
      <c r="O100"/>
      <c r="P100"/>
      <c r="Q100"/>
      <c r="R100"/>
    </row>
    <row r="101" spans="1:18" ht="15" customHeight="1" x14ac:dyDescent="0.15">
      <c r="A101" s="85"/>
      <c r="F101"/>
      <c r="G101"/>
      <c r="H101"/>
      <c r="I101"/>
      <c r="J101"/>
      <c r="K101"/>
      <c r="L101"/>
      <c r="M101"/>
      <c r="N101"/>
      <c r="O101"/>
      <c r="P101"/>
      <c r="Q101"/>
      <c r="R101"/>
    </row>
    <row r="102" spans="1:18" ht="15" customHeight="1" x14ac:dyDescent="0.15">
      <c r="A102" s="85"/>
      <c r="F102"/>
      <c r="G102"/>
      <c r="H102"/>
      <c r="I102"/>
      <c r="J102"/>
      <c r="K102"/>
      <c r="L102"/>
      <c r="M102"/>
      <c r="N102"/>
      <c r="O102"/>
      <c r="P102"/>
      <c r="Q102"/>
      <c r="R102"/>
    </row>
    <row r="103" spans="1:18" ht="15" customHeight="1" x14ac:dyDescent="0.15">
      <c r="A103" s="85"/>
      <c r="F103"/>
      <c r="G103"/>
      <c r="H103"/>
      <c r="I103"/>
      <c r="J103"/>
      <c r="K103"/>
      <c r="L103"/>
      <c r="M103"/>
      <c r="N103"/>
      <c r="O103"/>
      <c r="P103"/>
      <c r="Q103"/>
      <c r="R103"/>
    </row>
    <row r="104" spans="1:18" ht="15" customHeight="1" x14ac:dyDescent="0.15">
      <c r="A104" s="85"/>
      <c r="F104"/>
      <c r="G104"/>
      <c r="H104"/>
      <c r="I104"/>
      <c r="J104"/>
      <c r="K104"/>
      <c r="L104"/>
      <c r="M104"/>
      <c r="N104"/>
      <c r="O104"/>
      <c r="P104"/>
      <c r="Q104"/>
      <c r="R104"/>
    </row>
    <row r="105" spans="1:18" ht="15" customHeight="1" x14ac:dyDescent="0.15">
      <c r="A105" s="85"/>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5" customFormat="1" ht="15" customHeight="1" x14ac:dyDescent="0.15">
      <c r="F113"/>
      <c r="G113"/>
      <c r="H113"/>
      <c r="I113"/>
      <c r="J113"/>
      <c r="K113"/>
      <c r="L113"/>
      <c r="M113"/>
      <c r="N113"/>
      <c r="O113"/>
      <c r="P113"/>
      <c r="Q113"/>
      <c r="R113"/>
    </row>
    <row r="114" spans="6:18" s="85" customFormat="1" ht="15" customHeight="1" x14ac:dyDescent="0.15">
      <c r="F114"/>
      <c r="G114"/>
      <c r="H114"/>
      <c r="I114"/>
      <c r="J114"/>
      <c r="K114"/>
      <c r="L114"/>
      <c r="M114"/>
      <c r="N114"/>
      <c r="O114"/>
      <c r="P114"/>
      <c r="Q114"/>
      <c r="R114"/>
    </row>
    <row r="115" spans="6:18" s="85" customFormat="1" ht="15" customHeight="1" x14ac:dyDescent="0.15">
      <c r="F115"/>
      <c r="G115"/>
      <c r="H115"/>
      <c r="I115"/>
      <c r="J115"/>
      <c r="K115"/>
      <c r="L115"/>
      <c r="M115"/>
      <c r="N115"/>
      <c r="O115"/>
      <c r="P115"/>
      <c r="Q115"/>
      <c r="R115"/>
    </row>
    <row r="116" spans="6:18" s="85" customFormat="1" ht="15" customHeight="1" x14ac:dyDescent="0.15">
      <c r="F116"/>
      <c r="G116"/>
      <c r="H116"/>
      <c r="I116"/>
      <c r="J116"/>
      <c r="K116"/>
      <c r="L116"/>
      <c r="M116"/>
      <c r="N116"/>
      <c r="O116"/>
      <c r="P116"/>
      <c r="Q116"/>
      <c r="R116"/>
    </row>
    <row r="117" spans="6:18" s="85" customFormat="1" ht="15" customHeight="1" x14ac:dyDescent="0.15">
      <c r="F117"/>
      <c r="G117"/>
      <c r="H117"/>
      <c r="I117"/>
      <c r="J117"/>
      <c r="K117"/>
      <c r="L117"/>
      <c r="M117"/>
      <c r="N117"/>
      <c r="O117"/>
      <c r="P117"/>
      <c r="Q117"/>
      <c r="R117"/>
    </row>
    <row r="118" spans="6:18" s="85" customFormat="1" ht="15" customHeight="1" x14ac:dyDescent="0.15">
      <c r="F118"/>
      <c r="G118"/>
      <c r="H118"/>
      <c r="I118"/>
      <c r="J118"/>
      <c r="K118"/>
      <c r="L118"/>
      <c r="M118"/>
      <c r="N118"/>
      <c r="O118"/>
      <c r="P118"/>
      <c r="Q118"/>
      <c r="R118"/>
    </row>
    <row r="119" spans="6:18" s="85" customFormat="1" ht="15" customHeight="1" x14ac:dyDescent="0.15">
      <c r="F119"/>
      <c r="G119"/>
      <c r="H119"/>
      <c r="I119"/>
      <c r="J119"/>
      <c r="K119"/>
      <c r="L119"/>
      <c r="M119"/>
      <c r="N119"/>
      <c r="O119"/>
      <c r="P119"/>
      <c r="Q119"/>
      <c r="R119"/>
    </row>
    <row r="120" spans="6:18" s="85" customFormat="1" ht="15" customHeight="1" x14ac:dyDescent="0.15">
      <c r="F120"/>
      <c r="G120"/>
      <c r="H120"/>
      <c r="I120"/>
      <c r="J120"/>
      <c r="K120"/>
      <c r="L120"/>
      <c r="M120"/>
      <c r="N120"/>
      <c r="O120"/>
      <c r="P120"/>
      <c r="Q120"/>
      <c r="R120"/>
    </row>
    <row r="121" spans="6:18" s="85" customFormat="1" ht="15" customHeight="1" x14ac:dyDescent="0.15">
      <c r="F121"/>
      <c r="G121"/>
      <c r="H121"/>
      <c r="I121"/>
      <c r="J121"/>
      <c r="K121"/>
      <c r="L121"/>
      <c r="M121"/>
      <c r="N121"/>
      <c r="O121"/>
      <c r="P121"/>
      <c r="Q121"/>
      <c r="R121"/>
    </row>
    <row r="122" spans="6:18" s="85" customFormat="1" ht="15" customHeight="1" x14ac:dyDescent="0.15">
      <c r="F122"/>
      <c r="G122"/>
      <c r="H122"/>
      <c r="I122"/>
      <c r="J122"/>
      <c r="K122"/>
      <c r="L122"/>
      <c r="M122"/>
      <c r="N122"/>
      <c r="O122"/>
      <c r="P122"/>
      <c r="Q122"/>
      <c r="R122"/>
    </row>
    <row r="123" spans="6:18" s="85" customFormat="1" ht="15" customHeight="1" x14ac:dyDescent="0.15">
      <c r="F123"/>
      <c r="G123"/>
      <c r="H123"/>
      <c r="I123"/>
      <c r="J123"/>
      <c r="K123"/>
      <c r="L123"/>
      <c r="M123"/>
      <c r="N123"/>
      <c r="O123"/>
      <c r="P123"/>
      <c r="Q123"/>
      <c r="R123"/>
    </row>
    <row r="124" spans="6:18" s="85" customFormat="1" ht="15" customHeight="1" x14ac:dyDescent="0.15">
      <c r="F124"/>
      <c r="G124"/>
      <c r="H124"/>
      <c r="I124"/>
      <c r="J124"/>
      <c r="K124"/>
      <c r="L124"/>
      <c r="M124"/>
      <c r="N124"/>
      <c r="O124"/>
      <c r="P124"/>
      <c r="Q124"/>
      <c r="R124"/>
    </row>
    <row r="125" spans="6:18" s="85" customFormat="1" ht="15" customHeight="1" x14ac:dyDescent="0.15">
      <c r="F125"/>
      <c r="G125"/>
      <c r="H125"/>
      <c r="I125"/>
      <c r="J125"/>
      <c r="K125"/>
      <c r="L125"/>
      <c r="M125"/>
      <c r="N125"/>
      <c r="O125"/>
      <c r="P125"/>
      <c r="Q125"/>
      <c r="R125"/>
    </row>
    <row r="126" spans="6:18" s="85" customFormat="1" ht="15" customHeight="1" x14ac:dyDescent="0.15">
      <c r="F126"/>
      <c r="G126"/>
      <c r="H126"/>
      <c r="I126"/>
      <c r="J126"/>
      <c r="K126"/>
      <c r="L126"/>
      <c r="M126"/>
      <c r="N126"/>
      <c r="O126"/>
      <c r="P126"/>
      <c r="Q126"/>
      <c r="R126"/>
    </row>
    <row r="127" spans="6:18" s="85" customFormat="1" ht="15" customHeight="1" x14ac:dyDescent="0.15">
      <c r="F127"/>
      <c r="G127"/>
      <c r="H127"/>
      <c r="I127"/>
      <c r="J127"/>
      <c r="K127"/>
      <c r="L127"/>
      <c r="M127"/>
      <c r="N127"/>
      <c r="O127"/>
      <c r="P127"/>
      <c r="Q127"/>
      <c r="R127"/>
    </row>
    <row r="128" spans="6:18" s="85" customFormat="1" ht="15" customHeight="1" x14ac:dyDescent="0.15">
      <c r="F128"/>
      <c r="G128"/>
      <c r="H128"/>
      <c r="I128"/>
      <c r="J128"/>
      <c r="K128"/>
      <c r="L128"/>
      <c r="M128"/>
      <c r="N128"/>
      <c r="O128"/>
      <c r="P128"/>
      <c r="Q128"/>
      <c r="R128"/>
    </row>
    <row r="129" spans="6:18" s="85" customFormat="1" ht="15" customHeight="1" x14ac:dyDescent="0.15">
      <c r="F129"/>
      <c r="G129"/>
      <c r="H129"/>
      <c r="I129"/>
      <c r="J129"/>
      <c r="K129"/>
      <c r="L129"/>
      <c r="M129"/>
      <c r="N129"/>
      <c r="O129"/>
      <c r="P129"/>
      <c r="Q129"/>
      <c r="R129"/>
    </row>
    <row r="130" spans="6:18" s="85" customFormat="1" ht="15" customHeight="1" x14ac:dyDescent="0.15">
      <c r="F130"/>
      <c r="G130"/>
      <c r="H130"/>
      <c r="I130"/>
      <c r="J130"/>
      <c r="K130"/>
      <c r="L130"/>
      <c r="M130"/>
      <c r="N130"/>
      <c r="O130"/>
      <c r="P130"/>
      <c r="Q130"/>
      <c r="R130"/>
    </row>
    <row r="131" spans="6:18" s="85" customFormat="1" ht="15" customHeight="1" x14ac:dyDescent="0.15">
      <c r="F131"/>
      <c r="G131"/>
      <c r="H131"/>
      <c r="I131"/>
      <c r="J131"/>
      <c r="K131"/>
      <c r="L131"/>
      <c r="M131"/>
      <c r="N131"/>
      <c r="O131"/>
      <c r="P131"/>
      <c r="Q131"/>
      <c r="R131"/>
    </row>
    <row r="132" spans="6:18" s="85" customFormat="1" ht="15" customHeight="1" x14ac:dyDescent="0.15">
      <c r="F132"/>
      <c r="G132"/>
      <c r="H132"/>
      <c r="I132"/>
      <c r="J132"/>
      <c r="K132"/>
      <c r="L132"/>
      <c r="M132"/>
      <c r="N132"/>
      <c r="O132"/>
      <c r="P132"/>
      <c r="Q132"/>
      <c r="R132"/>
    </row>
    <row r="133" spans="6:18" s="85" customFormat="1" ht="15" customHeight="1" x14ac:dyDescent="0.15">
      <c r="F133"/>
      <c r="G133"/>
      <c r="H133"/>
      <c r="I133"/>
      <c r="J133"/>
      <c r="K133"/>
      <c r="L133"/>
      <c r="M133"/>
      <c r="N133"/>
      <c r="O133"/>
      <c r="P133"/>
      <c r="Q133"/>
      <c r="R133"/>
    </row>
    <row r="134" spans="6:18" s="85" customFormat="1" ht="15" customHeight="1" x14ac:dyDescent="0.15">
      <c r="F134"/>
      <c r="G134"/>
      <c r="H134"/>
      <c r="I134"/>
      <c r="J134"/>
      <c r="K134"/>
      <c r="L134"/>
      <c r="M134"/>
      <c r="N134"/>
      <c r="O134"/>
      <c r="P134"/>
      <c r="Q134"/>
      <c r="R134"/>
    </row>
    <row r="135" spans="6:18" s="85" customFormat="1" ht="15" customHeight="1" x14ac:dyDescent="0.15">
      <c r="F135"/>
      <c r="G135"/>
      <c r="H135"/>
      <c r="I135"/>
      <c r="J135"/>
      <c r="K135"/>
      <c r="L135"/>
      <c r="M135"/>
      <c r="N135"/>
      <c r="O135"/>
      <c r="P135"/>
      <c r="Q135"/>
      <c r="R135"/>
    </row>
    <row r="136" spans="6:18" s="85" customFormat="1" ht="15" customHeight="1" x14ac:dyDescent="0.15">
      <c r="F136"/>
      <c r="G136"/>
      <c r="H136"/>
      <c r="I136"/>
      <c r="J136"/>
      <c r="K136"/>
      <c r="L136"/>
      <c r="M136"/>
      <c r="N136"/>
      <c r="O136"/>
      <c r="P136"/>
      <c r="Q136"/>
      <c r="R136"/>
    </row>
    <row r="137" spans="6:18" s="85" customFormat="1" ht="15" customHeight="1" x14ac:dyDescent="0.15">
      <c r="F137"/>
      <c r="G137"/>
      <c r="H137"/>
      <c r="I137"/>
      <c r="J137"/>
      <c r="K137"/>
      <c r="L137"/>
      <c r="M137"/>
      <c r="N137"/>
      <c r="O137"/>
      <c r="P137"/>
      <c r="Q137"/>
      <c r="R137"/>
    </row>
    <row r="138" spans="6:18" s="85" customFormat="1" ht="15" customHeight="1" x14ac:dyDescent="0.15">
      <c r="F138"/>
      <c r="G138"/>
      <c r="H138"/>
      <c r="I138"/>
      <c r="J138"/>
      <c r="K138"/>
      <c r="L138"/>
      <c r="M138"/>
      <c r="N138"/>
      <c r="O138"/>
      <c r="P138"/>
      <c r="Q138"/>
      <c r="R138"/>
    </row>
    <row r="139" spans="6:18" s="85" customFormat="1" ht="15" customHeight="1" x14ac:dyDescent="0.15">
      <c r="F139"/>
      <c r="G139"/>
      <c r="H139"/>
      <c r="I139"/>
      <c r="J139"/>
      <c r="K139"/>
      <c r="L139"/>
      <c r="M139"/>
      <c r="N139"/>
      <c r="O139"/>
      <c r="P139"/>
      <c r="Q139"/>
      <c r="R139"/>
    </row>
    <row r="140" spans="6:18" s="85" customFormat="1" ht="15" customHeight="1" x14ac:dyDescent="0.15">
      <c r="F140"/>
      <c r="G140"/>
      <c r="H140"/>
      <c r="I140"/>
      <c r="J140"/>
      <c r="K140"/>
      <c r="L140"/>
      <c r="M140"/>
      <c r="N140"/>
      <c r="O140"/>
      <c r="P140"/>
      <c r="Q140"/>
      <c r="R140"/>
    </row>
    <row r="141" spans="6:18" s="85" customFormat="1" ht="15" customHeight="1" x14ac:dyDescent="0.15">
      <c r="F141"/>
      <c r="G141"/>
      <c r="H141"/>
      <c r="I141"/>
      <c r="J141"/>
      <c r="K141"/>
      <c r="L141"/>
      <c r="M141"/>
      <c r="N141"/>
      <c r="O141"/>
      <c r="P141"/>
      <c r="Q141"/>
      <c r="R141"/>
    </row>
    <row r="142" spans="6:18" s="85" customFormat="1" ht="15" customHeight="1" x14ac:dyDescent="0.15">
      <c r="F142"/>
      <c r="G142"/>
      <c r="H142"/>
      <c r="I142"/>
      <c r="J142"/>
      <c r="K142"/>
      <c r="L142"/>
      <c r="M142"/>
      <c r="N142"/>
      <c r="O142"/>
      <c r="P142"/>
      <c r="Q142"/>
      <c r="R142"/>
    </row>
    <row r="143" spans="6:18" s="85" customFormat="1" ht="15" customHeight="1" x14ac:dyDescent="0.15">
      <c r="F143"/>
      <c r="G143"/>
      <c r="H143"/>
      <c r="I143"/>
      <c r="J143"/>
      <c r="K143"/>
      <c r="L143"/>
      <c r="M143"/>
      <c r="N143"/>
      <c r="O143"/>
      <c r="P143"/>
      <c r="Q143"/>
      <c r="R143"/>
    </row>
    <row r="144" spans="6:18" s="85" customFormat="1" ht="15" customHeight="1" x14ac:dyDescent="0.15">
      <c r="F144"/>
      <c r="G144"/>
      <c r="H144"/>
      <c r="I144"/>
      <c r="J144"/>
      <c r="K144"/>
      <c r="L144"/>
      <c r="M144"/>
      <c r="N144"/>
      <c r="O144"/>
      <c r="P144"/>
      <c r="Q144"/>
      <c r="R144"/>
    </row>
    <row r="145" spans="6:18" s="85" customFormat="1" ht="15" customHeight="1" x14ac:dyDescent="0.15">
      <c r="F145"/>
      <c r="G145"/>
      <c r="H145"/>
      <c r="I145"/>
      <c r="J145"/>
      <c r="K145"/>
      <c r="L145"/>
      <c r="M145"/>
      <c r="N145"/>
      <c r="O145"/>
      <c r="P145"/>
      <c r="Q145"/>
      <c r="R145"/>
    </row>
    <row r="146" spans="6:18" s="85" customFormat="1" ht="15" customHeight="1" x14ac:dyDescent="0.15">
      <c r="F146"/>
      <c r="G146"/>
      <c r="H146"/>
      <c r="I146"/>
      <c r="J146"/>
      <c r="K146"/>
      <c r="L146"/>
      <c r="M146"/>
      <c r="N146"/>
      <c r="O146"/>
      <c r="P146"/>
      <c r="Q146"/>
      <c r="R146"/>
    </row>
    <row r="147" spans="6:18" s="85" customFormat="1" ht="15" customHeight="1" x14ac:dyDescent="0.15">
      <c r="F147"/>
      <c r="G147"/>
      <c r="H147"/>
      <c r="I147"/>
      <c r="J147"/>
      <c r="K147"/>
      <c r="L147"/>
      <c r="M147"/>
      <c r="N147"/>
      <c r="O147"/>
      <c r="P147"/>
      <c r="Q147"/>
      <c r="R147"/>
    </row>
    <row r="148" spans="6:18" s="85" customFormat="1" ht="15" customHeight="1" x14ac:dyDescent="0.15">
      <c r="F148"/>
      <c r="G148"/>
      <c r="H148"/>
      <c r="I148"/>
      <c r="J148"/>
      <c r="K148"/>
      <c r="L148"/>
      <c r="M148"/>
      <c r="N148"/>
      <c r="O148"/>
      <c r="P148"/>
      <c r="Q148"/>
      <c r="R148"/>
    </row>
    <row r="149" spans="6:18" s="85" customFormat="1" ht="15" customHeight="1" x14ac:dyDescent="0.15">
      <c r="F149"/>
      <c r="G149"/>
      <c r="H149"/>
      <c r="I149"/>
      <c r="J149"/>
      <c r="K149"/>
      <c r="L149"/>
      <c r="M149"/>
      <c r="N149"/>
      <c r="O149"/>
      <c r="P149"/>
      <c r="Q149"/>
      <c r="R149"/>
    </row>
    <row r="150" spans="6:18" s="85" customFormat="1" ht="15" customHeight="1" x14ac:dyDescent="0.15">
      <c r="F150"/>
      <c r="G150"/>
      <c r="H150"/>
      <c r="I150"/>
      <c r="J150"/>
      <c r="K150"/>
      <c r="L150"/>
      <c r="M150"/>
      <c r="N150"/>
      <c r="O150"/>
      <c r="P150"/>
      <c r="Q150"/>
      <c r="R150"/>
    </row>
    <row r="151" spans="6:18" s="85" customFormat="1" ht="15" customHeight="1" x14ac:dyDescent="0.15">
      <c r="F151"/>
      <c r="G151"/>
      <c r="H151"/>
      <c r="I151"/>
      <c r="J151"/>
      <c r="K151"/>
      <c r="L151"/>
      <c r="M151"/>
      <c r="N151"/>
      <c r="O151"/>
      <c r="P151"/>
      <c r="Q151"/>
      <c r="R151"/>
    </row>
    <row r="152" spans="6:18" s="85" customFormat="1" ht="15" customHeight="1" x14ac:dyDescent="0.15">
      <c r="F152"/>
      <c r="G152"/>
      <c r="H152"/>
      <c r="I152"/>
      <c r="J152"/>
      <c r="K152"/>
      <c r="L152"/>
      <c r="M152"/>
      <c r="N152"/>
      <c r="O152"/>
      <c r="P152"/>
      <c r="Q152"/>
      <c r="R152"/>
    </row>
    <row r="153" spans="6:18" s="85" customFormat="1" ht="15" customHeight="1" x14ac:dyDescent="0.15">
      <c r="F153"/>
      <c r="G153"/>
      <c r="H153"/>
      <c r="I153"/>
      <c r="J153"/>
      <c r="K153"/>
      <c r="L153"/>
      <c r="M153"/>
      <c r="N153"/>
      <c r="O153"/>
      <c r="P153"/>
      <c r="Q153"/>
      <c r="R153"/>
    </row>
    <row r="154" spans="6:18" s="85" customFormat="1" ht="15" customHeight="1" x14ac:dyDescent="0.15">
      <c r="F154"/>
      <c r="G154"/>
      <c r="H154"/>
      <c r="I154"/>
      <c r="J154"/>
      <c r="K154"/>
      <c r="L154"/>
      <c r="M154"/>
      <c r="N154"/>
      <c r="O154"/>
      <c r="P154"/>
      <c r="Q154"/>
      <c r="R154"/>
    </row>
    <row r="155" spans="6:18" s="85" customFormat="1" ht="15" customHeight="1" x14ac:dyDescent="0.15">
      <c r="F155"/>
      <c r="G155"/>
      <c r="H155"/>
      <c r="I155"/>
      <c r="J155"/>
      <c r="K155"/>
      <c r="L155"/>
      <c r="M155"/>
      <c r="N155"/>
      <c r="O155"/>
      <c r="P155"/>
      <c r="Q155"/>
      <c r="R155"/>
    </row>
    <row r="156" spans="6:18" s="85" customFormat="1" ht="15" customHeight="1" x14ac:dyDescent="0.15">
      <c r="F156"/>
      <c r="G156"/>
      <c r="H156"/>
      <c r="I156"/>
      <c r="J156"/>
      <c r="K156"/>
      <c r="L156"/>
      <c r="M156"/>
      <c r="N156"/>
      <c r="O156"/>
      <c r="P156"/>
      <c r="Q156"/>
      <c r="R156"/>
    </row>
    <row r="157" spans="6:18" s="85" customFormat="1" ht="15" customHeight="1" x14ac:dyDescent="0.15">
      <c r="F157"/>
      <c r="G157"/>
      <c r="H157"/>
      <c r="I157"/>
      <c r="J157"/>
      <c r="K157"/>
      <c r="L157"/>
      <c r="M157"/>
      <c r="N157"/>
      <c r="O157"/>
      <c r="P157"/>
      <c r="Q157"/>
      <c r="R157"/>
    </row>
    <row r="158" spans="6:18" s="85" customFormat="1" ht="15" customHeight="1" x14ac:dyDescent="0.15">
      <c r="F158"/>
      <c r="G158"/>
      <c r="H158"/>
      <c r="I158"/>
      <c r="J158"/>
      <c r="K158"/>
      <c r="L158"/>
      <c r="M158"/>
      <c r="N158"/>
      <c r="O158"/>
      <c r="P158"/>
      <c r="Q158"/>
      <c r="R158"/>
    </row>
    <row r="159" spans="6:18" s="85" customFormat="1" ht="15" customHeight="1" x14ac:dyDescent="0.15">
      <c r="F159"/>
      <c r="G159"/>
      <c r="H159"/>
      <c r="I159"/>
      <c r="J159"/>
      <c r="K159"/>
      <c r="L159"/>
      <c r="M159"/>
      <c r="N159"/>
      <c r="O159"/>
      <c r="P159"/>
      <c r="Q159"/>
      <c r="R159"/>
    </row>
    <row r="160" spans="6:18" s="85" customFormat="1" ht="15" customHeight="1" x14ac:dyDescent="0.15">
      <c r="F160"/>
      <c r="G160"/>
      <c r="H160"/>
      <c r="I160"/>
      <c r="J160"/>
      <c r="K160"/>
      <c r="L160"/>
      <c r="M160"/>
      <c r="N160"/>
      <c r="O160"/>
      <c r="P160"/>
      <c r="Q160"/>
      <c r="R160"/>
    </row>
    <row r="161" spans="6:18" s="85" customFormat="1" ht="15" customHeight="1" x14ac:dyDescent="0.15">
      <c r="F161"/>
      <c r="G161"/>
      <c r="H161"/>
      <c r="I161"/>
      <c r="J161"/>
      <c r="K161"/>
      <c r="L161"/>
      <c r="M161"/>
      <c r="N161"/>
      <c r="O161"/>
      <c r="P161"/>
      <c r="Q161"/>
      <c r="R161"/>
    </row>
    <row r="162" spans="6:18" s="85" customFormat="1" ht="15" customHeight="1" x14ac:dyDescent="0.15">
      <c r="F162"/>
      <c r="G162"/>
      <c r="H162"/>
      <c r="I162"/>
      <c r="J162"/>
      <c r="K162"/>
      <c r="L162"/>
      <c r="M162"/>
      <c r="N162"/>
      <c r="O162"/>
      <c r="P162"/>
      <c r="Q162"/>
      <c r="R162"/>
    </row>
    <row r="163" spans="6:18" s="85" customFormat="1" ht="15" customHeight="1" x14ac:dyDescent="0.15">
      <c r="F163"/>
      <c r="G163"/>
      <c r="H163"/>
      <c r="I163"/>
      <c r="J163"/>
      <c r="K163"/>
      <c r="L163"/>
      <c r="M163"/>
      <c r="N163"/>
      <c r="O163"/>
      <c r="P163"/>
      <c r="Q163"/>
      <c r="R163"/>
    </row>
    <row r="164" spans="6:18" s="85" customFormat="1" ht="15" customHeight="1" x14ac:dyDescent="0.15">
      <c r="F164"/>
      <c r="G164"/>
      <c r="H164"/>
      <c r="I164"/>
      <c r="J164"/>
      <c r="K164"/>
      <c r="L164"/>
      <c r="M164"/>
      <c r="N164"/>
      <c r="O164"/>
      <c r="P164"/>
      <c r="Q164"/>
      <c r="R164"/>
    </row>
    <row r="165" spans="6:18" s="85" customFormat="1" ht="15" customHeight="1" x14ac:dyDescent="0.15">
      <c r="F165"/>
      <c r="G165"/>
      <c r="H165"/>
      <c r="I165"/>
      <c r="J165"/>
      <c r="K165"/>
      <c r="L165"/>
      <c r="M165"/>
      <c r="N165"/>
      <c r="O165"/>
      <c r="P165"/>
      <c r="Q165"/>
      <c r="R165"/>
    </row>
    <row r="166" spans="6:18" s="85" customFormat="1" ht="15" customHeight="1" x14ac:dyDescent="0.15">
      <c r="F166"/>
      <c r="G166"/>
      <c r="H166"/>
      <c r="I166"/>
      <c r="J166"/>
      <c r="K166"/>
      <c r="L166"/>
      <c r="M166"/>
      <c r="N166"/>
      <c r="O166"/>
      <c r="P166"/>
      <c r="Q166"/>
      <c r="R166"/>
    </row>
    <row r="167" spans="6:18" s="85" customFormat="1" ht="15" customHeight="1" x14ac:dyDescent="0.15">
      <c r="F167"/>
      <c r="G167"/>
      <c r="H167"/>
      <c r="I167"/>
      <c r="J167"/>
      <c r="K167"/>
      <c r="L167"/>
      <c r="M167"/>
      <c r="N167"/>
      <c r="O167"/>
      <c r="P167"/>
      <c r="Q167"/>
      <c r="R167"/>
    </row>
    <row r="168" spans="6:18" s="85" customFormat="1" ht="15" customHeight="1" x14ac:dyDescent="0.15">
      <c r="F168"/>
      <c r="G168"/>
      <c r="H168"/>
      <c r="I168"/>
      <c r="J168"/>
      <c r="K168"/>
      <c r="L168"/>
      <c r="M168"/>
      <c r="N168"/>
      <c r="O168"/>
      <c r="P168"/>
      <c r="Q168"/>
      <c r="R168"/>
    </row>
    <row r="169" spans="6:18" s="85" customFormat="1" ht="15" customHeight="1" x14ac:dyDescent="0.15">
      <c r="F169"/>
      <c r="G169"/>
      <c r="H169"/>
      <c r="I169"/>
      <c r="J169"/>
      <c r="K169"/>
      <c r="L169"/>
      <c r="M169"/>
      <c r="N169"/>
      <c r="O169"/>
      <c r="P169"/>
      <c r="Q169"/>
      <c r="R169"/>
    </row>
    <row r="170" spans="6:18" s="85" customFormat="1" ht="15" customHeight="1" x14ac:dyDescent="0.15">
      <c r="F170"/>
      <c r="G170"/>
      <c r="H170"/>
      <c r="I170"/>
      <c r="J170"/>
      <c r="K170"/>
      <c r="L170"/>
      <c r="M170"/>
      <c r="N170"/>
      <c r="O170"/>
      <c r="P170"/>
      <c r="Q170"/>
      <c r="R170"/>
    </row>
    <row r="171" spans="6:18" s="85" customFormat="1" ht="15" customHeight="1" x14ac:dyDescent="0.15">
      <c r="F171"/>
      <c r="G171"/>
      <c r="H171"/>
      <c r="I171"/>
      <c r="J171"/>
      <c r="K171"/>
      <c r="L171"/>
      <c r="M171"/>
      <c r="N171"/>
      <c r="O171"/>
      <c r="P171"/>
      <c r="Q171"/>
      <c r="R171"/>
    </row>
    <row r="172" spans="6:18" s="85" customFormat="1" ht="15" customHeight="1" x14ac:dyDescent="0.15">
      <c r="F172"/>
      <c r="G172"/>
      <c r="H172"/>
      <c r="I172"/>
      <c r="J172"/>
      <c r="K172"/>
      <c r="L172"/>
      <c r="M172"/>
      <c r="N172"/>
      <c r="O172"/>
      <c r="P172"/>
      <c r="Q172"/>
      <c r="R172"/>
    </row>
    <row r="173" spans="6:18" s="85" customFormat="1" ht="15" customHeight="1" x14ac:dyDescent="0.15">
      <c r="F173"/>
      <c r="G173"/>
      <c r="H173"/>
      <c r="I173"/>
      <c r="J173"/>
      <c r="K173"/>
      <c r="L173"/>
      <c r="M173"/>
      <c r="N173"/>
      <c r="O173"/>
      <c r="P173"/>
      <c r="Q173"/>
      <c r="R173"/>
    </row>
    <row r="174" spans="6:18" s="85" customFormat="1" ht="15" customHeight="1" x14ac:dyDescent="0.15">
      <c r="F174"/>
      <c r="G174"/>
      <c r="H174"/>
      <c r="I174"/>
      <c r="J174"/>
      <c r="K174"/>
      <c r="L174"/>
      <c r="M174"/>
      <c r="N174"/>
      <c r="O174"/>
      <c r="P174"/>
      <c r="Q174"/>
      <c r="R174"/>
    </row>
    <row r="175" spans="6:18" s="85" customFormat="1" ht="15" customHeight="1" x14ac:dyDescent="0.15">
      <c r="F175"/>
      <c r="G175"/>
      <c r="H175"/>
      <c r="I175"/>
      <c r="J175"/>
      <c r="K175"/>
      <c r="L175"/>
      <c r="M175"/>
      <c r="N175"/>
      <c r="O175"/>
      <c r="P175"/>
      <c r="Q175"/>
      <c r="R175"/>
    </row>
    <row r="176" spans="6:18" s="85" customFormat="1" ht="15" customHeight="1" x14ac:dyDescent="0.15">
      <c r="F176"/>
      <c r="G176"/>
      <c r="H176"/>
      <c r="I176"/>
      <c r="J176"/>
      <c r="K176"/>
      <c r="L176"/>
      <c r="M176"/>
      <c r="N176"/>
      <c r="O176"/>
      <c r="P176"/>
      <c r="Q176"/>
      <c r="R176"/>
    </row>
    <row r="177" spans="6:18" s="85" customFormat="1" ht="15" customHeight="1" x14ac:dyDescent="0.15">
      <c r="F177"/>
      <c r="G177"/>
      <c r="H177"/>
      <c r="I177"/>
      <c r="J177"/>
      <c r="K177"/>
      <c r="L177"/>
      <c r="M177"/>
      <c r="N177"/>
      <c r="O177"/>
      <c r="P177"/>
      <c r="Q177"/>
      <c r="R177"/>
    </row>
    <row r="178" spans="6:18" s="85" customFormat="1" ht="15" customHeight="1" x14ac:dyDescent="0.15">
      <c r="F178"/>
      <c r="G178"/>
      <c r="H178"/>
      <c r="I178"/>
      <c r="J178"/>
      <c r="K178"/>
      <c r="L178"/>
      <c r="M178"/>
      <c r="N178"/>
      <c r="O178"/>
      <c r="P178"/>
      <c r="Q178"/>
      <c r="R178"/>
    </row>
    <row r="179" spans="6:18" s="85" customFormat="1" ht="15" customHeight="1" x14ac:dyDescent="0.15">
      <c r="F179"/>
      <c r="G179"/>
      <c r="H179"/>
      <c r="I179"/>
      <c r="J179"/>
      <c r="K179"/>
      <c r="L179"/>
      <c r="M179"/>
      <c r="N179"/>
      <c r="O179"/>
      <c r="P179"/>
      <c r="Q179"/>
      <c r="R179"/>
    </row>
    <row r="180" spans="6:18" s="85" customFormat="1" ht="15" customHeight="1" x14ac:dyDescent="0.15">
      <c r="F180"/>
      <c r="G180"/>
      <c r="H180"/>
      <c r="I180"/>
      <c r="J180"/>
      <c r="K180"/>
      <c r="L180"/>
      <c r="M180"/>
      <c r="N180"/>
      <c r="O180"/>
      <c r="P180"/>
      <c r="Q180"/>
      <c r="R180"/>
    </row>
    <row r="181" spans="6:18" s="85" customFormat="1" ht="15" customHeight="1" x14ac:dyDescent="0.15">
      <c r="F181"/>
      <c r="G181"/>
      <c r="H181"/>
      <c r="I181"/>
      <c r="J181"/>
      <c r="K181"/>
      <c r="L181"/>
      <c r="M181"/>
      <c r="N181"/>
      <c r="O181"/>
      <c r="P181"/>
      <c r="Q181"/>
      <c r="R181"/>
    </row>
    <row r="182" spans="6:18" s="85" customFormat="1" ht="15" customHeight="1" x14ac:dyDescent="0.15">
      <c r="F182"/>
      <c r="G182"/>
      <c r="H182"/>
      <c r="I182"/>
      <c r="J182"/>
      <c r="K182"/>
      <c r="L182"/>
      <c r="M182"/>
      <c r="N182"/>
      <c r="O182"/>
      <c r="P182"/>
      <c r="Q182"/>
      <c r="R182"/>
    </row>
    <row r="183" spans="6:18" s="85" customFormat="1" ht="15" customHeight="1" x14ac:dyDescent="0.15">
      <c r="F183"/>
      <c r="G183"/>
      <c r="H183"/>
      <c r="I183"/>
      <c r="J183"/>
      <c r="K183"/>
      <c r="L183"/>
      <c r="M183"/>
      <c r="N183"/>
      <c r="O183"/>
      <c r="P183"/>
      <c r="Q183"/>
      <c r="R183"/>
    </row>
    <row r="184" spans="6:18" s="85" customFormat="1" ht="15" customHeight="1" x14ac:dyDescent="0.15">
      <c r="F184"/>
      <c r="G184"/>
      <c r="H184"/>
      <c r="I184"/>
      <c r="J184"/>
      <c r="K184"/>
      <c r="L184"/>
      <c r="M184"/>
      <c r="N184"/>
      <c r="O184"/>
      <c r="P184"/>
      <c r="Q184"/>
      <c r="R184"/>
    </row>
    <row r="185" spans="6:18" s="85" customFormat="1" ht="15" customHeight="1" x14ac:dyDescent="0.15">
      <c r="F185"/>
      <c r="G185"/>
      <c r="H185"/>
      <c r="I185"/>
      <c r="J185"/>
      <c r="K185"/>
      <c r="L185"/>
      <c r="M185"/>
      <c r="N185"/>
      <c r="O185"/>
      <c r="P185"/>
      <c r="Q185"/>
      <c r="R185"/>
    </row>
    <row r="186" spans="6:18" s="85" customFormat="1" ht="15" customHeight="1" x14ac:dyDescent="0.15">
      <c r="F186"/>
      <c r="G186"/>
      <c r="H186"/>
      <c r="I186"/>
      <c r="J186"/>
      <c r="K186"/>
      <c r="L186"/>
      <c r="M186"/>
      <c r="N186"/>
      <c r="O186"/>
      <c r="P186"/>
      <c r="Q186"/>
      <c r="R186"/>
    </row>
    <row r="187" spans="6:18" s="85" customFormat="1" ht="15" customHeight="1" x14ac:dyDescent="0.15">
      <c r="F187"/>
      <c r="G187"/>
      <c r="H187"/>
      <c r="I187"/>
      <c r="J187"/>
      <c r="K187"/>
      <c r="L187"/>
      <c r="M187"/>
      <c r="N187"/>
      <c r="O187"/>
      <c r="P187"/>
      <c r="Q187"/>
      <c r="R187"/>
    </row>
    <row r="188" spans="6:18" s="85"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D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7.83203125" bestFit="1" customWidth="1"/>
    <col min="2" max="2" width="2.33203125" style="116" customWidth="1"/>
    <col min="3" max="5" width="7.83203125" style="116" customWidth="1"/>
    <col min="6" max="8" width="8.83203125" style="6"/>
    <col min="9" max="9" width="13.1640625" style="6" customWidth="1"/>
    <col min="10" max="10" width="11.5" style="6" customWidth="1"/>
    <col min="11" max="11" width="17.5" style="6" customWidth="1"/>
    <col min="12" max="12" width="24.5" style="6" customWidth="1"/>
    <col min="13" max="13" width="16.5" style="6" customWidth="1"/>
    <col min="14" max="14" width="11.5" style="6" customWidth="1"/>
    <col min="15" max="15" width="27.83203125" style="6" customWidth="1"/>
    <col min="16" max="16" width="11.5" style="6" customWidth="1"/>
    <col min="17" max="17" width="21.1640625" style="6" customWidth="1"/>
    <col min="18" max="18" width="12.1640625" style="6" customWidth="1"/>
    <col min="19" max="19" width="15.5" style="6" customWidth="1"/>
    <col min="20" max="20" width="6.1640625" style="6" customWidth="1"/>
    <col min="21" max="21" width="18.5" style="6" customWidth="1"/>
    <col min="22" max="22" width="24" style="6" customWidth="1"/>
    <col min="23" max="23" width="13" style="6" customWidth="1"/>
    <col min="24" max="24" width="14.6640625" style="6" customWidth="1"/>
    <col min="25" max="25" width="13.1640625" style="6" customWidth="1"/>
    <col min="26" max="26" width="13.33203125" style="6" customWidth="1"/>
    <col min="27" max="27" width="14.33203125" style="6" customWidth="1"/>
    <col min="28" max="28" width="16.1640625" style="6" customWidth="1"/>
    <col min="29" max="29" width="15" style="6" customWidth="1"/>
    <col min="30" max="30" width="16.5" style="6" customWidth="1"/>
    <col min="31" max="31" width="7" style="6" customWidth="1"/>
    <col min="32" max="32" width="6.5" style="6" customWidth="1"/>
    <col min="33" max="34" width="26.83203125" style="6" customWidth="1"/>
    <col min="35" max="35" width="7.33203125" style="6" customWidth="1"/>
    <col min="36" max="36" width="14.83203125" style="6" customWidth="1"/>
    <col min="37" max="37" width="8.5" style="6" customWidth="1"/>
    <col min="38" max="38" width="23.1640625" style="6" customWidth="1"/>
    <col min="39" max="39" width="23.1640625" customWidth="1"/>
    <col min="40" max="40" width="8.33203125" customWidth="1"/>
    <col min="41" max="41" width="8.83203125" customWidth="1"/>
    <col min="42" max="42" width="7.1640625" customWidth="1"/>
    <col min="43" max="43" width="10.6640625" customWidth="1"/>
    <col min="44" max="44" width="17.6640625" customWidth="1"/>
    <col min="45" max="45" width="17.5" customWidth="1"/>
    <col min="46" max="46" width="8.5" customWidth="1"/>
    <col min="47" max="48" width="9.1640625" customWidth="1"/>
    <col min="49" max="49" width="7.6640625" customWidth="1"/>
    <col min="50" max="50" width="21.6640625" customWidth="1"/>
    <col min="51" max="51" width="7.1640625" customWidth="1"/>
    <col min="52" max="52" width="11.83203125" customWidth="1"/>
    <col min="53" max="53" width="11.33203125" customWidth="1"/>
    <col min="54" max="54" width="15.5" customWidth="1"/>
    <col min="55" max="55" width="14.6640625" customWidth="1"/>
    <col min="56" max="56" width="14" customWidth="1"/>
    <col min="81" max="81" width="22.1640625" bestFit="1" customWidth="1"/>
  </cols>
  <sheetData>
    <row r="1" spans="1:56" x14ac:dyDescent="0.15">
      <c r="A1" s="4" t="s">
        <v>156</v>
      </c>
      <c r="B1" s="37" t="s">
        <v>157</v>
      </c>
      <c r="C1" s="37" t="s">
        <v>17</v>
      </c>
      <c r="D1" s="37" t="s">
        <v>158</v>
      </c>
      <c r="E1" s="37" t="s">
        <v>159</v>
      </c>
      <c r="F1" t="s">
        <v>38</v>
      </c>
      <c r="G1" t="s">
        <v>40</v>
      </c>
      <c r="H1" t="s">
        <v>41</v>
      </c>
      <c r="I1" s="208" t="s">
        <v>193</v>
      </c>
      <c r="J1" s="208" t="s">
        <v>194</v>
      </c>
      <c r="K1" s="208" t="s">
        <v>195</v>
      </c>
      <c r="L1" s="208" t="s">
        <v>196</v>
      </c>
      <c r="M1" s="208" t="s">
        <v>197</v>
      </c>
      <c r="N1" s="208" t="s">
        <v>198</v>
      </c>
      <c r="O1" s="208" t="s">
        <v>199</v>
      </c>
      <c r="P1" s="208" t="s">
        <v>200</v>
      </c>
      <c r="Q1" s="208" t="s">
        <v>201</v>
      </c>
      <c r="R1" s="208" t="s">
        <v>202</v>
      </c>
      <c r="S1" s="208" t="s">
        <v>203</v>
      </c>
      <c r="T1" s="208" t="s">
        <v>204</v>
      </c>
      <c r="U1" s="208" t="s">
        <v>205</v>
      </c>
      <c r="V1" s="208" t="s">
        <v>206</v>
      </c>
      <c r="W1" s="208" t="s">
        <v>207</v>
      </c>
      <c r="X1" s="208" t="s">
        <v>208</v>
      </c>
      <c r="Y1" s="208" t="s">
        <v>209</v>
      </c>
      <c r="Z1" s="208" t="s">
        <v>210</v>
      </c>
      <c r="AA1" s="208" t="s">
        <v>211</v>
      </c>
      <c r="AB1" s="208" t="s">
        <v>212</v>
      </c>
      <c r="AC1" s="208" t="s">
        <v>213</v>
      </c>
      <c r="AD1" s="208" t="s">
        <v>214</v>
      </c>
      <c r="AE1" s="208" t="s">
        <v>215</v>
      </c>
      <c r="AF1" s="208" t="s">
        <v>216</v>
      </c>
      <c r="AG1" s="208" t="s">
        <v>217</v>
      </c>
      <c r="AH1" s="208" t="s">
        <v>218</v>
      </c>
      <c r="AI1" s="208" t="s">
        <v>219</v>
      </c>
      <c r="AJ1" s="208" t="s">
        <v>220</v>
      </c>
      <c r="AK1" s="208" t="s">
        <v>221</v>
      </c>
      <c r="AL1" s="208" t="s">
        <v>222</v>
      </c>
      <c r="AM1" s="208" t="s">
        <v>223</v>
      </c>
      <c r="AN1" s="208" t="s">
        <v>224</v>
      </c>
      <c r="AO1" s="208" t="s">
        <v>225</v>
      </c>
      <c r="AP1" s="208" t="s">
        <v>226</v>
      </c>
      <c r="AQ1" s="208" t="s">
        <v>227</v>
      </c>
      <c r="AR1" s="208" t="s">
        <v>228</v>
      </c>
      <c r="AS1" s="208" t="s">
        <v>229</v>
      </c>
      <c r="AT1" s="208" t="s">
        <v>230</v>
      </c>
      <c r="AU1" s="208" t="s">
        <v>231</v>
      </c>
      <c r="AV1" s="208" t="s">
        <v>232</v>
      </c>
      <c r="AW1" s="208" t="s">
        <v>233</v>
      </c>
      <c r="AX1" s="208" t="s">
        <v>234</v>
      </c>
      <c r="AY1" s="208" t="s">
        <v>235</v>
      </c>
      <c r="AZ1" s="208" t="s">
        <v>236</v>
      </c>
      <c r="BA1" s="208" t="s">
        <v>237</v>
      </c>
      <c r="BB1" s="208" t="s">
        <v>238</v>
      </c>
      <c r="BC1" s="208" t="s">
        <v>239</v>
      </c>
      <c r="BD1" s="208" t="s">
        <v>240</v>
      </c>
    </row>
    <row r="2" spans="1:56" x14ac:dyDescent="0.15">
      <c r="A2" t="s">
        <v>38</v>
      </c>
      <c r="B2" s="116">
        <v>0</v>
      </c>
      <c r="C2"/>
      <c r="D2"/>
      <c r="E2"/>
      <c r="F2"/>
      <c r="G2"/>
      <c r="H2"/>
      <c r="I2"/>
      <c r="J2"/>
      <c r="K2"/>
      <c r="L2"/>
      <c r="M2"/>
      <c r="N2"/>
      <c r="O2"/>
      <c r="P2"/>
      <c r="Q2"/>
      <c r="R2"/>
      <c r="S2"/>
      <c r="T2"/>
      <c r="U2"/>
      <c r="V2"/>
      <c r="W2"/>
      <c r="X2"/>
      <c r="Y2"/>
      <c r="Z2"/>
      <c r="AA2"/>
      <c r="AB2"/>
      <c r="AC2"/>
      <c r="AD2"/>
      <c r="AE2"/>
      <c r="AF2"/>
      <c r="AG2"/>
      <c r="AH2"/>
      <c r="AI2"/>
      <c r="AJ2"/>
      <c r="AK2"/>
      <c r="AL2"/>
    </row>
    <row r="3" spans="1:56" x14ac:dyDescent="0.15">
      <c r="A3" t="s">
        <v>40</v>
      </c>
      <c r="B3" s="116">
        <v>0</v>
      </c>
      <c r="C3"/>
      <c r="D3"/>
      <c r="E3"/>
      <c r="F3"/>
      <c r="G3"/>
      <c r="H3"/>
      <c r="I3"/>
      <c r="J3"/>
      <c r="K3"/>
      <c r="L3"/>
      <c r="M3"/>
      <c r="N3"/>
      <c r="O3"/>
      <c r="P3"/>
      <c r="Q3"/>
      <c r="R3"/>
      <c r="S3"/>
      <c r="T3"/>
      <c r="U3"/>
      <c r="V3"/>
      <c r="W3"/>
      <c r="X3"/>
      <c r="Y3"/>
      <c r="Z3"/>
      <c r="AA3"/>
      <c r="AB3"/>
      <c r="AC3"/>
      <c r="AD3"/>
      <c r="AE3"/>
      <c r="AF3"/>
      <c r="AG3"/>
      <c r="AH3"/>
      <c r="AI3"/>
      <c r="AJ3"/>
      <c r="AK3"/>
      <c r="AL3"/>
    </row>
    <row r="4" spans="1:56" x14ac:dyDescent="0.15">
      <c r="A4" t="s">
        <v>41</v>
      </c>
      <c r="B4" s="116">
        <v>0</v>
      </c>
      <c r="C4"/>
      <c r="D4"/>
      <c r="E4"/>
      <c r="F4"/>
      <c r="G4"/>
      <c r="H4"/>
      <c r="I4"/>
      <c r="J4"/>
      <c r="K4"/>
      <c r="L4"/>
      <c r="M4"/>
      <c r="N4"/>
      <c r="O4"/>
      <c r="P4"/>
      <c r="Q4"/>
      <c r="R4"/>
      <c r="S4"/>
      <c r="T4"/>
      <c r="U4"/>
      <c r="V4"/>
      <c r="W4"/>
      <c r="X4"/>
      <c r="Y4"/>
      <c r="Z4"/>
      <c r="AA4"/>
      <c r="AB4"/>
      <c r="AC4"/>
      <c r="AD4"/>
      <c r="AE4"/>
      <c r="AF4"/>
      <c r="AG4"/>
      <c r="AH4"/>
      <c r="AI4"/>
      <c r="AJ4"/>
      <c r="AK4"/>
      <c r="AL4"/>
    </row>
    <row r="5" spans="1:56" x14ac:dyDescent="0.15">
      <c r="A5" s="207" t="s">
        <v>193</v>
      </c>
      <c r="B5" s="116">
        <v>0</v>
      </c>
      <c r="C5"/>
      <c r="D5"/>
      <c r="E5"/>
      <c r="F5"/>
      <c r="G5"/>
      <c r="H5"/>
      <c r="I5"/>
      <c r="J5"/>
      <c r="K5"/>
      <c r="L5"/>
      <c r="M5"/>
      <c r="N5"/>
      <c r="O5"/>
      <c r="P5"/>
      <c r="Q5"/>
      <c r="R5"/>
      <c r="S5"/>
      <c r="T5"/>
      <c r="U5"/>
      <c r="V5"/>
      <c r="W5"/>
      <c r="X5"/>
      <c r="Y5"/>
      <c r="Z5"/>
      <c r="AA5"/>
      <c r="AB5"/>
      <c r="AC5"/>
      <c r="AD5"/>
      <c r="AE5"/>
      <c r="AF5"/>
      <c r="AG5"/>
      <c r="AH5"/>
      <c r="AI5"/>
      <c r="AJ5"/>
      <c r="AK5"/>
      <c r="AL5"/>
    </row>
    <row r="6" spans="1:56" x14ac:dyDescent="0.15">
      <c r="A6" s="207" t="s">
        <v>194</v>
      </c>
      <c r="B6" s="116">
        <v>0</v>
      </c>
      <c r="C6"/>
      <c r="D6"/>
      <c r="E6"/>
      <c r="F6"/>
      <c r="G6"/>
      <c r="H6"/>
      <c r="I6"/>
      <c r="J6"/>
      <c r="K6"/>
      <c r="L6"/>
      <c r="M6"/>
      <c r="N6"/>
      <c r="O6"/>
      <c r="P6"/>
      <c r="Q6"/>
      <c r="R6"/>
      <c r="S6"/>
      <c r="T6"/>
      <c r="U6"/>
      <c r="V6"/>
      <c r="W6"/>
      <c r="X6"/>
      <c r="Y6"/>
      <c r="Z6"/>
      <c r="AA6"/>
      <c r="AB6"/>
      <c r="AC6"/>
      <c r="AD6"/>
      <c r="AE6"/>
      <c r="AF6"/>
      <c r="AG6"/>
      <c r="AH6"/>
      <c r="AI6"/>
      <c r="AJ6"/>
      <c r="AK6"/>
      <c r="AL6"/>
    </row>
    <row r="7" spans="1:56" x14ac:dyDescent="0.15">
      <c r="A7" s="207" t="s">
        <v>195</v>
      </c>
      <c r="B7" s="116">
        <v>0</v>
      </c>
      <c r="C7"/>
      <c r="D7"/>
      <c r="E7"/>
      <c r="F7"/>
      <c r="G7"/>
      <c r="H7"/>
      <c r="I7"/>
      <c r="J7"/>
      <c r="K7"/>
      <c r="L7"/>
      <c r="M7"/>
      <c r="N7"/>
      <c r="O7"/>
      <c r="P7"/>
      <c r="Q7"/>
      <c r="R7"/>
      <c r="S7"/>
      <c r="T7"/>
      <c r="U7"/>
      <c r="V7"/>
      <c r="W7"/>
      <c r="X7"/>
      <c r="Y7"/>
      <c r="Z7"/>
      <c r="AA7"/>
      <c r="AB7"/>
      <c r="AC7"/>
      <c r="AD7"/>
      <c r="AE7"/>
      <c r="AF7"/>
      <c r="AG7"/>
      <c r="AH7"/>
      <c r="AI7"/>
      <c r="AJ7"/>
      <c r="AK7"/>
      <c r="AL7"/>
    </row>
    <row r="8" spans="1:56" x14ac:dyDescent="0.15">
      <c r="A8" s="207" t="s">
        <v>196</v>
      </c>
      <c r="B8" s="116">
        <v>0</v>
      </c>
      <c r="C8"/>
      <c r="D8"/>
      <c r="E8"/>
      <c r="F8"/>
      <c r="G8"/>
      <c r="H8"/>
      <c r="I8"/>
      <c r="J8"/>
      <c r="K8"/>
      <c r="L8"/>
      <c r="M8"/>
      <c r="N8"/>
      <c r="O8"/>
      <c r="P8"/>
      <c r="Q8"/>
      <c r="R8"/>
      <c r="S8"/>
      <c r="T8"/>
      <c r="U8"/>
      <c r="V8"/>
      <c r="W8"/>
      <c r="X8"/>
      <c r="Y8"/>
      <c r="Z8"/>
      <c r="AA8"/>
      <c r="AB8"/>
      <c r="AC8"/>
      <c r="AD8"/>
      <c r="AE8"/>
      <c r="AF8"/>
      <c r="AG8"/>
      <c r="AH8"/>
      <c r="AI8"/>
      <c r="AJ8"/>
      <c r="AK8"/>
      <c r="AL8"/>
    </row>
    <row r="9" spans="1:56" x14ac:dyDescent="0.15">
      <c r="A9" s="207" t="s">
        <v>197</v>
      </c>
      <c r="B9" s="116">
        <v>0</v>
      </c>
      <c r="C9"/>
      <c r="D9"/>
      <c r="E9"/>
      <c r="F9"/>
      <c r="G9"/>
      <c r="H9"/>
      <c r="I9"/>
      <c r="J9"/>
      <c r="K9"/>
      <c r="L9"/>
      <c r="M9"/>
      <c r="N9"/>
      <c r="O9"/>
      <c r="P9"/>
      <c r="Q9"/>
      <c r="R9"/>
      <c r="S9"/>
      <c r="T9"/>
      <c r="U9"/>
      <c r="V9"/>
      <c r="W9"/>
      <c r="X9"/>
      <c r="Y9"/>
      <c r="Z9"/>
      <c r="AA9"/>
      <c r="AB9"/>
      <c r="AC9"/>
      <c r="AD9"/>
      <c r="AE9"/>
      <c r="AF9"/>
      <c r="AG9"/>
      <c r="AH9"/>
      <c r="AI9"/>
      <c r="AJ9"/>
      <c r="AK9"/>
      <c r="AL9"/>
    </row>
    <row r="10" spans="1:56" x14ac:dyDescent="0.15">
      <c r="A10" s="207" t="s">
        <v>198</v>
      </c>
      <c r="B10" s="116">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56" x14ac:dyDescent="0.15">
      <c r="A11" s="207" t="s">
        <v>199</v>
      </c>
      <c r="B11" s="116">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56" x14ac:dyDescent="0.15">
      <c r="A12" s="207" t="s">
        <v>200</v>
      </c>
      <c r="B12" s="116">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56" x14ac:dyDescent="0.15">
      <c r="A13" s="207" t="s">
        <v>201</v>
      </c>
      <c r="B13" s="116">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56" x14ac:dyDescent="0.15">
      <c r="A14" s="207" t="s">
        <v>202</v>
      </c>
      <c r="B14" s="116">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56" x14ac:dyDescent="0.15">
      <c r="A15" s="207" t="s">
        <v>203</v>
      </c>
      <c r="B15" s="116">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56" x14ac:dyDescent="0.15">
      <c r="A16" s="207" t="s">
        <v>204</v>
      </c>
      <c r="B16" s="116">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207" t="s">
        <v>205</v>
      </c>
      <c r="B17" s="116">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207" t="s">
        <v>206</v>
      </c>
      <c r="B18" s="116">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207" t="s">
        <v>207</v>
      </c>
      <c r="B19" s="116">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207" t="s">
        <v>208</v>
      </c>
      <c r="B20" s="116">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207" t="s">
        <v>209</v>
      </c>
      <c r="B21" s="116">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207" t="s">
        <v>210</v>
      </c>
      <c r="B22" s="116">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207" t="s">
        <v>211</v>
      </c>
      <c r="B23" s="116">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207" t="s">
        <v>212</v>
      </c>
      <c r="B24" s="116">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207" t="s">
        <v>213</v>
      </c>
      <c r="B25" s="116">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207" t="s">
        <v>214</v>
      </c>
      <c r="B26" s="116">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207" t="s">
        <v>215</v>
      </c>
      <c r="B27" s="116">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207" t="s">
        <v>216</v>
      </c>
      <c r="B28" s="116">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207" t="s">
        <v>217</v>
      </c>
      <c r="B29" s="116">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207" t="s">
        <v>218</v>
      </c>
      <c r="B30" s="116">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207" t="s">
        <v>219</v>
      </c>
      <c r="B31" s="116">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207" t="s">
        <v>220</v>
      </c>
      <c r="B32" s="116">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207" t="s">
        <v>221</v>
      </c>
      <c r="B33" s="116">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207" t="s">
        <v>222</v>
      </c>
      <c r="B34" s="116">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207" t="s">
        <v>223</v>
      </c>
      <c r="B35" s="116">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207" t="s">
        <v>224</v>
      </c>
      <c r="B36" s="116">
        <v>0</v>
      </c>
      <c r="C36"/>
      <c r="D36"/>
    </row>
    <row r="37" spans="1:38" ht="15" customHeight="1" x14ac:dyDescent="0.15">
      <c r="A37" s="207" t="s">
        <v>225</v>
      </c>
      <c r="B37" s="116">
        <v>0</v>
      </c>
      <c r="C37"/>
      <c r="D37"/>
    </row>
    <row r="38" spans="1:38" ht="15" customHeight="1" x14ac:dyDescent="0.15">
      <c r="A38" s="207" t="s">
        <v>226</v>
      </c>
      <c r="B38" s="116">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207" t="s">
        <v>227</v>
      </c>
      <c r="B39" s="116">
        <v>0</v>
      </c>
      <c r="C39"/>
      <c r="D39"/>
    </row>
    <row r="40" spans="1:38" ht="15" customHeight="1" x14ac:dyDescent="0.15">
      <c r="A40" s="207" t="s">
        <v>228</v>
      </c>
      <c r="B40" s="116">
        <v>0</v>
      </c>
      <c r="C40"/>
      <c r="D40"/>
    </row>
    <row r="41" spans="1:38" ht="15" customHeight="1" x14ac:dyDescent="0.15">
      <c r="A41" s="207" t="s">
        <v>229</v>
      </c>
      <c r="B41" s="116">
        <v>0</v>
      </c>
      <c r="C41"/>
      <c r="D41"/>
    </row>
    <row r="42" spans="1:38" ht="15" customHeight="1" x14ac:dyDescent="0.15">
      <c r="A42" s="207" t="s">
        <v>230</v>
      </c>
      <c r="B42" s="116">
        <v>0</v>
      </c>
    </row>
    <row r="43" spans="1:38" ht="15" customHeight="1" x14ac:dyDescent="0.15">
      <c r="A43" s="207" t="s">
        <v>231</v>
      </c>
      <c r="B43" s="116">
        <v>0</v>
      </c>
    </row>
    <row r="44" spans="1:38" ht="15" customHeight="1" x14ac:dyDescent="0.15">
      <c r="A44" s="207" t="s">
        <v>232</v>
      </c>
      <c r="B44" s="116">
        <v>0</v>
      </c>
    </row>
    <row r="45" spans="1:38" ht="15" customHeight="1" x14ac:dyDescent="0.15">
      <c r="A45" s="207" t="s">
        <v>233</v>
      </c>
      <c r="B45" s="116">
        <v>0</v>
      </c>
    </row>
    <row r="46" spans="1:38" ht="15" customHeight="1" x14ac:dyDescent="0.15">
      <c r="A46" s="207" t="s">
        <v>234</v>
      </c>
      <c r="B46" s="116">
        <v>0</v>
      </c>
    </row>
    <row r="47" spans="1:38" ht="15" customHeight="1" x14ac:dyDescent="0.15">
      <c r="A47" s="207" t="s">
        <v>235</v>
      </c>
      <c r="B47" s="116">
        <v>0</v>
      </c>
    </row>
    <row r="48" spans="1:38" ht="15" customHeight="1" x14ac:dyDescent="0.15">
      <c r="A48" s="207" t="s">
        <v>236</v>
      </c>
      <c r="B48" s="116">
        <v>0</v>
      </c>
    </row>
    <row r="49" spans="1:38" ht="15" customHeight="1" x14ac:dyDescent="0.15">
      <c r="A49" s="207" t="s">
        <v>237</v>
      </c>
      <c r="B49" s="116">
        <v>0</v>
      </c>
    </row>
    <row r="50" spans="1:38" ht="15" customHeight="1" x14ac:dyDescent="0.15">
      <c r="A50" s="207" t="s">
        <v>238</v>
      </c>
      <c r="B50" s="116">
        <v>0</v>
      </c>
    </row>
    <row r="51" spans="1:38" ht="15" customHeight="1" x14ac:dyDescent="0.15">
      <c r="A51" s="207" t="s">
        <v>239</v>
      </c>
      <c r="B51" s="116">
        <v>0</v>
      </c>
    </row>
    <row r="52" spans="1:38" ht="15" customHeight="1" x14ac:dyDescent="0.15">
      <c r="A52" s="207" t="s">
        <v>240</v>
      </c>
      <c r="B52" s="116">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2023-08-14T23:26:45Z</dcterms:modified>
</cp:coreProperties>
</file>