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5EDB74FA-393F-6145-A4AB-C155064CBEEB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Main!$C$2:$N$33</definedName>
    <definedName name="matDetritus">Detritus!$C$2:$E$33</definedName>
    <definedName name="matDiet">Diets!$B$2:$AC$32</definedName>
    <definedName name="matDiscards">Discards!$C$2:$D$31</definedName>
    <definedName name="matFishery">Fishing!$C$2:$D$31</definedName>
    <definedName name="matFishing">Fishing!#REF!</definedName>
    <definedName name="matMort">Mortalities!$A$1:$AI$31</definedName>
    <definedName name="matOut">MainOutputs!$A$2:$I$33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<sst xmlns="http://schemas.openxmlformats.org/spreadsheetml/2006/main" count="945" uniqueCount="230">
  <si>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</si>
  <si>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</si>
  <si>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</si>
  <si>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</si>
  <si>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</si>
  <si>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</si>
  <si>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</si>
  <si>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</si>
  <si>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</si>
  <si>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</si>
  <si>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</si>
  <si>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</si>
  <si>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</si>
  <si>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</si>
  <si>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</si>
  <si>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</si>
  <si>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</si>
  <si>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</si>
  <si>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</si>
  <si>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</si>
  <si>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</si>
  <si>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</si>
  <si>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</si>
  <si>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</si>
  <si>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</si>
  <si>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</si>
  <si>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</si>
  <si>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</si>
  <si>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</si>
  <si>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</si>
  <si>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</si>
  <si>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</si>
  <si>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</si>
  <si>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</si>
  <si>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</si>
  <si>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</si>
  <si>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</si>
  <si>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</si>
  <si>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</si>
  <si>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</si>
  <si>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</si>
  <si>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</si>
  <si>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</si>
  <si>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</si>
  <si>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</si>
  <si>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</si>
  <si>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</si>
  <si>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</si>
  <si>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</si>
  <si>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</si>
  <si>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</si>
  <si>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</si>
  <si>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</si>
  <si>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</si>
  <si>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</si>
  <si>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</si>
  <si>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</si>
  <si>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</si>
  <si>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</si>
  <si>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</si>
  <si>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</si>
  <si>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</si>
  <si>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</si>
  <si>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</si>
  <si>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</si>
  <si>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</si>
  <si>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</si>
  <si>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</si>
  <si>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</si>
  <si>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</si>
  <si>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</si>
  <si>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</si>
  <si>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</si>
  <si>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</si>
  <si>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</si>
  <si>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</si>
  <si>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</si>
  <si>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</si>
  <si>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</si>
  <si>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</si>
  <si>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</si>
  <si>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</si>
  <si>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</si>
  <si>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</si>
  <si>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</si>
  <si>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</si>
  <si>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</si>
  <si>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</si>
  <si>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</si>
  <si>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</si>
  <si>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</si>
  <si>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</si>
  <si>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</si>
  <si>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</si>
  <si>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</si>
  <si>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</si>
  <si>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</si>
  <si>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</si>
  <si>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</si>
  <si>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</si>
  <si>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</si>
  <si>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</si>
  <si>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</si>
  <si>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</si>
  <si>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</si>
  <si>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</si>
  <si>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</si>
  <si>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</si>
  <si>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</si>
  <si>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</si>
  <si>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</si>
  <si>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</si>
  <si>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</si>
  <si>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</si>
  <si>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</si>
  <si>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</si>
  <si>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</si>
  <si>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</si>
  <si>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</si>
  <si>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</si>
  <si>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</si>
  <si>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</si>
  <si>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</si>
  <si>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</si>
  <si>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</si>
  <si>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</si>
  <si>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</si>
  <si>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</si>
  <si>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</si>
  <si>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</si>
  <si>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</si>
  <si>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</si>
  <si>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</si>
  <si>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</si>
  <si>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</si>
  <si>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</si>
  <si>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</si>
  <si>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</si>
  <si>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</si>
  <si>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</si>
  <si>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</si>
  <si>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</si>
  <si>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</si>
  <si>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</si>
  <si>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</si>
  <si>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</si>
  <si>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</si>
  <si>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</si>
  <si>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</si>
  <si>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</si>
  <si>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</si>
  <si>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</si>
  <si>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</si>
  <si>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</si>
  <si>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</si>
  <si>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</si>
  <si>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</si>
  <si>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</si>
  <si>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</si>
  <si>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</si>
  <si>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</si>
  <si>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</si>
  <si>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</si>
  <si>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</si>
  <si>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</si>
  <si>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</si>
  <si>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</si>
  <si>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</si>
  <si>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</si>
  <si>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</si>
  <si>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</si>
  <si>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</si>
  <si>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</si>
  <si>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</si>
  <si>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</si>
  <si>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</si>
  <si>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</si>
  <si>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</si>
  <si>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</si>
  <si>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</si>
  <si>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</si>
  <si>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</si>
  <si>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</si>
  <si>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</si>
  <si>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</si>
  <si>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Gulf of Thailande</t>
  </si>
  <si>
    <t>Thailand</t>
  </si>
  <si>
    <t>BOX(99 8.5,103 13.5)</t>
  </si>
  <si>
    <t>continental shelf</t>
  </si>
  <si>
    <t>WetWeight</t>
  </si>
  <si>
    <t>Model of the overexploited Gulf of Thailand 1980 15-11-98 20:15:51; 10-03-99 18:47:40</t>
  </si>
  <si>
    <t>Christensen V.(1998). Fishery-induced changes in a marine ecosystem: insight from models of the Gulf of Thailand Journal of Fish Biology. pp 128-142</t>
  </si>
  <si>
    <t>M. mammals</t>
  </si>
  <si>
    <t>Sharks</t>
  </si>
  <si>
    <t>Lg. piscivores</t>
  </si>
  <si>
    <t>Grouper/snapper</t>
  </si>
  <si>
    <t>Tuna</t>
  </si>
  <si>
    <t>Med.dem.pisc.</t>
  </si>
  <si>
    <t>Scomberomorus</t>
  </si>
  <si>
    <t>Juv. sharks</t>
  </si>
  <si>
    <t>Juv.Lg.Pisciv.</t>
  </si>
  <si>
    <t>Juv. groupers</t>
  </si>
  <si>
    <t>Scad</t>
  </si>
  <si>
    <t>Cephalopods</t>
  </si>
  <si>
    <t>Sm.dem.pisc.</t>
  </si>
  <si>
    <t>Med.dem.benth.</t>
  </si>
  <si>
    <t>Rays</t>
  </si>
  <si>
    <t>Flatfish</t>
  </si>
  <si>
    <t>Sm.dem.benth.</t>
  </si>
  <si>
    <t>Jellyfish</t>
  </si>
  <si>
    <t>Mackerel</t>
  </si>
  <si>
    <t>Sm. pelagics</t>
  </si>
  <si>
    <t>Ponyfishes</t>
  </si>
  <si>
    <t>Crab, lobster</t>
  </si>
  <si>
    <t>O.fish</t>
  </si>
  <si>
    <t>Benthos</t>
  </si>
  <si>
    <t>Shrimps</t>
  </si>
  <si>
    <t>Molluscs</t>
  </si>
  <si>
    <t>Zooplankton</t>
  </si>
  <si>
    <t>Phytoplankton</t>
  </si>
  <si>
    <t>Detritus</t>
  </si>
  <si>
    <t>detritus_TerminalBenthic</t>
  </si>
  <si>
    <t>Pelagic</t>
  </si>
  <si>
    <t>Demersal</t>
  </si>
  <si>
    <t>Import</t>
  </si>
  <si>
    <t>export</t>
  </si>
  <si>
    <t>sum</t>
  </si>
  <si>
    <t>TOTAL</t>
  </si>
  <si>
    <t>F Pelagic</t>
  </si>
  <si>
    <t>F Demersal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</si>
</sst>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2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FF1800"/>
        <bgColor indexed="64"/>
      </patternFill>
    </fill>
    <fill>
      <patternFill patternType="solid">
        <fgColor rgb="FFFF5E00"/>
        <bgColor indexed="64"/>
      </patternFill>
    </fill>
    <fill>
      <patternFill patternType="solid">
        <fgColor rgb="FFFF5800"/>
        <bgColor indexed="64"/>
      </patternFill>
    </fill>
    <fill>
      <patternFill patternType="solid">
        <fgColor rgb="FFFF86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FFB000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FFC900"/>
        <bgColor indexed="64"/>
      </patternFill>
    </fill>
    <fill>
      <patternFill patternType="solid">
        <fgColor rgb="FFFF6C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FFA8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F41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FF74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48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7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23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25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71" t="s">
        <v>171</v>
      </c>
      <c r="C53" s="103">
        <v>412</v>
      </c>
      <c r="D53" s="103"/>
    </row>
    <row r="54" spans="2:4" x14ac:dyDescent="0.15">
      <c r="B54" s="171" t="s">
        <v>172</v>
      </c>
      <c r="C54" s="171" t="s">
        <v>185</v>
      </c>
      <c r="D54" s="103"/>
    </row>
    <row r="55" spans="2:4" x14ac:dyDescent="0.15">
      <c r="B55" s="171" t="s">
        <v>173</v>
      </c>
      <c r="C55" s="171" t="s">
        <v>186</v>
      </c>
      <c r="D55" s="103"/>
    </row>
    <row r="56" spans="2:4" x14ac:dyDescent="0.15">
      <c r="B56" s="171" t="s">
        <v>174</v>
      </c>
      <c r="C56" s="103">
        <v>1</v>
      </c>
      <c r="D56" s="103"/>
    </row>
    <row r="57" spans="2:4" x14ac:dyDescent="0.15">
      <c r="B57" s="171" t="s">
        <v>175</v>
      </c>
      <c r="C57" s="171" t="s">
        <v>187</v>
      </c>
      <c r="D57" s="103"/>
    </row>
    <row r="58" spans="2:4" x14ac:dyDescent="0.15">
      <c r="B58" s="171" t="s">
        <v>176</v>
      </c>
      <c r="C58" s="171" t="s">
        <v>188</v>
      </c>
      <c r="D58" s="103"/>
    </row>
    <row r="59" spans="2:4" x14ac:dyDescent="0.15">
      <c r="B59" s="171" t="s">
        <v>177</v>
      </c>
      <c r="C59" s="171" t="s">
        <v>189</v>
      </c>
      <c r="D59" s="103"/>
    </row>
    <row r="60" spans="2:4" x14ac:dyDescent="0.15">
      <c r="B60" s="171" t="s">
        <v>178</v>
      </c>
      <c r="C60" s="171" t="s">
        <v>190</v>
      </c>
      <c r="D60" s="103"/>
    </row>
    <row r="61" spans="2:4" x14ac:dyDescent="0.15">
      <c r="B61" s="171" t="s">
        <v>179</v>
      </c>
      <c r="C61" s="103">
        <v>29</v>
      </c>
      <c r="D61" s="103"/>
    </row>
    <row r="62" spans="2:4" x14ac:dyDescent="0.15">
      <c r="B62" s="171" t="s">
        <v>180</v>
      </c>
      <c r="C62" s="103">
        <v>2</v>
      </c>
      <c r="D62" s="103"/>
    </row>
    <row r="63" spans="2:4" x14ac:dyDescent="0.15">
      <c r="B63" s="171" t="s">
        <v>181</v>
      </c>
      <c r="C63" s="103">
        <v>1963</v>
      </c>
      <c r="D63" s="103"/>
    </row>
    <row r="64" spans="2:4" x14ac:dyDescent="0.15">
      <c r="B64" s="171" t="s">
        <v>182</v>
      </c>
      <c r="C64" s="103">
        <v>1</v>
      </c>
      <c r="D64" s="103"/>
    </row>
    <row r="65" spans="2:4" x14ac:dyDescent="0.15">
      <c r="B65" s="171" t="s">
        <v>183</v>
      </c>
      <c r="C65" s="171" t="s">
        <v>191</v>
      </c>
      <c r="D65" s="103"/>
    </row>
    <row r="66" spans="2:4" x14ac:dyDescent="0.15">
      <c r="B66" s="171" t="s">
        <v>184</v>
      </c>
      <c r="D66" s="103"/>
    </row>
    <row r="67" spans="2:4" x14ac:dyDescent="0.15">
      <c r="B67" s="103"/>
      <c r="C67" s="103"/>
      <c r="D67" s="103"/>
    </row>
    <row r="68" spans="2:4" x14ac:dyDescent="0.15">
      <c r="B68" s="103"/>
      <c r="C68" s="103"/>
      <c r="D68" s="10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7" sqref="Q7"/>
    </sheetView>
  </sheetViews>
  <sheetFormatPr baseColWidth="10" defaultColWidth="8.83203125" defaultRowHeight="15" customHeight="1" x14ac:dyDescent="0.15"/>
  <cols>
    <col min="1" max="1" width="22.5" style="78" customWidth="1"/>
    <col min="2" max="3" width="3.33203125" style="78" customWidth="1"/>
    <col min="4" max="4" width="14.33203125" style="78" customWidth="1"/>
    <col min="5" max="5" width="21.6640625" style="78" bestFit="1" customWidth="1"/>
    <col min="6" max="6" width="2.33203125" style="78" bestFit="1" customWidth="1"/>
    <col min="7" max="7" width="12.83203125" style="78" bestFit="1" customWidth="1"/>
    <col min="8" max="8" width="4.83203125" style="78" customWidth="1"/>
    <col min="9" max="9" width="10.83203125" style="78" customWidth="1"/>
    <col min="10" max="10" width="11.83203125" style="78" customWidth="1"/>
    <col min="11" max="11" width="13.83203125" style="78" customWidth="1"/>
    <col min="12" max="12" width="2.33203125" style="78" customWidth="1"/>
    <col min="13" max="13" width="3.83203125" style="78" customWidth="1"/>
    <col min="14" max="14" width="2.33203125" style="78" customWidth="1"/>
    <col min="16" max="25" width="8.83203125" style="78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8"/>
  </cols>
  <sheetData>
    <row r="1" spans="1:46" s="95" customFormat="1" ht="15" customHeight="1" x14ac:dyDescent="0.15">
      <c r="A1" s="74" t="s">
        <v>18</v>
      </c>
      <c r="C1" s="75" t="s">
        <v>8</v>
      </c>
      <c r="D1" s="74" t="s">
        <v>23</v>
      </c>
      <c r="E1" s="74" t="s">
        <v>0</v>
      </c>
      <c r="F1" s="74" t="s">
        <v>7</v>
      </c>
      <c r="G1" s="76" t="s">
        <v>13</v>
      </c>
      <c r="H1" s="74" t="s">
        <v>1</v>
      </c>
      <c r="I1" s="74" t="s">
        <v>2</v>
      </c>
      <c r="J1" s="74" t="s">
        <v>14</v>
      </c>
      <c r="K1" s="74" t="s">
        <v>3</v>
      </c>
      <c r="L1" s="74" t="s">
        <v>4</v>
      </c>
      <c r="M1" s="74" t="s">
        <v>5</v>
      </c>
      <c r="N1" s="74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5">
        <v>1</v>
      </c>
      <c r="D2"/>
      <c r="E2" s="172" t="s">
        <v>192</v>
      </c>
      <c r="F2" s="78">
        <v>0</v>
      </c>
      <c r="G2" s="78">
        <v>2.5000000000000001E-2</v>
      </c>
      <c r="H2" s="78">
        <v>0.05</v>
      </c>
      <c r="I2" s="6">
        <v>30</v>
      </c>
      <c r="J2" s="6">
        <v>0</v>
      </c>
      <c r="K2" s="6">
        <v>1.66666671E-3</v>
      </c>
      <c r="L2" s="6">
        <v>0</v>
      </c>
      <c r="M2" s="78">
        <v>0.2</v>
      </c>
      <c r="N2" s="78">
        <v>0</v>
      </c>
    </row>
    <row r="3" spans="1:46" ht="15" customHeight="1" x14ac:dyDescent="0.15">
      <c r="A3" s="1" t="s">
        <v>9</v>
      </c>
      <c r="B3" s="4">
        <v>28</v>
      </c>
      <c r="C3" s="78">
        <v>2</v>
      </c>
      <c r="D3"/>
      <c r="E3" s="172" t="s">
        <v>193</v>
      </c>
      <c r="F3" s="78">
        <v>0</v>
      </c>
      <c r="G3" s="78">
        <v>2E-3</v>
      </c>
      <c r="H3" s="78">
        <v>4.2</v>
      </c>
      <c r="I3" s="78">
        <v>20.999998099999999</v>
      </c>
      <c r="J3" s="78">
        <v>0.95238100000000003</v>
      </c>
      <c r="K3" s="78">
        <v>0.2</v>
      </c>
      <c r="L3" s="78">
        <v>0</v>
      </c>
      <c r="M3" s="78">
        <v>0.2</v>
      </c>
      <c r="N3" s="78">
        <v>0</v>
      </c>
    </row>
    <row r="4" spans="1:46" ht="15" customHeight="1" x14ac:dyDescent="0.15">
      <c r="A4" s="1" t="s">
        <v>10</v>
      </c>
      <c r="B4" s="4">
        <v>2</v>
      </c>
      <c r="C4" s="78">
        <v>3</v>
      </c>
      <c r="D4"/>
      <c r="E4" s="172" t="s">
        <v>194</v>
      </c>
      <c r="F4" s="78">
        <v>0</v>
      </c>
      <c r="G4" s="78">
        <v>4.4999999999999998E-2</v>
      </c>
      <c r="H4" s="78">
        <v>4.8</v>
      </c>
      <c r="I4" s="78">
        <v>24</v>
      </c>
      <c r="J4" s="78">
        <v>0.92870359999999996</v>
      </c>
      <c r="K4" s="78">
        <v>0.2</v>
      </c>
      <c r="L4" s="78">
        <v>0</v>
      </c>
      <c r="M4" s="78">
        <v>0.2</v>
      </c>
      <c r="N4" s="78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</v>
      </c>
      <c r="C5" s="78">
        <v>4</v>
      </c>
      <c r="D5"/>
      <c r="E5" s="172" t="s">
        <v>195</v>
      </c>
      <c r="F5" s="78">
        <v>0</v>
      </c>
      <c r="G5" s="78">
        <v>4.3999999999999997E-2</v>
      </c>
      <c r="H5" s="78">
        <v>4.7</v>
      </c>
      <c r="I5" s="78">
        <v>23.499998099999999</v>
      </c>
      <c r="J5" s="78">
        <v>0.88346236899999997</v>
      </c>
      <c r="K5" s="78">
        <v>0.2</v>
      </c>
      <c r="L5" s="78">
        <v>0</v>
      </c>
      <c r="M5" s="78">
        <v>0.2</v>
      </c>
      <c r="N5" s="78">
        <v>0</v>
      </c>
      <c r="P5" s="70"/>
      <c r="Q5" s="70"/>
      <c r="R5" s="70"/>
    </row>
    <row r="6" spans="1:46" ht="15" customHeight="1" thickBot="1" x14ac:dyDescent="0.2">
      <c r="B6" s="1"/>
      <c r="C6" s="78">
        <v>5</v>
      </c>
      <c r="D6"/>
      <c r="E6" s="172" t="s">
        <v>196</v>
      </c>
      <c r="F6" s="78">
        <v>0</v>
      </c>
      <c r="G6" s="78">
        <v>0.37298244200000003</v>
      </c>
      <c r="H6" s="78">
        <v>1.2</v>
      </c>
      <c r="I6" s="78">
        <v>6</v>
      </c>
      <c r="J6" s="78">
        <v>0.95</v>
      </c>
      <c r="K6" s="78">
        <v>0.2</v>
      </c>
      <c r="L6" s="78">
        <v>0</v>
      </c>
      <c r="M6" s="78">
        <v>0.2</v>
      </c>
      <c r="N6" s="78">
        <v>0</v>
      </c>
      <c r="P6" s="70"/>
      <c r="Q6" s="70"/>
      <c r="R6" s="70"/>
      <c r="W6" s="34" t="s">
        <v>31</v>
      </c>
      <c r="X6" s="50">
        <f>MAX(MainOutputs!G:G)</f>
        <v>0.99865370988845825</v>
      </c>
    </row>
    <row r="7" spans="1:46" ht="15" customHeight="1" x14ac:dyDescent="0.15">
      <c r="A7" s="2" t="s">
        <v>27</v>
      </c>
      <c r="B7" s="78">
        <f ca="1">COUNTIF(OFFSET(cornerDiets,1,1,NumLiving+NumDead+1,NumLiving+NumDead),"&gt;0")+NumLiving+NumDead+1</f>
        <v>166</v>
      </c>
      <c r="C7" s="78">
        <v>6</v>
      </c>
      <c r="D7"/>
      <c r="E7" s="172" t="s">
        <v>197</v>
      </c>
      <c r="F7" s="78">
        <v>0</v>
      </c>
      <c r="G7" s="78">
        <v>0.16400000000000001</v>
      </c>
      <c r="H7" s="78">
        <v>5.3</v>
      </c>
      <c r="I7" s="78">
        <v>26.5</v>
      </c>
      <c r="J7" s="78">
        <v>0.986648262</v>
      </c>
      <c r="K7" s="78">
        <v>0.2</v>
      </c>
      <c r="L7" s="78">
        <v>0</v>
      </c>
      <c r="M7" s="78">
        <v>0.2</v>
      </c>
      <c r="N7" s="78">
        <v>0</v>
      </c>
      <c r="P7" s="70"/>
      <c r="Q7" s="70"/>
      <c r="R7" s="70"/>
    </row>
    <row r="8" spans="1:46" ht="15" customHeight="1" x14ac:dyDescent="0.15">
      <c r="A8" s="2" t="s">
        <v>28</v>
      </c>
      <c r="B8" s="78">
        <f ca="1">COUNTIF(OFFSET(cornerFishing,1,2,NumLiving+NumDead,NumGears),"&gt;0")+NumDead*COUNTIF(OFFSET(cornerDiscards,1,2,NumLiving+NumDead,NumGears),"&gt;0")+NumLiving+NumDead+1</f>
        <v>54</v>
      </c>
      <c r="C8" s="78">
        <v>7</v>
      </c>
      <c r="D8"/>
      <c r="E8" s="172" t="s">
        <v>198</v>
      </c>
      <c r="F8" s="78">
        <v>0</v>
      </c>
      <c r="G8" s="78">
        <v>0.28614035199999999</v>
      </c>
      <c r="H8" s="78">
        <v>1.2</v>
      </c>
      <c r="I8" s="78">
        <v>6</v>
      </c>
      <c r="J8" s="78">
        <v>0.95</v>
      </c>
      <c r="K8" s="78">
        <v>0.2</v>
      </c>
      <c r="L8" s="78">
        <v>0</v>
      </c>
      <c r="M8" s="78">
        <v>0.2</v>
      </c>
      <c r="N8" s="78">
        <v>0</v>
      </c>
      <c r="P8" s="70"/>
      <c r="Q8" s="70"/>
      <c r="R8" s="70"/>
    </row>
    <row r="9" spans="1:46" ht="15" customHeight="1" x14ac:dyDescent="0.15">
      <c r="B9" s="1"/>
      <c r="C9" s="78">
        <v>8</v>
      </c>
      <c r="D9"/>
      <c r="E9" s="172" t="s">
        <v>199</v>
      </c>
      <c r="F9" s="78">
        <v>0</v>
      </c>
      <c r="G9" s="78">
        <v>4.66228053E-2</v>
      </c>
      <c r="H9" s="78">
        <v>3</v>
      </c>
      <c r="I9" s="78">
        <v>12</v>
      </c>
      <c r="J9" s="78">
        <v>0.8</v>
      </c>
      <c r="K9" s="78">
        <v>0.25</v>
      </c>
      <c r="L9" s="78">
        <v>0</v>
      </c>
      <c r="M9" s="78">
        <v>0.2</v>
      </c>
      <c r="N9" s="78">
        <v>0</v>
      </c>
      <c r="P9" s="70"/>
      <c r="Q9" s="70"/>
      <c r="R9" s="70"/>
    </row>
    <row r="10" spans="1:46" ht="15" customHeight="1" x14ac:dyDescent="0.15">
      <c r="B10" s="1"/>
      <c r="C10" s="78">
        <v>9</v>
      </c>
      <c r="D10"/>
      <c r="E10" s="172" t="s">
        <v>200</v>
      </c>
      <c r="F10" s="78">
        <v>0</v>
      </c>
      <c r="G10" s="78">
        <v>4.66228053E-2</v>
      </c>
      <c r="H10" s="78">
        <v>3</v>
      </c>
      <c r="I10" s="78">
        <v>12</v>
      </c>
      <c r="J10" s="78">
        <v>0.8</v>
      </c>
      <c r="K10" s="78">
        <v>0.25</v>
      </c>
      <c r="L10" s="78">
        <v>0</v>
      </c>
      <c r="M10" s="78">
        <v>0.2</v>
      </c>
      <c r="N10" s="78">
        <v>0</v>
      </c>
    </row>
    <row r="11" spans="1:46" ht="15" customHeight="1" x14ac:dyDescent="0.15">
      <c r="C11" s="78">
        <v>10</v>
      </c>
      <c r="D11"/>
      <c r="E11" s="172" t="s">
        <v>201</v>
      </c>
      <c r="F11" s="78">
        <v>0</v>
      </c>
      <c r="G11" s="78">
        <v>4.66228053E-2</v>
      </c>
      <c r="H11" s="78">
        <v>3</v>
      </c>
      <c r="I11" s="78">
        <v>12</v>
      </c>
      <c r="J11" s="78">
        <v>0.8</v>
      </c>
      <c r="K11" s="78">
        <v>0.25</v>
      </c>
      <c r="L11" s="78">
        <v>0</v>
      </c>
      <c r="M11" s="78">
        <v>0.2</v>
      </c>
      <c r="N11" s="78">
        <v>0</v>
      </c>
    </row>
    <row r="12" spans="1:46" ht="15" customHeight="1" x14ac:dyDescent="0.15">
      <c r="C12" s="78">
        <v>11</v>
      </c>
      <c r="D12"/>
      <c r="E12" s="172" t="s">
        <v>202</v>
      </c>
      <c r="F12" s="78">
        <v>0</v>
      </c>
      <c r="G12" s="78">
        <v>0.81358819999999998</v>
      </c>
      <c r="H12" s="78">
        <v>3</v>
      </c>
      <c r="I12" s="78">
        <v>12</v>
      </c>
      <c r="J12" s="78">
        <v>0.95</v>
      </c>
      <c r="K12" s="78">
        <v>0.25</v>
      </c>
      <c r="L12" s="78">
        <v>0</v>
      </c>
      <c r="M12" s="78">
        <v>0.2</v>
      </c>
      <c r="N12" s="78">
        <v>0</v>
      </c>
    </row>
    <row r="13" spans="1:46" ht="15" customHeight="1" x14ac:dyDescent="0.15">
      <c r="C13" s="78">
        <v>12</v>
      </c>
      <c r="D13"/>
      <c r="E13" s="172" t="s">
        <v>203</v>
      </c>
      <c r="F13" s="78">
        <v>0</v>
      </c>
      <c r="G13" s="78">
        <v>0.35</v>
      </c>
      <c r="H13" s="78">
        <v>5.4</v>
      </c>
      <c r="I13" s="78">
        <v>27</v>
      </c>
      <c r="J13" s="78">
        <v>0.97098523400000003</v>
      </c>
      <c r="K13" s="78">
        <v>0.2</v>
      </c>
      <c r="L13" s="78">
        <v>0</v>
      </c>
      <c r="M13" s="78">
        <v>0.2</v>
      </c>
      <c r="N13" s="78">
        <v>0</v>
      </c>
    </row>
    <row r="14" spans="1:46" ht="15" customHeight="1" x14ac:dyDescent="0.15">
      <c r="C14" s="78">
        <v>13</v>
      </c>
      <c r="D14"/>
      <c r="E14" s="172" t="s">
        <v>204</v>
      </c>
      <c r="F14" s="78">
        <v>0</v>
      </c>
      <c r="G14" s="78">
        <v>0.16200000000000001</v>
      </c>
      <c r="H14" s="78">
        <v>6.6</v>
      </c>
      <c r="I14" s="78">
        <v>26.4</v>
      </c>
      <c r="J14" s="78">
        <v>0.98028135299999997</v>
      </c>
      <c r="K14" s="78">
        <v>0.25</v>
      </c>
      <c r="L14" s="78">
        <v>0</v>
      </c>
      <c r="M14" s="78">
        <v>0.2</v>
      </c>
      <c r="N14" s="78">
        <v>0</v>
      </c>
    </row>
    <row r="15" spans="1:46" ht="15" customHeight="1" x14ac:dyDescent="0.15">
      <c r="C15" s="78">
        <v>14</v>
      </c>
      <c r="D15"/>
      <c r="E15" s="172" t="s">
        <v>205</v>
      </c>
      <c r="F15" s="78">
        <v>0</v>
      </c>
      <c r="G15" s="78">
        <v>7.1999999999999995E-2</v>
      </c>
      <c r="H15" s="78">
        <v>6</v>
      </c>
      <c r="I15" s="78">
        <v>30</v>
      </c>
      <c r="J15" s="78">
        <v>0.89513889999999996</v>
      </c>
      <c r="K15" s="78">
        <v>0.2</v>
      </c>
      <c r="L15" s="78">
        <v>0</v>
      </c>
      <c r="M15" s="78">
        <v>0.2</v>
      </c>
      <c r="N15" s="78">
        <v>0</v>
      </c>
    </row>
    <row r="16" spans="1:46" ht="15" customHeight="1" x14ac:dyDescent="0.15">
      <c r="C16" s="78">
        <v>15</v>
      </c>
      <c r="D16"/>
      <c r="E16" s="172" t="s">
        <v>206</v>
      </c>
      <c r="F16" s="78">
        <v>0</v>
      </c>
      <c r="G16" s="78">
        <v>7.0000000000000001E-3</v>
      </c>
      <c r="H16" s="78">
        <v>4.2</v>
      </c>
      <c r="I16" s="78">
        <v>20.999998099999999</v>
      </c>
      <c r="J16" s="78">
        <v>0.95238100000000003</v>
      </c>
      <c r="K16" s="78">
        <v>0.2</v>
      </c>
      <c r="L16" s="78">
        <v>0</v>
      </c>
      <c r="M16" s="78">
        <v>0.2</v>
      </c>
      <c r="N16" s="78">
        <v>0</v>
      </c>
    </row>
    <row r="17" spans="1:22" ht="15" customHeight="1" x14ac:dyDescent="0.15">
      <c r="C17" s="78">
        <v>16</v>
      </c>
      <c r="D17"/>
      <c r="E17" s="172" t="s">
        <v>207</v>
      </c>
      <c r="F17" s="78">
        <v>0</v>
      </c>
      <c r="G17" s="78">
        <v>6.0000000000000001E-3</v>
      </c>
      <c r="H17" s="78">
        <v>5.6</v>
      </c>
      <c r="I17" s="78">
        <v>22.4</v>
      </c>
      <c r="J17" s="78">
        <v>0.96250000000000002</v>
      </c>
      <c r="K17" s="78">
        <v>0.25</v>
      </c>
      <c r="L17" s="78">
        <v>0</v>
      </c>
      <c r="M17" s="78">
        <v>0.2</v>
      </c>
      <c r="N17" s="78">
        <v>0</v>
      </c>
      <c r="V17" s="1" t="s">
        <v>30</v>
      </c>
    </row>
    <row r="18" spans="1:22" ht="15" customHeight="1" x14ac:dyDescent="0.15">
      <c r="C18" s="78">
        <v>17</v>
      </c>
      <c r="D18"/>
      <c r="E18" s="172" t="s">
        <v>208</v>
      </c>
      <c r="F18" s="78">
        <v>0</v>
      </c>
      <c r="G18" s="78">
        <v>0.191</v>
      </c>
      <c r="H18" s="78">
        <v>6.5</v>
      </c>
      <c r="I18" s="78">
        <v>26</v>
      </c>
      <c r="J18" s="78">
        <v>0.84272420000000003</v>
      </c>
      <c r="K18" s="78">
        <v>0.25</v>
      </c>
      <c r="L18" s="78">
        <v>0</v>
      </c>
      <c r="M18" s="78">
        <v>0.2</v>
      </c>
      <c r="N18" s="78">
        <v>0</v>
      </c>
      <c r="V18" s="1"/>
    </row>
    <row r="19" spans="1:22" ht="15" customHeight="1" x14ac:dyDescent="0.15">
      <c r="C19" s="78">
        <v>18</v>
      </c>
      <c r="D19"/>
      <c r="E19" s="172" t="s">
        <v>209</v>
      </c>
      <c r="F19" s="78">
        <v>0</v>
      </c>
      <c r="G19" s="78">
        <v>1</v>
      </c>
      <c r="H19" s="78">
        <v>5</v>
      </c>
      <c r="I19" s="78">
        <v>20</v>
      </c>
      <c r="J19" s="78">
        <v>0</v>
      </c>
      <c r="K19" s="78">
        <v>0.25</v>
      </c>
      <c r="L19" s="78">
        <v>0</v>
      </c>
      <c r="M19" s="78">
        <v>0.2</v>
      </c>
      <c r="N19" s="78">
        <v>0</v>
      </c>
    </row>
    <row r="20" spans="1:22" ht="15" customHeight="1" thickBot="1" x14ac:dyDescent="0.2">
      <c r="C20" s="78">
        <v>19</v>
      </c>
      <c r="D20"/>
      <c r="E20" s="172" t="s">
        <v>210</v>
      </c>
      <c r="F20" s="78">
        <v>0</v>
      </c>
      <c r="G20" s="78">
        <v>1.0831015100000001</v>
      </c>
      <c r="H20" s="78">
        <v>4.5</v>
      </c>
      <c r="I20" s="78">
        <v>18</v>
      </c>
      <c r="J20" s="78">
        <v>0.95</v>
      </c>
      <c r="K20" s="78">
        <v>0.25</v>
      </c>
      <c r="L20" s="78">
        <v>0</v>
      </c>
      <c r="M20" s="78">
        <v>0.2</v>
      </c>
      <c r="N20" s="78">
        <v>0</v>
      </c>
    </row>
    <row r="21" spans="1:22" ht="15" customHeight="1" thickBot="1" x14ac:dyDescent="0.2">
      <c r="A21" s="45" t="s">
        <v>137</v>
      </c>
      <c r="B21" s="96"/>
      <c r="C21" s="78">
        <v>20</v>
      </c>
      <c r="D21"/>
      <c r="E21" s="172" t="s">
        <v>211</v>
      </c>
      <c r="F21" s="78">
        <v>0</v>
      </c>
      <c r="G21" s="78">
        <v>1.18107629</v>
      </c>
      <c r="H21" s="78">
        <v>4.5</v>
      </c>
      <c r="I21" s="78">
        <v>18</v>
      </c>
      <c r="J21" s="78">
        <v>0.95</v>
      </c>
      <c r="K21" s="78">
        <v>0.25</v>
      </c>
      <c r="L21" s="78">
        <v>0</v>
      </c>
      <c r="M21" s="78">
        <v>0.2</v>
      </c>
      <c r="N21" s="78">
        <v>0</v>
      </c>
    </row>
    <row r="22" spans="1:22" ht="15" customHeight="1" x14ac:dyDescent="0.15">
      <c r="A22" s="97" t="s">
        <v>58</v>
      </c>
      <c r="B22" s="98">
        <v>0</v>
      </c>
      <c r="C22" s="78">
        <v>21</v>
      </c>
      <c r="D22"/>
      <c r="E22" s="172" t="s">
        <v>212</v>
      </c>
      <c r="F22" s="78">
        <v>0</v>
      </c>
      <c r="G22" s="78">
        <v>0.123</v>
      </c>
      <c r="H22" s="78">
        <v>6.45</v>
      </c>
      <c r="I22" s="78">
        <v>25.8</v>
      </c>
      <c r="J22" s="78">
        <v>0.97174470000000002</v>
      </c>
      <c r="K22" s="78">
        <v>0.25</v>
      </c>
      <c r="L22" s="78">
        <v>0</v>
      </c>
      <c r="M22" s="78">
        <v>0.2</v>
      </c>
      <c r="N22" s="78">
        <v>0</v>
      </c>
    </row>
    <row r="23" spans="1:22" ht="15" customHeight="1" x14ac:dyDescent="0.15">
      <c r="A23" s="97" t="s">
        <v>59</v>
      </c>
      <c r="B23" s="98">
        <v>1</v>
      </c>
      <c r="C23" s="78">
        <v>22</v>
      </c>
      <c r="D23"/>
      <c r="E23" s="172" t="s">
        <v>213</v>
      </c>
      <c r="F23" s="78">
        <v>0</v>
      </c>
      <c r="G23" s="78">
        <v>4.2000000000000003E-2</v>
      </c>
      <c r="H23" s="78">
        <v>7.4</v>
      </c>
      <c r="I23" s="78">
        <v>29.6</v>
      </c>
      <c r="J23" s="78">
        <v>0.85778635700000005</v>
      </c>
      <c r="K23" s="78">
        <v>0.25</v>
      </c>
      <c r="L23" s="78">
        <v>0</v>
      </c>
      <c r="M23" s="78">
        <v>0.2</v>
      </c>
      <c r="N23" s="78">
        <v>0</v>
      </c>
    </row>
    <row r="24" spans="1:22" ht="15" customHeight="1" x14ac:dyDescent="0.15">
      <c r="A24" s="97" t="s">
        <v>60</v>
      </c>
      <c r="B24" s="98">
        <v>2</v>
      </c>
      <c r="C24" s="78">
        <v>23</v>
      </c>
      <c r="D24"/>
      <c r="E24" s="172" t="s">
        <v>214</v>
      </c>
      <c r="F24" s="78">
        <v>0</v>
      </c>
      <c r="G24" s="78">
        <v>0.55500000000000005</v>
      </c>
      <c r="H24" s="78">
        <v>7.1</v>
      </c>
      <c r="I24" s="78">
        <v>28.4</v>
      </c>
      <c r="J24" s="78">
        <v>0.99865369999999998</v>
      </c>
      <c r="K24" s="78">
        <v>0.25</v>
      </c>
      <c r="L24" s="78">
        <v>0</v>
      </c>
      <c r="M24" s="78">
        <v>0.2</v>
      </c>
      <c r="N24" s="78">
        <v>0</v>
      </c>
    </row>
    <row r="25" spans="1:22" ht="15" customHeight="1" thickBot="1" x14ac:dyDescent="0.2">
      <c r="A25" s="99" t="s">
        <v>44</v>
      </c>
      <c r="B25" s="100">
        <v>3</v>
      </c>
      <c r="C25" s="78">
        <v>24</v>
      </c>
      <c r="D25"/>
      <c r="E25" s="172" t="s">
        <v>215</v>
      </c>
      <c r="F25" s="78">
        <v>0</v>
      </c>
      <c r="G25" s="78">
        <v>33</v>
      </c>
      <c r="H25" s="78">
        <v>5</v>
      </c>
      <c r="I25" s="78">
        <v>20</v>
      </c>
      <c r="J25" s="78">
        <v>0.32560637599999998</v>
      </c>
      <c r="K25" s="78">
        <v>0.25</v>
      </c>
      <c r="L25" s="78">
        <v>0</v>
      </c>
      <c r="M25" s="78">
        <v>0.2</v>
      </c>
      <c r="N25" s="78">
        <v>0</v>
      </c>
    </row>
    <row r="26" spans="1:22" ht="15" customHeight="1" x14ac:dyDescent="0.15">
      <c r="A26" s="101" t="s">
        <v>140</v>
      </c>
      <c r="C26" s="78">
        <v>25</v>
      </c>
      <c r="D26"/>
      <c r="E26" s="172" t="s">
        <v>216</v>
      </c>
      <c r="F26" s="78">
        <v>0</v>
      </c>
      <c r="G26" s="78">
        <v>1.3602192399999999</v>
      </c>
      <c r="H26" s="78">
        <v>6.1</v>
      </c>
      <c r="I26" s="78">
        <v>24.4</v>
      </c>
      <c r="J26" s="78">
        <v>0.95</v>
      </c>
      <c r="K26" s="78">
        <v>0.25</v>
      </c>
      <c r="L26" s="78">
        <v>0</v>
      </c>
      <c r="M26" s="78">
        <v>0.2</v>
      </c>
      <c r="N26" s="78">
        <v>0</v>
      </c>
    </row>
    <row r="27" spans="1:22" ht="15" customHeight="1" x14ac:dyDescent="0.15">
      <c r="C27" s="78">
        <v>26</v>
      </c>
      <c r="D27"/>
      <c r="E27" s="172" t="s">
        <v>217</v>
      </c>
      <c r="F27" s="78">
        <v>0</v>
      </c>
      <c r="G27" s="78">
        <v>12.620903999999999</v>
      </c>
      <c r="H27" s="78">
        <v>3</v>
      </c>
      <c r="I27" s="78">
        <v>12</v>
      </c>
      <c r="J27" s="78">
        <v>0.9</v>
      </c>
      <c r="K27" s="78">
        <v>0.25</v>
      </c>
      <c r="L27" s="78">
        <v>0</v>
      </c>
      <c r="M27" s="78">
        <v>0.2</v>
      </c>
      <c r="N27" s="78">
        <v>0</v>
      </c>
    </row>
    <row r="28" spans="1:22" ht="15" customHeight="1" x14ac:dyDescent="0.15">
      <c r="C28" s="78">
        <v>27</v>
      </c>
      <c r="D28"/>
      <c r="E28" s="172" t="s">
        <v>218</v>
      </c>
      <c r="F28" s="78">
        <v>0</v>
      </c>
      <c r="G28" s="78">
        <v>17.3</v>
      </c>
      <c r="H28" s="78">
        <v>40</v>
      </c>
      <c r="I28" s="78">
        <v>192</v>
      </c>
      <c r="J28" s="78">
        <v>0.77879255999999997</v>
      </c>
      <c r="K28" s="78">
        <v>0.20833332800000001</v>
      </c>
      <c r="L28" s="78">
        <v>0</v>
      </c>
      <c r="M28" s="78">
        <v>0.2</v>
      </c>
      <c r="N28" s="78">
        <v>0</v>
      </c>
    </row>
    <row r="29" spans="1:22" customFormat="1" ht="15" customHeight="1" x14ac:dyDescent="0.15">
      <c r="C29" s="78">
        <v>28</v>
      </c>
      <c r="E29" s="172" t="s">
        <v>219</v>
      </c>
      <c r="F29" s="78">
        <v>1</v>
      </c>
      <c r="G29" s="78">
        <v>18.25</v>
      </c>
      <c r="H29" s="78">
        <v>200</v>
      </c>
      <c r="I29" s="78">
        <v>0</v>
      </c>
      <c r="J29" s="78">
        <v>0.84542626099999996</v>
      </c>
      <c r="K29" s="78">
        <v>0</v>
      </c>
      <c r="L29" s="78">
        <v>0</v>
      </c>
      <c r="M29" s="78">
        <v>0</v>
      </c>
      <c r="N29" s="78">
        <v>0</v>
      </c>
    </row>
    <row r="30" spans="1:22" customFormat="1" ht="15" customHeight="1" x14ac:dyDescent="0.15">
      <c r="C30" s="78">
        <v>29</v>
      </c>
      <c r="E30" s="172" t="s">
        <v>220</v>
      </c>
      <c r="F30" s="78">
        <v>2</v>
      </c>
      <c r="G30" s="78">
        <v>100</v>
      </c>
      <c r="H30" s="78">
        <v>0</v>
      </c>
      <c r="I30" s="78">
        <v>0</v>
      </c>
      <c r="J30" s="78">
        <v>0.32909719999999998</v>
      </c>
      <c r="K30" s="78">
        <v>0</v>
      </c>
      <c r="L30" s="78">
        <v>0</v>
      </c>
      <c r="M30" s="78">
        <v>0</v>
      </c>
      <c r="N30" s="78">
        <v>0</v>
      </c>
    </row>
    <row r="31" spans="1:22" customFormat="1" ht="15" customHeight="1" x14ac:dyDescent="0.15">
      <c r="C31" s="78">
        <v>30</v>
      </c>
      <c r="E31" s="172" t="s">
        <v>221</v>
      </c>
      <c r="F31" s="78">
        <v>2</v>
      </c>
      <c r="G31" s="78">
        <v>5</v>
      </c>
      <c r="H31" s="78">
        <v>0</v>
      </c>
      <c r="I31" s="78">
        <v>0</v>
      </c>
      <c r="J31" s="78">
        <v>0</v>
      </c>
      <c r="K31" s="78">
        <v>0</v>
      </c>
      <c r="L31" s="78">
        <v>0</v>
      </c>
      <c r="M31" s="78">
        <v>0</v>
      </c>
      <c r="N31" s="78">
        <v>0</v>
      </c>
    </row>
    <row r="32" spans="1:22" customFormat="1" ht="15" customHeight="1" x14ac:dyDescent="0.15">
      <c r="C32" s="78">
        <v>31</v>
      </c>
      <c r="E32" s="172" t="s">
        <v>222</v>
      </c>
      <c r="F32" s="78">
        <v>3</v>
      </c>
      <c r="G32" s="78">
        <v>0</v>
      </c>
      <c r="H32" s="78">
        <v>0</v>
      </c>
      <c r="I32" s="78">
        <v>0</v>
      </c>
      <c r="J32" s="78">
        <v>0</v>
      </c>
      <c r="K32" s="78">
        <v>0</v>
      </c>
      <c r="L32" s="78">
        <v>0</v>
      </c>
      <c r="M32" s="78">
        <v>0</v>
      </c>
      <c r="N32" s="78">
        <v>0</v>
      </c>
    </row>
    <row r="33" spans="3:14" customFormat="1" ht="15" customHeight="1" x14ac:dyDescent="0.15">
      <c r="C33" s="78">
        <v>32</v>
      </c>
      <c r="E33" s="172" t="s">
        <v>223</v>
      </c>
      <c r="F33" s="78">
        <v>3</v>
      </c>
      <c r="G33" s="78">
        <v>0</v>
      </c>
      <c r="H33" s="78">
        <v>0</v>
      </c>
      <c r="I33" s="78">
        <v>0</v>
      </c>
      <c r="J33" s="78">
        <v>0</v>
      </c>
      <c r="K33" s="78">
        <v>0</v>
      </c>
      <c r="L33" s="78">
        <v>0</v>
      </c>
      <c r="M33" s="78">
        <v>0</v>
      </c>
      <c r="N33" s="78">
        <v>0</v>
      </c>
    </row>
    <row r="34" spans="3:14" customFormat="1" ht="15" customHeight="1" x14ac:dyDescent="0.15"/>
    <row r="35" spans="3:14" customFormat="1" ht="15" customHeight="1" x14ac:dyDescent="0.15"/>
    <row r="36" spans="3:14" customFormat="1" ht="15" customHeight="1" x14ac:dyDescent="0.15"/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7" bestFit="1" customWidth="1"/>
    <col min="2" max="8" width="4.83203125" style="137" bestFit="1" customWidth="1"/>
    <col min="9" max="10" width="3.83203125" style="137" bestFit="1" customWidth="1"/>
    <col min="11" max="15" width="4.83203125" style="137" bestFit="1" customWidth="1"/>
    <col min="16" max="18" width="3.83203125" style="137" bestFit="1" customWidth="1"/>
    <col min="19" max="19" width="2.33203125" style="137" bestFit="1" customWidth="1"/>
    <col min="20" max="23" width="3.83203125" style="137" bestFit="1" customWidth="1"/>
    <col min="24" max="25" width="4.83203125" style="137" bestFit="1" customWidth="1"/>
    <col min="26" max="27" width="3.83203125" style="137" bestFit="1" customWidth="1"/>
    <col min="28" max="28" width="4.83203125" style="137" bestFit="1" customWidth="1"/>
    <col min="29" max="29" width="2.33203125" style="137" bestFit="1" customWidth="1"/>
    <col min="30" max="31" width="2.33203125" style="137" customWidth="1"/>
    <col min="32" max="16384" width="8.83203125" style="137"/>
  </cols>
  <sheetData>
    <row r="1" spans="1:34" x14ac:dyDescent="0.15">
      <c r="A1" s="136" t="s">
        <v>19</v>
      </c>
      <c r="B1" s="174" t="s">
        <v>192</v>
      </c>
      <c r="C1" s="174" t="s">
        <v>193</v>
      </c>
      <c r="D1" s="174" t="s">
        <v>194</v>
      </c>
      <c r="E1" s="174" t="s">
        <v>195</v>
      </c>
      <c r="F1" s="174" t="s">
        <v>196</v>
      </c>
      <c r="G1" s="174" t="s">
        <v>197</v>
      </c>
      <c r="H1" s="174" t="s">
        <v>198</v>
      </c>
      <c r="I1" s="174" t="s">
        <v>199</v>
      </c>
      <c r="J1" s="174" t="s">
        <v>200</v>
      </c>
      <c r="K1" s="174" t="s">
        <v>201</v>
      </c>
      <c r="L1" s="174" t="s">
        <v>202</v>
      </c>
      <c r="M1" s="174" t="s">
        <v>203</v>
      </c>
      <c r="N1" s="174" t="s">
        <v>204</v>
      </c>
      <c r="O1" s="174" t="s">
        <v>205</v>
      </c>
      <c r="P1" s="174" t="s">
        <v>206</v>
      </c>
      <c r="Q1" s="174" t="s">
        <v>207</v>
      </c>
      <c r="R1" s="174" t="s">
        <v>208</v>
      </c>
      <c r="S1" s="174" t="s">
        <v>209</v>
      </c>
      <c r="T1" s="174" t="s">
        <v>210</v>
      </c>
      <c r="U1" s="174" t="s">
        <v>211</v>
      </c>
      <c r="V1" s="174" t="s">
        <v>212</v>
      </c>
      <c r="W1" s="174" t="s">
        <v>213</v>
      </c>
      <c r="X1" s="174" t="s">
        <v>214</v>
      </c>
      <c r="Y1" s="174" t="s">
        <v>215</v>
      </c>
      <c r="Z1" s="174" t="s">
        <v>216</v>
      </c>
      <c r="AA1" s="174" t="s">
        <v>217</v>
      </c>
      <c r="AB1" s="174" t="s">
        <v>218</v>
      </c>
      <c r="AC1" s="174" t="s">
        <v>219</v>
      </c>
      <c r="AD1" s="174" t="s">
        <v>220</v>
      </c>
      <c r="AE1" s="174" t="s">
        <v>221</v>
      </c>
      <c r="AF1"/>
      <c r="AG1"/>
      <c r="AH1"/>
    </row>
    <row r="2" spans="1:34" customFormat="1" x14ac:dyDescent="0.15">
      <c r="A2" s="173" t="s">
        <v>192</v>
      </c>
      <c r="B2" s="137">
        <v>0</v>
      </c>
      <c r="C2" s="137">
        <v>0</v>
      </c>
      <c r="D2" s="137">
        <v>0</v>
      </c>
      <c r="E2" s="137">
        <v>0</v>
      </c>
      <c r="F2" s="137">
        <v>0</v>
      </c>
      <c r="G2" s="137">
        <v>0</v>
      </c>
      <c r="H2" s="137">
        <v>0</v>
      </c>
      <c r="I2" s="137">
        <v>0</v>
      </c>
      <c r="J2" s="137">
        <v>0</v>
      </c>
      <c r="K2" s="137">
        <v>0</v>
      </c>
      <c r="L2" s="137">
        <v>0</v>
      </c>
      <c r="M2" s="137">
        <v>0</v>
      </c>
      <c r="N2" s="137">
        <v>0</v>
      </c>
      <c r="O2" s="137">
        <v>0</v>
      </c>
      <c r="P2" s="137">
        <v>0</v>
      </c>
      <c r="Q2" s="137">
        <v>0</v>
      </c>
      <c r="R2" s="137">
        <v>0</v>
      </c>
      <c r="S2" s="137">
        <v>0</v>
      </c>
      <c r="T2" s="137">
        <v>0</v>
      </c>
      <c r="U2" s="137">
        <v>0</v>
      </c>
      <c r="V2" s="137">
        <v>0</v>
      </c>
      <c r="W2" s="137">
        <v>0</v>
      </c>
      <c r="X2" s="137">
        <v>0</v>
      </c>
      <c r="Y2" s="137">
        <v>0</v>
      </c>
      <c r="Z2" s="137">
        <v>0</v>
      </c>
      <c r="AA2" s="137">
        <v>0</v>
      </c>
      <c r="AB2" s="137">
        <v>0</v>
      </c>
      <c r="AC2" s="137">
        <v>0</v>
      </c>
      <c r="AD2" s="137">
        <v>0</v>
      </c>
      <c r="AE2" s="137">
        <v>0</v>
      </c>
    </row>
    <row r="3" spans="1:34" customFormat="1" x14ac:dyDescent="0.15">
      <c r="A3" s="173" t="s">
        <v>193</v>
      </c>
      <c r="B3" s="137">
        <v>0</v>
      </c>
      <c r="C3" s="137">
        <v>0</v>
      </c>
      <c r="D3" s="137">
        <v>0</v>
      </c>
      <c r="E3" s="137">
        <v>0</v>
      </c>
      <c r="F3" s="137">
        <v>0</v>
      </c>
      <c r="G3" s="137">
        <v>0</v>
      </c>
      <c r="H3" s="137">
        <v>0</v>
      </c>
      <c r="I3" s="137">
        <v>0</v>
      </c>
      <c r="J3" s="137">
        <v>0</v>
      </c>
      <c r="K3" s="137">
        <v>0</v>
      </c>
      <c r="L3" s="137">
        <v>0</v>
      </c>
      <c r="M3" s="137">
        <v>0</v>
      </c>
      <c r="N3" s="137">
        <v>0</v>
      </c>
      <c r="O3" s="137">
        <v>0</v>
      </c>
      <c r="P3" s="137">
        <v>0</v>
      </c>
      <c r="Q3" s="137">
        <v>0</v>
      </c>
      <c r="R3" s="137">
        <v>0</v>
      </c>
      <c r="S3" s="137">
        <v>0</v>
      </c>
      <c r="T3" s="137">
        <v>0</v>
      </c>
      <c r="U3" s="137">
        <v>0</v>
      </c>
      <c r="V3" s="137">
        <v>0</v>
      </c>
      <c r="W3" s="137">
        <v>0</v>
      </c>
      <c r="X3" s="137">
        <v>0</v>
      </c>
      <c r="Y3" s="137">
        <v>0</v>
      </c>
      <c r="Z3" s="137">
        <v>0</v>
      </c>
      <c r="AA3" s="137">
        <v>0</v>
      </c>
      <c r="AB3" s="137">
        <v>0</v>
      </c>
      <c r="AC3" s="137">
        <v>0</v>
      </c>
      <c r="AD3" s="137">
        <v>0</v>
      </c>
      <c r="AE3" s="137">
        <v>0</v>
      </c>
    </row>
    <row r="4" spans="1:34" customFormat="1" x14ac:dyDescent="0.15">
      <c r="A4" s="173" t="s">
        <v>194</v>
      </c>
      <c r="B4" s="137">
        <v>0.03</v>
      </c>
      <c r="C4" s="137">
        <v>0.05</v>
      </c>
      <c r="D4" s="137">
        <v>0</v>
      </c>
      <c r="E4" s="137">
        <v>0</v>
      </c>
      <c r="F4" s="137">
        <v>0</v>
      </c>
      <c r="G4" s="137">
        <v>0</v>
      </c>
      <c r="H4" s="137">
        <v>0</v>
      </c>
      <c r="I4" s="137">
        <v>0</v>
      </c>
      <c r="J4" s="137">
        <v>0</v>
      </c>
      <c r="K4" s="137">
        <v>0</v>
      </c>
      <c r="L4" s="137">
        <v>0</v>
      </c>
      <c r="M4" s="137">
        <v>0</v>
      </c>
      <c r="N4" s="137">
        <v>0</v>
      </c>
      <c r="O4" s="137">
        <v>0</v>
      </c>
      <c r="P4" s="137">
        <v>0</v>
      </c>
      <c r="Q4" s="137">
        <v>0</v>
      </c>
      <c r="R4" s="137">
        <v>0</v>
      </c>
      <c r="S4" s="137">
        <v>0</v>
      </c>
      <c r="T4" s="137">
        <v>0</v>
      </c>
      <c r="U4" s="137">
        <v>0</v>
      </c>
      <c r="V4" s="137">
        <v>0</v>
      </c>
      <c r="W4" s="137">
        <v>0</v>
      </c>
      <c r="X4" s="137">
        <v>0</v>
      </c>
      <c r="Y4" s="137">
        <v>0</v>
      </c>
      <c r="Z4" s="137">
        <v>0</v>
      </c>
      <c r="AA4" s="137">
        <v>0</v>
      </c>
      <c r="AB4" s="137">
        <v>0</v>
      </c>
      <c r="AC4" s="137">
        <v>0</v>
      </c>
      <c r="AD4" s="137">
        <v>0</v>
      </c>
      <c r="AE4" s="137">
        <v>0</v>
      </c>
    </row>
    <row r="5" spans="1:34" customFormat="1" x14ac:dyDescent="0.15">
      <c r="A5" s="173" t="s">
        <v>195</v>
      </c>
      <c r="B5" s="137">
        <v>0.01</v>
      </c>
      <c r="C5" s="137">
        <v>0.1</v>
      </c>
      <c r="D5" s="137">
        <v>0</v>
      </c>
      <c r="E5" s="137">
        <v>0</v>
      </c>
      <c r="F5" s="137">
        <v>0</v>
      </c>
      <c r="G5" s="137">
        <v>0</v>
      </c>
      <c r="H5" s="137">
        <v>0</v>
      </c>
      <c r="I5" s="137">
        <v>0</v>
      </c>
      <c r="J5" s="137">
        <v>0</v>
      </c>
      <c r="K5" s="137">
        <v>0</v>
      </c>
      <c r="L5" s="137">
        <v>0</v>
      </c>
      <c r="M5" s="137">
        <v>0</v>
      </c>
      <c r="N5" s="137">
        <v>0</v>
      </c>
      <c r="O5" s="137">
        <v>0</v>
      </c>
      <c r="P5" s="137">
        <v>0</v>
      </c>
      <c r="Q5" s="137">
        <v>0</v>
      </c>
      <c r="R5" s="137">
        <v>0</v>
      </c>
      <c r="S5" s="137">
        <v>0</v>
      </c>
      <c r="T5" s="137">
        <v>0</v>
      </c>
      <c r="U5" s="137">
        <v>0</v>
      </c>
      <c r="V5" s="137">
        <v>0</v>
      </c>
      <c r="W5" s="137">
        <v>0</v>
      </c>
      <c r="X5" s="137">
        <v>0</v>
      </c>
      <c r="Y5" s="137">
        <v>0</v>
      </c>
      <c r="Z5" s="137">
        <v>0</v>
      </c>
      <c r="AA5" s="137">
        <v>0</v>
      </c>
      <c r="AB5" s="137">
        <v>0</v>
      </c>
      <c r="AC5" s="137">
        <v>0</v>
      </c>
      <c r="AD5" s="137">
        <v>0</v>
      </c>
      <c r="AE5" s="137">
        <v>0</v>
      </c>
    </row>
    <row r="6" spans="1:34" customFormat="1" x14ac:dyDescent="0.15">
      <c r="A6" s="173" t="s">
        <v>196</v>
      </c>
      <c r="B6" s="137">
        <v>0.4</v>
      </c>
      <c r="C6" s="137">
        <v>0.1</v>
      </c>
      <c r="D6" s="137">
        <v>0</v>
      </c>
      <c r="E6" s="137">
        <v>0</v>
      </c>
      <c r="F6" s="137">
        <v>0</v>
      </c>
      <c r="G6" s="137">
        <v>0</v>
      </c>
      <c r="H6" s="137">
        <v>0</v>
      </c>
      <c r="I6" s="137">
        <v>0</v>
      </c>
      <c r="J6" s="137">
        <v>0</v>
      </c>
      <c r="K6" s="137">
        <v>0</v>
      </c>
      <c r="L6" s="137">
        <v>0</v>
      </c>
      <c r="M6" s="137">
        <v>0</v>
      </c>
      <c r="N6" s="137">
        <v>0</v>
      </c>
      <c r="O6" s="137">
        <v>0</v>
      </c>
      <c r="P6" s="137">
        <v>0</v>
      </c>
      <c r="Q6" s="137">
        <v>0</v>
      </c>
      <c r="R6" s="137">
        <v>0</v>
      </c>
      <c r="S6" s="137">
        <v>0</v>
      </c>
      <c r="T6" s="137">
        <v>0</v>
      </c>
      <c r="U6" s="137">
        <v>0</v>
      </c>
      <c r="V6" s="137">
        <v>0</v>
      </c>
      <c r="W6" s="137">
        <v>0</v>
      </c>
      <c r="X6" s="137">
        <v>0</v>
      </c>
      <c r="Y6" s="137">
        <v>0</v>
      </c>
      <c r="Z6" s="137">
        <v>0</v>
      </c>
      <c r="AA6" s="137">
        <v>0</v>
      </c>
      <c r="AB6" s="137">
        <v>0</v>
      </c>
      <c r="AC6" s="137">
        <v>0</v>
      </c>
      <c r="AD6" s="137">
        <v>0</v>
      </c>
      <c r="AE6" s="137">
        <v>0</v>
      </c>
    </row>
    <row r="7" spans="1:34" customFormat="1" x14ac:dyDescent="0.15">
      <c r="A7" s="173" t="s">
        <v>197</v>
      </c>
      <c r="B7" s="137">
        <v>0</v>
      </c>
      <c r="C7" s="137">
        <v>0</v>
      </c>
      <c r="D7" s="137">
        <v>0.05</v>
      </c>
      <c r="E7" s="137">
        <v>0.05</v>
      </c>
      <c r="F7" s="137">
        <v>0.05</v>
      </c>
      <c r="G7" s="137">
        <v>0</v>
      </c>
      <c r="H7" s="137">
        <v>0</v>
      </c>
      <c r="I7" s="137">
        <v>0</v>
      </c>
      <c r="J7" s="137">
        <v>0</v>
      </c>
      <c r="K7" s="137">
        <v>0</v>
      </c>
      <c r="L7" s="137">
        <v>0</v>
      </c>
      <c r="M7" s="137">
        <v>0</v>
      </c>
      <c r="N7" s="137">
        <v>0</v>
      </c>
      <c r="O7" s="137">
        <v>0</v>
      </c>
      <c r="P7" s="137">
        <v>0</v>
      </c>
      <c r="Q7" s="137">
        <v>0</v>
      </c>
      <c r="R7" s="137">
        <v>0</v>
      </c>
      <c r="S7" s="137">
        <v>0</v>
      </c>
      <c r="T7" s="137">
        <v>0</v>
      </c>
      <c r="U7" s="137">
        <v>0</v>
      </c>
      <c r="V7" s="137">
        <v>0</v>
      </c>
      <c r="W7" s="137">
        <v>0</v>
      </c>
      <c r="X7" s="137">
        <v>0</v>
      </c>
      <c r="Y7" s="137">
        <v>0</v>
      </c>
      <c r="Z7" s="137">
        <v>0</v>
      </c>
      <c r="AA7" s="137">
        <v>0</v>
      </c>
      <c r="AB7" s="137">
        <v>0</v>
      </c>
      <c r="AC7" s="137">
        <v>0</v>
      </c>
      <c r="AD7" s="137">
        <v>0</v>
      </c>
      <c r="AE7" s="137">
        <v>0</v>
      </c>
    </row>
    <row r="8" spans="1:34" customFormat="1" x14ac:dyDescent="0.15">
      <c r="A8" s="173" t="s">
        <v>198</v>
      </c>
      <c r="B8" s="137">
        <v>0.26</v>
      </c>
      <c r="C8" s="137">
        <v>0.1</v>
      </c>
      <c r="D8" s="137">
        <v>0</v>
      </c>
      <c r="E8" s="137">
        <v>0</v>
      </c>
      <c r="F8" s="137">
        <v>0</v>
      </c>
      <c r="G8" s="137">
        <v>0</v>
      </c>
      <c r="H8" s="137">
        <v>0</v>
      </c>
      <c r="I8" s="137">
        <v>0</v>
      </c>
      <c r="J8" s="137">
        <v>0</v>
      </c>
      <c r="K8" s="137">
        <v>0</v>
      </c>
      <c r="L8" s="137">
        <v>0</v>
      </c>
      <c r="M8" s="137">
        <v>0</v>
      </c>
      <c r="N8" s="137">
        <v>0</v>
      </c>
      <c r="O8" s="137">
        <v>0</v>
      </c>
      <c r="P8" s="137">
        <v>0</v>
      </c>
      <c r="Q8" s="137">
        <v>0</v>
      </c>
      <c r="R8" s="137">
        <v>0</v>
      </c>
      <c r="S8" s="137">
        <v>0</v>
      </c>
      <c r="T8" s="137">
        <v>0</v>
      </c>
      <c r="U8" s="137">
        <v>0</v>
      </c>
      <c r="V8" s="137">
        <v>0</v>
      </c>
      <c r="W8" s="137">
        <v>0</v>
      </c>
      <c r="X8" s="137">
        <v>0</v>
      </c>
      <c r="Y8" s="137">
        <v>0</v>
      </c>
      <c r="Z8" s="137">
        <v>0</v>
      </c>
      <c r="AA8" s="137">
        <v>0</v>
      </c>
      <c r="AB8" s="137">
        <v>0</v>
      </c>
      <c r="AC8" s="137">
        <v>0</v>
      </c>
      <c r="AD8" s="137">
        <v>0</v>
      </c>
      <c r="AE8" s="137">
        <v>0</v>
      </c>
    </row>
    <row r="9" spans="1:34" customFormat="1" x14ac:dyDescent="0.15">
      <c r="A9" s="173" t="s">
        <v>199</v>
      </c>
      <c r="B9" s="137">
        <v>0</v>
      </c>
      <c r="C9" s="137">
        <v>0</v>
      </c>
      <c r="D9" s="137">
        <v>0</v>
      </c>
      <c r="E9" s="137">
        <v>0</v>
      </c>
      <c r="F9" s="137">
        <v>0.05</v>
      </c>
      <c r="G9" s="137">
        <v>0</v>
      </c>
      <c r="H9" s="137">
        <v>0</v>
      </c>
      <c r="I9" s="137">
        <v>0</v>
      </c>
      <c r="J9" s="137">
        <v>0</v>
      </c>
      <c r="K9" s="137">
        <v>0</v>
      </c>
      <c r="L9" s="137">
        <v>0</v>
      </c>
      <c r="M9" s="137">
        <v>0</v>
      </c>
      <c r="N9" s="137">
        <v>0</v>
      </c>
      <c r="O9" s="137">
        <v>0</v>
      </c>
      <c r="P9" s="137">
        <v>0</v>
      </c>
      <c r="Q9" s="137">
        <v>0</v>
      </c>
      <c r="R9" s="137">
        <v>0</v>
      </c>
      <c r="S9" s="137">
        <v>0</v>
      </c>
      <c r="T9" s="137">
        <v>0</v>
      </c>
      <c r="U9" s="137">
        <v>0</v>
      </c>
      <c r="V9" s="137">
        <v>0</v>
      </c>
      <c r="W9" s="137">
        <v>0</v>
      </c>
      <c r="X9" s="137">
        <v>0</v>
      </c>
      <c r="Y9" s="137">
        <v>0</v>
      </c>
      <c r="Z9" s="137">
        <v>0</v>
      </c>
      <c r="AA9" s="137">
        <v>0</v>
      </c>
      <c r="AB9" s="137">
        <v>0</v>
      </c>
      <c r="AC9" s="137">
        <v>0</v>
      </c>
      <c r="AD9" s="137">
        <v>0</v>
      </c>
      <c r="AE9" s="137">
        <v>0</v>
      </c>
    </row>
    <row r="10" spans="1:34" customFormat="1" x14ac:dyDescent="0.15">
      <c r="A10" s="173" t="s">
        <v>200</v>
      </c>
      <c r="B10" s="137">
        <v>0</v>
      </c>
      <c r="C10" s="137">
        <v>0</v>
      </c>
      <c r="D10" s="137">
        <v>0</v>
      </c>
      <c r="E10" s="137">
        <v>0</v>
      </c>
      <c r="F10" s="137">
        <v>0.05</v>
      </c>
      <c r="G10" s="137">
        <v>0</v>
      </c>
      <c r="H10" s="137">
        <v>0</v>
      </c>
      <c r="I10" s="137">
        <v>0</v>
      </c>
      <c r="J10" s="137">
        <v>0</v>
      </c>
      <c r="K10" s="137">
        <v>0</v>
      </c>
      <c r="L10" s="137">
        <v>0</v>
      </c>
      <c r="M10" s="137">
        <v>0</v>
      </c>
      <c r="N10" s="137">
        <v>0</v>
      </c>
      <c r="O10" s="137">
        <v>0</v>
      </c>
      <c r="P10" s="137">
        <v>0</v>
      </c>
      <c r="Q10" s="137">
        <v>0</v>
      </c>
      <c r="R10" s="137">
        <v>0</v>
      </c>
      <c r="S10" s="137">
        <v>0</v>
      </c>
      <c r="T10" s="137">
        <v>0</v>
      </c>
      <c r="U10" s="137">
        <v>0</v>
      </c>
      <c r="V10" s="137">
        <v>0</v>
      </c>
      <c r="W10" s="137">
        <v>0</v>
      </c>
      <c r="X10" s="137">
        <v>0</v>
      </c>
      <c r="Y10" s="137">
        <v>0</v>
      </c>
      <c r="Z10" s="137">
        <v>0</v>
      </c>
      <c r="AA10" s="137">
        <v>0</v>
      </c>
      <c r="AB10" s="137">
        <v>0</v>
      </c>
      <c r="AC10" s="137">
        <v>0</v>
      </c>
      <c r="AD10" s="137">
        <v>0</v>
      </c>
      <c r="AE10" s="137">
        <v>0</v>
      </c>
    </row>
    <row r="11" spans="1:34" customFormat="1" x14ac:dyDescent="0.15">
      <c r="A11" s="173" t="s">
        <v>201</v>
      </c>
      <c r="B11" s="137">
        <v>0</v>
      </c>
      <c r="C11" s="137">
        <v>0</v>
      </c>
      <c r="D11" s="137">
        <v>0</v>
      </c>
      <c r="E11" s="137">
        <v>0</v>
      </c>
      <c r="F11" s="137">
        <v>0.05</v>
      </c>
      <c r="G11" s="137">
        <v>0</v>
      </c>
      <c r="H11" s="137">
        <v>0</v>
      </c>
      <c r="I11" s="137">
        <v>0</v>
      </c>
      <c r="J11" s="137">
        <v>0</v>
      </c>
      <c r="K11" s="137">
        <v>0</v>
      </c>
      <c r="L11" s="137">
        <v>0</v>
      </c>
      <c r="M11" s="137">
        <v>0</v>
      </c>
      <c r="N11" s="137">
        <v>0</v>
      </c>
      <c r="O11" s="137">
        <v>0</v>
      </c>
      <c r="P11" s="137">
        <v>0</v>
      </c>
      <c r="Q11" s="137">
        <v>0</v>
      </c>
      <c r="R11" s="137">
        <v>0</v>
      </c>
      <c r="S11" s="137">
        <v>0</v>
      </c>
      <c r="T11" s="137">
        <v>0</v>
      </c>
      <c r="U11" s="137">
        <v>0</v>
      </c>
      <c r="V11" s="137">
        <v>0</v>
      </c>
      <c r="W11" s="137">
        <v>0</v>
      </c>
      <c r="X11" s="137">
        <v>0</v>
      </c>
      <c r="Y11" s="137">
        <v>0</v>
      </c>
      <c r="Z11" s="137">
        <v>0</v>
      </c>
      <c r="AA11" s="137">
        <v>0</v>
      </c>
      <c r="AB11" s="137">
        <v>0</v>
      </c>
      <c r="AC11" s="137">
        <v>0</v>
      </c>
      <c r="AD11" s="137">
        <v>0</v>
      </c>
      <c r="AE11" s="137">
        <v>0</v>
      </c>
    </row>
    <row r="12" spans="1:34" customFormat="1" x14ac:dyDescent="0.15">
      <c r="A12" s="173" t="s">
        <v>202</v>
      </c>
      <c r="B12" s="137">
        <v>0.3</v>
      </c>
      <c r="C12" s="137">
        <v>0.2</v>
      </c>
      <c r="D12" s="137">
        <v>0.1</v>
      </c>
      <c r="E12" s="137">
        <v>0.05</v>
      </c>
      <c r="F12" s="137">
        <v>0.17</v>
      </c>
      <c r="G12" s="137">
        <v>0</v>
      </c>
      <c r="H12" s="137">
        <v>0.2</v>
      </c>
      <c r="I12" s="137">
        <v>0.1</v>
      </c>
      <c r="J12" s="137">
        <v>0.1</v>
      </c>
      <c r="K12" s="137">
        <v>0.15</v>
      </c>
      <c r="L12" s="137">
        <v>0</v>
      </c>
      <c r="M12" s="137">
        <v>0</v>
      </c>
      <c r="N12" s="137">
        <v>0</v>
      </c>
      <c r="O12" s="137">
        <v>0</v>
      </c>
      <c r="P12" s="137">
        <v>0</v>
      </c>
      <c r="Q12" s="137">
        <v>0</v>
      </c>
      <c r="R12" s="137">
        <v>0</v>
      </c>
      <c r="S12" s="137">
        <v>0</v>
      </c>
      <c r="T12" s="137">
        <v>0</v>
      </c>
      <c r="U12" s="137">
        <v>0</v>
      </c>
      <c r="V12" s="137">
        <v>0</v>
      </c>
      <c r="W12" s="137">
        <v>0</v>
      </c>
      <c r="X12" s="137">
        <v>0</v>
      </c>
      <c r="Y12" s="137">
        <v>0</v>
      </c>
      <c r="Z12" s="137">
        <v>0</v>
      </c>
      <c r="AA12" s="137">
        <v>0</v>
      </c>
      <c r="AB12" s="137">
        <v>0</v>
      </c>
      <c r="AC12" s="137">
        <v>0</v>
      </c>
      <c r="AD12" s="137">
        <v>0</v>
      </c>
      <c r="AE12" s="137">
        <v>0</v>
      </c>
    </row>
    <row r="13" spans="1:34" customFormat="1" x14ac:dyDescent="0.15">
      <c r="A13" s="173" t="s">
        <v>203</v>
      </c>
      <c r="B13" s="137">
        <v>0</v>
      </c>
      <c r="C13" s="137">
        <v>0</v>
      </c>
      <c r="D13" s="137">
        <v>0</v>
      </c>
      <c r="E13" s="137">
        <v>0.1</v>
      </c>
      <c r="F13" s="137">
        <v>0</v>
      </c>
      <c r="G13" s="137">
        <v>0.02</v>
      </c>
      <c r="H13" s="137">
        <v>0.05</v>
      </c>
      <c r="I13" s="137">
        <v>0</v>
      </c>
      <c r="J13" s="137">
        <v>0</v>
      </c>
      <c r="K13" s="137">
        <v>0</v>
      </c>
      <c r="L13" s="137">
        <v>0</v>
      </c>
      <c r="M13" s="137">
        <v>0.02</v>
      </c>
      <c r="N13" s="137">
        <v>0</v>
      </c>
      <c r="O13" s="137">
        <v>0</v>
      </c>
      <c r="P13" s="137">
        <v>0</v>
      </c>
      <c r="Q13" s="137">
        <v>0</v>
      </c>
      <c r="R13" s="137">
        <v>0</v>
      </c>
      <c r="S13" s="137">
        <v>0</v>
      </c>
      <c r="T13" s="137">
        <v>0</v>
      </c>
      <c r="U13" s="137">
        <v>0</v>
      </c>
      <c r="V13" s="137">
        <v>0</v>
      </c>
      <c r="W13" s="137">
        <v>0</v>
      </c>
      <c r="X13" s="137">
        <v>0</v>
      </c>
      <c r="Y13" s="137">
        <v>0</v>
      </c>
      <c r="Z13" s="137">
        <v>0</v>
      </c>
      <c r="AA13" s="137">
        <v>0</v>
      </c>
      <c r="AB13" s="137">
        <v>0</v>
      </c>
      <c r="AC13" s="137">
        <v>0</v>
      </c>
      <c r="AD13" s="137">
        <v>0</v>
      </c>
      <c r="AE13" s="137">
        <v>0</v>
      </c>
    </row>
    <row r="14" spans="1:34" customFormat="1" x14ac:dyDescent="0.15">
      <c r="A14" s="173" t="s">
        <v>204</v>
      </c>
      <c r="B14" s="137">
        <v>0</v>
      </c>
      <c r="C14" s="137">
        <v>0.1</v>
      </c>
      <c r="D14" s="137">
        <v>0.1</v>
      </c>
      <c r="E14" s="137">
        <v>0.1</v>
      </c>
      <c r="F14" s="137">
        <v>0.03</v>
      </c>
      <c r="G14" s="137">
        <v>0.03</v>
      </c>
      <c r="H14" s="137">
        <v>0</v>
      </c>
      <c r="I14" s="137">
        <v>0</v>
      </c>
      <c r="J14" s="137">
        <v>0</v>
      </c>
      <c r="K14" s="137">
        <v>0</v>
      </c>
      <c r="L14" s="137">
        <v>0</v>
      </c>
      <c r="M14" s="137">
        <v>0</v>
      </c>
      <c r="N14" s="137">
        <v>0</v>
      </c>
      <c r="O14" s="137">
        <v>0</v>
      </c>
      <c r="P14" s="137">
        <v>0</v>
      </c>
      <c r="Q14" s="137">
        <v>0</v>
      </c>
      <c r="R14" s="137">
        <v>0</v>
      </c>
      <c r="S14" s="137">
        <v>0</v>
      </c>
      <c r="T14" s="137">
        <v>0</v>
      </c>
      <c r="U14" s="137">
        <v>0</v>
      </c>
      <c r="V14" s="137">
        <v>0</v>
      </c>
      <c r="W14" s="137">
        <v>0</v>
      </c>
      <c r="X14" s="137">
        <v>0</v>
      </c>
      <c r="Y14" s="137">
        <v>0</v>
      </c>
      <c r="Z14" s="137">
        <v>0</v>
      </c>
      <c r="AA14" s="137">
        <v>0</v>
      </c>
      <c r="AB14" s="137">
        <v>0</v>
      </c>
      <c r="AC14" s="137">
        <v>0</v>
      </c>
      <c r="AD14" s="137">
        <v>0</v>
      </c>
      <c r="AE14" s="137">
        <v>0</v>
      </c>
    </row>
    <row r="15" spans="1:34" customFormat="1" x14ac:dyDescent="0.15">
      <c r="A15" s="173" t="s">
        <v>205</v>
      </c>
      <c r="B15" s="137">
        <v>0</v>
      </c>
      <c r="C15" s="137">
        <v>0</v>
      </c>
      <c r="D15" s="137">
        <v>0.05</v>
      </c>
      <c r="E15" s="137">
        <v>0.05</v>
      </c>
      <c r="F15" s="137">
        <v>0</v>
      </c>
      <c r="G15" s="137">
        <v>0</v>
      </c>
      <c r="H15" s="137">
        <v>0</v>
      </c>
      <c r="I15" s="137">
        <v>0</v>
      </c>
      <c r="J15" s="137">
        <v>0</v>
      </c>
      <c r="K15" s="137">
        <v>0</v>
      </c>
      <c r="L15" s="137">
        <v>0</v>
      </c>
      <c r="M15" s="137">
        <v>0</v>
      </c>
      <c r="N15" s="137">
        <v>0</v>
      </c>
      <c r="O15" s="137">
        <v>0</v>
      </c>
      <c r="P15" s="137">
        <v>0</v>
      </c>
      <c r="Q15" s="137">
        <v>0</v>
      </c>
      <c r="R15" s="137">
        <v>0</v>
      </c>
      <c r="S15" s="137">
        <v>0</v>
      </c>
      <c r="T15" s="137">
        <v>0</v>
      </c>
      <c r="U15" s="137">
        <v>0</v>
      </c>
      <c r="V15" s="137">
        <v>0</v>
      </c>
      <c r="W15" s="137">
        <v>0</v>
      </c>
      <c r="X15" s="137">
        <v>0</v>
      </c>
      <c r="Y15" s="137">
        <v>0</v>
      </c>
      <c r="Z15" s="137">
        <v>0</v>
      </c>
      <c r="AA15" s="137">
        <v>0</v>
      </c>
      <c r="AB15" s="137">
        <v>0</v>
      </c>
      <c r="AC15" s="137">
        <v>0</v>
      </c>
      <c r="AD15" s="137">
        <v>0</v>
      </c>
      <c r="AE15" s="137">
        <v>0</v>
      </c>
    </row>
    <row r="16" spans="1:34" customFormat="1" x14ac:dyDescent="0.15">
      <c r="A16" s="173" t="s">
        <v>206</v>
      </c>
      <c r="B16" s="137">
        <v>0</v>
      </c>
      <c r="C16" s="137">
        <v>0</v>
      </c>
      <c r="D16" s="137">
        <v>0</v>
      </c>
      <c r="E16" s="137">
        <v>0</v>
      </c>
      <c r="F16" s="137">
        <v>0</v>
      </c>
      <c r="G16" s="137">
        <v>0</v>
      </c>
      <c r="H16" s="137">
        <v>0</v>
      </c>
      <c r="I16" s="137">
        <v>0</v>
      </c>
      <c r="J16" s="137">
        <v>0</v>
      </c>
      <c r="K16" s="137">
        <v>0</v>
      </c>
      <c r="L16" s="137">
        <v>0</v>
      </c>
      <c r="M16" s="137">
        <v>0</v>
      </c>
      <c r="N16" s="137">
        <v>0</v>
      </c>
      <c r="O16" s="137">
        <v>0</v>
      </c>
      <c r="P16" s="137">
        <v>0</v>
      </c>
      <c r="Q16" s="137">
        <v>0</v>
      </c>
      <c r="R16" s="137">
        <v>0</v>
      </c>
      <c r="S16" s="137">
        <v>0</v>
      </c>
      <c r="T16" s="137">
        <v>0</v>
      </c>
      <c r="U16" s="137">
        <v>0</v>
      </c>
      <c r="V16" s="137">
        <v>0</v>
      </c>
      <c r="W16" s="137">
        <v>0</v>
      </c>
      <c r="X16" s="137">
        <v>0</v>
      </c>
      <c r="Y16" s="137">
        <v>0</v>
      </c>
      <c r="Z16" s="137">
        <v>0</v>
      </c>
      <c r="AA16" s="137">
        <v>0</v>
      </c>
      <c r="AB16" s="137">
        <v>0</v>
      </c>
      <c r="AC16" s="137">
        <v>0</v>
      </c>
      <c r="AD16" s="137">
        <v>0</v>
      </c>
      <c r="AE16" s="137">
        <v>0</v>
      </c>
    </row>
    <row r="17" spans="1:31" customFormat="1" x14ac:dyDescent="0.15">
      <c r="A17" s="173" t="s">
        <v>207</v>
      </c>
      <c r="B17" s="137">
        <v>0</v>
      </c>
      <c r="C17" s="137">
        <v>0</v>
      </c>
      <c r="D17" s="137">
        <v>0</v>
      </c>
      <c r="E17" s="137">
        <v>0.01</v>
      </c>
      <c r="F17" s="137">
        <v>0</v>
      </c>
      <c r="G17" s="137">
        <v>0</v>
      </c>
      <c r="H17" s="137">
        <v>0</v>
      </c>
      <c r="I17" s="137">
        <v>0</v>
      </c>
      <c r="J17" s="137">
        <v>0</v>
      </c>
      <c r="K17" s="137">
        <v>0</v>
      </c>
      <c r="L17" s="137">
        <v>0</v>
      </c>
      <c r="M17" s="137">
        <v>0</v>
      </c>
      <c r="N17" s="137">
        <v>0</v>
      </c>
      <c r="O17" s="137">
        <v>0</v>
      </c>
      <c r="P17" s="137">
        <v>0</v>
      </c>
      <c r="Q17" s="137">
        <v>0</v>
      </c>
      <c r="R17" s="137">
        <v>0</v>
      </c>
      <c r="S17" s="137">
        <v>0</v>
      </c>
      <c r="T17" s="137">
        <v>0</v>
      </c>
      <c r="U17" s="137">
        <v>0</v>
      </c>
      <c r="V17" s="137">
        <v>0</v>
      </c>
      <c r="W17" s="137">
        <v>0</v>
      </c>
      <c r="X17" s="137">
        <v>0</v>
      </c>
      <c r="Y17" s="137">
        <v>0</v>
      </c>
      <c r="Z17" s="137">
        <v>0</v>
      </c>
      <c r="AA17" s="137">
        <v>0</v>
      </c>
      <c r="AB17" s="137">
        <v>0</v>
      </c>
      <c r="AC17" s="137">
        <v>0</v>
      </c>
      <c r="AD17" s="137">
        <v>0</v>
      </c>
      <c r="AE17" s="137">
        <v>0</v>
      </c>
    </row>
    <row r="18" spans="1:31" customFormat="1" x14ac:dyDescent="0.15">
      <c r="A18" s="173" t="s">
        <v>208</v>
      </c>
      <c r="B18" s="137">
        <v>0</v>
      </c>
      <c r="C18" s="137">
        <v>0</v>
      </c>
      <c r="D18" s="137">
        <v>0.1</v>
      </c>
      <c r="E18" s="137">
        <v>0.1</v>
      </c>
      <c r="F18" s="137">
        <v>0</v>
      </c>
      <c r="G18" s="137">
        <v>0</v>
      </c>
      <c r="H18" s="137">
        <v>0.05</v>
      </c>
      <c r="I18" s="137">
        <v>0</v>
      </c>
      <c r="J18" s="137">
        <v>0</v>
      </c>
      <c r="K18" s="137">
        <v>0</v>
      </c>
      <c r="L18" s="137">
        <v>0</v>
      </c>
      <c r="M18" s="137">
        <v>0</v>
      </c>
      <c r="N18" s="137">
        <v>0</v>
      </c>
      <c r="O18" s="137">
        <v>0</v>
      </c>
      <c r="P18" s="137">
        <v>0</v>
      </c>
      <c r="Q18" s="137">
        <v>0</v>
      </c>
      <c r="R18" s="137">
        <v>0</v>
      </c>
      <c r="S18" s="137">
        <v>0</v>
      </c>
      <c r="T18" s="137">
        <v>0</v>
      </c>
      <c r="U18" s="137">
        <v>0</v>
      </c>
      <c r="V18" s="137">
        <v>0</v>
      </c>
      <c r="W18" s="137">
        <v>0</v>
      </c>
      <c r="X18" s="137">
        <v>0</v>
      </c>
      <c r="Y18" s="137">
        <v>0</v>
      </c>
      <c r="Z18" s="137">
        <v>0</v>
      </c>
      <c r="AA18" s="137">
        <v>0</v>
      </c>
      <c r="AB18" s="137">
        <v>0</v>
      </c>
      <c r="AC18" s="137">
        <v>0</v>
      </c>
      <c r="AD18" s="137">
        <v>0</v>
      </c>
      <c r="AE18" s="137">
        <v>0</v>
      </c>
    </row>
    <row r="19" spans="1:31" customFormat="1" x14ac:dyDescent="0.15">
      <c r="A19" s="173" t="s">
        <v>209</v>
      </c>
      <c r="B19" s="137">
        <v>0</v>
      </c>
      <c r="C19" s="137">
        <v>0</v>
      </c>
      <c r="D19" s="137">
        <v>0</v>
      </c>
      <c r="E19" s="137">
        <v>0</v>
      </c>
      <c r="F19" s="137">
        <v>0</v>
      </c>
      <c r="G19" s="137">
        <v>0</v>
      </c>
      <c r="H19" s="137">
        <v>0</v>
      </c>
      <c r="I19" s="137">
        <v>0</v>
      </c>
      <c r="J19" s="137">
        <v>0</v>
      </c>
      <c r="K19" s="137">
        <v>0</v>
      </c>
      <c r="L19" s="137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137">
        <v>0</v>
      </c>
      <c r="Z19" s="137">
        <v>0</v>
      </c>
      <c r="AA19" s="137">
        <v>0</v>
      </c>
      <c r="AB19" s="137">
        <v>0</v>
      </c>
      <c r="AC19" s="137">
        <v>0</v>
      </c>
      <c r="AD19" s="137">
        <v>0</v>
      </c>
      <c r="AE19" s="137">
        <v>0</v>
      </c>
    </row>
    <row r="20" spans="1:31" customFormat="1" x14ac:dyDescent="0.15">
      <c r="A20" s="173" t="s">
        <v>210</v>
      </c>
      <c r="B20" s="137">
        <v>0</v>
      </c>
      <c r="C20" s="137">
        <v>0.1</v>
      </c>
      <c r="D20" s="137">
        <v>0.15</v>
      </c>
      <c r="E20" s="137">
        <v>0</v>
      </c>
      <c r="F20" s="137">
        <v>0.25</v>
      </c>
      <c r="G20" s="137">
        <v>0</v>
      </c>
      <c r="H20" s="137">
        <v>0.2</v>
      </c>
      <c r="I20" s="137">
        <v>0.3</v>
      </c>
      <c r="J20" s="137">
        <v>0.3</v>
      </c>
      <c r="K20" s="137">
        <v>0.15</v>
      </c>
      <c r="L20" s="137">
        <v>0.2</v>
      </c>
      <c r="M20" s="137">
        <v>0.06</v>
      </c>
      <c r="N20" s="137">
        <v>0</v>
      </c>
      <c r="O20" s="137">
        <v>0</v>
      </c>
      <c r="P20" s="137">
        <v>0</v>
      </c>
      <c r="Q20" s="137">
        <v>0</v>
      </c>
      <c r="R20" s="137">
        <v>0</v>
      </c>
      <c r="S20" s="137">
        <v>0</v>
      </c>
      <c r="T20" s="137">
        <v>0</v>
      </c>
      <c r="U20" s="137">
        <v>0</v>
      </c>
      <c r="V20" s="137">
        <v>0</v>
      </c>
      <c r="W20" s="137">
        <v>0</v>
      </c>
      <c r="X20" s="137">
        <v>0</v>
      </c>
      <c r="Y20" s="137">
        <v>0</v>
      </c>
      <c r="Z20" s="137">
        <v>0</v>
      </c>
      <c r="AA20" s="137">
        <v>0</v>
      </c>
      <c r="AB20" s="137">
        <v>0</v>
      </c>
      <c r="AC20" s="137">
        <v>0</v>
      </c>
      <c r="AD20" s="137">
        <v>0</v>
      </c>
      <c r="AE20" s="137">
        <v>0</v>
      </c>
    </row>
    <row r="21" spans="1:31" customFormat="1" x14ac:dyDescent="0.15">
      <c r="A21" s="173" t="s">
        <v>211</v>
      </c>
      <c r="B21" s="137">
        <v>0</v>
      </c>
      <c r="C21" s="137">
        <v>0.1</v>
      </c>
      <c r="D21" s="137">
        <v>0.15</v>
      </c>
      <c r="E21" s="137">
        <v>0</v>
      </c>
      <c r="F21" s="137">
        <v>0.25</v>
      </c>
      <c r="G21" s="137">
        <v>0</v>
      </c>
      <c r="H21" s="137">
        <v>0.25</v>
      </c>
      <c r="I21" s="137">
        <v>0.3</v>
      </c>
      <c r="J21" s="137">
        <v>0.3</v>
      </c>
      <c r="K21" s="137">
        <v>0.15</v>
      </c>
      <c r="L21" s="137">
        <v>0.2</v>
      </c>
      <c r="M21" s="137">
        <v>0.06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  <c r="AC21" s="137">
        <v>0</v>
      </c>
      <c r="AD21" s="137">
        <v>0</v>
      </c>
      <c r="AE21" s="137">
        <v>0</v>
      </c>
    </row>
    <row r="22" spans="1:31" customFormat="1" x14ac:dyDescent="0.15">
      <c r="A22" s="173" t="s">
        <v>212</v>
      </c>
      <c r="B22" s="137">
        <v>0</v>
      </c>
      <c r="C22" s="137">
        <v>0</v>
      </c>
      <c r="D22" s="137">
        <v>0</v>
      </c>
      <c r="E22" s="137">
        <v>0.1</v>
      </c>
      <c r="F22" s="137">
        <v>0</v>
      </c>
      <c r="G22" s="137">
        <v>0.01</v>
      </c>
      <c r="H22" s="137">
        <v>0</v>
      </c>
      <c r="I22" s="137">
        <v>0</v>
      </c>
      <c r="J22" s="137">
        <v>0</v>
      </c>
      <c r="K22" s="137">
        <v>0.05</v>
      </c>
      <c r="L22" s="137">
        <v>0</v>
      </c>
      <c r="M22" s="137">
        <v>0.01</v>
      </c>
      <c r="N22" s="137">
        <v>0</v>
      </c>
      <c r="O22" s="137">
        <v>0.01</v>
      </c>
      <c r="P22" s="137">
        <v>0</v>
      </c>
      <c r="Q22" s="137">
        <v>0</v>
      </c>
      <c r="R22" s="137">
        <v>0</v>
      </c>
      <c r="S22" s="137">
        <v>0</v>
      </c>
      <c r="T22" s="137">
        <v>0</v>
      </c>
      <c r="U22" s="137">
        <v>0</v>
      </c>
      <c r="V22" s="137">
        <v>0</v>
      </c>
      <c r="W22" s="137">
        <v>0</v>
      </c>
      <c r="X22" s="137">
        <v>0</v>
      </c>
      <c r="Y22" s="137">
        <v>0</v>
      </c>
      <c r="Z22" s="137">
        <v>0</v>
      </c>
      <c r="AA22" s="137">
        <v>0</v>
      </c>
      <c r="AB22" s="137">
        <v>0</v>
      </c>
      <c r="AC22" s="137">
        <v>0</v>
      </c>
      <c r="AD22" s="137">
        <v>0</v>
      </c>
      <c r="AE22" s="137">
        <v>0</v>
      </c>
    </row>
    <row r="23" spans="1:31" customFormat="1" x14ac:dyDescent="0.15">
      <c r="A23" s="173" t="s">
        <v>213</v>
      </c>
      <c r="B23" s="137">
        <v>0</v>
      </c>
      <c r="C23" s="137">
        <v>0</v>
      </c>
      <c r="D23" s="137">
        <v>0</v>
      </c>
      <c r="E23" s="137">
        <v>0</v>
      </c>
      <c r="F23" s="137">
        <v>0</v>
      </c>
      <c r="G23" s="137">
        <v>0</v>
      </c>
      <c r="H23" s="137">
        <v>0</v>
      </c>
      <c r="I23" s="137">
        <v>0</v>
      </c>
      <c r="J23" s="137">
        <v>0</v>
      </c>
      <c r="K23" s="137">
        <v>0</v>
      </c>
      <c r="L23" s="137">
        <v>0</v>
      </c>
      <c r="M23" s="137">
        <v>0</v>
      </c>
      <c r="N23" s="137">
        <v>0</v>
      </c>
      <c r="O23" s="137">
        <v>0.01</v>
      </c>
      <c r="P23" s="137">
        <v>0</v>
      </c>
      <c r="Q23" s="137">
        <v>0</v>
      </c>
      <c r="R23" s="137">
        <v>0</v>
      </c>
      <c r="S23" s="137">
        <v>0</v>
      </c>
      <c r="T23" s="137">
        <v>0</v>
      </c>
      <c r="U23" s="137">
        <v>0</v>
      </c>
      <c r="V23" s="137">
        <v>0</v>
      </c>
      <c r="W23" s="137">
        <v>0</v>
      </c>
      <c r="X23" s="137">
        <v>0</v>
      </c>
      <c r="Y23" s="137">
        <v>0</v>
      </c>
      <c r="Z23" s="137">
        <v>0</v>
      </c>
      <c r="AA23" s="137">
        <v>0</v>
      </c>
      <c r="AB23" s="137">
        <v>0</v>
      </c>
      <c r="AC23" s="137">
        <v>0</v>
      </c>
      <c r="AD23" s="137">
        <v>0</v>
      </c>
      <c r="AE23" s="137">
        <v>0</v>
      </c>
    </row>
    <row r="24" spans="1:31" customFormat="1" x14ac:dyDescent="0.15">
      <c r="A24" s="173" t="s">
        <v>214</v>
      </c>
      <c r="B24" s="137">
        <v>0</v>
      </c>
      <c r="C24" s="137">
        <v>0</v>
      </c>
      <c r="D24" s="137">
        <v>0</v>
      </c>
      <c r="E24" s="137">
        <v>0.24</v>
      </c>
      <c r="F24" s="137">
        <v>0</v>
      </c>
      <c r="G24" s="137">
        <v>0.1</v>
      </c>
      <c r="H24" s="137">
        <v>0</v>
      </c>
      <c r="I24" s="137">
        <v>0</v>
      </c>
      <c r="J24" s="137">
        <v>0</v>
      </c>
      <c r="K24" s="137">
        <v>0.3</v>
      </c>
      <c r="L24" s="137">
        <v>0.05</v>
      </c>
      <c r="M24" s="137">
        <v>0.02</v>
      </c>
      <c r="N24" s="137">
        <v>5.000000000000001E-2</v>
      </c>
      <c r="O24" s="137">
        <v>0.01</v>
      </c>
      <c r="P24" s="137">
        <v>0</v>
      </c>
      <c r="Q24" s="137">
        <v>0</v>
      </c>
      <c r="R24" s="137">
        <v>0</v>
      </c>
      <c r="S24" s="137">
        <v>0</v>
      </c>
      <c r="T24" s="137">
        <v>0</v>
      </c>
      <c r="U24" s="137">
        <v>0</v>
      </c>
      <c r="V24" s="137">
        <v>0</v>
      </c>
      <c r="W24" s="137">
        <v>0</v>
      </c>
      <c r="X24" s="137">
        <v>0</v>
      </c>
      <c r="Y24" s="137">
        <v>0</v>
      </c>
      <c r="Z24" s="137">
        <v>0</v>
      </c>
      <c r="AA24" s="137">
        <v>0</v>
      </c>
      <c r="AB24" s="137">
        <v>0</v>
      </c>
      <c r="AC24" s="137">
        <v>0</v>
      </c>
      <c r="AD24" s="137">
        <v>0</v>
      </c>
      <c r="AE24" s="137">
        <v>0</v>
      </c>
    </row>
    <row r="25" spans="1:31" customFormat="1" x14ac:dyDescent="0.15">
      <c r="A25" s="173" t="s">
        <v>215</v>
      </c>
      <c r="B25" s="137">
        <v>0</v>
      </c>
      <c r="C25" s="137">
        <v>0.1</v>
      </c>
      <c r="D25" s="137">
        <v>0</v>
      </c>
      <c r="E25" s="137">
        <v>0</v>
      </c>
      <c r="F25" s="137">
        <v>0.05</v>
      </c>
      <c r="G25" s="137">
        <v>0.24</v>
      </c>
      <c r="H25" s="137">
        <v>0</v>
      </c>
      <c r="I25" s="137">
        <v>0</v>
      </c>
      <c r="J25" s="137">
        <v>0</v>
      </c>
      <c r="K25" s="137">
        <v>0</v>
      </c>
      <c r="L25" s="137">
        <v>0.1</v>
      </c>
      <c r="M25" s="137">
        <v>0.13</v>
      </c>
      <c r="N25" s="137">
        <v>0.30000000000000004</v>
      </c>
      <c r="O25" s="137">
        <v>0.8</v>
      </c>
      <c r="P25" s="137">
        <v>0.8</v>
      </c>
      <c r="Q25" s="137">
        <v>0.70000000000000007</v>
      </c>
      <c r="R25" s="137">
        <v>0.4</v>
      </c>
      <c r="S25" s="137">
        <v>0</v>
      </c>
      <c r="T25" s="137">
        <v>0</v>
      </c>
      <c r="U25" s="137">
        <v>0</v>
      </c>
      <c r="V25" s="137">
        <v>0.3</v>
      </c>
      <c r="W25" s="137">
        <v>0.5</v>
      </c>
      <c r="X25" s="137">
        <v>0.25</v>
      </c>
      <c r="Y25" s="137">
        <v>0.05</v>
      </c>
      <c r="Z25" s="137">
        <v>0.2</v>
      </c>
      <c r="AA25" s="137">
        <v>0</v>
      </c>
      <c r="AB25" s="137">
        <v>0</v>
      </c>
      <c r="AC25" s="137">
        <v>0</v>
      </c>
      <c r="AD25" s="137">
        <v>0</v>
      </c>
      <c r="AE25" s="137">
        <v>0</v>
      </c>
    </row>
    <row r="26" spans="1:31" customFormat="1" x14ac:dyDescent="0.15">
      <c r="A26" s="173" t="s">
        <v>216</v>
      </c>
      <c r="B26" s="137">
        <v>0</v>
      </c>
      <c r="C26" s="137">
        <v>0.05</v>
      </c>
      <c r="D26" s="137">
        <v>0</v>
      </c>
      <c r="E26" s="137">
        <v>0.1</v>
      </c>
      <c r="F26" s="137">
        <v>0</v>
      </c>
      <c r="G26" s="137">
        <v>0.2</v>
      </c>
      <c r="H26" s="137">
        <v>0.1</v>
      </c>
      <c r="I26" s="137">
        <v>0</v>
      </c>
      <c r="J26" s="137">
        <v>0</v>
      </c>
      <c r="K26" s="137">
        <v>0</v>
      </c>
      <c r="L26" s="137">
        <v>0.1</v>
      </c>
      <c r="M26" s="137">
        <v>0.3</v>
      </c>
      <c r="N26" s="137">
        <v>0.30000000000000004</v>
      </c>
      <c r="O26" s="137">
        <v>0.1</v>
      </c>
      <c r="P26" s="137">
        <v>0.1</v>
      </c>
      <c r="Q26" s="137">
        <v>0.10000000000000002</v>
      </c>
      <c r="R26" s="137">
        <v>0.1</v>
      </c>
      <c r="S26" s="137">
        <v>0</v>
      </c>
      <c r="T26" s="137">
        <v>0</v>
      </c>
      <c r="U26" s="137">
        <v>0</v>
      </c>
      <c r="V26" s="137">
        <v>0</v>
      </c>
      <c r="W26" s="137">
        <v>0</v>
      </c>
      <c r="X26" s="137">
        <v>0</v>
      </c>
      <c r="Y26" s="137">
        <v>0</v>
      </c>
      <c r="Z26" s="137">
        <v>0</v>
      </c>
      <c r="AA26" s="137">
        <v>0</v>
      </c>
      <c r="AB26" s="137">
        <v>0</v>
      </c>
      <c r="AC26" s="137">
        <v>0</v>
      </c>
      <c r="AD26" s="137">
        <v>0</v>
      </c>
      <c r="AE26" s="137">
        <v>0</v>
      </c>
    </row>
    <row r="27" spans="1:31" customFormat="1" x14ac:dyDescent="0.15">
      <c r="A27" s="173" t="s">
        <v>217</v>
      </c>
      <c r="B27" s="137">
        <v>0</v>
      </c>
      <c r="C27" s="137">
        <v>0</v>
      </c>
      <c r="D27" s="137">
        <v>0</v>
      </c>
      <c r="E27" s="137">
        <v>0</v>
      </c>
      <c r="F27" s="137">
        <v>0</v>
      </c>
      <c r="G27" s="137">
        <v>0</v>
      </c>
      <c r="H27" s="137">
        <v>0</v>
      </c>
      <c r="I27" s="137">
        <v>0</v>
      </c>
      <c r="J27" s="137">
        <v>0</v>
      </c>
      <c r="K27" s="137">
        <v>0</v>
      </c>
      <c r="L27" s="137">
        <v>0</v>
      </c>
      <c r="M27" s="137">
        <v>0</v>
      </c>
      <c r="N27" s="137">
        <v>0</v>
      </c>
      <c r="O27" s="137">
        <v>0.05</v>
      </c>
      <c r="P27" s="137">
        <v>0</v>
      </c>
      <c r="Q27" s="137">
        <v>0.10000000000000002</v>
      </c>
      <c r="R27" s="137">
        <v>0</v>
      </c>
      <c r="S27" s="137">
        <v>0</v>
      </c>
      <c r="T27" s="137">
        <v>0</v>
      </c>
      <c r="U27" s="137">
        <v>0</v>
      </c>
      <c r="V27" s="137">
        <v>0</v>
      </c>
      <c r="W27" s="137">
        <v>0</v>
      </c>
      <c r="X27" s="137">
        <v>0</v>
      </c>
      <c r="Y27" s="137">
        <v>0.05</v>
      </c>
      <c r="Z27" s="137">
        <v>0</v>
      </c>
      <c r="AA27" s="137">
        <v>0</v>
      </c>
      <c r="AB27" s="137">
        <v>0</v>
      </c>
      <c r="AC27" s="137">
        <v>0</v>
      </c>
      <c r="AD27" s="137">
        <v>0</v>
      </c>
      <c r="AE27" s="137">
        <v>0</v>
      </c>
    </row>
    <row r="28" spans="1:31" customFormat="1" x14ac:dyDescent="0.15">
      <c r="A28" s="173" t="s">
        <v>218</v>
      </c>
      <c r="B28" s="137">
        <v>0</v>
      </c>
      <c r="C28" s="137">
        <v>0</v>
      </c>
      <c r="D28" s="137">
        <v>0.3</v>
      </c>
      <c r="E28" s="137">
        <v>0.1</v>
      </c>
      <c r="F28" s="137">
        <v>0.05</v>
      </c>
      <c r="G28" s="137">
        <v>0.4</v>
      </c>
      <c r="H28" s="137">
        <v>0.15</v>
      </c>
      <c r="I28" s="137">
        <v>0.3</v>
      </c>
      <c r="J28" s="137">
        <v>0.3</v>
      </c>
      <c r="K28" s="137">
        <v>0.2</v>
      </c>
      <c r="L28" s="137">
        <v>0.35</v>
      </c>
      <c r="M28" s="137">
        <v>0.4</v>
      </c>
      <c r="N28" s="137">
        <v>0.35000000000000003</v>
      </c>
      <c r="O28" s="137">
        <v>0</v>
      </c>
      <c r="P28" s="137">
        <v>0</v>
      </c>
      <c r="Q28" s="137">
        <v>0</v>
      </c>
      <c r="R28" s="137">
        <v>0.4</v>
      </c>
      <c r="S28" s="137">
        <v>1</v>
      </c>
      <c r="T28" s="137">
        <v>0.9</v>
      </c>
      <c r="U28" s="137">
        <v>0.9</v>
      </c>
      <c r="V28" s="137">
        <v>0.3</v>
      </c>
      <c r="W28" s="137">
        <v>0</v>
      </c>
      <c r="X28" s="137">
        <v>0.25</v>
      </c>
      <c r="Y28" s="137">
        <v>0.4</v>
      </c>
      <c r="Z28" s="137">
        <v>0.1</v>
      </c>
      <c r="AA28" s="137">
        <v>0.2</v>
      </c>
      <c r="AB28" s="137">
        <v>0.05</v>
      </c>
      <c r="AC28" s="137">
        <v>0</v>
      </c>
      <c r="AD28" s="137">
        <v>0</v>
      </c>
      <c r="AE28" s="137">
        <v>0</v>
      </c>
    </row>
    <row r="29" spans="1:31" customFormat="1" x14ac:dyDescent="0.15">
      <c r="A29" s="173" t="s">
        <v>219</v>
      </c>
      <c r="B29" s="137">
        <v>0</v>
      </c>
      <c r="C29" s="137">
        <v>0</v>
      </c>
      <c r="D29" s="137">
        <v>0</v>
      </c>
      <c r="E29" s="137">
        <v>0</v>
      </c>
      <c r="F29" s="137">
        <v>0</v>
      </c>
      <c r="G29" s="137">
        <v>0</v>
      </c>
      <c r="H29" s="137">
        <v>0</v>
      </c>
      <c r="I29" s="137">
        <v>0</v>
      </c>
      <c r="J29" s="137">
        <v>0</v>
      </c>
      <c r="K29" s="137">
        <v>0</v>
      </c>
      <c r="L29" s="137">
        <v>0</v>
      </c>
      <c r="M29" s="137">
        <v>0</v>
      </c>
      <c r="N29" s="137">
        <v>0</v>
      </c>
      <c r="O29" s="137">
        <v>0</v>
      </c>
      <c r="P29" s="137">
        <v>0</v>
      </c>
      <c r="Q29" s="137">
        <v>0</v>
      </c>
      <c r="R29" s="137">
        <v>0</v>
      </c>
      <c r="S29" s="137">
        <v>0</v>
      </c>
      <c r="T29" s="137">
        <v>0.1</v>
      </c>
      <c r="U29" s="137">
        <v>0.1</v>
      </c>
      <c r="V29" s="137">
        <v>0.4</v>
      </c>
      <c r="W29" s="137">
        <v>0</v>
      </c>
      <c r="X29" s="137">
        <v>0.25</v>
      </c>
      <c r="Y29" s="137">
        <v>0.2</v>
      </c>
      <c r="Z29" s="137">
        <v>0</v>
      </c>
      <c r="AA29" s="137">
        <v>0.8</v>
      </c>
      <c r="AB29" s="137">
        <v>0.85</v>
      </c>
      <c r="AC29" s="137">
        <v>0</v>
      </c>
      <c r="AD29" s="137">
        <v>0</v>
      </c>
      <c r="AE29" s="137">
        <v>0</v>
      </c>
    </row>
    <row r="30" spans="1:31" customFormat="1" x14ac:dyDescent="0.15">
      <c r="A30" s="173" t="s">
        <v>220</v>
      </c>
      <c r="B30" s="137">
        <v>0</v>
      </c>
      <c r="C30" s="137">
        <v>0</v>
      </c>
      <c r="D30" s="137">
        <v>0</v>
      </c>
      <c r="E30" s="137">
        <v>0</v>
      </c>
      <c r="F30" s="137">
        <v>0</v>
      </c>
      <c r="G30" s="137">
        <v>0</v>
      </c>
      <c r="H30" s="137">
        <v>0</v>
      </c>
      <c r="I30" s="137">
        <v>0</v>
      </c>
      <c r="J30" s="137">
        <v>0</v>
      </c>
      <c r="K30" s="137">
        <v>0</v>
      </c>
      <c r="L30" s="137">
        <v>0</v>
      </c>
      <c r="M30" s="137">
        <v>0</v>
      </c>
      <c r="N30" s="137">
        <v>0</v>
      </c>
      <c r="O30" s="137">
        <v>0.02</v>
      </c>
      <c r="P30" s="137">
        <v>0.1</v>
      </c>
      <c r="Q30" s="137">
        <v>0.10000000000000002</v>
      </c>
      <c r="R30" s="137">
        <v>0.1</v>
      </c>
      <c r="S30" s="137">
        <v>0</v>
      </c>
      <c r="T30" s="137">
        <v>0</v>
      </c>
      <c r="U30" s="137">
        <v>0</v>
      </c>
      <c r="V30" s="137">
        <v>0</v>
      </c>
      <c r="W30" s="137">
        <v>0.5</v>
      </c>
      <c r="X30" s="137">
        <v>0.25</v>
      </c>
      <c r="Y30" s="137">
        <v>0.3</v>
      </c>
      <c r="Z30" s="137">
        <v>0.7</v>
      </c>
      <c r="AA30" s="137">
        <v>0</v>
      </c>
      <c r="AB30" s="137">
        <v>0.1</v>
      </c>
      <c r="AC30" s="137">
        <v>0</v>
      </c>
      <c r="AD30" s="137">
        <v>0</v>
      </c>
      <c r="AE30" s="137">
        <v>0</v>
      </c>
    </row>
    <row r="31" spans="1:31" customFormat="1" x14ac:dyDescent="0.15">
      <c r="A31" s="173" t="s">
        <v>221</v>
      </c>
      <c r="B31" s="137">
        <v>0</v>
      </c>
      <c r="C31" s="137">
        <v>0</v>
      </c>
      <c r="D31" s="137">
        <v>0</v>
      </c>
      <c r="E31" s="137">
        <v>0</v>
      </c>
      <c r="F31" s="137">
        <v>0</v>
      </c>
      <c r="G31" s="137">
        <v>0</v>
      </c>
      <c r="H31" s="137">
        <v>0</v>
      </c>
      <c r="I31" s="137">
        <v>0</v>
      </c>
      <c r="J31" s="137">
        <v>0</v>
      </c>
      <c r="K31" s="137">
        <v>0</v>
      </c>
      <c r="L31" s="137">
        <v>0</v>
      </c>
      <c r="M31" s="137">
        <v>0</v>
      </c>
      <c r="N31" s="137">
        <v>0</v>
      </c>
      <c r="O31" s="137">
        <v>0</v>
      </c>
      <c r="P31" s="137">
        <v>0</v>
      </c>
      <c r="Q31" s="137">
        <v>0</v>
      </c>
      <c r="R31" s="137">
        <v>0</v>
      </c>
      <c r="S31" s="137">
        <v>0</v>
      </c>
      <c r="T31" s="137">
        <v>0</v>
      </c>
      <c r="U31" s="137">
        <v>0</v>
      </c>
      <c r="V31" s="137">
        <v>0</v>
      </c>
      <c r="W31" s="137">
        <v>0</v>
      </c>
      <c r="X31" s="137">
        <v>0</v>
      </c>
      <c r="Y31" s="137">
        <v>0</v>
      </c>
      <c r="Z31" s="137">
        <v>0</v>
      </c>
      <c r="AA31" s="137">
        <v>0</v>
      </c>
      <c r="AB31" s="137">
        <v>0</v>
      </c>
      <c r="AC31" s="137">
        <v>0</v>
      </c>
      <c r="AD31" s="137">
        <v>0</v>
      </c>
      <c r="AE31" s="137">
        <v>0</v>
      </c>
    </row>
    <row r="32" spans="1:31" customFormat="1" x14ac:dyDescent="0.15">
      <c r="A32" s="173" t="s">
        <v>224</v>
      </c>
      <c r="B32" s="137">
        <v>0</v>
      </c>
      <c r="C32" s="137">
        <v>0</v>
      </c>
      <c r="D32" s="137">
        <v>0</v>
      </c>
      <c r="E32" s="137">
        <v>0</v>
      </c>
      <c r="F32" s="137">
        <v>0</v>
      </c>
      <c r="G32" s="137">
        <v>0</v>
      </c>
      <c r="H32" s="137">
        <v>0</v>
      </c>
      <c r="I32" s="137">
        <v>0</v>
      </c>
      <c r="J32" s="137">
        <v>0</v>
      </c>
      <c r="K32" s="137">
        <v>0</v>
      </c>
      <c r="L32" s="137">
        <v>0</v>
      </c>
      <c r="M32" s="137">
        <v>0</v>
      </c>
      <c r="N32" s="137">
        <v>0</v>
      </c>
      <c r="O32" s="137">
        <v>0</v>
      </c>
      <c r="P32" s="137">
        <v>0</v>
      </c>
      <c r="Q32" s="137">
        <v>0</v>
      </c>
      <c r="R32" s="137">
        <v>0</v>
      </c>
      <c r="S32" s="137">
        <v>0</v>
      </c>
      <c r="T32" s="137">
        <v>0</v>
      </c>
      <c r="U32" s="137">
        <v>0</v>
      </c>
      <c r="V32" s="137">
        <v>0</v>
      </c>
      <c r="W32" s="137">
        <v>0</v>
      </c>
      <c r="X32" s="137">
        <v>0</v>
      </c>
      <c r="Y32" s="137">
        <v>0</v>
      </c>
      <c r="Z32" s="137">
        <v>0</v>
      </c>
      <c r="AA32" s="137">
        <v>0</v>
      </c>
      <c r="AB32" s="137">
        <v>0</v>
      </c>
      <c r="AC32" s="137">
        <v>0</v>
      </c>
      <c r="AD32" s="137">
        <v>0</v>
      </c>
      <c r="AE32" s="137">
        <v>0</v>
      </c>
    </row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5" customWidth="1"/>
    <col min="5" max="6" width="2.33203125" style="104" bestFit="1" customWidth="1"/>
    <col min="7" max="8" width="8.83203125" style="105"/>
  </cols>
  <sheetData>
    <row r="1" spans="1:8" ht="70" x14ac:dyDescent="0.15">
      <c r="A1" s="5" t="s">
        <v>20</v>
      </c>
      <c r="B1" s="1" t="s">
        <v>0</v>
      </c>
      <c r="C1" s="176" t="s">
        <v>220</v>
      </c>
      <c r="D1" s="176" t="s">
        <v>221</v>
      </c>
      <c r="E1" s="176" t="s">
        <v>225</v>
      </c>
      <c r="F1" s="176" t="s">
        <v>226</v>
      </c>
      <c r="G1"/>
      <c r="H1"/>
    </row>
    <row r="2" spans="1:8" x14ac:dyDescent="0.15">
      <c r="A2">
        <v>1</v>
      </c>
      <c r="B2" s="175" t="s">
        <v>192</v>
      </c>
      <c r="C2" s="105">
        <v>1</v>
      </c>
      <c r="D2" s="105">
        <v>0</v>
      </c>
      <c r="E2" s="104">
        <v>0</v>
      </c>
      <c r="F2" s="104">
        <v>1</v>
      </c>
      <c r="G2"/>
      <c r="H2"/>
    </row>
    <row r="3" spans="1:8" x14ac:dyDescent="0.15">
      <c r="A3">
        <v>2</v>
      </c>
      <c r="B3" s="175" t="s">
        <v>193</v>
      </c>
      <c r="C3" s="105">
        <v>1</v>
      </c>
      <c r="D3" s="105">
        <v>0</v>
      </c>
      <c r="E3" s="104">
        <v>0</v>
      </c>
      <c r="F3" s="104">
        <v>1</v>
      </c>
      <c r="G3"/>
      <c r="H3"/>
    </row>
    <row r="4" spans="1:8" x14ac:dyDescent="0.15">
      <c r="A4">
        <v>3</v>
      </c>
      <c r="B4" s="175" t="s">
        <v>194</v>
      </c>
      <c r="C4" s="105">
        <v>1</v>
      </c>
      <c r="D4" s="105">
        <v>0</v>
      </c>
      <c r="E4" s="104">
        <v>0</v>
      </c>
      <c r="F4" s="104">
        <v>1</v>
      </c>
      <c r="G4"/>
      <c r="H4"/>
    </row>
    <row r="5" spans="1:8" x14ac:dyDescent="0.15">
      <c r="A5">
        <v>4</v>
      </c>
      <c r="B5" s="175" t="s">
        <v>195</v>
      </c>
      <c r="C5" s="105">
        <v>1</v>
      </c>
      <c r="D5" s="105">
        <v>0</v>
      </c>
      <c r="E5" s="104">
        <v>0</v>
      </c>
      <c r="F5" s="104">
        <v>1</v>
      </c>
      <c r="G5"/>
      <c r="H5"/>
    </row>
    <row r="6" spans="1:8" x14ac:dyDescent="0.15">
      <c r="A6">
        <v>5</v>
      </c>
      <c r="B6" s="175" t="s">
        <v>196</v>
      </c>
      <c r="C6" s="105">
        <v>1</v>
      </c>
      <c r="D6" s="105">
        <v>0</v>
      </c>
      <c r="E6" s="104">
        <v>0</v>
      </c>
      <c r="F6" s="104">
        <v>1</v>
      </c>
      <c r="G6"/>
      <c r="H6"/>
    </row>
    <row r="7" spans="1:8" x14ac:dyDescent="0.15">
      <c r="A7">
        <v>6</v>
      </c>
      <c r="B7" s="175" t="s">
        <v>197</v>
      </c>
      <c r="C7" s="105">
        <v>1</v>
      </c>
      <c r="D7" s="105">
        <v>0</v>
      </c>
      <c r="E7" s="104">
        <v>0</v>
      </c>
      <c r="F7" s="104">
        <v>1</v>
      </c>
      <c r="G7"/>
      <c r="H7"/>
    </row>
    <row r="8" spans="1:8" x14ac:dyDescent="0.15">
      <c r="A8">
        <v>7</v>
      </c>
      <c r="B8" s="175" t="s">
        <v>198</v>
      </c>
      <c r="C8" s="105">
        <v>1</v>
      </c>
      <c r="D8" s="105">
        <v>0</v>
      </c>
      <c r="E8" s="104">
        <v>0</v>
      </c>
      <c r="F8" s="104">
        <v>1</v>
      </c>
      <c r="G8"/>
      <c r="H8"/>
    </row>
    <row r="9" spans="1:8" x14ac:dyDescent="0.15">
      <c r="A9">
        <v>8</v>
      </c>
      <c r="B9" s="175" t="s">
        <v>199</v>
      </c>
      <c r="C9" s="105">
        <v>1</v>
      </c>
      <c r="D9" s="105">
        <v>0</v>
      </c>
      <c r="E9" s="104">
        <v>0</v>
      </c>
      <c r="F9" s="104">
        <v>1</v>
      </c>
      <c r="G9"/>
      <c r="H9"/>
    </row>
    <row r="10" spans="1:8" x14ac:dyDescent="0.15">
      <c r="A10">
        <v>9</v>
      </c>
      <c r="B10" s="175" t="s">
        <v>200</v>
      </c>
      <c r="C10" s="105">
        <v>1</v>
      </c>
      <c r="D10" s="105">
        <v>0</v>
      </c>
      <c r="E10" s="104">
        <v>0</v>
      </c>
      <c r="F10" s="104">
        <v>1</v>
      </c>
      <c r="G10"/>
      <c r="H10"/>
    </row>
    <row r="11" spans="1:8" x14ac:dyDescent="0.15">
      <c r="A11">
        <v>10</v>
      </c>
      <c r="B11" s="175" t="s">
        <v>201</v>
      </c>
      <c r="C11" s="105">
        <v>1</v>
      </c>
      <c r="D11" s="105">
        <v>0</v>
      </c>
      <c r="E11" s="104">
        <v>0</v>
      </c>
      <c r="F11" s="104">
        <v>1</v>
      </c>
      <c r="G11"/>
      <c r="H11"/>
    </row>
    <row r="12" spans="1:8" x14ac:dyDescent="0.15">
      <c r="A12">
        <v>11</v>
      </c>
      <c r="B12" s="175" t="s">
        <v>202</v>
      </c>
      <c r="C12" s="105">
        <v>1</v>
      </c>
      <c r="D12" s="105">
        <v>0</v>
      </c>
      <c r="E12" s="104">
        <v>0</v>
      </c>
      <c r="F12" s="104">
        <v>1</v>
      </c>
      <c r="G12"/>
      <c r="H12"/>
    </row>
    <row r="13" spans="1:8" x14ac:dyDescent="0.15">
      <c r="A13">
        <v>12</v>
      </c>
      <c r="B13" s="175" t="s">
        <v>203</v>
      </c>
      <c r="C13" s="105">
        <v>1</v>
      </c>
      <c r="D13" s="105">
        <v>0</v>
      </c>
      <c r="E13" s="104">
        <v>0</v>
      </c>
      <c r="F13" s="104">
        <v>1</v>
      </c>
      <c r="G13"/>
      <c r="H13"/>
    </row>
    <row r="14" spans="1:8" x14ac:dyDescent="0.15">
      <c r="A14">
        <v>13</v>
      </c>
      <c r="B14" s="175" t="s">
        <v>204</v>
      </c>
      <c r="C14" s="105">
        <v>1</v>
      </c>
      <c r="D14" s="105">
        <v>0</v>
      </c>
      <c r="E14" s="104">
        <v>0</v>
      </c>
      <c r="F14" s="104">
        <v>1</v>
      </c>
      <c r="G14"/>
      <c r="H14"/>
    </row>
    <row r="15" spans="1:8" x14ac:dyDescent="0.15">
      <c r="A15">
        <v>14</v>
      </c>
      <c r="B15" s="175" t="s">
        <v>205</v>
      </c>
      <c r="C15" s="105">
        <v>1</v>
      </c>
      <c r="D15" s="105">
        <v>0</v>
      </c>
      <c r="E15" s="104">
        <v>0</v>
      </c>
      <c r="F15" s="104">
        <v>1</v>
      </c>
      <c r="G15"/>
      <c r="H15"/>
    </row>
    <row r="16" spans="1:8" x14ac:dyDescent="0.15">
      <c r="A16">
        <v>15</v>
      </c>
      <c r="B16" s="175" t="s">
        <v>206</v>
      </c>
      <c r="C16" s="105">
        <v>1</v>
      </c>
      <c r="D16" s="105">
        <v>0</v>
      </c>
      <c r="E16" s="104">
        <v>0</v>
      </c>
      <c r="F16" s="104">
        <v>1</v>
      </c>
      <c r="G16"/>
      <c r="H16"/>
    </row>
    <row r="17" spans="1:8" ht="15" customHeight="1" x14ac:dyDescent="0.15">
      <c r="A17">
        <v>16</v>
      </c>
      <c r="B17" s="175" t="s">
        <v>207</v>
      </c>
      <c r="C17" s="105">
        <v>1</v>
      </c>
      <c r="D17" s="105">
        <v>0</v>
      </c>
      <c r="E17" s="104">
        <v>0</v>
      </c>
      <c r="F17" s="104">
        <v>1</v>
      </c>
      <c r="G17"/>
      <c r="H17"/>
    </row>
    <row r="18" spans="1:8" ht="15" customHeight="1" x14ac:dyDescent="0.15">
      <c r="A18">
        <v>17</v>
      </c>
      <c r="B18" s="175" t="s">
        <v>208</v>
      </c>
      <c r="C18" s="105">
        <v>1</v>
      </c>
      <c r="D18" s="105">
        <v>0</v>
      </c>
      <c r="E18" s="104">
        <v>0</v>
      </c>
      <c r="F18" s="104">
        <v>1</v>
      </c>
      <c r="G18"/>
      <c r="H18"/>
    </row>
    <row r="19" spans="1:8" ht="15" customHeight="1" x14ac:dyDescent="0.15">
      <c r="A19">
        <v>18</v>
      </c>
      <c r="B19" s="175" t="s">
        <v>209</v>
      </c>
      <c r="C19" s="105">
        <v>1</v>
      </c>
      <c r="D19" s="105">
        <v>0</v>
      </c>
      <c r="E19" s="104">
        <v>0</v>
      </c>
      <c r="F19" s="104">
        <v>1</v>
      </c>
      <c r="G19"/>
      <c r="H19"/>
    </row>
    <row r="20" spans="1:8" ht="15" customHeight="1" x14ac:dyDescent="0.15">
      <c r="A20">
        <v>19</v>
      </c>
      <c r="B20" s="175" t="s">
        <v>210</v>
      </c>
      <c r="C20" s="105">
        <v>1</v>
      </c>
      <c r="D20" s="105">
        <v>0</v>
      </c>
      <c r="E20" s="104">
        <v>0</v>
      </c>
      <c r="F20" s="104">
        <v>1</v>
      </c>
      <c r="G20"/>
      <c r="H20"/>
    </row>
    <row r="21" spans="1:8" ht="15" customHeight="1" x14ac:dyDescent="0.15">
      <c r="A21">
        <v>20</v>
      </c>
      <c r="B21" s="175" t="s">
        <v>211</v>
      </c>
      <c r="C21" s="105">
        <v>1</v>
      </c>
      <c r="D21" s="105">
        <v>0</v>
      </c>
      <c r="E21" s="104">
        <v>0</v>
      </c>
      <c r="F21" s="104">
        <v>1</v>
      </c>
      <c r="G21"/>
      <c r="H21"/>
    </row>
    <row r="22" spans="1:8" ht="15" customHeight="1" x14ac:dyDescent="0.15">
      <c r="A22">
        <v>21</v>
      </c>
      <c r="B22" s="175" t="s">
        <v>212</v>
      </c>
      <c r="C22" s="105">
        <v>1</v>
      </c>
      <c r="D22" s="105">
        <v>0</v>
      </c>
      <c r="E22" s="104">
        <v>0</v>
      </c>
      <c r="F22" s="104">
        <v>1</v>
      </c>
      <c r="G22"/>
      <c r="H22"/>
    </row>
    <row r="23" spans="1:8" ht="15" customHeight="1" x14ac:dyDescent="0.15">
      <c r="A23">
        <v>22</v>
      </c>
      <c r="B23" s="175" t="s">
        <v>213</v>
      </c>
      <c r="C23" s="105">
        <v>1</v>
      </c>
      <c r="D23" s="105">
        <v>0</v>
      </c>
      <c r="E23" s="104">
        <v>0</v>
      </c>
      <c r="F23" s="104">
        <v>1</v>
      </c>
      <c r="G23"/>
      <c r="H23"/>
    </row>
    <row r="24" spans="1:8" ht="15" customHeight="1" x14ac:dyDescent="0.15">
      <c r="A24">
        <v>23</v>
      </c>
      <c r="B24" s="175" t="s">
        <v>214</v>
      </c>
      <c r="C24" s="105">
        <v>1</v>
      </c>
      <c r="D24" s="105">
        <v>0</v>
      </c>
      <c r="E24" s="104">
        <v>0</v>
      </c>
      <c r="F24" s="104">
        <v>1</v>
      </c>
      <c r="G24"/>
      <c r="H24"/>
    </row>
    <row r="25" spans="1:8" ht="15" customHeight="1" x14ac:dyDescent="0.15">
      <c r="A25">
        <v>24</v>
      </c>
      <c r="B25" s="175" t="s">
        <v>215</v>
      </c>
      <c r="C25" s="105">
        <v>1</v>
      </c>
      <c r="D25" s="105">
        <v>0</v>
      </c>
      <c r="E25" s="104">
        <v>0</v>
      </c>
      <c r="F25" s="104">
        <v>1</v>
      </c>
      <c r="G25"/>
      <c r="H25"/>
    </row>
    <row r="26" spans="1:8" ht="15" customHeight="1" x14ac:dyDescent="0.15">
      <c r="A26">
        <v>25</v>
      </c>
      <c r="B26" s="175" t="s">
        <v>216</v>
      </c>
      <c r="C26" s="105">
        <v>1</v>
      </c>
      <c r="D26" s="105">
        <v>0</v>
      </c>
      <c r="E26" s="104">
        <v>0</v>
      </c>
      <c r="F26" s="104">
        <v>1</v>
      </c>
      <c r="G26"/>
      <c r="H26"/>
    </row>
    <row r="27" spans="1:8" ht="15" customHeight="1" x14ac:dyDescent="0.15">
      <c r="A27">
        <v>26</v>
      </c>
      <c r="B27" s="175" t="s">
        <v>217</v>
      </c>
      <c r="C27" s="105">
        <v>1</v>
      </c>
      <c r="D27" s="105">
        <v>0</v>
      </c>
      <c r="E27" s="104">
        <v>0</v>
      </c>
      <c r="F27" s="104">
        <v>1</v>
      </c>
      <c r="G27"/>
      <c r="H27"/>
    </row>
    <row r="28" spans="1:8" ht="15" customHeight="1" x14ac:dyDescent="0.15">
      <c r="A28">
        <v>27</v>
      </c>
      <c r="B28" s="175" t="s">
        <v>218</v>
      </c>
      <c r="C28" s="105">
        <v>1</v>
      </c>
      <c r="D28" s="105">
        <v>0</v>
      </c>
      <c r="E28" s="104">
        <v>0</v>
      </c>
      <c r="F28" s="104">
        <v>1</v>
      </c>
      <c r="G28"/>
      <c r="H28"/>
    </row>
    <row r="29" spans="1:8" ht="15" customHeight="1" x14ac:dyDescent="0.15">
      <c r="A29">
        <v>28</v>
      </c>
      <c r="B29" s="175" t="s">
        <v>219</v>
      </c>
      <c r="C29" s="105">
        <v>1</v>
      </c>
      <c r="D29" s="105">
        <v>0</v>
      </c>
      <c r="E29" s="104">
        <v>0</v>
      </c>
      <c r="F29" s="104">
        <v>1</v>
      </c>
      <c r="G29"/>
      <c r="H29"/>
    </row>
    <row r="30" spans="1:8" ht="15" customHeight="1" x14ac:dyDescent="0.15">
      <c r="A30">
        <v>29</v>
      </c>
      <c r="B30" s="175" t="s">
        <v>220</v>
      </c>
      <c r="C30" s="105">
        <v>0</v>
      </c>
      <c r="D30" s="105">
        <v>1</v>
      </c>
      <c r="E30" s="104">
        <v>0</v>
      </c>
      <c r="F30" s="104">
        <v>1</v>
      </c>
      <c r="G30"/>
      <c r="H30"/>
    </row>
    <row r="31" spans="1:8" ht="15" customHeight="1" x14ac:dyDescent="0.15">
      <c r="A31">
        <v>30</v>
      </c>
      <c r="B31" s="175" t="s">
        <v>221</v>
      </c>
      <c r="C31" s="105">
        <v>0</v>
      </c>
      <c r="D31" s="105">
        <v>0</v>
      </c>
      <c r="E31" s="104">
        <v>1</v>
      </c>
      <c r="F31" s="104">
        <v>1</v>
      </c>
      <c r="G31"/>
      <c r="H31"/>
    </row>
    <row r="32" spans="1:8" ht="15" customHeight="1" x14ac:dyDescent="0.15">
      <c r="A32">
        <v>31</v>
      </c>
      <c r="B32" s="175" t="s">
        <v>222</v>
      </c>
      <c r="C32" s="105">
        <v>0</v>
      </c>
      <c r="D32" s="105">
        <v>1</v>
      </c>
      <c r="E32" s="104">
        <v>0</v>
      </c>
      <c r="F32" s="104">
        <v>1</v>
      </c>
    </row>
    <row r="33" spans="1:8" ht="15" customHeight="1" x14ac:dyDescent="0.15">
      <c r="A33">
        <v>32</v>
      </c>
      <c r="B33" s="175" t="s">
        <v>223</v>
      </c>
      <c r="C33" s="105">
        <v>0</v>
      </c>
      <c r="D33" s="105">
        <v>1</v>
      </c>
      <c r="E33" s="104">
        <v>0</v>
      </c>
      <c r="F33" s="104">
        <v>1</v>
      </c>
    </row>
    <row r="34" spans="1:8" ht="15" customHeight="1" x14ac:dyDescent="0.15"/>
    <row r="35" spans="1:8" ht="15" customHeight="1" x14ac:dyDescent="0.15"/>
    <row r="36" spans="1:8" ht="15" customHeight="1" x14ac:dyDescent="0.15">
      <c r="C36"/>
      <c r="D36"/>
      <c r="E36" s="105"/>
      <c r="F36" s="105"/>
      <c r="G36"/>
      <c r="H36"/>
    </row>
    <row r="37" spans="1:8" ht="15" customHeight="1" x14ac:dyDescent="0.15">
      <c r="C37"/>
      <c r="D37"/>
      <c r="E37" s="105"/>
      <c r="F37" s="105"/>
      <c r="G37"/>
      <c r="H37"/>
    </row>
    <row r="38" spans="1:8" ht="15" customHeight="1" x14ac:dyDescent="0.15">
      <c r="C38"/>
      <c r="D38"/>
      <c r="E38" s="105"/>
      <c r="F38" s="105"/>
      <c r="G38"/>
      <c r="H38"/>
    </row>
    <row r="39" spans="1:8" ht="15" customHeight="1" x14ac:dyDescent="0.15">
      <c r="C39"/>
      <c r="D39"/>
      <c r="E39" s="105"/>
      <c r="F39" s="105"/>
      <c r="G39"/>
      <c r="H39"/>
    </row>
    <row r="40" spans="1:8" ht="15" customHeight="1" x14ac:dyDescent="0.15">
      <c r="C40"/>
      <c r="D40"/>
      <c r="E40" s="105"/>
      <c r="F40" s="105"/>
      <c r="G40"/>
      <c r="H40"/>
    </row>
    <row r="41" spans="1:8" ht="15" customHeight="1" x14ac:dyDescent="0.15">
      <c r="C41"/>
      <c r="D41"/>
      <c r="E41" s="105"/>
      <c r="F41" s="105"/>
      <c r="G41"/>
      <c r="H41"/>
    </row>
    <row r="42" spans="1:8" ht="15" customHeight="1" x14ac:dyDescent="0.15">
      <c r="C42"/>
      <c r="D42"/>
      <c r="E42" s="105"/>
      <c r="F42" s="105"/>
      <c r="G42"/>
      <c r="H42"/>
    </row>
    <row r="43" spans="1:8" ht="15" customHeight="1" x14ac:dyDescent="0.15">
      <c r="C43"/>
      <c r="D43"/>
      <c r="E43" s="105"/>
      <c r="F43" s="105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5"/>
      <c r="F46" s="105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5" width="5.83203125" bestFit="1" customWidth="1"/>
  </cols>
  <sheetData>
    <row r="1" spans="1:5" s="106" customFormat="1" ht="112" x14ac:dyDescent="0.15">
      <c r="A1" s="5" t="s">
        <v>21</v>
      </c>
      <c r="B1" s="3" t="s">
        <v>0</v>
      </c>
      <c r="C1" s="178" t="s">
        <v>222</v>
      </c>
      <c r="D1" s="178" t="s">
        <v>223</v>
      </c>
      <c r="E1" s="178" t="s">
        <v>227</v>
      </c>
    </row>
    <row r="2" spans="1:5" ht="15" customHeight="1" x14ac:dyDescent="0.15">
      <c r="A2">
        <v>1</v>
      </c>
      <c r="B2" s="177" t="s">
        <v>192</v>
      </c>
      <c r="C2">
        <v>0</v>
      </c>
      <c r="D2">
        <v>0</v>
      </c>
      <c r="E2">
        <v>0</v>
      </c>
    </row>
    <row r="3" spans="1:5" ht="15" customHeight="1" x14ac:dyDescent="0.15">
      <c r="A3">
        <v>2</v>
      </c>
      <c r="B3" s="177" t="s">
        <v>193</v>
      </c>
      <c r="C3">
        <v>0</v>
      </c>
      <c r="D3">
        <v>8.0000000000000002E-3</v>
      </c>
      <c r="E3">
        <v>8.0000000000000002E-3</v>
      </c>
    </row>
    <row r="4" spans="1:5" ht="15" customHeight="1" x14ac:dyDescent="0.15">
      <c r="A4">
        <v>3</v>
      </c>
      <c r="B4" s="177" t="s">
        <v>194</v>
      </c>
      <c r="C4">
        <v>0</v>
      </c>
      <c r="D4">
        <v>0.17599999999999999</v>
      </c>
      <c r="E4">
        <v>0.17599999999999999</v>
      </c>
    </row>
    <row r="5" spans="1:5" ht="15" customHeight="1" x14ac:dyDescent="0.15">
      <c r="A5">
        <v>4</v>
      </c>
      <c r="B5" s="177" t="s">
        <v>195</v>
      </c>
      <c r="C5">
        <v>0</v>
      </c>
      <c r="D5">
        <v>0.17100000000000001</v>
      </c>
      <c r="E5">
        <v>0.17100000000000001</v>
      </c>
    </row>
    <row r="6" spans="1:5" ht="15" customHeight="1" x14ac:dyDescent="0.15">
      <c r="A6">
        <v>5</v>
      </c>
      <c r="B6" s="177" t="s">
        <v>196</v>
      </c>
      <c r="C6">
        <v>0.121</v>
      </c>
      <c r="D6">
        <v>0</v>
      </c>
      <c r="E6">
        <v>0.121</v>
      </c>
    </row>
    <row r="7" spans="1:5" ht="15" customHeight="1" x14ac:dyDescent="0.15">
      <c r="A7">
        <v>6</v>
      </c>
      <c r="B7" s="177" t="s">
        <v>197</v>
      </c>
      <c r="C7">
        <v>0</v>
      </c>
      <c r="D7">
        <v>0.64</v>
      </c>
      <c r="E7">
        <v>0.64</v>
      </c>
    </row>
    <row r="8" spans="1:5" ht="15" customHeight="1" x14ac:dyDescent="0.15">
      <c r="A8">
        <v>7</v>
      </c>
      <c r="B8" s="177" t="s">
        <v>198</v>
      </c>
      <c r="C8">
        <v>4.5999999999999999E-2</v>
      </c>
      <c r="D8">
        <v>8.1000000000000003E-2</v>
      </c>
      <c r="E8">
        <v>0.127</v>
      </c>
    </row>
    <row r="9" spans="1:5" ht="15" customHeight="1" x14ac:dyDescent="0.15">
      <c r="A9">
        <v>8</v>
      </c>
      <c r="B9" s="177" t="s">
        <v>199</v>
      </c>
      <c r="C9">
        <v>0</v>
      </c>
      <c r="D9">
        <v>0</v>
      </c>
      <c r="E9">
        <v>0</v>
      </c>
    </row>
    <row r="10" spans="1:5" ht="15" customHeight="1" x14ac:dyDescent="0.15">
      <c r="A10">
        <v>9</v>
      </c>
      <c r="B10" s="177" t="s">
        <v>200</v>
      </c>
      <c r="C10">
        <v>0</v>
      </c>
      <c r="D10">
        <v>0</v>
      </c>
      <c r="E10">
        <v>0</v>
      </c>
    </row>
    <row r="11" spans="1:5" ht="15" customHeight="1" x14ac:dyDescent="0.15">
      <c r="A11">
        <v>10</v>
      </c>
      <c r="B11" s="177" t="s">
        <v>201</v>
      </c>
      <c r="C11">
        <v>0</v>
      </c>
      <c r="D11">
        <v>0</v>
      </c>
      <c r="E11">
        <v>0</v>
      </c>
    </row>
    <row r="12" spans="1:5" ht="15" customHeight="1" x14ac:dyDescent="0.15">
      <c r="A12">
        <v>11</v>
      </c>
      <c r="B12" s="177" t="s">
        <v>202</v>
      </c>
      <c r="C12">
        <v>0.64100000000000001</v>
      </c>
      <c r="D12">
        <v>0.36499999999999999</v>
      </c>
      <c r="E12">
        <v>1.006</v>
      </c>
    </row>
    <row r="13" spans="1:5" ht="15" customHeight="1" x14ac:dyDescent="0.15">
      <c r="A13">
        <v>12</v>
      </c>
      <c r="B13" s="177" t="s">
        <v>203</v>
      </c>
      <c r="C13">
        <v>0</v>
      </c>
      <c r="D13">
        <v>1.37</v>
      </c>
      <c r="E13">
        <v>1.37</v>
      </c>
    </row>
    <row r="14" spans="1:5" ht="15" customHeight="1" x14ac:dyDescent="0.15">
      <c r="A14">
        <v>13</v>
      </c>
      <c r="B14" s="177" t="s">
        <v>204</v>
      </c>
      <c r="C14">
        <v>0</v>
      </c>
      <c r="D14">
        <v>0.63500000000000001</v>
      </c>
      <c r="E14">
        <v>0.63500000000000001</v>
      </c>
    </row>
    <row r="15" spans="1:5" ht="15" customHeight="1" x14ac:dyDescent="0.15">
      <c r="A15">
        <v>14</v>
      </c>
      <c r="B15" s="177" t="s">
        <v>205</v>
      </c>
      <c r="C15">
        <v>0</v>
      </c>
      <c r="D15">
        <v>0.28100000000000003</v>
      </c>
      <c r="E15">
        <v>0.28100000000000003</v>
      </c>
    </row>
    <row r="16" spans="1:5" ht="15" customHeight="1" x14ac:dyDescent="0.15">
      <c r="A16">
        <v>15</v>
      </c>
      <c r="B16" s="177" t="s">
        <v>206</v>
      </c>
      <c r="C16">
        <v>0</v>
      </c>
      <c r="D16">
        <v>2.8000000000000001E-2</v>
      </c>
      <c r="E16">
        <v>2.8000000000000001E-2</v>
      </c>
    </row>
    <row r="17" spans="1:5" ht="15" customHeight="1" x14ac:dyDescent="0.15">
      <c r="A17">
        <v>16</v>
      </c>
      <c r="B17" s="177" t="s">
        <v>207</v>
      </c>
      <c r="C17">
        <v>0</v>
      </c>
      <c r="D17">
        <v>2.1999999999999999E-2</v>
      </c>
      <c r="E17">
        <v>2.1999999999999999E-2</v>
      </c>
    </row>
    <row r="18" spans="1:5" ht="15" customHeight="1" x14ac:dyDescent="0.15">
      <c r="A18">
        <v>17</v>
      </c>
      <c r="B18" s="177" t="s">
        <v>208</v>
      </c>
      <c r="C18">
        <v>0</v>
      </c>
      <c r="D18">
        <v>0.749</v>
      </c>
      <c r="E18">
        <v>0.749</v>
      </c>
    </row>
    <row r="19" spans="1:5" ht="15" customHeight="1" x14ac:dyDescent="0.15">
      <c r="A19">
        <v>18</v>
      </c>
      <c r="B19" s="177" t="s">
        <v>209</v>
      </c>
      <c r="C19">
        <v>0</v>
      </c>
      <c r="D19">
        <v>0</v>
      </c>
      <c r="E19">
        <v>0</v>
      </c>
    </row>
    <row r="20" spans="1:5" ht="15" customHeight="1" x14ac:dyDescent="0.15">
      <c r="A20">
        <v>19</v>
      </c>
      <c r="B20" s="177" t="s">
        <v>210</v>
      </c>
      <c r="C20">
        <v>0.55700000000000005</v>
      </c>
      <c r="D20">
        <v>6.5000000000000002E-2</v>
      </c>
      <c r="E20">
        <v>0.62200000000000011</v>
      </c>
    </row>
    <row r="21" spans="1:5" ht="15" customHeight="1" x14ac:dyDescent="0.15">
      <c r="A21">
        <v>20</v>
      </c>
      <c r="B21" s="177" t="s">
        <v>211</v>
      </c>
      <c r="C21">
        <v>0.95499999999999996</v>
      </c>
      <c r="D21">
        <v>0</v>
      </c>
      <c r="E21">
        <v>0.95499999999999996</v>
      </c>
    </row>
    <row r="22" spans="1:5" ht="15" customHeight="1" x14ac:dyDescent="0.15">
      <c r="A22">
        <v>21</v>
      </c>
      <c r="B22" s="177" t="s">
        <v>212</v>
      </c>
      <c r="C22">
        <v>0</v>
      </c>
      <c r="D22">
        <v>0.48</v>
      </c>
      <c r="E22">
        <v>0.48</v>
      </c>
    </row>
    <row r="23" spans="1:5" ht="15" customHeight="1" x14ac:dyDescent="0.15">
      <c r="A23">
        <v>22</v>
      </c>
      <c r="B23" s="177" t="s">
        <v>213</v>
      </c>
      <c r="C23">
        <v>0</v>
      </c>
      <c r="D23">
        <v>0.245</v>
      </c>
      <c r="E23">
        <v>0.245</v>
      </c>
    </row>
    <row r="24" spans="1:5" ht="15" customHeight="1" x14ac:dyDescent="0.15">
      <c r="A24">
        <v>23</v>
      </c>
      <c r="B24" s="177" t="s">
        <v>214</v>
      </c>
      <c r="C24">
        <v>0</v>
      </c>
      <c r="D24">
        <v>2.1720000000000002</v>
      </c>
      <c r="E24">
        <v>2.1720000000000002</v>
      </c>
    </row>
    <row r="25" spans="1:5" ht="15" customHeight="1" x14ac:dyDescent="0.15">
      <c r="A25">
        <v>24</v>
      </c>
      <c r="B25" s="177" t="s">
        <v>215</v>
      </c>
      <c r="C25">
        <v>0</v>
      </c>
      <c r="D25">
        <v>0</v>
      </c>
      <c r="E25">
        <v>0</v>
      </c>
    </row>
    <row r="26" spans="1:5" ht="15" customHeight="1" x14ac:dyDescent="0.15">
      <c r="A26">
        <v>25</v>
      </c>
      <c r="B26" s="177" t="s">
        <v>216</v>
      </c>
      <c r="C26">
        <v>0</v>
      </c>
      <c r="D26">
        <v>0.90100000000000002</v>
      </c>
      <c r="E26">
        <v>0.90100000000000002</v>
      </c>
    </row>
    <row r="27" spans="1:5" ht="15" customHeight="1" x14ac:dyDescent="0.15">
      <c r="A27">
        <v>26</v>
      </c>
      <c r="B27" s="177" t="s">
        <v>217</v>
      </c>
      <c r="C27">
        <v>0</v>
      </c>
      <c r="D27">
        <v>0.95499999999999996</v>
      </c>
      <c r="E27">
        <v>0.95499999999999996</v>
      </c>
    </row>
    <row r="28" spans="1:5" ht="15" customHeight="1" x14ac:dyDescent="0.15">
      <c r="A28">
        <v>27</v>
      </c>
      <c r="B28" s="177" t="s">
        <v>218</v>
      </c>
      <c r="C28">
        <v>0</v>
      </c>
      <c r="D28">
        <v>0</v>
      </c>
      <c r="E28">
        <v>0</v>
      </c>
    </row>
    <row r="29" spans="1:5" ht="15" customHeight="1" x14ac:dyDescent="0.15">
      <c r="A29">
        <v>28</v>
      </c>
      <c r="B29" s="177" t="s">
        <v>219</v>
      </c>
      <c r="C29">
        <v>0</v>
      </c>
      <c r="D29">
        <v>0</v>
      </c>
      <c r="E29">
        <v>0</v>
      </c>
    </row>
    <row r="30" spans="1:5" ht="15" customHeight="1" x14ac:dyDescent="0.15">
      <c r="A30">
        <v>29</v>
      </c>
      <c r="B30" s="177" t="s">
        <v>220</v>
      </c>
      <c r="C30">
        <v>0</v>
      </c>
      <c r="D30">
        <v>0</v>
      </c>
      <c r="E30">
        <v>0</v>
      </c>
    </row>
    <row r="31" spans="1:5" ht="15" customHeight="1" x14ac:dyDescent="0.15">
      <c r="A31">
        <v>30</v>
      </c>
      <c r="B31" s="177" t="s">
        <v>221</v>
      </c>
      <c r="C31">
        <v>0</v>
      </c>
      <c r="D31">
        <v>0</v>
      </c>
      <c r="E31">
        <v>0</v>
      </c>
    </row>
    <row r="32" spans="1:5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3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5" width="2.33203125" bestFit="1" customWidth="1"/>
  </cols>
  <sheetData>
    <row r="1" spans="1:5" s="106" customFormat="1" ht="112" x14ac:dyDescent="0.15">
      <c r="A1" s="5" t="s">
        <v>22</v>
      </c>
      <c r="B1" s="3" t="s">
        <v>0</v>
      </c>
      <c r="C1" s="180" t="s">
        <v>222</v>
      </c>
      <c r="D1" s="180" t="s">
        <v>223</v>
      </c>
      <c r="E1" s="180" t="s">
        <v>227</v>
      </c>
    </row>
    <row r="2" spans="1:5" x14ac:dyDescent="0.15">
      <c r="A2">
        <v>1</v>
      </c>
      <c r="B2" s="179" t="s">
        <v>192</v>
      </c>
      <c r="C2">
        <v>0</v>
      </c>
      <c r="D2">
        <v>0</v>
      </c>
      <c r="E2">
        <v>0</v>
      </c>
    </row>
    <row r="3" spans="1:5" x14ac:dyDescent="0.15">
      <c r="A3">
        <v>2</v>
      </c>
      <c r="B3" s="179" t="s">
        <v>193</v>
      </c>
      <c r="C3">
        <v>0</v>
      </c>
      <c r="D3">
        <v>0</v>
      </c>
      <c r="E3">
        <v>0</v>
      </c>
    </row>
    <row r="4" spans="1:5" x14ac:dyDescent="0.15">
      <c r="A4">
        <v>3</v>
      </c>
      <c r="B4" s="179" t="s">
        <v>194</v>
      </c>
      <c r="C4">
        <v>0</v>
      </c>
      <c r="D4">
        <v>0</v>
      </c>
      <c r="E4">
        <v>0</v>
      </c>
    </row>
    <row r="5" spans="1:5" x14ac:dyDescent="0.15">
      <c r="A5">
        <v>4</v>
      </c>
      <c r="B5" s="179" t="s">
        <v>195</v>
      </c>
      <c r="C5">
        <v>0</v>
      </c>
      <c r="D5">
        <v>0</v>
      </c>
      <c r="E5">
        <v>0</v>
      </c>
    </row>
    <row r="6" spans="1:5" x14ac:dyDescent="0.15">
      <c r="A6">
        <v>5</v>
      </c>
      <c r="B6" s="179" t="s">
        <v>196</v>
      </c>
      <c r="C6">
        <v>0</v>
      </c>
      <c r="D6">
        <v>0</v>
      </c>
      <c r="E6">
        <v>0</v>
      </c>
    </row>
    <row r="7" spans="1:5" x14ac:dyDescent="0.15">
      <c r="A7">
        <v>6</v>
      </c>
      <c r="B7" s="179" t="s">
        <v>197</v>
      </c>
      <c r="C7">
        <v>0</v>
      </c>
      <c r="D7">
        <v>0</v>
      </c>
      <c r="E7">
        <v>0</v>
      </c>
    </row>
    <row r="8" spans="1:5" x14ac:dyDescent="0.15">
      <c r="A8">
        <v>7</v>
      </c>
      <c r="B8" s="179" t="s">
        <v>198</v>
      </c>
      <c r="C8">
        <v>0</v>
      </c>
      <c r="D8">
        <v>0</v>
      </c>
      <c r="E8">
        <v>0</v>
      </c>
    </row>
    <row r="9" spans="1:5" x14ac:dyDescent="0.15">
      <c r="A9">
        <v>8</v>
      </c>
      <c r="B9" s="179" t="s">
        <v>199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79" t="s">
        <v>200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79" t="s">
        <v>201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79" t="s">
        <v>202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79" t="s">
        <v>203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79" t="s">
        <v>204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79" t="s">
        <v>205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79" t="s">
        <v>206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79" t="s">
        <v>207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79" t="s">
        <v>208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79" t="s">
        <v>209</v>
      </c>
      <c r="C19">
        <v>0</v>
      </c>
      <c r="D19">
        <v>0</v>
      </c>
      <c r="E19">
        <v>0</v>
      </c>
    </row>
    <row r="20" spans="1:5" x14ac:dyDescent="0.15">
      <c r="A20">
        <v>19</v>
      </c>
      <c r="B20" s="179" t="s">
        <v>210</v>
      </c>
      <c r="C20">
        <v>0</v>
      </c>
      <c r="D20">
        <v>0</v>
      </c>
      <c r="E20">
        <v>0</v>
      </c>
    </row>
    <row r="21" spans="1:5" x14ac:dyDescent="0.15">
      <c r="A21">
        <v>20</v>
      </c>
      <c r="B21" s="179" t="s">
        <v>211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79" t="s">
        <v>212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79" t="s">
        <v>213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79" t="s">
        <v>214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79" t="s">
        <v>215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79" t="s">
        <v>216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79" t="s">
        <v>217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79" t="s">
        <v>218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79" t="s">
        <v>219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79" t="s">
        <v>220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79" t="s">
        <v>221</v>
      </c>
      <c r="C31">
        <v>0</v>
      </c>
      <c r="D31">
        <v>0</v>
      </c>
      <c r="E3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" bestFit="1" customWidth="1"/>
    <col min="6" max="6" width="4.83203125" bestFit="1" customWidth="1"/>
    <col min="7" max="9" width="3.83203125" bestFit="1" customWidth="1"/>
    <col min="10" max="11" width="4.83203125" style="10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7" customFormat="1" ht="14" thickBot="1" x14ac:dyDescent="0.2">
      <c r="D1" s="108" t="s">
        <v>8</v>
      </c>
      <c r="E1" s="108" t="s">
        <v>0</v>
      </c>
      <c r="F1" s="109" t="s">
        <v>99</v>
      </c>
      <c r="G1" s="110" t="s">
        <v>84</v>
      </c>
      <c r="H1" s="110" t="s">
        <v>85</v>
      </c>
      <c r="I1" s="110" t="s">
        <v>86</v>
      </c>
      <c r="J1" s="110" t="s">
        <v>87</v>
      </c>
      <c r="K1" s="110" t="s">
        <v>88</v>
      </c>
      <c r="L1" s="111" t="s">
        <v>89</v>
      </c>
      <c r="M1" s="111" t="s">
        <v>93</v>
      </c>
      <c r="N1" s="111" t="s">
        <v>92</v>
      </c>
      <c r="O1" s="111" t="s">
        <v>90</v>
      </c>
      <c r="P1" s="111" t="s">
        <v>91</v>
      </c>
      <c r="Q1" s="112" t="s">
        <v>94</v>
      </c>
      <c r="R1" s="112" t="s">
        <v>95</v>
      </c>
      <c r="S1" s="112" t="s">
        <v>96</v>
      </c>
      <c r="T1" s="112" t="s">
        <v>97</v>
      </c>
      <c r="U1" s="112" t="s">
        <v>98</v>
      </c>
      <c r="V1" s="110" t="s">
        <v>100</v>
      </c>
      <c r="W1" s="110" t="s">
        <v>101</v>
      </c>
      <c r="X1" s="110" t="s">
        <v>102</v>
      </c>
      <c r="Y1" s="110" t="s">
        <v>134</v>
      </c>
      <c r="Z1" s="111" t="s">
        <v>103</v>
      </c>
      <c r="AA1" s="111" t="s">
        <v>104</v>
      </c>
      <c r="AB1" s="111" t="s">
        <v>105</v>
      </c>
      <c r="AC1" s="113" t="s">
        <v>135</v>
      </c>
      <c r="AD1" s="112" t="s">
        <v>106</v>
      </c>
      <c r="AE1" s="112" t="s">
        <v>107</v>
      </c>
      <c r="AF1" s="112" t="s">
        <v>108</v>
      </c>
      <c r="AG1" s="112" t="s">
        <v>136</v>
      </c>
      <c r="AH1" s="110" t="s">
        <v>109</v>
      </c>
      <c r="AI1" s="110" t="s">
        <v>111</v>
      </c>
      <c r="AJ1" s="110" t="s">
        <v>110</v>
      </c>
      <c r="AK1" s="111" t="s">
        <v>115</v>
      </c>
      <c r="AL1" s="111" t="s">
        <v>116</v>
      </c>
      <c r="AM1" s="111" t="s">
        <v>117</v>
      </c>
      <c r="AN1" s="112" t="s">
        <v>112</v>
      </c>
      <c r="AO1" s="112" t="s">
        <v>113</v>
      </c>
      <c r="AP1" s="112" t="s">
        <v>114</v>
      </c>
    </row>
    <row r="2" spans="1:42" x14ac:dyDescent="0.15">
      <c r="A2" s="114" t="s">
        <v>74</v>
      </c>
      <c r="B2" s="115">
        <v>1</v>
      </c>
      <c r="D2">
        <v>1</v>
      </c>
      <c r="E2" s="181" t="s">
        <v>192</v>
      </c>
      <c r="F2">
        <v>0.98</v>
      </c>
      <c r="G2">
        <v>0.8</v>
      </c>
      <c r="H2">
        <v>0.8</v>
      </c>
      <c r="I2">
        <v>0.8</v>
      </c>
      <c r="J2" s="105">
        <v>0.25</v>
      </c>
      <c r="K2" s="105">
        <v>0.05</v>
      </c>
    </row>
    <row r="3" spans="1:42" x14ac:dyDescent="0.15">
      <c r="A3" s="114" t="s">
        <v>75</v>
      </c>
      <c r="B3" s="116">
        <v>1</v>
      </c>
      <c r="D3">
        <v>2</v>
      </c>
      <c r="E3" s="181" t="s">
        <v>193</v>
      </c>
      <c r="F3">
        <v>0.98</v>
      </c>
      <c r="G3">
        <v>0.8</v>
      </c>
      <c r="H3">
        <v>0.8</v>
      </c>
      <c r="I3">
        <v>0.8</v>
      </c>
      <c r="J3" s="105">
        <v>0.25</v>
      </c>
      <c r="K3" s="105">
        <v>0.05</v>
      </c>
    </row>
    <row r="4" spans="1:42" x14ac:dyDescent="0.15">
      <c r="A4" s="114" t="s">
        <v>76</v>
      </c>
      <c r="B4" s="116">
        <v>1</v>
      </c>
      <c r="D4">
        <v>3</v>
      </c>
      <c r="E4" s="181" t="s">
        <v>194</v>
      </c>
      <c r="F4">
        <v>0.98</v>
      </c>
      <c r="G4">
        <v>0.8</v>
      </c>
      <c r="H4">
        <v>0.8</v>
      </c>
      <c r="I4">
        <v>0.8</v>
      </c>
      <c r="J4" s="105">
        <v>0.25</v>
      </c>
      <c r="K4" s="105">
        <v>0.05</v>
      </c>
    </row>
    <row r="5" spans="1:42" x14ac:dyDescent="0.15">
      <c r="A5" s="114" t="s">
        <v>77</v>
      </c>
      <c r="B5" s="116">
        <v>1</v>
      </c>
      <c r="D5">
        <v>4</v>
      </c>
      <c r="E5" s="181" t="s">
        <v>195</v>
      </c>
      <c r="F5">
        <v>0.98</v>
      </c>
      <c r="G5">
        <v>0.8</v>
      </c>
      <c r="H5">
        <v>0.8</v>
      </c>
      <c r="I5">
        <v>0.8</v>
      </c>
      <c r="J5" s="105">
        <v>0.25</v>
      </c>
      <c r="K5" s="105">
        <v>0.05</v>
      </c>
    </row>
    <row r="6" spans="1:42" x14ac:dyDescent="0.15">
      <c r="A6" s="114" t="s">
        <v>78</v>
      </c>
      <c r="B6" s="116">
        <v>1</v>
      </c>
      <c r="D6">
        <v>5</v>
      </c>
      <c r="E6" s="181" t="s">
        <v>196</v>
      </c>
      <c r="F6">
        <v>0.98</v>
      </c>
      <c r="G6">
        <v>0.8</v>
      </c>
      <c r="H6">
        <v>0.8</v>
      </c>
      <c r="I6">
        <v>0.8</v>
      </c>
      <c r="J6" s="105">
        <v>0.25</v>
      </c>
      <c r="K6" s="105">
        <v>0.05</v>
      </c>
    </row>
    <row r="7" spans="1:42" x14ac:dyDescent="0.15">
      <c r="A7" s="114" t="s">
        <v>79</v>
      </c>
      <c r="B7" s="116">
        <v>1</v>
      </c>
      <c r="D7">
        <v>6</v>
      </c>
      <c r="E7" s="181" t="s">
        <v>197</v>
      </c>
      <c r="F7">
        <v>0.98</v>
      </c>
      <c r="G7">
        <v>0.8</v>
      </c>
      <c r="H7">
        <v>0.8</v>
      </c>
      <c r="I7">
        <v>0.8</v>
      </c>
      <c r="J7" s="105">
        <v>0.25</v>
      </c>
      <c r="K7" s="105">
        <v>0.05</v>
      </c>
    </row>
    <row r="8" spans="1:42" x14ac:dyDescent="0.15">
      <c r="A8" s="114" t="s">
        <v>80</v>
      </c>
      <c r="B8" s="116">
        <v>1</v>
      </c>
      <c r="D8">
        <v>7</v>
      </c>
      <c r="E8" s="181" t="s">
        <v>198</v>
      </c>
      <c r="F8">
        <v>0.98</v>
      </c>
      <c r="G8">
        <v>0.8</v>
      </c>
      <c r="H8">
        <v>0.8</v>
      </c>
      <c r="I8">
        <v>0.8</v>
      </c>
      <c r="J8" s="105">
        <v>0.25</v>
      </c>
      <c r="K8" s="105">
        <v>0.05</v>
      </c>
    </row>
    <row r="9" spans="1:42" x14ac:dyDescent="0.15">
      <c r="A9" s="114" t="s">
        <v>81</v>
      </c>
      <c r="B9" s="116">
        <v>0.1</v>
      </c>
      <c r="C9" s="59" t="s">
        <v>150</v>
      </c>
      <c r="D9">
        <v>8</v>
      </c>
      <c r="E9" s="181" t="s">
        <v>199</v>
      </c>
      <c r="F9">
        <v>0.98</v>
      </c>
      <c r="G9">
        <v>0.8</v>
      </c>
      <c r="H9">
        <v>0.8</v>
      </c>
      <c r="I9">
        <v>0.8</v>
      </c>
      <c r="J9" s="105">
        <v>0.25</v>
      </c>
      <c r="K9" s="105">
        <v>0.05</v>
      </c>
    </row>
    <row r="10" spans="1:42" ht="14" thickBot="1" x14ac:dyDescent="0.2">
      <c r="A10" s="114" t="s">
        <v>149</v>
      </c>
      <c r="B10" s="117">
        <f>1/3</f>
        <v>0.33333333333333331</v>
      </c>
      <c r="C10" s="59" t="s">
        <v>150</v>
      </c>
      <c r="D10">
        <v>9</v>
      </c>
      <c r="E10" s="181" t="s">
        <v>200</v>
      </c>
      <c r="F10">
        <v>0.98</v>
      </c>
      <c r="G10">
        <v>0.8</v>
      </c>
      <c r="H10">
        <v>0.8</v>
      </c>
      <c r="I10">
        <v>0.8</v>
      </c>
      <c r="J10" s="105">
        <v>0.25</v>
      </c>
      <c r="K10" s="105">
        <v>0.05</v>
      </c>
    </row>
    <row r="11" spans="1:42" x14ac:dyDescent="0.15">
      <c r="D11">
        <v>10</v>
      </c>
      <c r="E11" s="181" t="s">
        <v>201</v>
      </c>
      <c r="F11">
        <v>0.98</v>
      </c>
      <c r="G11">
        <v>0.8</v>
      </c>
      <c r="H11">
        <v>0.8</v>
      </c>
      <c r="I11">
        <v>0.8</v>
      </c>
      <c r="J11" s="105">
        <v>0.25</v>
      </c>
      <c r="K11" s="105">
        <v>0.05</v>
      </c>
    </row>
    <row r="12" spans="1:42" x14ac:dyDescent="0.15">
      <c r="D12">
        <v>11</v>
      </c>
      <c r="E12" s="181" t="s">
        <v>202</v>
      </c>
      <c r="F12">
        <v>0.98</v>
      </c>
      <c r="G12">
        <v>0.8</v>
      </c>
      <c r="H12">
        <v>0.8</v>
      </c>
      <c r="I12">
        <v>0.8</v>
      </c>
      <c r="J12" s="105">
        <v>0.25</v>
      </c>
      <c r="K12" s="105">
        <v>0.05</v>
      </c>
    </row>
    <row r="13" spans="1:42" x14ac:dyDescent="0.15">
      <c r="D13">
        <v>12</v>
      </c>
      <c r="E13" s="181" t="s">
        <v>203</v>
      </c>
      <c r="F13">
        <v>0.98</v>
      </c>
      <c r="G13">
        <v>0.8</v>
      </c>
      <c r="H13">
        <v>0.8</v>
      </c>
      <c r="I13">
        <v>0.8</v>
      </c>
      <c r="J13" s="105">
        <v>0.25</v>
      </c>
      <c r="K13" s="105">
        <v>0.05</v>
      </c>
    </row>
    <row r="14" spans="1:42" x14ac:dyDescent="0.15">
      <c r="D14">
        <v>13</v>
      </c>
      <c r="E14" s="181" t="s">
        <v>204</v>
      </c>
      <c r="F14">
        <v>0.98</v>
      </c>
      <c r="G14">
        <v>0.8</v>
      </c>
      <c r="H14">
        <v>0.8</v>
      </c>
      <c r="I14">
        <v>0.8</v>
      </c>
      <c r="J14" s="105">
        <v>0.25</v>
      </c>
      <c r="K14" s="105">
        <v>0.05</v>
      </c>
    </row>
    <row r="15" spans="1:42" x14ac:dyDescent="0.15">
      <c r="D15">
        <v>14</v>
      </c>
      <c r="E15" s="181" t="s">
        <v>205</v>
      </c>
      <c r="F15">
        <v>0.98</v>
      </c>
      <c r="G15">
        <v>0.8</v>
      </c>
      <c r="H15">
        <v>0.8</v>
      </c>
      <c r="I15">
        <v>0.8</v>
      </c>
      <c r="J15" s="105">
        <v>0.25</v>
      </c>
      <c r="K15" s="105">
        <v>0.05</v>
      </c>
    </row>
    <row r="16" spans="1:42" x14ac:dyDescent="0.15">
      <c r="D16">
        <v>15</v>
      </c>
      <c r="E16" s="181" t="s">
        <v>206</v>
      </c>
      <c r="F16">
        <v>0.98</v>
      </c>
      <c r="G16">
        <v>0.8</v>
      </c>
      <c r="H16">
        <v>0.8</v>
      </c>
      <c r="I16">
        <v>0.8</v>
      </c>
      <c r="J16" s="105">
        <v>0.25</v>
      </c>
      <c r="K16" s="105">
        <v>0.05</v>
      </c>
    </row>
    <row r="17" spans="4:33" ht="15" customHeight="1" x14ac:dyDescent="0.15">
      <c r="D17">
        <v>16</v>
      </c>
      <c r="E17" s="181" t="s">
        <v>207</v>
      </c>
      <c r="F17">
        <v>0.98</v>
      </c>
      <c r="G17">
        <v>0.8</v>
      </c>
      <c r="H17">
        <v>0.8</v>
      </c>
      <c r="I17">
        <v>0.8</v>
      </c>
      <c r="J17" s="105">
        <v>0.25</v>
      </c>
      <c r="K17" s="105">
        <v>0.05</v>
      </c>
    </row>
    <row r="18" spans="4:33" ht="15" customHeight="1" x14ac:dyDescent="0.15">
      <c r="D18">
        <v>17</v>
      </c>
      <c r="E18" s="181" t="s">
        <v>208</v>
      </c>
      <c r="F18">
        <v>0.98</v>
      </c>
      <c r="G18">
        <v>0.8</v>
      </c>
      <c r="H18">
        <v>0.8</v>
      </c>
      <c r="I18">
        <v>0.8</v>
      </c>
      <c r="J18" s="105">
        <v>0.25</v>
      </c>
      <c r="K18" s="105">
        <v>0.05</v>
      </c>
    </row>
    <row r="19" spans="4:33" ht="15" customHeight="1" x14ac:dyDescent="0.15">
      <c r="D19">
        <v>18</v>
      </c>
      <c r="E19" s="181" t="s">
        <v>209</v>
      </c>
      <c r="F19">
        <v>0.98</v>
      </c>
      <c r="G19">
        <v>0.8</v>
      </c>
      <c r="H19">
        <v>0.8</v>
      </c>
      <c r="I19">
        <v>0.8</v>
      </c>
      <c r="J19" s="105">
        <v>0.25</v>
      </c>
      <c r="K19" s="105">
        <v>0.05</v>
      </c>
    </row>
    <row r="20" spans="4:33" ht="15" customHeight="1" x14ac:dyDescent="0.15">
      <c r="D20">
        <v>19</v>
      </c>
      <c r="E20" s="181" t="s">
        <v>210</v>
      </c>
      <c r="F20">
        <v>0.98</v>
      </c>
      <c r="G20">
        <v>0.8</v>
      </c>
      <c r="H20">
        <v>0.8</v>
      </c>
      <c r="I20">
        <v>0.8</v>
      </c>
      <c r="J20" s="105">
        <v>0.25</v>
      </c>
      <c r="K20" s="105">
        <v>0.05</v>
      </c>
    </row>
    <row r="21" spans="4:33" ht="15" customHeight="1" x14ac:dyDescent="0.15">
      <c r="D21">
        <v>20</v>
      </c>
      <c r="E21" s="181" t="s">
        <v>211</v>
      </c>
      <c r="F21">
        <v>0.98</v>
      </c>
      <c r="G21">
        <v>0.8</v>
      </c>
      <c r="H21">
        <v>0.8</v>
      </c>
      <c r="I21">
        <v>0.8</v>
      </c>
      <c r="J21" s="105">
        <v>0.25</v>
      </c>
      <c r="K21" s="105">
        <v>0.05</v>
      </c>
    </row>
    <row r="22" spans="4:33" ht="15" customHeight="1" x14ac:dyDescent="0.15">
      <c r="D22">
        <v>21</v>
      </c>
      <c r="E22" s="181" t="s">
        <v>212</v>
      </c>
      <c r="F22">
        <v>0.98</v>
      </c>
      <c r="G22">
        <v>0.8</v>
      </c>
      <c r="H22">
        <v>0.8</v>
      </c>
      <c r="I22">
        <v>0.8</v>
      </c>
      <c r="J22" s="105">
        <v>0.25</v>
      </c>
      <c r="K22" s="105">
        <v>0.05</v>
      </c>
    </row>
    <row r="23" spans="4:33" ht="15" customHeight="1" x14ac:dyDescent="0.15">
      <c r="D23">
        <v>22</v>
      </c>
      <c r="E23" s="181" t="s">
        <v>213</v>
      </c>
      <c r="F23">
        <v>0.98</v>
      </c>
      <c r="G23">
        <v>0.8</v>
      </c>
      <c r="H23">
        <v>0.8</v>
      </c>
      <c r="I23">
        <v>0.8</v>
      </c>
      <c r="J23" s="105">
        <v>0.25</v>
      </c>
      <c r="K23" s="105">
        <v>0.05</v>
      </c>
    </row>
    <row r="24" spans="4:33" ht="15" customHeight="1" x14ac:dyDescent="0.15">
      <c r="D24">
        <v>23</v>
      </c>
      <c r="E24" s="181" t="s">
        <v>214</v>
      </c>
      <c r="F24">
        <v>0.98</v>
      </c>
      <c r="G24">
        <v>0.8</v>
      </c>
      <c r="H24">
        <v>0.8</v>
      </c>
      <c r="I24">
        <v>0.8</v>
      </c>
      <c r="J24" s="105">
        <v>0.25</v>
      </c>
      <c r="K24" s="105">
        <v>0.05</v>
      </c>
    </row>
    <row r="25" spans="4:33" ht="15" customHeight="1" x14ac:dyDescent="0.15">
      <c r="D25">
        <v>24</v>
      </c>
      <c r="E25" s="181" t="s">
        <v>215</v>
      </c>
      <c r="F25">
        <v>0.98</v>
      </c>
      <c r="G25">
        <v>0.8</v>
      </c>
      <c r="H25">
        <v>0.8</v>
      </c>
      <c r="I25">
        <v>0.8</v>
      </c>
      <c r="J25" s="105">
        <v>0.25</v>
      </c>
      <c r="K25" s="105">
        <v>0.05</v>
      </c>
    </row>
    <row r="26" spans="4:33" ht="15" customHeight="1" x14ac:dyDescent="0.15">
      <c r="D26">
        <v>25</v>
      </c>
      <c r="E26" s="181" t="s">
        <v>216</v>
      </c>
      <c r="F26">
        <v>0.98</v>
      </c>
      <c r="G26">
        <v>0.8</v>
      </c>
      <c r="H26">
        <v>0.8</v>
      </c>
      <c r="I26">
        <v>0.8</v>
      </c>
      <c r="J26" s="105">
        <v>0.25</v>
      </c>
      <c r="K26" s="105">
        <v>0.05</v>
      </c>
    </row>
    <row r="27" spans="4:33" ht="15" customHeight="1" x14ac:dyDescent="0.15">
      <c r="D27">
        <v>26</v>
      </c>
      <c r="E27" s="181" t="s">
        <v>217</v>
      </c>
      <c r="F27">
        <v>0.98</v>
      </c>
      <c r="G27">
        <v>0.8</v>
      </c>
      <c r="H27">
        <v>0.8</v>
      </c>
      <c r="I27">
        <v>0.8</v>
      </c>
      <c r="J27" s="105">
        <v>0.25</v>
      </c>
      <c r="K27" s="105">
        <v>0.05</v>
      </c>
    </row>
    <row r="28" spans="4:33" ht="15" customHeight="1" x14ac:dyDescent="0.15">
      <c r="D28">
        <v>27</v>
      </c>
      <c r="E28" s="181" t="s">
        <v>218</v>
      </c>
      <c r="F28">
        <v>0.98</v>
      </c>
      <c r="G28">
        <v>0.8</v>
      </c>
      <c r="H28">
        <v>0.8</v>
      </c>
      <c r="I28">
        <v>0.8</v>
      </c>
      <c r="J28" s="105">
        <v>0.25</v>
      </c>
      <c r="K28" s="105">
        <v>0.05</v>
      </c>
    </row>
    <row r="29" spans="4:33" ht="15" customHeight="1" x14ac:dyDescent="0.15">
      <c r="D29">
        <v>28</v>
      </c>
      <c r="E29" s="181" t="s">
        <v>219</v>
      </c>
      <c r="F29">
        <v>0.98</v>
      </c>
      <c r="G29">
        <v>0.8</v>
      </c>
      <c r="H29">
        <v>0.8</v>
      </c>
      <c r="I29">
        <v>0</v>
      </c>
      <c r="J29" s="105">
        <v>0</v>
      </c>
      <c r="K29" s="105">
        <v>0</v>
      </c>
      <c r="Y29"/>
      <c r="AC29"/>
      <c r="AG29"/>
    </row>
    <row r="30" spans="4:33" ht="15" customHeight="1" x14ac:dyDescent="0.15">
      <c r="D30">
        <v>29</v>
      </c>
      <c r="E30" s="181" t="s">
        <v>220</v>
      </c>
      <c r="F30">
        <v>0.98</v>
      </c>
      <c r="G30">
        <v>0.8</v>
      </c>
      <c r="H30">
        <v>0</v>
      </c>
      <c r="I30">
        <v>0</v>
      </c>
      <c r="J30" s="105">
        <v>0</v>
      </c>
      <c r="K30" s="105">
        <v>0</v>
      </c>
      <c r="Y30"/>
      <c r="AC30"/>
      <c r="AG30"/>
    </row>
    <row r="31" spans="4:33" ht="15" customHeight="1" x14ac:dyDescent="0.15">
      <c r="D31">
        <v>30</v>
      </c>
      <c r="E31" s="181" t="s">
        <v>221</v>
      </c>
      <c r="F31">
        <v>0.98</v>
      </c>
      <c r="G31">
        <v>0.8</v>
      </c>
      <c r="H31">
        <v>0</v>
      </c>
      <c r="I31">
        <v>0</v>
      </c>
      <c r="J31" s="105">
        <v>0</v>
      </c>
      <c r="K31" s="105">
        <v>0</v>
      </c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E32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28" width="3.83203125" style="103" customWidth="1"/>
    <col min="29" max="31" width="2.33203125" style="103" customWidth="1"/>
    <col min="32" max="16384" width="10.83203125" style="103"/>
  </cols>
  <sheetData>
    <row r="1" spans="1:31" x14ac:dyDescent="0.15">
      <c r="A1" s="61" t="s">
        <v>118</v>
      </c>
      <c r="B1" s="183" t="s">
        <v>192</v>
      </c>
      <c r="C1" s="183" t="s">
        <v>193</v>
      </c>
      <c r="D1" s="183" t="s">
        <v>194</v>
      </c>
      <c r="E1" s="183" t="s">
        <v>195</v>
      </c>
      <c r="F1" s="183" t="s">
        <v>196</v>
      </c>
      <c r="G1" s="183" t="s">
        <v>197</v>
      </c>
      <c r="H1" s="183" t="s">
        <v>198</v>
      </c>
      <c r="I1" s="183" t="s">
        <v>199</v>
      </c>
      <c r="J1" s="183" t="s">
        <v>200</v>
      </c>
      <c r="K1" s="183" t="s">
        <v>201</v>
      </c>
      <c r="L1" s="183" t="s">
        <v>202</v>
      </c>
      <c r="M1" s="183" t="s">
        <v>203</v>
      </c>
      <c r="N1" s="183" t="s">
        <v>204</v>
      </c>
      <c r="O1" s="183" t="s">
        <v>205</v>
      </c>
      <c r="P1" s="183" t="s">
        <v>206</v>
      </c>
      <c r="Q1" s="183" t="s">
        <v>207</v>
      </c>
      <c r="R1" s="183" t="s">
        <v>208</v>
      </c>
      <c r="S1" s="183" t="s">
        <v>209</v>
      </c>
      <c r="T1" s="183" t="s">
        <v>210</v>
      </c>
      <c r="U1" s="183" t="s">
        <v>211</v>
      </c>
      <c r="V1" s="183" t="s">
        <v>212</v>
      </c>
      <c r="W1" s="183" t="s">
        <v>213</v>
      </c>
      <c r="X1" s="183" t="s">
        <v>214</v>
      </c>
      <c r="Y1" s="183" t="s">
        <v>215</v>
      </c>
      <c r="Z1" s="183" t="s">
        <v>216</v>
      </c>
      <c r="AA1" s="183" t="s">
        <v>217</v>
      </c>
      <c r="AB1" s="183" t="s">
        <v>218</v>
      </c>
      <c r="AC1" s="183" t="s">
        <v>219</v>
      </c>
      <c r="AD1" s="183" t="s">
        <v>220</v>
      </c>
      <c r="AE1" s="183" t="s">
        <v>221</v>
      </c>
    </row>
    <row r="2" spans="1:31" customFormat="1" x14ac:dyDescent="0.15">
      <c r="A2" s="182" t="s">
        <v>192</v>
      </c>
      <c r="B2" s="103">
        <v>0</v>
      </c>
      <c r="C2" s="103">
        <v>0</v>
      </c>
      <c r="D2" s="103">
        <v>0</v>
      </c>
      <c r="E2" s="103">
        <v>0</v>
      </c>
      <c r="F2" s="103">
        <v>0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  <c r="X2" s="103">
        <v>0</v>
      </c>
      <c r="Y2" s="103">
        <v>0</v>
      </c>
      <c r="Z2" s="103">
        <v>0</v>
      </c>
      <c r="AA2" s="103">
        <v>0</v>
      </c>
      <c r="AB2" s="103">
        <v>0</v>
      </c>
      <c r="AC2" s="103">
        <v>0</v>
      </c>
      <c r="AD2" s="103">
        <v>0</v>
      </c>
      <c r="AE2" s="103">
        <v>0</v>
      </c>
    </row>
    <row r="3" spans="1:31" customFormat="1" x14ac:dyDescent="0.15">
      <c r="A3" s="182" t="s">
        <v>193</v>
      </c>
      <c r="B3" s="103">
        <v>0</v>
      </c>
      <c r="C3" s="103">
        <v>0</v>
      </c>
      <c r="D3" s="103">
        <v>0</v>
      </c>
      <c r="E3" s="103">
        <v>0</v>
      </c>
      <c r="F3" s="103">
        <v>0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  <c r="X3" s="103">
        <v>0</v>
      </c>
      <c r="Y3" s="103">
        <v>0</v>
      </c>
      <c r="Z3" s="103">
        <v>0</v>
      </c>
      <c r="AA3" s="103">
        <v>0</v>
      </c>
      <c r="AB3" s="103">
        <v>0</v>
      </c>
      <c r="AC3" s="103">
        <v>0</v>
      </c>
      <c r="AD3" s="103">
        <v>0</v>
      </c>
      <c r="AE3" s="103">
        <v>0</v>
      </c>
    </row>
    <row r="4" spans="1:31" customFormat="1" x14ac:dyDescent="0.15">
      <c r="A4" s="182" t="s">
        <v>194</v>
      </c>
      <c r="B4" s="103">
        <v>0.8</v>
      </c>
      <c r="C4" s="103">
        <v>0.8</v>
      </c>
      <c r="D4" s="103">
        <v>0</v>
      </c>
      <c r="E4" s="103">
        <v>0</v>
      </c>
      <c r="F4" s="103">
        <v>0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0</v>
      </c>
      <c r="U4" s="103">
        <v>0</v>
      </c>
      <c r="V4" s="103">
        <v>0</v>
      </c>
      <c r="W4" s="103">
        <v>0</v>
      </c>
      <c r="X4" s="103">
        <v>0</v>
      </c>
      <c r="Y4" s="103">
        <v>0</v>
      </c>
      <c r="Z4" s="103">
        <v>0</v>
      </c>
      <c r="AA4" s="103">
        <v>0</v>
      </c>
      <c r="AB4" s="103">
        <v>0</v>
      </c>
      <c r="AC4" s="103">
        <v>0</v>
      </c>
      <c r="AD4" s="103">
        <v>0</v>
      </c>
      <c r="AE4" s="103">
        <v>0</v>
      </c>
    </row>
    <row r="5" spans="1:31" customFormat="1" x14ac:dyDescent="0.15">
      <c r="A5" s="182" t="s">
        <v>195</v>
      </c>
      <c r="B5" s="103">
        <v>0.8</v>
      </c>
      <c r="C5" s="103">
        <v>0.8</v>
      </c>
      <c r="D5" s="103">
        <v>0</v>
      </c>
      <c r="E5" s="103">
        <v>0</v>
      </c>
      <c r="F5" s="103">
        <v>0</v>
      </c>
      <c r="G5" s="103">
        <v>0</v>
      </c>
      <c r="H5" s="103">
        <v>0</v>
      </c>
      <c r="I5" s="103">
        <v>0</v>
      </c>
      <c r="J5" s="103">
        <v>0</v>
      </c>
      <c r="K5" s="103">
        <v>0</v>
      </c>
      <c r="L5" s="103">
        <v>0</v>
      </c>
      <c r="M5" s="103">
        <v>0</v>
      </c>
      <c r="N5" s="103">
        <v>0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0</v>
      </c>
      <c r="U5" s="103">
        <v>0</v>
      </c>
      <c r="V5" s="103">
        <v>0</v>
      </c>
      <c r="W5" s="103">
        <v>0</v>
      </c>
      <c r="X5" s="103">
        <v>0</v>
      </c>
      <c r="Y5" s="103">
        <v>0</v>
      </c>
      <c r="Z5" s="103">
        <v>0</v>
      </c>
      <c r="AA5" s="103">
        <v>0</v>
      </c>
      <c r="AB5" s="103">
        <v>0</v>
      </c>
      <c r="AC5" s="103">
        <v>0</v>
      </c>
      <c r="AD5" s="103">
        <v>0</v>
      </c>
      <c r="AE5" s="103">
        <v>0</v>
      </c>
    </row>
    <row r="6" spans="1:31" customFormat="1" x14ac:dyDescent="0.15">
      <c r="A6" s="182" t="s">
        <v>196</v>
      </c>
      <c r="B6" s="103">
        <v>0.8</v>
      </c>
      <c r="C6" s="103">
        <v>0.8</v>
      </c>
      <c r="D6" s="103">
        <v>0</v>
      </c>
      <c r="E6" s="103">
        <v>0</v>
      </c>
      <c r="F6" s="103">
        <v>0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>
        <v>0</v>
      </c>
      <c r="AC6" s="103">
        <v>0</v>
      </c>
      <c r="AD6" s="103">
        <v>0</v>
      </c>
      <c r="AE6" s="103">
        <v>0</v>
      </c>
    </row>
    <row r="7" spans="1:31" customFormat="1" x14ac:dyDescent="0.15">
      <c r="A7" s="182" t="s">
        <v>197</v>
      </c>
      <c r="B7" s="103">
        <v>0</v>
      </c>
      <c r="C7" s="103">
        <v>0</v>
      </c>
      <c r="D7" s="103">
        <v>0.8</v>
      </c>
      <c r="E7" s="103">
        <v>0.8</v>
      </c>
      <c r="F7" s="103">
        <v>0.8</v>
      </c>
      <c r="G7" s="103">
        <v>0</v>
      </c>
      <c r="H7" s="103">
        <v>0</v>
      </c>
      <c r="I7" s="103">
        <v>0</v>
      </c>
      <c r="J7" s="103">
        <v>0</v>
      </c>
      <c r="K7" s="103">
        <v>0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  <c r="AC7" s="103">
        <v>0</v>
      </c>
      <c r="AD7" s="103">
        <v>0</v>
      </c>
      <c r="AE7" s="103">
        <v>0</v>
      </c>
    </row>
    <row r="8" spans="1:31" customFormat="1" x14ac:dyDescent="0.15">
      <c r="A8" s="182" t="s">
        <v>198</v>
      </c>
      <c r="B8" s="103">
        <v>0.8</v>
      </c>
      <c r="C8" s="103">
        <v>0.8</v>
      </c>
      <c r="D8" s="103">
        <v>0</v>
      </c>
      <c r="E8" s="103">
        <v>0</v>
      </c>
      <c r="F8" s="103">
        <v>0</v>
      </c>
      <c r="G8" s="103">
        <v>0</v>
      </c>
      <c r="H8" s="103">
        <v>0</v>
      </c>
      <c r="I8" s="103">
        <v>0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>
        <v>0</v>
      </c>
      <c r="AD8" s="103">
        <v>0</v>
      </c>
      <c r="AE8" s="103">
        <v>0</v>
      </c>
    </row>
    <row r="9" spans="1:31" customFormat="1" x14ac:dyDescent="0.15">
      <c r="A9" s="182" t="s">
        <v>199</v>
      </c>
      <c r="B9" s="103">
        <v>0</v>
      </c>
      <c r="C9" s="103">
        <v>0</v>
      </c>
      <c r="D9" s="103">
        <v>0</v>
      </c>
      <c r="E9" s="103">
        <v>0</v>
      </c>
      <c r="F9" s="103">
        <v>0.8</v>
      </c>
      <c r="G9" s="103">
        <v>0</v>
      </c>
      <c r="H9" s="103">
        <v>0</v>
      </c>
      <c r="I9" s="103">
        <v>0</v>
      </c>
      <c r="J9" s="103">
        <v>0</v>
      </c>
      <c r="K9" s="103">
        <v>0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>
        <v>0</v>
      </c>
      <c r="AD9" s="103">
        <v>0</v>
      </c>
      <c r="AE9" s="103">
        <v>0</v>
      </c>
    </row>
    <row r="10" spans="1:31" customFormat="1" x14ac:dyDescent="0.15">
      <c r="A10" s="182" t="s">
        <v>200</v>
      </c>
      <c r="B10" s="103">
        <v>0</v>
      </c>
      <c r="C10" s="103">
        <v>0</v>
      </c>
      <c r="D10" s="103">
        <v>0</v>
      </c>
      <c r="E10" s="103">
        <v>0</v>
      </c>
      <c r="F10" s="103">
        <v>0.8</v>
      </c>
      <c r="G10" s="103">
        <v>0</v>
      </c>
      <c r="H10" s="103">
        <v>0</v>
      </c>
      <c r="I10" s="103">
        <v>0</v>
      </c>
      <c r="J10" s="103">
        <v>0</v>
      </c>
      <c r="K10" s="103">
        <v>0</v>
      </c>
      <c r="L10" s="103">
        <v>0</v>
      </c>
      <c r="M10" s="103">
        <v>0</v>
      </c>
      <c r="N10" s="103">
        <v>0</v>
      </c>
      <c r="O10" s="103">
        <v>0</v>
      </c>
      <c r="P10" s="103">
        <v>0</v>
      </c>
      <c r="Q10" s="103">
        <v>0</v>
      </c>
      <c r="R10" s="103">
        <v>0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>
        <v>0</v>
      </c>
      <c r="AD10" s="103">
        <v>0</v>
      </c>
      <c r="AE10" s="103">
        <v>0</v>
      </c>
    </row>
    <row r="11" spans="1:31" customFormat="1" x14ac:dyDescent="0.15">
      <c r="A11" s="182" t="s">
        <v>201</v>
      </c>
      <c r="B11" s="103">
        <v>0</v>
      </c>
      <c r="C11" s="103">
        <v>0</v>
      </c>
      <c r="D11" s="103">
        <v>0</v>
      </c>
      <c r="E11" s="103">
        <v>0</v>
      </c>
      <c r="F11" s="103">
        <v>0.8</v>
      </c>
      <c r="G11" s="103">
        <v>0</v>
      </c>
      <c r="H11" s="103">
        <v>0</v>
      </c>
      <c r="I11" s="103">
        <v>0</v>
      </c>
      <c r="J11" s="103">
        <v>0</v>
      </c>
      <c r="K11" s="103">
        <v>0</v>
      </c>
      <c r="L11" s="103">
        <v>0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>
        <v>0</v>
      </c>
      <c r="AD11" s="103">
        <v>0</v>
      </c>
      <c r="AE11" s="103">
        <v>0</v>
      </c>
    </row>
    <row r="12" spans="1:31" customFormat="1" x14ac:dyDescent="0.15">
      <c r="A12" s="182" t="s">
        <v>202</v>
      </c>
      <c r="B12" s="103">
        <v>0.8</v>
      </c>
      <c r="C12" s="103">
        <v>0.8</v>
      </c>
      <c r="D12" s="103">
        <v>0.8</v>
      </c>
      <c r="E12" s="103">
        <v>0.8</v>
      </c>
      <c r="F12" s="103">
        <v>0.8</v>
      </c>
      <c r="G12" s="103">
        <v>0</v>
      </c>
      <c r="H12" s="103">
        <v>0.8</v>
      </c>
      <c r="I12" s="103">
        <v>0.8</v>
      </c>
      <c r="J12" s="103">
        <v>0.8</v>
      </c>
      <c r="K12" s="103">
        <v>0.8</v>
      </c>
      <c r="L12" s="103">
        <v>0</v>
      </c>
      <c r="M12" s="103">
        <v>0</v>
      </c>
      <c r="N12" s="103">
        <v>0</v>
      </c>
      <c r="O12" s="103">
        <v>0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>
        <v>0</v>
      </c>
      <c r="AD12" s="103">
        <v>0</v>
      </c>
      <c r="AE12" s="103">
        <v>0</v>
      </c>
    </row>
    <row r="13" spans="1:31" customFormat="1" x14ac:dyDescent="0.15">
      <c r="A13" s="182" t="s">
        <v>203</v>
      </c>
      <c r="B13" s="103">
        <v>0</v>
      </c>
      <c r="C13" s="103">
        <v>0</v>
      </c>
      <c r="D13" s="103">
        <v>0</v>
      </c>
      <c r="E13" s="103">
        <v>0.8</v>
      </c>
      <c r="F13" s="103">
        <v>0</v>
      </c>
      <c r="G13" s="103">
        <v>0.8</v>
      </c>
      <c r="H13" s="103">
        <v>0.8</v>
      </c>
      <c r="I13" s="103">
        <v>0</v>
      </c>
      <c r="J13" s="103">
        <v>0</v>
      </c>
      <c r="K13" s="103">
        <v>0</v>
      </c>
      <c r="L13" s="103">
        <v>0</v>
      </c>
      <c r="M13" s="103">
        <v>0.8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>
        <v>0</v>
      </c>
      <c r="AD13" s="103">
        <v>0</v>
      </c>
      <c r="AE13" s="103">
        <v>0</v>
      </c>
    </row>
    <row r="14" spans="1:31" customFormat="1" x14ac:dyDescent="0.15">
      <c r="A14" s="182" t="s">
        <v>204</v>
      </c>
      <c r="B14" s="103">
        <v>0</v>
      </c>
      <c r="C14" s="103">
        <v>0.8</v>
      </c>
      <c r="D14" s="103">
        <v>0.8</v>
      </c>
      <c r="E14" s="103">
        <v>0.8</v>
      </c>
      <c r="F14" s="103">
        <v>0.8</v>
      </c>
      <c r="G14" s="103">
        <v>0.8</v>
      </c>
      <c r="H14" s="103">
        <v>0</v>
      </c>
      <c r="I14" s="103">
        <v>0</v>
      </c>
      <c r="J14" s="103">
        <v>0</v>
      </c>
      <c r="K14" s="103">
        <v>0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>
        <v>0</v>
      </c>
      <c r="AD14" s="103">
        <v>0</v>
      </c>
      <c r="AE14" s="103">
        <v>0</v>
      </c>
    </row>
    <row r="15" spans="1:31" customFormat="1" x14ac:dyDescent="0.15">
      <c r="A15" s="182" t="s">
        <v>205</v>
      </c>
      <c r="B15" s="103">
        <v>0</v>
      </c>
      <c r="C15" s="103">
        <v>0</v>
      </c>
      <c r="D15" s="103">
        <v>0.8</v>
      </c>
      <c r="E15" s="103">
        <v>0.8</v>
      </c>
      <c r="F15" s="103">
        <v>0</v>
      </c>
      <c r="G15" s="103">
        <v>0</v>
      </c>
      <c r="H15" s="103">
        <v>0</v>
      </c>
      <c r="I15" s="103">
        <v>0</v>
      </c>
      <c r="J15" s="103">
        <v>0</v>
      </c>
      <c r="K15" s="103">
        <v>0</v>
      </c>
      <c r="L15" s="103">
        <v>0</v>
      </c>
      <c r="M15" s="103">
        <v>0</v>
      </c>
      <c r="N15" s="103">
        <v>0</v>
      </c>
      <c r="O15" s="103">
        <v>0</v>
      </c>
      <c r="P15" s="103">
        <v>0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>
        <v>0</v>
      </c>
      <c r="AD15" s="103">
        <v>0</v>
      </c>
      <c r="AE15" s="103">
        <v>0</v>
      </c>
    </row>
    <row r="16" spans="1:31" customFormat="1" x14ac:dyDescent="0.15">
      <c r="A16" s="182" t="s">
        <v>206</v>
      </c>
      <c r="B16" s="103">
        <v>0</v>
      </c>
      <c r="C16" s="103">
        <v>0</v>
      </c>
      <c r="D16" s="103">
        <v>0</v>
      </c>
      <c r="E16" s="103">
        <v>0</v>
      </c>
      <c r="F16" s="103">
        <v>0</v>
      </c>
      <c r="G16" s="103">
        <v>0</v>
      </c>
      <c r="H16" s="103">
        <v>0</v>
      </c>
      <c r="I16" s="103">
        <v>0</v>
      </c>
      <c r="J16" s="103">
        <v>0</v>
      </c>
      <c r="K16" s="103">
        <v>0</v>
      </c>
      <c r="L16" s="103">
        <v>0</v>
      </c>
      <c r="M16" s="103">
        <v>0</v>
      </c>
      <c r="N16" s="103">
        <v>0</v>
      </c>
      <c r="O16" s="103">
        <v>0</v>
      </c>
      <c r="P16" s="103">
        <v>0</v>
      </c>
      <c r="Q16" s="103">
        <v>0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>
        <v>0</v>
      </c>
      <c r="AD16" s="103">
        <v>0</v>
      </c>
      <c r="AE16" s="103">
        <v>0</v>
      </c>
    </row>
    <row r="17" spans="1:31" customFormat="1" x14ac:dyDescent="0.15">
      <c r="A17" s="182" t="s">
        <v>207</v>
      </c>
      <c r="B17" s="103">
        <v>0</v>
      </c>
      <c r="C17" s="103">
        <v>0</v>
      </c>
      <c r="D17" s="103">
        <v>0</v>
      </c>
      <c r="E17" s="103">
        <v>0.8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0</v>
      </c>
      <c r="L17" s="103">
        <v>0</v>
      </c>
      <c r="M17" s="103">
        <v>0</v>
      </c>
      <c r="N17" s="103">
        <v>0</v>
      </c>
      <c r="O17" s="103">
        <v>0</v>
      </c>
      <c r="P17" s="103">
        <v>0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>
        <v>0</v>
      </c>
      <c r="AD17" s="103">
        <v>0</v>
      </c>
      <c r="AE17" s="103">
        <v>0</v>
      </c>
    </row>
    <row r="18" spans="1:31" customFormat="1" x14ac:dyDescent="0.15">
      <c r="A18" s="182" t="s">
        <v>208</v>
      </c>
      <c r="B18" s="103">
        <v>0</v>
      </c>
      <c r="C18" s="103">
        <v>0</v>
      </c>
      <c r="D18" s="103">
        <v>0.8</v>
      </c>
      <c r="E18" s="103">
        <v>0.8</v>
      </c>
      <c r="F18" s="103">
        <v>0</v>
      </c>
      <c r="G18" s="103">
        <v>0</v>
      </c>
      <c r="H18" s="103">
        <v>0.8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103">
        <v>0</v>
      </c>
      <c r="O18" s="103">
        <v>0</v>
      </c>
      <c r="P18" s="103">
        <v>0</v>
      </c>
      <c r="Q18" s="103">
        <v>0</v>
      </c>
      <c r="R18" s="103">
        <v>0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>
        <v>0</v>
      </c>
      <c r="AD18" s="103">
        <v>0</v>
      </c>
      <c r="AE18" s="103">
        <v>0</v>
      </c>
    </row>
    <row r="19" spans="1:31" customFormat="1" x14ac:dyDescent="0.15">
      <c r="A19" s="182" t="s">
        <v>209</v>
      </c>
      <c r="B19" s="103">
        <v>0</v>
      </c>
      <c r="C19" s="103">
        <v>0</v>
      </c>
      <c r="D19" s="103">
        <v>0</v>
      </c>
      <c r="E19" s="103">
        <v>0</v>
      </c>
      <c r="F19" s="103">
        <v>0</v>
      </c>
      <c r="G19" s="103">
        <v>0</v>
      </c>
      <c r="H19" s="103">
        <v>0</v>
      </c>
      <c r="I19" s="103">
        <v>0</v>
      </c>
      <c r="J19" s="103">
        <v>0</v>
      </c>
      <c r="K19" s="103">
        <v>0</v>
      </c>
      <c r="L19" s="103">
        <v>0</v>
      </c>
      <c r="M19" s="103">
        <v>0</v>
      </c>
      <c r="N19" s="103">
        <v>0</v>
      </c>
      <c r="O19" s="103">
        <v>0</v>
      </c>
      <c r="P19" s="103">
        <v>0</v>
      </c>
      <c r="Q19" s="103">
        <v>0</v>
      </c>
      <c r="R19" s="103">
        <v>0</v>
      </c>
      <c r="S19" s="103">
        <v>0</v>
      </c>
      <c r="T19" s="103">
        <v>0</v>
      </c>
      <c r="U19" s="103">
        <v>0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>
        <v>0</v>
      </c>
      <c r="AD19" s="103">
        <v>0</v>
      </c>
      <c r="AE19" s="103">
        <v>0</v>
      </c>
    </row>
    <row r="20" spans="1:31" customFormat="1" x14ac:dyDescent="0.15">
      <c r="A20" s="182" t="s">
        <v>210</v>
      </c>
      <c r="B20" s="103">
        <v>0</v>
      </c>
      <c r="C20" s="103">
        <v>0.8</v>
      </c>
      <c r="D20" s="103">
        <v>0.8</v>
      </c>
      <c r="E20" s="103">
        <v>0</v>
      </c>
      <c r="F20" s="103">
        <v>0.8</v>
      </c>
      <c r="G20" s="103">
        <v>0</v>
      </c>
      <c r="H20" s="103">
        <v>0.8</v>
      </c>
      <c r="I20" s="103">
        <v>0.8</v>
      </c>
      <c r="J20" s="103">
        <v>0.8</v>
      </c>
      <c r="K20" s="103">
        <v>0.8</v>
      </c>
      <c r="L20" s="103">
        <v>0.8</v>
      </c>
      <c r="M20" s="103">
        <v>0.8</v>
      </c>
      <c r="N20" s="103">
        <v>0</v>
      </c>
      <c r="O20" s="103">
        <v>0</v>
      </c>
      <c r="P20" s="103">
        <v>0</v>
      </c>
      <c r="Q20" s="103">
        <v>0</v>
      </c>
      <c r="R20" s="103">
        <v>0</v>
      </c>
      <c r="S20" s="103">
        <v>0</v>
      </c>
      <c r="T20" s="103">
        <v>0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>
        <v>0</v>
      </c>
      <c r="AD20" s="103">
        <v>0</v>
      </c>
      <c r="AE20" s="103">
        <v>0</v>
      </c>
    </row>
    <row r="21" spans="1:31" customFormat="1" x14ac:dyDescent="0.15">
      <c r="A21" s="182" t="s">
        <v>211</v>
      </c>
      <c r="B21" s="103">
        <v>0</v>
      </c>
      <c r="C21" s="103">
        <v>0.8</v>
      </c>
      <c r="D21" s="103">
        <v>0.8</v>
      </c>
      <c r="E21" s="103">
        <v>0</v>
      </c>
      <c r="F21" s="103">
        <v>0.8</v>
      </c>
      <c r="G21" s="103">
        <v>0</v>
      </c>
      <c r="H21" s="103">
        <v>0.8</v>
      </c>
      <c r="I21" s="103">
        <v>0.8</v>
      </c>
      <c r="J21" s="103">
        <v>0.8</v>
      </c>
      <c r="K21" s="103">
        <v>0.8</v>
      </c>
      <c r="L21" s="103">
        <v>0.8</v>
      </c>
      <c r="M21" s="103">
        <v>0.8</v>
      </c>
      <c r="N21" s="103">
        <v>0</v>
      </c>
      <c r="O21" s="103">
        <v>0</v>
      </c>
      <c r="P21" s="103">
        <v>0</v>
      </c>
      <c r="Q21" s="103">
        <v>0</v>
      </c>
      <c r="R21" s="103">
        <v>0</v>
      </c>
      <c r="S21" s="103">
        <v>0</v>
      </c>
      <c r="T21" s="103">
        <v>0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>
        <v>0</v>
      </c>
      <c r="AD21" s="103">
        <v>0</v>
      </c>
      <c r="AE21" s="103">
        <v>0</v>
      </c>
    </row>
    <row r="22" spans="1:31" customFormat="1" x14ac:dyDescent="0.15">
      <c r="A22" s="182" t="s">
        <v>212</v>
      </c>
      <c r="B22" s="103">
        <v>0</v>
      </c>
      <c r="C22" s="103">
        <v>0</v>
      </c>
      <c r="D22" s="103">
        <v>0</v>
      </c>
      <c r="E22" s="103">
        <v>0.8</v>
      </c>
      <c r="F22" s="103">
        <v>0</v>
      </c>
      <c r="G22" s="103">
        <v>0.8</v>
      </c>
      <c r="H22" s="103">
        <v>0</v>
      </c>
      <c r="I22" s="103">
        <v>0</v>
      </c>
      <c r="J22" s="103">
        <v>0</v>
      </c>
      <c r="K22" s="103">
        <v>0.8</v>
      </c>
      <c r="L22" s="103">
        <v>0</v>
      </c>
      <c r="M22" s="103">
        <v>0.8</v>
      </c>
      <c r="N22" s="103">
        <v>0</v>
      </c>
      <c r="O22" s="103">
        <v>0.8</v>
      </c>
      <c r="P22" s="103">
        <v>0</v>
      </c>
      <c r="Q22" s="103">
        <v>0</v>
      </c>
      <c r="R22" s="103">
        <v>0</v>
      </c>
      <c r="S22" s="103">
        <v>0</v>
      </c>
      <c r="T22" s="103">
        <v>0</v>
      </c>
      <c r="U22" s="103">
        <v>0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>
        <v>0</v>
      </c>
      <c r="AD22" s="103">
        <v>0</v>
      </c>
      <c r="AE22" s="103">
        <v>0</v>
      </c>
    </row>
    <row r="23" spans="1:31" customFormat="1" x14ac:dyDescent="0.15">
      <c r="A23" s="182" t="s">
        <v>213</v>
      </c>
      <c r="B23" s="103">
        <v>0</v>
      </c>
      <c r="C23" s="103">
        <v>0</v>
      </c>
      <c r="D23" s="103">
        <v>0</v>
      </c>
      <c r="E23" s="103">
        <v>0</v>
      </c>
      <c r="F23" s="103">
        <v>0</v>
      </c>
      <c r="G23" s="103">
        <v>0</v>
      </c>
      <c r="H23" s="103">
        <v>0</v>
      </c>
      <c r="I23" s="103">
        <v>0</v>
      </c>
      <c r="J23" s="103">
        <v>0</v>
      </c>
      <c r="K23" s="103">
        <v>0</v>
      </c>
      <c r="L23" s="103">
        <v>0</v>
      </c>
      <c r="M23" s="103">
        <v>0</v>
      </c>
      <c r="N23" s="103">
        <v>0</v>
      </c>
      <c r="O23" s="103">
        <v>0.8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0</v>
      </c>
      <c r="V23" s="103">
        <v>0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  <c r="AC23" s="103">
        <v>0</v>
      </c>
      <c r="AD23" s="103">
        <v>0</v>
      </c>
      <c r="AE23" s="103">
        <v>0</v>
      </c>
    </row>
    <row r="24" spans="1:31" customFormat="1" x14ac:dyDescent="0.15">
      <c r="A24" s="182" t="s">
        <v>214</v>
      </c>
      <c r="B24" s="103">
        <v>0</v>
      </c>
      <c r="C24" s="103">
        <v>0</v>
      </c>
      <c r="D24" s="103">
        <v>0</v>
      </c>
      <c r="E24" s="103">
        <v>0.8</v>
      </c>
      <c r="F24" s="103">
        <v>0</v>
      </c>
      <c r="G24" s="103">
        <v>0.8</v>
      </c>
      <c r="H24" s="103">
        <v>0</v>
      </c>
      <c r="I24" s="103">
        <v>0</v>
      </c>
      <c r="J24" s="103">
        <v>0</v>
      </c>
      <c r="K24" s="103">
        <v>0.8</v>
      </c>
      <c r="L24" s="103">
        <v>0.8</v>
      </c>
      <c r="M24" s="103">
        <v>0.8</v>
      </c>
      <c r="N24" s="103">
        <v>0.8</v>
      </c>
      <c r="O24" s="103">
        <v>0.8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0</v>
      </c>
      <c r="W24" s="103">
        <v>0</v>
      </c>
      <c r="X24" s="103">
        <v>0</v>
      </c>
      <c r="Y24" s="103">
        <v>0</v>
      </c>
      <c r="Z24" s="103">
        <v>0</v>
      </c>
      <c r="AA24" s="103">
        <v>0</v>
      </c>
      <c r="AB24" s="103">
        <v>0</v>
      </c>
      <c r="AC24" s="103">
        <v>0</v>
      </c>
      <c r="AD24" s="103">
        <v>0</v>
      </c>
      <c r="AE24" s="103">
        <v>0</v>
      </c>
    </row>
    <row r="25" spans="1:31" customFormat="1" x14ac:dyDescent="0.15">
      <c r="A25" s="182" t="s">
        <v>215</v>
      </c>
      <c r="B25" s="103">
        <v>0</v>
      </c>
      <c r="C25" s="103">
        <v>0.8</v>
      </c>
      <c r="D25" s="103">
        <v>0</v>
      </c>
      <c r="E25" s="103">
        <v>0</v>
      </c>
      <c r="F25" s="103">
        <v>0.8</v>
      </c>
      <c r="G25" s="103">
        <v>0.8</v>
      </c>
      <c r="H25" s="103">
        <v>0</v>
      </c>
      <c r="I25" s="103">
        <v>0</v>
      </c>
      <c r="J25" s="103">
        <v>0</v>
      </c>
      <c r="K25" s="103">
        <v>0</v>
      </c>
      <c r="L25" s="103">
        <v>0.8</v>
      </c>
      <c r="M25" s="103">
        <v>0.8</v>
      </c>
      <c r="N25" s="103">
        <v>0.8</v>
      </c>
      <c r="O25" s="103">
        <v>0.8</v>
      </c>
      <c r="P25" s="103">
        <v>0.8</v>
      </c>
      <c r="Q25" s="103">
        <v>0.8</v>
      </c>
      <c r="R25" s="103">
        <v>0.8</v>
      </c>
      <c r="S25" s="103">
        <v>0</v>
      </c>
      <c r="T25" s="103">
        <v>0</v>
      </c>
      <c r="U25" s="103">
        <v>0</v>
      </c>
      <c r="V25" s="103">
        <v>0.8</v>
      </c>
      <c r="W25" s="103">
        <v>0.8</v>
      </c>
      <c r="X25" s="103">
        <v>0.8</v>
      </c>
      <c r="Y25" s="103">
        <v>0.8</v>
      </c>
      <c r="Z25" s="103">
        <v>0.8</v>
      </c>
      <c r="AA25" s="103">
        <v>0</v>
      </c>
      <c r="AB25" s="103">
        <v>0</v>
      </c>
      <c r="AC25" s="103">
        <v>0</v>
      </c>
      <c r="AD25" s="103">
        <v>0</v>
      </c>
      <c r="AE25" s="103">
        <v>0</v>
      </c>
    </row>
    <row r="26" spans="1:31" customFormat="1" x14ac:dyDescent="0.15">
      <c r="A26" s="182" t="s">
        <v>216</v>
      </c>
      <c r="B26" s="103">
        <v>0</v>
      </c>
      <c r="C26" s="103">
        <v>0.8</v>
      </c>
      <c r="D26" s="103">
        <v>0</v>
      </c>
      <c r="E26" s="103">
        <v>0.8</v>
      </c>
      <c r="F26" s="103">
        <v>0</v>
      </c>
      <c r="G26" s="103">
        <v>0.8</v>
      </c>
      <c r="H26" s="103">
        <v>0.8</v>
      </c>
      <c r="I26" s="103">
        <v>0</v>
      </c>
      <c r="J26" s="103">
        <v>0</v>
      </c>
      <c r="K26" s="103">
        <v>0</v>
      </c>
      <c r="L26" s="103">
        <v>0.8</v>
      </c>
      <c r="M26" s="103">
        <v>0.8</v>
      </c>
      <c r="N26" s="103">
        <v>0.8</v>
      </c>
      <c r="O26" s="103">
        <v>0.8</v>
      </c>
      <c r="P26" s="103">
        <v>0.8</v>
      </c>
      <c r="Q26" s="103">
        <v>0.8</v>
      </c>
      <c r="R26" s="103">
        <v>0.8</v>
      </c>
      <c r="S26" s="103">
        <v>0</v>
      </c>
      <c r="T26" s="103">
        <v>0</v>
      </c>
      <c r="U26" s="103">
        <v>0</v>
      </c>
      <c r="V26" s="103">
        <v>0</v>
      </c>
      <c r="W26" s="103">
        <v>0</v>
      </c>
      <c r="X26" s="103">
        <v>0</v>
      </c>
      <c r="Y26" s="103">
        <v>0</v>
      </c>
      <c r="Z26" s="103">
        <v>0</v>
      </c>
      <c r="AA26" s="103">
        <v>0</v>
      </c>
      <c r="AB26" s="103">
        <v>0</v>
      </c>
      <c r="AC26" s="103">
        <v>0</v>
      </c>
      <c r="AD26" s="103">
        <v>0</v>
      </c>
      <c r="AE26" s="103">
        <v>0</v>
      </c>
    </row>
    <row r="27" spans="1:31" customFormat="1" x14ac:dyDescent="0.15">
      <c r="A27" s="182" t="s">
        <v>217</v>
      </c>
      <c r="B27" s="103">
        <v>0</v>
      </c>
      <c r="C27" s="103">
        <v>0</v>
      </c>
      <c r="D27" s="103">
        <v>0</v>
      </c>
      <c r="E27" s="103">
        <v>0</v>
      </c>
      <c r="F27" s="103">
        <v>0</v>
      </c>
      <c r="G27" s="103">
        <v>0</v>
      </c>
      <c r="H27" s="103">
        <v>0</v>
      </c>
      <c r="I27" s="103">
        <v>0</v>
      </c>
      <c r="J27" s="103">
        <v>0</v>
      </c>
      <c r="K27" s="103">
        <v>0</v>
      </c>
      <c r="L27" s="103">
        <v>0</v>
      </c>
      <c r="M27" s="103">
        <v>0</v>
      </c>
      <c r="N27" s="103">
        <v>0</v>
      </c>
      <c r="O27" s="103">
        <v>0.8</v>
      </c>
      <c r="P27" s="103">
        <v>0</v>
      </c>
      <c r="Q27" s="103">
        <v>0.8</v>
      </c>
      <c r="R27" s="103">
        <v>0</v>
      </c>
      <c r="S27" s="103">
        <v>0</v>
      </c>
      <c r="T27" s="103">
        <v>0</v>
      </c>
      <c r="U27" s="103">
        <v>0</v>
      </c>
      <c r="V27" s="103">
        <v>0</v>
      </c>
      <c r="W27" s="103">
        <v>0</v>
      </c>
      <c r="X27" s="103">
        <v>0</v>
      </c>
      <c r="Y27" s="103">
        <v>0.8</v>
      </c>
      <c r="Z27" s="103">
        <v>0</v>
      </c>
      <c r="AA27" s="103">
        <v>0</v>
      </c>
      <c r="AB27" s="103">
        <v>0</v>
      </c>
      <c r="AC27" s="103">
        <v>0</v>
      </c>
      <c r="AD27" s="103">
        <v>0</v>
      </c>
      <c r="AE27" s="103">
        <v>0</v>
      </c>
    </row>
    <row r="28" spans="1:31" customFormat="1" x14ac:dyDescent="0.15">
      <c r="A28" s="182" t="s">
        <v>218</v>
      </c>
      <c r="B28" s="103">
        <v>0</v>
      </c>
      <c r="C28" s="103">
        <v>0</v>
      </c>
      <c r="D28" s="103">
        <v>0.8</v>
      </c>
      <c r="E28" s="103">
        <v>0.8</v>
      </c>
      <c r="F28" s="103">
        <v>0.8</v>
      </c>
      <c r="G28" s="103">
        <v>0.8</v>
      </c>
      <c r="H28" s="103">
        <v>0.8</v>
      </c>
      <c r="I28" s="103">
        <v>0.8</v>
      </c>
      <c r="J28" s="103">
        <v>0.8</v>
      </c>
      <c r="K28" s="103">
        <v>0.8</v>
      </c>
      <c r="L28" s="103">
        <v>0.8</v>
      </c>
      <c r="M28" s="103">
        <v>0.8</v>
      </c>
      <c r="N28" s="103">
        <v>0.8</v>
      </c>
      <c r="O28" s="103">
        <v>0</v>
      </c>
      <c r="P28" s="103">
        <v>0</v>
      </c>
      <c r="Q28" s="103">
        <v>0</v>
      </c>
      <c r="R28" s="103">
        <v>0.8</v>
      </c>
      <c r="S28" s="103">
        <v>0.8</v>
      </c>
      <c r="T28" s="103">
        <v>0.8</v>
      </c>
      <c r="U28" s="103">
        <v>0.8</v>
      </c>
      <c r="V28" s="103">
        <v>0.8</v>
      </c>
      <c r="W28" s="103">
        <v>0</v>
      </c>
      <c r="X28" s="103">
        <v>0.8</v>
      </c>
      <c r="Y28" s="103">
        <v>0.8</v>
      </c>
      <c r="Z28" s="103">
        <v>0.8</v>
      </c>
      <c r="AA28" s="103">
        <v>0.8</v>
      </c>
      <c r="AB28" s="103">
        <v>0.8</v>
      </c>
      <c r="AC28" s="103">
        <v>0</v>
      </c>
      <c r="AD28" s="103">
        <v>0</v>
      </c>
      <c r="AE28" s="103">
        <v>0</v>
      </c>
    </row>
    <row r="29" spans="1:31" customFormat="1" x14ac:dyDescent="0.15">
      <c r="A29" s="182" t="s">
        <v>219</v>
      </c>
      <c r="B29" s="103">
        <v>0</v>
      </c>
      <c r="C29" s="103">
        <v>0</v>
      </c>
      <c r="D29" s="103">
        <v>0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103">
        <v>0</v>
      </c>
      <c r="O29" s="103">
        <v>0</v>
      </c>
      <c r="P29" s="103">
        <v>0</v>
      </c>
      <c r="Q29" s="103">
        <v>0</v>
      </c>
      <c r="R29" s="103">
        <v>0</v>
      </c>
      <c r="S29" s="103">
        <v>0</v>
      </c>
      <c r="T29" s="103">
        <v>0.8</v>
      </c>
      <c r="U29" s="103">
        <v>0.8</v>
      </c>
      <c r="V29" s="103">
        <v>0.8</v>
      </c>
      <c r="W29" s="103">
        <v>0</v>
      </c>
      <c r="X29" s="103">
        <v>0.8</v>
      </c>
      <c r="Y29" s="103">
        <v>0.8</v>
      </c>
      <c r="Z29" s="103">
        <v>0</v>
      </c>
      <c r="AA29" s="103">
        <v>0.8</v>
      </c>
      <c r="AB29" s="103">
        <v>0.8</v>
      </c>
      <c r="AC29" s="103">
        <v>0</v>
      </c>
      <c r="AD29" s="103">
        <v>0</v>
      </c>
      <c r="AE29" s="103">
        <v>0</v>
      </c>
    </row>
    <row r="30" spans="1:31" customFormat="1" x14ac:dyDescent="0.15">
      <c r="A30" s="182" t="s">
        <v>220</v>
      </c>
      <c r="B30" s="103">
        <v>0</v>
      </c>
      <c r="C30" s="103">
        <v>0</v>
      </c>
      <c r="D30" s="103">
        <v>0</v>
      </c>
      <c r="E30" s="103">
        <v>0</v>
      </c>
      <c r="F30" s="103">
        <v>0</v>
      </c>
      <c r="G30" s="103">
        <v>0</v>
      </c>
      <c r="H30" s="103">
        <v>0</v>
      </c>
      <c r="I30" s="103">
        <v>0</v>
      </c>
      <c r="J30" s="103">
        <v>0</v>
      </c>
      <c r="K30" s="103">
        <v>0</v>
      </c>
      <c r="L30" s="103">
        <v>0</v>
      </c>
      <c r="M30" s="103">
        <v>0</v>
      </c>
      <c r="N30" s="103">
        <v>0</v>
      </c>
      <c r="O30" s="103">
        <v>0.8</v>
      </c>
      <c r="P30" s="103">
        <v>0.8</v>
      </c>
      <c r="Q30" s="103">
        <v>0.8</v>
      </c>
      <c r="R30" s="103">
        <v>0.8</v>
      </c>
      <c r="S30" s="103">
        <v>0</v>
      </c>
      <c r="T30" s="103">
        <v>0</v>
      </c>
      <c r="U30" s="103">
        <v>0</v>
      </c>
      <c r="V30" s="103">
        <v>0</v>
      </c>
      <c r="W30" s="103">
        <v>0.8</v>
      </c>
      <c r="X30" s="103">
        <v>0.8</v>
      </c>
      <c r="Y30" s="103">
        <v>0.8</v>
      </c>
      <c r="Z30" s="103">
        <v>0.8</v>
      </c>
      <c r="AA30" s="103">
        <v>0</v>
      </c>
      <c r="AB30" s="103">
        <v>0.8</v>
      </c>
      <c r="AC30" s="103">
        <v>0</v>
      </c>
      <c r="AD30" s="103">
        <v>0</v>
      </c>
      <c r="AE30" s="103">
        <v>0</v>
      </c>
    </row>
    <row r="31" spans="1:31" customFormat="1" x14ac:dyDescent="0.15">
      <c r="A31" s="182" t="s">
        <v>221</v>
      </c>
      <c r="B31" s="103">
        <v>0</v>
      </c>
      <c r="C31" s="103">
        <v>0</v>
      </c>
      <c r="D31" s="103">
        <v>0</v>
      </c>
      <c r="E31" s="103">
        <v>0</v>
      </c>
      <c r="F31" s="103">
        <v>0</v>
      </c>
      <c r="G31" s="103">
        <v>0</v>
      </c>
      <c r="H31" s="103">
        <v>0</v>
      </c>
      <c r="I31" s="103">
        <v>0</v>
      </c>
      <c r="J31" s="103">
        <v>0</v>
      </c>
      <c r="K31" s="103">
        <v>0</v>
      </c>
      <c r="L31" s="103">
        <v>0</v>
      </c>
      <c r="M31" s="103">
        <v>0</v>
      </c>
      <c r="N31" s="103">
        <v>0</v>
      </c>
      <c r="O31" s="103">
        <v>0</v>
      </c>
      <c r="P31" s="103">
        <v>0</v>
      </c>
      <c r="Q31" s="103">
        <v>0</v>
      </c>
      <c r="R31" s="103">
        <v>0</v>
      </c>
      <c r="S31" s="103">
        <v>0</v>
      </c>
      <c r="T31" s="103">
        <v>0</v>
      </c>
      <c r="U31" s="103">
        <v>0</v>
      </c>
      <c r="V31" s="103">
        <v>0</v>
      </c>
      <c r="W31" s="103">
        <v>0</v>
      </c>
      <c r="X31" s="103">
        <v>0</v>
      </c>
      <c r="Y31" s="103">
        <v>0</v>
      </c>
      <c r="Z31" s="103">
        <v>0</v>
      </c>
      <c r="AA31" s="103">
        <v>0</v>
      </c>
      <c r="AB31" s="103">
        <v>0</v>
      </c>
      <c r="AC31" s="103">
        <v>0</v>
      </c>
      <c r="AD31" s="103">
        <v>0</v>
      </c>
      <c r="AE31" s="103">
        <v>0</v>
      </c>
    </row>
    <row r="32" spans="1:31" customFormat="1" x14ac:dyDescent="0.15">
      <c r="A32" s="182" t="s">
        <v>224</v>
      </c>
      <c r="B32" s="103">
        <v>0</v>
      </c>
      <c r="C32" s="103">
        <v>0</v>
      </c>
      <c r="D32" s="103">
        <v>0</v>
      </c>
      <c r="E32" s="103">
        <v>0</v>
      </c>
      <c r="F32" s="103">
        <v>0</v>
      </c>
      <c r="G32" s="103">
        <v>0</v>
      </c>
      <c r="H32" s="103">
        <v>0</v>
      </c>
      <c r="I32" s="103">
        <v>0</v>
      </c>
      <c r="J32" s="103">
        <v>0</v>
      </c>
      <c r="K32" s="103">
        <v>0</v>
      </c>
      <c r="L32" s="103">
        <v>0</v>
      </c>
      <c r="M32" s="103">
        <v>0</v>
      </c>
      <c r="N32" s="103">
        <v>0</v>
      </c>
      <c r="O32" s="103">
        <v>0</v>
      </c>
      <c r="P32" s="103">
        <v>0</v>
      </c>
      <c r="Q32" s="103">
        <v>0</v>
      </c>
      <c r="R32" s="103">
        <v>0</v>
      </c>
      <c r="S32" s="103">
        <v>0</v>
      </c>
      <c r="T32" s="103">
        <v>0</v>
      </c>
      <c r="U32" s="103">
        <v>0</v>
      </c>
      <c r="V32" s="103">
        <v>0</v>
      </c>
      <c r="W32" s="103">
        <v>0</v>
      </c>
      <c r="X32" s="103">
        <v>0</v>
      </c>
      <c r="Y32" s="103">
        <v>0</v>
      </c>
      <c r="Z32" s="103">
        <v>0</v>
      </c>
      <c r="AA32" s="103">
        <v>0</v>
      </c>
      <c r="AB32" s="103">
        <v>0</v>
      </c>
      <c r="AC32" s="103">
        <v>0</v>
      </c>
      <c r="AD32" s="103">
        <v>0</v>
      </c>
      <c r="AE32" s="10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2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31" width="2.33203125" style="103" customWidth="1"/>
    <col min="32" max="16384" width="10.83203125" style="103"/>
  </cols>
  <sheetData>
    <row r="1" spans="1:31" x14ac:dyDescent="0.15">
      <c r="A1" s="61" t="s">
        <v>139</v>
      </c>
      <c r="B1" s="185" t="s">
        <v>192</v>
      </c>
      <c r="C1" s="185" t="s">
        <v>193</v>
      </c>
      <c r="D1" s="185" t="s">
        <v>194</v>
      </c>
      <c r="E1" s="185" t="s">
        <v>195</v>
      </c>
      <c r="F1" s="185" t="s">
        <v>196</v>
      </c>
      <c r="G1" s="185" t="s">
        <v>197</v>
      </c>
      <c r="H1" s="185" t="s">
        <v>198</v>
      </c>
      <c r="I1" s="185" t="s">
        <v>199</v>
      </c>
      <c r="J1" s="185" t="s">
        <v>200</v>
      </c>
      <c r="K1" s="185" t="s">
        <v>201</v>
      </c>
      <c r="L1" s="185" t="s">
        <v>202</v>
      </c>
      <c r="M1" s="185" t="s">
        <v>203</v>
      </c>
      <c r="N1" s="185" t="s">
        <v>204</v>
      </c>
      <c r="O1" s="185" t="s">
        <v>205</v>
      </c>
      <c r="P1" s="185" t="s">
        <v>206</v>
      </c>
      <c r="Q1" s="185" t="s">
        <v>207</v>
      </c>
      <c r="R1" s="185" t="s">
        <v>208</v>
      </c>
      <c r="S1" s="185" t="s">
        <v>209</v>
      </c>
      <c r="T1" s="185" t="s">
        <v>210</v>
      </c>
      <c r="U1" s="185" t="s">
        <v>211</v>
      </c>
      <c r="V1" s="185" t="s">
        <v>212</v>
      </c>
      <c r="W1" s="185" t="s">
        <v>213</v>
      </c>
      <c r="X1" s="185" t="s">
        <v>214</v>
      </c>
      <c r="Y1" s="185" t="s">
        <v>215</v>
      </c>
      <c r="Z1" s="185" t="s">
        <v>216</v>
      </c>
      <c r="AA1" s="185" t="s">
        <v>217</v>
      </c>
      <c r="AB1" s="185" t="s">
        <v>218</v>
      </c>
      <c r="AC1" s="185" t="s">
        <v>219</v>
      </c>
      <c r="AD1" s="185" t="s">
        <v>220</v>
      </c>
      <c r="AE1" s="185" t="s">
        <v>221</v>
      </c>
    </row>
    <row r="2" spans="1:31" customFormat="1" x14ac:dyDescent="0.15">
      <c r="A2" s="184" t="s">
        <v>192</v>
      </c>
      <c r="B2" s="103">
        <v>0</v>
      </c>
      <c r="C2" s="103">
        <v>0</v>
      </c>
      <c r="D2" s="103">
        <v>0</v>
      </c>
      <c r="E2" s="103">
        <v>0</v>
      </c>
      <c r="F2" s="103">
        <v>0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  <c r="X2" s="103">
        <v>0</v>
      </c>
      <c r="Y2" s="103">
        <v>0</v>
      </c>
      <c r="Z2" s="103">
        <v>0</v>
      </c>
      <c r="AA2" s="103">
        <v>0</v>
      </c>
      <c r="AB2" s="103">
        <v>0</v>
      </c>
      <c r="AC2" s="103">
        <v>0</v>
      </c>
      <c r="AD2" s="103">
        <v>0</v>
      </c>
      <c r="AE2" s="103">
        <v>0</v>
      </c>
    </row>
    <row r="3" spans="1:31" customFormat="1" x14ac:dyDescent="0.15">
      <c r="A3" s="184" t="s">
        <v>193</v>
      </c>
      <c r="B3" s="103">
        <v>0</v>
      </c>
      <c r="C3" s="103">
        <v>0</v>
      </c>
      <c r="D3" s="103">
        <v>0</v>
      </c>
      <c r="E3" s="103">
        <v>0</v>
      </c>
      <c r="F3" s="103">
        <v>0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  <c r="X3" s="103">
        <v>0</v>
      </c>
      <c r="Y3" s="103">
        <v>0</v>
      </c>
      <c r="Z3" s="103">
        <v>0</v>
      </c>
      <c r="AA3" s="103">
        <v>0</v>
      </c>
      <c r="AB3" s="103">
        <v>0</v>
      </c>
      <c r="AC3" s="103">
        <v>0</v>
      </c>
      <c r="AD3" s="103">
        <v>0</v>
      </c>
      <c r="AE3" s="103">
        <v>0</v>
      </c>
    </row>
    <row r="4" spans="1:31" customFormat="1" x14ac:dyDescent="0.15">
      <c r="A4" s="184" t="s">
        <v>194</v>
      </c>
      <c r="B4" s="103">
        <v>1</v>
      </c>
      <c r="C4" s="103">
        <v>1</v>
      </c>
      <c r="D4" s="103">
        <v>0</v>
      </c>
      <c r="E4" s="103">
        <v>0</v>
      </c>
      <c r="F4" s="103">
        <v>0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0</v>
      </c>
      <c r="U4" s="103">
        <v>0</v>
      </c>
      <c r="V4" s="103">
        <v>0</v>
      </c>
      <c r="W4" s="103">
        <v>0</v>
      </c>
      <c r="X4" s="103">
        <v>0</v>
      </c>
      <c r="Y4" s="103">
        <v>0</v>
      </c>
      <c r="Z4" s="103">
        <v>0</v>
      </c>
      <c r="AA4" s="103">
        <v>0</v>
      </c>
      <c r="AB4" s="103">
        <v>0</v>
      </c>
      <c r="AC4" s="103">
        <v>0</v>
      </c>
      <c r="AD4" s="103">
        <v>0</v>
      </c>
      <c r="AE4" s="103">
        <v>0</v>
      </c>
    </row>
    <row r="5" spans="1:31" customFormat="1" x14ac:dyDescent="0.15">
      <c r="A5" s="184" t="s">
        <v>195</v>
      </c>
      <c r="B5" s="103">
        <v>1</v>
      </c>
      <c r="C5" s="103">
        <v>1</v>
      </c>
      <c r="D5" s="103">
        <v>0</v>
      </c>
      <c r="E5" s="103">
        <v>0</v>
      </c>
      <c r="F5" s="103">
        <v>0</v>
      </c>
      <c r="G5" s="103">
        <v>0</v>
      </c>
      <c r="H5" s="103">
        <v>0</v>
      </c>
      <c r="I5" s="103">
        <v>0</v>
      </c>
      <c r="J5" s="103">
        <v>0</v>
      </c>
      <c r="K5" s="103">
        <v>0</v>
      </c>
      <c r="L5" s="103">
        <v>0</v>
      </c>
      <c r="M5" s="103">
        <v>0</v>
      </c>
      <c r="N5" s="103">
        <v>0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0</v>
      </c>
      <c r="U5" s="103">
        <v>0</v>
      </c>
      <c r="V5" s="103">
        <v>0</v>
      </c>
      <c r="W5" s="103">
        <v>0</v>
      </c>
      <c r="X5" s="103">
        <v>0</v>
      </c>
      <c r="Y5" s="103">
        <v>0</v>
      </c>
      <c r="Z5" s="103">
        <v>0</v>
      </c>
      <c r="AA5" s="103">
        <v>0</v>
      </c>
      <c r="AB5" s="103">
        <v>0</v>
      </c>
      <c r="AC5" s="103">
        <v>0</v>
      </c>
      <c r="AD5" s="103">
        <v>0</v>
      </c>
      <c r="AE5" s="103">
        <v>0</v>
      </c>
    </row>
    <row r="6" spans="1:31" customFormat="1" x14ac:dyDescent="0.15">
      <c r="A6" s="184" t="s">
        <v>196</v>
      </c>
      <c r="B6" s="103">
        <v>1</v>
      </c>
      <c r="C6" s="103">
        <v>1</v>
      </c>
      <c r="D6" s="103">
        <v>0</v>
      </c>
      <c r="E6" s="103">
        <v>0</v>
      </c>
      <c r="F6" s="103">
        <v>0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>
        <v>0</v>
      </c>
      <c r="AC6" s="103">
        <v>0</v>
      </c>
      <c r="AD6" s="103">
        <v>0</v>
      </c>
      <c r="AE6" s="103">
        <v>0</v>
      </c>
    </row>
    <row r="7" spans="1:31" customFormat="1" x14ac:dyDescent="0.15">
      <c r="A7" s="184" t="s">
        <v>197</v>
      </c>
      <c r="B7" s="103">
        <v>0</v>
      </c>
      <c r="C7" s="103">
        <v>0</v>
      </c>
      <c r="D7" s="103">
        <v>1</v>
      </c>
      <c r="E7" s="103">
        <v>1</v>
      </c>
      <c r="F7" s="103">
        <v>1</v>
      </c>
      <c r="G7" s="103">
        <v>0</v>
      </c>
      <c r="H7" s="103">
        <v>0</v>
      </c>
      <c r="I7" s="103">
        <v>0</v>
      </c>
      <c r="J7" s="103">
        <v>0</v>
      </c>
      <c r="K7" s="103">
        <v>0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  <c r="AC7" s="103">
        <v>0</v>
      </c>
      <c r="AD7" s="103">
        <v>0</v>
      </c>
      <c r="AE7" s="103">
        <v>0</v>
      </c>
    </row>
    <row r="8" spans="1:31" customFormat="1" x14ac:dyDescent="0.15">
      <c r="A8" s="184" t="s">
        <v>198</v>
      </c>
      <c r="B8" s="103">
        <v>1</v>
      </c>
      <c r="C8" s="103">
        <v>1</v>
      </c>
      <c r="D8" s="103">
        <v>0</v>
      </c>
      <c r="E8" s="103">
        <v>0</v>
      </c>
      <c r="F8" s="103">
        <v>0</v>
      </c>
      <c r="G8" s="103">
        <v>0</v>
      </c>
      <c r="H8" s="103">
        <v>0</v>
      </c>
      <c r="I8" s="103">
        <v>0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>
        <v>0</v>
      </c>
      <c r="AD8" s="103">
        <v>0</v>
      </c>
      <c r="AE8" s="103">
        <v>0</v>
      </c>
    </row>
    <row r="9" spans="1:31" customFormat="1" x14ac:dyDescent="0.15">
      <c r="A9" s="184" t="s">
        <v>199</v>
      </c>
      <c r="B9" s="103">
        <v>0</v>
      </c>
      <c r="C9" s="103">
        <v>0</v>
      </c>
      <c r="D9" s="103">
        <v>0</v>
      </c>
      <c r="E9" s="103">
        <v>0</v>
      </c>
      <c r="F9" s="103">
        <v>1</v>
      </c>
      <c r="G9" s="103">
        <v>0</v>
      </c>
      <c r="H9" s="103">
        <v>0</v>
      </c>
      <c r="I9" s="103">
        <v>0</v>
      </c>
      <c r="J9" s="103">
        <v>0</v>
      </c>
      <c r="K9" s="103">
        <v>0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>
        <v>0</v>
      </c>
      <c r="AD9" s="103">
        <v>0</v>
      </c>
      <c r="AE9" s="103">
        <v>0</v>
      </c>
    </row>
    <row r="10" spans="1:31" customFormat="1" x14ac:dyDescent="0.15">
      <c r="A10" s="184" t="s">
        <v>200</v>
      </c>
      <c r="B10" s="103">
        <v>0</v>
      </c>
      <c r="C10" s="103">
        <v>0</v>
      </c>
      <c r="D10" s="103">
        <v>0</v>
      </c>
      <c r="E10" s="103">
        <v>0</v>
      </c>
      <c r="F10" s="103">
        <v>1</v>
      </c>
      <c r="G10" s="103">
        <v>0</v>
      </c>
      <c r="H10" s="103">
        <v>0</v>
      </c>
      <c r="I10" s="103">
        <v>0</v>
      </c>
      <c r="J10" s="103">
        <v>0</v>
      </c>
      <c r="K10" s="103">
        <v>0</v>
      </c>
      <c r="L10" s="103">
        <v>0</v>
      </c>
      <c r="M10" s="103">
        <v>0</v>
      </c>
      <c r="N10" s="103">
        <v>0</v>
      </c>
      <c r="O10" s="103">
        <v>0</v>
      </c>
      <c r="P10" s="103">
        <v>0</v>
      </c>
      <c r="Q10" s="103">
        <v>0</v>
      </c>
      <c r="R10" s="103">
        <v>0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>
        <v>0</v>
      </c>
      <c r="AD10" s="103">
        <v>0</v>
      </c>
      <c r="AE10" s="103">
        <v>0</v>
      </c>
    </row>
    <row r="11" spans="1:31" customFormat="1" x14ac:dyDescent="0.15">
      <c r="A11" s="184" t="s">
        <v>201</v>
      </c>
      <c r="B11" s="103">
        <v>0</v>
      </c>
      <c r="C11" s="103">
        <v>0</v>
      </c>
      <c r="D11" s="103">
        <v>0</v>
      </c>
      <c r="E11" s="103">
        <v>0</v>
      </c>
      <c r="F11" s="103">
        <v>1</v>
      </c>
      <c r="G11" s="103">
        <v>0</v>
      </c>
      <c r="H11" s="103">
        <v>0</v>
      </c>
      <c r="I11" s="103">
        <v>0</v>
      </c>
      <c r="J11" s="103">
        <v>0</v>
      </c>
      <c r="K11" s="103">
        <v>0</v>
      </c>
      <c r="L11" s="103">
        <v>0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>
        <v>0</v>
      </c>
      <c r="AD11" s="103">
        <v>0</v>
      </c>
      <c r="AE11" s="103">
        <v>0</v>
      </c>
    </row>
    <row r="12" spans="1:31" customFormat="1" x14ac:dyDescent="0.15">
      <c r="A12" s="184" t="s">
        <v>202</v>
      </c>
      <c r="B12" s="103">
        <v>1</v>
      </c>
      <c r="C12" s="103">
        <v>1</v>
      </c>
      <c r="D12" s="103">
        <v>1</v>
      </c>
      <c r="E12" s="103">
        <v>1</v>
      </c>
      <c r="F12" s="103">
        <v>1</v>
      </c>
      <c r="G12" s="103">
        <v>0</v>
      </c>
      <c r="H12" s="103">
        <v>1</v>
      </c>
      <c r="I12" s="103">
        <v>1</v>
      </c>
      <c r="J12" s="103">
        <v>1</v>
      </c>
      <c r="K12" s="103">
        <v>1</v>
      </c>
      <c r="L12" s="103">
        <v>0</v>
      </c>
      <c r="M12" s="103">
        <v>0</v>
      </c>
      <c r="N12" s="103">
        <v>0</v>
      </c>
      <c r="O12" s="103">
        <v>0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>
        <v>0</v>
      </c>
      <c r="AD12" s="103">
        <v>0</v>
      </c>
      <c r="AE12" s="103">
        <v>0</v>
      </c>
    </row>
    <row r="13" spans="1:31" customFormat="1" x14ac:dyDescent="0.15">
      <c r="A13" s="184" t="s">
        <v>203</v>
      </c>
      <c r="B13" s="103">
        <v>0</v>
      </c>
      <c r="C13" s="103">
        <v>0</v>
      </c>
      <c r="D13" s="103">
        <v>0</v>
      </c>
      <c r="E13" s="103">
        <v>1</v>
      </c>
      <c r="F13" s="103">
        <v>0</v>
      </c>
      <c r="G13" s="103">
        <v>1</v>
      </c>
      <c r="H13" s="103">
        <v>1</v>
      </c>
      <c r="I13" s="103">
        <v>0</v>
      </c>
      <c r="J13" s="103">
        <v>0</v>
      </c>
      <c r="K13" s="103">
        <v>0</v>
      </c>
      <c r="L13" s="103">
        <v>0</v>
      </c>
      <c r="M13" s="103">
        <v>1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>
        <v>0</v>
      </c>
      <c r="AD13" s="103">
        <v>0</v>
      </c>
      <c r="AE13" s="103">
        <v>0</v>
      </c>
    </row>
    <row r="14" spans="1:31" customFormat="1" x14ac:dyDescent="0.15">
      <c r="A14" s="184" t="s">
        <v>204</v>
      </c>
      <c r="B14" s="103">
        <v>0</v>
      </c>
      <c r="C14" s="103">
        <v>1</v>
      </c>
      <c r="D14" s="103">
        <v>1</v>
      </c>
      <c r="E14" s="103">
        <v>1</v>
      </c>
      <c r="F14" s="103">
        <v>1</v>
      </c>
      <c r="G14" s="103">
        <v>1</v>
      </c>
      <c r="H14" s="103">
        <v>0</v>
      </c>
      <c r="I14" s="103">
        <v>0</v>
      </c>
      <c r="J14" s="103">
        <v>0</v>
      </c>
      <c r="K14" s="103">
        <v>0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>
        <v>0</v>
      </c>
      <c r="AD14" s="103">
        <v>0</v>
      </c>
      <c r="AE14" s="103">
        <v>0</v>
      </c>
    </row>
    <row r="15" spans="1:31" customFormat="1" x14ac:dyDescent="0.15">
      <c r="A15" s="184" t="s">
        <v>205</v>
      </c>
      <c r="B15" s="103">
        <v>0</v>
      </c>
      <c r="C15" s="103">
        <v>0</v>
      </c>
      <c r="D15" s="103">
        <v>1</v>
      </c>
      <c r="E15" s="103">
        <v>1</v>
      </c>
      <c r="F15" s="103">
        <v>0</v>
      </c>
      <c r="G15" s="103">
        <v>0</v>
      </c>
      <c r="H15" s="103">
        <v>0</v>
      </c>
      <c r="I15" s="103">
        <v>0</v>
      </c>
      <c r="J15" s="103">
        <v>0</v>
      </c>
      <c r="K15" s="103">
        <v>0</v>
      </c>
      <c r="L15" s="103">
        <v>0</v>
      </c>
      <c r="M15" s="103">
        <v>0</v>
      </c>
      <c r="N15" s="103">
        <v>0</v>
      </c>
      <c r="O15" s="103">
        <v>0</v>
      </c>
      <c r="P15" s="103">
        <v>0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>
        <v>0</v>
      </c>
      <c r="AD15" s="103">
        <v>0</v>
      </c>
      <c r="AE15" s="103">
        <v>0</v>
      </c>
    </row>
    <row r="16" spans="1:31" customFormat="1" x14ac:dyDescent="0.15">
      <c r="A16" s="184" t="s">
        <v>206</v>
      </c>
      <c r="B16" s="103">
        <v>0</v>
      </c>
      <c r="C16" s="103">
        <v>0</v>
      </c>
      <c r="D16" s="103">
        <v>0</v>
      </c>
      <c r="E16" s="103">
        <v>0</v>
      </c>
      <c r="F16" s="103">
        <v>0</v>
      </c>
      <c r="G16" s="103">
        <v>0</v>
      </c>
      <c r="H16" s="103">
        <v>0</v>
      </c>
      <c r="I16" s="103">
        <v>0</v>
      </c>
      <c r="J16" s="103">
        <v>0</v>
      </c>
      <c r="K16" s="103">
        <v>0</v>
      </c>
      <c r="L16" s="103">
        <v>0</v>
      </c>
      <c r="M16" s="103">
        <v>0</v>
      </c>
      <c r="N16" s="103">
        <v>0</v>
      </c>
      <c r="O16" s="103">
        <v>0</v>
      </c>
      <c r="P16" s="103">
        <v>0</v>
      </c>
      <c r="Q16" s="103">
        <v>0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>
        <v>0</v>
      </c>
      <c r="AD16" s="103">
        <v>0</v>
      </c>
      <c r="AE16" s="103">
        <v>0</v>
      </c>
    </row>
    <row r="17" spans="1:31" customFormat="1" x14ac:dyDescent="0.15">
      <c r="A17" s="184" t="s">
        <v>207</v>
      </c>
      <c r="B17" s="103">
        <v>0</v>
      </c>
      <c r="C17" s="103">
        <v>0</v>
      </c>
      <c r="D17" s="103">
        <v>0</v>
      </c>
      <c r="E17" s="103">
        <v>1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0</v>
      </c>
      <c r="L17" s="103">
        <v>0</v>
      </c>
      <c r="M17" s="103">
        <v>0</v>
      </c>
      <c r="N17" s="103">
        <v>0</v>
      </c>
      <c r="O17" s="103">
        <v>0</v>
      </c>
      <c r="P17" s="103">
        <v>0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>
        <v>0</v>
      </c>
      <c r="AD17" s="103">
        <v>0</v>
      </c>
      <c r="AE17" s="103">
        <v>0</v>
      </c>
    </row>
    <row r="18" spans="1:31" customFormat="1" x14ac:dyDescent="0.15">
      <c r="A18" s="184" t="s">
        <v>208</v>
      </c>
      <c r="B18" s="103">
        <v>0</v>
      </c>
      <c r="C18" s="103">
        <v>0</v>
      </c>
      <c r="D18" s="103">
        <v>1</v>
      </c>
      <c r="E18" s="103">
        <v>1</v>
      </c>
      <c r="F18" s="103">
        <v>0</v>
      </c>
      <c r="G18" s="103">
        <v>0</v>
      </c>
      <c r="H18" s="103">
        <v>1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103">
        <v>0</v>
      </c>
      <c r="O18" s="103">
        <v>0</v>
      </c>
      <c r="P18" s="103">
        <v>0</v>
      </c>
      <c r="Q18" s="103">
        <v>0</v>
      </c>
      <c r="R18" s="103">
        <v>0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>
        <v>0</v>
      </c>
      <c r="AD18" s="103">
        <v>0</v>
      </c>
      <c r="AE18" s="103">
        <v>0</v>
      </c>
    </row>
    <row r="19" spans="1:31" customFormat="1" x14ac:dyDescent="0.15">
      <c r="A19" s="184" t="s">
        <v>209</v>
      </c>
      <c r="B19" s="103">
        <v>0</v>
      </c>
      <c r="C19" s="103">
        <v>0</v>
      </c>
      <c r="D19" s="103">
        <v>0</v>
      </c>
      <c r="E19" s="103">
        <v>0</v>
      </c>
      <c r="F19" s="103">
        <v>0</v>
      </c>
      <c r="G19" s="103">
        <v>0</v>
      </c>
      <c r="H19" s="103">
        <v>0</v>
      </c>
      <c r="I19" s="103">
        <v>0</v>
      </c>
      <c r="J19" s="103">
        <v>0</v>
      </c>
      <c r="K19" s="103">
        <v>0</v>
      </c>
      <c r="L19" s="103">
        <v>0</v>
      </c>
      <c r="M19" s="103">
        <v>0</v>
      </c>
      <c r="N19" s="103">
        <v>0</v>
      </c>
      <c r="O19" s="103">
        <v>0</v>
      </c>
      <c r="P19" s="103">
        <v>0</v>
      </c>
      <c r="Q19" s="103">
        <v>0</v>
      </c>
      <c r="R19" s="103">
        <v>0</v>
      </c>
      <c r="S19" s="103">
        <v>0</v>
      </c>
      <c r="T19" s="103">
        <v>0</v>
      </c>
      <c r="U19" s="103">
        <v>0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>
        <v>0</v>
      </c>
      <c r="AD19" s="103">
        <v>0</v>
      </c>
      <c r="AE19" s="103">
        <v>0</v>
      </c>
    </row>
    <row r="20" spans="1:31" customFormat="1" x14ac:dyDescent="0.15">
      <c r="A20" s="184" t="s">
        <v>210</v>
      </c>
      <c r="B20" s="103">
        <v>0</v>
      </c>
      <c r="C20" s="103">
        <v>1</v>
      </c>
      <c r="D20" s="103">
        <v>1</v>
      </c>
      <c r="E20" s="103">
        <v>0</v>
      </c>
      <c r="F20" s="103">
        <v>1</v>
      </c>
      <c r="G20" s="103">
        <v>0</v>
      </c>
      <c r="H20" s="103">
        <v>1</v>
      </c>
      <c r="I20" s="103">
        <v>1</v>
      </c>
      <c r="J20" s="103">
        <v>1</v>
      </c>
      <c r="K20" s="103">
        <v>1</v>
      </c>
      <c r="L20" s="103">
        <v>1</v>
      </c>
      <c r="M20" s="103">
        <v>1</v>
      </c>
      <c r="N20" s="103">
        <v>0</v>
      </c>
      <c r="O20" s="103">
        <v>0</v>
      </c>
      <c r="P20" s="103">
        <v>0</v>
      </c>
      <c r="Q20" s="103">
        <v>0</v>
      </c>
      <c r="R20" s="103">
        <v>0</v>
      </c>
      <c r="S20" s="103">
        <v>0</v>
      </c>
      <c r="T20" s="103">
        <v>0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>
        <v>0</v>
      </c>
      <c r="AD20" s="103">
        <v>0</v>
      </c>
      <c r="AE20" s="103">
        <v>0</v>
      </c>
    </row>
    <row r="21" spans="1:31" customFormat="1" x14ac:dyDescent="0.15">
      <c r="A21" s="184" t="s">
        <v>211</v>
      </c>
      <c r="B21" s="103">
        <v>0</v>
      </c>
      <c r="C21" s="103">
        <v>1</v>
      </c>
      <c r="D21" s="103">
        <v>1</v>
      </c>
      <c r="E21" s="103">
        <v>0</v>
      </c>
      <c r="F21" s="103">
        <v>1</v>
      </c>
      <c r="G21" s="103">
        <v>0</v>
      </c>
      <c r="H21" s="103">
        <v>1</v>
      </c>
      <c r="I21" s="103">
        <v>1</v>
      </c>
      <c r="J21" s="103">
        <v>1</v>
      </c>
      <c r="K21" s="103">
        <v>1</v>
      </c>
      <c r="L21" s="103">
        <v>1</v>
      </c>
      <c r="M21" s="103">
        <v>1</v>
      </c>
      <c r="N21" s="103">
        <v>0</v>
      </c>
      <c r="O21" s="103">
        <v>0</v>
      </c>
      <c r="P21" s="103">
        <v>0</v>
      </c>
      <c r="Q21" s="103">
        <v>0</v>
      </c>
      <c r="R21" s="103">
        <v>0</v>
      </c>
      <c r="S21" s="103">
        <v>0</v>
      </c>
      <c r="T21" s="103">
        <v>0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>
        <v>0</v>
      </c>
      <c r="AD21" s="103">
        <v>0</v>
      </c>
      <c r="AE21" s="103">
        <v>0</v>
      </c>
    </row>
    <row r="22" spans="1:31" customFormat="1" x14ac:dyDescent="0.15">
      <c r="A22" s="184" t="s">
        <v>212</v>
      </c>
      <c r="B22" s="103">
        <v>0</v>
      </c>
      <c r="C22" s="103">
        <v>0</v>
      </c>
      <c r="D22" s="103">
        <v>0</v>
      </c>
      <c r="E22" s="103">
        <v>1</v>
      </c>
      <c r="F22" s="103">
        <v>0</v>
      </c>
      <c r="G22" s="103">
        <v>1</v>
      </c>
      <c r="H22" s="103">
        <v>0</v>
      </c>
      <c r="I22" s="103">
        <v>0</v>
      </c>
      <c r="J22" s="103">
        <v>0</v>
      </c>
      <c r="K22" s="103">
        <v>1</v>
      </c>
      <c r="L22" s="103">
        <v>0</v>
      </c>
      <c r="M22" s="103">
        <v>1</v>
      </c>
      <c r="N22" s="103">
        <v>0</v>
      </c>
      <c r="O22" s="103">
        <v>1</v>
      </c>
      <c r="P22" s="103">
        <v>0</v>
      </c>
      <c r="Q22" s="103">
        <v>0</v>
      </c>
      <c r="R22" s="103">
        <v>0</v>
      </c>
      <c r="S22" s="103">
        <v>0</v>
      </c>
      <c r="T22" s="103">
        <v>0</v>
      </c>
      <c r="U22" s="103">
        <v>0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>
        <v>0</v>
      </c>
      <c r="AD22" s="103">
        <v>0</v>
      </c>
      <c r="AE22" s="103">
        <v>0</v>
      </c>
    </row>
    <row r="23" spans="1:31" customFormat="1" x14ac:dyDescent="0.15">
      <c r="A23" s="184" t="s">
        <v>213</v>
      </c>
      <c r="B23" s="103">
        <v>0</v>
      </c>
      <c r="C23" s="103">
        <v>0</v>
      </c>
      <c r="D23" s="103">
        <v>0</v>
      </c>
      <c r="E23" s="103">
        <v>0</v>
      </c>
      <c r="F23" s="103">
        <v>0</v>
      </c>
      <c r="G23" s="103">
        <v>0</v>
      </c>
      <c r="H23" s="103">
        <v>0</v>
      </c>
      <c r="I23" s="103">
        <v>0</v>
      </c>
      <c r="J23" s="103">
        <v>0</v>
      </c>
      <c r="K23" s="103">
        <v>0</v>
      </c>
      <c r="L23" s="103">
        <v>0</v>
      </c>
      <c r="M23" s="103">
        <v>0</v>
      </c>
      <c r="N23" s="103">
        <v>0</v>
      </c>
      <c r="O23" s="103">
        <v>1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0</v>
      </c>
      <c r="V23" s="103">
        <v>0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  <c r="AC23" s="103">
        <v>0</v>
      </c>
      <c r="AD23" s="103">
        <v>0</v>
      </c>
      <c r="AE23" s="103">
        <v>0</v>
      </c>
    </row>
    <row r="24" spans="1:31" customFormat="1" x14ac:dyDescent="0.15">
      <c r="A24" s="184" t="s">
        <v>214</v>
      </c>
      <c r="B24" s="103">
        <v>0</v>
      </c>
      <c r="C24" s="103">
        <v>0</v>
      </c>
      <c r="D24" s="103">
        <v>0</v>
      </c>
      <c r="E24" s="103">
        <v>1</v>
      </c>
      <c r="F24" s="103">
        <v>0</v>
      </c>
      <c r="G24" s="103">
        <v>1</v>
      </c>
      <c r="H24" s="103">
        <v>0</v>
      </c>
      <c r="I24" s="103">
        <v>0</v>
      </c>
      <c r="J24" s="103">
        <v>0</v>
      </c>
      <c r="K24" s="103">
        <v>1</v>
      </c>
      <c r="L24" s="103">
        <v>1</v>
      </c>
      <c r="M24" s="103">
        <v>1</v>
      </c>
      <c r="N24" s="103">
        <v>1</v>
      </c>
      <c r="O24" s="103">
        <v>1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0</v>
      </c>
      <c r="W24" s="103">
        <v>0</v>
      </c>
      <c r="X24" s="103">
        <v>0</v>
      </c>
      <c r="Y24" s="103">
        <v>0</v>
      </c>
      <c r="Z24" s="103">
        <v>0</v>
      </c>
      <c r="AA24" s="103">
        <v>0</v>
      </c>
      <c r="AB24" s="103">
        <v>0</v>
      </c>
      <c r="AC24" s="103">
        <v>0</v>
      </c>
      <c r="AD24" s="103">
        <v>0</v>
      </c>
      <c r="AE24" s="103">
        <v>0</v>
      </c>
    </row>
    <row r="25" spans="1:31" customFormat="1" x14ac:dyDescent="0.15">
      <c r="A25" s="184" t="s">
        <v>215</v>
      </c>
      <c r="B25" s="103">
        <v>0</v>
      </c>
      <c r="C25" s="103">
        <v>1</v>
      </c>
      <c r="D25" s="103">
        <v>0</v>
      </c>
      <c r="E25" s="103">
        <v>0</v>
      </c>
      <c r="F25" s="103">
        <v>1</v>
      </c>
      <c r="G25" s="103">
        <v>1</v>
      </c>
      <c r="H25" s="103">
        <v>0</v>
      </c>
      <c r="I25" s="103">
        <v>0</v>
      </c>
      <c r="J25" s="103">
        <v>0</v>
      </c>
      <c r="K25" s="103">
        <v>0</v>
      </c>
      <c r="L25" s="103">
        <v>1</v>
      </c>
      <c r="M25" s="103">
        <v>1</v>
      </c>
      <c r="N25" s="103">
        <v>1</v>
      </c>
      <c r="O25" s="103">
        <v>1</v>
      </c>
      <c r="P25" s="103">
        <v>1</v>
      </c>
      <c r="Q25" s="103">
        <v>1</v>
      </c>
      <c r="R25" s="103">
        <v>1</v>
      </c>
      <c r="S25" s="103">
        <v>0</v>
      </c>
      <c r="T25" s="103">
        <v>0</v>
      </c>
      <c r="U25" s="103">
        <v>0</v>
      </c>
      <c r="V25" s="103">
        <v>1</v>
      </c>
      <c r="W25" s="103">
        <v>1</v>
      </c>
      <c r="X25" s="103">
        <v>1</v>
      </c>
      <c r="Y25" s="103">
        <v>1</v>
      </c>
      <c r="Z25" s="103">
        <v>1</v>
      </c>
      <c r="AA25" s="103">
        <v>0</v>
      </c>
      <c r="AB25" s="103">
        <v>0</v>
      </c>
      <c r="AC25" s="103">
        <v>0</v>
      </c>
      <c r="AD25" s="103">
        <v>0</v>
      </c>
      <c r="AE25" s="103">
        <v>0</v>
      </c>
    </row>
    <row r="26" spans="1:31" customFormat="1" x14ac:dyDescent="0.15">
      <c r="A26" s="184" t="s">
        <v>216</v>
      </c>
      <c r="B26" s="103">
        <v>0</v>
      </c>
      <c r="C26" s="103">
        <v>1</v>
      </c>
      <c r="D26" s="103">
        <v>0</v>
      </c>
      <c r="E26" s="103">
        <v>1</v>
      </c>
      <c r="F26" s="103">
        <v>0</v>
      </c>
      <c r="G26" s="103">
        <v>1</v>
      </c>
      <c r="H26" s="103">
        <v>1</v>
      </c>
      <c r="I26" s="103">
        <v>0</v>
      </c>
      <c r="J26" s="103">
        <v>0</v>
      </c>
      <c r="K26" s="103">
        <v>0</v>
      </c>
      <c r="L26" s="103">
        <v>1</v>
      </c>
      <c r="M26" s="103">
        <v>1</v>
      </c>
      <c r="N26" s="103">
        <v>1</v>
      </c>
      <c r="O26" s="103">
        <v>1</v>
      </c>
      <c r="P26" s="103">
        <v>1</v>
      </c>
      <c r="Q26" s="103">
        <v>1</v>
      </c>
      <c r="R26" s="103">
        <v>1</v>
      </c>
      <c r="S26" s="103">
        <v>0</v>
      </c>
      <c r="T26" s="103">
        <v>0</v>
      </c>
      <c r="U26" s="103">
        <v>0</v>
      </c>
      <c r="V26" s="103">
        <v>0</v>
      </c>
      <c r="W26" s="103">
        <v>0</v>
      </c>
      <c r="X26" s="103">
        <v>0</v>
      </c>
      <c r="Y26" s="103">
        <v>0</v>
      </c>
      <c r="Z26" s="103">
        <v>0</v>
      </c>
      <c r="AA26" s="103">
        <v>0</v>
      </c>
      <c r="AB26" s="103">
        <v>0</v>
      </c>
      <c r="AC26" s="103">
        <v>0</v>
      </c>
      <c r="AD26" s="103">
        <v>0</v>
      </c>
      <c r="AE26" s="103">
        <v>0</v>
      </c>
    </row>
    <row r="27" spans="1:31" customFormat="1" x14ac:dyDescent="0.15">
      <c r="A27" s="184" t="s">
        <v>217</v>
      </c>
      <c r="B27" s="103">
        <v>0</v>
      </c>
      <c r="C27" s="103">
        <v>0</v>
      </c>
      <c r="D27" s="103">
        <v>0</v>
      </c>
      <c r="E27" s="103">
        <v>0</v>
      </c>
      <c r="F27" s="103">
        <v>0</v>
      </c>
      <c r="G27" s="103">
        <v>0</v>
      </c>
      <c r="H27" s="103">
        <v>0</v>
      </c>
      <c r="I27" s="103">
        <v>0</v>
      </c>
      <c r="J27" s="103">
        <v>0</v>
      </c>
      <c r="K27" s="103">
        <v>0</v>
      </c>
      <c r="L27" s="103">
        <v>0</v>
      </c>
      <c r="M27" s="103">
        <v>0</v>
      </c>
      <c r="N27" s="103">
        <v>0</v>
      </c>
      <c r="O27" s="103">
        <v>1</v>
      </c>
      <c r="P27" s="103">
        <v>0</v>
      </c>
      <c r="Q27" s="103">
        <v>1</v>
      </c>
      <c r="R27" s="103">
        <v>0</v>
      </c>
      <c r="S27" s="103">
        <v>0</v>
      </c>
      <c r="T27" s="103">
        <v>0</v>
      </c>
      <c r="U27" s="103">
        <v>0</v>
      </c>
      <c r="V27" s="103">
        <v>0</v>
      </c>
      <c r="W27" s="103">
        <v>0</v>
      </c>
      <c r="X27" s="103">
        <v>0</v>
      </c>
      <c r="Y27" s="103">
        <v>1</v>
      </c>
      <c r="Z27" s="103">
        <v>0</v>
      </c>
      <c r="AA27" s="103">
        <v>0</v>
      </c>
      <c r="AB27" s="103">
        <v>0</v>
      </c>
      <c r="AC27" s="103">
        <v>0</v>
      </c>
      <c r="AD27" s="103">
        <v>0</v>
      </c>
      <c r="AE27" s="103">
        <v>0</v>
      </c>
    </row>
    <row r="28" spans="1:31" customFormat="1" x14ac:dyDescent="0.15">
      <c r="A28" s="184" t="s">
        <v>218</v>
      </c>
      <c r="B28" s="103">
        <v>0</v>
      </c>
      <c r="C28" s="103">
        <v>0</v>
      </c>
      <c r="D28" s="103">
        <v>1</v>
      </c>
      <c r="E28" s="103">
        <v>1</v>
      </c>
      <c r="F28" s="103">
        <v>1</v>
      </c>
      <c r="G28" s="103">
        <v>1</v>
      </c>
      <c r="H28" s="103">
        <v>1</v>
      </c>
      <c r="I28" s="103">
        <v>1</v>
      </c>
      <c r="J28" s="103">
        <v>1</v>
      </c>
      <c r="K28" s="103">
        <v>1</v>
      </c>
      <c r="L28" s="103">
        <v>1</v>
      </c>
      <c r="M28" s="103">
        <v>1</v>
      </c>
      <c r="N28" s="103">
        <v>1</v>
      </c>
      <c r="O28" s="103">
        <v>0</v>
      </c>
      <c r="P28" s="103">
        <v>0</v>
      </c>
      <c r="Q28" s="103">
        <v>0</v>
      </c>
      <c r="R28" s="103">
        <v>1</v>
      </c>
      <c r="S28" s="103">
        <v>1</v>
      </c>
      <c r="T28" s="103">
        <v>1</v>
      </c>
      <c r="U28" s="103">
        <v>1</v>
      </c>
      <c r="V28" s="103">
        <v>1</v>
      </c>
      <c r="W28" s="103">
        <v>0</v>
      </c>
      <c r="X28" s="103">
        <v>1</v>
      </c>
      <c r="Y28" s="103">
        <v>1</v>
      </c>
      <c r="Z28" s="103">
        <v>1</v>
      </c>
      <c r="AA28" s="103">
        <v>1</v>
      </c>
      <c r="AB28" s="103">
        <v>1</v>
      </c>
      <c r="AC28" s="103">
        <v>0</v>
      </c>
      <c r="AD28" s="103">
        <v>0</v>
      </c>
      <c r="AE28" s="103">
        <v>0</v>
      </c>
    </row>
    <row r="29" spans="1:31" customFormat="1" x14ac:dyDescent="0.15">
      <c r="A29" s="184" t="s">
        <v>219</v>
      </c>
      <c r="B29" s="103">
        <v>0</v>
      </c>
      <c r="C29" s="103">
        <v>0</v>
      </c>
      <c r="D29" s="103">
        <v>0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103">
        <v>0</v>
      </c>
      <c r="O29" s="103">
        <v>0</v>
      </c>
      <c r="P29" s="103">
        <v>0</v>
      </c>
      <c r="Q29" s="103">
        <v>0</v>
      </c>
      <c r="R29" s="103">
        <v>0</v>
      </c>
      <c r="S29" s="103">
        <v>0</v>
      </c>
      <c r="T29" s="103">
        <v>1</v>
      </c>
      <c r="U29" s="103">
        <v>1</v>
      </c>
      <c r="V29" s="103">
        <v>1</v>
      </c>
      <c r="W29" s="103">
        <v>0</v>
      </c>
      <c r="X29" s="103">
        <v>1</v>
      </c>
      <c r="Y29" s="103">
        <v>1</v>
      </c>
      <c r="Z29" s="103">
        <v>0</v>
      </c>
      <c r="AA29" s="103">
        <v>1</v>
      </c>
      <c r="AB29" s="103">
        <v>1</v>
      </c>
      <c r="AC29" s="103">
        <v>0</v>
      </c>
      <c r="AD29" s="103">
        <v>0</v>
      </c>
      <c r="AE29" s="103">
        <v>0</v>
      </c>
    </row>
    <row r="30" spans="1:31" customFormat="1" x14ac:dyDescent="0.15">
      <c r="A30" s="184" t="s">
        <v>220</v>
      </c>
      <c r="B30" s="103">
        <v>0</v>
      </c>
      <c r="C30" s="103">
        <v>0</v>
      </c>
      <c r="D30" s="103">
        <v>0</v>
      </c>
      <c r="E30" s="103">
        <v>0</v>
      </c>
      <c r="F30" s="103">
        <v>0</v>
      </c>
      <c r="G30" s="103">
        <v>0</v>
      </c>
      <c r="H30" s="103">
        <v>0</v>
      </c>
      <c r="I30" s="103">
        <v>0</v>
      </c>
      <c r="J30" s="103">
        <v>0</v>
      </c>
      <c r="K30" s="103">
        <v>0</v>
      </c>
      <c r="L30" s="103">
        <v>0</v>
      </c>
      <c r="M30" s="103">
        <v>0</v>
      </c>
      <c r="N30" s="103">
        <v>0</v>
      </c>
      <c r="O30" s="103">
        <v>1</v>
      </c>
      <c r="P30" s="103">
        <v>1</v>
      </c>
      <c r="Q30" s="103">
        <v>1</v>
      </c>
      <c r="R30" s="103">
        <v>1</v>
      </c>
      <c r="S30" s="103">
        <v>0</v>
      </c>
      <c r="T30" s="103">
        <v>0</v>
      </c>
      <c r="U30" s="103">
        <v>0</v>
      </c>
      <c r="V30" s="103">
        <v>0</v>
      </c>
      <c r="W30" s="103">
        <v>1</v>
      </c>
      <c r="X30" s="103">
        <v>1</v>
      </c>
      <c r="Y30" s="103">
        <v>1</v>
      </c>
      <c r="Z30" s="103">
        <v>1</v>
      </c>
      <c r="AA30" s="103">
        <v>0</v>
      </c>
      <c r="AB30" s="103">
        <v>1</v>
      </c>
      <c r="AC30" s="103">
        <v>0</v>
      </c>
      <c r="AD30" s="103">
        <v>0</v>
      </c>
      <c r="AE30" s="103">
        <v>0</v>
      </c>
    </row>
    <row r="31" spans="1:31" customFormat="1" x14ac:dyDescent="0.15">
      <c r="A31" s="184" t="s">
        <v>221</v>
      </c>
      <c r="B31" s="103">
        <v>0</v>
      </c>
      <c r="C31" s="103">
        <v>0</v>
      </c>
      <c r="D31" s="103">
        <v>0</v>
      </c>
      <c r="E31" s="103">
        <v>0</v>
      </c>
      <c r="F31" s="103">
        <v>0</v>
      </c>
      <c r="G31" s="103">
        <v>0</v>
      </c>
      <c r="H31" s="103">
        <v>0</v>
      </c>
      <c r="I31" s="103">
        <v>0</v>
      </c>
      <c r="J31" s="103">
        <v>0</v>
      </c>
      <c r="K31" s="103">
        <v>0</v>
      </c>
      <c r="L31" s="103">
        <v>0</v>
      </c>
      <c r="M31" s="103">
        <v>0</v>
      </c>
      <c r="N31" s="103">
        <v>0</v>
      </c>
      <c r="O31" s="103">
        <v>0</v>
      </c>
      <c r="P31" s="103">
        <v>0</v>
      </c>
      <c r="Q31" s="103">
        <v>0</v>
      </c>
      <c r="R31" s="103">
        <v>0</v>
      </c>
      <c r="S31" s="103">
        <v>0</v>
      </c>
      <c r="T31" s="103">
        <v>0</v>
      </c>
      <c r="U31" s="103">
        <v>0</v>
      </c>
      <c r="V31" s="103">
        <v>0</v>
      </c>
      <c r="W31" s="103">
        <v>0</v>
      </c>
      <c r="X31" s="103">
        <v>0</v>
      </c>
      <c r="Y31" s="103">
        <v>0</v>
      </c>
      <c r="Z31" s="103">
        <v>0</v>
      </c>
      <c r="AA31" s="103">
        <v>0</v>
      </c>
      <c r="AB31" s="103">
        <v>0</v>
      </c>
      <c r="AC31" s="103">
        <v>0</v>
      </c>
      <c r="AD31" s="103">
        <v>0</v>
      </c>
      <c r="AE31" s="103">
        <v>0</v>
      </c>
    </row>
    <row r="32" spans="1:31" x14ac:dyDescent="0.15">
      <c r="A32" s="184" t="s">
        <v>224</v>
      </c>
      <c r="B32" s="103">
        <v>0</v>
      </c>
      <c r="C32" s="103">
        <v>0</v>
      </c>
      <c r="D32" s="103">
        <v>0</v>
      </c>
      <c r="E32" s="103">
        <v>0</v>
      </c>
      <c r="F32" s="103">
        <v>0</v>
      </c>
      <c r="G32" s="103">
        <v>0</v>
      </c>
      <c r="H32" s="103">
        <v>0</v>
      </c>
      <c r="I32" s="103">
        <v>0</v>
      </c>
      <c r="J32" s="103">
        <v>0</v>
      </c>
      <c r="K32" s="103">
        <v>0</v>
      </c>
      <c r="L32" s="103">
        <v>0</v>
      </c>
      <c r="M32" s="103">
        <v>0</v>
      </c>
      <c r="N32" s="103">
        <v>0</v>
      </c>
      <c r="O32" s="103">
        <v>0</v>
      </c>
      <c r="P32" s="103">
        <v>0</v>
      </c>
      <c r="Q32" s="103">
        <v>0</v>
      </c>
      <c r="R32" s="103">
        <v>0</v>
      </c>
      <c r="S32" s="103">
        <v>0</v>
      </c>
      <c r="T32" s="103">
        <v>0</v>
      </c>
      <c r="U32" s="103">
        <v>0</v>
      </c>
      <c r="V32" s="103">
        <v>0</v>
      </c>
      <c r="W32" s="103">
        <v>0</v>
      </c>
      <c r="X32" s="103">
        <v>0</v>
      </c>
      <c r="Y32" s="103">
        <v>0</v>
      </c>
      <c r="Z32" s="103">
        <v>0</v>
      </c>
      <c r="AA32" s="103">
        <v>0</v>
      </c>
      <c r="AB32" s="103">
        <v>0</v>
      </c>
      <c r="AC32" s="103">
        <v>0</v>
      </c>
      <c r="AD32" s="103">
        <v>0</v>
      </c>
      <c r="AE32" s="10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4" width="3.83203125" bestFit="1" customWidth="1"/>
  </cols>
  <sheetData>
    <row r="1" spans="1:4" ht="112" x14ac:dyDescent="0.15">
      <c r="A1" s="5" t="s">
        <v>83</v>
      </c>
      <c r="B1" s="3" t="s">
        <v>0</v>
      </c>
      <c r="C1" s="187" t="s">
        <v>222</v>
      </c>
      <c r="D1" s="187" t="s">
        <v>223</v>
      </c>
    </row>
    <row r="2" spans="1:4" x14ac:dyDescent="0.15">
      <c r="A2">
        <v>1</v>
      </c>
      <c r="B2" s="186" t="s">
        <v>192</v>
      </c>
      <c r="C2">
        <v>0</v>
      </c>
      <c r="D2">
        <v>0</v>
      </c>
    </row>
    <row r="3" spans="1:4" x14ac:dyDescent="0.15">
      <c r="A3">
        <v>2</v>
      </c>
      <c r="B3" s="186" t="s">
        <v>193</v>
      </c>
      <c r="C3">
        <v>0</v>
      </c>
      <c r="D3">
        <v>0.8</v>
      </c>
    </row>
    <row r="4" spans="1:4" x14ac:dyDescent="0.15">
      <c r="A4">
        <v>3</v>
      </c>
      <c r="B4" s="186" t="s">
        <v>194</v>
      </c>
      <c r="C4">
        <v>0</v>
      </c>
      <c r="D4">
        <v>0.8</v>
      </c>
    </row>
    <row r="5" spans="1:4" x14ac:dyDescent="0.15">
      <c r="A5">
        <v>4</v>
      </c>
      <c r="B5" s="186" t="s">
        <v>195</v>
      </c>
      <c r="C5">
        <v>0</v>
      </c>
      <c r="D5">
        <v>0.8</v>
      </c>
    </row>
    <row r="6" spans="1:4" x14ac:dyDescent="0.15">
      <c r="A6">
        <v>5</v>
      </c>
      <c r="B6" s="186" t="s">
        <v>196</v>
      </c>
      <c r="C6">
        <v>0.8</v>
      </c>
      <c r="D6">
        <v>0</v>
      </c>
    </row>
    <row r="7" spans="1:4" x14ac:dyDescent="0.15">
      <c r="A7">
        <v>6</v>
      </c>
      <c r="B7" s="186" t="s">
        <v>197</v>
      </c>
      <c r="C7">
        <v>0</v>
      </c>
      <c r="D7">
        <v>0.8</v>
      </c>
    </row>
    <row r="8" spans="1:4" x14ac:dyDescent="0.15">
      <c r="A8">
        <v>7</v>
      </c>
      <c r="B8" s="186" t="s">
        <v>198</v>
      </c>
      <c r="C8">
        <v>0.8</v>
      </c>
      <c r="D8">
        <v>0.8</v>
      </c>
    </row>
    <row r="9" spans="1:4" x14ac:dyDescent="0.15">
      <c r="A9">
        <v>8</v>
      </c>
      <c r="B9" s="186" t="s">
        <v>199</v>
      </c>
      <c r="C9">
        <v>0</v>
      </c>
      <c r="D9">
        <v>0</v>
      </c>
    </row>
    <row r="10" spans="1:4" x14ac:dyDescent="0.15">
      <c r="A10">
        <v>9</v>
      </c>
      <c r="B10" s="186" t="s">
        <v>200</v>
      </c>
      <c r="C10">
        <v>0</v>
      </c>
      <c r="D10">
        <v>0</v>
      </c>
    </row>
    <row r="11" spans="1:4" x14ac:dyDescent="0.15">
      <c r="A11">
        <v>10</v>
      </c>
      <c r="B11" s="186" t="s">
        <v>201</v>
      </c>
      <c r="C11">
        <v>0</v>
      </c>
      <c r="D11">
        <v>0</v>
      </c>
    </row>
    <row r="12" spans="1:4" x14ac:dyDescent="0.15">
      <c r="A12">
        <v>11</v>
      </c>
      <c r="B12" s="186" t="s">
        <v>202</v>
      </c>
      <c r="C12">
        <v>0.8</v>
      </c>
      <c r="D12">
        <v>0.8</v>
      </c>
    </row>
    <row r="13" spans="1:4" x14ac:dyDescent="0.15">
      <c r="A13">
        <v>12</v>
      </c>
      <c r="B13" s="186" t="s">
        <v>203</v>
      </c>
      <c r="C13">
        <v>0</v>
      </c>
      <c r="D13">
        <v>0.8</v>
      </c>
    </row>
    <row r="14" spans="1:4" x14ac:dyDescent="0.15">
      <c r="A14">
        <v>13</v>
      </c>
      <c r="B14" s="186" t="s">
        <v>204</v>
      </c>
      <c r="C14">
        <v>0</v>
      </c>
      <c r="D14">
        <v>0.8</v>
      </c>
    </row>
    <row r="15" spans="1:4" x14ac:dyDescent="0.15">
      <c r="A15">
        <v>14</v>
      </c>
      <c r="B15" s="186" t="s">
        <v>205</v>
      </c>
      <c r="C15">
        <v>0</v>
      </c>
      <c r="D15">
        <v>0.8</v>
      </c>
    </row>
    <row r="16" spans="1:4" x14ac:dyDescent="0.15">
      <c r="A16">
        <v>15</v>
      </c>
      <c r="B16" s="186" t="s">
        <v>206</v>
      </c>
      <c r="C16">
        <v>0</v>
      </c>
      <c r="D16">
        <v>0.8</v>
      </c>
    </row>
    <row r="17" spans="1:4" x14ac:dyDescent="0.15">
      <c r="A17">
        <v>16</v>
      </c>
      <c r="B17" s="186" t="s">
        <v>207</v>
      </c>
      <c r="C17">
        <v>0</v>
      </c>
      <c r="D17">
        <v>0.8</v>
      </c>
    </row>
    <row r="18" spans="1:4" x14ac:dyDescent="0.15">
      <c r="A18">
        <v>17</v>
      </c>
      <c r="B18" s="186" t="s">
        <v>208</v>
      </c>
      <c r="C18">
        <v>0</v>
      </c>
      <c r="D18">
        <v>0.8</v>
      </c>
    </row>
    <row r="19" spans="1:4" x14ac:dyDescent="0.15">
      <c r="A19">
        <v>18</v>
      </c>
      <c r="B19" s="186" t="s">
        <v>209</v>
      </c>
      <c r="C19">
        <v>0</v>
      </c>
      <c r="D19">
        <v>0</v>
      </c>
    </row>
    <row r="20" spans="1:4" x14ac:dyDescent="0.15">
      <c r="A20">
        <v>19</v>
      </c>
      <c r="B20" s="186" t="s">
        <v>210</v>
      </c>
      <c r="C20">
        <v>0.8</v>
      </c>
      <c r="D20">
        <v>0.8</v>
      </c>
    </row>
    <row r="21" spans="1:4" x14ac:dyDescent="0.15">
      <c r="A21">
        <v>20</v>
      </c>
      <c r="B21" s="186" t="s">
        <v>211</v>
      </c>
      <c r="C21">
        <v>0.8</v>
      </c>
      <c r="D21">
        <v>0</v>
      </c>
    </row>
    <row r="22" spans="1:4" x14ac:dyDescent="0.15">
      <c r="A22">
        <v>21</v>
      </c>
      <c r="B22" s="186" t="s">
        <v>212</v>
      </c>
      <c r="C22">
        <v>0</v>
      </c>
      <c r="D22">
        <v>0.8</v>
      </c>
    </row>
    <row r="23" spans="1:4" x14ac:dyDescent="0.15">
      <c r="A23">
        <v>22</v>
      </c>
      <c r="B23" s="186" t="s">
        <v>213</v>
      </c>
      <c r="C23">
        <v>0</v>
      </c>
      <c r="D23">
        <v>0.8</v>
      </c>
    </row>
    <row r="24" spans="1:4" x14ac:dyDescent="0.15">
      <c r="A24">
        <v>23</v>
      </c>
      <c r="B24" s="186" t="s">
        <v>214</v>
      </c>
      <c r="C24">
        <v>0</v>
      </c>
      <c r="D24">
        <v>0.8</v>
      </c>
    </row>
    <row r="25" spans="1:4" x14ac:dyDescent="0.15">
      <c r="A25">
        <v>24</v>
      </c>
      <c r="B25" s="186" t="s">
        <v>215</v>
      </c>
      <c r="C25">
        <v>0</v>
      </c>
      <c r="D25">
        <v>0</v>
      </c>
    </row>
    <row r="26" spans="1:4" x14ac:dyDescent="0.15">
      <c r="A26">
        <v>25</v>
      </c>
      <c r="B26" s="186" t="s">
        <v>216</v>
      </c>
      <c r="C26">
        <v>0</v>
      </c>
      <c r="D26">
        <v>0.8</v>
      </c>
    </row>
    <row r="27" spans="1:4" x14ac:dyDescent="0.15">
      <c r="A27">
        <v>26</v>
      </c>
      <c r="B27" s="186" t="s">
        <v>217</v>
      </c>
      <c r="C27">
        <v>0</v>
      </c>
      <c r="D27">
        <v>0.8</v>
      </c>
    </row>
    <row r="28" spans="1:4" x14ac:dyDescent="0.15">
      <c r="A28">
        <v>27</v>
      </c>
      <c r="B28" s="186" t="s">
        <v>218</v>
      </c>
      <c r="C28">
        <v>0</v>
      </c>
      <c r="D28">
        <v>0</v>
      </c>
    </row>
    <row r="29" spans="1:4" x14ac:dyDescent="0.15">
      <c r="A29">
        <v>28</v>
      </c>
      <c r="B29" s="186" t="s">
        <v>219</v>
      </c>
      <c r="C29">
        <v>0</v>
      </c>
      <c r="D29">
        <v>0</v>
      </c>
    </row>
    <row r="30" spans="1:4" x14ac:dyDescent="0.15">
      <c r="A30">
        <v>29</v>
      </c>
      <c r="B30" s="186" t="s">
        <v>220</v>
      </c>
      <c r="C30">
        <v>0</v>
      </c>
      <c r="D30">
        <v>0</v>
      </c>
    </row>
    <row r="31" spans="1:4" x14ac:dyDescent="0.15">
      <c r="A31">
        <v>30</v>
      </c>
      <c r="B31" s="186" t="s">
        <v>221</v>
      </c>
      <c r="C31">
        <v>0</v>
      </c>
      <c r="D3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3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4" width="3.83203125" bestFit="1" customWidth="1"/>
  </cols>
  <sheetData>
    <row r="1" spans="1:4" ht="112" x14ac:dyDescent="0.15">
      <c r="A1" s="5" t="s">
        <v>82</v>
      </c>
      <c r="B1" s="3" t="s">
        <v>0</v>
      </c>
      <c r="C1" s="189" t="s">
        <v>222</v>
      </c>
      <c r="D1" s="189" t="s">
        <v>223</v>
      </c>
    </row>
    <row r="2" spans="1:4" x14ac:dyDescent="0.15">
      <c r="A2">
        <v>1</v>
      </c>
      <c r="B2" s="188" t="s">
        <v>192</v>
      </c>
      <c r="C2">
        <v>0</v>
      </c>
      <c r="D2">
        <v>0</v>
      </c>
    </row>
    <row r="3" spans="1:4" x14ac:dyDescent="0.15">
      <c r="A3">
        <v>2</v>
      </c>
      <c r="B3" s="188" t="s">
        <v>193</v>
      </c>
      <c r="C3">
        <v>0</v>
      </c>
      <c r="D3">
        <v>0.8</v>
      </c>
    </row>
    <row r="4" spans="1:4" x14ac:dyDescent="0.15">
      <c r="A4">
        <v>3</v>
      </c>
      <c r="B4" s="188" t="s">
        <v>194</v>
      </c>
      <c r="C4">
        <v>0</v>
      </c>
      <c r="D4">
        <v>0.8</v>
      </c>
    </row>
    <row r="5" spans="1:4" x14ac:dyDescent="0.15">
      <c r="A5">
        <v>4</v>
      </c>
      <c r="B5" s="188" t="s">
        <v>195</v>
      </c>
      <c r="C5">
        <v>0</v>
      </c>
      <c r="D5">
        <v>0.8</v>
      </c>
    </row>
    <row r="6" spans="1:4" x14ac:dyDescent="0.15">
      <c r="A6">
        <v>5</v>
      </c>
      <c r="B6" s="188" t="s">
        <v>196</v>
      </c>
      <c r="C6">
        <v>0.8</v>
      </c>
      <c r="D6">
        <v>0</v>
      </c>
    </row>
    <row r="7" spans="1:4" x14ac:dyDescent="0.15">
      <c r="A7">
        <v>6</v>
      </c>
      <c r="B7" s="188" t="s">
        <v>197</v>
      </c>
      <c r="C7">
        <v>0</v>
      </c>
      <c r="D7">
        <v>0.8</v>
      </c>
    </row>
    <row r="8" spans="1:4" x14ac:dyDescent="0.15">
      <c r="A8">
        <v>7</v>
      </c>
      <c r="B8" s="188" t="s">
        <v>198</v>
      </c>
      <c r="C8">
        <v>0.8</v>
      </c>
      <c r="D8">
        <v>0.8</v>
      </c>
    </row>
    <row r="9" spans="1:4" x14ac:dyDescent="0.15">
      <c r="A9">
        <v>8</v>
      </c>
      <c r="B9" s="188" t="s">
        <v>199</v>
      </c>
      <c r="C9">
        <v>0</v>
      </c>
      <c r="D9">
        <v>0</v>
      </c>
    </row>
    <row r="10" spans="1:4" x14ac:dyDescent="0.15">
      <c r="A10">
        <v>9</v>
      </c>
      <c r="B10" s="188" t="s">
        <v>200</v>
      </c>
      <c r="C10">
        <v>0</v>
      </c>
      <c r="D10">
        <v>0</v>
      </c>
    </row>
    <row r="11" spans="1:4" x14ac:dyDescent="0.15">
      <c r="A11">
        <v>10</v>
      </c>
      <c r="B11" s="188" t="s">
        <v>201</v>
      </c>
      <c r="C11">
        <v>0</v>
      </c>
      <c r="D11">
        <v>0</v>
      </c>
    </row>
    <row r="12" spans="1:4" x14ac:dyDescent="0.15">
      <c r="A12">
        <v>11</v>
      </c>
      <c r="B12" s="188" t="s">
        <v>202</v>
      </c>
      <c r="C12">
        <v>0.8</v>
      </c>
      <c r="D12">
        <v>0.8</v>
      </c>
    </row>
    <row r="13" spans="1:4" x14ac:dyDescent="0.15">
      <c r="A13">
        <v>12</v>
      </c>
      <c r="B13" s="188" t="s">
        <v>203</v>
      </c>
      <c r="C13">
        <v>0</v>
      </c>
      <c r="D13">
        <v>0.8</v>
      </c>
    </row>
    <row r="14" spans="1:4" x14ac:dyDescent="0.15">
      <c r="A14">
        <v>13</v>
      </c>
      <c r="B14" s="188" t="s">
        <v>204</v>
      </c>
      <c r="C14">
        <v>0</v>
      </c>
      <c r="D14">
        <v>0.8</v>
      </c>
    </row>
    <row r="15" spans="1:4" x14ac:dyDescent="0.15">
      <c r="A15">
        <v>14</v>
      </c>
      <c r="B15" s="188" t="s">
        <v>205</v>
      </c>
      <c r="C15">
        <v>0</v>
      </c>
      <c r="D15">
        <v>0.8</v>
      </c>
    </row>
    <row r="16" spans="1:4" x14ac:dyDescent="0.15">
      <c r="A16">
        <v>15</v>
      </c>
      <c r="B16" s="188" t="s">
        <v>206</v>
      </c>
      <c r="C16">
        <v>0</v>
      </c>
      <c r="D16">
        <v>0.8</v>
      </c>
    </row>
    <row r="17" spans="1:4" x14ac:dyDescent="0.15">
      <c r="A17">
        <v>16</v>
      </c>
      <c r="B17" s="188" t="s">
        <v>207</v>
      </c>
      <c r="C17">
        <v>0</v>
      </c>
      <c r="D17">
        <v>0.8</v>
      </c>
    </row>
    <row r="18" spans="1:4" x14ac:dyDescent="0.15">
      <c r="A18">
        <v>17</v>
      </c>
      <c r="B18" s="188" t="s">
        <v>208</v>
      </c>
      <c r="C18">
        <v>0</v>
      </c>
      <c r="D18">
        <v>0.8</v>
      </c>
    </row>
    <row r="19" spans="1:4" x14ac:dyDescent="0.15">
      <c r="A19">
        <v>18</v>
      </c>
      <c r="B19" s="188" t="s">
        <v>209</v>
      </c>
      <c r="C19">
        <v>0</v>
      </c>
      <c r="D19">
        <v>0</v>
      </c>
    </row>
    <row r="20" spans="1:4" x14ac:dyDescent="0.15">
      <c r="A20">
        <v>19</v>
      </c>
      <c r="B20" s="188" t="s">
        <v>210</v>
      </c>
      <c r="C20">
        <v>0.8</v>
      </c>
      <c r="D20">
        <v>0.8</v>
      </c>
    </row>
    <row r="21" spans="1:4" x14ac:dyDescent="0.15">
      <c r="A21">
        <v>20</v>
      </c>
      <c r="B21" s="188" t="s">
        <v>211</v>
      </c>
      <c r="C21">
        <v>0.8</v>
      </c>
      <c r="D21">
        <v>0</v>
      </c>
    </row>
    <row r="22" spans="1:4" x14ac:dyDescent="0.15">
      <c r="A22">
        <v>21</v>
      </c>
      <c r="B22" s="188" t="s">
        <v>212</v>
      </c>
      <c r="C22">
        <v>0</v>
      </c>
      <c r="D22">
        <v>0.8</v>
      </c>
    </row>
    <row r="23" spans="1:4" x14ac:dyDescent="0.15">
      <c r="A23">
        <v>22</v>
      </c>
      <c r="B23" s="188" t="s">
        <v>213</v>
      </c>
      <c r="C23">
        <v>0</v>
      </c>
      <c r="D23">
        <v>0.8</v>
      </c>
    </row>
    <row r="24" spans="1:4" x14ac:dyDescent="0.15">
      <c r="A24">
        <v>23</v>
      </c>
      <c r="B24" s="188" t="s">
        <v>214</v>
      </c>
      <c r="C24">
        <v>0</v>
      </c>
      <c r="D24">
        <v>0.8</v>
      </c>
    </row>
    <row r="25" spans="1:4" x14ac:dyDescent="0.15">
      <c r="A25">
        <v>24</v>
      </c>
      <c r="B25" s="188" t="s">
        <v>215</v>
      </c>
      <c r="C25">
        <v>0</v>
      </c>
      <c r="D25">
        <v>0</v>
      </c>
    </row>
    <row r="26" spans="1:4" x14ac:dyDescent="0.15">
      <c r="A26">
        <v>25</v>
      </c>
      <c r="B26" s="188" t="s">
        <v>216</v>
      </c>
      <c r="C26">
        <v>0</v>
      </c>
      <c r="D26">
        <v>0.8</v>
      </c>
    </row>
    <row r="27" spans="1:4" x14ac:dyDescent="0.15">
      <c r="A27">
        <v>26</v>
      </c>
      <c r="B27" s="188" t="s">
        <v>217</v>
      </c>
      <c r="C27">
        <v>0</v>
      </c>
      <c r="D27">
        <v>0.8</v>
      </c>
    </row>
    <row r="28" spans="1:4" x14ac:dyDescent="0.15">
      <c r="A28">
        <v>27</v>
      </c>
      <c r="B28" s="188" t="s">
        <v>218</v>
      </c>
      <c r="C28">
        <v>0</v>
      </c>
      <c r="D28">
        <v>0</v>
      </c>
    </row>
    <row r="29" spans="1:4" x14ac:dyDescent="0.15">
      <c r="A29">
        <v>28</v>
      </c>
      <c r="B29" s="188" t="s">
        <v>219</v>
      </c>
      <c r="C29">
        <v>0</v>
      </c>
      <c r="D29">
        <v>0</v>
      </c>
    </row>
    <row r="30" spans="1:4" x14ac:dyDescent="0.15">
      <c r="A30">
        <v>29</v>
      </c>
      <c r="B30" s="188" t="s">
        <v>220</v>
      </c>
      <c r="C30">
        <v>0</v>
      </c>
      <c r="D30">
        <v>0</v>
      </c>
    </row>
    <row r="31" spans="1:4" x14ac:dyDescent="0.15">
      <c r="A31">
        <v>30</v>
      </c>
      <c r="B31" s="188" t="s">
        <v>221</v>
      </c>
      <c r="C31">
        <v>0</v>
      </c>
      <c r="D3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6" sqref="K6"/>
    </sheetView>
  </sheetViews>
  <sheetFormatPr baseColWidth="10" defaultColWidth="8.83203125" defaultRowHeight="15" customHeight="1" x14ac:dyDescent="0.15"/>
  <cols>
    <col min="1" max="1" width="8.83203125" style="78"/>
    <col min="2" max="2" width="41.83203125" style="78" bestFit="1" customWidth="1"/>
    <col min="3" max="3" width="9.33203125" style="78" bestFit="1" customWidth="1"/>
    <col min="4" max="4" width="13" style="78" bestFit="1" customWidth="1"/>
    <col min="5" max="6" width="9.33203125" style="78" bestFit="1" customWidth="1"/>
    <col min="7" max="7" width="9.33203125" style="94" bestFit="1" customWidth="1"/>
    <col min="8" max="8" width="9.33203125" style="78" bestFit="1" customWidth="1"/>
    <col min="9" max="9" width="11" style="78" customWidth="1"/>
    <col min="10" max="10" width="8.83203125" style="78"/>
    <col min="15" max="16384" width="8.83203125" style="78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41">
        <v>1</v>
      </c>
      <c r="B2" s="141" t="s">
        <v>192</v>
      </c>
      <c r="C2" s="8">
        <v>4.8834271430969238</v>
      </c>
      <c r="D2" s="9">
        <v>2.500000037252903E-2</v>
      </c>
      <c r="E2" s="9">
        <v>5.000000074505806E-2</v>
      </c>
      <c r="F2" s="9">
        <v>30</v>
      </c>
      <c r="G2" s="7">
        <v>0</v>
      </c>
      <c r="H2" s="9">
        <v>1.6666667070239782E-3</v>
      </c>
      <c r="I2">
        <v>0</v>
      </c>
      <c r="J2"/>
    </row>
    <row r="3" spans="1:10" ht="15" customHeight="1" x14ac:dyDescent="0.15">
      <c r="A3" s="142">
        <v>2</v>
      </c>
      <c r="B3" s="142" t="s">
        <v>193</v>
      </c>
      <c r="C3" s="8">
        <v>4.3939433097839355</v>
      </c>
      <c r="D3" s="9">
        <v>2.0000000949949026E-3</v>
      </c>
      <c r="E3" s="9">
        <v>4.1999998092651367</v>
      </c>
      <c r="F3" s="9">
        <v>20.999998092651367</v>
      </c>
      <c r="G3" s="9">
        <v>0.95238101482391357</v>
      </c>
      <c r="H3" s="9">
        <v>0.20000000298023224</v>
      </c>
      <c r="I3">
        <v>8.0000003799796104E-3</v>
      </c>
      <c r="J3"/>
    </row>
    <row r="4" spans="1:10" ht="15" customHeight="1" x14ac:dyDescent="0.15">
      <c r="A4" s="143">
        <v>3</v>
      </c>
      <c r="B4" s="143" t="s">
        <v>194</v>
      </c>
      <c r="C4" s="8">
        <v>3.8499345779418945</v>
      </c>
      <c r="D4" s="9">
        <v>4.5000001788139343E-2</v>
      </c>
      <c r="E4" s="9">
        <v>4.8000001907348633</v>
      </c>
      <c r="F4" s="9">
        <v>24</v>
      </c>
      <c r="G4" s="9">
        <v>0.92870360612869263</v>
      </c>
      <c r="H4" s="9">
        <v>0.20000000298023224</v>
      </c>
      <c r="I4">
        <v>0.17599999904632568</v>
      </c>
      <c r="J4"/>
    </row>
    <row r="5" spans="1:10" ht="15" customHeight="1" x14ac:dyDescent="0.15">
      <c r="A5" s="144">
        <v>4</v>
      </c>
      <c r="B5" s="144" t="s">
        <v>195</v>
      </c>
      <c r="C5" s="8">
        <v>3.9072868824005127</v>
      </c>
      <c r="D5" s="9">
        <v>4.3999999761581421E-2</v>
      </c>
      <c r="E5" s="9">
        <v>4.6999998092651367</v>
      </c>
      <c r="F5" s="9">
        <v>23.499998092651367</v>
      </c>
      <c r="G5" s="9">
        <v>0.88346236944198608</v>
      </c>
      <c r="H5" s="9">
        <v>0.20000000298023224</v>
      </c>
      <c r="I5">
        <v>0.17100000381469727</v>
      </c>
      <c r="J5"/>
    </row>
    <row r="6" spans="1:10" ht="15" customHeight="1" x14ac:dyDescent="0.15">
      <c r="A6" s="145">
        <v>5</v>
      </c>
      <c r="B6" s="145" t="s">
        <v>196</v>
      </c>
      <c r="C6" s="8">
        <v>4.1349658966064453</v>
      </c>
      <c r="D6" s="9">
        <v>0.3729824423789978</v>
      </c>
      <c r="E6" s="9">
        <v>1.2000000476837158</v>
      </c>
      <c r="F6" s="9">
        <v>6</v>
      </c>
      <c r="G6" s="9">
        <v>0.95000004768371582</v>
      </c>
      <c r="H6" s="9">
        <v>0.20000000298023224</v>
      </c>
      <c r="I6">
        <v>0.12099999934434891</v>
      </c>
      <c r="J6"/>
    </row>
    <row r="7" spans="1:10" ht="15" customHeight="1" x14ac:dyDescent="0.15">
      <c r="A7" s="146">
        <v>6</v>
      </c>
      <c r="B7" s="146" t="s">
        <v>197</v>
      </c>
      <c r="C7" s="8">
        <v>3.3798682689666748</v>
      </c>
      <c r="D7" s="9">
        <v>0.164000004529953</v>
      </c>
      <c r="E7" s="9">
        <v>5.3000001907348633</v>
      </c>
      <c r="F7" s="9">
        <v>26.5</v>
      </c>
      <c r="G7" s="9">
        <v>0.98664826154708862</v>
      </c>
      <c r="H7" s="9">
        <v>0.20000000298023224</v>
      </c>
      <c r="I7">
        <v>0.63999998569488525</v>
      </c>
      <c r="J7"/>
    </row>
    <row r="8" spans="1:10" ht="15" customHeight="1" x14ac:dyDescent="0.15">
      <c r="A8" s="147">
        <v>7</v>
      </c>
      <c r="B8" s="147" t="s">
        <v>198</v>
      </c>
      <c r="C8" s="8">
        <v>3.9098541736602783</v>
      </c>
      <c r="D8" s="9">
        <v>0.28614035248756409</v>
      </c>
      <c r="E8" s="9">
        <v>1.2000000476837158</v>
      </c>
      <c r="F8" s="9">
        <v>6</v>
      </c>
      <c r="G8" s="9">
        <v>0.94999992847442627</v>
      </c>
      <c r="H8" s="9">
        <v>0.20000000298023224</v>
      </c>
      <c r="I8">
        <v>0.12700000405311584</v>
      </c>
      <c r="J8"/>
    </row>
    <row r="9" spans="1:10" ht="15" customHeight="1" x14ac:dyDescent="0.15">
      <c r="A9" s="148">
        <v>8</v>
      </c>
      <c r="B9" s="148" t="s">
        <v>199</v>
      </c>
      <c r="C9" s="8">
        <v>3.7369799613952637</v>
      </c>
      <c r="D9" s="9">
        <v>4.6622805297374725E-2</v>
      </c>
      <c r="E9" s="9">
        <v>3</v>
      </c>
      <c r="F9" s="9">
        <v>12</v>
      </c>
      <c r="G9" s="9">
        <v>0.80000001192092896</v>
      </c>
      <c r="H9" s="9">
        <v>0.25</v>
      </c>
      <c r="I9">
        <v>0</v>
      </c>
      <c r="J9"/>
    </row>
    <row r="10" spans="1:10" ht="15" customHeight="1" x14ac:dyDescent="0.15">
      <c r="A10" s="149">
        <v>9</v>
      </c>
      <c r="B10" s="149" t="s">
        <v>200</v>
      </c>
      <c r="C10" s="8">
        <v>3.7369799613952637</v>
      </c>
      <c r="D10" s="9">
        <v>4.6622805297374725E-2</v>
      </c>
      <c r="E10" s="9">
        <v>3</v>
      </c>
      <c r="F10" s="9">
        <v>12</v>
      </c>
      <c r="G10" s="9">
        <v>0.80000001192092896</v>
      </c>
      <c r="H10" s="9">
        <v>0.25</v>
      </c>
      <c r="I10">
        <v>0</v>
      </c>
      <c r="J10"/>
    </row>
    <row r="11" spans="1:10" ht="15" customHeight="1" x14ac:dyDescent="0.15">
      <c r="A11" s="150">
        <v>10</v>
      </c>
      <c r="B11" s="150" t="s">
        <v>201</v>
      </c>
      <c r="C11" s="8">
        <v>3.7589879035949707</v>
      </c>
      <c r="D11" s="9">
        <v>4.6622805297374725E-2</v>
      </c>
      <c r="E11" s="9">
        <v>3</v>
      </c>
      <c r="F11" s="9">
        <v>12</v>
      </c>
      <c r="G11" s="9">
        <v>0.80000001192092896</v>
      </c>
      <c r="H11" s="9">
        <v>0.25</v>
      </c>
      <c r="I11">
        <v>0</v>
      </c>
      <c r="J11"/>
    </row>
    <row r="12" spans="1:10" ht="15" customHeight="1" x14ac:dyDescent="0.15">
      <c r="A12" s="151">
        <v>11</v>
      </c>
      <c r="B12" s="151" t="s">
        <v>202</v>
      </c>
      <c r="C12" s="8">
        <v>3.5276939868927002</v>
      </c>
      <c r="D12" s="9">
        <v>0.81358820199966431</v>
      </c>
      <c r="E12" s="9">
        <v>3</v>
      </c>
      <c r="F12" s="9">
        <v>12</v>
      </c>
      <c r="G12" s="9">
        <v>0.95000004768371582</v>
      </c>
      <c r="H12" s="9">
        <v>0.25</v>
      </c>
      <c r="I12">
        <v>1.0060000419616699</v>
      </c>
      <c r="J12"/>
    </row>
    <row r="13" spans="1:10" ht="15" customHeight="1" x14ac:dyDescent="0.15">
      <c r="A13" s="152">
        <v>12</v>
      </c>
      <c r="B13" s="152" t="s">
        <v>203</v>
      </c>
      <c r="C13" s="8">
        <v>3.3811519145965576</v>
      </c>
      <c r="D13" s="9">
        <v>0.34999999403953552</v>
      </c>
      <c r="E13" s="9">
        <v>5.4000000953674316</v>
      </c>
      <c r="F13" s="9">
        <v>27</v>
      </c>
      <c r="G13" s="9">
        <v>0.97098523378372192</v>
      </c>
      <c r="H13" s="9">
        <v>0.20000000298023224</v>
      </c>
      <c r="I13">
        <v>1.3700000047683716</v>
      </c>
      <c r="J13"/>
    </row>
    <row r="14" spans="1:10" ht="15" customHeight="1" x14ac:dyDescent="0.15">
      <c r="A14" s="153">
        <v>13</v>
      </c>
      <c r="B14" s="153" t="s">
        <v>204</v>
      </c>
      <c r="C14" s="8">
        <v>3.344092845916748</v>
      </c>
      <c r="D14" s="9">
        <v>0.16200000047683716</v>
      </c>
      <c r="E14" s="9">
        <v>6.5999999046325684</v>
      </c>
      <c r="F14" s="9">
        <v>26.399999618530273</v>
      </c>
      <c r="G14" s="9">
        <v>0.98028135299682617</v>
      </c>
      <c r="H14" s="9">
        <v>0.25</v>
      </c>
      <c r="I14">
        <v>0.63499999046325684</v>
      </c>
      <c r="J14"/>
    </row>
    <row r="15" spans="1:10" ht="15" customHeight="1" x14ac:dyDescent="0.15">
      <c r="A15" s="154">
        <v>14</v>
      </c>
      <c r="B15" s="154" t="s">
        <v>205</v>
      </c>
      <c r="C15" s="8">
        <v>3.50205397605896</v>
      </c>
      <c r="D15" s="9">
        <v>7.1999996900558472E-2</v>
      </c>
      <c r="E15" s="9">
        <v>6</v>
      </c>
      <c r="F15" s="9">
        <v>30</v>
      </c>
      <c r="G15" s="9">
        <v>0.89513891935348511</v>
      </c>
      <c r="H15" s="9">
        <v>0.20000000298023224</v>
      </c>
      <c r="I15">
        <v>0.28099998831748962</v>
      </c>
      <c r="J15"/>
    </row>
    <row r="16" spans="1:10" ht="15" customHeight="1" x14ac:dyDescent="0.15">
      <c r="A16" s="155">
        <v>15</v>
      </c>
      <c r="B16" s="155" t="s">
        <v>206</v>
      </c>
      <c r="C16" s="8">
        <v>3.3893628120422363</v>
      </c>
      <c r="D16" s="9">
        <v>7.0000002160668373E-3</v>
      </c>
      <c r="E16" s="9">
        <v>4.1999998092651367</v>
      </c>
      <c r="F16" s="9">
        <v>20.999998092651367</v>
      </c>
      <c r="G16" s="9">
        <v>0.95238101482391357</v>
      </c>
      <c r="H16" s="9">
        <v>0.20000000298023224</v>
      </c>
      <c r="I16">
        <v>2.8000000864267349E-2</v>
      </c>
      <c r="J16"/>
    </row>
    <row r="17" spans="1:10" ht="15" customHeight="1" x14ac:dyDescent="0.15">
      <c r="A17" s="156">
        <v>16</v>
      </c>
      <c r="B17" s="156" t="s">
        <v>207</v>
      </c>
      <c r="C17" s="8">
        <v>3.3544597625732422</v>
      </c>
      <c r="D17" s="9">
        <v>6.0000000521540642E-3</v>
      </c>
      <c r="E17" s="9">
        <v>5.5999999046325684</v>
      </c>
      <c r="F17" s="9">
        <v>22.399999618530273</v>
      </c>
      <c r="G17" s="9">
        <v>0.96249997615814209</v>
      </c>
      <c r="H17" s="9">
        <v>0.25</v>
      </c>
      <c r="I17">
        <v>2.199999988079071E-2</v>
      </c>
      <c r="J17"/>
    </row>
    <row r="18" spans="1:10" ht="15" customHeight="1" x14ac:dyDescent="0.15">
      <c r="A18" s="157">
        <v>17</v>
      </c>
      <c r="B18" s="157" t="s">
        <v>208</v>
      </c>
      <c r="C18" s="8">
        <v>3.1865928173065186</v>
      </c>
      <c r="D18" s="9">
        <v>0.19099999964237213</v>
      </c>
      <c r="E18" s="9">
        <v>6.5</v>
      </c>
      <c r="F18" s="9">
        <v>26</v>
      </c>
      <c r="G18" s="9">
        <v>0.84272420406341553</v>
      </c>
      <c r="H18" s="9">
        <v>0.25</v>
      </c>
      <c r="I18">
        <v>0.74900001287460327</v>
      </c>
      <c r="J18"/>
    </row>
    <row r="19" spans="1:10" ht="15" customHeight="1" x14ac:dyDescent="0.15">
      <c r="A19" s="158">
        <v>18</v>
      </c>
      <c r="B19" s="158" t="s">
        <v>209</v>
      </c>
      <c r="C19" s="8">
        <v>3.0526316165924072</v>
      </c>
      <c r="D19" s="9">
        <v>1</v>
      </c>
      <c r="E19" s="9">
        <v>5</v>
      </c>
      <c r="F19" s="9">
        <v>20</v>
      </c>
      <c r="G19" s="7">
        <v>0</v>
      </c>
      <c r="H19" s="9">
        <v>0.25</v>
      </c>
      <c r="I19">
        <v>0</v>
      </c>
      <c r="J19"/>
    </row>
    <row r="20" spans="1:10" ht="15" customHeight="1" x14ac:dyDescent="0.15">
      <c r="A20" s="159">
        <v>19</v>
      </c>
      <c r="B20" s="159" t="s">
        <v>210</v>
      </c>
      <c r="C20" s="8">
        <v>2.9473683834075928</v>
      </c>
      <c r="D20" s="9">
        <v>1.0831015110015869</v>
      </c>
      <c r="E20" s="9">
        <v>4.5</v>
      </c>
      <c r="F20" s="9">
        <v>18</v>
      </c>
      <c r="G20" s="9">
        <v>0.95000004768371582</v>
      </c>
      <c r="H20" s="9">
        <v>0.25</v>
      </c>
      <c r="I20">
        <v>0.62199997901916504</v>
      </c>
      <c r="J20"/>
    </row>
    <row r="21" spans="1:10" ht="15" customHeight="1" x14ac:dyDescent="0.15">
      <c r="A21" s="160">
        <v>20</v>
      </c>
      <c r="B21" s="160" t="s">
        <v>211</v>
      </c>
      <c r="C21" s="8">
        <v>2.9473683834075928</v>
      </c>
      <c r="D21" s="9">
        <v>1.1810762882232666</v>
      </c>
      <c r="E21" s="9">
        <v>4.5</v>
      </c>
      <c r="F21" s="9">
        <v>18</v>
      </c>
      <c r="G21" s="9">
        <v>0.95000004768371582</v>
      </c>
      <c r="H21" s="9">
        <v>0.25</v>
      </c>
      <c r="I21">
        <v>0.95499998331069946</v>
      </c>
      <c r="J21"/>
    </row>
    <row r="22" spans="1:10" ht="15" customHeight="1" x14ac:dyDescent="0.15">
      <c r="A22" s="161">
        <v>21</v>
      </c>
      <c r="B22" s="161" t="s">
        <v>212</v>
      </c>
      <c r="C22" s="8">
        <v>2.7836565971374512</v>
      </c>
      <c r="D22" s="9">
        <v>0.12300000339746475</v>
      </c>
      <c r="E22" s="9">
        <v>6.4499998092651367</v>
      </c>
      <c r="F22" s="9">
        <v>25.799999237060547</v>
      </c>
      <c r="G22" s="9">
        <v>0.97174471616744995</v>
      </c>
      <c r="H22" s="9">
        <v>0.25</v>
      </c>
      <c r="I22">
        <v>0.47999998927116394</v>
      </c>
      <c r="J22"/>
    </row>
    <row r="23" spans="1:10" ht="15" customHeight="1" x14ac:dyDescent="0.15">
      <c r="A23" s="162">
        <v>22</v>
      </c>
      <c r="B23" s="162" t="s">
        <v>213</v>
      </c>
      <c r="C23" s="8">
        <v>2.7797784805297852</v>
      </c>
      <c r="D23" s="9">
        <v>4.1999999433755875E-2</v>
      </c>
      <c r="E23" s="9">
        <v>7.4000000953674316</v>
      </c>
      <c r="F23" s="9">
        <v>29.600000381469727</v>
      </c>
      <c r="G23" s="9">
        <v>0.85778635740280151</v>
      </c>
      <c r="H23" s="9">
        <v>0.25</v>
      </c>
      <c r="I23">
        <v>0.24500000476837158</v>
      </c>
      <c r="J23"/>
    </row>
    <row r="24" spans="1:10" ht="15" customHeight="1" x14ac:dyDescent="0.15">
      <c r="A24" s="163">
        <v>23</v>
      </c>
      <c r="B24" s="163" t="s">
        <v>214</v>
      </c>
      <c r="C24" s="8">
        <v>2.6530470848083496</v>
      </c>
      <c r="D24" s="9">
        <v>0.55500000715255737</v>
      </c>
      <c r="E24" s="9">
        <v>7.0999999046325684</v>
      </c>
      <c r="F24" s="9">
        <v>28.399999618530273</v>
      </c>
      <c r="G24" s="9">
        <v>0.99865370988845825</v>
      </c>
      <c r="H24" s="9">
        <v>0.25</v>
      </c>
      <c r="I24">
        <v>2.1719999313354492</v>
      </c>
      <c r="J24"/>
    </row>
    <row r="25" spans="1:10" ht="15" customHeight="1" x14ac:dyDescent="0.15">
      <c r="A25" s="164">
        <v>24</v>
      </c>
      <c r="B25" s="164" t="s">
        <v>215</v>
      </c>
      <c r="C25" s="8">
        <v>2.5595567226409912</v>
      </c>
      <c r="D25" s="9">
        <v>33</v>
      </c>
      <c r="E25" s="9">
        <v>5</v>
      </c>
      <c r="F25" s="9">
        <v>20</v>
      </c>
      <c r="G25" s="9">
        <v>0.32560637593269348</v>
      </c>
      <c r="H25" s="9">
        <v>0.25</v>
      </c>
      <c r="I25">
        <v>0</v>
      </c>
      <c r="J25"/>
    </row>
    <row r="26" spans="1:10" ht="15" customHeight="1" x14ac:dyDescent="0.15">
      <c r="A26" s="165">
        <v>25</v>
      </c>
      <c r="B26" s="165" t="s">
        <v>216</v>
      </c>
      <c r="C26" s="8">
        <v>2.4171745777130127</v>
      </c>
      <c r="D26" s="9">
        <v>1.3602192401885986</v>
      </c>
      <c r="E26" s="9">
        <v>6.0999999046325684</v>
      </c>
      <c r="F26" s="9">
        <v>24.399999618530273</v>
      </c>
      <c r="G26" s="9">
        <v>0.95000004768371582</v>
      </c>
      <c r="H26" s="9">
        <v>0.25</v>
      </c>
      <c r="I26">
        <v>0.90100002288818359</v>
      </c>
      <c r="J26"/>
    </row>
    <row r="27" spans="1:10" ht="15" customHeight="1" x14ac:dyDescent="0.15">
      <c r="A27" s="166">
        <v>26</v>
      </c>
      <c r="B27" s="166" t="s">
        <v>217</v>
      </c>
      <c r="C27" s="8">
        <v>2.2105262279510498</v>
      </c>
      <c r="D27" s="9">
        <v>12.620903968811035</v>
      </c>
      <c r="E27" s="9">
        <v>3</v>
      </c>
      <c r="F27" s="9">
        <v>12</v>
      </c>
      <c r="G27" s="9">
        <v>0.89999997615814209</v>
      </c>
      <c r="H27" s="9">
        <v>0.25</v>
      </c>
      <c r="I27">
        <v>0.95499998331069946</v>
      </c>
      <c r="J27"/>
    </row>
    <row r="28" spans="1:10" ht="15" customHeight="1" x14ac:dyDescent="0.15">
      <c r="A28" s="167">
        <v>27</v>
      </c>
      <c r="B28" s="167" t="s">
        <v>218</v>
      </c>
      <c r="C28" s="8">
        <v>2.0526316165924072</v>
      </c>
      <c r="D28" s="9">
        <v>17.299999237060547</v>
      </c>
      <c r="E28" s="9">
        <v>40</v>
      </c>
      <c r="F28" s="9">
        <v>192</v>
      </c>
      <c r="G28" s="9">
        <v>0.77879256010055542</v>
      </c>
      <c r="H28" s="9">
        <v>0.2083333283662796</v>
      </c>
      <c r="I28">
        <v>0</v>
      </c>
      <c r="J28"/>
    </row>
    <row r="29" spans="1:10" ht="15" customHeight="1" x14ac:dyDescent="0.15">
      <c r="A29" s="168">
        <v>28</v>
      </c>
      <c r="B29" s="168" t="s">
        <v>219</v>
      </c>
      <c r="C29" s="8">
        <v>1</v>
      </c>
      <c r="D29" s="9">
        <v>18.25</v>
      </c>
      <c r="E29" s="9">
        <v>200</v>
      </c>
      <c r="F29" s="10"/>
      <c r="G29" s="9">
        <v>0.84542626142501831</v>
      </c>
      <c r="H29" s="10"/>
      <c r="I29">
        <v>0</v>
      </c>
      <c r="J29"/>
    </row>
    <row r="30" spans="1:10" ht="15" customHeight="1" x14ac:dyDescent="0.15">
      <c r="A30" s="169">
        <v>29</v>
      </c>
      <c r="B30" s="169" t="s">
        <v>220</v>
      </c>
      <c r="C30" s="8">
        <v>1</v>
      </c>
      <c r="D30" s="9">
        <v>100</v>
      </c>
      <c r="E30" s="10"/>
      <c r="F30" s="10"/>
      <c r="G30" s="9">
        <v>0.32909718155860901</v>
      </c>
      <c r="H30" s="10"/>
      <c r="I30">
        <v>0</v>
      </c>
      <c r="J30"/>
    </row>
    <row r="31" spans="1:10" ht="15" customHeight="1" x14ac:dyDescent="0.15">
      <c r="A31" s="170">
        <v>30</v>
      </c>
      <c r="B31" s="170" t="s">
        <v>221</v>
      </c>
      <c r="C31" s="8">
        <v>1</v>
      </c>
      <c r="D31" s="9">
        <v>5</v>
      </c>
      <c r="E31" s="10"/>
      <c r="F31" s="10"/>
      <c r="G31" s="7">
        <v>0</v>
      </c>
      <c r="H31" s="10"/>
      <c r="I31">
        <v>0</v>
      </c>
      <c r="J31"/>
    </row>
    <row r="32" spans="1:10" ht="15" customHeight="1" x14ac:dyDescent="0.15">
      <c r="A32" s="198">
        <v>31</v>
      </c>
      <c r="B32" s="198" t="s">
        <v>222</v>
      </c>
      <c r="C32" s="8">
        <v>4.1887316703796387</v>
      </c>
      <c r="D32" s="10"/>
      <c r="E32" s="10"/>
      <c r="F32" s="10"/>
      <c r="G32" s="10"/>
      <c r="H32" s="10"/>
      <c r="I32">
        <v>2.3199999332427979</v>
      </c>
      <c r="J32"/>
    </row>
    <row r="33" spans="1:10" ht="15" customHeight="1" x14ac:dyDescent="0.15">
      <c r="A33" s="199">
        <v>32</v>
      </c>
      <c r="B33" s="199" t="s">
        <v>223</v>
      </c>
      <c r="C33" s="8">
        <v>3.9648594856262207</v>
      </c>
      <c r="D33" s="10"/>
      <c r="E33" s="10"/>
      <c r="F33" s="10"/>
      <c r="G33" s="10"/>
      <c r="H33" s="10"/>
      <c r="I33">
        <v>9.3439998626708984</v>
      </c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8" bestFit="1" customWidth="1"/>
    <col min="2" max="4" width="9.5" style="78" bestFit="1" customWidth="1"/>
    <col min="5" max="7" width="9" style="78" bestFit="1" customWidth="1"/>
    <col min="8" max="16" width="12.6640625" style="78" bestFit="1" customWidth="1"/>
    <col min="17" max="17" width="12.33203125" style="78" bestFit="1" customWidth="1"/>
    <col min="18" max="18" width="8.83203125" style="78"/>
    <col min="19" max="21" width="9.33203125" style="78" bestFit="1" customWidth="1"/>
    <col min="22" max="23" width="8.83203125" style="78"/>
    <col min="24" max="24" width="9.33203125" style="78" bestFit="1" customWidth="1"/>
    <col min="25" max="27" width="8.83203125" style="78"/>
    <col min="28" max="58" width="9" style="78" bestFit="1" customWidth="1"/>
    <col min="59" max="59" width="12.33203125" style="78" bestFit="1" customWidth="1"/>
    <col min="60" max="60" width="9" style="78" bestFit="1" customWidth="1"/>
    <col min="61" max="61" width="11.33203125" style="78" bestFit="1" customWidth="1"/>
    <col min="62" max="77" width="9" style="78" bestFit="1" customWidth="1"/>
    <col min="78" max="78" width="12.33203125" style="78" bestFit="1" customWidth="1"/>
    <col min="79" max="79" width="9" style="78" bestFit="1" customWidth="1"/>
    <col min="80" max="80" width="12.33203125" style="78" bestFit="1" customWidth="1"/>
    <col min="81" max="107" width="9" style="78" bestFit="1" customWidth="1"/>
    <col min="108" max="108" width="11.33203125" style="78" bestFit="1" customWidth="1"/>
    <col min="109" max="124" width="9" style="78" bestFit="1" customWidth="1"/>
    <col min="125" max="125" width="10.33203125" style="78" bestFit="1" customWidth="1"/>
    <col min="126" max="129" width="9.33203125" style="78" bestFit="1" customWidth="1"/>
    <col min="130" max="130" width="9" style="78" bestFit="1" customWidth="1"/>
    <col min="131" max="134" width="9.33203125" style="78" bestFit="1" customWidth="1"/>
    <col min="135" max="165" width="9" style="78" bestFit="1" customWidth="1"/>
    <col min="166" max="166" width="12.33203125" style="78" bestFit="1" customWidth="1"/>
    <col min="167" max="170" width="9" style="78" bestFit="1" customWidth="1"/>
    <col min="171" max="176" width="8.83203125" style="78"/>
    <col min="177" max="177" width="13.83203125" style="78" bestFit="1" customWidth="1"/>
    <col min="178" max="16384" width="8.83203125" style="78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228</v>
      </c>
      <c r="E1" t="s">
        <v>229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 t="s">
        <v>210</v>
      </c>
      <c r="Y1" t="s">
        <v>211</v>
      </c>
      <c r="Z1" t="s">
        <v>212</v>
      </c>
      <c r="AA1" t="s">
        <v>213</v>
      </c>
      <c r="AB1" t="s">
        <v>214</v>
      </c>
      <c r="AC1" t="s">
        <v>215</v>
      </c>
      <c r="AD1" t="s">
        <v>216</v>
      </c>
      <c r="AE1" t="s">
        <v>217</v>
      </c>
      <c r="AF1" t="s">
        <v>218</v>
      </c>
      <c r="AG1" t="s">
        <v>219</v>
      </c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5.000000074505806E-2</v>
      </c>
      <c r="C2">
        <v>5.000000074505806E-2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4.1999998092651367</v>
      </c>
      <c r="C3">
        <v>0.19999973475933075</v>
      </c>
      <c r="D3"/>
      <c r="E3" s="205">
        <v>4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4.8000001907348633</v>
      </c>
      <c r="C4">
        <v>0.34222269058227539</v>
      </c>
      <c r="D4"/>
      <c r="E4" s="206">
        <v>3.9111108779907227</v>
      </c>
      <c r="F4" s="221">
        <v>0.49999997019767761</v>
      </c>
      <c r="G4" s="14">
        <v>4.6666663140058517E-2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4.6999998092651367</v>
      </c>
      <c r="C5">
        <v>0.54772686958312988</v>
      </c>
      <c r="D5"/>
      <c r="E5" s="207">
        <v>3.8863637447357178</v>
      </c>
      <c r="F5" s="26">
        <v>0.17045454680919647</v>
      </c>
      <c r="G5" s="20">
        <v>9.5454543828964233E-2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1.2000000476837158</v>
      </c>
      <c r="C6">
        <v>5.9999946504831314E-2</v>
      </c>
      <c r="D6" s="200">
        <v>0.32441204786300659</v>
      </c>
      <c r="E6"/>
      <c r="F6" s="233">
        <v>0.80432742834091187</v>
      </c>
      <c r="G6" s="14">
        <v>1.1260583065450191E-2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5.3000001907348633</v>
      </c>
      <c r="C7">
        <v>7.0764213800430298E-2</v>
      </c>
      <c r="D7"/>
      <c r="E7" s="208">
        <v>3.9024388790130615</v>
      </c>
      <c r="F7"/>
      <c r="G7"/>
      <c r="H7" s="66">
        <v>0.32926830649375916</v>
      </c>
      <c r="I7" s="65">
        <v>0.31524387001991272</v>
      </c>
      <c r="J7" s="133">
        <v>0.68228495121002197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1.2000000476837158</v>
      </c>
      <c r="C8">
        <v>6.0000088065862656E-2</v>
      </c>
      <c r="D8" s="201">
        <v>0.16076026856899261</v>
      </c>
      <c r="E8" s="209">
        <v>0.28307786583900452</v>
      </c>
      <c r="F8" s="232">
        <v>0.68148374557495117</v>
      </c>
      <c r="G8" s="17">
        <v>1.4678111299872398E-2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3</v>
      </c>
      <c r="C9">
        <v>0.59999996423721313</v>
      </c>
      <c r="D9"/>
      <c r="E9"/>
      <c r="F9"/>
      <c r="G9"/>
      <c r="H9"/>
      <c r="I9"/>
      <c r="J9" s="229">
        <v>2.4000000953674316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3</v>
      </c>
      <c r="C10">
        <v>0.59999996423721313</v>
      </c>
      <c r="D10"/>
      <c r="E10"/>
      <c r="F10"/>
      <c r="G10"/>
      <c r="H10"/>
      <c r="I10"/>
      <c r="J10" s="229">
        <v>2.4000000953674316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3</v>
      </c>
      <c r="C11">
        <v>0.59999996423721313</v>
      </c>
      <c r="D11"/>
      <c r="E11"/>
      <c r="F11"/>
      <c r="G11"/>
      <c r="H11"/>
      <c r="I11"/>
      <c r="J11" s="229">
        <v>2.4000000953674316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3</v>
      </c>
      <c r="C12">
        <v>0.14999985694885254</v>
      </c>
      <c r="D12" s="202">
        <v>0.78786784410476685</v>
      </c>
      <c r="E12" s="210">
        <v>0.44862991571426392</v>
      </c>
      <c r="F12" s="67">
        <v>0.2765527069568634</v>
      </c>
      <c r="G12" s="12">
        <v>1.0324632748961449E-2</v>
      </c>
      <c r="H12" s="224">
        <v>0.13274529576301575</v>
      </c>
      <c r="I12" s="63">
        <v>6.3545659184455872E-2</v>
      </c>
      <c r="J12" s="234">
        <v>0.46761012077331543</v>
      </c>
      <c r="K12"/>
      <c r="L12" s="73">
        <v>0.42204207181930542</v>
      </c>
      <c r="M12" s="223">
        <v>6.8766199052333832E-2</v>
      </c>
      <c r="N12" s="223">
        <v>6.8766199052333832E-2</v>
      </c>
      <c r="O12" s="26">
        <v>0.10314930230379105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5.4000000953674316</v>
      </c>
      <c r="C13">
        <v>0.15667973458766937</v>
      </c>
      <c r="D13"/>
      <c r="E13" s="140">
        <v>3.9142858982086182</v>
      </c>
      <c r="F13"/>
      <c r="G13"/>
      <c r="H13"/>
      <c r="I13" s="62">
        <v>0.29542854428291321</v>
      </c>
      <c r="J13"/>
      <c r="K13" s="224">
        <v>0.2483428567647934</v>
      </c>
      <c r="L13" s="224">
        <v>0.24526317417621613</v>
      </c>
      <c r="M13"/>
      <c r="N13"/>
      <c r="O13"/>
      <c r="P13"/>
      <c r="Q13" s="135">
        <v>0.54000002145767212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6.5999999046325684</v>
      </c>
      <c r="C14">
        <v>0.13014306128025055</v>
      </c>
      <c r="D14"/>
      <c r="E14" s="211">
        <v>3.9197530746459961</v>
      </c>
      <c r="F14"/>
      <c r="G14" s="12">
        <v>2.5925925001502037E-2</v>
      </c>
      <c r="H14" s="228">
        <v>0.66666668653488159</v>
      </c>
      <c r="I14" s="225">
        <v>0.63827157020568848</v>
      </c>
      <c r="J14" s="66">
        <v>0.41442492604255676</v>
      </c>
      <c r="K14" s="230">
        <v>0.80481481552124023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6</v>
      </c>
      <c r="C15">
        <v>0.62916648387908936</v>
      </c>
      <c r="D15"/>
      <c r="E15" s="212">
        <v>3.9027776718139648</v>
      </c>
      <c r="F15"/>
      <c r="G15"/>
      <c r="H15" s="222">
        <v>0.75000005960464478</v>
      </c>
      <c r="I15" s="134">
        <v>0.71805554628372192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4.1999998092651367</v>
      </c>
      <c r="C16">
        <v>0.19999973475933075</v>
      </c>
      <c r="D16"/>
      <c r="E16" s="205">
        <v>4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5.5999999046325684</v>
      </c>
      <c r="C17">
        <v>0.21000012755393982</v>
      </c>
      <c r="D17"/>
      <c r="E17" s="213">
        <v>3.6666665077209473</v>
      </c>
      <c r="F17"/>
      <c r="G17"/>
      <c r="H17"/>
      <c r="I17" s="219">
        <v>1.7233331203460693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6.5</v>
      </c>
      <c r="C18">
        <v>1.0222926139831543</v>
      </c>
      <c r="D18"/>
      <c r="E18" s="214">
        <v>3.9214661121368408</v>
      </c>
      <c r="F18"/>
      <c r="G18"/>
      <c r="H18" s="227">
        <v>0.56544506549835205</v>
      </c>
      <c r="I18" s="226">
        <v>0.54136121273040771</v>
      </c>
      <c r="J18"/>
      <c r="K18"/>
      <c r="L18" s="220">
        <v>0.44943514466285706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5</v>
      </c>
      <c r="C19">
        <v>5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4.5</v>
      </c>
      <c r="C20">
        <v>0.22499978542327881</v>
      </c>
      <c r="D20" s="203">
        <v>0.51426386833190918</v>
      </c>
      <c r="E20" s="16">
        <v>6.0012839734554291E-2</v>
      </c>
      <c r="F20"/>
      <c r="G20" s="11">
        <v>3.8777526933699846E-3</v>
      </c>
      <c r="H20" s="231">
        <v>0.14957047998905182</v>
      </c>
      <c r="I20"/>
      <c r="J20" s="238">
        <v>0.51654773950576782</v>
      </c>
      <c r="K20"/>
      <c r="L20" s="69">
        <v>0.31702333688735962</v>
      </c>
      <c r="M20" s="26">
        <v>0.15496432781219482</v>
      </c>
      <c r="N20" s="26">
        <v>0.15496432781219482</v>
      </c>
      <c r="O20" s="18">
        <v>7.7482163906097412E-2</v>
      </c>
      <c r="P20" s="240">
        <v>1.8027966022491455</v>
      </c>
      <c r="Q20" s="238">
        <v>0.52349662780761719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4.5</v>
      </c>
      <c r="C21">
        <v>0.22499978542327881</v>
      </c>
      <c r="D21" s="204">
        <v>0.80858451128005981</v>
      </c>
      <c r="E21"/>
      <c r="F21"/>
      <c r="G21" s="11">
        <v>3.5560782998800278E-3</v>
      </c>
      <c r="H21" s="24">
        <v>0.13716304302215576</v>
      </c>
      <c r="I21"/>
      <c r="J21" s="237">
        <v>0.47369813919067383</v>
      </c>
      <c r="K21"/>
      <c r="L21" s="235">
        <v>0.36340627074241638</v>
      </c>
      <c r="M21" s="24">
        <v>0.1421094536781311</v>
      </c>
      <c r="N21" s="24">
        <v>0.1421094536781311</v>
      </c>
      <c r="O21" s="15">
        <v>7.1054726839065552E-2</v>
      </c>
      <c r="P21" s="241">
        <v>1.6532477140426636</v>
      </c>
      <c r="Q21" s="237">
        <v>0.480070561170578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6.4499998092651367</v>
      </c>
      <c r="C22">
        <v>0.18224658071994781</v>
      </c>
      <c r="D22"/>
      <c r="E22" s="215">
        <v>3.9024388790130615</v>
      </c>
      <c r="F22"/>
      <c r="G22"/>
      <c r="H22"/>
      <c r="I22" s="133">
        <v>0.84065032005310059</v>
      </c>
      <c r="J22"/>
      <c r="K22" s="62">
        <v>0.35333332419395447</v>
      </c>
      <c r="L22"/>
      <c r="M22"/>
      <c r="N22"/>
      <c r="O22" s="26">
        <v>0.22742831707000732</v>
      </c>
      <c r="P22"/>
      <c r="Q22" s="134">
        <v>0.76829266548156738</v>
      </c>
      <c r="R22"/>
      <c r="S22" s="23">
        <v>0.17560973763465881</v>
      </c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7.4000000953674316</v>
      </c>
      <c r="C23">
        <v>1.0523809194564819</v>
      </c>
      <c r="D23"/>
      <c r="E23" s="216">
        <v>5.8333334922790527</v>
      </c>
      <c r="F23"/>
      <c r="G23"/>
      <c r="H23"/>
      <c r="I23"/>
      <c r="J23"/>
      <c r="K23"/>
      <c r="L23"/>
      <c r="M23"/>
      <c r="N23"/>
      <c r="O23"/>
      <c r="P23"/>
      <c r="Q23"/>
      <c r="R23"/>
      <c r="S23" s="220">
        <v>0.51428568363189697</v>
      </c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7.0999999046325684</v>
      </c>
      <c r="C24">
        <v>9.5586599782109261E-3</v>
      </c>
      <c r="D24"/>
      <c r="E24" s="217">
        <v>3.9135134220123291</v>
      </c>
      <c r="F24"/>
      <c r="G24"/>
      <c r="H24"/>
      <c r="I24" s="66">
        <v>0.44713509082794189</v>
      </c>
      <c r="J24"/>
      <c r="K24" s="236">
        <v>0.78306311368942261</v>
      </c>
      <c r="L24"/>
      <c r="M24"/>
      <c r="N24"/>
      <c r="O24" s="19">
        <v>0.30241820216178894</v>
      </c>
      <c r="P24" s="102">
        <v>0.87955480813980103</v>
      </c>
      <c r="Q24" s="27">
        <v>0.34054052829742432</v>
      </c>
      <c r="R24" s="62">
        <v>0.38529729843139648</v>
      </c>
      <c r="S24" s="22">
        <v>3.8918916136026382E-2</v>
      </c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5</v>
      </c>
      <c r="C25">
        <v>3.3719680309295654</v>
      </c>
      <c r="D25"/>
      <c r="E25"/>
      <c r="F25"/>
      <c r="G25" s="11">
        <v>1.2727272405754775E-4</v>
      </c>
      <c r="H25"/>
      <c r="I25"/>
      <c r="J25" s="11">
        <v>3.3907494507730007E-3</v>
      </c>
      <c r="K25" s="22">
        <v>3.160727396607399E-2</v>
      </c>
      <c r="L25"/>
      <c r="M25"/>
      <c r="N25"/>
      <c r="O25"/>
      <c r="P25" s="22">
        <v>2.9585026204586029E-2</v>
      </c>
      <c r="Q25" s="21">
        <v>3.7227269262075424E-2</v>
      </c>
      <c r="R25" s="21">
        <v>3.8880001753568649E-2</v>
      </c>
      <c r="S25" s="14">
        <v>5.236363410949707E-2</v>
      </c>
      <c r="T25" s="11">
        <v>3.563636215403676E-3</v>
      </c>
      <c r="U25" s="11">
        <v>2.8509090188890696E-3</v>
      </c>
      <c r="V25" s="17">
        <v>6.0193940997123718E-2</v>
      </c>
      <c r="W25"/>
      <c r="X25"/>
      <c r="Y25"/>
      <c r="Z25" s="22">
        <v>2.8849093243479729E-2</v>
      </c>
      <c r="AA25" s="12">
        <v>1.8836362287402153E-2</v>
      </c>
      <c r="AB25" s="223">
        <v>0.11940909177064896</v>
      </c>
      <c r="AC25" s="243">
        <v>1</v>
      </c>
      <c r="AD25" s="64">
        <v>0.20114757120609283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6.0999999046325684</v>
      </c>
      <c r="C26">
        <v>0.3049997091293335</v>
      </c>
      <c r="D26"/>
      <c r="E26" s="218">
        <v>0.66239321231842041</v>
      </c>
      <c r="F26"/>
      <c r="G26" s="11">
        <v>1.5438686823472381E-3</v>
      </c>
      <c r="H26"/>
      <c r="I26" s="17">
        <v>7.6017148792743683E-2</v>
      </c>
      <c r="J26"/>
      <c r="K26" s="221">
        <v>0.63901466131210327</v>
      </c>
      <c r="L26" s="63">
        <v>0.1262180507183075</v>
      </c>
      <c r="M26"/>
      <c r="N26"/>
      <c r="O26"/>
      <c r="P26" s="239">
        <v>0.71775621175765991</v>
      </c>
      <c r="Q26" s="242">
        <v>2.0842227935791016</v>
      </c>
      <c r="R26" s="234">
        <v>0.94325971603393555</v>
      </c>
      <c r="S26" s="25">
        <v>0.15879791975021362</v>
      </c>
      <c r="T26" s="13">
        <v>1.0807081125676632E-2</v>
      </c>
      <c r="U26" s="13">
        <v>9.8807597532868385E-3</v>
      </c>
      <c r="V26" s="139">
        <v>0.36508819460868835</v>
      </c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3</v>
      </c>
      <c r="C27">
        <v>0.30000007152557373</v>
      </c>
      <c r="D27"/>
      <c r="E27" s="25">
        <v>7.5668111443519592E-2</v>
      </c>
      <c r="F27"/>
      <c r="G27"/>
      <c r="H27"/>
      <c r="I27"/>
      <c r="J27"/>
      <c r="K27"/>
      <c r="L27"/>
      <c r="M27"/>
      <c r="N27"/>
      <c r="O27"/>
      <c r="P27"/>
      <c r="Q27"/>
      <c r="R27"/>
      <c r="S27" s="13">
        <v>8.5572311654686928E-3</v>
      </c>
      <c r="T27"/>
      <c r="U27" s="11">
        <v>1.0648999596014619E-3</v>
      </c>
      <c r="V27"/>
      <c r="W27"/>
      <c r="X27"/>
      <c r="Y27"/>
      <c r="Z27"/>
      <c r="AA27"/>
      <c r="AB27"/>
      <c r="AC27" s="244">
        <v>2.6147096157073975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40</v>
      </c>
      <c r="C28">
        <v>8.848297119140625</v>
      </c>
      <c r="D28"/>
      <c r="E28"/>
      <c r="F28"/>
      <c r="G28"/>
      <c r="H28" s="11">
        <v>1.8728327006101608E-2</v>
      </c>
      <c r="I28" s="11">
        <v>5.976878572255373E-3</v>
      </c>
      <c r="J28" s="11">
        <v>6.4679039642214775E-3</v>
      </c>
      <c r="K28" s="13">
        <v>0.10048555582761765</v>
      </c>
      <c r="L28" s="11">
        <v>1.4885916374623775E-2</v>
      </c>
      <c r="M28" s="11">
        <v>9.7018564119935036E-3</v>
      </c>
      <c r="N28" s="11">
        <v>9.7018564119935036E-3</v>
      </c>
      <c r="O28" s="11">
        <v>6.4679039642214775E-3</v>
      </c>
      <c r="P28" s="22">
        <v>0.19751852750778198</v>
      </c>
      <c r="Q28" s="22">
        <v>0.21849711239337921</v>
      </c>
      <c r="R28" s="13">
        <v>8.6524859070777893E-2</v>
      </c>
      <c r="S28"/>
      <c r="T28"/>
      <c r="U28"/>
      <c r="V28" s="13">
        <v>0.11482081562280655</v>
      </c>
      <c r="W28" s="138">
        <v>1.1560693979263306</v>
      </c>
      <c r="X28" s="25">
        <v>1.0142338275909424</v>
      </c>
      <c r="Y28" s="23">
        <v>1.1059789657592773</v>
      </c>
      <c r="Z28" s="13">
        <v>5.5030062794685364E-2</v>
      </c>
      <c r="AA28"/>
      <c r="AB28" s="22">
        <v>0.22777457535266876</v>
      </c>
      <c r="AC28" s="246">
        <v>15.260116577148438</v>
      </c>
      <c r="AD28" s="12">
        <v>0.19184595346450806</v>
      </c>
      <c r="AE28" s="19">
        <v>1.7508770227432251</v>
      </c>
      <c r="AF28" s="245">
        <v>9.6000003814697266</v>
      </c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200</v>
      </c>
      <c r="C29">
        <v>30.91474723815918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 s="11">
        <v>0.10682644695043564</v>
      </c>
      <c r="Y29" s="11">
        <v>0.1164897233247757</v>
      </c>
      <c r="Z29" s="11">
        <v>6.9553978741168976E-2</v>
      </c>
      <c r="AA29"/>
      <c r="AB29" s="13">
        <v>0.21591781079769135</v>
      </c>
      <c r="AC29" s="26">
        <v>7.2328767776489258</v>
      </c>
      <c r="AD29"/>
      <c r="AE29" s="231">
        <v>6.6389412879943848</v>
      </c>
      <c r="AF29" s="247">
        <v>154.70465087890625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/>
      <c r="C30">
        <v>0.32909718155860901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 s="9">
        <v>4.3199997395277023E-2</v>
      </c>
      <c r="T30" s="9">
        <v>1.4699999243021011E-2</v>
      </c>
      <c r="U30" s="9">
        <v>1.3439999893307686E-2</v>
      </c>
      <c r="V30" s="9">
        <v>0.49660000205039978</v>
      </c>
      <c r="W30"/>
      <c r="X30"/>
      <c r="Y30"/>
      <c r="Z30"/>
      <c r="AA30" s="9">
        <v>0.62159997224807739</v>
      </c>
      <c r="AB30" s="9">
        <v>3.940500020980835</v>
      </c>
      <c r="AC30" s="9">
        <v>198.00001525878906</v>
      </c>
      <c r="AD30" s="9">
        <v>23.2325439453125</v>
      </c>
      <c r="AE30"/>
      <c r="AF30" s="9">
        <v>332.16000366210938</v>
      </c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/>
      <c r="C31">
        <v>0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90" t="s">
        <v>192</v>
      </c>
      <c r="E5">
        <v>4</v>
      </c>
      <c r="F5">
        <v>3.16</v>
      </c>
      <c r="G5">
        <v>4</v>
      </c>
      <c r="H5" s="191" t="s">
        <v>192</v>
      </c>
      <c r="J5" s="55"/>
      <c r="K5" s="56"/>
    </row>
    <row r="6" spans="1:12" ht="14" thickBot="1" x14ac:dyDescent="0.2">
      <c r="A6" s="39" t="s">
        <v>121</v>
      </c>
      <c r="D6" s="190" t="s">
        <v>193</v>
      </c>
      <c r="E6">
        <v>5</v>
      </c>
      <c r="F6">
        <v>3.14</v>
      </c>
      <c r="G6">
        <v>5</v>
      </c>
      <c r="H6" s="191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90" t="s">
        <v>194</v>
      </c>
      <c r="E7">
        <v>6</v>
      </c>
      <c r="F7">
        <v>3.14</v>
      </c>
      <c r="G7">
        <v>6</v>
      </c>
      <c r="H7" s="191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90" t="s">
        <v>195</v>
      </c>
      <c r="E8">
        <v>7</v>
      </c>
      <c r="F8">
        <v>3.24</v>
      </c>
      <c r="G8">
        <v>7</v>
      </c>
      <c r="H8" s="191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90" t="s">
        <v>196</v>
      </c>
      <c r="E9">
        <v>8</v>
      </c>
      <c r="F9">
        <v>3.14</v>
      </c>
      <c r="G9">
        <v>8</v>
      </c>
      <c r="H9" s="191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90" t="s">
        <v>197</v>
      </c>
      <c r="E10">
        <v>9</v>
      </c>
      <c r="F10">
        <v>3.24</v>
      </c>
      <c r="G10">
        <v>9</v>
      </c>
      <c r="H10" s="191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90" t="s">
        <v>198</v>
      </c>
      <c r="E11">
        <v>10</v>
      </c>
      <c r="F11">
        <v>3.14</v>
      </c>
      <c r="G11">
        <v>10</v>
      </c>
      <c r="H11" s="191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90" t="s">
        <v>199</v>
      </c>
      <c r="E12">
        <v>11</v>
      </c>
      <c r="F12">
        <v>3.14</v>
      </c>
      <c r="G12">
        <v>11</v>
      </c>
      <c r="H12" s="191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90" t="s">
        <v>200</v>
      </c>
      <c r="E13">
        <v>12</v>
      </c>
      <c r="F13">
        <v>3.14</v>
      </c>
      <c r="G13">
        <v>12</v>
      </c>
      <c r="H13" s="191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90" t="s">
        <v>201</v>
      </c>
      <c r="E14">
        <v>13</v>
      </c>
      <c r="F14">
        <v>3.24</v>
      </c>
      <c r="G14">
        <v>13</v>
      </c>
      <c r="H14" s="191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90" t="s">
        <v>202</v>
      </c>
      <c r="E15">
        <v>14</v>
      </c>
      <c r="F15">
        <v>3.14</v>
      </c>
      <c r="G15">
        <v>14</v>
      </c>
      <c r="H15" s="191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90" t="s">
        <v>203</v>
      </c>
      <c r="E16">
        <v>15</v>
      </c>
      <c r="F16">
        <v>3.13</v>
      </c>
      <c r="G16">
        <v>15</v>
      </c>
      <c r="H16" s="191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90" t="s">
        <v>204</v>
      </c>
      <c r="E17">
        <v>16</v>
      </c>
      <c r="F17">
        <v>3.24</v>
      </c>
      <c r="G17">
        <v>16</v>
      </c>
      <c r="H17" s="191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90" t="s">
        <v>205</v>
      </c>
      <c r="E18">
        <v>17</v>
      </c>
      <c r="F18">
        <v>3.2</v>
      </c>
      <c r="G18">
        <v>17</v>
      </c>
      <c r="H18" s="191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90" t="s">
        <v>206</v>
      </c>
      <c r="E19">
        <v>18</v>
      </c>
      <c r="F19">
        <v>3.24</v>
      </c>
      <c r="G19">
        <v>18</v>
      </c>
      <c r="H19" s="191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90" t="s">
        <v>207</v>
      </c>
      <c r="E20">
        <v>19</v>
      </c>
      <c r="F20">
        <v>3.24</v>
      </c>
      <c r="G20">
        <v>19</v>
      </c>
      <c r="H20" s="191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90" t="s">
        <v>208</v>
      </c>
      <c r="E21">
        <v>20</v>
      </c>
      <c r="F21">
        <v>3.24</v>
      </c>
      <c r="G21">
        <v>20</v>
      </c>
      <c r="H21" s="191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90" t="s">
        <v>209</v>
      </c>
      <c r="E22">
        <v>21</v>
      </c>
      <c r="F22">
        <v>3.11</v>
      </c>
      <c r="G22">
        <v>21</v>
      </c>
      <c r="H22" s="191" t="s">
        <v>209</v>
      </c>
    </row>
    <row r="23" spans="1:12" x14ac:dyDescent="0.15">
      <c r="A23" s="34" t="s">
        <v>129</v>
      </c>
      <c r="B23" s="42">
        <v>4</v>
      </c>
      <c r="C23" s="36"/>
      <c r="D23" s="190" t="s">
        <v>210</v>
      </c>
      <c r="E23">
        <v>22</v>
      </c>
      <c r="F23">
        <v>3.14</v>
      </c>
      <c r="G23">
        <v>22</v>
      </c>
      <c r="H23" s="191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90" t="s">
        <v>211</v>
      </c>
      <c r="E24">
        <v>23</v>
      </c>
      <c r="F24">
        <v>3.1</v>
      </c>
      <c r="G24">
        <v>23</v>
      </c>
      <c r="H24" s="191" t="s">
        <v>211</v>
      </c>
    </row>
    <row r="25" spans="1:12" x14ac:dyDescent="0.15">
      <c r="A25" s="34" t="s">
        <v>70</v>
      </c>
      <c r="B25" s="42">
        <v>4.2</v>
      </c>
      <c r="C25" s="36"/>
      <c r="D25" s="190" t="s">
        <v>212</v>
      </c>
      <c r="E25">
        <v>24</v>
      </c>
      <c r="F25">
        <v>3.04</v>
      </c>
      <c r="G25">
        <v>24</v>
      </c>
      <c r="H25" s="191" t="s">
        <v>212</v>
      </c>
    </row>
    <row r="26" spans="1:12" x14ac:dyDescent="0.15">
      <c r="A26" s="34" t="s">
        <v>123</v>
      </c>
      <c r="B26" s="42">
        <v>4.3</v>
      </c>
      <c r="C26" s="36"/>
      <c r="D26" s="190" t="s">
        <v>213</v>
      </c>
      <c r="E26">
        <v>25</v>
      </c>
      <c r="F26">
        <v>3.21</v>
      </c>
      <c r="G26">
        <v>25</v>
      </c>
      <c r="H26" s="191" t="s">
        <v>213</v>
      </c>
    </row>
    <row r="27" spans="1:12" x14ac:dyDescent="0.15">
      <c r="A27" s="34" t="s">
        <v>125</v>
      </c>
      <c r="B27" s="42">
        <v>6.1</v>
      </c>
      <c r="D27" s="190" t="s">
        <v>214</v>
      </c>
      <c r="E27">
        <v>26</v>
      </c>
      <c r="F27">
        <v>3.04</v>
      </c>
      <c r="G27">
        <v>26</v>
      </c>
      <c r="H27" s="191" t="s">
        <v>214</v>
      </c>
    </row>
    <row r="28" spans="1:12" x14ac:dyDescent="0.15">
      <c r="A28" s="34" t="s">
        <v>124</v>
      </c>
      <c r="B28" s="42">
        <v>6.2</v>
      </c>
      <c r="D28" s="190" t="s">
        <v>215</v>
      </c>
      <c r="E28">
        <v>27</v>
      </c>
      <c r="F28">
        <v>3.21</v>
      </c>
      <c r="G28">
        <v>27</v>
      </c>
      <c r="H28" s="191" t="s">
        <v>215</v>
      </c>
    </row>
    <row r="29" spans="1:12" x14ac:dyDescent="0.15">
      <c r="A29" s="34" t="s">
        <v>44</v>
      </c>
      <c r="B29" s="42">
        <v>5</v>
      </c>
      <c r="D29" s="190" t="s">
        <v>216</v>
      </c>
      <c r="E29">
        <v>28</v>
      </c>
      <c r="F29">
        <v>3.02</v>
      </c>
      <c r="G29">
        <v>28</v>
      </c>
      <c r="H29" s="191" t="s">
        <v>216</v>
      </c>
    </row>
    <row r="30" spans="1:12" x14ac:dyDescent="0.15">
      <c r="A30" s="34" t="s">
        <v>73</v>
      </c>
      <c r="B30" s="42">
        <v>7</v>
      </c>
      <c r="D30" s="190" t="s">
        <v>217</v>
      </c>
      <c r="E30">
        <v>29</v>
      </c>
      <c r="F30">
        <v>3.01</v>
      </c>
      <c r="G30">
        <v>29</v>
      </c>
      <c r="H30" s="191" t="s">
        <v>217</v>
      </c>
    </row>
    <row r="31" spans="1:12" x14ac:dyDescent="0.15">
      <c r="A31" s="34" t="s">
        <v>169</v>
      </c>
      <c r="B31" s="42">
        <v>3.14</v>
      </c>
      <c r="D31" s="190" t="s">
        <v>218</v>
      </c>
      <c r="E31">
        <v>30</v>
      </c>
      <c r="F31">
        <v>3.11</v>
      </c>
      <c r="G31">
        <v>30</v>
      </c>
      <c r="H31" s="191" t="s">
        <v>218</v>
      </c>
    </row>
    <row r="32" spans="1:12" ht="12" customHeight="1" thickBot="1" x14ac:dyDescent="0.2">
      <c r="A32" s="40" t="s">
        <v>170</v>
      </c>
      <c r="B32" s="43">
        <v>9</v>
      </c>
      <c r="D32" s="190" t="s">
        <v>219</v>
      </c>
      <c r="E32">
        <v>31</v>
      </c>
      <c r="F32">
        <v>2.1</v>
      </c>
      <c r="G32">
        <v>31</v>
      </c>
      <c r="H32" s="191" t="s">
        <v>219</v>
      </c>
    </row>
    <row r="33" spans="4:8" customFormat="1" ht="12" customHeight="1" x14ac:dyDescent="0.15">
      <c r="D33" s="190" t="s">
        <v>220</v>
      </c>
      <c r="E33">
        <v>32</v>
      </c>
      <c r="F33">
        <v>4.0999999999999996</v>
      </c>
      <c r="G33">
        <v>32</v>
      </c>
      <c r="H33" s="191" t="s">
        <v>220</v>
      </c>
    </row>
    <row r="34" spans="4:8" customFormat="1" ht="12" customHeight="1" x14ac:dyDescent="0.15">
      <c r="D34" s="190" t="s">
        <v>221</v>
      </c>
      <c r="E34">
        <v>33</v>
      </c>
      <c r="F34">
        <v>4.3</v>
      </c>
      <c r="G34">
        <v>33</v>
      </c>
      <c r="H34" s="191" t="s">
        <v>221</v>
      </c>
    </row>
    <row r="35" spans="4:8" customFormat="1" x14ac:dyDescent="0.15">
      <c r="D35" s="190" t="s">
        <v>222</v>
      </c>
      <c r="E35">
        <v>34</v>
      </c>
      <c r="F35">
        <v>5</v>
      </c>
      <c r="G35">
        <v>34</v>
      </c>
      <c r="H35" s="191" t="s">
        <v>222</v>
      </c>
    </row>
    <row r="36" spans="4:8" customFormat="1" x14ac:dyDescent="0.15">
      <c r="D36" s="190" t="s">
        <v>223</v>
      </c>
      <c r="E36">
        <v>35</v>
      </c>
      <c r="F36">
        <v>5</v>
      </c>
      <c r="G36">
        <v>35</v>
      </c>
      <c r="H36" s="191" t="s">
        <v>223</v>
      </c>
    </row>
    <row r="37" spans="4:8" customFormat="1" ht="12" customHeight="1" x14ac:dyDescent="0.15">
      <c r="D37" s="190" t="s">
        <v>138</v>
      </c>
      <c r="E37">
        <v>36</v>
      </c>
      <c r="F37">
        <v>6.1</v>
      </c>
      <c r="G37">
        <v>36</v>
      </c>
      <c r="H37" s="191" t="s">
        <v>138</v>
      </c>
    </row>
    <row r="38" spans="4:8" customFormat="1" x14ac:dyDescent="0.15">
      <c r="D38" s="190" t="s">
        <v>45</v>
      </c>
      <c r="E38">
        <v>37</v>
      </c>
      <c r="F38">
        <v>6.2</v>
      </c>
      <c r="G38">
        <v>37</v>
      </c>
      <c r="H38" s="191" t="s">
        <v>45</v>
      </c>
    </row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79" bestFit="1" customWidth="1"/>
    <col min="2" max="2" width="5.83203125" style="78" customWidth="1"/>
    <col min="3" max="3" width="13.1640625" style="78" customWidth="1"/>
    <col min="4" max="4" width="39.6640625" style="78" customWidth="1"/>
    <col min="5" max="5" width="8.1640625" style="78" customWidth="1"/>
    <col min="6" max="6" width="21.6640625" style="78" bestFit="1" customWidth="1"/>
    <col min="7" max="9" width="2.33203125" style="78" customWidth="1"/>
    <col min="10" max="10" width="2.33203125" style="78" bestFit="1" customWidth="1"/>
    <col min="11" max="15" width="2.33203125" style="78" customWidth="1"/>
    <col min="16" max="16" width="2.33203125" style="70" customWidth="1"/>
    <col min="17" max="17" width="2.33203125" style="78" customWidth="1"/>
    <col min="18" max="18" width="2.33203125" style="71" customWidth="1"/>
    <col min="19" max="16384" width="11.5" style="78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0" t="s">
        <v>48</v>
      </c>
      <c r="L1" s="71"/>
      <c r="M1" s="80" t="s">
        <v>119</v>
      </c>
      <c r="N1" s="71"/>
      <c r="O1" s="80" t="s">
        <v>49</v>
      </c>
      <c r="P1" s="72"/>
      <c r="Q1" s="80" t="s">
        <v>50</v>
      </c>
      <c r="R1" s="68" t="s">
        <v>154</v>
      </c>
    </row>
    <row r="2" spans="1:23" ht="15" customHeight="1" x14ac:dyDescent="0.15">
      <c r="A2" s="80" t="s">
        <v>51</v>
      </c>
      <c r="B2" s="81">
        <v>0.5</v>
      </c>
      <c r="C2" s="79" t="s">
        <v>52</v>
      </c>
      <c r="D2" s="82"/>
      <c r="F2" s="1"/>
      <c r="G2" s="83"/>
      <c r="H2" s="83"/>
      <c r="I2" s="83" t="s">
        <v>133</v>
      </c>
      <c r="J2" s="83" t="s">
        <v>133</v>
      </c>
      <c r="K2" s="83" t="s">
        <v>52</v>
      </c>
      <c r="L2" s="83" t="s">
        <v>53</v>
      </c>
      <c r="M2" s="83" t="s">
        <v>52</v>
      </c>
      <c r="N2" s="83" t="s">
        <v>53</v>
      </c>
      <c r="O2" s="83" t="s">
        <v>52</v>
      </c>
      <c r="P2" s="84" t="s">
        <v>53</v>
      </c>
      <c r="Q2" s="83"/>
      <c r="R2" s="85" t="s">
        <v>155</v>
      </c>
    </row>
    <row r="3" spans="1:23" ht="15" customHeight="1" thickBot="1" x14ac:dyDescent="0.2">
      <c r="A3" s="80" t="s">
        <v>54</v>
      </c>
      <c r="B3" s="86">
        <v>0.5</v>
      </c>
      <c r="C3" s="79" t="s">
        <v>53</v>
      </c>
      <c r="D3" s="82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2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2">
        <v>0</v>
      </c>
      <c r="R4" s="104">
        <v>0</v>
      </c>
    </row>
    <row r="5" spans="1:23" ht="15" customHeight="1" x14ac:dyDescent="0.15">
      <c r="A5" s="80" t="s">
        <v>55</v>
      </c>
      <c r="B5" s="87">
        <v>0.5</v>
      </c>
      <c r="C5" s="79" t="s">
        <v>52</v>
      </c>
      <c r="D5" s="82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2">
        <v>0</v>
      </c>
      <c r="R5" s="104">
        <v>0</v>
      </c>
    </row>
    <row r="6" spans="1:23" ht="15" customHeight="1" thickBot="1" x14ac:dyDescent="0.2">
      <c r="A6" s="80"/>
      <c r="B6" s="88">
        <v>0.5</v>
      </c>
      <c r="C6" s="79" t="s">
        <v>53</v>
      </c>
      <c r="D6" s="82"/>
      <c r="F6" s="192" t="s">
        <v>192</v>
      </c>
      <c r="G6" s="78">
        <v>0</v>
      </c>
      <c r="H6" s="78">
        <v>0</v>
      </c>
      <c r="I6" s="78">
        <v>0</v>
      </c>
      <c r="J6" s="78">
        <v>0</v>
      </c>
      <c r="K6" s="78">
        <v>1</v>
      </c>
      <c r="L6" s="78">
        <v>0</v>
      </c>
      <c r="M6" s="78">
        <v>1</v>
      </c>
      <c r="N6" s="78">
        <v>0</v>
      </c>
      <c r="O6" s="78">
        <v>1</v>
      </c>
      <c r="P6" s="70">
        <v>0</v>
      </c>
      <c r="Q6" s="78">
        <v>0</v>
      </c>
      <c r="R6" s="71">
        <v>1</v>
      </c>
      <c r="S6"/>
      <c r="T6"/>
    </row>
    <row r="7" spans="1:23" ht="15" customHeight="1" thickBot="1" x14ac:dyDescent="0.2">
      <c r="F7" s="192" t="s">
        <v>193</v>
      </c>
      <c r="G7" s="78">
        <v>0</v>
      </c>
      <c r="H7" s="78">
        <v>0</v>
      </c>
      <c r="I7" s="78">
        <v>0</v>
      </c>
      <c r="J7" s="78">
        <v>0</v>
      </c>
      <c r="K7" s="78">
        <v>1</v>
      </c>
      <c r="L7" s="78">
        <v>0</v>
      </c>
      <c r="M7" s="78">
        <v>1</v>
      </c>
      <c r="N7" s="78">
        <v>0</v>
      </c>
      <c r="O7" s="78">
        <v>1</v>
      </c>
      <c r="P7" s="70">
        <v>0</v>
      </c>
      <c r="Q7" s="78">
        <v>0</v>
      </c>
      <c r="R7" s="71">
        <v>1</v>
      </c>
      <c r="S7"/>
      <c r="T7"/>
    </row>
    <row r="8" spans="1:23" ht="15" customHeight="1" x14ac:dyDescent="0.15">
      <c r="A8" s="80" t="s">
        <v>56</v>
      </c>
      <c r="B8" s="87">
        <v>1</v>
      </c>
      <c r="C8" s="193" t="s">
        <v>219</v>
      </c>
      <c r="D8" s="82" t="s">
        <v>160</v>
      </c>
      <c r="F8" s="192" t="s">
        <v>194</v>
      </c>
      <c r="G8" s="78">
        <v>0</v>
      </c>
      <c r="H8" s="78">
        <v>0</v>
      </c>
      <c r="I8" s="78">
        <v>0</v>
      </c>
      <c r="J8" s="78">
        <v>0</v>
      </c>
      <c r="K8" s="78">
        <v>1</v>
      </c>
      <c r="L8" s="78">
        <v>0</v>
      </c>
      <c r="M8" s="78">
        <v>1</v>
      </c>
      <c r="N8" s="78">
        <v>0</v>
      </c>
      <c r="O8" s="78">
        <v>1</v>
      </c>
      <c r="P8" s="70">
        <v>0</v>
      </c>
      <c r="Q8" s="78">
        <v>0</v>
      </c>
      <c r="R8" s="71">
        <v>1</v>
      </c>
      <c r="S8"/>
      <c r="T8"/>
      <c r="W8"/>
    </row>
    <row r="9" spans="1:23" ht="15" customHeight="1" x14ac:dyDescent="0.15">
      <c r="A9" s="118" t="s">
        <v>168</v>
      </c>
      <c r="B9" s="89"/>
      <c r="C9" s="77"/>
      <c r="D9" s="82" t="s">
        <v>160</v>
      </c>
      <c r="F9" s="192" t="s">
        <v>195</v>
      </c>
      <c r="G9" s="78">
        <v>0</v>
      </c>
      <c r="H9" s="78">
        <v>0</v>
      </c>
      <c r="I9" s="78">
        <v>0</v>
      </c>
      <c r="J9" s="78">
        <v>0</v>
      </c>
      <c r="K9" s="78">
        <v>1</v>
      </c>
      <c r="L9" s="78">
        <v>0</v>
      </c>
      <c r="M9" s="78">
        <v>1</v>
      </c>
      <c r="N9" s="78">
        <v>0</v>
      </c>
      <c r="O9" s="78">
        <v>1</v>
      </c>
      <c r="P9" s="70">
        <v>0</v>
      </c>
      <c r="Q9" s="78">
        <v>0</v>
      </c>
      <c r="R9" s="71">
        <v>1</v>
      </c>
      <c r="S9"/>
      <c r="T9"/>
      <c r="W9"/>
    </row>
    <row r="10" spans="1:23" ht="15" customHeight="1" x14ac:dyDescent="0.15">
      <c r="B10" s="89"/>
      <c r="C10" s="77"/>
      <c r="D10" s="82" t="s">
        <v>160</v>
      </c>
      <c r="F10" s="192" t="s">
        <v>196</v>
      </c>
      <c r="G10" s="78">
        <v>0</v>
      </c>
      <c r="H10" s="78">
        <v>0</v>
      </c>
      <c r="I10" s="78">
        <v>0</v>
      </c>
      <c r="J10" s="78">
        <v>0</v>
      </c>
      <c r="K10" s="78">
        <v>1</v>
      </c>
      <c r="L10" s="78">
        <v>0</v>
      </c>
      <c r="M10" s="78">
        <v>1</v>
      </c>
      <c r="N10" s="78">
        <v>0</v>
      </c>
      <c r="O10" s="78">
        <v>1</v>
      </c>
      <c r="P10" s="70">
        <v>0</v>
      </c>
      <c r="Q10" s="78">
        <v>0</v>
      </c>
      <c r="R10" s="71">
        <v>1</v>
      </c>
      <c r="S10"/>
      <c r="T10"/>
      <c r="W10"/>
    </row>
    <row r="11" spans="1:23" ht="15" customHeight="1" x14ac:dyDescent="0.15">
      <c r="A11" s="80"/>
      <c r="B11" s="89"/>
      <c r="C11" s="92"/>
      <c r="D11" s="82" t="s">
        <v>160</v>
      </c>
      <c r="F11" s="192" t="s">
        <v>197</v>
      </c>
      <c r="G11" s="78">
        <v>0</v>
      </c>
      <c r="H11" s="78">
        <v>0</v>
      </c>
      <c r="I11" s="78">
        <v>0</v>
      </c>
      <c r="J11" s="78">
        <v>0</v>
      </c>
      <c r="K11" s="78">
        <v>1</v>
      </c>
      <c r="L11" s="78">
        <v>0</v>
      </c>
      <c r="M11" s="78">
        <v>1</v>
      </c>
      <c r="N11" s="78">
        <v>0</v>
      </c>
      <c r="O11" s="78">
        <v>1</v>
      </c>
      <c r="P11" s="70">
        <v>0</v>
      </c>
      <c r="Q11" s="78">
        <v>0</v>
      </c>
      <c r="R11" s="71">
        <v>1</v>
      </c>
      <c r="S11"/>
      <c r="T11"/>
      <c r="W11"/>
    </row>
    <row r="12" spans="1:23" ht="15" customHeight="1" x14ac:dyDescent="0.15">
      <c r="B12" s="89"/>
      <c r="C12" s="93"/>
      <c r="D12" s="82" t="s">
        <v>160</v>
      </c>
      <c r="F12" s="192" t="s">
        <v>198</v>
      </c>
      <c r="G12" s="78">
        <v>0</v>
      </c>
      <c r="H12" s="78">
        <v>0</v>
      </c>
      <c r="I12" s="78">
        <v>0</v>
      </c>
      <c r="J12" s="78">
        <v>0</v>
      </c>
      <c r="K12" s="78">
        <v>1</v>
      </c>
      <c r="L12" s="78">
        <v>0</v>
      </c>
      <c r="M12" s="78">
        <v>1</v>
      </c>
      <c r="N12" s="78">
        <v>0</v>
      </c>
      <c r="O12" s="78">
        <v>1</v>
      </c>
      <c r="P12" s="70">
        <v>0</v>
      </c>
      <c r="Q12" s="78">
        <v>0</v>
      </c>
      <c r="R12" s="71">
        <v>1</v>
      </c>
      <c r="S12"/>
      <c r="T12"/>
      <c r="W12"/>
    </row>
    <row r="13" spans="1:23" ht="15" customHeight="1" x14ac:dyDescent="0.15">
      <c r="B13" s="89"/>
      <c r="C13" s="93"/>
      <c r="D13" s="82" t="s">
        <v>160</v>
      </c>
      <c r="F13" s="192" t="s">
        <v>199</v>
      </c>
      <c r="G13" s="78">
        <v>0</v>
      </c>
      <c r="H13" s="78">
        <v>0</v>
      </c>
      <c r="I13" s="78">
        <v>0</v>
      </c>
      <c r="J13" s="78">
        <v>0</v>
      </c>
      <c r="K13" s="78">
        <v>1</v>
      </c>
      <c r="L13" s="78">
        <v>0</v>
      </c>
      <c r="M13" s="78">
        <v>1</v>
      </c>
      <c r="N13" s="78">
        <v>0</v>
      </c>
      <c r="O13" s="78">
        <v>1</v>
      </c>
      <c r="P13" s="70">
        <v>0</v>
      </c>
      <c r="Q13" s="78">
        <v>0</v>
      </c>
      <c r="R13" s="71">
        <v>1</v>
      </c>
      <c r="S13"/>
      <c r="T13"/>
      <c r="W13"/>
    </row>
    <row r="14" spans="1:23" ht="15" customHeight="1" x14ac:dyDescent="0.15">
      <c r="B14" s="89"/>
      <c r="C14" s="77"/>
      <c r="D14" s="82" t="s">
        <v>160</v>
      </c>
      <c r="F14" s="192" t="s">
        <v>200</v>
      </c>
      <c r="G14" s="78">
        <v>0</v>
      </c>
      <c r="H14" s="78">
        <v>0</v>
      </c>
      <c r="I14" s="78">
        <v>0</v>
      </c>
      <c r="J14" s="78">
        <v>0</v>
      </c>
      <c r="K14" s="78">
        <v>1</v>
      </c>
      <c r="L14" s="78">
        <v>0</v>
      </c>
      <c r="M14" s="78">
        <v>1</v>
      </c>
      <c r="N14" s="78">
        <v>0</v>
      </c>
      <c r="O14" s="78">
        <v>1</v>
      </c>
      <c r="P14" s="70">
        <v>0</v>
      </c>
      <c r="Q14" s="78">
        <v>0</v>
      </c>
      <c r="R14" s="71">
        <v>1</v>
      </c>
      <c r="S14"/>
      <c r="T14"/>
      <c r="W14"/>
    </row>
    <row r="15" spans="1:23" ht="15" customHeight="1" x14ac:dyDescent="0.15">
      <c r="B15" s="89"/>
      <c r="C15" s="77"/>
      <c r="D15" s="82" t="s">
        <v>160</v>
      </c>
      <c r="F15" s="192" t="s">
        <v>201</v>
      </c>
      <c r="G15" s="78">
        <v>0</v>
      </c>
      <c r="H15" s="78">
        <v>0</v>
      </c>
      <c r="I15" s="78">
        <v>0</v>
      </c>
      <c r="J15" s="78">
        <v>0</v>
      </c>
      <c r="K15" s="78">
        <v>1</v>
      </c>
      <c r="L15" s="78">
        <v>0</v>
      </c>
      <c r="M15" s="78">
        <v>1</v>
      </c>
      <c r="N15" s="78">
        <v>0</v>
      </c>
      <c r="O15" s="78">
        <v>1</v>
      </c>
      <c r="P15" s="70">
        <v>0</v>
      </c>
      <c r="Q15" s="78">
        <v>0</v>
      </c>
      <c r="R15" s="71">
        <v>1</v>
      </c>
      <c r="S15"/>
      <c r="T15"/>
      <c r="W15"/>
    </row>
    <row r="16" spans="1:23" ht="15" customHeight="1" x14ac:dyDescent="0.15">
      <c r="B16" s="89"/>
      <c r="C16" s="77"/>
      <c r="D16" s="82" t="s">
        <v>160</v>
      </c>
      <c r="F16" s="192" t="s">
        <v>202</v>
      </c>
      <c r="G16" s="78">
        <v>0</v>
      </c>
      <c r="H16" s="78">
        <v>0</v>
      </c>
      <c r="I16" s="78">
        <v>0</v>
      </c>
      <c r="J16" s="78">
        <v>0</v>
      </c>
      <c r="K16" s="78">
        <v>1</v>
      </c>
      <c r="L16" s="78">
        <v>0</v>
      </c>
      <c r="M16" s="78">
        <v>1</v>
      </c>
      <c r="N16" s="78">
        <v>0</v>
      </c>
      <c r="O16" s="78">
        <v>1</v>
      </c>
      <c r="P16" s="70">
        <v>0</v>
      </c>
      <c r="Q16" s="78">
        <v>0</v>
      </c>
      <c r="R16" s="71">
        <v>1</v>
      </c>
      <c r="S16"/>
      <c r="T16"/>
    </row>
    <row r="17" spans="1:20" ht="15" customHeight="1" thickBot="1" x14ac:dyDescent="0.2">
      <c r="B17" s="88"/>
      <c r="C17" s="77"/>
      <c r="D17" s="82" t="s">
        <v>160</v>
      </c>
      <c r="F17" s="192" t="s">
        <v>203</v>
      </c>
      <c r="G17" s="78">
        <v>0</v>
      </c>
      <c r="H17" s="78">
        <v>0</v>
      </c>
      <c r="I17" s="78">
        <v>0</v>
      </c>
      <c r="J17" s="78">
        <v>0</v>
      </c>
      <c r="K17" s="78">
        <v>1</v>
      </c>
      <c r="L17" s="78">
        <v>0</v>
      </c>
      <c r="M17" s="78">
        <v>1</v>
      </c>
      <c r="N17" s="78">
        <v>0</v>
      </c>
      <c r="O17" s="78">
        <v>1</v>
      </c>
      <c r="P17" s="70">
        <v>0</v>
      </c>
      <c r="Q17" s="78">
        <v>0</v>
      </c>
      <c r="R17" s="71">
        <v>1</v>
      </c>
      <c r="S17"/>
      <c r="T17"/>
    </row>
    <row r="18" spans="1:20" ht="15" customHeight="1" thickBot="1" x14ac:dyDescent="0.2">
      <c r="B18" s="90"/>
      <c r="F18" s="192" t="s">
        <v>204</v>
      </c>
      <c r="G18" s="78">
        <v>0</v>
      </c>
      <c r="H18" s="78">
        <v>0</v>
      </c>
      <c r="I18" s="78">
        <v>0</v>
      </c>
      <c r="J18" s="78">
        <v>0</v>
      </c>
      <c r="K18" s="78">
        <v>1</v>
      </c>
      <c r="L18" s="78">
        <v>0</v>
      </c>
      <c r="M18" s="78">
        <v>1</v>
      </c>
      <c r="N18" s="78">
        <v>0</v>
      </c>
      <c r="O18" s="78">
        <v>1</v>
      </c>
      <c r="P18" s="70">
        <v>0</v>
      </c>
      <c r="Q18" s="78">
        <v>0</v>
      </c>
      <c r="R18" s="71">
        <v>1</v>
      </c>
      <c r="S18"/>
      <c r="T18"/>
    </row>
    <row r="19" spans="1:20" ht="15" customHeight="1" x14ac:dyDescent="0.15">
      <c r="A19" s="80" t="s">
        <v>57</v>
      </c>
      <c r="B19" s="87">
        <v>1</v>
      </c>
      <c r="C19" s="194" t="s">
        <v>219</v>
      </c>
      <c r="D19" s="82" t="s">
        <v>160</v>
      </c>
      <c r="F19" s="192" t="s">
        <v>205</v>
      </c>
      <c r="G19" s="78">
        <v>0</v>
      </c>
      <c r="H19" s="78">
        <v>0</v>
      </c>
      <c r="I19" s="78">
        <v>0</v>
      </c>
      <c r="J19" s="78">
        <v>0</v>
      </c>
      <c r="K19" s="78">
        <v>1</v>
      </c>
      <c r="L19" s="78">
        <v>0</v>
      </c>
      <c r="M19" s="78">
        <v>1</v>
      </c>
      <c r="N19" s="78">
        <v>0</v>
      </c>
      <c r="O19" s="78">
        <v>1</v>
      </c>
      <c r="P19" s="70">
        <v>0</v>
      </c>
      <c r="Q19" s="78">
        <v>0</v>
      </c>
      <c r="R19" s="71">
        <v>1</v>
      </c>
      <c r="S19"/>
      <c r="T19"/>
    </row>
    <row r="20" spans="1:20" ht="15" customHeight="1" x14ac:dyDescent="0.15">
      <c r="A20" s="118" t="s">
        <v>168</v>
      </c>
      <c r="B20" s="89"/>
      <c r="C20" s="77"/>
      <c r="D20" s="82" t="s">
        <v>160</v>
      </c>
      <c r="F20" s="192" t="s">
        <v>206</v>
      </c>
      <c r="G20" s="78">
        <v>0</v>
      </c>
      <c r="H20" s="78">
        <v>0</v>
      </c>
      <c r="I20" s="78">
        <v>0</v>
      </c>
      <c r="J20" s="78">
        <v>0</v>
      </c>
      <c r="K20" s="78">
        <v>1</v>
      </c>
      <c r="L20" s="78">
        <v>0</v>
      </c>
      <c r="M20" s="78">
        <v>1</v>
      </c>
      <c r="N20" s="78">
        <v>0</v>
      </c>
      <c r="O20" s="78">
        <v>1</v>
      </c>
      <c r="P20" s="70">
        <v>0</v>
      </c>
      <c r="Q20" s="78">
        <v>0</v>
      </c>
      <c r="R20" s="71">
        <v>1</v>
      </c>
      <c r="S20"/>
      <c r="T20"/>
    </row>
    <row r="21" spans="1:20" ht="15" customHeight="1" x14ac:dyDescent="0.15">
      <c r="B21" s="89"/>
      <c r="C21" s="77"/>
      <c r="D21" s="82" t="s">
        <v>160</v>
      </c>
      <c r="F21" s="192" t="s">
        <v>207</v>
      </c>
      <c r="G21" s="78">
        <v>0</v>
      </c>
      <c r="H21" s="78">
        <v>0</v>
      </c>
      <c r="I21" s="78">
        <v>0</v>
      </c>
      <c r="J21" s="78">
        <v>0</v>
      </c>
      <c r="K21" s="78">
        <v>1</v>
      </c>
      <c r="L21" s="78">
        <v>0</v>
      </c>
      <c r="M21" s="78">
        <v>1</v>
      </c>
      <c r="N21" s="78">
        <v>0</v>
      </c>
      <c r="O21" s="78">
        <v>1</v>
      </c>
      <c r="P21" s="70">
        <v>0</v>
      </c>
      <c r="Q21" s="78">
        <v>0</v>
      </c>
      <c r="R21" s="71">
        <v>1</v>
      </c>
      <c r="S21"/>
      <c r="T21"/>
    </row>
    <row r="22" spans="1:20" ht="15" customHeight="1" x14ac:dyDescent="0.15">
      <c r="A22" s="78"/>
      <c r="B22" s="89"/>
      <c r="C22" s="92"/>
      <c r="D22" s="82" t="s">
        <v>160</v>
      </c>
      <c r="F22" s="192" t="s">
        <v>208</v>
      </c>
      <c r="G22" s="78">
        <v>0</v>
      </c>
      <c r="H22" s="78">
        <v>0</v>
      </c>
      <c r="I22" s="78">
        <v>0</v>
      </c>
      <c r="J22" s="78">
        <v>0</v>
      </c>
      <c r="K22" s="78">
        <v>1</v>
      </c>
      <c r="L22" s="78">
        <v>0</v>
      </c>
      <c r="M22" s="78">
        <v>1</v>
      </c>
      <c r="N22" s="78">
        <v>0</v>
      </c>
      <c r="O22" s="78">
        <v>1</v>
      </c>
      <c r="P22" s="70">
        <v>0</v>
      </c>
      <c r="Q22" s="78">
        <v>0</v>
      </c>
      <c r="R22" s="71">
        <v>1</v>
      </c>
      <c r="S22"/>
      <c r="T22"/>
    </row>
    <row r="23" spans="1:20" ht="15" customHeight="1" x14ac:dyDescent="0.15">
      <c r="A23" s="78"/>
      <c r="B23" s="89"/>
      <c r="C23" s="93"/>
      <c r="D23" s="82" t="s">
        <v>160</v>
      </c>
      <c r="F23" s="192" t="s">
        <v>209</v>
      </c>
      <c r="G23" s="78">
        <v>0</v>
      </c>
      <c r="H23" s="78">
        <v>0</v>
      </c>
      <c r="I23" s="78">
        <v>0</v>
      </c>
      <c r="J23" s="78">
        <v>0</v>
      </c>
      <c r="K23" s="78">
        <v>1</v>
      </c>
      <c r="L23" s="78">
        <v>0</v>
      </c>
      <c r="M23" s="78">
        <v>1</v>
      </c>
      <c r="N23" s="78">
        <v>0</v>
      </c>
      <c r="O23" s="78">
        <v>1</v>
      </c>
      <c r="P23" s="70">
        <v>0</v>
      </c>
      <c r="Q23" s="78">
        <v>0</v>
      </c>
      <c r="R23" s="71">
        <v>1</v>
      </c>
      <c r="S23"/>
      <c r="T23"/>
    </row>
    <row r="24" spans="1:20" ht="15" customHeight="1" x14ac:dyDescent="0.15">
      <c r="A24" s="78"/>
      <c r="B24" s="89"/>
      <c r="C24" s="93"/>
      <c r="D24" s="82" t="s">
        <v>160</v>
      </c>
      <c r="F24" s="192" t="s">
        <v>210</v>
      </c>
      <c r="G24" s="78">
        <v>0</v>
      </c>
      <c r="H24" s="78">
        <v>0</v>
      </c>
      <c r="I24" s="78">
        <v>0</v>
      </c>
      <c r="J24" s="78">
        <v>0</v>
      </c>
      <c r="K24" s="78">
        <v>1</v>
      </c>
      <c r="L24" s="78">
        <v>0</v>
      </c>
      <c r="M24" s="78">
        <v>1</v>
      </c>
      <c r="N24" s="78">
        <v>0</v>
      </c>
      <c r="O24" s="78">
        <v>1</v>
      </c>
      <c r="P24" s="70">
        <v>0</v>
      </c>
      <c r="Q24" s="78">
        <v>0</v>
      </c>
      <c r="R24" s="71">
        <v>1</v>
      </c>
      <c r="S24"/>
      <c r="T24"/>
    </row>
    <row r="25" spans="1:20" ht="15" customHeight="1" x14ac:dyDescent="0.15">
      <c r="A25" s="78"/>
      <c r="B25" s="89"/>
      <c r="C25" s="77"/>
      <c r="D25" s="82" t="s">
        <v>160</v>
      </c>
      <c r="F25" s="192" t="s">
        <v>211</v>
      </c>
      <c r="G25" s="78">
        <v>0</v>
      </c>
      <c r="H25" s="78">
        <v>0</v>
      </c>
      <c r="I25" s="78">
        <v>0</v>
      </c>
      <c r="J25" s="78">
        <v>0</v>
      </c>
      <c r="K25" s="78">
        <v>1</v>
      </c>
      <c r="L25" s="78">
        <v>0</v>
      </c>
      <c r="M25" s="78">
        <v>1</v>
      </c>
      <c r="N25" s="78">
        <v>0</v>
      </c>
      <c r="O25" s="78">
        <v>1</v>
      </c>
      <c r="P25" s="70">
        <v>0</v>
      </c>
      <c r="Q25" s="78">
        <v>0</v>
      </c>
      <c r="R25" s="71">
        <v>1</v>
      </c>
      <c r="S25"/>
      <c r="T25"/>
    </row>
    <row r="26" spans="1:20" ht="15" customHeight="1" x14ac:dyDescent="0.15">
      <c r="B26" s="89"/>
      <c r="C26" s="77"/>
      <c r="D26" s="82" t="s">
        <v>160</v>
      </c>
      <c r="F26" s="192" t="s">
        <v>212</v>
      </c>
      <c r="G26" s="78">
        <v>0</v>
      </c>
      <c r="H26" s="78">
        <v>0</v>
      </c>
      <c r="I26" s="78">
        <v>0</v>
      </c>
      <c r="J26" s="78">
        <v>0</v>
      </c>
      <c r="K26" s="78">
        <v>1</v>
      </c>
      <c r="L26" s="78">
        <v>0</v>
      </c>
      <c r="M26" s="78">
        <v>1</v>
      </c>
      <c r="N26" s="78">
        <v>0</v>
      </c>
      <c r="O26" s="78">
        <v>1</v>
      </c>
      <c r="P26" s="70">
        <v>0</v>
      </c>
      <c r="Q26" s="78">
        <v>0</v>
      </c>
      <c r="R26" s="71">
        <v>1</v>
      </c>
      <c r="S26"/>
      <c r="T26"/>
    </row>
    <row r="27" spans="1:20" ht="15" customHeight="1" x14ac:dyDescent="0.15">
      <c r="B27" s="89"/>
      <c r="C27" s="77"/>
      <c r="D27" s="82" t="s">
        <v>160</v>
      </c>
      <c r="F27" s="192" t="s">
        <v>213</v>
      </c>
      <c r="G27" s="78">
        <v>0</v>
      </c>
      <c r="H27" s="78">
        <v>0</v>
      </c>
      <c r="I27" s="78">
        <v>0</v>
      </c>
      <c r="J27" s="78">
        <v>0</v>
      </c>
      <c r="K27" s="78">
        <v>1</v>
      </c>
      <c r="L27" s="78">
        <v>0</v>
      </c>
      <c r="M27" s="78">
        <v>1</v>
      </c>
      <c r="N27" s="78">
        <v>0</v>
      </c>
      <c r="O27" s="78">
        <v>1</v>
      </c>
      <c r="P27" s="70">
        <v>0</v>
      </c>
      <c r="Q27" s="78">
        <v>0</v>
      </c>
      <c r="R27" s="71">
        <v>1</v>
      </c>
      <c r="S27"/>
      <c r="T27"/>
    </row>
    <row r="28" spans="1:20" ht="15" customHeight="1" thickBot="1" x14ac:dyDescent="0.2">
      <c r="B28" s="88"/>
      <c r="C28" s="77"/>
      <c r="D28" s="82" t="s">
        <v>160</v>
      </c>
      <c r="F28" s="192" t="s">
        <v>214</v>
      </c>
      <c r="G28" s="78">
        <v>0</v>
      </c>
      <c r="H28" s="78">
        <v>0</v>
      </c>
      <c r="I28" s="78">
        <v>0</v>
      </c>
      <c r="J28" s="78">
        <v>0</v>
      </c>
      <c r="K28" s="78">
        <v>1</v>
      </c>
      <c r="L28" s="78">
        <v>0</v>
      </c>
      <c r="M28" s="78">
        <v>1</v>
      </c>
      <c r="N28" s="78">
        <v>0</v>
      </c>
      <c r="O28" s="78">
        <v>1</v>
      </c>
      <c r="P28" s="70">
        <v>0</v>
      </c>
      <c r="Q28" s="78">
        <v>0</v>
      </c>
      <c r="R28" s="71">
        <v>1</v>
      </c>
      <c r="S28"/>
      <c r="T28"/>
    </row>
    <row r="29" spans="1:20" ht="15" customHeight="1" x14ac:dyDescent="0.15">
      <c r="F29" s="192" t="s">
        <v>215</v>
      </c>
      <c r="G29" s="78">
        <v>0</v>
      </c>
      <c r="H29" s="78">
        <v>0</v>
      </c>
      <c r="I29" s="78">
        <v>0</v>
      </c>
      <c r="J29" s="78">
        <v>0</v>
      </c>
      <c r="K29" s="78">
        <v>1</v>
      </c>
      <c r="L29" s="78">
        <v>0</v>
      </c>
      <c r="M29" s="78">
        <v>1</v>
      </c>
      <c r="N29" s="78">
        <v>0</v>
      </c>
      <c r="O29" s="78">
        <v>1</v>
      </c>
      <c r="P29" s="70">
        <v>0</v>
      </c>
      <c r="Q29" s="78">
        <v>0</v>
      </c>
      <c r="R29" s="71">
        <v>1</v>
      </c>
      <c r="S29"/>
      <c r="T29"/>
    </row>
    <row r="30" spans="1:20" ht="15" customHeight="1" x14ac:dyDescent="0.15">
      <c r="F30" s="192" t="s">
        <v>216</v>
      </c>
      <c r="G30" s="78">
        <v>0</v>
      </c>
      <c r="H30" s="78">
        <v>0</v>
      </c>
      <c r="I30" s="78">
        <v>0</v>
      </c>
      <c r="J30" s="78">
        <v>0</v>
      </c>
      <c r="K30" s="78">
        <v>1</v>
      </c>
      <c r="L30" s="78">
        <v>0</v>
      </c>
      <c r="M30" s="78">
        <v>1</v>
      </c>
      <c r="N30" s="78">
        <v>0</v>
      </c>
      <c r="O30" s="78">
        <v>1</v>
      </c>
      <c r="P30" s="70">
        <v>0</v>
      </c>
      <c r="Q30" s="78">
        <v>0</v>
      </c>
      <c r="R30" s="71">
        <v>1</v>
      </c>
      <c r="S30"/>
      <c r="T30"/>
    </row>
    <row r="31" spans="1:20" ht="15" customHeight="1" x14ac:dyDescent="0.15">
      <c r="A31" s="119"/>
      <c r="B31" s="130" t="s">
        <v>17</v>
      </c>
      <c r="C31" s="130" t="s">
        <v>1</v>
      </c>
      <c r="D31" s="130" t="s">
        <v>161</v>
      </c>
      <c r="E31" s="131" t="s">
        <v>163</v>
      </c>
      <c r="F31" s="192" t="s">
        <v>217</v>
      </c>
      <c r="G31" s="78">
        <v>0</v>
      </c>
      <c r="H31" s="78">
        <v>0</v>
      </c>
      <c r="I31" s="78">
        <v>0</v>
      </c>
      <c r="J31" s="78">
        <v>0</v>
      </c>
      <c r="K31" s="78">
        <v>1</v>
      </c>
      <c r="L31" s="78">
        <v>0</v>
      </c>
      <c r="M31" s="78">
        <v>1</v>
      </c>
      <c r="N31" s="78">
        <v>0</v>
      </c>
      <c r="O31" s="78">
        <v>1</v>
      </c>
      <c r="P31" s="70">
        <v>0</v>
      </c>
      <c r="Q31" s="78">
        <v>0</v>
      </c>
      <c r="R31" s="71">
        <v>1</v>
      </c>
      <c r="S31"/>
      <c r="T31"/>
    </row>
    <row r="32" spans="1:20" ht="15" customHeight="1" x14ac:dyDescent="0.15">
      <c r="A32" s="195" t="s">
        <v>219</v>
      </c>
      <c r="B32" s="90">
        <v>18.25</v>
      </c>
      <c r="C32" s="90">
        <v>200</v>
      </c>
      <c r="D32" s="90">
        <v>3650</v>
      </c>
      <c r="E32" s="121">
        <v>1</v>
      </c>
      <c r="F32" s="192" t="s">
        <v>218</v>
      </c>
      <c r="G32" s="78">
        <v>0</v>
      </c>
      <c r="H32" s="78">
        <v>0</v>
      </c>
      <c r="I32" s="78">
        <v>0</v>
      </c>
      <c r="J32" s="78">
        <v>0</v>
      </c>
      <c r="K32" s="78">
        <v>1</v>
      </c>
      <c r="L32" s="78">
        <v>0</v>
      </c>
      <c r="M32" s="78">
        <v>1</v>
      </c>
      <c r="N32" s="78">
        <v>0</v>
      </c>
      <c r="O32" s="78">
        <v>1</v>
      </c>
      <c r="P32" s="70">
        <v>0</v>
      </c>
      <c r="Q32" s="78">
        <v>0</v>
      </c>
      <c r="R32" s="71">
        <v>1</v>
      </c>
      <c r="S32"/>
      <c r="T32"/>
    </row>
    <row r="33" spans="1:20" ht="15" customHeight="1" x14ac:dyDescent="0.15">
      <c r="A33" s="120"/>
      <c r="B33" s="90"/>
      <c r="C33" s="90"/>
      <c r="D33" s="90"/>
      <c r="E33" s="121"/>
      <c r="F33" s="192" t="s">
        <v>219</v>
      </c>
      <c r="G33" s="78">
        <v>0</v>
      </c>
      <c r="H33" s="78">
        <v>0</v>
      </c>
      <c r="I33" s="78">
        <v>0</v>
      </c>
      <c r="J33" s="78">
        <v>0</v>
      </c>
      <c r="K33" s="78">
        <v>0</v>
      </c>
      <c r="L33" s="78">
        <v>0</v>
      </c>
      <c r="M33" s="78">
        <v>1</v>
      </c>
      <c r="N33" s="78">
        <v>0</v>
      </c>
      <c r="O33" s="78">
        <v>0</v>
      </c>
      <c r="P33" s="70">
        <v>0</v>
      </c>
      <c r="Q33" s="78">
        <v>0</v>
      </c>
      <c r="R33" s="71">
        <v>1</v>
      </c>
      <c r="S33"/>
      <c r="T33"/>
    </row>
    <row r="34" spans="1:20" ht="15" customHeight="1" x14ac:dyDescent="0.15">
      <c r="A34" s="122"/>
      <c r="B34" s="90"/>
      <c r="C34" s="90"/>
      <c r="D34" s="90"/>
      <c r="E34" s="121"/>
      <c r="F34" s="192" t="s">
        <v>220</v>
      </c>
      <c r="G34" s="78">
        <v>0</v>
      </c>
      <c r="H34" s="78">
        <v>0</v>
      </c>
      <c r="I34" s="78">
        <v>0</v>
      </c>
      <c r="J34" s="78">
        <v>0</v>
      </c>
      <c r="K34" s="78">
        <v>0</v>
      </c>
      <c r="L34" s="78">
        <v>1</v>
      </c>
      <c r="M34" s="78">
        <v>0</v>
      </c>
      <c r="N34" s="78">
        <v>1</v>
      </c>
      <c r="O34" s="78">
        <v>0</v>
      </c>
      <c r="P34" s="70">
        <v>1</v>
      </c>
      <c r="Q34" s="78">
        <v>0</v>
      </c>
      <c r="R34" s="71">
        <v>1</v>
      </c>
      <c r="S34"/>
      <c r="T34"/>
    </row>
    <row r="35" spans="1:20" ht="15" customHeight="1" x14ac:dyDescent="0.15">
      <c r="A35" s="123"/>
      <c r="B35" s="90"/>
      <c r="C35" s="90"/>
      <c r="D35" s="90"/>
      <c r="E35" s="121"/>
      <c r="F35" s="192" t="s">
        <v>221</v>
      </c>
      <c r="G35" s="78">
        <v>0</v>
      </c>
      <c r="H35" s="78">
        <v>0</v>
      </c>
      <c r="I35" s="78">
        <v>0</v>
      </c>
      <c r="J35" s="78">
        <v>0</v>
      </c>
      <c r="K35" s="78">
        <v>0</v>
      </c>
      <c r="L35" s="78">
        <v>1</v>
      </c>
      <c r="M35" s="78">
        <v>0</v>
      </c>
      <c r="N35" s="78">
        <v>1</v>
      </c>
      <c r="O35" s="78">
        <v>0</v>
      </c>
      <c r="P35" s="70">
        <v>1</v>
      </c>
      <c r="Q35" s="78">
        <v>0</v>
      </c>
      <c r="R35" s="71">
        <v>1</v>
      </c>
      <c r="S35"/>
      <c r="T35"/>
    </row>
    <row r="36" spans="1:20" ht="15" customHeight="1" x14ac:dyDescent="0.15">
      <c r="A36" s="124"/>
      <c r="B36" s="90"/>
      <c r="C36" s="90"/>
      <c r="D36" s="90"/>
      <c r="E36" s="121"/>
      <c r="F36" s="192" t="s">
        <v>222</v>
      </c>
      <c r="G36" s="78">
        <v>0</v>
      </c>
      <c r="H36" s="78">
        <v>0</v>
      </c>
      <c r="I36" s="78">
        <v>0</v>
      </c>
      <c r="J36" s="78">
        <v>0</v>
      </c>
      <c r="K36" s="78">
        <v>0</v>
      </c>
      <c r="L36" s="78">
        <v>1</v>
      </c>
      <c r="M36" s="78">
        <v>0</v>
      </c>
      <c r="N36" s="78">
        <v>0</v>
      </c>
      <c r="O36" s="78">
        <v>0</v>
      </c>
      <c r="P36" s="70">
        <v>0</v>
      </c>
      <c r="Q36" s="78">
        <v>0</v>
      </c>
      <c r="R36" s="71">
        <v>1</v>
      </c>
      <c r="S36"/>
      <c r="T36"/>
    </row>
    <row r="37" spans="1:20" ht="15" customHeight="1" x14ac:dyDescent="0.15">
      <c r="A37" s="124"/>
      <c r="B37" s="90"/>
      <c r="C37" s="90"/>
      <c r="D37" s="90"/>
      <c r="E37" s="121"/>
      <c r="F37" s="192" t="s">
        <v>223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1</v>
      </c>
      <c r="M37" s="78">
        <v>0</v>
      </c>
      <c r="N37" s="78">
        <v>0</v>
      </c>
      <c r="O37" s="78">
        <v>0</v>
      </c>
      <c r="P37" s="70">
        <v>0</v>
      </c>
      <c r="Q37" s="78">
        <v>0</v>
      </c>
      <c r="R37" s="71">
        <v>1</v>
      </c>
      <c r="S37"/>
      <c r="T37"/>
    </row>
    <row r="38" spans="1:20" ht="15" customHeight="1" x14ac:dyDescent="0.15">
      <c r="A38" s="125"/>
      <c r="B38" s="90"/>
      <c r="C38" s="90"/>
      <c r="D38" s="90"/>
      <c r="E38" s="121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5"/>
      <c r="B39" s="90"/>
      <c r="C39" s="90"/>
      <c r="D39" s="90"/>
      <c r="E39" s="121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5"/>
      <c r="B40" s="90"/>
      <c r="C40" s="90"/>
      <c r="D40" s="90"/>
      <c r="E40" s="121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5"/>
      <c r="B41" s="90"/>
      <c r="C41" s="90"/>
      <c r="D41" s="91"/>
      <c r="E41" s="126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7"/>
      <c r="B42" s="128"/>
      <c r="C42" s="128" t="s">
        <v>162</v>
      </c>
      <c r="D42" s="128">
        <f>SUM(D32:D41)</f>
        <v>3650</v>
      </c>
      <c r="E42" s="129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8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8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8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8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8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8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8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8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8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8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8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8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8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8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8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8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8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8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8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8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8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8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8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8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8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8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8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8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8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8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8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8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8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8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8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8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8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8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8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8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8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8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8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8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8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8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8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8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8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8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8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8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8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8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8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8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8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8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8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8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8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8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8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8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8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8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8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8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8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8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8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8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8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8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8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8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8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8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8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8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8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8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8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8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8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8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8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8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8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8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8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8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8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8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8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8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8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8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8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8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8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8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8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8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8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8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8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8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8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8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8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8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8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8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8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8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8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8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8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8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8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8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8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8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N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4" customWidth="1"/>
    <col min="3" max="5" width="7.83203125" style="104" customWidth="1"/>
    <col min="6" max="8" width="8.83203125" style="6"/>
    <col min="9" max="9" width="12.1640625" style="6" customWidth="1"/>
    <col min="10" max="10" width="7.1640625" style="6" customWidth="1"/>
    <col min="11" max="11" width="12.5" style="6" customWidth="1"/>
    <col min="12" max="12" width="15" style="6" customWidth="1"/>
    <col min="13" max="13" width="5.33203125" style="6" customWidth="1"/>
    <col min="14" max="14" width="13.5" style="6" customWidth="1"/>
    <col min="15" max="15" width="14.83203125" style="6" customWidth="1"/>
    <col min="16" max="16" width="10.5" style="6" customWidth="1"/>
    <col min="17" max="17" width="12.5" style="6" customWidth="1"/>
    <col min="18" max="18" width="12.1640625" style="6" customWidth="1"/>
    <col min="19" max="19" width="5.5" style="6" customWidth="1"/>
    <col min="20" max="20" width="12" style="6" customWidth="1"/>
    <col min="21" max="21" width="12.83203125" style="6" customWidth="1"/>
    <col min="22" max="22" width="14.6640625" style="6" customWidth="1"/>
    <col min="23" max="23" width="5.5" style="6" customWidth="1"/>
    <col min="24" max="24" width="7.33203125" style="6" customWidth="1"/>
    <col min="25" max="25" width="14" style="6" customWidth="1"/>
    <col min="26" max="26" width="7.83203125" style="6" customWidth="1"/>
    <col min="27" max="27" width="8.83203125" style="6" customWidth="1"/>
    <col min="28" max="28" width="12.1640625" style="6" customWidth="1"/>
    <col min="29" max="29" width="10.5" style="6" customWidth="1"/>
    <col min="30" max="30" width="11.83203125" style="6" customWidth="1"/>
    <col min="31" max="31" width="6.1640625" style="6" customWidth="1"/>
    <col min="32" max="33" width="8.1640625" style="6" customWidth="1"/>
    <col min="34" max="34" width="8.6640625" style="6" customWidth="1"/>
    <col min="35" max="35" width="11.33203125" style="6" customWidth="1"/>
    <col min="36" max="36" width="13.1640625" style="6" customWidth="1"/>
    <col min="37" max="37" width="7.6640625" style="6" customWidth="1"/>
    <col min="38" max="38" width="21.6640625" style="6" customWidth="1"/>
    <col min="39" max="39" width="7.5" customWidth="1"/>
    <col min="40" max="40" width="9.1640625" customWidth="1"/>
    <col min="81" max="81" width="22.1640625" bestFit="1" customWidth="1"/>
  </cols>
  <sheetData>
    <row r="1" spans="1:40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97" t="s">
        <v>192</v>
      </c>
      <c r="J1" s="197" t="s">
        <v>193</v>
      </c>
      <c r="K1" s="197" t="s">
        <v>194</v>
      </c>
      <c r="L1" s="197" t="s">
        <v>195</v>
      </c>
      <c r="M1" s="197" t="s">
        <v>196</v>
      </c>
      <c r="N1" s="197" t="s">
        <v>197</v>
      </c>
      <c r="O1" s="197" t="s">
        <v>198</v>
      </c>
      <c r="P1" s="197" t="s">
        <v>199</v>
      </c>
      <c r="Q1" s="197" t="s">
        <v>200</v>
      </c>
      <c r="R1" s="197" t="s">
        <v>201</v>
      </c>
      <c r="S1" s="197" t="s">
        <v>202</v>
      </c>
      <c r="T1" s="197" t="s">
        <v>203</v>
      </c>
      <c r="U1" s="197" t="s">
        <v>204</v>
      </c>
      <c r="V1" s="197" t="s">
        <v>205</v>
      </c>
      <c r="W1" s="197" t="s">
        <v>206</v>
      </c>
      <c r="X1" s="197" t="s">
        <v>207</v>
      </c>
      <c r="Y1" s="197" t="s">
        <v>208</v>
      </c>
      <c r="Z1" s="197" t="s">
        <v>209</v>
      </c>
      <c r="AA1" s="197" t="s">
        <v>210</v>
      </c>
      <c r="AB1" s="197" t="s">
        <v>211</v>
      </c>
      <c r="AC1" s="197" t="s">
        <v>212</v>
      </c>
      <c r="AD1" s="197" t="s">
        <v>213</v>
      </c>
      <c r="AE1" s="197" t="s">
        <v>214</v>
      </c>
      <c r="AF1" s="197" t="s">
        <v>215</v>
      </c>
      <c r="AG1" s="197" t="s">
        <v>216</v>
      </c>
      <c r="AH1" s="197" t="s">
        <v>217</v>
      </c>
      <c r="AI1" s="197" t="s">
        <v>218</v>
      </c>
      <c r="AJ1" s="197" t="s">
        <v>219</v>
      </c>
      <c r="AK1" s="197" t="s">
        <v>220</v>
      </c>
      <c r="AL1" s="197" t="s">
        <v>221</v>
      </c>
      <c r="AM1" s="197" t="s">
        <v>222</v>
      </c>
      <c r="AN1" s="197" t="s">
        <v>223</v>
      </c>
    </row>
    <row r="2" spans="1:40" x14ac:dyDescent="0.15">
      <c r="A2" t="s">
        <v>38</v>
      </c>
      <c r="B2" s="10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0" x14ac:dyDescent="0.15">
      <c r="A3" t="s">
        <v>40</v>
      </c>
      <c r="B3" s="10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0" x14ac:dyDescent="0.15">
      <c r="A4" t="s">
        <v>41</v>
      </c>
      <c r="B4" s="10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0" x14ac:dyDescent="0.15">
      <c r="A5" s="196" t="s">
        <v>192</v>
      </c>
      <c r="B5" s="10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0" x14ac:dyDescent="0.15">
      <c r="A6" s="196" t="s">
        <v>193</v>
      </c>
      <c r="B6" s="10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0" x14ac:dyDescent="0.15">
      <c r="A7" s="196" t="s">
        <v>194</v>
      </c>
      <c r="B7" s="10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0" x14ac:dyDescent="0.15">
      <c r="A8" s="196" t="s">
        <v>195</v>
      </c>
      <c r="B8" s="10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0" x14ac:dyDescent="0.15">
      <c r="A9" s="196" t="s">
        <v>196</v>
      </c>
      <c r="B9" s="10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0" x14ac:dyDescent="0.15">
      <c r="A10" s="196" t="s">
        <v>197</v>
      </c>
      <c r="B10" s="10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0" x14ac:dyDescent="0.15">
      <c r="A11" s="196" t="s">
        <v>198</v>
      </c>
      <c r="B11" s="10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0" x14ac:dyDescent="0.15">
      <c r="A12" s="196" t="s">
        <v>199</v>
      </c>
      <c r="B12" s="10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0" x14ac:dyDescent="0.15">
      <c r="A13" s="196" t="s">
        <v>200</v>
      </c>
      <c r="B13" s="10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0" x14ac:dyDescent="0.15">
      <c r="A14" s="196" t="s">
        <v>201</v>
      </c>
      <c r="B14" s="10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0" x14ac:dyDescent="0.15">
      <c r="A15" s="196" t="s">
        <v>202</v>
      </c>
      <c r="B15" s="10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0" x14ac:dyDescent="0.15">
      <c r="A16" s="196" t="s">
        <v>203</v>
      </c>
      <c r="B16" s="10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6" t="s">
        <v>204</v>
      </c>
      <c r="B17" s="10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6" t="s">
        <v>205</v>
      </c>
      <c r="B18" s="10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6" t="s">
        <v>206</v>
      </c>
      <c r="B19" s="10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6" t="s">
        <v>207</v>
      </c>
      <c r="B20" s="10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6" t="s">
        <v>208</v>
      </c>
      <c r="B21" s="10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6" t="s">
        <v>209</v>
      </c>
      <c r="B22" s="10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6" t="s">
        <v>210</v>
      </c>
      <c r="B23" s="10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6" t="s">
        <v>211</v>
      </c>
      <c r="B24" s="10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6" t="s">
        <v>212</v>
      </c>
      <c r="B25" s="10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6" t="s">
        <v>213</v>
      </c>
      <c r="B26" s="10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6" t="s">
        <v>214</v>
      </c>
      <c r="B27" s="10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6" t="s">
        <v>215</v>
      </c>
      <c r="B28" s="10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6" t="s">
        <v>216</v>
      </c>
      <c r="B29" s="10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6" t="s">
        <v>217</v>
      </c>
      <c r="B30" s="10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6" t="s">
        <v>218</v>
      </c>
      <c r="B31" s="10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6" t="s">
        <v>219</v>
      </c>
      <c r="B32" s="10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6" t="s">
        <v>220</v>
      </c>
      <c r="B33" s="10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6" t="s">
        <v>221</v>
      </c>
      <c r="B34" s="10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6" t="s">
        <v>222</v>
      </c>
      <c r="B35" s="10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6" t="s">
        <v>223</v>
      </c>
      <c r="B36" s="104">
        <v>0</v>
      </c>
      <c r="C36"/>
      <c r="D36"/>
    </row>
    <row r="37" spans="1:38" ht="15" customHeight="1" x14ac:dyDescent="0.15">
      <c r="B37"/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2022-10-24T03:07:07Z</dcterms:modified>
</cp:coreProperties>
</file>