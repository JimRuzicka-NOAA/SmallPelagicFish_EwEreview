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67762EC5-E884-7848-B5F3-78A2C79C5EFE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Main!$C$2:$N$69</definedName>
    <definedName name="matDetritus">Detritus!$C$2:$E$69</definedName>
    <definedName name="matDiet">Diets!$B$2:$AV$51</definedName>
    <definedName name="matDiscards">Discards!$C$2:$U$50</definedName>
    <definedName name="matFishery">Fishing!$C$2:$U$50</definedName>
    <definedName name="matFishing">Fishing!#REF!</definedName>
    <definedName name="matMort">Mortalities!$A$1:$BS$50</definedName>
    <definedName name="matOut">MainOutputs!$A$2:$I$69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2" i="1"/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<sst xmlns="http://schemas.openxmlformats.org/spreadsheetml/2006/main" count="1572" uniqueCount="284">
  <si>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</si>
  <si>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</si>
  <si>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</si>
  <si>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</si>
  <si>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</si>
  <si>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</si>
  <si>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</si>
  <si>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</si>
  <si>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</si>
  <si>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</si>
  <si>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</si>
  <si>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</si>
  <si>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</si>
  <si>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</si>
  <si>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</si>
  <si>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</si>
  <si>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</si>
  <si>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</si>
  <si>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</si>
  <si>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</si>
  <si>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</si>
  <si>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</si>
  <si>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</si>
  <si>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</si>
  <si>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</si>
  <si>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</si>
  <si>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</si>
  <si>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</si>
  <si>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</si>
  <si>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</si>
  <si>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</si>
  <si>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</si>
  <si>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</si>
  <si>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</si>
  <si>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</si>
  <si>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</si>
  <si>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</si>
  <si>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</si>
  <si>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</si>
  <si>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</si>
  <si>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</si>
  <si>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</si>
  <si>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</si>
  <si>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</si>
  <si>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</si>
  <si>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</si>
  <si>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</si>
  <si>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</si>
  <si>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</si>
  <si>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</si>
  <si>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</si>
  <si>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</si>
  <si>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</si>
  <si>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</si>
  <si>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</si>
  <si>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</si>
  <si>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</si>
  <si>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</si>
  <si>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</si>
  <si>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</si>
  <si>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</si>
  <si>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</si>
  <si>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</si>
  <si>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</si>
  <si>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</si>
  <si>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</si>
  <si>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</si>
  <si>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</si>
  <si>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</si>
  <si>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</si>
  <si>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</si>
  <si>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</si>
  <si>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</si>
  <si>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</si>
  <si>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</si>
  <si>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</si>
  <si>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</si>
  <si>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</si>
  <si>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</si>
  <si>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</si>
  <si>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</si>
  <si>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</si>
  <si>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</si>
  <si>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</si>
  <si>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</si>
  <si>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</si>
  <si>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</si>
  <si>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</si>
  <si>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</si>
  <si>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</si>
  <si>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</si>
  <si>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</si>
  <si>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</si>
  <si>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</si>
  <si>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</si>
  <si>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</si>
  <si>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</si>
  <si>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</si>
  <si>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</si>
  <si>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</si>
  <si>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</si>
  <si>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</si>
  <si>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</si>
  <si>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</si>
  <si>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</si>
  <si>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</si>
  <si>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</si>
  <si>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</si>
  <si>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</si>
  <si>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</si>
  <si>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</si>
  <si>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</si>
  <si>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</si>
  <si>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</si>
  <si>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</si>
  <si>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</si>
  <si>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</si>
  <si>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</si>
  <si>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</si>
  <si>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</si>
  <si>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</si>
  <si>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</si>
  <si>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</si>
  <si>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</si>
  <si>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</si>
  <si>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</si>
  <si>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</si>
  <si>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</si>
  <si>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</si>
  <si>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</si>
  <si>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</si>
  <si>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</si>
  <si>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</si>
  <si>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</si>
  <si>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</si>
  <si>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</si>
  <si>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</si>
  <si>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</si>
  <si>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</si>
  <si>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</si>
  <si>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</si>
  <si>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</si>
  <si>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</si>
  <si>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</si>
  <si>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</si>
  <si>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</si>
  <si>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</si>
  <si>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</si>
  <si>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</si>
  <si>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</si>
  <si>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</si>
  <si>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</si>
  <si>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</si>
  <si>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</si>
  <si>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</si>
  <si>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</si>
  <si>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</si>
  <si>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</si>
  <si>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</si>
  <si>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</si>
  <si>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</si>
  <si>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</si>
  <si>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</si>
  <si>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</si>
  <si>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</si>
  <si>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</si>
  <si>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</si>
  <si>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</si>
  <si>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</si>
  <si>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</si>
  <si>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</si>
  <si>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</si>
  <si>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</si>
  <si>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</si>
  <si>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</si>
  <si>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</si>
  <si>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</si>
  <si>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</si>
  <si>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</si>
  <si>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</si>
  <si>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</si>
  <si>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</si>
  <si>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</si>
  <si>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</si>
  <si>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</si>
  <si>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Gulf of Mexico</t>
  </si>
  <si>
    <t>Mexico,United States of America</t>
  </si>
  <si>
    <t>BOX(-98 24,-81 31)</t>
  </si>
  <si>
    <t>continental shelf</t>
  </si>
  <si>
    <t>WetWeight</t>
  </si>
  <si>
    <t>; 4/19/2007 4:28:42 AM; 4/19/2007 5:27:45 AM</t>
  </si>
  <si>
    <t>Walters C.,Martell S.J.D.,Christensen V.,Mahmoudi B.(2008). An Ecosim model for exploring ecosystem management options for the Gulf of Mexico: implications of including multistanza life history models for policy predictions Bulletin of Marine Science. pp 251-271</t>
  </si>
  <si>
    <t>0-3 Red Drum</t>
  </si>
  <si>
    <t>3-8 Red Drum</t>
  </si>
  <si>
    <t>8-18 Red Drum</t>
  </si>
  <si>
    <t>18-36 Red Drum</t>
  </si>
  <si>
    <t>36+ Red Drum</t>
  </si>
  <si>
    <t>0-3 Sea Trout</t>
  </si>
  <si>
    <t>3-18 Sea Trout</t>
  </si>
  <si>
    <t>18+ Sea Trout</t>
  </si>
  <si>
    <t>0-6 Mullet</t>
  </si>
  <si>
    <t>6-18 Mullet</t>
  </si>
  <si>
    <t>18+ Mullet</t>
  </si>
  <si>
    <t>Mackrel 0-3</t>
  </si>
  <si>
    <t>Mackrel 3+</t>
  </si>
  <si>
    <t>Ladyfish 0-10</t>
  </si>
  <si>
    <t>Ladyfish 10+</t>
  </si>
  <si>
    <t>Grouper 0</t>
  </si>
  <si>
    <t>Grouper 1-3</t>
  </si>
  <si>
    <t>Grouper 3+</t>
  </si>
  <si>
    <t>Jacks</t>
  </si>
  <si>
    <t>Bay Anchovy</t>
  </si>
  <si>
    <t>Pin Fish</t>
  </si>
  <si>
    <t>Small fish</t>
  </si>
  <si>
    <t>Silver Perch</t>
  </si>
  <si>
    <t>Scaled Sardine</t>
  </si>
  <si>
    <t>juv Menhaden</t>
  </si>
  <si>
    <t>Menhaden</t>
  </si>
  <si>
    <t>Catfish</t>
  </si>
  <si>
    <t>Caridan Shrimp</t>
  </si>
  <si>
    <t>Shrimp</t>
  </si>
  <si>
    <t>Stone Crab</t>
  </si>
  <si>
    <t>Blue Crab</t>
  </si>
  <si>
    <t>Pigfish</t>
  </si>
  <si>
    <t>Rays</t>
  </si>
  <si>
    <t>Pompano</t>
  </si>
  <si>
    <t>Lobster</t>
  </si>
  <si>
    <t>red snapper 0-6</t>
  </si>
  <si>
    <t>red snapper 6-24</t>
  </si>
  <si>
    <t>red snapper older</t>
  </si>
  <si>
    <t>Atlantic croaker</t>
  </si>
  <si>
    <t>LCsharks</t>
  </si>
  <si>
    <t>Benthic Invertebrates</t>
  </si>
  <si>
    <t>Macro Zooplankton</t>
  </si>
  <si>
    <t>Micro Zoolplankton</t>
  </si>
  <si>
    <t>Infauna</t>
  </si>
  <si>
    <t>Attached Microalgae</t>
  </si>
  <si>
    <t>Sea Grass</t>
  </si>
  <si>
    <t>Phytoplankton</t>
  </si>
  <si>
    <t>Detritus</t>
  </si>
  <si>
    <t>detritus_TerminalBenthic</t>
  </si>
  <si>
    <t>Gillnet / Trawl</t>
  </si>
  <si>
    <t>Purse Seine</t>
  </si>
  <si>
    <t>Haul Seine</t>
  </si>
  <si>
    <t>Rec. Hook  Line</t>
  </si>
  <si>
    <t>Crab Traps</t>
  </si>
  <si>
    <t>Cast Net</t>
  </si>
  <si>
    <t>Bait Trawl</t>
  </si>
  <si>
    <t>Comm. Line</t>
  </si>
  <si>
    <t>Shrimp Trawl</t>
  </si>
  <si>
    <t>Lobser pot</t>
  </si>
  <si>
    <t>Shark Fishing</t>
  </si>
  <si>
    <t>snook fishery</t>
  </si>
  <si>
    <t>red drum fishery</t>
  </si>
  <si>
    <t>trout fishery</t>
  </si>
  <si>
    <t>grouper fishery</t>
  </si>
  <si>
    <t>snapper fishery</t>
  </si>
  <si>
    <t>mackarel fishery</t>
  </si>
  <si>
    <t>Shrimp Trawl BRDs</t>
  </si>
  <si>
    <t>Red Tides</t>
  </si>
  <si>
    <t>Import</t>
  </si>
  <si>
    <t>export</t>
  </si>
  <si>
    <t>sum</t>
  </si>
  <si>
    <t>TOTAL</t>
  </si>
  <si>
    <t>F Gillnet / Trawl</t>
  </si>
  <si>
    <t>F Purse Seine</t>
  </si>
  <si>
    <t>F Haul Seine</t>
  </si>
  <si>
    <t>F Rec. Hook  Line</t>
  </si>
  <si>
    <t>F Crab Traps</t>
  </si>
  <si>
    <t>F Cast Net</t>
  </si>
  <si>
    <t>F Bait Trawl</t>
  </si>
  <si>
    <t>F Comm. Line</t>
  </si>
  <si>
    <t>F Shrimp Trawl</t>
  </si>
  <si>
    <t>F Lobser pot</t>
  </si>
  <si>
    <t>F Shark Fishing</t>
  </si>
  <si>
    <t>F snook fishery</t>
  </si>
  <si>
    <t>F red drum fishery</t>
  </si>
  <si>
    <t>F trout fishery</t>
  </si>
  <si>
    <t>F grouper fishery</t>
  </si>
  <si>
    <t>F snapper fishery</t>
  </si>
  <si>
    <t>F mackarel fishery</t>
  </si>
  <si>
    <t>F Shrimp Trawl BRDs</t>
  </si>
  <si>
    <t>F Red Tides</t>
  </si>
  <si>
    <t>&lt;&lt;--original b = 3; ee = 0.3985043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</si>
</sst>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16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FF9A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7400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0DE6FC"/>
        <bgColor indexed="64"/>
      </patternFill>
    </fill>
    <fill>
      <patternFill patternType="solid">
        <fgColor rgb="FF438A57"/>
        <bgColor indexed="64"/>
      </patternFill>
    </fill>
    <fill>
      <patternFill patternType="solid">
        <fgColor rgb="FF363321"/>
        <bgColor indexed="64"/>
      </patternFill>
    </fill>
    <fill>
      <patternFill patternType="solid">
        <fgColor rgb="FF9A95DB"/>
        <bgColor indexed="64"/>
      </patternFill>
    </fill>
    <fill>
      <patternFill patternType="solid">
        <fgColor rgb="FF1633A2"/>
        <bgColor indexed="64"/>
      </patternFill>
    </fill>
    <fill>
      <patternFill patternType="solid">
        <fgColor rgb="FF7549D5"/>
        <bgColor indexed="64"/>
      </patternFill>
    </fill>
    <fill>
      <patternFill patternType="solid">
        <fgColor rgb="FF4EF865"/>
        <bgColor indexed="64"/>
      </patternFill>
    </fill>
    <fill>
      <patternFill patternType="solid">
        <fgColor rgb="FFCACD9B"/>
        <bgColor indexed="64"/>
      </patternFill>
    </fill>
    <fill>
      <patternFill patternType="solid">
        <fgColor rgb="FF5B95A8"/>
        <bgColor indexed="64"/>
      </patternFill>
    </fill>
    <fill>
      <patternFill patternType="solid">
        <fgColor rgb="FF950FD6"/>
        <bgColor indexed="64"/>
      </patternFill>
    </fill>
    <fill>
      <patternFill patternType="solid">
        <fgColor rgb="FF0F2751"/>
        <bgColor indexed="64"/>
      </patternFill>
    </fill>
    <fill>
      <patternFill patternType="solid">
        <fgColor rgb="FF6F6CDA"/>
        <bgColor indexed="64"/>
      </patternFill>
    </fill>
    <fill>
      <patternFill patternType="solid">
        <fgColor rgb="FF0EE53D"/>
        <bgColor indexed="64"/>
      </patternFill>
    </fill>
    <fill>
      <patternFill patternType="solid">
        <fgColor rgb="FF0DC709"/>
        <bgColor indexed="64"/>
      </patternFill>
    </fill>
    <fill>
      <patternFill patternType="solid">
        <fgColor rgb="FF23AB43"/>
        <bgColor indexed="64"/>
      </patternFill>
    </fill>
    <fill>
      <patternFill patternType="solid">
        <fgColor rgb="FFD7363A"/>
        <bgColor indexed="64"/>
      </patternFill>
    </fill>
    <fill>
      <patternFill patternType="solid">
        <fgColor rgb="FF819E9B"/>
        <bgColor indexed="64"/>
      </patternFill>
    </fill>
    <fill>
      <patternFill patternType="solid">
        <fgColor rgb="FF1AF062"/>
        <bgColor indexed="64"/>
      </patternFill>
    </fill>
    <fill>
      <patternFill patternType="solid">
        <fgColor rgb="FF590AE3"/>
        <bgColor indexed="64"/>
      </patternFill>
    </fill>
    <fill>
      <patternFill patternType="solid">
        <fgColor rgb="FF7E68ED"/>
        <bgColor indexed="64"/>
      </patternFill>
    </fill>
    <fill>
      <patternFill patternType="solid">
        <fgColor rgb="FF408D0B"/>
        <bgColor indexed="64"/>
      </patternFill>
    </fill>
    <fill>
      <patternFill patternType="solid">
        <fgColor rgb="FFD0788B"/>
        <bgColor indexed="64"/>
      </patternFill>
    </fill>
    <fill>
      <patternFill patternType="solid">
        <fgColor rgb="FF6026BB"/>
        <bgColor indexed="64"/>
      </patternFill>
    </fill>
    <fill>
      <patternFill patternType="solid">
        <fgColor rgb="FF383652"/>
        <bgColor indexed="64"/>
      </patternFill>
    </fill>
    <fill>
      <patternFill patternType="solid">
        <fgColor rgb="FF6CBD1E"/>
        <bgColor indexed="64"/>
      </patternFill>
    </fill>
    <fill>
      <patternFill patternType="solid">
        <fgColor rgb="FF6FD292"/>
        <bgColor indexed="64"/>
      </patternFill>
    </fill>
    <fill>
      <patternFill patternType="solid">
        <fgColor rgb="FFC44B12"/>
        <bgColor indexed="64"/>
      </patternFill>
    </fill>
    <fill>
      <patternFill patternType="solid">
        <fgColor rgb="FF9F80B0"/>
        <bgColor indexed="64"/>
      </patternFill>
    </fill>
    <fill>
      <patternFill patternType="solid">
        <fgColor rgb="FF5AA129"/>
        <bgColor indexed="64"/>
      </patternFill>
    </fill>
    <fill>
      <patternFill patternType="solid">
        <fgColor rgb="FFE75ED0"/>
        <bgColor indexed="64"/>
      </patternFill>
    </fill>
    <fill>
      <patternFill patternType="solid">
        <fgColor rgb="FF2A7F09"/>
        <bgColor indexed="64"/>
      </patternFill>
    </fill>
    <fill>
      <patternFill patternType="solid">
        <fgColor rgb="FFBFD64B"/>
        <bgColor indexed="64"/>
      </patternFill>
    </fill>
    <fill>
      <patternFill patternType="solid">
        <fgColor rgb="FF6B8301"/>
        <bgColor indexed="64"/>
      </patternFill>
    </fill>
    <fill>
      <patternFill patternType="solid">
        <fgColor rgb="FFAAF918"/>
        <bgColor indexed="64"/>
      </patternFill>
    </fill>
    <fill>
      <patternFill patternType="solid">
        <fgColor rgb="FFC70BF6"/>
        <bgColor indexed="64"/>
      </patternFill>
    </fill>
    <fill>
      <patternFill patternType="solid">
        <fgColor rgb="FFFFB0AF"/>
        <bgColor indexed="64"/>
      </patternFill>
    </fill>
    <fill>
      <patternFill patternType="solid">
        <fgColor rgb="FF2E2DF7"/>
        <bgColor indexed="64"/>
      </patternFill>
    </fill>
    <fill>
      <patternFill patternType="solid">
        <fgColor rgb="FFB1E220"/>
        <bgColor indexed="64"/>
      </patternFill>
    </fill>
    <fill>
      <patternFill patternType="solid">
        <fgColor rgb="FF264508"/>
        <bgColor indexed="64"/>
      </patternFill>
    </fill>
    <fill>
      <patternFill patternType="solid">
        <fgColor rgb="FF53E63D"/>
        <bgColor indexed="64"/>
      </patternFill>
    </fill>
    <fill>
      <patternFill patternType="solid">
        <fgColor rgb="FFB3D416"/>
        <bgColor indexed="64"/>
      </patternFill>
    </fill>
    <fill>
      <patternFill patternType="solid">
        <fgColor rgb="FFD1CF34"/>
        <bgColor indexed="64"/>
      </patternFill>
    </fill>
    <fill>
      <patternFill patternType="solid">
        <fgColor rgb="FF1B9F13"/>
        <bgColor indexed="64"/>
      </patternFill>
    </fill>
    <fill>
      <patternFill patternType="solid">
        <fgColor rgb="FF9F76F0"/>
        <bgColor indexed="64"/>
      </patternFill>
    </fill>
    <fill>
      <patternFill patternType="solid">
        <fgColor rgb="FF314C9B"/>
        <bgColor indexed="64"/>
      </patternFill>
    </fill>
    <fill>
      <patternFill patternType="solid">
        <fgColor rgb="FF3F5018"/>
        <bgColor indexed="64"/>
      </patternFill>
    </fill>
    <fill>
      <patternFill patternType="solid">
        <fgColor rgb="FF01F4BB"/>
        <bgColor indexed="64"/>
      </patternFill>
    </fill>
    <fill>
      <patternFill patternType="solid">
        <fgColor rgb="FF6D7575"/>
        <bgColor indexed="64"/>
      </patternFill>
    </fill>
    <fill>
      <patternFill patternType="solid">
        <fgColor rgb="FFDA69B4"/>
        <bgColor indexed="64"/>
      </patternFill>
    </fill>
    <fill>
      <patternFill patternType="solid">
        <fgColor rgb="FF60633C"/>
        <bgColor indexed="64"/>
      </patternFill>
    </fill>
    <fill>
      <patternFill patternType="solid">
        <fgColor rgb="FF3A12CA"/>
        <bgColor indexed="64"/>
      </patternFill>
    </fill>
    <fill>
      <patternFill patternType="solid">
        <fgColor rgb="FFD2556B"/>
        <bgColor indexed="64"/>
      </patternFill>
    </fill>
    <fill>
      <patternFill patternType="solid">
        <fgColor rgb="FFFDB27D"/>
        <bgColor indexed="64"/>
      </patternFill>
    </fill>
    <fill>
      <patternFill patternType="solid">
        <fgColor rgb="FFD55727"/>
        <bgColor indexed="64"/>
      </patternFill>
    </fill>
    <fill>
      <patternFill patternType="solid">
        <fgColor rgb="FFE782C9"/>
        <bgColor indexed="64"/>
      </patternFill>
    </fill>
    <fill>
      <patternFill patternType="solid">
        <fgColor rgb="FF9D58F5"/>
        <bgColor indexed="64"/>
      </patternFill>
    </fill>
    <fill>
      <patternFill patternType="solid">
        <fgColor rgb="FF5F4D38"/>
        <bgColor indexed="64"/>
      </patternFill>
    </fill>
    <fill>
      <patternFill patternType="solid">
        <fgColor rgb="FFC5E41D"/>
        <bgColor indexed="64"/>
      </patternFill>
    </fill>
    <fill>
      <patternFill patternType="solid">
        <fgColor rgb="FFE69FE3"/>
        <bgColor indexed="64"/>
      </patternFill>
    </fill>
    <fill>
      <patternFill patternType="solid">
        <fgColor rgb="FFC15489"/>
        <bgColor indexed="64"/>
      </patternFill>
    </fill>
    <fill>
      <patternFill patternType="solid">
        <fgColor rgb="FFD227CA"/>
        <bgColor indexed="64"/>
      </patternFill>
    </fill>
    <fill>
      <patternFill patternType="solid">
        <fgColor rgb="FF6D8B12"/>
        <bgColor indexed="64"/>
      </patternFill>
    </fill>
    <fill>
      <patternFill patternType="solid">
        <fgColor rgb="FF0ED5FB"/>
        <bgColor indexed="64"/>
      </patternFill>
    </fill>
    <fill>
      <patternFill patternType="solid">
        <fgColor rgb="FF05A7F3"/>
        <bgColor indexed="64"/>
      </patternFill>
    </fill>
    <fill>
      <patternFill patternType="solid">
        <fgColor rgb="FF1F627E"/>
        <bgColor indexed="64"/>
      </patternFill>
    </fill>
    <fill>
      <patternFill patternType="solid">
        <fgColor rgb="FFE62BD2"/>
        <bgColor indexed="64"/>
      </patternFill>
    </fill>
    <fill>
      <patternFill patternType="solid">
        <fgColor rgb="FFA6390C"/>
        <bgColor indexed="64"/>
      </patternFill>
    </fill>
    <fill>
      <patternFill patternType="solid">
        <fgColor rgb="FFE87DAB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1" fillId="0" borderId="0" xfId="0" applyFont="1" applyAlignment="1">
      <alignment horizontal="center"/>
    </xf>
    <xf numFmtId="0" fontId="0" fillId="34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6" borderId="0" xfId="0" applyFill="1"/>
    <xf numFmtId="0" fontId="0" fillId="37" borderId="0" xfId="0" applyFill="1"/>
    <xf numFmtId="0" fontId="0" fillId="0" borderId="0" xfId="0" applyFont="1" applyFill="1" applyAlignment="1">
      <alignment horizontal="center"/>
    </xf>
    <xf numFmtId="0" fontId="0" fillId="38" borderId="0" xfId="0" applyFill="1"/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5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5" borderId="3" xfId="0" applyNumberFormat="1" applyFont="1" applyFill="1" applyBorder="1"/>
    <xf numFmtId="0" fontId="0" fillId="35" borderId="2" xfId="0" applyFont="1" applyFill="1" applyBorder="1"/>
    <xf numFmtId="0" fontId="0" fillId="35" borderId="3" xfId="0" applyFont="1" applyFill="1" applyBorder="1"/>
    <xf numFmtId="0" fontId="0" fillId="35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1" borderId="0" xfId="0" applyFill="1"/>
    <xf numFmtId="0" fontId="0" fillId="42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3" borderId="0" xfId="0" applyFill="1"/>
    <xf numFmtId="0" fontId="0" fillId="44" borderId="0" xfId="0" applyFill="1"/>
    <xf numFmtId="0" fontId="0" fillId="4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8" fillId="51" borderId="0" xfId="0" applyFont="1" applyFill="1"/>
    <xf numFmtId="0" fontId="14" fillId="0" borderId="0" xfId="0" applyFont="1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49" fontId="13" fillId="0" borderId="28" xfId="0" applyNumberFormat="1" applyFont="1" applyBorder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20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40" t="s">
        <v>171</v>
      </c>
      <c r="C53" s="105">
        <v>520</v>
      </c>
      <c r="D53" s="105"/>
    </row>
    <row r="54" spans="2:4" x14ac:dyDescent="0.15">
      <c r="B54" s="140" t="s">
        <v>172</v>
      </c>
      <c r="C54" s="140" t="s">
        <v>185</v>
      </c>
      <c r="D54" s="105"/>
    </row>
    <row r="55" spans="2:4" x14ac:dyDescent="0.15">
      <c r="B55" s="140" t="s">
        <v>173</v>
      </c>
      <c r="C55" s="140" t="s">
        <v>186</v>
      </c>
      <c r="D55" s="105"/>
    </row>
    <row r="56" spans="2:4" x14ac:dyDescent="0.15">
      <c r="B56" s="140" t="s">
        <v>174</v>
      </c>
      <c r="C56" s="105">
        <v>1</v>
      </c>
      <c r="D56" s="105"/>
    </row>
    <row r="57" spans="2:4" x14ac:dyDescent="0.15">
      <c r="B57" s="140" t="s">
        <v>175</v>
      </c>
      <c r="C57" s="140" t="s">
        <v>187</v>
      </c>
      <c r="D57" s="105"/>
    </row>
    <row r="58" spans="2:4" x14ac:dyDescent="0.15">
      <c r="B58" s="140" t="s">
        <v>176</v>
      </c>
      <c r="C58" s="140" t="s">
        <v>188</v>
      </c>
      <c r="D58" s="105"/>
    </row>
    <row r="59" spans="2:4" x14ac:dyDescent="0.15">
      <c r="B59" s="140" t="s">
        <v>177</v>
      </c>
      <c r="C59" s="140" t="s">
        <v>189</v>
      </c>
      <c r="D59" s="105"/>
    </row>
    <row r="60" spans="2:4" x14ac:dyDescent="0.15">
      <c r="B60" s="140" t="s">
        <v>178</v>
      </c>
      <c r="C60" s="140" t="s">
        <v>190</v>
      </c>
      <c r="D60" s="105"/>
    </row>
    <row r="61" spans="2:4" x14ac:dyDescent="0.15">
      <c r="B61" s="140" t="s">
        <v>179</v>
      </c>
      <c r="C61" s="105">
        <v>48</v>
      </c>
      <c r="D61" s="105"/>
    </row>
    <row r="62" spans="2:4" x14ac:dyDescent="0.15">
      <c r="B62" s="140" t="s">
        <v>180</v>
      </c>
      <c r="C62" s="105">
        <v>19</v>
      </c>
      <c r="D62" s="105"/>
    </row>
    <row r="63" spans="2:4" x14ac:dyDescent="0.15">
      <c r="B63" s="140" t="s">
        <v>181</v>
      </c>
      <c r="C63" s="105">
        <v>1950</v>
      </c>
      <c r="D63" s="105"/>
    </row>
    <row r="64" spans="2:4" x14ac:dyDescent="0.15">
      <c r="B64" s="140" t="s">
        <v>182</v>
      </c>
      <c r="C64" s="105">
        <v>1</v>
      </c>
      <c r="D64" s="105"/>
    </row>
    <row r="65" spans="2:4" x14ac:dyDescent="0.15">
      <c r="B65" s="140" t="s">
        <v>183</v>
      </c>
      <c r="C65" s="140" t="s">
        <v>191</v>
      </c>
      <c r="D65" s="105"/>
    </row>
    <row r="66" spans="2:4" x14ac:dyDescent="0.15">
      <c r="B66" s="140" t="s">
        <v>184</v>
      </c>
      <c r="D66" s="105"/>
    </row>
    <row r="67" spans="2:4" x14ac:dyDescent="0.15">
      <c r="B67" s="105"/>
      <c r="C67" s="105"/>
      <c r="D67" s="105"/>
    </row>
    <row r="68" spans="2:4" x14ac:dyDescent="0.15">
      <c r="B68" s="105"/>
      <c r="C68" s="105"/>
      <c r="D68" s="105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41" activePane="bottomLeft" state="frozenSplit"/>
      <selection activeCell="E1" sqref="E1"/>
      <selection pane="bottomLeft" activeCell="Q52" sqref="Q52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21.6640625" style="80" bestFit="1" customWidth="1"/>
    <col min="6" max="6" width="2.33203125" style="80" bestFit="1" customWidth="1"/>
    <col min="7" max="7" width="14.83203125" style="80" bestFit="1" customWidth="1"/>
    <col min="8" max="8" width="6.83203125" style="80" customWidth="1"/>
    <col min="9" max="9" width="10.83203125" style="80" customWidth="1"/>
    <col min="10" max="10" width="13.83203125" style="80" customWidth="1"/>
    <col min="11" max="11" width="12.83203125" style="80" customWidth="1"/>
    <col min="12" max="12" width="11.5" style="80" customWidth="1"/>
    <col min="13" max="13" width="4.83203125" style="80" customWidth="1"/>
    <col min="14" max="14" width="2.3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41" t="s">
        <v>192</v>
      </c>
      <c r="F2" s="80">
        <v>0</v>
      </c>
      <c r="G2" s="80">
        <v>1.8139713200000001E-4</v>
      </c>
      <c r="H2" s="80">
        <v>2</v>
      </c>
      <c r="I2" s="6">
        <v>35.117156999999999</v>
      </c>
      <c r="J2" s="6">
        <v>0.55108386300000001</v>
      </c>
      <c r="K2" s="6">
        <v>5.6952219999999998E-2</v>
      </c>
      <c r="L2" s="6">
        <v>0</v>
      </c>
      <c r="M2" s="80">
        <v>0.2</v>
      </c>
      <c r="N2" s="80">
        <v>0</v>
      </c>
    </row>
    <row r="3" spans="1:46" ht="15" customHeight="1" x14ac:dyDescent="0.15">
      <c r="A3" s="1" t="s">
        <v>9</v>
      </c>
      <c r="B3" s="4">
        <v>47</v>
      </c>
      <c r="C3" s="80">
        <v>2</v>
      </c>
      <c r="D3"/>
      <c r="E3" s="141" t="s">
        <v>193</v>
      </c>
      <c r="F3" s="80">
        <v>0</v>
      </c>
      <c r="G3" s="80">
        <v>4.9324490000000002E-3</v>
      </c>
      <c r="H3" s="80">
        <v>3.5</v>
      </c>
      <c r="I3" s="80">
        <v>12.551774999999999</v>
      </c>
      <c r="J3" s="80">
        <v>1.7532074799999998E-2</v>
      </c>
      <c r="K3" s="80">
        <v>0.27884500000000001</v>
      </c>
      <c r="L3" s="80">
        <v>0</v>
      </c>
      <c r="M3" s="80">
        <v>0.2</v>
      </c>
      <c r="N3" s="80">
        <v>0</v>
      </c>
    </row>
    <row r="4" spans="1:46" ht="15" customHeight="1" x14ac:dyDescent="0.15">
      <c r="A4" s="1" t="s">
        <v>10</v>
      </c>
      <c r="B4" s="4">
        <v>2</v>
      </c>
      <c r="C4" s="80">
        <v>3</v>
      </c>
      <c r="D4"/>
      <c r="E4" s="141" t="s">
        <v>194</v>
      </c>
      <c r="F4" s="80">
        <v>0</v>
      </c>
      <c r="G4" s="80">
        <v>3.23367268E-2</v>
      </c>
      <c r="H4" s="80">
        <v>1.1000000000000001</v>
      </c>
      <c r="I4" s="80">
        <v>5.5996110000000003</v>
      </c>
      <c r="J4" s="80">
        <v>0</v>
      </c>
      <c r="K4" s="80">
        <v>0.19644223199999999</v>
      </c>
      <c r="L4" s="80">
        <v>0</v>
      </c>
      <c r="M4" s="80">
        <v>0.2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19</v>
      </c>
      <c r="C5" s="80">
        <v>4</v>
      </c>
      <c r="D5"/>
      <c r="E5" s="141" t="s">
        <v>195</v>
      </c>
      <c r="F5" s="80">
        <v>0</v>
      </c>
      <c r="G5" s="80">
        <v>0.12841987599999999</v>
      </c>
      <c r="H5" s="80">
        <v>0.6</v>
      </c>
      <c r="I5" s="80">
        <v>3.2162902400000002</v>
      </c>
      <c r="J5" s="80">
        <v>0.171313033</v>
      </c>
      <c r="K5" s="80">
        <v>0.18655033400000001</v>
      </c>
      <c r="L5" s="80">
        <v>0</v>
      </c>
      <c r="M5" s="80">
        <v>0.2</v>
      </c>
      <c r="N5" s="80">
        <v>0</v>
      </c>
      <c r="P5" s="69"/>
      <c r="Q5" s="69"/>
      <c r="R5" s="69"/>
    </row>
    <row r="6" spans="1:46" ht="15" customHeight="1" thickBot="1" x14ac:dyDescent="0.2">
      <c r="B6" s="1"/>
      <c r="C6" s="80">
        <v>5</v>
      </c>
      <c r="D6"/>
      <c r="E6" s="141" t="s">
        <v>196</v>
      </c>
      <c r="F6" s="80">
        <v>0</v>
      </c>
      <c r="G6" s="80">
        <v>2</v>
      </c>
      <c r="H6" s="80">
        <v>0.15</v>
      </c>
      <c r="I6" s="80">
        <v>1.78</v>
      </c>
      <c r="J6" s="80">
        <v>1.6666665E-4</v>
      </c>
      <c r="K6" s="80">
        <v>8.4269665199999996E-2</v>
      </c>
      <c r="L6" s="80">
        <v>0</v>
      </c>
      <c r="M6" s="80">
        <v>0.2</v>
      </c>
      <c r="N6" s="80">
        <v>0</v>
      </c>
      <c r="P6" s="69"/>
      <c r="Q6" s="69"/>
      <c r="R6" s="69"/>
      <c r="W6" s="36" t="s">
        <v>31</v>
      </c>
      <c r="X6" s="52">
        <f>MAX(MainOutputs!G:G)</f>
        <v>0.94544905424118042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343</v>
      </c>
      <c r="C7" s="80">
        <v>6</v>
      </c>
      <c r="D7"/>
      <c r="E7" s="141" t="s">
        <v>197</v>
      </c>
      <c r="F7" s="80">
        <v>0</v>
      </c>
      <c r="G7" s="80">
        <v>9.0944099999999995E-5</v>
      </c>
      <c r="H7" s="80">
        <v>6</v>
      </c>
      <c r="I7" s="80">
        <v>36.060344700000002</v>
      </c>
      <c r="J7" s="80">
        <v>0.56429499999999999</v>
      </c>
      <c r="K7" s="80">
        <v>0.16638776699999999</v>
      </c>
      <c r="L7" s="80">
        <v>0</v>
      </c>
      <c r="M7" s="80">
        <v>0.2</v>
      </c>
      <c r="N7" s="80">
        <v>0</v>
      </c>
      <c r="P7" s="69"/>
      <c r="Q7" s="69"/>
      <c r="R7" s="69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125</v>
      </c>
      <c r="C8" s="80">
        <v>7</v>
      </c>
      <c r="D8"/>
      <c r="E8" s="141" t="s">
        <v>198</v>
      </c>
      <c r="F8" s="80">
        <v>0</v>
      </c>
      <c r="G8" s="80">
        <v>2.5964872900000002E-2</v>
      </c>
      <c r="H8" s="80">
        <v>1.4</v>
      </c>
      <c r="I8" s="80">
        <v>6.2432559999999997</v>
      </c>
      <c r="J8" s="80">
        <v>4.6616970000000001E-2</v>
      </c>
      <c r="K8" s="80">
        <v>0.22424195699999999</v>
      </c>
      <c r="L8" s="80">
        <v>0</v>
      </c>
      <c r="M8" s="80">
        <v>0.2</v>
      </c>
      <c r="N8" s="80">
        <v>0</v>
      </c>
      <c r="P8" s="69"/>
      <c r="Q8" s="69"/>
      <c r="R8" s="69"/>
    </row>
    <row r="9" spans="1:46" ht="15" customHeight="1" x14ac:dyDescent="0.15">
      <c r="B9" s="1"/>
      <c r="C9" s="80">
        <v>8</v>
      </c>
      <c r="D9"/>
      <c r="E9" s="141" t="s">
        <v>199</v>
      </c>
      <c r="F9" s="80">
        <v>0</v>
      </c>
      <c r="G9" s="80">
        <v>0.22</v>
      </c>
      <c r="H9" s="80">
        <v>0.7</v>
      </c>
      <c r="I9" s="80">
        <v>2.4900000000000002</v>
      </c>
      <c r="J9" s="80">
        <v>0.32646107699999999</v>
      </c>
      <c r="K9" s="80">
        <v>0.2811245</v>
      </c>
      <c r="L9" s="80">
        <v>0</v>
      </c>
      <c r="M9" s="80">
        <v>0.2</v>
      </c>
      <c r="N9" s="80">
        <v>0</v>
      </c>
      <c r="P9" s="69"/>
      <c r="Q9" s="69"/>
      <c r="R9" s="69"/>
    </row>
    <row r="10" spans="1:46" ht="15" customHeight="1" x14ac:dyDescent="0.15">
      <c r="B10" s="1"/>
      <c r="C10" s="80">
        <v>9</v>
      </c>
      <c r="D10"/>
      <c r="E10" s="141" t="s">
        <v>200</v>
      </c>
      <c r="F10" s="80">
        <v>0</v>
      </c>
      <c r="G10" s="80">
        <v>3.4304745499999997E-2</v>
      </c>
      <c r="H10" s="80">
        <v>3</v>
      </c>
      <c r="I10" s="80">
        <v>50.017967200000001</v>
      </c>
      <c r="J10" s="80">
        <v>0.77307490000000001</v>
      </c>
      <c r="K10" s="80">
        <v>5.9978447900000002E-2</v>
      </c>
      <c r="L10" s="80">
        <v>0</v>
      </c>
      <c r="M10" s="80">
        <v>0.2</v>
      </c>
      <c r="N10" s="80">
        <v>0</v>
      </c>
    </row>
    <row r="11" spans="1:46" ht="15" customHeight="1" x14ac:dyDescent="0.15">
      <c r="C11" s="80">
        <v>10</v>
      </c>
      <c r="D11"/>
      <c r="E11" s="141" t="s">
        <v>201</v>
      </c>
      <c r="F11" s="80">
        <v>0</v>
      </c>
      <c r="G11" s="80">
        <v>0.52236676199999998</v>
      </c>
      <c r="H11" s="80">
        <v>1.8</v>
      </c>
      <c r="I11" s="80">
        <v>18.225341799999999</v>
      </c>
      <c r="J11" s="80">
        <v>0.45442813599999998</v>
      </c>
      <c r="K11" s="80">
        <v>9.8763580000000004E-2</v>
      </c>
      <c r="L11" s="80">
        <v>0</v>
      </c>
      <c r="M11" s="80">
        <v>0.2</v>
      </c>
      <c r="N11" s="80">
        <v>0</v>
      </c>
    </row>
    <row r="12" spans="1:46" ht="15" customHeight="1" x14ac:dyDescent="0.15">
      <c r="C12" s="80">
        <v>11</v>
      </c>
      <c r="D12"/>
      <c r="E12" s="141" t="s">
        <v>202</v>
      </c>
      <c r="F12" s="80">
        <v>0</v>
      </c>
      <c r="G12" s="80">
        <v>2.8</v>
      </c>
      <c r="H12" s="80">
        <v>0.8</v>
      </c>
      <c r="I12" s="80">
        <v>8</v>
      </c>
      <c r="J12" s="80">
        <v>0.54178845899999994</v>
      </c>
      <c r="K12" s="80">
        <v>0.1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41" t="s">
        <v>203</v>
      </c>
      <c r="F13" s="80">
        <v>0</v>
      </c>
      <c r="G13" s="80">
        <v>3.6752637200000002E-5</v>
      </c>
      <c r="H13" s="80">
        <v>4</v>
      </c>
      <c r="I13" s="80">
        <v>36.566657999999997</v>
      </c>
      <c r="J13" s="80">
        <v>2.0588059999999998E-2</v>
      </c>
      <c r="K13" s="80">
        <v>0.109389268</v>
      </c>
      <c r="L13" s="80">
        <v>0</v>
      </c>
      <c r="M13" s="80">
        <v>0.2</v>
      </c>
      <c r="N13" s="80">
        <v>0</v>
      </c>
    </row>
    <row r="14" spans="1:46" ht="15" customHeight="1" x14ac:dyDescent="0.15">
      <c r="C14" s="80">
        <v>13</v>
      </c>
      <c r="D14"/>
      <c r="E14" s="141" t="s">
        <v>204</v>
      </c>
      <c r="F14" s="80">
        <v>0</v>
      </c>
      <c r="G14" s="80">
        <v>0.25</v>
      </c>
      <c r="H14" s="80">
        <v>0.7</v>
      </c>
      <c r="I14" s="80">
        <v>3</v>
      </c>
      <c r="J14" s="80">
        <v>0.57199999999999995</v>
      </c>
      <c r="K14" s="80">
        <v>0.233333334</v>
      </c>
      <c r="L14" s="80">
        <v>0</v>
      </c>
      <c r="M14" s="80">
        <v>0.2</v>
      </c>
      <c r="N14" s="80">
        <v>0</v>
      </c>
    </row>
    <row r="15" spans="1:46" ht="15" customHeight="1" x14ac:dyDescent="0.15">
      <c r="C15" s="80">
        <v>14</v>
      </c>
      <c r="D15"/>
      <c r="E15" s="141" t="s">
        <v>205</v>
      </c>
      <c r="F15" s="80">
        <v>0</v>
      </c>
      <c r="G15" s="80">
        <v>9.7870130000000007E-3</v>
      </c>
      <c r="H15" s="80">
        <v>2.8</v>
      </c>
      <c r="I15" s="80">
        <v>10.704552700000001</v>
      </c>
      <c r="J15" s="80">
        <v>0.33355137699999998</v>
      </c>
      <c r="K15" s="80">
        <v>0.26157092999999998</v>
      </c>
      <c r="L15" s="80">
        <v>0</v>
      </c>
      <c r="M15" s="80">
        <v>0.2</v>
      </c>
      <c r="N15" s="80">
        <v>0</v>
      </c>
    </row>
    <row r="16" spans="1:46" ht="15" customHeight="1" x14ac:dyDescent="0.15">
      <c r="C16" s="80">
        <v>15</v>
      </c>
      <c r="D16"/>
      <c r="E16" s="141" t="s">
        <v>206</v>
      </c>
      <c r="F16" s="80">
        <v>0</v>
      </c>
      <c r="G16" s="80">
        <v>8.8999999999999996E-2</v>
      </c>
      <c r="H16" s="80">
        <v>1.6</v>
      </c>
      <c r="I16" s="80">
        <v>3.6</v>
      </c>
      <c r="J16" s="80">
        <v>0.11407390000000001</v>
      </c>
      <c r="K16" s="80">
        <v>0.44444447799999998</v>
      </c>
      <c r="L16" s="80">
        <v>0</v>
      </c>
      <c r="M16" s="80">
        <v>0.2</v>
      </c>
      <c r="N16" s="80">
        <v>0</v>
      </c>
    </row>
    <row r="17" spans="1:22" ht="15" customHeight="1" x14ac:dyDescent="0.15">
      <c r="C17" s="80">
        <v>16</v>
      </c>
      <c r="D17"/>
      <c r="E17" s="141" t="s">
        <v>207</v>
      </c>
      <c r="F17" s="80">
        <v>0</v>
      </c>
      <c r="G17" s="80">
        <v>4.5025830000000001E-3</v>
      </c>
      <c r="H17" s="80">
        <v>2</v>
      </c>
      <c r="I17" s="80">
        <v>8.4569069999999993</v>
      </c>
      <c r="J17" s="80">
        <v>0</v>
      </c>
      <c r="K17" s="80">
        <v>0.23649308099999999</v>
      </c>
      <c r="L17" s="80">
        <v>0</v>
      </c>
      <c r="M17" s="80">
        <v>0.2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41" t="s">
        <v>208</v>
      </c>
      <c r="F18" s="80">
        <v>0</v>
      </c>
      <c r="G18" s="80">
        <v>2.45933477E-2</v>
      </c>
      <c r="H18" s="80">
        <v>0.6</v>
      </c>
      <c r="I18" s="80">
        <v>3.808538</v>
      </c>
      <c r="J18" s="80">
        <v>0.135673553</v>
      </c>
      <c r="K18" s="80">
        <v>0.157540768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41" t="s">
        <v>209</v>
      </c>
      <c r="F19" s="80">
        <v>0</v>
      </c>
      <c r="G19" s="80">
        <v>0.52</v>
      </c>
      <c r="H19" s="80">
        <v>0.45</v>
      </c>
      <c r="I19" s="80">
        <v>1.53</v>
      </c>
      <c r="J19" s="80">
        <v>0.42747867099999998</v>
      </c>
      <c r="K19" s="80">
        <v>0.29411765899999998</v>
      </c>
      <c r="L19" s="217">
        <v>0</v>
      </c>
      <c r="M19" s="80">
        <v>0.2</v>
      </c>
      <c r="N19" s="80">
        <v>0</v>
      </c>
    </row>
    <row r="20" spans="1:22" ht="15" customHeight="1" thickBot="1" x14ac:dyDescent="0.2">
      <c r="C20" s="80">
        <v>19</v>
      </c>
      <c r="D20"/>
      <c r="E20" s="141" t="s">
        <v>210</v>
      </c>
      <c r="F20" s="80">
        <v>0</v>
      </c>
      <c r="G20" s="80">
        <v>0.15134978299999999</v>
      </c>
      <c r="H20" s="80">
        <v>0.8</v>
      </c>
      <c r="I20" s="80">
        <v>2</v>
      </c>
      <c r="J20" s="80">
        <v>0.2</v>
      </c>
      <c r="K20" s="80">
        <v>0.4</v>
      </c>
      <c r="L20" s="217">
        <v>0</v>
      </c>
      <c r="M20" s="80">
        <v>0.2</v>
      </c>
      <c r="N20" s="80">
        <v>0</v>
      </c>
    </row>
    <row r="21" spans="1:22" ht="15" customHeight="1" thickBot="1" x14ac:dyDescent="0.2">
      <c r="A21" s="47" t="s">
        <v>137</v>
      </c>
      <c r="B21" s="98"/>
      <c r="C21" s="80">
        <v>20</v>
      </c>
      <c r="D21"/>
      <c r="E21" s="141" t="s">
        <v>211</v>
      </c>
      <c r="F21" s="80">
        <v>0</v>
      </c>
      <c r="G21" s="80">
        <v>1.0931632499999999</v>
      </c>
      <c r="H21" s="80">
        <v>2.5299999999999998</v>
      </c>
      <c r="I21" s="80">
        <v>14</v>
      </c>
      <c r="J21" s="80">
        <v>0.6</v>
      </c>
      <c r="K21" s="80">
        <v>0.18071427900000001</v>
      </c>
      <c r="L21" s="217">
        <v>0</v>
      </c>
      <c r="M21" s="80">
        <v>0.2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290" t="s">
        <v>212</v>
      </c>
      <c r="F22" s="80">
        <v>0</v>
      </c>
      <c r="G22" s="216"/>
      <c r="H22" s="80">
        <v>1.0189999999999999</v>
      </c>
      <c r="I22" s="80">
        <v>8</v>
      </c>
      <c r="J22" s="216">
        <v>0.75</v>
      </c>
      <c r="K22" s="80">
        <v>0.12737499999999999</v>
      </c>
      <c r="L22" s="217">
        <v>-1.3333333700000001</v>
      </c>
      <c r="M22" s="80">
        <v>0.2</v>
      </c>
      <c r="N22" s="80">
        <v>0</v>
      </c>
      <c r="P22" s="216" t="s">
        <v>283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41" t="s">
        <v>213</v>
      </c>
      <c r="F23" s="80">
        <v>0</v>
      </c>
      <c r="G23" s="80">
        <v>3.2</v>
      </c>
      <c r="H23" s="80">
        <v>1.1000000000000001</v>
      </c>
      <c r="I23" s="80">
        <v>12</v>
      </c>
      <c r="J23" s="80">
        <v>0.60668940000000005</v>
      </c>
      <c r="K23" s="80">
        <v>9.1666670000000006E-2</v>
      </c>
      <c r="L23" s="217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41" t="s">
        <v>214</v>
      </c>
      <c r="F24" s="80">
        <v>0</v>
      </c>
      <c r="G24" s="80">
        <v>1.5349858999999999</v>
      </c>
      <c r="H24" s="80">
        <v>1.4</v>
      </c>
      <c r="I24" s="80">
        <v>9</v>
      </c>
      <c r="J24" s="80">
        <v>0.9</v>
      </c>
      <c r="K24" s="80">
        <v>0.15555554599999999</v>
      </c>
      <c r="L24" s="217">
        <v>0</v>
      </c>
      <c r="M24" s="80">
        <v>0.2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41" t="s">
        <v>215</v>
      </c>
      <c r="F25" s="80">
        <v>0</v>
      </c>
      <c r="G25" s="80">
        <v>11</v>
      </c>
      <c r="H25" s="80">
        <v>1.8</v>
      </c>
      <c r="I25" s="80">
        <v>12.106</v>
      </c>
      <c r="J25" s="80">
        <v>0.32426023500000001</v>
      </c>
      <c r="K25" s="80">
        <v>0.1486866</v>
      </c>
      <c r="L25" s="217">
        <v>-1</v>
      </c>
      <c r="M25" s="80">
        <v>0.2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41" t="s">
        <v>216</v>
      </c>
      <c r="F26" s="80">
        <v>0</v>
      </c>
      <c r="G26" s="80">
        <v>1.5335948500000001</v>
      </c>
      <c r="H26" s="80">
        <v>2.2999999999999998</v>
      </c>
      <c r="I26" s="80">
        <v>9.0335839999999994</v>
      </c>
      <c r="J26" s="80">
        <v>0.42298629999999998</v>
      </c>
      <c r="K26" s="80">
        <v>0.254605472</v>
      </c>
      <c r="L26" s="217">
        <v>0</v>
      </c>
      <c r="M26" s="80">
        <v>0.2</v>
      </c>
      <c r="N26" s="80">
        <v>0</v>
      </c>
    </row>
    <row r="27" spans="1:22" ht="15" customHeight="1" x14ac:dyDescent="0.15">
      <c r="C27" s="80">
        <v>26</v>
      </c>
      <c r="D27"/>
      <c r="E27" s="141" t="s">
        <v>217</v>
      </c>
      <c r="F27" s="80">
        <v>0</v>
      </c>
      <c r="G27" s="80">
        <v>6</v>
      </c>
      <c r="H27" s="80">
        <v>1.9</v>
      </c>
      <c r="I27" s="80">
        <v>3.73</v>
      </c>
      <c r="J27" s="80">
        <v>0.58829220000000004</v>
      </c>
      <c r="K27" s="80">
        <v>0.50938340000000004</v>
      </c>
      <c r="L27" s="217">
        <v>0</v>
      </c>
      <c r="M27" s="80">
        <v>0.2</v>
      </c>
      <c r="N27" s="80">
        <v>0</v>
      </c>
    </row>
    <row r="28" spans="1:22" ht="15" customHeight="1" x14ac:dyDescent="0.15">
      <c r="C28" s="80">
        <v>27</v>
      </c>
      <c r="D28"/>
      <c r="E28" s="141" t="s">
        <v>218</v>
      </c>
      <c r="F28" s="80">
        <v>0</v>
      </c>
      <c r="G28" s="80">
        <v>0.15</v>
      </c>
      <c r="H28" s="80">
        <v>0.8</v>
      </c>
      <c r="I28" s="80">
        <v>7.6</v>
      </c>
      <c r="J28" s="80">
        <v>0.94544905400000001</v>
      </c>
      <c r="K28" s="80">
        <v>0.105263159</v>
      </c>
      <c r="L28" s="80">
        <v>0</v>
      </c>
      <c r="M28" s="80">
        <v>0.2</v>
      </c>
      <c r="N28" s="80">
        <v>0</v>
      </c>
    </row>
    <row r="29" spans="1:22" customFormat="1" ht="15" customHeight="1" x14ac:dyDescent="0.15">
      <c r="C29" s="80">
        <v>28</v>
      </c>
      <c r="E29" s="141" t="s">
        <v>219</v>
      </c>
      <c r="F29" s="80">
        <v>0</v>
      </c>
      <c r="G29" s="80">
        <v>8.3585049999999992</v>
      </c>
      <c r="H29" s="80">
        <v>2.4</v>
      </c>
      <c r="I29" s="80">
        <v>18</v>
      </c>
      <c r="J29" s="80">
        <v>0.6</v>
      </c>
      <c r="K29" s="80">
        <v>0.13333333999999999</v>
      </c>
      <c r="L29" s="80">
        <v>0</v>
      </c>
      <c r="M29" s="80">
        <v>0.4</v>
      </c>
      <c r="N29" s="80">
        <v>0</v>
      </c>
    </row>
    <row r="30" spans="1:22" customFormat="1" ht="15" customHeight="1" x14ac:dyDescent="0.15">
      <c r="C30" s="80">
        <v>29</v>
      </c>
      <c r="E30" s="141" t="s">
        <v>220</v>
      </c>
      <c r="F30" s="80">
        <v>0</v>
      </c>
      <c r="G30" s="80">
        <v>1</v>
      </c>
      <c r="H30" s="80">
        <v>2.4</v>
      </c>
      <c r="I30" s="80">
        <v>19.2</v>
      </c>
      <c r="J30" s="80">
        <v>0.74202029999999997</v>
      </c>
      <c r="K30" s="80">
        <v>0.125</v>
      </c>
      <c r="L30" s="80">
        <v>0</v>
      </c>
      <c r="M30" s="80">
        <v>0.4</v>
      </c>
      <c r="N30" s="80">
        <v>0</v>
      </c>
    </row>
    <row r="31" spans="1:22" customFormat="1" ht="15" customHeight="1" x14ac:dyDescent="0.15">
      <c r="C31" s="80">
        <v>30</v>
      </c>
      <c r="E31" s="141" t="s">
        <v>221</v>
      </c>
      <c r="F31" s="80">
        <v>0</v>
      </c>
      <c r="G31" s="80">
        <v>0.17837399200000001</v>
      </c>
      <c r="H31" s="80">
        <v>2</v>
      </c>
      <c r="I31" s="80">
        <v>7</v>
      </c>
      <c r="J31" s="80">
        <v>0.4</v>
      </c>
      <c r="K31" s="80">
        <v>0.28571429999999998</v>
      </c>
      <c r="L31" s="80">
        <v>0</v>
      </c>
      <c r="M31" s="80">
        <v>0.35</v>
      </c>
      <c r="N31" s="80">
        <v>0</v>
      </c>
    </row>
    <row r="32" spans="1:22" customFormat="1" ht="15" customHeight="1" x14ac:dyDescent="0.15">
      <c r="C32" s="80">
        <v>31</v>
      </c>
      <c r="E32" s="141" t="s">
        <v>222</v>
      </c>
      <c r="F32" s="80">
        <v>0</v>
      </c>
      <c r="G32" s="80">
        <v>0.2</v>
      </c>
      <c r="H32" s="80">
        <v>2.4</v>
      </c>
      <c r="I32" s="80">
        <v>8.5</v>
      </c>
      <c r="J32" s="80">
        <v>0.34428540000000002</v>
      </c>
      <c r="K32" s="80">
        <v>0.28235295399999999</v>
      </c>
      <c r="L32" s="80">
        <v>0</v>
      </c>
      <c r="M32" s="80">
        <v>0.35</v>
      </c>
      <c r="N32" s="80">
        <v>0</v>
      </c>
    </row>
    <row r="33" spans="3:14" customFormat="1" ht="15" customHeight="1" x14ac:dyDescent="0.15">
      <c r="C33" s="80">
        <v>32</v>
      </c>
      <c r="E33" s="141" t="s">
        <v>223</v>
      </c>
      <c r="F33" s="80">
        <v>0</v>
      </c>
      <c r="G33" s="80">
        <v>0.15395788799999999</v>
      </c>
      <c r="H33" s="80">
        <v>0.8</v>
      </c>
      <c r="I33" s="80">
        <v>4</v>
      </c>
      <c r="J33" s="80">
        <v>0.75</v>
      </c>
      <c r="K33" s="80">
        <v>0.2</v>
      </c>
      <c r="L33" s="80">
        <v>0</v>
      </c>
      <c r="M33" s="80">
        <v>0.2</v>
      </c>
      <c r="N33" s="80">
        <v>0</v>
      </c>
    </row>
    <row r="34" spans="3:14" customFormat="1" ht="15" customHeight="1" x14ac:dyDescent="0.15">
      <c r="C34" s="80">
        <v>33</v>
      </c>
      <c r="E34" s="141" t="s">
        <v>224</v>
      </c>
      <c r="F34" s="80">
        <v>0</v>
      </c>
      <c r="G34" s="80">
        <v>4</v>
      </c>
      <c r="H34" s="80">
        <v>0.3</v>
      </c>
      <c r="I34" s="80">
        <v>1</v>
      </c>
      <c r="J34" s="80">
        <v>0.25018000000000001</v>
      </c>
      <c r="K34" s="80">
        <v>0.3</v>
      </c>
      <c r="L34" s="80">
        <v>0</v>
      </c>
      <c r="M34" s="80">
        <v>0.2</v>
      </c>
      <c r="N34" s="80">
        <v>0</v>
      </c>
    </row>
    <row r="35" spans="3:14" customFormat="1" ht="15" customHeight="1" x14ac:dyDescent="0.15">
      <c r="C35" s="80">
        <v>34</v>
      </c>
      <c r="E35" s="141" t="s">
        <v>225</v>
      </c>
      <c r="F35" s="80">
        <v>0</v>
      </c>
      <c r="G35" s="80">
        <v>0.1</v>
      </c>
      <c r="H35" s="80">
        <v>1</v>
      </c>
      <c r="I35" s="80">
        <v>8</v>
      </c>
      <c r="J35" s="80">
        <v>0.7</v>
      </c>
      <c r="K35" s="80">
        <v>0.125</v>
      </c>
      <c r="L35" s="80">
        <v>0</v>
      </c>
      <c r="M35" s="80">
        <v>0.2</v>
      </c>
      <c r="N35" s="80">
        <v>0</v>
      </c>
    </row>
    <row r="36" spans="3:14" customFormat="1" ht="15" customHeight="1" x14ac:dyDescent="0.15">
      <c r="C36" s="80">
        <v>35</v>
      </c>
      <c r="E36" s="141" t="s">
        <v>226</v>
      </c>
      <c r="F36" s="80">
        <v>0</v>
      </c>
      <c r="G36" s="80">
        <v>2.4999998499999999E-2</v>
      </c>
      <c r="H36" s="80">
        <v>0.8</v>
      </c>
      <c r="I36" s="80">
        <v>5</v>
      </c>
      <c r="J36" s="80">
        <v>0.5</v>
      </c>
      <c r="K36" s="80">
        <v>0.16</v>
      </c>
      <c r="L36" s="80">
        <v>0</v>
      </c>
      <c r="M36" s="80">
        <v>0.2</v>
      </c>
      <c r="N36" s="80">
        <v>0</v>
      </c>
    </row>
    <row r="37" spans="3:14" customFormat="1" ht="15" customHeight="1" x14ac:dyDescent="0.15">
      <c r="C37" s="80">
        <v>36</v>
      </c>
      <c r="E37" s="141" t="s">
        <v>227</v>
      </c>
      <c r="F37" s="80">
        <v>0</v>
      </c>
      <c r="G37" s="80">
        <v>8.8856379999999995E-3</v>
      </c>
      <c r="H37" s="80">
        <v>3</v>
      </c>
      <c r="I37" s="80">
        <v>16.798477200000001</v>
      </c>
      <c r="J37" s="80">
        <v>0.41960130000000001</v>
      </c>
      <c r="K37" s="80">
        <v>0.17858761500000001</v>
      </c>
      <c r="L37" s="80">
        <v>0</v>
      </c>
      <c r="M37" s="80">
        <v>0.2</v>
      </c>
      <c r="N37" s="80">
        <v>0</v>
      </c>
    </row>
    <row r="38" spans="3:14" customFormat="1" ht="15" customHeight="1" x14ac:dyDescent="0.15">
      <c r="C38" s="80">
        <v>37</v>
      </c>
      <c r="E38" s="141" t="s">
        <v>228</v>
      </c>
      <c r="F38" s="80">
        <v>0</v>
      </c>
      <c r="G38" s="80">
        <v>0.19294459999999999</v>
      </c>
      <c r="H38" s="80">
        <v>2</v>
      </c>
      <c r="I38" s="80">
        <v>5.3150550000000001</v>
      </c>
      <c r="J38" s="80">
        <v>0.2883907</v>
      </c>
      <c r="K38" s="80">
        <v>0.37628963599999998</v>
      </c>
      <c r="L38" s="80">
        <v>0</v>
      </c>
      <c r="M38" s="80">
        <v>0.2</v>
      </c>
      <c r="N38" s="80">
        <v>0</v>
      </c>
    </row>
    <row r="39" spans="3:14" customFormat="1" ht="15" customHeight="1" x14ac:dyDescent="0.15">
      <c r="C39" s="80">
        <v>38</v>
      </c>
      <c r="E39" s="141" t="s">
        <v>229</v>
      </c>
      <c r="F39" s="80">
        <v>0</v>
      </c>
      <c r="G39" s="80">
        <v>0.55000000000000004</v>
      </c>
      <c r="H39" s="80">
        <v>0.6</v>
      </c>
      <c r="I39" s="80">
        <v>2.19</v>
      </c>
      <c r="J39" s="80">
        <v>0.14612120000000001</v>
      </c>
      <c r="K39" s="80">
        <v>0.27397260000000001</v>
      </c>
      <c r="L39" s="80">
        <v>0</v>
      </c>
      <c r="M39" s="80">
        <v>0.2</v>
      </c>
      <c r="N39" s="80">
        <v>0</v>
      </c>
    </row>
    <row r="40" spans="3:14" customFormat="1" ht="15" customHeight="1" x14ac:dyDescent="0.15">
      <c r="C40" s="80">
        <v>39</v>
      </c>
      <c r="E40" s="141" t="s">
        <v>230</v>
      </c>
      <c r="F40" s="80">
        <v>0</v>
      </c>
      <c r="G40" s="80">
        <v>0.6</v>
      </c>
      <c r="H40" s="80">
        <v>1.5</v>
      </c>
      <c r="I40" s="80">
        <v>10</v>
      </c>
      <c r="J40" s="80">
        <v>0.57199199999999994</v>
      </c>
      <c r="K40" s="80">
        <v>0.15</v>
      </c>
      <c r="L40" s="80">
        <v>0</v>
      </c>
      <c r="M40" s="80">
        <v>0.2</v>
      </c>
      <c r="N40" s="80">
        <v>0</v>
      </c>
    </row>
    <row r="41" spans="3:14" customFormat="1" ht="15" customHeight="1" x14ac:dyDescent="0.15">
      <c r="C41" s="80">
        <v>40</v>
      </c>
      <c r="E41" s="141" t="s">
        <v>231</v>
      </c>
      <c r="F41" s="80">
        <v>0</v>
      </c>
      <c r="G41" s="80">
        <v>12</v>
      </c>
      <c r="H41" s="80">
        <v>0.08</v>
      </c>
      <c r="I41" s="80">
        <v>1</v>
      </c>
      <c r="J41" s="80">
        <v>7.4999999999999997E-2</v>
      </c>
      <c r="K41" s="80">
        <v>0.08</v>
      </c>
      <c r="L41" s="80">
        <v>0</v>
      </c>
      <c r="M41" s="80">
        <v>0.2</v>
      </c>
      <c r="N41" s="80">
        <v>0</v>
      </c>
    </row>
    <row r="42" spans="3:14" customFormat="1" ht="15" customHeight="1" x14ac:dyDescent="0.15">
      <c r="C42" s="80">
        <v>41</v>
      </c>
      <c r="E42" s="141" t="s">
        <v>232</v>
      </c>
      <c r="F42" s="80">
        <v>0</v>
      </c>
      <c r="G42" s="80">
        <v>33.966619999999999</v>
      </c>
      <c r="H42" s="80">
        <v>4.5</v>
      </c>
      <c r="I42" s="80">
        <v>22</v>
      </c>
      <c r="J42" s="80">
        <v>0.8</v>
      </c>
      <c r="K42" s="80">
        <v>0.20454545299999999</v>
      </c>
      <c r="L42" s="80">
        <v>0</v>
      </c>
      <c r="M42" s="80">
        <v>0.4</v>
      </c>
      <c r="N42" s="80">
        <v>0</v>
      </c>
    </row>
    <row r="43" spans="3:14" customFormat="1" ht="15" customHeight="1" x14ac:dyDescent="0.15">
      <c r="C43" s="80">
        <v>42</v>
      </c>
      <c r="E43" s="141" t="s">
        <v>233</v>
      </c>
      <c r="F43" s="80">
        <v>0</v>
      </c>
      <c r="G43" s="80">
        <v>10.177268</v>
      </c>
      <c r="H43" s="80">
        <v>22</v>
      </c>
      <c r="I43" s="80">
        <v>67</v>
      </c>
      <c r="J43" s="80">
        <v>0.5</v>
      </c>
      <c r="K43" s="80">
        <v>0.32835819999999999</v>
      </c>
      <c r="L43" s="80">
        <v>0</v>
      </c>
      <c r="M43" s="80">
        <v>0.4</v>
      </c>
      <c r="N43" s="80">
        <v>0</v>
      </c>
    </row>
    <row r="44" spans="3:14" customFormat="1" ht="15" customHeight="1" x14ac:dyDescent="0.15">
      <c r="C44" s="80">
        <v>43</v>
      </c>
      <c r="E44" s="141" t="s">
        <v>234</v>
      </c>
      <c r="F44" s="80">
        <v>0</v>
      </c>
      <c r="G44" s="80">
        <v>7.2145770000000002</v>
      </c>
      <c r="H44" s="80">
        <v>36</v>
      </c>
      <c r="I44" s="80">
        <v>89</v>
      </c>
      <c r="J44" s="80">
        <v>0.5</v>
      </c>
      <c r="K44" s="80">
        <v>0.40449437500000002</v>
      </c>
      <c r="L44" s="80">
        <v>0</v>
      </c>
      <c r="M44" s="80">
        <v>0.4</v>
      </c>
      <c r="N44" s="80">
        <v>0</v>
      </c>
    </row>
    <row r="45" spans="3:14" customFormat="1" ht="15" customHeight="1" x14ac:dyDescent="0.15">
      <c r="C45" s="80">
        <v>44</v>
      </c>
      <c r="E45" s="141" t="s">
        <v>235</v>
      </c>
      <c r="F45" s="80">
        <v>0</v>
      </c>
      <c r="G45" s="80">
        <v>20</v>
      </c>
      <c r="H45" s="80">
        <v>2</v>
      </c>
      <c r="I45" s="80">
        <v>10</v>
      </c>
      <c r="J45" s="80">
        <v>0.1</v>
      </c>
      <c r="K45" s="80">
        <v>0.2</v>
      </c>
      <c r="L45" s="80">
        <v>0</v>
      </c>
      <c r="M45" s="80">
        <v>0.2</v>
      </c>
      <c r="N45" s="80">
        <v>0</v>
      </c>
    </row>
    <row r="46" spans="3:14" customFormat="1" ht="15" customHeight="1" x14ac:dyDescent="0.15">
      <c r="C46" s="80">
        <v>45</v>
      </c>
      <c r="E46" s="141" t="s">
        <v>236</v>
      </c>
      <c r="F46" s="80">
        <v>1</v>
      </c>
      <c r="G46" s="80">
        <v>29.777999999999999</v>
      </c>
      <c r="H46" s="80">
        <v>25</v>
      </c>
      <c r="I46" s="80">
        <v>0</v>
      </c>
      <c r="J46" s="80">
        <v>0.21223351400000001</v>
      </c>
      <c r="K46" s="80">
        <v>0</v>
      </c>
      <c r="L46" s="80">
        <v>0</v>
      </c>
      <c r="M46" s="80">
        <v>0</v>
      </c>
      <c r="N46" s="80">
        <v>0</v>
      </c>
    </row>
    <row r="47" spans="3:14" customFormat="1" ht="15" customHeight="1" x14ac:dyDescent="0.15">
      <c r="C47" s="80">
        <v>46</v>
      </c>
      <c r="E47" s="141" t="s">
        <v>237</v>
      </c>
      <c r="F47" s="80">
        <v>1</v>
      </c>
      <c r="G47" s="80">
        <v>175.61699999999999</v>
      </c>
      <c r="H47" s="80">
        <v>9.0139999999999993</v>
      </c>
      <c r="I47" s="80">
        <v>0</v>
      </c>
      <c r="J47" s="80">
        <v>2.4394511699999998E-3</v>
      </c>
      <c r="K47" s="80">
        <v>0</v>
      </c>
      <c r="L47" s="80">
        <v>0</v>
      </c>
      <c r="M47" s="80">
        <v>0</v>
      </c>
      <c r="N47" s="80">
        <v>0</v>
      </c>
    </row>
    <row r="48" spans="3:14" customFormat="1" ht="15" customHeight="1" x14ac:dyDescent="0.15">
      <c r="C48" s="80">
        <v>47</v>
      </c>
      <c r="E48" s="141" t="s">
        <v>238</v>
      </c>
      <c r="F48" s="80">
        <v>1</v>
      </c>
      <c r="G48" s="80">
        <v>25</v>
      </c>
      <c r="H48" s="80">
        <v>182.13</v>
      </c>
      <c r="I48" s="80">
        <v>0</v>
      </c>
      <c r="J48" s="80">
        <v>0.31221851699999997</v>
      </c>
      <c r="K48" s="80">
        <v>0</v>
      </c>
      <c r="L48" s="80">
        <v>0</v>
      </c>
      <c r="M48" s="80">
        <v>0</v>
      </c>
      <c r="N48" s="80">
        <v>0</v>
      </c>
    </row>
    <row r="49" spans="3:14" customFormat="1" ht="15" customHeight="1" x14ac:dyDescent="0.15">
      <c r="C49" s="80">
        <v>48</v>
      </c>
      <c r="E49" s="141" t="s">
        <v>239</v>
      </c>
      <c r="F49" s="80">
        <v>2</v>
      </c>
      <c r="G49" s="80">
        <v>100</v>
      </c>
      <c r="H49" s="80">
        <v>0</v>
      </c>
      <c r="I49" s="80">
        <v>0</v>
      </c>
      <c r="J49" s="80">
        <v>0</v>
      </c>
      <c r="K49" s="80">
        <v>0</v>
      </c>
      <c r="L49" s="80">
        <v>0</v>
      </c>
      <c r="M49" s="80">
        <v>0</v>
      </c>
      <c r="N49" s="80">
        <v>0</v>
      </c>
    </row>
    <row r="50" spans="3:14" customFormat="1" ht="15" customHeight="1" x14ac:dyDescent="0.15">
      <c r="C50" s="80">
        <v>49</v>
      </c>
      <c r="E50" s="141" t="s">
        <v>240</v>
      </c>
      <c r="F50" s="80">
        <v>2</v>
      </c>
      <c r="G50" s="80">
        <v>5</v>
      </c>
      <c r="H50" s="80">
        <v>0</v>
      </c>
      <c r="I50" s="80">
        <v>0</v>
      </c>
      <c r="J50" s="80">
        <v>0</v>
      </c>
      <c r="K50" s="80">
        <v>0</v>
      </c>
      <c r="L50" s="80">
        <v>0</v>
      </c>
      <c r="M50" s="80">
        <v>0</v>
      </c>
      <c r="N50" s="80">
        <v>0</v>
      </c>
    </row>
    <row r="51" spans="3:14" customFormat="1" ht="15" customHeight="1" x14ac:dyDescent="0.15">
      <c r="C51" s="80">
        <v>50</v>
      </c>
      <c r="E51" s="141" t="s">
        <v>241</v>
      </c>
      <c r="F51" s="80">
        <v>3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80">
        <v>0</v>
      </c>
      <c r="M51" s="80">
        <v>0</v>
      </c>
      <c r="N51" s="80">
        <v>0</v>
      </c>
    </row>
    <row r="52" spans="3:14" customFormat="1" ht="15" customHeight="1" x14ac:dyDescent="0.15">
      <c r="C52" s="80">
        <v>51</v>
      </c>
      <c r="E52" s="141" t="s">
        <v>242</v>
      </c>
      <c r="F52" s="80">
        <v>3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80">
        <v>0</v>
      </c>
      <c r="M52" s="80">
        <v>0</v>
      </c>
      <c r="N52" s="80">
        <v>0</v>
      </c>
    </row>
    <row r="53" spans="3:14" customFormat="1" ht="15" customHeight="1" x14ac:dyDescent="0.15">
      <c r="C53" s="80">
        <v>52</v>
      </c>
      <c r="E53" s="141" t="s">
        <v>243</v>
      </c>
      <c r="F53" s="80">
        <v>3</v>
      </c>
      <c r="G53" s="80">
        <v>0</v>
      </c>
      <c r="H53" s="80">
        <v>0</v>
      </c>
      <c r="I53" s="80">
        <v>0</v>
      </c>
      <c r="J53" s="80">
        <v>0</v>
      </c>
      <c r="K53" s="80">
        <v>0</v>
      </c>
      <c r="L53" s="80">
        <v>0</v>
      </c>
      <c r="M53" s="80">
        <v>0</v>
      </c>
      <c r="N53" s="80">
        <v>0</v>
      </c>
    </row>
    <row r="54" spans="3:14" customFormat="1" ht="15" customHeight="1" x14ac:dyDescent="0.15">
      <c r="C54" s="80">
        <v>53</v>
      </c>
      <c r="E54" s="141" t="s">
        <v>244</v>
      </c>
      <c r="F54" s="80">
        <v>3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0</v>
      </c>
      <c r="M54" s="80">
        <v>0</v>
      </c>
      <c r="N54" s="80">
        <v>0</v>
      </c>
    </row>
    <row r="55" spans="3:14" customFormat="1" ht="15" customHeight="1" x14ac:dyDescent="0.15">
      <c r="C55" s="80">
        <v>54</v>
      </c>
      <c r="E55" s="141" t="s">
        <v>245</v>
      </c>
      <c r="F55" s="80">
        <v>3</v>
      </c>
      <c r="G55" s="80">
        <v>0</v>
      </c>
      <c r="H55" s="80">
        <v>0</v>
      </c>
      <c r="I55" s="80">
        <v>0</v>
      </c>
      <c r="J55" s="80">
        <v>0</v>
      </c>
      <c r="K55" s="80">
        <v>0</v>
      </c>
      <c r="L55" s="80">
        <v>0</v>
      </c>
      <c r="M55" s="80">
        <v>0</v>
      </c>
      <c r="N55" s="80">
        <v>0</v>
      </c>
    </row>
    <row r="56" spans="3:14" customFormat="1" ht="15" customHeight="1" x14ac:dyDescent="0.15">
      <c r="C56" s="80">
        <v>55</v>
      </c>
      <c r="E56" s="141" t="s">
        <v>246</v>
      </c>
      <c r="F56" s="80">
        <v>3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0</v>
      </c>
      <c r="M56" s="80">
        <v>0</v>
      </c>
      <c r="N56" s="80">
        <v>0</v>
      </c>
    </row>
    <row r="57" spans="3:14" customFormat="1" ht="15" customHeight="1" x14ac:dyDescent="0.15">
      <c r="C57" s="80">
        <v>56</v>
      </c>
      <c r="E57" s="141" t="s">
        <v>247</v>
      </c>
      <c r="F57" s="80">
        <v>3</v>
      </c>
      <c r="G57" s="80">
        <v>0</v>
      </c>
      <c r="H57" s="80">
        <v>0</v>
      </c>
      <c r="I57" s="80">
        <v>0</v>
      </c>
      <c r="J57" s="80">
        <v>0</v>
      </c>
      <c r="K57" s="80">
        <v>0</v>
      </c>
      <c r="L57" s="80">
        <v>0</v>
      </c>
      <c r="M57" s="80">
        <v>0</v>
      </c>
      <c r="N57" s="80">
        <v>0</v>
      </c>
    </row>
    <row r="58" spans="3:14" customFormat="1" ht="15" customHeight="1" x14ac:dyDescent="0.15">
      <c r="C58" s="80">
        <v>57</v>
      </c>
      <c r="E58" s="141" t="s">
        <v>248</v>
      </c>
      <c r="F58" s="80">
        <v>3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0</v>
      </c>
      <c r="M58" s="80">
        <v>0</v>
      </c>
      <c r="N58" s="80">
        <v>0</v>
      </c>
    </row>
    <row r="59" spans="3:14" customFormat="1" ht="15" customHeight="1" x14ac:dyDescent="0.15">
      <c r="C59" s="80">
        <v>58</v>
      </c>
      <c r="E59" s="141" t="s">
        <v>249</v>
      </c>
      <c r="F59" s="80">
        <v>3</v>
      </c>
      <c r="G59" s="80">
        <v>0</v>
      </c>
      <c r="H59" s="80">
        <v>0</v>
      </c>
      <c r="I59" s="80">
        <v>0</v>
      </c>
      <c r="J59" s="80">
        <v>0</v>
      </c>
      <c r="K59" s="80">
        <v>0</v>
      </c>
      <c r="L59" s="80">
        <v>0</v>
      </c>
      <c r="M59" s="80">
        <v>0</v>
      </c>
      <c r="N59" s="80">
        <v>0</v>
      </c>
    </row>
    <row r="60" spans="3:14" customFormat="1" ht="15" customHeight="1" x14ac:dyDescent="0.15">
      <c r="C60" s="80">
        <v>59</v>
      </c>
      <c r="E60" s="141" t="s">
        <v>250</v>
      </c>
      <c r="F60" s="80">
        <v>3</v>
      </c>
      <c r="G60" s="80">
        <v>0</v>
      </c>
      <c r="H60" s="80">
        <v>0</v>
      </c>
      <c r="I60" s="80">
        <v>0</v>
      </c>
      <c r="J60" s="80">
        <v>0</v>
      </c>
      <c r="K60" s="80">
        <v>0</v>
      </c>
      <c r="L60" s="80">
        <v>0</v>
      </c>
      <c r="M60" s="80">
        <v>0</v>
      </c>
      <c r="N60" s="80">
        <v>0</v>
      </c>
    </row>
    <row r="61" spans="3:14" customFormat="1" ht="15" customHeight="1" x14ac:dyDescent="0.15">
      <c r="C61" s="80">
        <v>60</v>
      </c>
      <c r="E61" s="141" t="s">
        <v>251</v>
      </c>
      <c r="F61" s="80">
        <v>3</v>
      </c>
      <c r="G61" s="80">
        <v>0</v>
      </c>
      <c r="H61" s="80">
        <v>0</v>
      </c>
      <c r="I61" s="80">
        <v>0</v>
      </c>
      <c r="J61" s="80">
        <v>0</v>
      </c>
      <c r="K61" s="80">
        <v>0</v>
      </c>
      <c r="L61" s="80">
        <v>0</v>
      </c>
      <c r="M61" s="80">
        <v>0</v>
      </c>
      <c r="N61" s="80">
        <v>0</v>
      </c>
    </row>
    <row r="62" spans="3:14" customFormat="1" ht="15" customHeight="1" x14ac:dyDescent="0.15">
      <c r="C62" s="80">
        <v>61</v>
      </c>
      <c r="E62" s="141" t="s">
        <v>252</v>
      </c>
      <c r="F62" s="80">
        <v>3</v>
      </c>
      <c r="G62" s="80">
        <v>0</v>
      </c>
      <c r="H62" s="80">
        <v>0</v>
      </c>
      <c r="I62" s="80">
        <v>0</v>
      </c>
      <c r="J62" s="80">
        <v>0</v>
      </c>
      <c r="K62" s="80">
        <v>0</v>
      </c>
      <c r="L62" s="80">
        <v>0</v>
      </c>
      <c r="M62" s="80">
        <v>0</v>
      </c>
      <c r="N62" s="80">
        <v>0</v>
      </c>
    </row>
    <row r="63" spans="3:14" customFormat="1" ht="15" customHeight="1" x14ac:dyDescent="0.15">
      <c r="C63" s="80">
        <v>62</v>
      </c>
      <c r="E63" s="141" t="s">
        <v>253</v>
      </c>
      <c r="F63" s="80">
        <v>3</v>
      </c>
      <c r="G63" s="80">
        <v>0</v>
      </c>
      <c r="H63" s="80">
        <v>0</v>
      </c>
      <c r="I63" s="80">
        <v>0</v>
      </c>
      <c r="J63" s="80">
        <v>0</v>
      </c>
      <c r="K63" s="80">
        <v>0</v>
      </c>
      <c r="L63" s="80">
        <v>0</v>
      </c>
      <c r="M63" s="80">
        <v>0</v>
      </c>
      <c r="N63" s="80">
        <v>0</v>
      </c>
    </row>
    <row r="64" spans="3:14" customFormat="1" ht="15" customHeight="1" x14ac:dyDescent="0.15">
      <c r="C64" s="80">
        <v>63</v>
      </c>
      <c r="E64" s="141" t="s">
        <v>254</v>
      </c>
      <c r="F64" s="80">
        <v>3</v>
      </c>
      <c r="G64" s="80">
        <v>0</v>
      </c>
      <c r="H64" s="80">
        <v>0</v>
      </c>
      <c r="I64" s="80">
        <v>0</v>
      </c>
      <c r="J64" s="80">
        <v>0</v>
      </c>
      <c r="K64" s="80">
        <v>0</v>
      </c>
      <c r="L64" s="80">
        <v>0</v>
      </c>
      <c r="M64" s="80">
        <v>0</v>
      </c>
      <c r="N64" s="80">
        <v>0</v>
      </c>
    </row>
    <row r="65" spans="3:14" customFormat="1" ht="15" customHeight="1" x14ac:dyDescent="0.15">
      <c r="C65" s="80">
        <v>64</v>
      </c>
      <c r="E65" s="141" t="s">
        <v>255</v>
      </c>
      <c r="F65" s="80">
        <v>3</v>
      </c>
      <c r="G65" s="80">
        <v>0</v>
      </c>
      <c r="H65" s="80">
        <v>0</v>
      </c>
      <c r="I65" s="80">
        <v>0</v>
      </c>
      <c r="J65" s="80">
        <v>0</v>
      </c>
      <c r="K65" s="80">
        <v>0</v>
      </c>
      <c r="L65" s="80">
        <v>0</v>
      </c>
      <c r="M65" s="80">
        <v>0</v>
      </c>
      <c r="N65" s="80">
        <v>0</v>
      </c>
    </row>
    <row r="66" spans="3:14" customFormat="1" ht="15" customHeight="1" x14ac:dyDescent="0.15">
      <c r="C66" s="80">
        <v>65</v>
      </c>
      <c r="E66" s="141" t="s">
        <v>256</v>
      </c>
      <c r="F66" s="80">
        <v>3</v>
      </c>
      <c r="G66" s="80">
        <v>0</v>
      </c>
      <c r="H66" s="80">
        <v>0</v>
      </c>
      <c r="I66" s="80">
        <v>0</v>
      </c>
      <c r="J66" s="80">
        <v>0</v>
      </c>
      <c r="K66" s="80">
        <v>0</v>
      </c>
      <c r="L66" s="80">
        <v>0</v>
      </c>
      <c r="M66" s="80">
        <v>0</v>
      </c>
      <c r="N66" s="80">
        <v>0</v>
      </c>
    </row>
    <row r="67" spans="3:14" customFormat="1" ht="15" customHeight="1" x14ac:dyDescent="0.15">
      <c r="C67" s="80">
        <v>66</v>
      </c>
      <c r="E67" s="141" t="s">
        <v>257</v>
      </c>
      <c r="F67" s="80">
        <v>3</v>
      </c>
      <c r="G67" s="80">
        <v>0</v>
      </c>
      <c r="H67" s="80">
        <v>0</v>
      </c>
      <c r="I67" s="80">
        <v>0</v>
      </c>
      <c r="J67" s="80">
        <v>0</v>
      </c>
      <c r="K67" s="80">
        <v>0</v>
      </c>
      <c r="L67" s="80">
        <v>0</v>
      </c>
      <c r="M67" s="80">
        <v>0</v>
      </c>
      <c r="N67" s="80">
        <v>0</v>
      </c>
    </row>
    <row r="68" spans="3:14" customFormat="1" ht="15" customHeight="1" x14ac:dyDescent="0.15">
      <c r="C68" s="80">
        <v>67</v>
      </c>
      <c r="E68" s="141" t="s">
        <v>258</v>
      </c>
      <c r="F68" s="80">
        <v>3</v>
      </c>
      <c r="G68" s="80">
        <v>0</v>
      </c>
      <c r="H68" s="80">
        <v>0</v>
      </c>
      <c r="I68" s="80">
        <v>0</v>
      </c>
      <c r="J68" s="80">
        <v>0</v>
      </c>
      <c r="K68" s="80">
        <v>0</v>
      </c>
      <c r="L68" s="80">
        <v>0</v>
      </c>
      <c r="M68" s="80">
        <v>0</v>
      </c>
      <c r="N68" s="80">
        <v>0</v>
      </c>
    </row>
    <row r="69" spans="3:14" customFormat="1" ht="15" customHeight="1" x14ac:dyDescent="0.15">
      <c r="C69" s="80">
        <v>68</v>
      </c>
      <c r="E69" s="141" t="s">
        <v>259</v>
      </c>
      <c r="F69" s="80">
        <v>3</v>
      </c>
      <c r="G69" s="80">
        <v>0</v>
      </c>
      <c r="H69" s="80">
        <v>0</v>
      </c>
      <c r="I69" s="80">
        <v>0</v>
      </c>
      <c r="J69" s="80">
        <v>0</v>
      </c>
      <c r="K69" s="80">
        <v>0</v>
      </c>
      <c r="L69" s="80">
        <v>0</v>
      </c>
      <c r="M69" s="80">
        <v>0</v>
      </c>
      <c r="N69" s="80">
        <v>0</v>
      </c>
    </row>
    <row r="70" spans="3:14" customFormat="1" ht="15" customHeight="1" x14ac:dyDescent="0.15"/>
    <row r="71" spans="3:14" customFormat="1" ht="15" customHeight="1" x14ac:dyDescent="0.15"/>
    <row r="72" spans="3:14" customFormat="1" ht="15" customHeight="1" x14ac:dyDescent="0.15"/>
    <row r="73" spans="3:14" customFormat="1" ht="15" customHeight="1" x14ac:dyDescent="0.15"/>
    <row r="74" spans="3:14" customFormat="1" ht="15" customHeight="1" x14ac:dyDescent="0.15"/>
    <row r="75" spans="3:14" customFormat="1" ht="15" customHeight="1" x14ac:dyDescent="0.15"/>
    <row r="76" spans="3:14" customFormat="1" ht="15" customHeight="1" x14ac:dyDescent="0.15"/>
    <row r="77" spans="3:14" customFormat="1" ht="15" customHeight="1" x14ac:dyDescent="0.15"/>
    <row r="78" spans="3:14" customFormat="1" ht="15" customHeight="1" x14ac:dyDescent="0.15"/>
    <row r="79" spans="3:14" customFormat="1" ht="15" customHeight="1" x14ac:dyDescent="0.15"/>
    <row r="80" spans="3:14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X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6" bestFit="1" customWidth="1"/>
    <col min="2" max="2" width="14.83203125" style="136" bestFit="1" customWidth="1"/>
    <col min="3" max="3" width="5.83203125" style="136" bestFit="1" customWidth="1"/>
    <col min="4" max="5" width="14.83203125" style="136" bestFit="1" customWidth="1"/>
    <col min="6" max="6" width="15.83203125" style="136" bestFit="1" customWidth="1"/>
    <col min="7" max="7" width="14.83203125" style="136" bestFit="1" customWidth="1"/>
    <col min="8" max="8" width="13.83203125" style="136" bestFit="1" customWidth="1"/>
    <col min="9" max="9" width="15.83203125" style="136" bestFit="1" customWidth="1"/>
    <col min="10" max="11" width="13.83203125" style="136" bestFit="1" customWidth="1"/>
    <col min="12" max="13" width="14.83203125" style="136" bestFit="1" customWidth="1"/>
    <col min="14" max="14" width="15.83203125" style="136" bestFit="1" customWidth="1"/>
    <col min="15" max="15" width="13.83203125" style="136" bestFit="1" customWidth="1"/>
    <col min="16" max="16" width="14.83203125" style="136" bestFit="1" customWidth="1"/>
    <col min="17" max="17" width="13.83203125" style="136" bestFit="1" customWidth="1"/>
    <col min="18" max="18" width="14.83203125" style="136" bestFit="1" customWidth="1"/>
    <col min="19" max="19" width="13.83203125" style="136" bestFit="1" customWidth="1"/>
    <col min="20" max="20" width="14.83203125" style="136" bestFit="1" customWidth="1"/>
    <col min="21" max="21" width="5.83203125" style="136" bestFit="1" customWidth="1"/>
    <col min="22" max="22" width="14.83203125" style="136" bestFit="1" customWidth="1"/>
    <col min="23" max="23" width="5.83203125" style="136" bestFit="1" customWidth="1"/>
    <col min="24" max="24" width="14.83203125" style="136" bestFit="1" customWidth="1"/>
    <col min="25" max="25" width="12.83203125" style="136" bestFit="1" customWidth="1"/>
    <col min="26" max="27" width="13.83203125" style="136" bestFit="1" customWidth="1"/>
    <col min="28" max="28" width="15.83203125" style="136" bestFit="1" customWidth="1"/>
    <col min="29" max="29" width="5.83203125" style="136" bestFit="1" customWidth="1"/>
    <col min="30" max="32" width="5.83203125" style="136" customWidth="1"/>
    <col min="33" max="33" width="15.83203125" style="136" customWidth="1"/>
    <col min="34" max="34" width="2.33203125" style="136" customWidth="1"/>
    <col min="35" max="35" width="4.83203125" style="136" customWidth="1"/>
    <col min="36" max="37" width="3.83203125" style="136" customWidth="1"/>
    <col min="38" max="38" width="12.83203125" style="136" customWidth="1"/>
    <col min="39" max="39" width="13.83203125" style="136" customWidth="1"/>
    <col min="40" max="40" width="4.83203125" style="136" customWidth="1"/>
    <col min="41" max="41" width="15.5" style="136" customWidth="1"/>
    <col min="42" max="42" width="14.83203125" style="136" customWidth="1"/>
    <col min="43" max="44" width="5.83203125" style="136" customWidth="1"/>
    <col min="45" max="50" width="2.33203125" style="136" customWidth="1"/>
    <col min="51" max="16384" width="8.83203125" style="136"/>
  </cols>
  <sheetData>
    <row r="1" spans="1:50" x14ac:dyDescent="0.15">
      <c r="A1" s="135" t="s">
        <v>19</v>
      </c>
      <c r="B1" s="143" t="s">
        <v>192</v>
      </c>
      <c r="C1" s="143" t="s">
        <v>193</v>
      </c>
      <c r="D1" s="143" t="s">
        <v>194</v>
      </c>
      <c r="E1" s="143" t="s">
        <v>195</v>
      </c>
      <c r="F1" s="143" t="s">
        <v>196</v>
      </c>
      <c r="G1" s="143" t="s">
        <v>197</v>
      </c>
      <c r="H1" s="143" t="s">
        <v>198</v>
      </c>
      <c r="I1" s="143" t="s">
        <v>199</v>
      </c>
      <c r="J1" s="143" t="s">
        <v>200</v>
      </c>
      <c r="K1" s="143" t="s">
        <v>201</v>
      </c>
      <c r="L1" s="143" t="s">
        <v>202</v>
      </c>
      <c r="M1" s="143" t="s">
        <v>203</v>
      </c>
      <c r="N1" s="143" t="s">
        <v>204</v>
      </c>
      <c r="O1" s="143" t="s">
        <v>205</v>
      </c>
      <c r="P1" s="143" t="s">
        <v>206</v>
      </c>
      <c r="Q1" s="143" t="s">
        <v>207</v>
      </c>
      <c r="R1" s="143" t="s">
        <v>208</v>
      </c>
      <c r="S1" s="143" t="s">
        <v>209</v>
      </c>
      <c r="T1" s="143" t="s">
        <v>210</v>
      </c>
      <c r="U1" s="143" t="s">
        <v>211</v>
      </c>
      <c r="V1" s="143" t="s">
        <v>212</v>
      </c>
      <c r="W1" s="143" t="s">
        <v>213</v>
      </c>
      <c r="X1" s="143" t="s">
        <v>214</v>
      </c>
      <c r="Y1" s="143" t="s">
        <v>215</v>
      </c>
      <c r="Z1" s="143" t="s">
        <v>216</v>
      </c>
      <c r="AA1" s="143" t="s">
        <v>217</v>
      </c>
      <c r="AB1" s="143" t="s">
        <v>218</v>
      </c>
      <c r="AC1" s="143" t="s">
        <v>219</v>
      </c>
      <c r="AD1" s="143" t="s">
        <v>220</v>
      </c>
      <c r="AE1" s="143" t="s">
        <v>221</v>
      </c>
      <c r="AF1" s="143" t="s">
        <v>222</v>
      </c>
      <c r="AG1" s="143" t="s">
        <v>223</v>
      </c>
      <c r="AH1" s="143" t="s">
        <v>224</v>
      </c>
      <c r="AI1" s="143" t="s">
        <v>225</v>
      </c>
      <c r="AJ1" s="143" t="s">
        <v>226</v>
      </c>
      <c r="AK1" s="143" t="s">
        <v>227</v>
      </c>
      <c r="AL1" s="143" t="s">
        <v>228</v>
      </c>
      <c r="AM1" s="143" t="s">
        <v>229</v>
      </c>
      <c r="AN1" s="143" t="s">
        <v>230</v>
      </c>
      <c r="AO1" s="143" t="s">
        <v>231</v>
      </c>
      <c r="AP1" s="143" t="s">
        <v>232</v>
      </c>
      <c r="AQ1" s="143" t="s">
        <v>233</v>
      </c>
      <c r="AR1" s="143" t="s">
        <v>234</v>
      </c>
      <c r="AS1" s="143" t="s">
        <v>235</v>
      </c>
      <c r="AT1" s="143" t="s">
        <v>236</v>
      </c>
      <c r="AU1" s="143" t="s">
        <v>237</v>
      </c>
      <c r="AV1" s="143" t="s">
        <v>238</v>
      </c>
      <c r="AW1" s="143" t="s">
        <v>239</v>
      </c>
      <c r="AX1" s="143" t="s">
        <v>240</v>
      </c>
    </row>
    <row r="2" spans="1:50" customFormat="1" x14ac:dyDescent="0.15">
      <c r="A2" s="142" t="s">
        <v>192</v>
      </c>
      <c r="B2" s="136">
        <v>0</v>
      </c>
      <c r="C2" s="136">
        <v>0</v>
      </c>
      <c r="D2" s="136">
        <v>0</v>
      </c>
      <c r="E2" s="136">
        <v>2.0001999900990102E-4</v>
      </c>
      <c r="F2" s="136">
        <v>0</v>
      </c>
      <c r="G2" s="136">
        <v>0</v>
      </c>
      <c r="H2" s="136">
        <v>0</v>
      </c>
      <c r="I2" s="136">
        <v>1.0001000156635661E-4</v>
      </c>
      <c r="J2" s="136">
        <v>0</v>
      </c>
      <c r="K2" s="136">
        <v>0</v>
      </c>
      <c r="L2" s="136">
        <v>0</v>
      </c>
      <c r="M2" s="136">
        <v>0</v>
      </c>
      <c r="N2" s="136">
        <v>0</v>
      </c>
      <c r="O2" s="136">
        <v>0</v>
      </c>
      <c r="P2" s="136">
        <v>0</v>
      </c>
      <c r="Q2" s="136">
        <v>0</v>
      </c>
      <c r="R2" s="136">
        <v>0</v>
      </c>
      <c r="S2" s="136">
        <v>0</v>
      </c>
      <c r="T2" s="136">
        <v>0</v>
      </c>
      <c r="U2" s="136">
        <v>0</v>
      </c>
      <c r="V2" s="136">
        <v>0</v>
      </c>
      <c r="W2" s="136">
        <v>0</v>
      </c>
      <c r="X2" s="136">
        <v>0</v>
      </c>
      <c r="Y2" s="136">
        <v>0</v>
      </c>
      <c r="Z2" s="136">
        <v>0</v>
      </c>
      <c r="AA2" s="136">
        <v>0</v>
      </c>
      <c r="AB2" s="136">
        <v>5.4850165180709746E-5</v>
      </c>
      <c r="AC2" s="136">
        <v>0</v>
      </c>
      <c r="AD2" s="136">
        <v>0</v>
      </c>
      <c r="AE2" s="136">
        <v>0</v>
      </c>
      <c r="AF2" s="136">
        <v>0</v>
      </c>
      <c r="AG2" s="136">
        <v>0</v>
      </c>
      <c r="AH2" s="136">
        <v>0</v>
      </c>
      <c r="AI2" s="136">
        <v>0</v>
      </c>
      <c r="AJ2" s="136">
        <v>0</v>
      </c>
      <c r="AK2" s="136">
        <v>0</v>
      </c>
      <c r="AL2" s="136">
        <v>0</v>
      </c>
      <c r="AM2" s="136">
        <v>0</v>
      </c>
      <c r="AN2" s="136">
        <v>0</v>
      </c>
      <c r="AO2" s="136">
        <v>0</v>
      </c>
      <c r="AP2" s="136">
        <v>0</v>
      </c>
      <c r="AQ2" s="136">
        <v>0</v>
      </c>
      <c r="AR2" s="136">
        <v>0</v>
      </c>
      <c r="AS2" s="136">
        <v>0</v>
      </c>
      <c r="AT2" s="136">
        <v>0</v>
      </c>
      <c r="AU2" s="136">
        <v>0</v>
      </c>
      <c r="AV2" s="136">
        <v>0</v>
      </c>
      <c r="AW2" s="136">
        <v>0</v>
      </c>
      <c r="AX2" s="136">
        <v>0</v>
      </c>
    </row>
    <row r="3" spans="1:50" customFormat="1" x14ac:dyDescent="0.15">
      <c r="A3" s="142" t="s">
        <v>193</v>
      </c>
      <c r="B3" s="136">
        <v>0</v>
      </c>
      <c r="C3" s="136">
        <v>0</v>
      </c>
      <c r="D3" s="136">
        <v>0</v>
      </c>
      <c r="E3" s="136">
        <v>0</v>
      </c>
      <c r="F3" s="136">
        <v>0</v>
      </c>
      <c r="G3" s="136">
        <v>0</v>
      </c>
      <c r="H3" s="136">
        <v>0</v>
      </c>
      <c r="I3" s="136">
        <v>0</v>
      </c>
      <c r="J3" s="136">
        <v>0</v>
      </c>
      <c r="K3" s="136">
        <v>0</v>
      </c>
      <c r="L3" s="136">
        <v>0</v>
      </c>
      <c r="M3" s="136">
        <v>0</v>
      </c>
      <c r="N3" s="136">
        <v>0</v>
      </c>
      <c r="O3" s="136">
        <v>0</v>
      </c>
      <c r="P3" s="136">
        <v>0</v>
      </c>
      <c r="Q3" s="136">
        <v>0</v>
      </c>
      <c r="R3" s="136">
        <v>0</v>
      </c>
      <c r="S3" s="136">
        <v>0</v>
      </c>
      <c r="T3" s="136">
        <v>9.998900499655094E-4</v>
      </c>
      <c r="U3" s="136">
        <v>0</v>
      </c>
      <c r="V3" s="136">
        <v>0</v>
      </c>
      <c r="W3" s="136">
        <v>0</v>
      </c>
      <c r="X3" s="136">
        <v>0</v>
      </c>
      <c r="Y3" s="136">
        <v>0</v>
      </c>
      <c r="Z3" s="136">
        <v>0</v>
      </c>
      <c r="AA3" s="136">
        <v>0</v>
      </c>
      <c r="AB3" s="136">
        <v>0</v>
      </c>
      <c r="AC3" s="136">
        <v>0</v>
      </c>
      <c r="AD3" s="136">
        <v>0</v>
      </c>
      <c r="AE3" s="136">
        <v>0</v>
      </c>
      <c r="AF3" s="136">
        <v>0</v>
      </c>
      <c r="AG3" s="136">
        <v>0</v>
      </c>
      <c r="AH3" s="136">
        <v>0</v>
      </c>
      <c r="AI3" s="136">
        <v>0</v>
      </c>
      <c r="AJ3" s="136">
        <v>0</v>
      </c>
      <c r="AK3" s="136">
        <v>0</v>
      </c>
      <c r="AL3" s="136">
        <v>0</v>
      </c>
      <c r="AM3" s="136">
        <v>0</v>
      </c>
      <c r="AN3" s="136">
        <v>0</v>
      </c>
      <c r="AO3" s="136">
        <v>0</v>
      </c>
      <c r="AP3" s="136">
        <v>0</v>
      </c>
      <c r="AQ3" s="136">
        <v>0</v>
      </c>
      <c r="AR3" s="136">
        <v>0</v>
      </c>
      <c r="AS3" s="136">
        <v>0</v>
      </c>
      <c r="AT3" s="136">
        <v>0</v>
      </c>
      <c r="AU3" s="136">
        <v>0</v>
      </c>
      <c r="AV3" s="136">
        <v>0</v>
      </c>
      <c r="AW3" s="136">
        <v>0</v>
      </c>
      <c r="AX3" s="136">
        <v>0</v>
      </c>
    </row>
    <row r="4" spans="1:50" customFormat="1" x14ac:dyDescent="0.15">
      <c r="A4" s="142" t="s">
        <v>194</v>
      </c>
      <c r="B4" s="136">
        <v>0</v>
      </c>
      <c r="C4" s="136">
        <v>0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>
        <v>0</v>
      </c>
      <c r="L4" s="136">
        <v>0</v>
      </c>
      <c r="M4" s="136">
        <v>0</v>
      </c>
      <c r="N4" s="136">
        <v>0</v>
      </c>
      <c r="O4" s="136">
        <v>0</v>
      </c>
      <c r="P4" s="136">
        <v>0</v>
      </c>
      <c r="Q4" s="136">
        <v>0</v>
      </c>
      <c r="R4" s="136">
        <v>0</v>
      </c>
      <c r="S4" s="136">
        <v>0</v>
      </c>
      <c r="T4" s="136">
        <v>0</v>
      </c>
      <c r="U4" s="136">
        <v>0</v>
      </c>
      <c r="V4" s="136">
        <v>0</v>
      </c>
      <c r="W4" s="136">
        <v>0</v>
      </c>
      <c r="X4" s="136">
        <v>0</v>
      </c>
      <c r="Y4" s="136">
        <v>0</v>
      </c>
      <c r="Z4" s="136">
        <v>0</v>
      </c>
      <c r="AA4" s="136">
        <v>0</v>
      </c>
      <c r="AB4" s="136">
        <v>0</v>
      </c>
      <c r="AC4" s="136">
        <v>0</v>
      </c>
      <c r="AD4" s="136">
        <v>0</v>
      </c>
      <c r="AE4" s="136">
        <v>0</v>
      </c>
      <c r="AF4" s="136">
        <v>0</v>
      </c>
      <c r="AG4" s="136">
        <v>0</v>
      </c>
      <c r="AH4" s="136">
        <v>0</v>
      </c>
      <c r="AI4" s="136">
        <v>0</v>
      </c>
      <c r="AJ4" s="136">
        <v>0</v>
      </c>
      <c r="AK4" s="136">
        <v>0</v>
      </c>
      <c r="AL4" s="136">
        <v>0</v>
      </c>
      <c r="AM4" s="136">
        <v>0</v>
      </c>
      <c r="AN4" s="136">
        <v>0</v>
      </c>
      <c r="AO4" s="136">
        <v>0</v>
      </c>
      <c r="AP4" s="136">
        <v>0</v>
      </c>
      <c r="AQ4" s="136">
        <v>0</v>
      </c>
      <c r="AR4" s="136">
        <v>0</v>
      </c>
      <c r="AS4" s="136">
        <v>0</v>
      </c>
      <c r="AT4" s="136">
        <v>0</v>
      </c>
      <c r="AU4" s="136">
        <v>0</v>
      </c>
      <c r="AV4" s="136">
        <v>0</v>
      </c>
      <c r="AW4" s="136">
        <v>0</v>
      </c>
      <c r="AX4" s="136">
        <v>0</v>
      </c>
    </row>
    <row r="5" spans="1:50" customFormat="1" x14ac:dyDescent="0.15">
      <c r="A5" s="142" t="s">
        <v>195</v>
      </c>
      <c r="B5" s="136">
        <v>0</v>
      </c>
      <c r="C5" s="136">
        <v>0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  <c r="X5" s="136">
        <v>0</v>
      </c>
      <c r="Y5" s="136">
        <v>0</v>
      </c>
      <c r="Z5" s="136">
        <v>0</v>
      </c>
      <c r="AA5" s="136">
        <v>0</v>
      </c>
      <c r="AB5" s="136">
        <v>0</v>
      </c>
      <c r="AC5" s="136">
        <v>0</v>
      </c>
      <c r="AD5" s="136">
        <v>0</v>
      </c>
      <c r="AE5" s="136">
        <v>0</v>
      </c>
      <c r="AF5" s="136">
        <v>0</v>
      </c>
      <c r="AG5" s="136">
        <v>0</v>
      </c>
      <c r="AH5" s="136">
        <v>0</v>
      </c>
      <c r="AI5" s="136">
        <v>0</v>
      </c>
      <c r="AJ5" s="136">
        <v>0</v>
      </c>
      <c r="AK5" s="136">
        <v>0</v>
      </c>
      <c r="AL5" s="136">
        <v>0</v>
      </c>
      <c r="AM5" s="136">
        <v>0</v>
      </c>
      <c r="AN5" s="136">
        <v>0</v>
      </c>
      <c r="AO5" s="136">
        <v>0</v>
      </c>
      <c r="AP5" s="136">
        <v>0</v>
      </c>
      <c r="AQ5" s="136">
        <v>0</v>
      </c>
      <c r="AR5" s="136">
        <v>0</v>
      </c>
      <c r="AS5" s="136">
        <v>0</v>
      </c>
      <c r="AT5" s="136">
        <v>0</v>
      </c>
      <c r="AU5" s="136">
        <v>0</v>
      </c>
      <c r="AV5" s="136">
        <v>0</v>
      </c>
      <c r="AW5" s="136">
        <v>0</v>
      </c>
      <c r="AX5" s="136">
        <v>0</v>
      </c>
    </row>
    <row r="6" spans="1:50" customFormat="1" x14ac:dyDescent="0.15">
      <c r="A6" s="142" t="s">
        <v>196</v>
      </c>
      <c r="B6" s="136">
        <v>0</v>
      </c>
      <c r="C6" s="136">
        <v>0</v>
      </c>
      <c r="D6" s="136">
        <v>0</v>
      </c>
      <c r="E6" s="136">
        <v>0</v>
      </c>
      <c r="F6" s="136">
        <v>0</v>
      </c>
      <c r="G6" s="136">
        <v>0</v>
      </c>
      <c r="H6" s="136">
        <v>0</v>
      </c>
      <c r="I6" s="136">
        <v>0</v>
      </c>
      <c r="J6" s="136">
        <v>0</v>
      </c>
      <c r="K6" s="136">
        <v>0</v>
      </c>
      <c r="L6" s="136">
        <v>0</v>
      </c>
      <c r="M6" s="136">
        <v>0</v>
      </c>
      <c r="N6" s="136">
        <v>0</v>
      </c>
      <c r="O6" s="136">
        <v>0</v>
      </c>
      <c r="P6" s="136">
        <v>0</v>
      </c>
      <c r="Q6" s="136">
        <v>0</v>
      </c>
      <c r="R6" s="136">
        <v>0</v>
      </c>
      <c r="S6" s="136">
        <v>0</v>
      </c>
      <c r="T6" s="136">
        <v>0</v>
      </c>
      <c r="U6" s="136">
        <v>0</v>
      </c>
      <c r="V6" s="136">
        <v>0</v>
      </c>
      <c r="W6" s="136">
        <v>0</v>
      </c>
      <c r="X6" s="136">
        <v>0</v>
      </c>
      <c r="Y6" s="136">
        <v>0</v>
      </c>
      <c r="Z6" s="136">
        <v>0</v>
      </c>
      <c r="AA6" s="136">
        <v>0</v>
      </c>
      <c r="AB6" s="136">
        <v>0</v>
      </c>
      <c r="AC6" s="136">
        <v>0</v>
      </c>
      <c r="AD6" s="136">
        <v>0</v>
      </c>
      <c r="AE6" s="136">
        <v>0</v>
      </c>
      <c r="AF6" s="136">
        <v>0</v>
      </c>
      <c r="AG6" s="136">
        <v>0</v>
      </c>
      <c r="AH6" s="136">
        <v>0</v>
      </c>
      <c r="AI6" s="136">
        <v>0</v>
      </c>
      <c r="AJ6" s="136">
        <v>0</v>
      </c>
      <c r="AK6" s="136">
        <v>0</v>
      </c>
      <c r="AL6" s="136">
        <v>0</v>
      </c>
      <c r="AM6" s="136">
        <v>0</v>
      </c>
      <c r="AN6" s="136">
        <v>0</v>
      </c>
      <c r="AO6" s="136">
        <v>0</v>
      </c>
      <c r="AP6" s="136">
        <v>0</v>
      </c>
      <c r="AQ6" s="136">
        <v>0</v>
      </c>
      <c r="AR6" s="136">
        <v>0</v>
      </c>
      <c r="AS6" s="136">
        <v>0</v>
      </c>
      <c r="AT6" s="136">
        <v>0</v>
      </c>
      <c r="AU6" s="136">
        <v>0</v>
      </c>
      <c r="AV6" s="136">
        <v>0</v>
      </c>
      <c r="AW6" s="136">
        <v>0</v>
      </c>
      <c r="AX6" s="136">
        <v>0</v>
      </c>
    </row>
    <row r="7" spans="1:50" customFormat="1" x14ac:dyDescent="0.15">
      <c r="A7" s="142" t="s">
        <v>197</v>
      </c>
      <c r="B7" s="136">
        <v>0</v>
      </c>
      <c r="C7" s="136">
        <v>0</v>
      </c>
      <c r="D7" s="136">
        <v>0</v>
      </c>
      <c r="E7" s="136">
        <v>0</v>
      </c>
      <c r="F7" s="136">
        <v>0</v>
      </c>
      <c r="G7" s="136">
        <v>0</v>
      </c>
      <c r="H7" s="136">
        <v>0</v>
      </c>
      <c r="I7" s="136">
        <v>0</v>
      </c>
      <c r="J7" s="136">
        <v>0</v>
      </c>
      <c r="K7" s="136">
        <v>0</v>
      </c>
      <c r="L7" s="136">
        <v>0</v>
      </c>
      <c r="M7" s="136">
        <v>0</v>
      </c>
      <c r="N7" s="136">
        <v>0</v>
      </c>
      <c r="O7" s="136">
        <v>0</v>
      </c>
      <c r="P7" s="136">
        <v>0</v>
      </c>
      <c r="Q7" s="136">
        <v>0</v>
      </c>
      <c r="R7" s="136">
        <v>0</v>
      </c>
      <c r="S7" s="136">
        <v>0</v>
      </c>
      <c r="T7" s="136">
        <v>0</v>
      </c>
      <c r="U7" s="136">
        <v>0</v>
      </c>
      <c r="V7" s="136">
        <v>0</v>
      </c>
      <c r="W7" s="136">
        <v>0</v>
      </c>
      <c r="X7" s="136">
        <v>0</v>
      </c>
      <c r="Y7" s="136">
        <v>0</v>
      </c>
      <c r="Z7" s="136">
        <v>0</v>
      </c>
      <c r="AA7" s="136">
        <v>0</v>
      </c>
      <c r="AB7" s="136">
        <v>0</v>
      </c>
      <c r="AC7" s="136">
        <v>0</v>
      </c>
      <c r="AD7" s="136">
        <v>0</v>
      </c>
      <c r="AE7" s="136">
        <v>0</v>
      </c>
      <c r="AF7" s="136">
        <v>0</v>
      </c>
      <c r="AG7" s="136">
        <v>5.0000007054999587E-4</v>
      </c>
      <c r="AH7" s="136">
        <v>0</v>
      </c>
      <c r="AI7" s="136">
        <v>0</v>
      </c>
      <c r="AJ7" s="136">
        <v>0</v>
      </c>
      <c r="AK7" s="136">
        <v>0</v>
      </c>
      <c r="AL7" s="136">
        <v>0</v>
      </c>
      <c r="AM7" s="136">
        <v>0</v>
      </c>
      <c r="AN7" s="136">
        <v>0</v>
      </c>
      <c r="AO7" s="136">
        <v>0</v>
      </c>
      <c r="AP7" s="136">
        <v>0</v>
      </c>
      <c r="AQ7" s="136">
        <v>0</v>
      </c>
      <c r="AR7" s="136">
        <v>0</v>
      </c>
      <c r="AS7" s="136">
        <v>0</v>
      </c>
      <c r="AT7" s="136">
        <v>0</v>
      </c>
      <c r="AU7" s="136">
        <v>0</v>
      </c>
      <c r="AV7" s="136">
        <v>0</v>
      </c>
      <c r="AW7" s="136">
        <v>0</v>
      </c>
      <c r="AX7" s="136">
        <v>0</v>
      </c>
    </row>
    <row r="8" spans="1:50" customFormat="1" x14ac:dyDescent="0.15">
      <c r="A8" s="142" t="s">
        <v>198</v>
      </c>
      <c r="B8" s="136">
        <v>0</v>
      </c>
      <c r="C8" s="136">
        <v>0</v>
      </c>
      <c r="D8" s="136">
        <v>0</v>
      </c>
      <c r="E8" s="136">
        <v>0</v>
      </c>
      <c r="F8" s="136">
        <v>0</v>
      </c>
      <c r="G8" s="136">
        <v>0</v>
      </c>
      <c r="H8" s="136">
        <v>0</v>
      </c>
      <c r="I8" s="136">
        <v>3.00030015699069E-3</v>
      </c>
      <c r="J8" s="136">
        <v>0</v>
      </c>
      <c r="K8" s="136">
        <v>0</v>
      </c>
      <c r="L8" s="136">
        <v>0</v>
      </c>
      <c r="M8" s="136">
        <v>0</v>
      </c>
      <c r="N8" s="136">
        <v>6.8000901588597575E-5</v>
      </c>
      <c r="O8" s="136">
        <v>0</v>
      </c>
      <c r="P8" s="136">
        <v>0</v>
      </c>
      <c r="Q8" s="136">
        <v>0</v>
      </c>
      <c r="R8" s="136">
        <v>0</v>
      </c>
      <c r="S8" s="136">
        <v>0</v>
      </c>
      <c r="T8" s="136">
        <v>0</v>
      </c>
      <c r="U8" s="136">
        <v>0</v>
      </c>
      <c r="V8" s="136">
        <v>0</v>
      </c>
      <c r="W8" s="136">
        <v>0</v>
      </c>
      <c r="X8" s="136">
        <v>0</v>
      </c>
      <c r="Y8" s="136">
        <v>0</v>
      </c>
      <c r="Z8" s="136">
        <v>0</v>
      </c>
      <c r="AA8" s="136">
        <v>0</v>
      </c>
      <c r="AB8" s="136">
        <v>0</v>
      </c>
      <c r="AC8" s="136">
        <v>0</v>
      </c>
      <c r="AD8" s="136">
        <v>0</v>
      </c>
      <c r="AE8" s="136">
        <v>0</v>
      </c>
      <c r="AF8" s="136">
        <v>0</v>
      </c>
      <c r="AG8" s="136">
        <v>0</v>
      </c>
      <c r="AH8" s="136">
        <v>0</v>
      </c>
      <c r="AI8" s="136">
        <v>0</v>
      </c>
      <c r="AJ8" s="136">
        <v>0</v>
      </c>
      <c r="AK8" s="136">
        <v>0</v>
      </c>
      <c r="AL8" s="136">
        <v>0</v>
      </c>
      <c r="AM8" s="136">
        <v>0</v>
      </c>
      <c r="AN8" s="136">
        <v>0</v>
      </c>
      <c r="AO8" s="136">
        <v>0</v>
      </c>
      <c r="AP8" s="136">
        <v>0</v>
      </c>
      <c r="AQ8" s="136">
        <v>0</v>
      </c>
      <c r="AR8" s="136">
        <v>0</v>
      </c>
      <c r="AS8" s="136">
        <v>0</v>
      </c>
      <c r="AT8" s="136">
        <v>0</v>
      </c>
      <c r="AU8" s="136">
        <v>0</v>
      </c>
      <c r="AV8" s="136">
        <v>0</v>
      </c>
      <c r="AW8" s="136">
        <v>0</v>
      </c>
      <c r="AX8" s="136">
        <v>0</v>
      </c>
    </row>
    <row r="9" spans="1:50" customFormat="1" x14ac:dyDescent="0.15">
      <c r="A9" s="142" t="s">
        <v>199</v>
      </c>
      <c r="B9" s="136">
        <v>0</v>
      </c>
      <c r="C9" s="136">
        <v>0</v>
      </c>
      <c r="D9" s="136">
        <v>0</v>
      </c>
      <c r="E9" s="136">
        <v>0</v>
      </c>
      <c r="F9" s="136">
        <v>0</v>
      </c>
      <c r="G9" s="136">
        <v>0</v>
      </c>
      <c r="H9" s="136">
        <v>0</v>
      </c>
      <c r="I9" s="136">
        <v>0</v>
      </c>
      <c r="J9" s="136">
        <v>0</v>
      </c>
      <c r="K9" s="136">
        <v>0</v>
      </c>
      <c r="L9" s="136">
        <v>0</v>
      </c>
      <c r="M9" s="136">
        <v>0</v>
      </c>
      <c r="N9" s="136">
        <v>3.0000396721440023E-4</v>
      </c>
      <c r="O9" s="136">
        <v>0</v>
      </c>
      <c r="P9" s="136">
        <v>0</v>
      </c>
      <c r="Q9" s="136">
        <v>0</v>
      </c>
      <c r="R9" s="136">
        <v>0</v>
      </c>
      <c r="S9" s="136">
        <v>0</v>
      </c>
      <c r="T9" s="136">
        <v>0</v>
      </c>
      <c r="U9" s="136">
        <v>0</v>
      </c>
      <c r="V9" s="136">
        <v>0</v>
      </c>
      <c r="W9" s="136">
        <v>0</v>
      </c>
      <c r="X9" s="136">
        <v>0</v>
      </c>
      <c r="Y9" s="136">
        <v>0</v>
      </c>
      <c r="Z9" s="136">
        <v>0</v>
      </c>
      <c r="AA9" s="136">
        <v>0</v>
      </c>
      <c r="AB9" s="136">
        <v>0</v>
      </c>
      <c r="AC9" s="136">
        <v>0</v>
      </c>
      <c r="AD9" s="136">
        <v>0</v>
      </c>
      <c r="AE9" s="136">
        <v>0</v>
      </c>
      <c r="AF9" s="136">
        <v>0</v>
      </c>
      <c r="AG9" s="136">
        <v>0</v>
      </c>
      <c r="AH9" s="136">
        <v>0</v>
      </c>
      <c r="AI9" s="136">
        <v>0</v>
      </c>
      <c r="AJ9" s="136">
        <v>0</v>
      </c>
      <c r="AK9" s="136">
        <v>0</v>
      </c>
      <c r="AL9" s="136">
        <v>0</v>
      </c>
      <c r="AM9" s="136">
        <v>0</v>
      </c>
      <c r="AN9" s="136">
        <v>0</v>
      </c>
      <c r="AO9" s="136">
        <v>0</v>
      </c>
      <c r="AP9" s="136">
        <v>0</v>
      </c>
      <c r="AQ9" s="136">
        <v>0</v>
      </c>
      <c r="AR9" s="136">
        <v>0</v>
      </c>
      <c r="AS9" s="136">
        <v>0</v>
      </c>
      <c r="AT9" s="136">
        <v>0</v>
      </c>
      <c r="AU9" s="136">
        <v>0</v>
      </c>
      <c r="AV9" s="136">
        <v>0</v>
      </c>
      <c r="AW9" s="136">
        <v>0</v>
      </c>
      <c r="AX9" s="136">
        <v>0</v>
      </c>
    </row>
    <row r="10" spans="1:50" customFormat="1" x14ac:dyDescent="0.15">
      <c r="A10" s="142" t="s">
        <v>200</v>
      </c>
      <c r="B10" s="136">
        <v>0</v>
      </c>
      <c r="C10" s="136">
        <v>0</v>
      </c>
      <c r="D10" s="136">
        <v>5.9993998152184855E-3</v>
      </c>
      <c r="E10" s="136">
        <v>4.7004702267326726E-3</v>
      </c>
      <c r="F10" s="136">
        <v>3.0003001679627969E-3</v>
      </c>
      <c r="G10" s="136">
        <v>0</v>
      </c>
      <c r="H10" s="136">
        <v>0</v>
      </c>
      <c r="I10" s="136">
        <v>0.11961196210936248</v>
      </c>
      <c r="J10" s="136">
        <v>0</v>
      </c>
      <c r="K10" s="136">
        <v>0</v>
      </c>
      <c r="L10" s="136">
        <v>0</v>
      </c>
      <c r="M10" s="136">
        <v>1.000100056005603E-3</v>
      </c>
      <c r="N10" s="136">
        <v>0</v>
      </c>
      <c r="O10" s="136">
        <v>0</v>
      </c>
      <c r="P10" s="136">
        <v>1.0199003598886118E-3</v>
      </c>
      <c r="Q10" s="136">
        <v>0</v>
      </c>
      <c r="R10" s="136">
        <v>0</v>
      </c>
      <c r="S10" s="136">
        <v>0</v>
      </c>
      <c r="T10" s="136">
        <v>0</v>
      </c>
      <c r="U10" s="136">
        <v>0</v>
      </c>
      <c r="V10" s="136">
        <v>0</v>
      </c>
      <c r="W10" s="136">
        <v>0</v>
      </c>
      <c r="X10" s="136">
        <v>0</v>
      </c>
      <c r="Y10" s="136">
        <v>0</v>
      </c>
      <c r="Z10" s="136">
        <v>0</v>
      </c>
      <c r="AA10" s="136">
        <v>0</v>
      </c>
      <c r="AB10" s="136">
        <v>0</v>
      </c>
      <c r="AC10" s="136">
        <v>0</v>
      </c>
      <c r="AD10" s="136">
        <v>0</v>
      </c>
      <c r="AE10" s="136">
        <v>0</v>
      </c>
      <c r="AF10" s="136">
        <v>0</v>
      </c>
      <c r="AG10" s="136">
        <v>0</v>
      </c>
      <c r="AH10" s="136">
        <v>0</v>
      </c>
      <c r="AI10" s="136">
        <v>0</v>
      </c>
      <c r="AJ10" s="136">
        <v>0</v>
      </c>
      <c r="AK10" s="136">
        <v>0</v>
      </c>
      <c r="AL10" s="136">
        <v>0</v>
      </c>
      <c r="AM10" s="136">
        <v>0</v>
      </c>
      <c r="AN10" s="136">
        <v>0</v>
      </c>
      <c r="AO10" s="136">
        <v>0</v>
      </c>
      <c r="AP10" s="136">
        <v>0</v>
      </c>
      <c r="AQ10" s="136">
        <v>0</v>
      </c>
      <c r="AR10" s="136">
        <v>0</v>
      </c>
      <c r="AS10" s="136">
        <v>0</v>
      </c>
      <c r="AT10" s="136">
        <v>0</v>
      </c>
      <c r="AU10" s="136">
        <v>0</v>
      </c>
      <c r="AV10" s="136">
        <v>0</v>
      </c>
      <c r="AW10" s="136">
        <v>0</v>
      </c>
      <c r="AX10" s="136">
        <v>0</v>
      </c>
    </row>
    <row r="11" spans="1:50" customFormat="1" x14ac:dyDescent="0.15">
      <c r="A11" s="142" t="s">
        <v>201</v>
      </c>
      <c r="B11" s="136">
        <v>0</v>
      </c>
      <c r="C11" s="136">
        <v>0</v>
      </c>
      <c r="D11" s="136">
        <v>1.2898710202719724E-2</v>
      </c>
      <c r="E11" s="136">
        <v>8.6008609574257378E-3</v>
      </c>
      <c r="F11" s="136">
        <v>4.1904192790547072E-2</v>
      </c>
      <c r="G11" s="136">
        <v>0</v>
      </c>
      <c r="H11" s="136">
        <v>0</v>
      </c>
      <c r="I11" s="136">
        <v>1.000100085663561E-3</v>
      </c>
      <c r="J11" s="136">
        <v>0</v>
      </c>
      <c r="K11" s="136">
        <v>0</v>
      </c>
      <c r="L11" s="136">
        <v>0</v>
      </c>
      <c r="M11" s="136">
        <v>0</v>
      </c>
      <c r="N11" s="136">
        <v>4.9000643955018378E-6</v>
      </c>
      <c r="O11" s="136">
        <v>0</v>
      </c>
      <c r="P11" s="136">
        <v>0</v>
      </c>
      <c r="Q11" s="136">
        <v>0</v>
      </c>
      <c r="R11" s="136">
        <v>0</v>
      </c>
      <c r="S11" s="136">
        <v>0</v>
      </c>
      <c r="T11" s="136">
        <v>0</v>
      </c>
      <c r="U11" s="136">
        <v>0</v>
      </c>
      <c r="V11" s="136">
        <v>0</v>
      </c>
      <c r="W11" s="136">
        <v>0</v>
      </c>
      <c r="X11" s="136">
        <v>0</v>
      </c>
      <c r="Y11" s="136">
        <v>0</v>
      </c>
      <c r="Z11" s="136">
        <v>0</v>
      </c>
      <c r="AA11" s="136">
        <v>0</v>
      </c>
      <c r="AB11" s="136">
        <v>5.4850165180709746E-5</v>
      </c>
      <c r="AC11" s="136">
        <v>0</v>
      </c>
      <c r="AD11" s="136">
        <v>0</v>
      </c>
      <c r="AE11" s="136">
        <v>0</v>
      </c>
      <c r="AF11" s="136">
        <v>0</v>
      </c>
      <c r="AG11" s="136">
        <v>0</v>
      </c>
      <c r="AH11" s="136">
        <v>0</v>
      </c>
      <c r="AI11" s="136">
        <v>0</v>
      </c>
      <c r="AJ11" s="136">
        <v>0</v>
      </c>
      <c r="AK11" s="136">
        <v>0</v>
      </c>
      <c r="AL11" s="136">
        <v>0</v>
      </c>
      <c r="AM11" s="136">
        <v>0</v>
      </c>
      <c r="AN11" s="136">
        <v>0</v>
      </c>
      <c r="AO11" s="136">
        <v>1.799967534601848E-3</v>
      </c>
      <c r="AP11" s="136">
        <v>0</v>
      </c>
      <c r="AQ11" s="136">
        <v>0</v>
      </c>
      <c r="AR11" s="136">
        <v>0</v>
      </c>
      <c r="AS11" s="136">
        <v>0</v>
      </c>
      <c r="AT11" s="136">
        <v>0</v>
      </c>
      <c r="AU11" s="136">
        <v>0</v>
      </c>
      <c r="AV11" s="136">
        <v>0</v>
      </c>
      <c r="AW11" s="136">
        <v>0</v>
      </c>
      <c r="AX11" s="136">
        <v>0</v>
      </c>
    </row>
    <row r="12" spans="1:50" customFormat="1" x14ac:dyDescent="0.15">
      <c r="A12" s="142" t="s">
        <v>202</v>
      </c>
      <c r="B12" s="136">
        <v>0</v>
      </c>
      <c r="C12" s="136">
        <v>0</v>
      </c>
      <c r="D12" s="136">
        <v>0</v>
      </c>
      <c r="E12" s="136">
        <v>0</v>
      </c>
      <c r="F12" s="136">
        <v>0</v>
      </c>
      <c r="G12" s="136">
        <v>0</v>
      </c>
      <c r="H12" s="136">
        <v>0</v>
      </c>
      <c r="I12" s="136">
        <v>0</v>
      </c>
      <c r="J12" s="136">
        <v>0</v>
      </c>
      <c r="K12" s="136">
        <v>0</v>
      </c>
      <c r="L12" s="136">
        <v>0</v>
      </c>
      <c r="M12" s="136">
        <v>0</v>
      </c>
      <c r="N12" s="136">
        <v>4.9000643955018378E-6</v>
      </c>
      <c r="O12" s="136">
        <v>0</v>
      </c>
      <c r="P12" s="136">
        <v>0</v>
      </c>
      <c r="Q12" s="136">
        <v>0</v>
      </c>
      <c r="R12" s="136">
        <v>0</v>
      </c>
      <c r="S12" s="136">
        <v>0</v>
      </c>
      <c r="T12" s="136">
        <v>0</v>
      </c>
      <c r="U12" s="136">
        <v>0</v>
      </c>
      <c r="V12" s="136">
        <v>0</v>
      </c>
      <c r="W12" s="136">
        <v>0</v>
      </c>
      <c r="X12" s="136">
        <v>0</v>
      </c>
      <c r="Y12" s="136">
        <v>0</v>
      </c>
      <c r="Z12" s="136">
        <v>0</v>
      </c>
      <c r="AA12" s="136">
        <v>0</v>
      </c>
      <c r="AB12" s="136">
        <v>5.4850164280709762E-6</v>
      </c>
      <c r="AC12" s="136">
        <v>0</v>
      </c>
      <c r="AD12" s="136">
        <v>0</v>
      </c>
      <c r="AE12" s="136">
        <v>0</v>
      </c>
      <c r="AF12" s="136">
        <v>0</v>
      </c>
      <c r="AG12" s="136">
        <v>0</v>
      </c>
      <c r="AH12" s="136">
        <v>0</v>
      </c>
      <c r="AI12" s="136">
        <v>0</v>
      </c>
      <c r="AJ12" s="136">
        <v>0</v>
      </c>
      <c r="AK12" s="136">
        <v>0</v>
      </c>
      <c r="AL12" s="136">
        <v>0</v>
      </c>
      <c r="AM12" s="136">
        <v>0</v>
      </c>
      <c r="AN12" s="136">
        <v>0</v>
      </c>
      <c r="AO12" s="136">
        <v>1.7799678079951756E-2</v>
      </c>
      <c r="AP12" s="136">
        <v>0</v>
      </c>
      <c r="AQ12" s="136">
        <v>0</v>
      </c>
      <c r="AR12" s="136">
        <v>0</v>
      </c>
      <c r="AS12" s="136">
        <v>0</v>
      </c>
      <c r="AT12" s="136">
        <v>0</v>
      </c>
      <c r="AU12" s="136">
        <v>0</v>
      </c>
      <c r="AV12" s="136">
        <v>0</v>
      </c>
      <c r="AW12" s="136">
        <v>0</v>
      </c>
      <c r="AX12" s="136">
        <v>0</v>
      </c>
    </row>
    <row r="13" spans="1:50" customFormat="1" x14ac:dyDescent="0.15">
      <c r="A13" s="142" t="s">
        <v>203</v>
      </c>
      <c r="B13" s="136">
        <v>0</v>
      </c>
      <c r="C13" s="136">
        <v>0</v>
      </c>
      <c r="D13" s="136">
        <v>0</v>
      </c>
      <c r="E13" s="136">
        <v>0</v>
      </c>
      <c r="F13" s="136">
        <v>0</v>
      </c>
      <c r="G13" s="136">
        <v>0</v>
      </c>
      <c r="H13" s="136">
        <v>0</v>
      </c>
      <c r="I13" s="136">
        <v>0</v>
      </c>
      <c r="J13" s="136">
        <v>0</v>
      </c>
      <c r="K13" s="136">
        <v>0</v>
      </c>
      <c r="L13" s="136">
        <v>0</v>
      </c>
      <c r="M13" s="136">
        <v>0</v>
      </c>
      <c r="N13" s="136">
        <v>0</v>
      </c>
      <c r="O13" s="136">
        <v>0</v>
      </c>
      <c r="P13" s="136">
        <v>0</v>
      </c>
      <c r="Q13" s="136">
        <v>0</v>
      </c>
      <c r="R13" s="136">
        <v>0</v>
      </c>
      <c r="S13" s="136">
        <v>0</v>
      </c>
      <c r="T13" s="136">
        <v>9.9988994996549429E-6</v>
      </c>
      <c r="U13" s="136">
        <v>0</v>
      </c>
      <c r="V13" s="136">
        <v>0</v>
      </c>
      <c r="W13" s="136">
        <v>0</v>
      </c>
      <c r="X13" s="136">
        <v>0</v>
      </c>
      <c r="Y13" s="136">
        <v>0</v>
      </c>
      <c r="Z13" s="136">
        <v>0</v>
      </c>
      <c r="AA13" s="136">
        <v>0</v>
      </c>
      <c r="AB13" s="136">
        <v>0</v>
      </c>
      <c r="AC13" s="136">
        <v>0</v>
      </c>
      <c r="AD13" s="136">
        <v>0</v>
      </c>
      <c r="AE13" s="136">
        <v>0</v>
      </c>
      <c r="AF13" s="136">
        <v>0</v>
      </c>
      <c r="AG13" s="136">
        <v>0</v>
      </c>
      <c r="AH13" s="136">
        <v>0</v>
      </c>
      <c r="AI13" s="136">
        <v>0</v>
      </c>
      <c r="AJ13" s="136">
        <v>0</v>
      </c>
      <c r="AK13" s="136">
        <v>0</v>
      </c>
      <c r="AL13" s="136">
        <v>0</v>
      </c>
      <c r="AM13" s="136">
        <v>0</v>
      </c>
      <c r="AN13" s="136">
        <v>0</v>
      </c>
      <c r="AO13" s="136">
        <v>0</v>
      </c>
      <c r="AP13" s="136">
        <v>0</v>
      </c>
      <c r="AQ13" s="136">
        <v>0</v>
      </c>
      <c r="AR13" s="136">
        <v>0</v>
      </c>
      <c r="AS13" s="136">
        <v>0</v>
      </c>
      <c r="AT13" s="136">
        <v>0</v>
      </c>
      <c r="AU13" s="136">
        <v>0</v>
      </c>
      <c r="AV13" s="136">
        <v>0</v>
      </c>
      <c r="AW13" s="136">
        <v>0</v>
      </c>
      <c r="AX13" s="136">
        <v>0</v>
      </c>
    </row>
    <row r="14" spans="1:50" customFormat="1" x14ac:dyDescent="0.15">
      <c r="A14" s="142" t="s">
        <v>204</v>
      </c>
      <c r="B14" s="136">
        <v>0</v>
      </c>
      <c r="C14" s="136">
        <v>0</v>
      </c>
      <c r="D14" s="136">
        <v>0</v>
      </c>
      <c r="E14" s="136">
        <v>0</v>
      </c>
      <c r="F14" s="136">
        <v>0</v>
      </c>
      <c r="G14" s="136">
        <v>0</v>
      </c>
      <c r="H14" s="136">
        <v>0</v>
      </c>
      <c r="I14" s="136">
        <v>0</v>
      </c>
      <c r="J14" s="136">
        <v>0</v>
      </c>
      <c r="K14" s="136">
        <v>0</v>
      </c>
      <c r="L14" s="136">
        <v>0</v>
      </c>
      <c r="M14" s="136">
        <v>0</v>
      </c>
      <c r="N14" s="136">
        <v>0</v>
      </c>
      <c r="O14" s="136">
        <v>0</v>
      </c>
      <c r="P14" s="136">
        <v>0</v>
      </c>
      <c r="Q14" s="136">
        <v>0</v>
      </c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S14" s="136">
        <v>0</v>
      </c>
      <c r="AT14" s="136">
        <v>0</v>
      </c>
      <c r="AU14" s="136">
        <v>0</v>
      </c>
      <c r="AV14" s="136">
        <v>0</v>
      </c>
      <c r="AW14" s="136">
        <v>0</v>
      </c>
      <c r="AX14" s="136">
        <v>0</v>
      </c>
    </row>
    <row r="15" spans="1:50" customFormat="1" x14ac:dyDescent="0.15">
      <c r="A15" s="142" t="s">
        <v>205</v>
      </c>
      <c r="B15" s="136">
        <v>0</v>
      </c>
      <c r="C15" s="136">
        <v>0</v>
      </c>
      <c r="D15" s="136">
        <v>0</v>
      </c>
      <c r="E15" s="136">
        <v>0</v>
      </c>
      <c r="F15" s="136">
        <v>0</v>
      </c>
      <c r="G15" s="136">
        <v>0</v>
      </c>
      <c r="H15" s="136">
        <v>0</v>
      </c>
      <c r="I15" s="136">
        <v>0</v>
      </c>
      <c r="J15" s="136">
        <v>0</v>
      </c>
      <c r="K15" s="136">
        <v>0</v>
      </c>
      <c r="L15" s="136">
        <v>0</v>
      </c>
      <c r="M15" s="136">
        <v>0</v>
      </c>
      <c r="N15" s="136">
        <v>0</v>
      </c>
      <c r="O15" s="136">
        <v>0</v>
      </c>
      <c r="P15" s="136">
        <v>0</v>
      </c>
      <c r="Q15" s="136">
        <v>0</v>
      </c>
      <c r="R15" s="136">
        <v>0</v>
      </c>
      <c r="S15" s="136">
        <v>0</v>
      </c>
      <c r="T15" s="136">
        <v>3.0196678728958266E-2</v>
      </c>
      <c r="U15" s="136">
        <v>0</v>
      </c>
      <c r="V15" s="136">
        <v>0</v>
      </c>
      <c r="W15" s="136">
        <v>0</v>
      </c>
      <c r="X15" s="136">
        <v>0</v>
      </c>
      <c r="Y15" s="136">
        <v>0</v>
      </c>
      <c r="Z15" s="136">
        <v>0</v>
      </c>
      <c r="AA15" s="136">
        <v>0</v>
      </c>
      <c r="AB15" s="136">
        <v>0</v>
      </c>
      <c r="AC15" s="136">
        <v>0</v>
      </c>
      <c r="AD15" s="136">
        <v>0</v>
      </c>
      <c r="AE15" s="136">
        <v>0</v>
      </c>
      <c r="AF15" s="136">
        <v>0</v>
      </c>
      <c r="AG15" s="136">
        <v>0</v>
      </c>
      <c r="AH15" s="136">
        <v>0</v>
      </c>
      <c r="AI15" s="136">
        <v>0</v>
      </c>
      <c r="AJ15" s="136">
        <v>0</v>
      </c>
      <c r="AK15" s="136">
        <v>0</v>
      </c>
      <c r="AL15" s="136">
        <v>0</v>
      </c>
      <c r="AM15" s="136">
        <v>0</v>
      </c>
      <c r="AN15" s="136">
        <v>0</v>
      </c>
      <c r="AO15" s="136">
        <v>0</v>
      </c>
      <c r="AP15" s="136">
        <v>0</v>
      </c>
      <c r="AQ15" s="136">
        <v>0</v>
      </c>
      <c r="AR15" s="136">
        <v>0</v>
      </c>
      <c r="AS15" s="136">
        <v>0</v>
      </c>
      <c r="AT15" s="136">
        <v>0</v>
      </c>
      <c r="AU15" s="136">
        <v>0</v>
      </c>
      <c r="AV15" s="136">
        <v>0</v>
      </c>
      <c r="AW15" s="136">
        <v>0</v>
      </c>
      <c r="AX15" s="136">
        <v>0</v>
      </c>
    </row>
    <row r="16" spans="1:50" customFormat="1" x14ac:dyDescent="0.15">
      <c r="A16" s="142" t="s">
        <v>206</v>
      </c>
      <c r="B16" s="136">
        <v>0</v>
      </c>
      <c r="C16" s="136">
        <v>0</v>
      </c>
      <c r="D16" s="136">
        <v>0</v>
      </c>
      <c r="E16" s="136">
        <v>0</v>
      </c>
      <c r="F16" s="136">
        <v>0</v>
      </c>
      <c r="G16" s="136">
        <v>0</v>
      </c>
      <c r="H16" s="136">
        <v>0</v>
      </c>
      <c r="I16" s="136">
        <v>0</v>
      </c>
      <c r="J16" s="136">
        <v>0</v>
      </c>
      <c r="K16" s="136">
        <v>0</v>
      </c>
      <c r="L16" s="136">
        <v>0</v>
      </c>
      <c r="M16" s="136">
        <v>0</v>
      </c>
      <c r="N16" s="136">
        <v>0</v>
      </c>
      <c r="O16" s="136">
        <v>0</v>
      </c>
      <c r="P16" s="136">
        <v>0</v>
      </c>
      <c r="Q16" s="136">
        <v>0</v>
      </c>
      <c r="R16" s="136">
        <v>0</v>
      </c>
      <c r="S16" s="136">
        <v>0</v>
      </c>
      <c r="T16" s="136">
        <v>2.0297768744299952E-2</v>
      </c>
      <c r="U16" s="136">
        <v>0</v>
      </c>
      <c r="V16" s="136">
        <v>0</v>
      </c>
      <c r="W16" s="136">
        <v>0</v>
      </c>
      <c r="X16" s="136">
        <v>0</v>
      </c>
      <c r="Y16" s="136">
        <v>0</v>
      </c>
      <c r="Z16" s="136">
        <v>0</v>
      </c>
      <c r="AA16" s="136">
        <v>0</v>
      </c>
      <c r="AB16" s="136">
        <v>0</v>
      </c>
      <c r="AC16" s="136">
        <v>0</v>
      </c>
      <c r="AD16" s="136">
        <v>0</v>
      </c>
      <c r="AE16" s="136">
        <v>0</v>
      </c>
      <c r="AF16" s="136">
        <v>0</v>
      </c>
      <c r="AG16" s="136">
        <v>0</v>
      </c>
      <c r="AH16" s="136">
        <v>0</v>
      </c>
      <c r="AI16" s="136">
        <v>0</v>
      </c>
      <c r="AJ16" s="136">
        <v>0</v>
      </c>
      <c r="AK16" s="136">
        <v>0</v>
      </c>
      <c r="AL16" s="136">
        <v>0</v>
      </c>
      <c r="AM16" s="136">
        <v>0</v>
      </c>
      <c r="AN16" s="136">
        <v>0</v>
      </c>
      <c r="AO16" s="136">
        <v>0</v>
      </c>
      <c r="AP16" s="136">
        <v>0</v>
      </c>
      <c r="AQ16" s="136">
        <v>0</v>
      </c>
      <c r="AR16" s="136">
        <v>0</v>
      </c>
      <c r="AS16" s="136">
        <v>0</v>
      </c>
      <c r="AT16" s="136">
        <v>0</v>
      </c>
      <c r="AU16" s="136">
        <v>0</v>
      </c>
      <c r="AV16" s="136">
        <v>0</v>
      </c>
      <c r="AW16" s="136">
        <v>0</v>
      </c>
      <c r="AX16" s="136">
        <v>0</v>
      </c>
    </row>
    <row r="17" spans="1:50" customFormat="1" x14ac:dyDescent="0.15">
      <c r="A17" s="142" t="s">
        <v>207</v>
      </c>
      <c r="B17" s="136">
        <v>0</v>
      </c>
      <c r="C17" s="136">
        <v>0</v>
      </c>
      <c r="D17" s="136">
        <v>0</v>
      </c>
      <c r="E17" s="136">
        <v>0</v>
      </c>
      <c r="F17" s="136">
        <v>0</v>
      </c>
      <c r="G17" s="136">
        <v>0</v>
      </c>
      <c r="H17" s="136">
        <v>0</v>
      </c>
      <c r="I17" s="136">
        <v>0</v>
      </c>
      <c r="J17" s="136">
        <v>0</v>
      </c>
      <c r="K17" s="136">
        <v>0</v>
      </c>
      <c r="L17" s="136">
        <v>0</v>
      </c>
      <c r="M17" s="136">
        <v>0</v>
      </c>
      <c r="N17" s="136">
        <v>0</v>
      </c>
      <c r="O17" s="136">
        <v>0</v>
      </c>
      <c r="P17" s="136">
        <v>0</v>
      </c>
      <c r="Q17" s="136">
        <v>0</v>
      </c>
      <c r="R17" s="136">
        <v>0</v>
      </c>
      <c r="S17" s="136">
        <v>0</v>
      </c>
      <c r="T17" s="136">
        <v>0</v>
      </c>
      <c r="U17" s="136">
        <v>0</v>
      </c>
      <c r="V17" s="136">
        <v>0</v>
      </c>
      <c r="W17" s="136">
        <v>0</v>
      </c>
      <c r="X17" s="136">
        <v>0</v>
      </c>
      <c r="Y17" s="136">
        <v>0</v>
      </c>
      <c r="Z17" s="136">
        <v>0</v>
      </c>
      <c r="AA17" s="136">
        <v>0</v>
      </c>
      <c r="AB17" s="136">
        <v>0</v>
      </c>
      <c r="AC17" s="136">
        <v>0</v>
      </c>
      <c r="AD17" s="136">
        <v>0</v>
      </c>
      <c r="AE17" s="136">
        <v>0</v>
      </c>
      <c r="AF17" s="136">
        <v>0</v>
      </c>
      <c r="AG17" s="136">
        <v>0</v>
      </c>
      <c r="AH17" s="136">
        <v>0</v>
      </c>
      <c r="AI17" s="136">
        <v>0</v>
      </c>
      <c r="AJ17" s="136">
        <v>0</v>
      </c>
      <c r="AK17" s="136">
        <v>0</v>
      </c>
      <c r="AL17" s="136">
        <v>0</v>
      </c>
      <c r="AM17" s="136">
        <v>0</v>
      </c>
      <c r="AN17" s="136">
        <v>0</v>
      </c>
      <c r="AO17" s="136">
        <v>0</v>
      </c>
      <c r="AP17" s="136">
        <v>0</v>
      </c>
      <c r="AQ17" s="136">
        <v>0</v>
      </c>
      <c r="AR17" s="136">
        <v>0</v>
      </c>
      <c r="AS17" s="136">
        <v>0</v>
      </c>
      <c r="AT17" s="136">
        <v>0</v>
      </c>
      <c r="AU17" s="136">
        <v>0</v>
      </c>
      <c r="AV17" s="136">
        <v>0</v>
      </c>
      <c r="AW17" s="136">
        <v>0</v>
      </c>
      <c r="AX17" s="136">
        <v>0</v>
      </c>
    </row>
    <row r="18" spans="1:50" customFormat="1" x14ac:dyDescent="0.15">
      <c r="A18" s="142" t="s">
        <v>208</v>
      </c>
      <c r="B18" s="136">
        <v>0</v>
      </c>
      <c r="C18" s="136">
        <v>0</v>
      </c>
      <c r="D18" s="136">
        <v>0</v>
      </c>
      <c r="E18" s="136">
        <v>0</v>
      </c>
      <c r="F18" s="136">
        <v>0</v>
      </c>
      <c r="G18" s="136">
        <v>0</v>
      </c>
      <c r="H18" s="136">
        <v>0</v>
      </c>
      <c r="I18" s="136">
        <v>0</v>
      </c>
      <c r="J18" s="136">
        <v>0</v>
      </c>
      <c r="K18" s="136">
        <v>0</v>
      </c>
      <c r="L18" s="136">
        <v>0</v>
      </c>
      <c r="M18" s="136">
        <v>0</v>
      </c>
      <c r="N18" s="136">
        <v>0</v>
      </c>
      <c r="O18" s="136">
        <v>0</v>
      </c>
      <c r="P18" s="136">
        <v>0</v>
      </c>
      <c r="Q18" s="136">
        <v>0</v>
      </c>
      <c r="R18" s="136">
        <v>0</v>
      </c>
      <c r="S18" s="136">
        <v>0</v>
      </c>
      <c r="T18" s="136">
        <v>0</v>
      </c>
      <c r="U18" s="136">
        <v>0</v>
      </c>
      <c r="V18" s="136">
        <v>0</v>
      </c>
      <c r="W18" s="136">
        <v>0</v>
      </c>
      <c r="X18" s="136">
        <v>0</v>
      </c>
      <c r="Y18" s="136">
        <v>0</v>
      </c>
      <c r="Z18" s="136">
        <v>0</v>
      </c>
      <c r="AA18" s="136">
        <v>0</v>
      </c>
      <c r="AB18" s="136">
        <v>0</v>
      </c>
      <c r="AC18" s="136">
        <v>0</v>
      </c>
      <c r="AD18" s="136">
        <v>0</v>
      </c>
      <c r="AE18" s="136">
        <v>0</v>
      </c>
      <c r="AF18" s="136">
        <v>0</v>
      </c>
      <c r="AG18" s="136">
        <v>0</v>
      </c>
      <c r="AH18" s="136">
        <v>0</v>
      </c>
      <c r="AI18" s="136">
        <v>0</v>
      </c>
      <c r="AJ18" s="136">
        <v>0</v>
      </c>
      <c r="AK18" s="136">
        <v>0</v>
      </c>
      <c r="AL18" s="136">
        <v>0</v>
      </c>
      <c r="AM18" s="136">
        <v>0</v>
      </c>
      <c r="AN18" s="136">
        <v>0</v>
      </c>
      <c r="AO18" s="136">
        <v>0</v>
      </c>
      <c r="AP18" s="136">
        <v>0</v>
      </c>
      <c r="AQ18" s="136">
        <v>0</v>
      </c>
      <c r="AR18" s="136">
        <v>0</v>
      </c>
      <c r="AS18" s="136">
        <v>0</v>
      </c>
      <c r="AT18" s="136">
        <v>0</v>
      </c>
      <c r="AU18" s="136">
        <v>0</v>
      </c>
      <c r="AV18" s="136">
        <v>0</v>
      </c>
      <c r="AW18" s="136">
        <v>0</v>
      </c>
      <c r="AX18" s="136">
        <v>0</v>
      </c>
    </row>
    <row r="19" spans="1:50" customFormat="1" x14ac:dyDescent="0.15">
      <c r="A19" s="142" t="s">
        <v>209</v>
      </c>
      <c r="B19" s="136">
        <v>0</v>
      </c>
      <c r="C19" s="136">
        <v>0</v>
      </c>
      <c r="D19" s="136">
        <v>0</v>
      </c>
      <c r="E19" s="136">
        <v>0</v>
      </c>
      <c r="F19" s="136">
        <v>0</v>
      </c>
      <c r="G19" s="136">
        <v>0</v>
      </c>
      <c r="H19" s="136">
        <v>0</v>
      </c>
      <c r="I19" s="136">
        <v>0</v>
      </c>
      <c r="J19" s="136">
        <v>0</v>
      </c>
      <c r="K19" s="136">
        <v>0</v>
      </c>
      <c r="L19" s="136">
        <v>0</v>
      </c>
      <c r="M19" s="136">
        <v>0</v>
      </c>
      <c r="N19" s="136">
        <v>0</v>
      </c>
      <c r="O19" s="136">
        <v>0</v>
      </c>
      <c r="P19" s="136">
        <v>0</v>
      </c>
      <c r="Q19" s="136">
        <v>0</v>
      </c>
      <c r="R19" s="136">
        <v>0</v>
      </c>
      <c r="S19" s="136">
        <v>0</v>
      </c>
      <c r="T19" s="136">
        <v>0</v>
      </c>
      <c r="U19" s="136">
        <v>0</v>
      </c>
      <c r="V19" s="136">
        <v>0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  <c r="AC19" s="136">
        <v>0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0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S19" s="136">
        <v>0</v>
      </c>
      <c r="AT19" s="136">
        <v>0</v>
      </c>
      <c r="AU19" s="136">
        <v>0</v>
      </c>
      <c r="AV19" s="136">
        <v>0</v>
      </c>
      <c r="AW19" s="136">
        <v>0</v>
      </c>
      <c r="AX19" s="136">
        <v>0</v>
      </c>
    </row>
    <row r="20" spans="1:50" customFormat="1" x14ac:dyDescent="0.15">
      <c r="A20" s="142" t="s">
        <v>210</v>
      </c>
      <c r="B20" s="136">
        <v>0</v>
      </c>
      <c r="C20" s="136">
        <v>0</v>
      </c>
      <c r="D20" s="136">
        <v>0</v>
      </c>
      <c r="E20" s="136">
        <v>0</v>
      </c>
      <c r="F20" s="136">
        <v>0</v>
      </c>
      <c r="G20" s="136">
        <v>0</v>
      </c>
      <c r="H20" s="136">
        <v>0</v>
      </c>
      <c r="I20" s="136">
        <v>0</v>
      </c>
      <c r="J20" s="136">
        <v>0</v>
      </c>
      <c r="K20" s="136">
        <v>0</v>
      </c>
      <c r="L20" s="136">
        <v>0</v>
      </c>
      <c r="M20" s="136">
        <v>0</v>
      </c>
      <c r="N20" s="136">
        <v>3.7000487286442531E-3</v>
      </c>
      <c r="O20" s="136">
        <v>0</v>
      </c>
      <c r="P20" s="136">
        <v>0</v>
      </c>
      <c r="Q20" s="136">
        <v>0</v>
      </c>
      <c r="R20" s="136">
        <v>0</v>
      </c>
      <c r="S20" s="136">
        <v>0</v>
      </c>
      <c r="T20" s="136">
        <v>4.0995489448585496E-3</v>
      </c>
      <c r="U20" s="136">
        <v>0</v>
      </c>
      <c r="V20" s="136">
        <v>0</v>
      </c>
      <c r="W20" s="136">
        <v>0</v>
      </c>
      <c r="X20" s="136">
        <v>0</v>
      </c>
      <c r="Y20" s="136">
        <v>0</v>
      </c>
      <c r="Z20" s="136">
        <v>0</v>
      </c>
      <c r="AA20" s="136">
        <v>0</v>
      </c>
      <c r="AB20" s="136">
        <v>0</v>
      </c>
      <c r="AC20" s="136">
        <v>0</v>
      </c>
      <c r="AD20" s="136">
        <v>0</v>
      </c>
      <c r="AE20" s="136">
        <v>0</v>
      </c>
      <c r="AF20" s="136">
        <v>0</v>
      </c>
      <c r="AG20" s="136">
        <v>0</v>
      </c>
      <c r="AH20" s="136">
        <v>0</v>
      </c>
      <c r="AI20" s="136">
        <v>0</v>
      </c>
      <c r="AJ20" s="136">
        <v>0</v>
      </c>
      <c r="AK20" s="136">
        <v>0</v>
      </c>
      <c r="AL20" s="136">
        <v>0</v>
      </c>
      <c r="AM20" s="136">
        <v>0</v>
      </c>
      <c r="AN20" s="136">
        <v>0</v>
      </c>
      <c r="AO20" s="136">
        <v>0</v>
      </c>
      <c r="AP20" s="136">
        <v>0</v>
      </c>
      <c r="AQ20" s="136">
        <v>0</v>
      </c>
      <c r="AR20" s="136">
        <v>0</v>
      </c>
      <c r="AS20" s="136">
        <v>0</v>
      </c>
      <c r="AT20" s="136">
        <v>0</v>
      </c>
      <c r="AU20" s="136">
        <v>0</v>
      </c>
      <c r="AV20" s="136">
        <v>0</v>
      </c>
      <c r="AW20" s="136">
        <v>0</v>
      </c>
      <c r="AX20" s="136">
        <v>0</v>
      </c>
    </row>
    <row r="21" spans="1:50" customFormat="1" x14ac:dyDescent="0.15">
      <c r="A21" s="142" t="s">
        <v>211</v>
      </c>
      <c r="B21" s="136">
        <v>0</v>
      </c>
      <c r="C21" s="136">
        <v>0</v>
      </c>
      <c r="D21" s="136">
        <v>1.879811942101792E-2</v>
      </c>
      <c r="E21" s="136">
        <v>4.4704469778712883E-2</v>
      </c>
      <c r="F21" s="136">
        <v>3.6703670342078207E-2</v>
      </c>
      <c r="G21" s="136">
        <v>0</v>
      </c>
      <c r="H21" s="136">
        <v>4.9795021185121503E-2</v>
      </c>
      <c r="I21" s="136">
        <v>0.15561555643325134</v>
      </c>
      <c r="J21" s="136">
        <v>0</v>
      </c>
      <c r="K21" s="136">
        <v>0</v>
      </c>
      <c r="L21" s="136">
        <v>0</v>
      </c>
      <c r="M21" s="136">
        <v>0.16681669134173469</v>
      </c>
      <c r="N21" s="136">
        <v>0.17210225689099271</v>
      </c>
      <c r="O21" s="136">
        <v>0.1000017047584522</v>
      </c>
      <c r="P21" s="136">
        <v>0.24895766022259411</v>
      </c>
      <c r="Q21" s="136">
        <v>0</v>
      </c>
      <c r="R21" s="136">
        <v>0</v>
      </c>
      <c r="S21" s="136">
        <v>0</v>
      </c>
      <c r="T21" s="136">
        <v>0.38465767869172796</v>
      </c>
      <c r="U21" s="136">
        <v>0</v>
      </c>
      <c r="V21" s="136">
        <v>0</v>
      </c>
      <c r="W21" s="136">
        <v>0</v>
      </c>
      <c r="X21" s="136">
        <v>5.3094692526547346E-2</v>
      </c>
      <c r="Y21" s="136">
        <v>0</v>
      </c>
      <c r="Z21" s="136">
        <v>0</v>
      </c>
      <c r="AA21" s="136">
        <v>0</v>
      </c>
      <c r="AB21" s="136">
        <v>9.692836299190398E-2</v>
      </c>
      <c r="AC21" s="136">
        <v>0</v>
      </c>
      <c r="AD21" s="136">
        <v>0</v>
      </c>
      <c r="AE21" s="136">
        <v>0</v>
      </c>
      <c r="AF21" s="136">
        <v>0</v>
      </c>
      <c r="AG21" s="136">
        <v>0</v>
      </c>
      <c r="AH21" s="136">
        <v>0</v>
      </c>
      <c r="AI21" s="136">
        <v>0</v>
      </c>
      <c r="AJ21" s="136">
        <v>0</v>
      </c>
      <c r="AK21" s="136">
        <v>0</v>
      </c>
      <c r="AL21" s="136">
        <v>0</v>
      </c>
      <c r="AM21" s="136">
        <v>0</v>
      </c>
      <c r="AN21" s="136">
        <v>0</v>
      </c>
      <c r="AO21" s="136">
        <v>1.7799678079951756E-2</v>
      </c>
      <c r="AP21" s="136">
        <v>0</v>
      </c>
      <c r="AQ21" s="136">
        <v>0</v>
      </c>
      <c r="AR21" s="136">
        <v>0</v>
      </c>
      <c r="AS21" s="136">
        <v>0</v>
      </c>
      <c r="AT21" s="136">
        <v>0</v>
      </c>
      <c r="AU21" s="136">
        <v>0</v>
      </c>
      <c r="AV21" s="136">
        <v>0</v>
      </c>
      <c r="AW21" s="136">
        <v>0</v>
      </c>
      <c r="AX21" s="136">
        <v>0</v>
      </c>
    </row>
    <row r="22" spans="1:50" customFormat="1" x14ac:dyDescent="0.15">
      <c r="A22" s="142" t="s">
        <v>212</v>
      </c>
      <c r="B22" s="136">
        <v>0</v>
      </c>
      <c r="C22" s="136">
        <v>0</v>
      </c>
      <c r="D22" s="136">
        <v>5.9993998152184855E-3</v>
      </c>
      <c r="E22" s="136">
        <v>2.2102209890594061E-2</v>
      </c>
      <c r="F22" s="136">
        <v>2.1202119297603749E-2</v>
      </c>
      <c r="G22" s="136">
        <v>0</v>
      </c>
      <c r="H22" s="136">
        <v>0</v>
      </c>
      <c r="I22" s="136">
        <v>0.1007100715143211</v>
      </c>
      <c r="J22" s="136">
        <v>0</v>
      </c>
      <c r="K22" s="136">
        <v>0</v>
      </c>
      <c r="L22" s="136">
        <v>0</v>
      </c>
      <c r="M22" s="136">
        <v>1.000100056005603E-3</v>
      </c>
      <c r="N22" s="136">
        <v>1.1000145587861351E-5</v>
      </c>
      <c r="O22" s="136">
        <v>0</v>
      </c>
      <c r="P22" s="136">
        <v>0</v>
      </c>
      <c r="Q22" s="136">
        <v>0</v>
      </c>
      <c r="R22" s="136">
        <v>8.921490214115764E-3</v>
      </c>
      <c r="S22" s="136">
        <v>3.6010801898039451E-3</v>
      </c>
      <c r="T22" s="136">
        <v>0.1947785762132804</v>
      </c>
      <c r="U22" s="136">
        <v>0</v>
      </c>
      <c r="V22" s="136">
        <v>0</v>
      </c>
      <c r="W22" s="136">
        <v>0</v>
      </c>
      <c r="X22" s="136">
        <v>1.7998200008999099E-2</v>
      </c>
      <c r="Y22" s="136">
        <v>0</v>
      </c>
      <c r="Z22" s="136">
        <v>0</v>
      </c>
      <c r="AA22" s="136">
        <v>0</v>
      </c>
      <c r="AB22" s="136">
        <v>5.8810463778233963E-4</v>
      </c>
      <c r="AC22" s="136">
        <v>0</v>
      </c>
      <c r="AD22" s="136">
        <v>0</v>
      </c>
      <c r="AE22" s="136">
        <v>0</v>
      </c>
      <c r="AF22" s="136">
        <v>0</v>
      </c>
      <c r="AG22" s="136">
        <v>0.12259999677886019</v>
      </c>
      <c r="AH22" s="136">
        <v>0</v>
      </c>
      <c r="AI22" s="136">
        <v>0</v>
      </c>
      <c r="AJ22" s="136">
        <v>0</v>
      </c>
      <c r="AK22" s="136">
        <v>0</v>
      </c>
      <c r="AL22" s="136">
        <v>0</v>
      </c>
      <c r="AM22" s="136">
        <v>0.50981391658730568</v>
      </c>
      <c r="AN22" s="136">
        <v>0</v>
      </c>
      <c r="AO22" s="136">
        <v>5.3999028338055045E-3</v>
      </c>
      <c r="AP22" s="136">
        <v>0</v>
      </c>
      <c r="AQ22" s="136">
        <v>0</v>
      </c>
      <c r="AR22" s="136">
        <v>0</v>
      </c>
      <c r="AS22" s="136">
        <v>0</v>
      </c>
      <c r="AT22" s="136">
        <v>0</v>
      </c>
      <c r="AU22" s="136">
        <v>0</v>
      </c>
      <c r="AV22" s="136">
        <v>0</v>
      </c>
      <c r="AW22" s="136">
        <v>0</v>
      </c>
      <c r="AX22" s="136">
        <v>0</v>
      </c>
    </row>
    <row r="23" spans="1:50" customFormat="1" x14ac:dyDescent="0.15">
      <c r="A23" s="142" t="s">
        <v>213</v>
      </c>
      <c r="B23" s="136">
        <v>0</v>
      </c>
      <c r="C23" s="136">
        <v>1.2999999999999999E-2</v>
      </c>
      <c r="D23" s="136">
        <v>0.22807718097522278</v>
      </c>
      <c r="E23" s="136">
        <v>0.20862085996732674</v>
      </c>
      <c r="F23" s="136">
        <v>3.5003502226232636E-2</v>
      </c>
      <c r="G23" s="136">
        <v>0</v>
      </c>
      <c r="H23" s="136">
        <v>0.10998900261773827</v>
      </c>
      <c r="I23" s="136">
        <v>0.23912390822615906</v>
      </c>
      <c r="J23" s="136">
        <v>0</v>
      </c>
      <c r="K23" s="136">
        <v>0</v>
      </c>
      <c r="L23" s="136">
        <v>0</v>
      </c>
      <c r="M23" s="136">
        <v>7.0007003920392217E-3</v>
      </c>
      <c r="N23" s="136">
        <v>1.0700141963646978E-2</v>
      </c>
      <c r="O23" s="136">
        <v>0.16998588590190769</v>
      </c>
      <c r="P23" s="136">
        <v>1.600019609824338E-2</v>
      </c>
      <c r="Q23" s="136">
        <v>0</v>
      </c>
      <c r="R23" s="136">
        <v>9.9127672379064127E-2</v>
      </c>
      <c r="S23" s="136">
        <v>0</v>
      </c>
      <c r="T23" s="136">
        <v>0.24417314662157685</v>
      </c>
      <c r="U23" s="136">
        <v>0</v>
      </c>
      <c r="V23" s="136">
        <v>0</v>
      </c>
      <c r="W23" s="136">
        <v>0</v>
      </c>
      <c r="X23" s="136">
        <v>2.1997800010998901E-2</v>
      </c>
      <c r="Y23" s="136">
        <v>0</v>
      </c>
      <c r="Z23" s="136">
        <v>0</v>
      </c>
      <c r="AA23" s="136">
        <v>0</v>
      </c>
      <c r="AB23" s="136">
        <v>1.0791819720753356E-2</v>
      </c>
      <c r="AC23" s="136">
        <v>0</v>
      </c>
      <c r="AD23" s="136">
        <v>0</v>
      </c>
      <c r="AE23" s="136">
        <v>0</v>
      </c>
      <c r="AF23" s="136">
        <v>0</v>
      </c>
      <c r="AG23" s="136">
        <v>0.39960000546355973</v>
      </c>
      <c r="AH23" s="136">
        <v>0</v>
      </c>
      <c r="AI23" s="136">
        <v>0</v>
      </c>
      <c r="AJ23" s="136">
        <v>0</v>
      </c>
      <c r="AK23" s="136">
        <v>0</v>
      </c>
      <c r="AL23" s="136">
        <v>0</v>
      </c>
      <c r="AM23" s="136">
        <v>0</v>
      </c>
      <c r="AN23" s="136">
        <v>0</v>
      </c>
      <c r="AO23" s="136">
        <v>5.4699010719289953E-2</v>
      </c>
      <c r="AP23" s="136">
        <v>0</v>
      </c>
      <c r="AQ23" s="136">
        <v>0</v>
      </c>
      <c r="AR23" s="136">
        <v>0</v>
      </c>
      <c r="AS23" s="136">
        <v>0</v>
      </c>
      <c r="AT23" s="136">
        <v>0</v>
      </c>
      <c r="AU23" s="136">
        <v>0</v>
      </c>
      <c r="AV23" s="136">
        <v>0</v>
      </c>
      <c r="AW23" s="136">
        <v>0</v>
      </c>
      <c r="AX23" s="136">
        <v>0</v>
      </c>
    </row>
    <row r="24" spans="1:50" customFormat="1" x14ac:dyDescent="0.15">
      <c r="A24" s="142" t="s">
        <v>214</v>
      </c>
      <c r="B24" s="136">
        <v>0</v>
      </c>
      <c r="C24" s="136">
        <v>0</v>
      </c>
      <c r="D24" s="136">
        <v>0.12788721506107376</v>
      </c>
      <c r="E24" s="136">
        <v>4.7004702267326726E-3</v>
      </c>
      <c r="F24" s="136">
        <v>5.00050004660466E-3</v>
      </c>
      <c r="G24" s="136">
        <v>0</v>
      </c>
      <c r="H24" s="136">
        <v>4.9795021185121503E-2</v>
      </c>
      <c r="I24" s="136">
        <v>2.9902990577340617E-2</v>
      </c>
      <c r="J24" s="136">
        <v>0</v>
      </c>
      <c r="K24" s="136">
        <v>0</v>
      </c>
      <c r="L24" s="136">
        <v>0</v>
      </c>
      <c r="M24" s="136">
        <v>2.000200112011206E-3</v>
      </c>
      <c r="N24" s="136">
        <v>1.100014518786132E-3</v>
      </c>
      <c r="O24" s="136">
        <v>0</v>
      </c>
      <c r="P24" s="136">
        <v>1.0199003598886118E-3</v>
      </c>
      <c r="Q24" s="136">
        <v>0</v>
      </c>
      <c r="R24" s="136">
        <v>0</v>
      </c>
      <c r="S24" s="136">
        <v>7.6823048289150736E-2</v>
      </c>
      <c r="T24" s="136">
        <v>3.8895720833657998E-2</v>
      </c>
      <c r="U24" s="136">
        <v>0</v>
      </c>
      <c r="V24" s="136">
        <v>0</v>
      </c>
      <c r="W24" s="136">
        <v>0</v>
      </c>
      <c r="X24" s="136">
        <v>1.9998000009999002E-3</v>
      </c>
      <c r="Y24" s="136">
        <v>0</v>
      </c>
      <c r="Z24" s="136">
        <v>0</v>
      </c>
      <c r="AA24" s="136">
        <v>0</v>
      </c>
      <c r="AB24" s="136">
        <v>9.8017437463723345E-4</v>
      </c>
      <c r="AC24" s="136">
        <v>0</v>
      </c>
      <c r="AD24" s="136">
        <v>0</v>
      </c>
      <c r="AE24" s="136">
        <v>0</v>
      </c>
      <c r="AF24" s="136">
        <v>0</v>
      </c>
      <c r="AG24" s="136">
        <v>7.2000000159199995E-2</v>
      </c>
      <c r="AH24" s="136">
        <v>0</v>
      </c>
      <c r="AI24" s="136">
        <v>0</v>
      </c>
      <c r="AJ24" s="136">
        <v>0</v>
      </c>
      <c r="AK24" s="136">
        <v>0</v>
      </c>
      <c r="AL24" s="136">
        <v>0</v>
      </c>
      <c r="AM24" s="136">
        <v>0</v>
      </c>
      <c r="AN24" s="136">
        <v>0</v>
      </c>
      <c r="AO24" s="136">
        <v>1.7799678079951756E-2</v>
      </c>
      <c r="AP24" s="136">
        <v>0</v>
      </c>
      <c r="AQ24" s="136">
        <v>0</v>
      </c>
      <c r="AR24" s="136">
        <v>0</v>
      </c>
      <c r="AS24" s="136">
        <v>0</v>
      </c>
      <c r="AT24" s="136">
        <v>0</v>
      </c>
      <c r="AU24" s="136">
        <v>0</v>
      </c>
      <c r="AV24" s="136">
        <v>0</v>
      </c>
      <c r="AW24" s="136">
        <v>0</v>
      </c>
      <c r="AX24" s="136">
        <v>0</v>
      </c>
    </row>
    <row r="25" spans="1:50" customFormat="1" x14ac:dyDescent="0.15">
      <c r="A25" s="142" t="s">
        <v>215</v>
      </c>
      <c r="B25" s="136">
        <v>0</v>
      </c>
      <c r="C25" s="136">
        <v>0</v>
      </c>
      <c r="D25" s="136">
        <v>0</v>
      </c>
      <c r="E25" s="136">
        <v>0</v>
      </c>
      <c r="F25" s="136">
        <v>0</v>
      </c>
      <c r="G25" s="136">
        <v>0</v>
      </c>
      <c r="H25" s="136">
        <v>4.9795021185121503E-2</v>
      </c>
      <c r="I25" s="136">
        <v>0</v>
      </c>
      <c r="J25" s="136">
        <v>0</v>
      </c>
      <c r="K25" s="136">
        <v>0</v>
      </c>
      <c r="L25" s="136">
        <v>0</v>
      </c>
      <c r="M25" s="136">
        <v>2.000200112011206E-3</v>
      </c>
      <c r="N25" s="136">
        <v>0.73830975959163858</v>
      </c>
      <c r="O25" s="136">
        <v>0</v>
      </c>
      <c r="P25" s="136">
        <v>2.9577106896726355E-3</v>
      </c>
      <c r="Q25" s="136">
        <v>0</v>
      </c>
      <c r="R25" s="136">
        <v>0</v>
      </c>
      <c r="S25" s="136">
        <v>0.25517656831721786</v>
      </c>
      <c r="T25" s="136">
        <v>3.8895720833657998E-2</v>
      </c>
      <c r="U25" s="136">
        <v>0</v>
      </c>
      <c r="V25" s="136">
        <v>0</v>
      </c>
      <c r="W25" s="136">
        <v>0</v>
      </c>
      <c r="X25" s="136">
        <v>1.7998200008999099E-2</v>
      </c>
      <c r="Y25" s="136">
        <v>0</v>
      </c>
      <c r="Z25" s="136">
        <v>0</v>
      </c>
      <c r="AA25" s="136">
        <v>0</v>
      </c>
      <c r="AB25" s="136">
        <v>8.2374247868502899E-3</v>
      </c>
      <c r="AC25" s="136">
        <v>0</v>
      </c>
      <c r="AD25" s="136">
        <v>0</v>
      </c>
      <c r="AE25" s="136">
        <v>0</v>
      </c>
      <c r="AF25" s="136">
        <v>0</v>
      </c>
      <c r="AG25" s="136">
        <v>0</v>
      </c>
      <c r="AH25" s="136">
        <v>0</v>
      </c>
      <c r="AI25" s="136">
        <v>0</v>
      </c>
      <c r="AJ25" s="136">
        <v>0</v>
      </c>
      <c r="AK25" s="136">
        <v>0</v>
      </c>
      <c r="AL25" s="136">
        <v>0</v>
      </c>
      <c r="AM25" s="136">
        <v>0.41116493076166138</v>
      </c>
      <c r="AN25" s="136">
        <v>0</v>
      </c>
      <c r="AO25" s="136">
        <v>0.35729357537846351</v>
      </c>
      <c r="AP25" s="136">
        <v>0</v>
      </c>
      <c r="AQ25" s="136">
        <v>0</v>
      </c>
      <c r="AR25" s="136">
        <v>0</v>
      </c>
      <c r="AS25" s="136">
        <v>0</v>
      </c>
      <c r="AT25" s="136">
        <v>0</v>
      </c>
      <c r="AU25" s="136">
        <v>0</v>
      </c>
      <c r="AV25" s="136">
        <v>0</v>
      </c>
      <c r="AW25" s="136">
        <v>0</v>
      </c>
      <c r="AX25" s="136">
        <v>0</v>
      </c>
    </row>
    <row r="26" spans="1:50" customFormat="1" x14ac:dyDescent="0.15">
      <c r="A26" s="142" t="s">
        <v>216</v>
      </c>
      <c r="B26" s="136">
        <v>0</v>
      </c>
      <c r="C26" s="136">
        <v>0</v>
      </c>
      <c r="D26" s="136">
        <v>0</v>
      </c>
      <c r="E26" s="136">
        <v>9.0309029552970307E-2</v>
      </c>
      <c r="F26" s="136">
        <v>9.1009100848204807E-2</v>
      </c>
      <c r="G26" s="136">
        <v>0</v>
      </c>
      <c r="H26" s="136">
        <v>0</v>
      </c>
      <c r="I26" s="136">
        <v>0</v>
      </c>
      <c r="J26" s="136">
        <v>0</v>
      </c>
      <c r="K26" s="136">
        <v>0</v>
      </c>
      <c r="L26" s="136">
        <v>0</v>
      </c>
      <c r="M26" s="136">
        <v>0</v>
      </c>
      <c r="N26" s="136">
        <v>0</v>
      </c>
      <c r="O26" s="136">
        <v>0</v>
      </c>
      <c r="P26" s="136">
        <v>0</v>
      </c>
      <c r="Q26" s="136">
        <v>0</v>
      </c>
      <c r="R26" s="136">
        <v>0.26556304737351311</v>
      </c>
      <c r="S26" s="136">
        <v>0.26988097398975075</v>
      </c>
      <c r="T26" s="136">
        <v>0</v>
      </c>
      <c r="U26" s="136">
        <v>0</v>
      </c>
      <c r="V26" s="136">
        <v>0</v>
      </c>
      <c r="W26" s="136">
        <v>0</v>
      </c>
      <c r="X26" s="136">
        <v>0</v>
      </c>
      <c r="Y26" s="136">
        <v>0</v>
      </c>
      <c r="Z26" s="136">
        <v>0</v>
      </c>
      <c r="AA26" s="136">
        <v>0</v>
      </c>
      <c r="AB26" s="136">
        <v>0.26306297719304289</v>
      </c>
      <c r="AC26" s="136">
        <v>0</v>
      </c>
      <c r="AD26" s="136">
        <v>0</v>
      </c>
      <c r="AE26" s="136">
        <v>0</v>
      </c>
      <c r="AF26" s="136">
        <v>0</v>
      </c>
      <c r="AG26" s="136">
        <v>0</v>
      </c>
      <c r="AH26" s="136">
        <v>0</v>
      </c>
      <c r="AI26" s="136">
        <v>0</v>
      </c>
      <c r="AJ26" s="136">
        <v>0</v>
      </c>
      <c r="AK26" s="136">
        <v>0</v>
      </c>
      <c r="AL26" s="136">
        <v>1.7181634901718163E-2</v>
      </c>
      <c r="AM26" s="136">
        <v>0</v>
      </c>
      <c r="AN26" s="136">
        <v>0</v>
      </c>
      <c r="AO26" s="136">
        <v>4.7799139589982116E-2</v>
      </c>
      <c r="AP26" s="136">
        <v>0</v>
      </c>
      <c r="AQ26" s="136">
        <v>0</v>
      </c>
      <c r="AR26" s="136">
        <v>0</v>
      </c>
      <c r="AS26" s="136">
        <v>0</v>
      </c>
      <c r="AT26" s="136">
        <v>0</v>
      </c>
      <c r="AU26" s="136">
        <v>0</v>
      </c>
      <c r="AV26" s="136">
        <v>0</v>
      </c>
      <c r="AW26" s="136">
        <v>0</v>
      </c>
      <c r="AX26" s="136">
        <v>0</v>
      </c>
    </row>
    <row r="27" spans="1:50" customFormat="1" x14ac:dyDescent="0.15">
      <c r="A27" s="142" t="s">
        <v>217</v>
      </c>
      <c r="B27" s="136">
        <v>0</v>
      </c>
      <c r="C27" s="136">
        <v>0</v>
      </c>
      <c r="D27" s="136">
        <v>6.4393563116678237E-2</v>
      </c>
      <c r="E27" s="136">
        <v>0.23572356883316833</v>
      </c>
      <c r="F27" s="136">
        <v>0.23422342718296232</v>
      </c>
      <c r="G27" s="136">
        <v>0</v>
      </c>
      <c r="H27" s="136">
        <v>0</v>
      </c>
      <c r="I27" s="136">
        <v>1.000100085663561E-3</v>
      </c>
      <c r="J27" s="136">
        <v>0</v>
      </c>
      <c r="K27" s="136">
        <v>0</v>
      </c>
      <c r="L27" s="136">
        <v>0</v>
      </c>
      <c r="M27" s="136">
        <v>0</v>
      </c>
      <c r="N27" s="136">
        <v>5.5500731579663849E-2</v>
      </c>
      <c r="O27" s="136">
        <v>0</v>
      </c>
      <c r="P27" s="136">
        <v>0</v>
      </c>
      <c r="Q27" s="136">
        <v>0</v>
      </c>
      <c r="R27" s="136">
        <v>0.44746233073909591</v>
      </c>
      <c r="S27" s="136">
        <v>0.28988694454421782</v>
      </c>
      <c r="T27" s="136">
        <v>0</v>
      </c>
      <c r="U27" s="136">
        <v>0</v>
      </c>
      <c r="V27" s="136">
        <v>0</v>
      </c>
      <c r="W27" s="136">
        <v>0</v>
      </c>
      <c r="X27" s="136">
        <v>0</v>
      </c>
      <c r="Y27" s="136">
        <v>0</v>
      </c>
      <c r="Z27" s="136">
        <v>0</v>
      </c>
      <c r="AA27" s="136">
        <v>0</v>
      </c>
      <c r="AB27" s="136">
        <v>0.30226992817853288</v>
      </c>
      <c r="AC27" s="136">
        <v>0</v>
      </c>
      <c r="AD27" s="136">
        <v>0</v>
      </c>
      <c r="AE27" s="136">
        <v>0</v>
      </c>
      <c r="AF27" s="136">
        <v>0</v>
      </c>
      <c r="AG27" s="136">
        <v>0</v>
      </c>
      <c r="AH27" s="136">
        <v>0</v>
      </c>
      <c r="AI27" s="136">
        <v>0</v>
      </c>
      <c r="AJ27" s="136">
        <v>0</v>
      </c>
      <c r="AK27" s="136">
        <v>0</v>
      </c>
      <c r="AL27" s="136">
        <v>0.14438347501443835</v>
      </c>
      <c r="AM27" s="136">
        <v>5.7099154689778608E-2</v>
      </c>
      <c r="AN27" s="136">
        <v>0</v>
      </c>
      <c r="AO27" s="136">
        <v>0.35729357537846351</v>
      </c>
      <c r="AP27" s="136">
        <v>0</v>
      </c>
      <c r="AQ27" s="136">
        <v>0</v>
      </c>
      <c r="AR27" s="136">
        <v>0</v>
      </c>
      <c r="AS27" s="136">
        <v>0</v>
      </c>
      <c r="AT27" s="136">
        <v>0</v>
      </c>
      <c r="AU27" s="136">
        <v>0</v>
      </c>
      <c r="AV27" s="136">
        <v>0</v>
      </c>
      <c r="AW27" s="136">
        <v>0</v>
      </c>
      <c r="AX27" s="136">
        <v>0</v>
      </c>
    </row>
    <row r="28" spans="1:50" customFormat="1" x14ac:dyDescent="0.15">
      <c r="A28" s="142" t="s">
        <v>218</v>
      </c>
      <c r="B28" s="136">
        <v>0</v>
      </c>
      <c r="C28" s="136">
        <v>0</v>
      </c>
      <c r="D28" s="136">
        <v>0</v>
      </c>
      <c r="E28" s="136">
        <v>0</v>
      </c>
      <c r="F28" s="136">
        <v>5.0005000466046606E-4</v>
      </c>
      <c r="G28" s="136">
        <v>9.99000999000999E-4</v>
      </c>
      <c r="H28" s="136">
        <v>0</v>
      </c>
      <c r="I28" s="136">
        <v>0</v>
      </c>
      <c r="J28" s="136">
        <v>0</v>
      </c>
      <c r="K28" s="136">
        <v>0</v>
      </c>
      <c r="L28" s="136">
        <v>0</v>
      </c>
      <c r="M28" s="136">
        <v>0</v>
      </c>
      <c r="N28" s="136">
        <v>0</v>
      </c>
      <c r="O28" s="136">
        <v>0</v>
      </c>
      <c r="P28" s="136">
        <v>0</v>
      </c>
      <c r="Q28" s="136">
        <v>0</v>
      </c>
      <c r="R28" s="136">
        <v>0</v>
      </c>
      <c r="S28" s="136">
        <v>0</v>
      </c>
      <c r="T28" s="136">
        <v>0</v>
      </c>
      <c r="U28" s="136">
        <v>0</v>
      </c>
      <c r="V28" s="136">
        <v>0</v>
      </c>
      <c r="W28" s="136">
        <v>0</v>
      </c>
      <c r="X28" s="136">
        <v>0</v>
      </c>
      <c r="Y28" s="136">
        <v>0</v>
      </c>
      <c r="Z28" s="136">
        <v>0</v>
      </c>
      <c r="AA28" s="136">
        <v>0</v>
      </c>
      <c r="AB28" s="136">
        <v>5.8810463778233963E-4</v>
      </c>
      <c r="AC28" s="136">
        <v>0</v>
      </c>
      <c r="AD28" s="136">
        <v>0</v>
      </c>
      <c r="AE28" s="136">
        <v>0</v>
      </c>
      <c r="AF28" s="136">
        <v>0</v>
      </c>
      <c r="AG28" s="136">
        <v>0</v>
      </c>
      <c r="AH28" s="136">
        <v>0</v>
      </c>
      <c r="AI28" s="136">
        <v>0</v>
      </c>
      <c r="AJ28" s="136">
        <v>0</v>
      </c>
      <c r="AK28" s="136">
        <v>0</v>
      </c>
      <c r="AL28" s="136">
        <v>0</v>
      </c>
      <c r="AM28" s="136">
        <v>0</v>
      </c>
      <c r="AN28" s="136">
        <v>0</v>
      </c>
      <c r="AO28" s="136">
        <v>0</v>
      </c>
      <c r="AP28" s="136">
        <v>0</v>
      </c>
      <c r="AQ28" s="136">
        <v>0</v>
      </c>
      <c r="AR28" s="136">
        <v>0</v>
      </c>
      <c r="AS28" s="136">
        <v>0</v>
      </c>
      <c r="AT28" s="136">
        <v>0</v>
      </c>
      <c r="AU28" s="136">
        <v>0</v>
      </c>
      <c r="AV28" s="136">
        <v>0</v>
      </c>
      <c r="AW28" s="136">
        <v>0</v>
      </c>
      <c r="AX28" s="136">
        <v>0</v>
      </c>
    </row>
    <row r="29" spans="1:50" customFormat="1" x14ac:dyDescent="0.15">
      <c r="A29" s="142" t="s">
        <v>219</v>
      </c>
      <c r="B29" s="136">
        <v>0</v>
      </c>
      <c r="C29" s="136">
        <v>0.08</v>
      </c>
      <c r="D29" s="136">
        <v>0.19218077708083203</v>
      </c>
      <c r="E29" s="136">
        <v>0.13361336233861387</v>
      </c>
      <c r="F29" s="136">
        <v>8.9208920831427133E-2</v>
      </c>
      <c r="G29" s="136">
        <v>0.19980019980019981</v>
      </c>
      <c r="H29" s="136">
        <v>0.40815917671418839</v>
      </c>
      <c r="I29" s="136">
        <v>9.9609962596091117E-2</v>
      </c>
      <c r="J29" s="136">
        <v>0</v>
      </c>
      <c r="K29" s="136">
        <v>0</v>
      </c>
      <c r="L29" s="136">
        <v>0</v>
      </c>
      <c r="M29" s="136">
        <v>0.16281628011771168</v>
      </c>
      <c r="N29" s="136">
        <v>0</v>
      </c>
      <c r="O29" s="136">
        <v>4.0000678703646566E-3</v>
      </c>
      <c r="P29" s="136">
        <v>2.7027357047017694E-2</v>
      </c>
      <c r="Q29" s="136">
        <v>0</v>
      </c>
      <c r="R29" s="136">
        <v>0</v>
      </c>
      <c r="S29" s="136">
        <v>0</v>
      </c>
      <c r="T29" s="136">
        <v>4.0995489448585496E-3</v>
      </c>
      <c r="U29" s="136">
        <v>5.0000000000000001E-3</v>
      </c>
      <c r="V29" s="136">
        <v>0.29532952835458798</v>
      </c>
      <c r="W29" s="136">
        <v>4.0000000000000008E-2</v>
      </c>
      <c r="X29" s="136">
        <v>0.17718228708859116</v>
      </c>
      <c r="Y29" s="136">
        <v>0</v>
      </c>
      <c r="Z29" s="136">
        <v>0</v>
      </c>
      <c r="AA29" s="136">
        <v>0</v>
      </c>
      <c r="AB29" s="136">
        <v>7.5047698058083021E-2</v>
      </c>
      <c r="AC29" s="136">
        <v>0</v>
      </c>
      <c r="AD29" s="136">
        <v>0</v>
      </c>
      <c r="AE29" s="136">
        <v>0</v>
      </c>
      <c r="AF29" s="136">
        <v>0</v>
      </c>
      <c r="AG29" s="136">
        <v>0.35409999814351012</v>
      </c>
      <c r="AH29" s="136">
        <v>0</v>
      </c>
      <c r="AI29" s="136">
        <v>0.05</v>
      </c>
      <c r="AJ29" s="136">
        <v>0</v>
      </c>
      <c r="AK29" s="136">
        <v>0</v>
      </c>
      <c r="AL29" s="136">
        <v>0</v>
      </c>
      <c r="AM29" s="136">
        <v>0</v>
      </c>
      <c r="AN29" s="136">
        <v>0</v>
      </c>
      <c r="AO29" s="136">
        <v>0</v>
      </c>
      <c r="AP29" s="136">
        <v>0</v>
      </c>
      <c r="AQ29" s="136">
        <v>0</v>
      </c>
      <c r="AR29" s="136">
        <v>0</v>
      </c>
      <c r="AS29" s="136">
        <v>0</v>
      </c>
      <c r="AT29" s="136">
        <v>0</v>
      </c>
      <c r="AU29" s="136">
        <v>0</v>
      </c>
      <c r="AV29" s="136">
        <v>0</v>
      </c>
      <c r="AW29" s="136">
        <v>0</v>
      </c>
      <c r="AX29" s="136">
        <v>0</v>
      </c>
    </row>
    <row r="30" spans="1:50" customFormat="1" x14ac:dyDescent="0.15">
      <c r="A30" s="142" t="s">
        <v>220</v>
      </c>
      <c r="B30" s="136">
        <v>0</v>
      </c>
      <c r="C30" s="136">
        <v>5.3999999999999999E-2</v>
      </c>
      <c r="D30" s="136">
        <v>0.27337267158012168</v>
      </c>
      <c r="E30" s="136">
        <v>0.19421942403861386</v>
      </c>
      <c r="F30" s="136">
        <v>1.6201620150999099E-2</v>
      </c>
      <c r="G30" s="136">
        <v>0</v>
      </c>
      <c r="H30" s="136">
        <v>0.31856814758192192</v>
      </c>
      <c r="I30" s="136">
        <v>0.19851985624421761</v>
      </c>
      <c r="J30" s="136">
        <v>0</v>
      </c>
      <c r="K30" s="136">
        <v>0</v>
      </c>
      <c r="L30" s="136">
        <v>0</v>
      </c>
      <c r="M30" s="136">
        <v>2.000200112011206E-3</v>
      </c>
      <c r="N30" s="136">
        <v>1.100014518786132E-3</v>
      </c>
      <c r="O30" s="136">
        <v>0</v>
      </c>
      <c r="P30" s="136">
        <v>7.0373118992242637E-3</v>
      </c>
      <c r="Q30" s="136">
        <v>5.263157946315794E-2</v>
      </c>
      <c r="R30" s="136">
        <v>0</v>
      </c>
      <c r="S30" s="136">
        <v>0</v>
      </c>
      <c r="T30" s="136">
        <v>4.0995489448585496E-3</v>
      </c>
      <c r="U30" s="136">
        <v>0</v>
      </c>
      <c r="V30" s="136">
        <v>1.0001000260196032E-3</v>
      </c>
      <c r="W30" s="136">
        <v>0</v>
      </c>
      <c r="X30" s="136">
        <v>1.9998000009999002E-3</v>
      </c>
      <c r="Y30" s="136">
        <v>0</v>
      </c>
      <c r="Z30" s="136">
        <v>0</v>
      </c>
      <c r="AA30" s="136">
        <v>0</v>
      </c>
      <c r="AB30" s="136">
        <v>3.3365531936641171E-2</v>
      </c>
      <c r="AC30" s="136">
        <v>0</v>
      </c>
      <c r="AD30" s="136">
        <v>0</v>
      </c>
      <c r="AE30" s="136">
        <v>0</v>
      </c>
      <c r="AF30" s="136">
        <v>1E-3</v>
      </c>
      <c r="AG30" s="136">
        <v>0</v>
      </c>
      <c r="AH30" s="136">
        <v>0</v>
      </c>
      <c r="AI30" s="136">
        <v>0.05</v>
      </c>
      <c r="AJ30" s="136">
        <v>0</v>
      </c>
      <c r="AK30" s="136">
        <v>0</v>
      </c>
      <c r="AL30" s="136">
        <v>0.11059774501105978</v>
      </c>
      <c r="AM30" s="136">
        <v>2.1921997961254186E-2</v>
      </c>
      <c r="AN30" s="136">
        <v>0.05</v>
      </c>
      <c r="AO30" s="136">
        <v>3.599935069203696E-3</v>
      </c>
      <c r="AP30" s="136">
        <v>0</v>
      </c>
      <c r="AQ30" s="136">
        <v>0</v>
      </c>
      <c r="AR30" s="136">
        <v>0</v>
      </c>
      <c r="AS30" s="136">
        <v>0</v>
      </c>
      <c r="AT30" s="136">
        <v>0</v>
      </c>
      <c r="AU30" s="136">
        <v>0</v>
      </c>
      <c r="AV30" s="136">
        <v>0</v>
      </c>
      <c r="AW30" s="136">
        <v>0</v>
      </c>
      <c r="AX30" s="136">
        <v>0</v>
      </c>
    </row>
    <row r="31" spans="1:50" customFormat="1" x14ac:dyDescent="0.15">
      <c r="A31" s="142" t="s">
        <v>221</v>
      </c>
      <c r="B31" s="136">
        <v>0</v>
      </c>
      <c r="C31" s="136">
        <v>0</v>
      </c>
      <c r="D31" s="136">
        <v>0</v>
      </c>
      <c r="E31" s="136">
        <v>0</v>
      </c>
      <c r="F31" s="136">
        <v>0</v>
      </c>
      <c r="G31" s="136">
        <v>0</v>
      </c>
      <c r="H31" s="136">
        <v>0</v>
      </c>
      <c r="I31" s="136">
        <v>1.000100085663561E-3</v>
      </c>
      <c r="J31" s="136">
        <v>0</v>
      </c>
      <c r="K31" s="136">
        <v>0</v>
      </c>
      <c r="L31" s="136">
        <v>0</v>
      </c>
      <c r="M31" s="136">
        <v>0</v>
      </c>
      <c r="N31" s="136">
        <v>0</v>
      </c>
      <c r="O31" s="136">
        <v>0</v>
      </c>
      <c r="P31" s="136">
        <v>0</v>
      </c>
      <c r="Q31" s="136">
        <v>0</v>
      </c>
      <c r="R31" s="136">
        <v>0</v>
      </c>
      <c r="S31" s="136">
        <v>0</v>
      </c>
      <c r="T31" s="136">
        <v>0</v>
      </c>
      <c r="U31" s="136">
        <v>0</v>
      </c>
      <c r="V31" s="136">
        <v>0</v>
      </c>
      <c r="W31" s="136">
        <v>0</v>
      </c>
      <c r="X31" s="136">
        <v>0</v>
      </c>
      <c r="Y31" s="136">
        <v>0</v>
      </c>
      <c r="Z31" s="136">
        <v>0</v>
      </c>
      <c r="AA31" s="136">
        <v>0</v>
      </c>
      <c r="AB31" s="136">
        <v>7.5047698058083021E-2</v>
      </c>
      <c r="AC31" s="136">
        <v>0</v>
      </c>
      <c r="AD31" s="136">
        <v>0</v>
      </c>
      <c r="AE31" s="136">
        <v>2E-3</v>
      </c>
      <c r="AF31" s="136">
        <v>5.0000000000000001E-3</v>
      </c>
      <c r="AG31" s="136">
        <v>0</v>
      </c>
      <c r="AH31" s="136">
        <v>0</v>
      </c>
      <c r="AI31" s="136">
        <v>0</v>
      </c>
      <c r="AJ31" s="136">
        <v>0</v>
      </c>
      <c r="AK31" s="136">
        <v>0</v>
      </c>
      <c r="AL31" s="136">
        <v>0</v>
      </c>
      <c r="AM31" s="136">
        <v>0</v>
      </c>
      <c r="AN31" s="136">
        <v>0</v>
      </c>
      <c r="AO31" s="136">
        <v>1.299976499434677E-3</v>
      </c>
      <c r="AP31" s="136">
        <v>0</v>
      </c>
      <c r="AQ31" s="136">
        <v>0</v>
      </c>
      <c r="AR31" s="136">
        <v>0</v>
      </c>
      <c r="AS31" s="136">
        <v>0</v>
      </c>
      <c r="AT31" s="136">
        <v>0</v>
      </c>
      <c r="AU31" s="136">
        <v>0</v>
      </c>
      <c r="AV31" s="136">
        <v>0</v>
      </c>
      <c r="AW31" s="136">
        <v>0</v>
      </c>
      <c r="AX31" s="136">
        <v>0</v>
      </c>
    </row>
    <row r="32" spans="1:50" customFormat="1" x14ac:dyDescent="0.15">
      <c r="A32" s="142" t="s">
        <v>222</v>
      </c>
      <c r="B32" s="136">
        <v>0</v>
      </c>
      <c r="C32" s="136">
        <v>0</v>
      </c>
      <c r="D32" s="136">
        <v>6.4393563116678237E-2</v>
      </c>
      <c r="E32" s="136">
        <v>8.6008609574257378E-3</v>
      </c>
      <c r="F32" s="136">
        <v>5.5005500512651257E-3</v>
      </c>
      <c r="G32" s="136">
        <v>0</v>
      </c>
      <c r="H32" s="136">
        <v>0</v>
      </c>
      <c r="I32" s="136">
        <v>1.000100085663561E-3</v>
      </c>
      <c r="J32" s="136">
        <v>0</v>
      </c>
      <c r="K32" s="136">
        <v>0</v>
      </c>
      <c r="L32" s="136">
        <v>0</v>
      </c>
      <c r="M32" s="136">
        <v>0</v>
      </c>
      <c r="N32" s="136">
        <v>9.8001292510037133E-5</v>
      </c>
      <c r="O32" s="136">
        <v>0</v>
      </c>
      <c r="P32" s="136">
        <v>0</v>
      </c>
      <c r="Q32" s="136">
        <v>0</v>
      </c>
      <c r="R32" s="136">
        <v>0</v>
      </c>
      <c r="S32" s="136">
        <v>0</v>
      </c>
      <c r="T32" s="136">
        <v>0</v>
      </c>
      <c r="U32" s="136">
        <v>0</v>
      </c>
      <c r="V32" s="136">
        <v>0</v>
      </c>
      <c r="W32" s="136">
        <v>0</v>
      </c>
      <c r="X32" s="136">
        <v>0</v>
      </c>
      <c r="Y32" s="136">
        <v>0</v>
      </c>
      <c r="Z32" s="136">
        <v>0</v>
      </c>
      <c r="AA32" s="136">
        <v>0</v>
      </c>
      <c r="AB32" s="136">
        <v>2.2276691523573453E-2</v>
      </c>
      <c r="AC32" s="136">
        <v>0</v>
      </c>
      <c r="AD32" s="136">
        <v>0</v>
      </c>
      <c r="AE32" s="136">
        <v>3.0000000000000001E-3</v>
      </c>
      <c r="AF32" s="136">
        <v>1E-3</v>
      </c>
      <c r="AG32" s="136">
        <v>0</v>
      </c>
      <c r="AH32" s="136">
        <v>0</v>
      </c>
      <c r="AI32" s="136">
        <v>0</v>
      </c>
      <c r="AJ32" s="136">
        <v>0</v>
      </c>
      <c r="AK32" s="136">
        <v>0</v>
      </c>
      <c r="AL32" s="136">
        <v>0</v>
      </c>
      <c r="AM32" s="136">
        <v>0</v>
      </c>
      <c r="AN32" s="136">
        <v>0</v>
      </c>
      <c r="AO32" s="136">
        <v>0</v>
      </c>
      <c r="AP32" s="136">
        <v>0</v>
      </c>
      <c r="AQ32" s="136">
        <v>0</v>
      </c>
      <c r="AR32" s="136">
        <v>0</v>
      </c>
      <c r="AS32" s="136">
        <v>0</v>
      </c>
      <c r="AT32" s="136">
        <v>0</v>
      </c>
      <c r="AU32" s="136">
        <v>0</v>
      </c>
      <c r="AV32" s="136">
        <v>0</v>
      </c>
      <c r="AW32" s="136">
        <v>0</v>
      </c>
      <c r="AX32" s="136">
        <v>0</v>
      </c>
    </row>
    <row r="33" spans="1:50" customFormat="1" x14ac:dyDescent="0.15">
      <c r="A33" s="142" t="s">
        <v>223</v>
      </c>
      <c r="B33" s="136">
        <v>0</v>
      </c>
      <c r="C33" s="136">
        <v>0</v>
      </c>
      <c r="D33" s="136">
        <v>0</v>
      </c>
      <c r="E33" s="136">
        <v>3.9203923005940583E-2</v>
      </c>
      <c r="F33" s="136">
        <v>0</v>
      </c>
      <c r="G33" s="136">
        <v>0</v>
      </c>
      <c r="H33" s="136">
        <v>0</v>
      </c>
      <c r="I33" s="136">
        <v>4.9804981798045517E-2</v>
      </c>
      <c r="J33" s="136">
        <v>0</v>
      </c>
      <c r="K33" s="136">
        <v>0</v>
      </c>
      <c r="L33" s="136">
        <v>0</v>
      </c>
      <c r="M33" s="136">
        <v>0</v>
      </c>
      <c r="N33" s="136">
        <v>0</v>
      </c>
      <c r="O33" s="136">
        <v>0</v>
      </c>
      <c r="P33" s="136">
        <v>2.9985068896704548E-2</v>
      </c>
      <c r="Q33" s="136">
        <v>0</v>
      </c>
      <c r="R33" s="136">
        <v>0</v>
      </c>
      <c r="S33" s="136">
        <v>0</v>
      </c>
      <c r="T33" s="136">
        <v>3.0696624603941149E-2</v>
      </c>
      <c r="U33" s="136">
        <v>0</v>
      </c>
      <c r="V33" s="136">
        <v>0</v>
      </c>
      <c r="W33" s="136">
        <v>0</v>
      </c>
      <c r="X33" s="136">
        <v>0</v>
      </c>
      <c r="Y33" s="136">
        <v>0</v>
      </c>
      <c r="Z33" s="136">
        <v>0</v>
      </c>
      <c r="AA33" s="136">
        <v>0</v>
      </c>
      <c r="AB33" s="136">
        <v>0</v>
      </c>
      <c r="AC33" s="136">
        <v>0</v>
      </c>
      <c r="AD33" s="136">
        <v>0</v>
      </c>
      <c r="AE33" s="136">
        <v>0</v>
      </c>
      <c r="AF33" s="136">
        <v>0</v>
      </c>
      <c r="AG33" s="136">
        <v>0</v>
      </c>
      <c r="AH33" s="136">
        <v>0</v>
      </c>
      <c r="AI33" s="136">
        <v>0</v>
      </c>
      <c r="AJ33" s="136">
        <v>0</v>
      </c>
      <c r="AK33" s="136">
        <v>0</v>
      </c>
      <c r="AL33" s="136">
        <v>0</v>
      </c>
      <c r="AM33" s="136">
        <v>0</v>
      </c>
      <c r="AN33" s="136">
        <v>0</v>
      </c>
      <c r="AO33" s="136">
        <v>0</v>
      </c>
      <c r="AP33" s="136">
        <v>0</v>
      </c>
      <c r="AQ33" s="136">
        <v>0</v>
      </c>
      <c r="AR33" s="136">
        <v>0</v>
      </c>
      <c r="AS33" s="136">
        <v>0</v>
      </c>
      <c r="AT33" s="136">
        <v>0</v>
      </c>
      <c r="AU33" s="136">
        <v>0</v>
      </c>
      <c r="AV33" s="136">
        <v>0</v>
      </c>
      <c r="AW33" s="136">
        <v>0</v>
      </c>
      <c r="AX33" s="136">
        <v>0</v>
      </c>
    </row>
    <row r="34" spans="1:50" customFormat="1" x14ac:dyDescent="0.15">
      <c r="A34" s="142" t="s">
        <v>224</v>
      </c>
      <c r="B34" s="136">
        <v>0</v>
      </c>
      <c r="C34" s="136">
        <v>0</v>
      </c>
      <c r="D34" s="136">
        <v>0</v>
      </c>
      <c r="E34" s="136">
        <v>0</v>
      </c>
      <c r="F34" s="136">
        <v>0</v>
      </c>
      <c r="G34" s="136">
        <v>0</v>
      </c>
      <c r="H34" s="136">
        <v>0</v>
      </c>
      <c r="I34" s="136">
        <v>0</v>
      </c>
      <c r="J34" s="136">
        <v>0</v>
      </c>
      <c r="K34" s="136">
        <v>0</v>
      </c>
      <c r="L34" s="136">
        <v>0</v>
      </c>
      <c r="M34" s="136">
        <v>0</v>
      </c>
      <c r="N34" s="136">
        <v>0</v>
      </c>
      <c r="O34" s="136">
        <v>0</v>
      </c>
      <c r="P34" s="136">
        <v>0</v>
      </c>
      <c r="Q34" s="136">
        <v>0</v>
      </c>
      <c r="R34" s="136">
        <v>0</v>
      </c>
      <c r="S34" s="136">
        <v>0</v>
      </c>
      <c r="T34" s="136">
        <v>0</v>
      </c>
      <c r="U34" s="136">
        <v>0</v>
      </c>
      <c r="V34" s="136">
        <v>0</v>
      </c>
      <c r="W34" s="136">
        <v>0</v>
      </c>
      <c r="X34" s="136">
        <v>0</v>
      </c>
      <c r="Y34" s="136">
        <v>0</v>
      </c>
      <c r="Z34" s="136">
        <v>0</v>
      </c>
      <c r="AA34" s="136">
        <v>0</v>
      </c>
      <c r="AB34" s="136">
        <v>0</v>
      </c>
      <c r="AC34" s="136">
        <v>0</v>
      </c>
      <c r="AD34" s="136">
        <v>0</v>
      </c>
      <c r="AE34" s="136">
        <v>0</v>
      </c>
      <c r="AF34" s="136">
        <v>0</v>
      </c>
      <c r="AG34" s="136">
        <v>0</v>
      </c>
      <c r="AH34" s="136">
        <v>0</v>
      </c>
      <c r="AI34" s="136">
        <v>0</v>
      </c>
      <c r="AJ34" s="136">
        <v>0</v>
      </c>
      <c r="AK34" s="136">
        <v>0</v>
      </c>
      <c r="AL34" s="136">
        <v>0</v>
      </c>
      <c r="AM34" s="136">
        <v>0</v>
      </c>
      <c r="AN34" s="136">
        <v>0</v>
      </c>
      <c r="AO34" s="136">
        <v>1.799967564601843E-5</v>
      </c>
      <c r="AP34" s="136">
        <v>0</v>
      </c>
      <c r="AQ34" s="136">
        <v>0</v>
      </c>
      <c r="AR34" s="136">
        <v>0</v>
      </c>
      <c r="AS34" s="136">
        <v>0</v>
      </c>
      <c r="AT34" s="136">
        <v>0</v>
      </c>
      <c r="AU34" s="136">
        <v>0</v>
      </c>
      <c r="AV34" s="136">
        <v>0</v>
      </c>
      <c r="AW34" s="136">
        <v>0</v>
      </c>
      <c r="AX34" s="136">
        <v>0</v>
      </c>
    </row>
    <row r="35" spans="1:50" customFormat="1" x14ac:dyDescent="0.15">
      <c r="A35" s="142" t="s">
        <v>225</v>
      </c>
      <c r="B35" s="136">
        <v>0</v>
      </c>
      <c r="C35" s="136">
        <v>0</v>
      </c>
      <c r="D35" s="136">
        <v>0</v>
      </c>
      <c r="E35" s="136">
        <v>0</v>
      </c>
      <c r="F35" s="136">
        <v>0</v>
      </c>
      <c r="G35" s="136">
        <v>0</v>
      </c>
      <c r="H35" s="136">
        <v>0</v>
      </c>
      <c r="I35" s="136">
        <v>0</v>
      </c>
      <c r="J35" s="136">
        <v>0</v>
      </c>
      <c r="K35" s="136">
        <v>0</v>
      </c>
      <c r="L35" s="136">
        <v>0</v>
      </c>
      <c r="M35" s="136">
        <v>0</v>
      </c>
      <c r="N35" s="136">
        <v>0</v>
      </c>
      <c r="O35" s="136">
        <v>0</v>
      </c>
      <c r="P35" s="136">
        <v>0</v>
      </c>
      <c r="Q35" s="136">
        <v>0</v>
      </c>
      <c r="R35" s="136">
        <v>0</v>
      </c>
      <c r="S35" s="136">
        <v>0</v>
      </c>
      <c r="T35" s="136">
        <v>0</v>
      </c>
      <c r="U35" s="136">
        <v>0</v>
      </c>
      <c r="V35" s="136">
        <v>0</v>
      </c>
      <c r="W35" s="136">
        <v>0</v>
      </c>
      <c r="X35" s="136">
        <v>0</v>
      </c>
      <c r="Y35" s="136">
        <v>0</v>
      </c>
      <c r="Z35" s="136">
        <v>0</v>
      </c>
      <c r="AA35" s="136">
        <v>0</v>
      </c>
      <c r="AB35" s="136">
        <v>0</v>
      </c>
      <c r="AC35" s="136">
        <v>0</v>
      </c>
      <c r="AD35" s="136">
        <v>0</v>
      </c>
      <c r="AE35" s="136">
        <v>0</v>
      </c>
      <c r="AF35" s="136">
        <v>0</v>
      </c>
      <c r="AG35" s="136">
        <v>0</v>
      </c>
      <c r="AH35" s="136">
        <v>0</v>
      </c>
      <c r="AI35" s="136">
        <v>0</v>
      </c>
      <c r="AJ35" s="136">
        <v>0</v>
      </c>
      <c r="AK35" s="136">
        <v>0</v>
      </c>
      <c r="AL35" s="136">
        <v>0</v>
      </c>
      <c r="AM35" s="136">
        <v>0</v>
      </c>
      <c r="AN35" s="136">
        <v>0</v>
      </c>
      <c r="AO35" s="136">
        <v>0</v>
      </c>
      <c r="AP35" s="136">
        <v>0</v>
      </c>
      <c r="AQ35" s="136">
        <v>0</v>
      </c>
      <c r="AR35" s="136">
        <v>0</v>
      </c>
      <c r="AS35" s="136">
        <v>0</v>
      </c>
      <c r="AT35" s="136">
        <v>0</v>
      </c>
      <c r="AU35" s="136">
        <v>0</v>
      </c>
      <c r="AV35" s="136">
        <v>0</v>
      </c>
      <c r="AW35" s="136">
        <v>0</v>
      </c>
      <c r="AX35" s="136">
        <v>0</v>
      </c>
    </row>
    <row r="36" spans="1:50" customFormat="1" x14ac:dyDescent="0.15">
      <c r="A36" s="142" t="s">
        <v>226</v>
      </c>
      <c r="B36" s="136">
        <v>0</v>
      </c>
      <c r="C36" s="136">
        <v>0</v>
      </c>
      <c r="D36" s="136">
        <v>0</v>
      </c>
      <c r="E36" s="136">
        <v>0</v>
      </c>
      <c r="F36" s="136">
        <v>0</v>
      </c>
      <c r="G36" s="136">
        <v>0</v>
      </c>
      <c r="H36" s="136">
        <v>0</v>
      </c>
      <c r="I36" s="136">
        <v>0</v>
      </c>
      <c r="J36" s="136">
        <v>0</v>
      </c>
      <c r="K36" s="136">
        <v>0</v>
      </c>
      <c r="L36" s="136">
        <v>0</v>
      </c>
      <c r="M36" s="136">
        <v>0</v>
      </c>
      <c r="N36" s="136">
        <v>0</v>
      </c>
      <c r="O36" s="136">
        <v>0</v>
      </c>
      <c r="P36" s="136">
        <v>0</v>
      </c>
      <c r="Q36" s="136">
        <v>0</v>
      </c>
      <c r="R36" s="136">
        <v>0</v>
      </c>
      <c r="S36" s="136">
        <v>0</v>
      </c>
      <c r="T36" s="136">
        <v>0</v>
      </c>
      <c r="U36" s="136">
        <v>0</v>
      </c>
      <c r="V36" s="136">
        <v>0</v>
      </c>
      <c r="W36" s="136">
        <v>0</v>
      </c>
      <c r="X36" s="136">
        <v>0</v>
      </c>
      <c r="Y36" s="136">
        <v>0</v>
      </c>
      <c r="Z36" s="136">
        <v>0</v>
      </c>
      <c r="AA36" s="136">
        <v>0</v>
      </c>
      <c r="AB36" s="136">
        <v>0</v>
      </c>
      <c r="AC36" s="136">
        <v>0</v>
      </c>
      <c r="AD36" s="136">
        <v>0</v>
      </c>
      <c r="AE36" s="136">
        <v>0</v>
      </c>
      <c r="AF36" s="136">
        <v>0</v>
      </c>
      <c r="AG36" s="136">
        <v>0</v>
      </c>
      <c r="AH36" s="136">
        <v>0</v>
      </c>
      <c r="AI36" s="136">
        <v>0</v>
      </c>
      <c r="AJ36" s="136">
        <v>0</v>
      </c>
      <c r="AK36" s="136">
        <v>0</v>
      </c>
      <c r="AL36" s="136">
        <v>0</v>
      </c>
      <c r="AM36" s="136">
        <v>0</v>
      </c>
      <c r="AN36" s="136">
        <v>0</v>
      </c>
      <c r="AO36" s="136">
        <v>0</v>
      </c>
      <c r="AP36" s="136">
        <v>0</v>
      </c>
      <c r="AQ36" s="136">
        <v>0</v>
      </c>
      <c r="AR36" s="136">
        <v>0</v>
      </c>
      <c r="AS36" s="136">
        <v>0</v>
      </c>
      <c r="AT36" s="136">
        <v>0</v>
      </c>
      <c r="AU36" s="136">
        <v>0</v>
      </c>
      <c r="AV36" s="136">
        <v>0</v>
      </c>
      <c r="AW36" s="136">
        <v>0</v>
      </c>
      <c r="AX36" s="136">
        <v>0</v>
      </c>
    </row>
    <row r="37" spans="1:50" customFormat="1" x14ac:dyDescent="0.15">
      <c r="A37" s="142" t="s">
        <v>227</v>
      </c>
      <c r="B37" s="136">
        <v>0</v>
      </c>
      <c r="C37" s="136">
        <v>0</v>
      </c>
      <c r="D37" s="136">
        <v>0</v>
      </c>
      <c r="E37" s="136">
        <v>0</v>
      </c>
      <c r="F37" s="136">
        <v>0</v>
      </c>
      <c r="G37" s="136">
        <v>0</v>
      </c>
      <c r="H37" s="136">
        <v>0</v>
      </c>
      <c r="I37" s="136">
        <v>0</v>
      </c>
      <c r="J37" s="136">
        <v>0</v>
      </c>
      <c r="K37" s="136">
        <v>0</v>
      </c>
      <c r="L37" s="136">
        <v>0</v>
      </c>
      <c r="M37" s="136">
        <v>0</v>
      </c>
      <c r="N37" s="136">
        <v>0</v>
      </c>
      <c r="O37" s="136">
        <v>0</v>
      </c>
      <c r="P37" s="136">
        <v>0</v>
      </c>
      <c r="Q37" s="136">
        <v>0</v>
      </c>
      <c r="R37" s="136">
        <v>0</v>
      </c>
      <c r="S37" s="136">
        <v>0</v>
      </c>
      <c r="T37" s="136">
        <v>0</v>
      </c>
      <c r="U37" s="136">
        <v>0</v>
      </c>
      <c r="V37" s="136">
        <v>0</v>
      </c>
      <c r="W37" s="136">
        <v>0</v>
      </c>
      <c r="X37" s="136">
        <v>0</v>
      </c>
      <c r="Y37" s="136">
        <v>0</v>
      </c>
      <c r="Z37" s="136">
        <v>0</v>
      </c>
      <c r="AA37" s="136">
        <v>0</v>
      </c>
      <c r="AB37" s="136">
        <v>9.8116437461161637E-3</v>
      </c>
      <c r="AC37" s="136">
        <v>0</v>
      </c>
      <c r="AD37" s="136">
        <v>0</v>
      </c>
      <c r="AE37" s="136">
        <v>0</v>
      </c>
      <c r="AF37" s="136">
        <v>0</v>
      </c>
      <c r="AG37" s="136">
        <v>0</v>
      </c>
      <c r="AH37" s="136">
        <v>0</v>
      </c>
      <c r="AI37" s="136">
        <v>0</v>
      </c>
      <c r="AJ37" s="136">
        <v>0</v>
      </c>
      <c r="AK37" s="136">
        <v>0</v>
      </c>
      <c r="AL37" s="136">
        <v>0</v>
      </c>
      <c r="AM37" s="136">
        <v>0</v>
      </c>
      <c r="AN37" s="136">
        <v>0</v>
      </c>
      <c r="AO37" s="136">
        <v>0</v>
      </c>
      <c r="AP37" s="136">
        <v>0</v>
      </c>
      <c r="AQ37" s="136">
        <v>0</v>
      </c>
      <c r="AR37" s="136">
        <v>0</v>
      </c>
      <c r="AS37" s="136">
        <v>0</v>
      </c>
      <c r="AT37" s="136">
        <v>0</v>
      </c>
      <c r="AU37" s="136">
        <v>0</v>
      </c>
      <c r="AV37" s="136">
        <v>0</v>
      </c>
      <c r="AW37" s="136">
        <v>0</v>
      </c>
      <c r="AX37" s="136">
        <v>0</v>
      </c>
    </row>
    <row r="38" spans="1:50" customFormat="1" x14ac:dyDescent="0.15">
      <c r="A38" s="142" t="s">
        <v>228</v>
      </c>
      <c r="B38" s="136">
        <v>0</v>
      </c>
      <c r="C38" s="136">
        <v>0</v>
      </c>
      <c r="D38" s="136">
        <v>0</v>
      </c>
      <c r="E38" s="136">
        <v>0</v>
      </c>
      <c r="F38" s="136">
        <v>0</v>
      </c>
      <c r="G38" s="136">
        <v>0</v>
      </c>
      <c r="H38" s="136">
        <v>0</v>
      </c>
      <c r="I38" s="136">
        <v>0</v>
      </c>
      <c r="J38" s="136">
        <v>0</v>
      </c>
      <c r="K38" s="136">
        <v>0</v>
      </c>
      <c r="L38" s="136">
        <v>0</v>
      </c>
      <c r="M38" s="136">
        <v>0</v>
      </c>
      <c r="N38" s="136">
        <v>0</v>
      </c>
      <c r="O38" s="136">
        <v>0</v>
      </c>
      <c r="P38" s="136">
        <v>0</v>
      </c>
      <c r="Q38" s="136">
        <v>0</v>
      </c>
      <c r="R38" s="136">
        <v>0</v>
      </c>
      <c r="S38" s="136">
        <v>0</v>
      </c>
      <c r="T38" s="136">
        <v>0</v>
      </c>
      <c r="U38" s="136">
        <v>0</v>
      </c>
      <c r="V38" s="136">
        <v>0</v>
      </c>
      <c r="W38" s="136">
        <v>0</v>
      </c>
      <c r="X38" s="136">
        <v>0</v>
      </c>
      <c r="Y38" s="136">
        <v>0</v>
      </c>
      <c r="Z38" s="136">
        <v>0</v>
      </c>
      <c r="AA38" s="136">
        <v>0</v>
      </c>
      <c r="AB38" s="136">
        <v>9.9007512638104381E-3</v>
      </c>
      <c r="AC38" s="136">
        <v>0</v>
      </c>
      <c r="AD38" s="136">
        <v>0</v>
      </c>
      <c r="AE38" s="136">
        <v>0</v>
      </c>
      <c r="AF38" s="136">
        <v>0</v>
      </c>
      <c r="AG38" s="136">
        <v>0</v>
      </c>
      <c r="AH38" s="136">
        <v>0</v>
      </c>
      <c r="AI38" s="136">
        <v>0</v>
      </c>
      <c r="AJ38" s="136">
        <v>0</v>
      </c>
      <c r="AK38" s="136">
        <v>0</v>
      </c>
      <c r="AL38" s="136">
        <v>0</v>
      </c>
      <c r="AM38" s="136">
        <v>0</v>
      </c>
      <c r="AN38" s="136">
        <v>0</v>
      </c>
      <c r="AO38" s="136">
        <v>0</v>
      </c>
      <c r="AP38" s="136">
        <v>0</v>
      </c>
      <c r="AQ38" s="136">
        <v>0</v>
      </c>
      <c r="AR38" s="136">
        <v>0</v>
      </c>
      <c r="AS38" s="136">
        <v>0</v>
      </c>
      <c r="AT38" s="136">
        <v>0</v>
      </c>
      <c r="AU38" s="136">
        <v>0</v>
      </c>
      <c r="AV38" s="136">
        <v>0</v>
      </c>
      <c r="AW38" s="136">
        <v>0</v>
      </c>
      <c r="AX38" s="136">
        <v>0</v>
      </c>
    </row>
    <row r="39" spans="1:50" x14ac:dyDescent="0.15">
      <c r="A39" s="142" t="s">
        <v>229</v>
      </c>
      <c r="B39" s="136">
        <v>0</v>
      </c>
      <c r="C39" s="136">
        <v>0</v>
      </c>
      <c r="D39" s="136">
        <v>0</v>
      </c>
      <c r="E39" s="136">
        <v>0</v>
      </c>
      <c r="F39" s="136">
        <v>0</v>
      </c>
      <c r="G39" s="136">
        <v>0</v>
      </c>
      <c r="H39" s="136">
        <v>0</v>
      </c>
      <c r="I39" s="136">
        <v>0</v>
      </c>
      <c r="J39" s="136">
        <v>0</v>
      </c>
      <c r="K39" s="136">
        <v>0</v>
      </c>
      <c r="L39" s="136">
        <v>0</v>
      </c>
      <c r="M39" s="136">
        <v>0</v>
      </c>
      <c r="N39" s="136">
        <v>0</v>
      </c>
      <c r="O39" s="136">
        <v>0</v>
      </c>
      <c r="P39" s="136">
        <v>0</v>
      </c>
      <c r="Q39" s="136">
        <v>0</v>
      </c>
      <c r="R39" s="136">
        <v>0</v>
      </c>
      <c r="S39" s="136">
        <v>0</v>
      </c>
      <c r="T39" s="136">
        <v>0</v>
      </c>
      <c r="U39" s="136">
        <v>0</v>
      </c>
      <c r="V39" s="136">
        <v>0</v>
      </c>
      <c r="W39" s="136">
        <v>0</v>
      </c>
      <c r="X39" s="136">
        <v>0</v>
      </c>
      <c r="Y39" s="136">
        <v>0</v>
      </c>
      <c r="Z39" s="136">
        <v>0</v>
      </c>
      <c r="AA39" s="136">
        <v>0</v>
      </c>
      <c r="AB39" s="136">
        <v>0</v>
      </c>
      <c r="AC39" s="136">
        <v>0</v>
      </c>
      <c r="AD39" s="136">
        <v>0</v>
      </c>
      <c r="AE39" s="136">
        <v>0</v>
      </c>
      <c r="AF39" s="136">
        <v>0</v>
      </c>
      <c r="AG39" s="136">
        <v>0</v>
      </c>
      <c r="AH39" s="136">
        <v>0</v>
      </c>
      <c r="AI39" s="136">
        <v>0</v>
      </c>
      <c r="AJ39" s="136">
        <v>0</v>
      </c>
      <c r="AK39" s="136">
        <v>0</v>
      </c>
      <c r="AL39" s="136">
        <v>0</v>
      </c>
      <c r="AM39" s="136">
        <v>0</v>
      </c>
      <c r="AN39" s="136">
        <v>0</v>
      </c>
      <c r="AO39" s="136">
        <v>0</v>
      </c>
      <c r="AP39" s="136">
        <v>0</v>
      </c>
      <c r="AQ39" s="136">
        <v>0</v>
      </c>
      <c r="AR39" s="136">
        <v>0</v>
      </c>
      <c r="AS39" s="136">
        <v>0</v>
      </c>
      <c r="AT39" s="136">
        <v>0</v>
      </c>
      <c r="AU39" s="136">
        <v>0</v>
      </c>
      <c r="AV39" s="136">
        <v>0</v>
      </c>
      <c r="AW39" s="136">
        <v>0</v>
      </c>
      <c r="AX39" s="136">
        <v>0</v>
      </c>
    </row>
    <row r="40" spans="1:50" x14ac:dyDescent="0.15">
      <c r="A40" s="142" t="s">
        <v>230</v>
      </c>
      <c r="B40" s="136">
        <v>0</v>
      </c>
      <c r="C40" s="136">
        <v>0</v>
      </c>
      <c r="D40" s="136">
        <v>0</v>
      </c>
      <c r="E40" s="136">
        <v>0</v>
      </c>
      <c r="F40" s="136">
        <v>0</v>
      </c>
      <c r="G40" s="136">
        <v>0</v>
      </c>
      <c r="H40" s="136">
        <v>0</v>
      </c>
      <c r="I40" s="136">
        <v>0</v>
      </c>
      <c r="J40" s="136">
        <v>0</v>
      </c>
      <c r="K40" s="136">
        <v>0</v>
      </c>
      <c r="L40" s="136">
        <v>0</v>
      </c>
      <c r="M40" s="136">
        <v>0</v>
      </c>
      <c r="N40" s="136">
        <v>1.7000225772149422E-2</v>
      </c>
      <c r="O40" s="136">
        <v>0</v>
      </c>
      <c r="P40" s="136">
        <v>0</v>
      </c>
      <c r="Q40" s="136">
        <v>0</v>
      </c>
      <c r="R40" s="136">
        <v>0</v>
      </c>
      <c r="S40" s="136">
        <v>0.10463138466985909</v>
      </c>
      <c r="T40" s="136">
        <v>0</v>
      </c>
      <c r="U40" s="136">
        <v>0</v>
      </c>
      <c r="V40" s="136">
        <v>0</v>
      </c>
      <c r="W40" s="136">
        <v>0</v>
      </c>
      <c r="X40" s="136">
        <v>0</v>
      </c>
      <c r="Y40" s="136">
        <v>0</v>
      </c>
      <c r="Z40" s="136">
        <v>0</v>
      </c>
      <c r="AA40" s="136">
        <v>0</v>
      </c>
      <c r="AB40" s="136">
        <v>0</v>
      </c>
      <c r="AC40" s="136">
        <v>0</v>
      </c>
      <c r="AD40" s="136">
        <v>0</v>
      </c>
      <c r="AE40" s="136">
        <v>0</v>
      </c>
      <c r="AF40" s="136">
        <v>0</v>
      </c>
      <c r="AG40" s="136">
        <v>0</v>
      </c>
      <c r="AH40" s="136">
        <v>0</v>
      </c>
      <c r="AI40" s="136">
        <v>0</v>
      </c>
      <c r="AJ40" s="136">
        <v>0</v>
      </c>
      <c r="AK40" s="136">
        <v>0</v>
      </c>
      <c r="AL40" s="136">
        <v>0</v>
      </c>
      <c r="AM40" s="136">
        <v>0</v>
      </c>
      <c r="AN40" s="136">
        <v>0</v>
      </c>
      <c r="AO40" s="136">
        <v>9.8998213203101842E-3</v>
      </c>
      <c r="AP40" s="136">
        <v>0</v>
      </c>
      <c r="AQ40" s="136">
        <v>0</v>
      </c>
      <c r="AR40" s="136">
        <v>0</v>
      </c>
      <c r="AS40" s="136">
        <v>0</v>
      </c>
      <c r="AT40" s="136">
        <v>0</v>
      </c>
      <c r="AU40" s="136">
        <v>0</v>
      </c>
      <c r="AV40" s="136">
        <v>0</v>
      </c>
      <c r="AW40" s="136">
        <v>0</v>
      </c>
      <c r="AX40" s="136">
        <v>0</v>
      </c>
    </row>
    <row r="41" spans="1:50" x14ac:dyDescent="0.15">
      <c r="A41" s="142" t="s">
        <v>231</v>
      </c>
      <c r="B41" s="136">
        <v>0</v>
      </c>
      <c r="C41" s="136">
        <v>0</v>
      </c>
      <c r="D41" s="136">
        <v>0</v>
      </c>
      <c r="E41" s="136">
        <v>0</v>
      </c>
      <c r="F41" s="136">
        <v>0</v>
      </c>
      <c r="G41" s="136">
        <v>0</v>
      </c>
      <c r="H41" s="136">
        <v>0</v>
      </c>
      <c r="I41" s="136">
        <v>0</v>
      </c>
      <c r="J41" s="136">
        <v>0</v>
      </c>
      <c r="K41" s="136">
        <v>0</v>
      </c>
      <c r="L41" s="136">
        <v>0</v>
      </c>
      <c r="M41" s="136">
        <v>0</v>
      </c>
      <c r="N41" s="136">
        <v>0</v>
      </c>
      <c r="O41" s="136">
        <v>0</v>
      </c>
      <c r="P41" s="136">
        <v>0</v>
      </c>
      <c r="Q41" s="136">
        <v>0</v>
      </c>
      <c r="R41" s="136">
        <v>0</v>
      </c>
      <c r="S41" s="136">
        <v>0</v>
      </c>
      <c r="T41" s="136">
        <v>0</v>
      </c>
      <c r="U41" s="136">
        <v>0</v>
      </c>
      <c r="V41" s="136">
        <v>0</v>
      </c>
      <c r="W41" s="136">
        <v>0</v>
      </c>
      <c r="X41" s="136">
        <v>0</v>
      </c>
      <c r="Y41" s="136">
        <v>0</v>
      </c>
      <c r="Z41" s="136">
        <v>0</v>
      </c>
      <c r="AA41" s="136">
        <v>0</v>
      </c>
      <c r="AB41" s="136">
        <v>0</v>
      </c>
      <c r="AC41" s="136">
        <v>0</v>
      </c>
      <c r="AD41" s="136">
        <v>0</v>
      </c>
      <c r="AE41" s="136">
        <v>0</v>
      </c>
      <c r="AF41" s="136">
        <v>0</v>
      </c>
      <c r="AG41" s="136">
        <v>0</v>
      </c>
      <c r="AH41" s="136">
        <v>0</v>
      </c>
      <c r="AI41" s="136">
        <v>0</v>
      </c>
      <c r="AJ41" s="136">
        <v>0</v>
      </c>
      <c r="AK41" s="136">
        <v>0</v>
      </c>
      <c r="AL41" s="136">
        <v>0</v>
      </c>
      <c r="AM41" s="136">
        <v>0</v>
      </c>
      <c r="AN41" s="136">
        <v>0</v>
      </c>
      <c r="AO41" s="136">
        <v>0</v>
      </c>
      <c r="AP41" s="136">
        <v>0</v>
      </c>
      <c r="AQ41" s="136">
        <v>0</v>
      </c>
      <c r="AR41" s="136">
        <v>0</v>
      </c>
      <c r="AS41" s="136">
        <v>0</v>
      </c>
      <c r="AT41" s="136">
        <v>0</v>
      </c>
      <c r="AU41" s="136">
        <v>0</v>
      </c>
      <c r="AV41" s="136">
        <v>0</v>
      </c>
      <c r="AW41" s="136">
        <v>0</v>
      </c>
      <c r="AX41" s="136">
        <v>0</v>
      </c>
    </row>
    <row r="42" spans="1:50" x14ac:dyDescent="0.15">
      <c r="A42" s="142" t="s">
        <v>232</v>
      </c>
      <c r="B42" s="136">
        <v>0.12012011493093097</v>
      </c>
      <c r="C42" s="136">
        <v>0.36499999999999999</v>
      </c>
      <c r="D42" s="136">
        <v>5.9993998152184855E-3</v>
      </c>
      <c r="E42" s="136">
        <v>4.7004702267326726E-3</v>
      </c>
      <c r="F42" s="136">
        <v>3.0003001679627969E-3</v>
      </c>
      <c r="G42" s="136">
        <v>0.19980019980019981</v>
      </c>
      <c r="H42" s="136">
        <v>0</v>
      </c>
      <c r="I42" s="136">
        <v>0</v>
      </c>
      <c r="J42" s="136">
        <v>0</v>
      </c>
      <c r="K42" s="136">
        <v>0.43505650437076221</v>
      </c>
      <c r="L42" s="136">
        <v>2.0981210810169102E-2</v>
      </c>
      <c r="M42" s="136">
        <v>0.16281628011771168</v>
      </c>
      <c r="N42" s="136">
        <v>0</v>
      </c>
      <c r="O42" s="136">
        <v>0.14200240939794528</v>
      </c>
      <c r="P42" s="136">
        <v>0.44498249870105427</v>
      </c>
      <c r="Q42" s="136">
        <v>0.84210526181052625</v>
      </c>
      <c r="R42" s="136">
        <v>0.17892545929421103</v>
      </c>
      <c r="S42" s="136">
        <v>0</v>
      </c>
      <c r="T42" s="136">
        <v>4.0995489448585496E-3</v>
      </c>
      <c r="U42" s="136">
        <v>8.2000000000000003E-2</v>
      </c>
      <c r="V42" s="136">
        <v>0.23622363067983074</v>
      </c>
      <c r="W42" s="136">
        <v>0.38200000000000006</v>
      </c>
      <c r="X42" s="136">
        <v>0.17718228708859116</v>
      </c>
      <c r="Y42" s="136">
        <v>0.36363636136363625</v>
      </c>
      <c r="Z42" s="136">
        <v>0</v>
      </c>
      <c r="AA42" s="136">
        <v>0</v>
      </c>
      <c r="AB42" s="136">
        <v>9.0987903545617935E-2</v>
      </c>
      <c r="AC42" s="136">
        <v>0.124</v>
      </c>
      <c r="AD42" s="136">
        <v>0.32200000000000001</v>
      </c>
      <c r="AE42" s="136">
        <v>0.442</v>
      </c>
      <c r="AF42" s="136">
        <v>0.57999999999999996</v>
      </c>
      <c r="AG42" s="136">
        <v>5.1199999384320037E-2</v>
      </c>
      <c r="AH42" s="136">
        <v>0</v>
      </c>
      <c r="AI42" s="136">
        <v>0.8</v>
      </c>
      <c r="AJ42" s="136">
        <v>0.1</v>
      </c>
      <c r="AK42" s="136">
        <v>0.8</v>
      </c>
      <c r="AL42" s="136">
        <v>0.72783714507278363</v>
      </c>
      <c r="AM42" s="136">
        <v>0</v>
      </c>
      <c r="AN42" s="136">
        <v>0.95</v>
      </c>
      <c r="AO42" s="136">
        <v>0.10749806176094358</v>
      </c>
      <c r="AP42" s="136">
        <v>1.3298669707429265E-2</v>
      </c>
      <c r="AQ42" s="136">
        <v>0</v>
      </c>
      <c r="AR42" s="136">
        <v>0</v>
      </c>
      <c r="AS42" s="136">
        <v>0</v>
      </c>
      <c r="AT42" s="136">
        <v>0</v>
      </c>
      <c r="AU42" s="136">
        <v>0</v>
      </c>
      <c r="AV42" s="136">
        <v>0</v>
      </c>
      <c r="AW42" s="136">
        <v>0</v>
      </c>
      <c r="AX42" s="136">
        <v>0</v>
      </c>
    </row>
    <row r="43" spans="1:50" x14ac:dyDescent="0.15">
      <c r="A43" s="142" t="s">
        <v>233</v>
      </c>
      <c r="B43" s="136">
        <v>0.48148149571481463</v>
      </c>
      <c r="C43" s="136">
        <v>0.48699999999999999</v>
      </c>
      <c r="D43" s="136">
        <v>0</v>
      </c>
      <c r="E43" s="136">
        <v>0</v>
      </c>
      <c r="F43" s="136">
        <v>0</v>
      </c>
      <c r="G43" s="136">
        <v>0.39960039960039961</v>
      </c>
      <c r="H43" s="136">
        <v>1.3898609530786907E-2</v>
      </c>
      <c r="I43" s="136">
        <v>0</v>
      </c>
      <c r="J43" s="136">
        <v>0.50000000730000005</v>
      </c>
      <c r="K43" s="136">
        <v>0.21697829572662783</v>
      </c>
      <c r="L43" s="136">
        <v>1.9832986531503108E-3</v>
      </c>
      <c r="M43" s="136">
        <v>0.48454844713471296</v>
      </c>
      <c r="N43" s="136">
        <v>0</v>
      </c>
      <c r="O43" s="136">
        <v>0.30000511327543961</v>
      </c>
      <c r="P43" s="136">
        <v>0.22101239572571191</v>
      </c>
      <c r="Q43" s="136">
        <v>0.10526315872631586</v>
      </c>
      <c r="R43" s="136">
        <v>0</v>
      </c>
      <c r="S43" s="136">
        <v>0</v>
      </c>
      <c r="T43" s="136">
        <v>0</v>
      </c>
      <c r="U43" s="136">
        <v>0.53</v>
      </c>
      <c r="V43" s="136">
        <v>1.8001798428352665E-2</v>
      </c>
      <c r="W43" s="136">
        <v>0.14200000000000002</v>
      </c>
      <c r="X43" s="136">
        <v>0.35336464617668234</v>
      </c>
      <c r="Y43" s="136">
        <v>0.45454545845454564</v>
      </c>
      <c r="Z43" s="136">
        <v>0.17648234841265847</v>
      </c>
      <c r="AA43" s="136">
        <v>0.2222135761113013</v>
      </c>
      <c r="AB43" s="136">
        <v>0</v>
      </c>
      <c r="AC43" s="136">
        <v>1E-3</v>
      </c>
      <c r="AD43" s="136">
        <v>6.5000000000000002E-2</v>
      </c>
      <c r="AE43" s="136">
        <v>0</v>
      </c>
      <c r="AF43" s="136">
        <v>2.7E-2</v>
      </c>
      <c r="AG43" s="136">
        <v>0</v>
      </c>
      <c r="AH43" s="136">
        <v>0</v>
      </c>
      <c r="AI43" s="136">
        <v>0.1</v>
      </c>
      <c r="AJ43" s="136">
        <v>0</v>
      </c>
      <c r="AK43" s="136">
        <v>0.1</v>
      </c>
      <c r="AL43" s="136">
        <v>0</v>
      </c>
      <c r="AM43" s="136">
        <v>0</v>
      </c>
      <c r="AN43" s="136">
        <v>0</v>
      </c>
      <c r="AO43" s="136">
        <v>0</v>
      </c>
      <c r="AP43" s="136">
        <v>2.7397259397260291E-2</v>
      </c>
      <c r="AQ43" s="136">
        <v>0</v>
      </c>
      <c r="AR43" s="136">
        <v>0</v>
      </c>
      <c r="AS43" s="136">
        <v>0</v>
      </c>
      <c r="AT43" s="136">
        <v>0</v>
      </c>
      <c r="AU43" s="136">
        <v>0</v>
      </c>
      <c r="AV43" s="136">
        <v>0</v>
      </c>
      <c r="AW43" s="136">
        <v>0</v>
      </c>
      <c r="AX43" s="136">
        <v>0</v>
      </c>
    </row>
    <row r="44" spans="1:50" x14ac:dyDescent="0.15">
      <c r="A44" s="142" t="s">
        <v>234</v>
      </c>
      <c r="B44" s="136">
        <v>0.36136135178388396</v>
      </c>
      <c r="C44" s="136">
        <v>0</v>
      </c>
      <c r="D44" s="136">
        <v>0</v>
      </c>
      <c r="E44" s="136">
        <v>0</v>
      </c>
      <c r="F44" s="136">
        <v>0</v>
      </c>
      <c r="G44" s="136">
        <v>0.19980019980019981</v>
      </c>
      <c r="H44" s="136">
        <v>0</v>
      </c>
      <c r="I44" s="136">
        <v>0</v>
      </c>
      <c r="J44" s="136">
        <v>0.40002130584031109</v>
      </c>
      <c r="K44" s="136">
        <v>0.21697829572662783</v>
      </c>
      <c r="L44" s="136">
        <v>1.9832986531503108E-3</v>
      </c>
      <c r="M44" s="136">
        <v>8.0008004480448241E-3</v>
      </c>
      <c r="N44" s="136">
        <v>0</v>
      </c>
      <c r="O44" s="136">
        <v>0.28400481879589057</v>
      </c>
      <c r="P44" s="136">
        <v>0</v>
      </c>
      <c r="Q44" s="136">
        <v>0</v>
      </c>
      <c r="R44" s="136">
        <v>0</v>
      </c>
      <c r="S44" s="136">
        <v>0</v>
      </c>
      <c r="T44" s="136">
        <v>0</v>
      </c>
      <c r="U44" s="136">
        <v>8.2000000000000003E-2</v>
      </c>
      <c r="V44" s="136">
        <v>3.0002999680587995E-3</v>
      </c>
      <c r="W44" s="136">
        <v>8.0000000000000016E-2</v>
      </c>
      <c r="X44" s="136">
        <v>0.17718228708859116</v>
      </c>
      <c r="Y44" s="136">
        <v>0.18181818018181811</v>
      </c>
      <c r="Z44" s="136">
        <v>0.41175883129367119</v>
      </c>
      <c r="AA44" s="136">
        <v>0.38889320844434944</v>
      </c>
      <c r="AB44" s="136">
        <v>0</v>
      </c>
      <c r="AC44" s="136">
        <v>5.0999999999999997E-2</v>
      </c>
      <c r="AD44" s="136">
        <v>6.5000000000000002E-2</v>
      </c>
      <c r="AE44" s="136">
        <v>0</v>
      </c>
      <c r="AF44" s="136">
        <v>0</v>
      </c>
      <c r="AG44" s="136">
        <v>0</v>
      </c>
      <c r="AH44" s="136">
        <v>0</v>
      </c>
      <c r="AI44" s="136">
        <v>0</v>
      </c>
      <c r="AJ44" s="136">
        <v>0</v>
      </c>
      <c r="AK44" s="136">
        <v>0.1</v>
      </c>
      <c r="AL44" s="136">
        <v>0</v>
      </c>
      <c r="AM44" s="136">
        <v>0</v>
      </c>
      <c r="AN44" s="136">
        <v>0</v>
      </c>
      <c r="AO44" s="136">
        <v>0</v>
      </c>
      <c r="AP44" s="136">
        <v>1.3298669707429265E-2</v>
      </c>
      <c r="AQ44" s="136">
        <v>9.0999999999999998E-2</v>
      </c>
      <c r="AR44" s="136">
        <v>1E-3</v>
      </c>
      <c r="AS44" s="136">
        <v>0</v>
      </c>
      <c r="AT44" s="136">
        <v>0</v>
      </c>
      <c r="AU44" s="136">
        <v>0</v>
      </c>
      <c r="AV44" s="136">
        <v>0</v>
      </c>
      <c r="AW44" s="136">
        <v>0</v>
      </c>
      <c r="AX44" s="136">
        <v>0</v>
      </c>
    </row>
    <row r="45" spans="1:50" x14ac:dyDescent="0.15">
      <c r="A45" s="142" t="s">
        <v>235</v>
      </c>
      <c r="B45" s="136">
        <v>0</v>
      </c>
      <c r="C45" s="136">
        <v>0</v>
      </c>
      <c r="D45" s="136">
        <v>0</v>
      </c>
      <c r="E45" s="136">
        <v>0</v>
      </c>
      <c r="F45" s="136">
        <v>0</v>
      </c>
      <c r="G45" s="136">
        <v>0</v>
      </c>
      <c r="H45" s="136">
        <v>0</v>
      </c>
      <c r="I45" s="136">
        <v>0</v>
      </c>
      <c r="J45" s="136">
        <v>0</v>
      </c>
      <c r="K45" s="136">
        <v>0</v>
      </c>
      <c r="L45" s="136">
        <v>0</v>
      </c>
      <c r="M45" s="136">
        <v>0</v>
      </c>
      <c r="N45" s="136">
        <v>0</v>
      </c>
      <c r="O45" s="136">
        <v>0</v>
      </c>
      <c r="P45" s="136">
        <v>0</v>
      </c>
      <c r="Q45" s="136">
        <v>0</v>
      </c>
      <c r="R45" s="136">
        <v>0</v>
      </c>
      <c r="S45" s="136">
        <v>0</v>
      </c>
      <c r="T45" s="136">
        <v>0</v>
      </c>
      <c r="U45" s="136">
        <v>0</v>
      </c>
      <c r="V45" s="136">
        <v>0</v>
      </c>
      <c r="W45" s="136">
        <v>0</v>
      </c>
      <c r="X45" s="136">
        <v>0</v>
      </c>
      <c r="Y45" s="136">
        <v>0</v>
      </c>
      <c r="Z45" s="136">
        <v>0</v>
      </c>
      <c r="AA45" s="136">
        <v>0</v>
      </c>
      <c r="AB45" s="136">
        <v>0</v>
      </c>
      <c r="AC45" s="136">
        <v>0</v>
      </c>
      <c r="AD45" s="136">
        <v>0</v>
      </c>
      <c r="AE45" s="136">
        <v>0</v>
      </c>
      <c r="AF45" s="136">
        <v>0</v>
      </c>
      <c r="AG45" s="136">
        <v>0</v>
      </c>
      <c r="AH45" s="136">
        <v>1</v>
      </c>
      <c r="AI45" s="136">
        <v>0</v>
      </c>
      <c r="AJ45" s="136">
        <v>0</v>
      </c>
      <c r="AK45" s="136">
        <v>0</v>
      </c>
      <c r="AL45" s="136">
        <v>0</v>
      </c>
      <c r="AM45" s="136">
        <v>0</v>
      </c>
      <c r="AN45" s="136">
        <v>0</v>
      </c>
      <c r="AO45" s="136">
        <v>0</v>
      </c>
      <c r="AP45" s="136">
        <v>0</v>
      </c>
      <c r="AQ45" s="136">
        <v>0</v>
      </c>
      <c r="AR45" s="136">
        <v>0</v>
      </c>
      <c r="AS45" s="136">
        <v>0</v>
      </c>
      <c r="AT45" s="136">
        <v>0</v>
      </c>
      <c r="AU45" s="136">
        <v>0</v>
      </c>
      <c r="AV45" s="136">
        <v>0</v>
      </c>
      <c r="AW45" s="136">
        <v>0</v>
      </c>
      <c r="AX45" s="136">
        <v>0</v>
      </c>
    </row>
    <row r="46" spans="1:50" x14ac:dyDescent="0.15">
      <c r="A46" s="142" t="s">
        <v>236</v>
      </c>
      <c r="B46" s="136">
        <v>1.2012012193093091E-2</v>
      </c>
      <c r="C46" s="136">
        <v>0</v>
      </c>
      <c r="D46" s="136">
        <v>0</v>
      </c>
      <c r="E46" s="136">
        <v>0</v>
      </c>
      <c r="F46" s="136">
        <v>0</v>
      </c>
      <c r="G46" s="136">
        <v>0</v>
      </c>
      <c r="H46" s="136">
        <v>0</v>
      </c>
      <c r="I46" s="136">
        <v>0</v>
      </c>
      <c r="J46" s="136">
        <v>0</v>
      </c>
      <c r="K46" s="136">
        <v>0.10898910382581721</v>
      </c>
      <c r="L46" s="136">
        <v>0.54999998978100029</v>
      </c>
      <c r="M46" s="136">
        <v>0</v>
      </c>
      <c r="N46" s="136">
        <v>0</v>
      </c>
      <c r="O46" s="136">
        <v>0</v>
      </c>
      <c r="P46" s="136">
        <v>0</v>
      </c>
      <c r="Q46" s="136">
        <v>0</v>
      </c>
      <c r="R46" s="136">
        <v>0</v>
      </c>
      <c r="S46" s="136">
        <v>0</v>
      </c>
      <c r="T46" s="136">
        <v>0</v>
      </c>
      <c r="U46" s="136">
        <v>0</v>
      </c>
      <c r="V46" s="136">
        <v>0.14811481422050329</v>
      </c>
      <c r="W46" s="136">
        <v>0.11800000000000001</v>
      </c>
      <c r="X46" s="136">
        <v>0</v>
      </c>
      <c r="Y46" s="136">
        <v>0</v>
      </c>
      <c r="Z46" s="136">
        <v>0</v>
      </c>
      <c r="AA46" s="136">
        <v>0</v>
      </c>
      <c r="AB46" s="136">
        <v>0</v>
      </c>
      <c r="AC46" s="136">
        <v>0.20599999999999999</v>
      </c>
      <c r="AD46" s="136">
        <v>1.0999999999999999E-2</v>
      </c>
      <c r="AE46" s="136">
        <v>0</v>
      </c>
      <c r="AF46" s="136">
        <v>0</v>
      </c>
      <c r="AG46" s="136">
        <v>0</v>
      </c>
      <c r="AH46" s="136">
        <v>0</v>
      </c>
      <c r="AI46" s="136">
        <v>0</v>
      </c>
      <c r="AJ46" s="136">
        <v>0</v>
      </c>
      <c r="AK46" s="136">
        <v>0</v>
      </c>
      <c r="AL46" s="136">
        <v>0</v>
      </c>
      <c r="AM46" s="136">
        <v>0</v>
      </c>
      <c r="AN46" s="136">
        <v>0</v>
      </c>
      <c r="AO46" s="136">
        <v>0</v>
      </c>
      <c r="AP46" s="136">
        <v>0.13238675608749134</v>
      </c>
      <c r="AQ46" s="136">
        <v>0</v>
      </c>
      <c r="AR46" s="136">
        <v>0.01</v>
      </c>
      <c r="AS46" s="136">
        <v>0</v>
      </c>
      <c r="AT46" s="136">
        <v>0</v>
      </c>
      <c r="AU46" s="136">
        <v>0</v>
      </c>
      <c r="AV46" s="136">
        <v>0</v>
      </c>
      <c r="AW46" s="136">
        <v>0</v>
      </c>
      <c r="AX46" s="136">
        <v>0</v>
      </c>
    </row>
    <row r="47" spans="1:50" x14ac:dyDescent="0.15">
      <c r="A47" s="142" t="s">
        <v>237</v>
      </c>
      <c r="B47" s="136">
        <v>0</v>
      </c>
      <c r="C47" s="136">
        <v>0</v>
      </c>
      <c r="D47" s="136">
        <v>0</v>
      </c>
      <c r="E47" s="136">
        <v>0</v>
      </c>
      <c r="F47" s="136">
        <v>0</v>
      </c>
      <c r="G47" s="136">
        <v>0</v>
      </c>
      <c r="H47" s="136">
        <v>0</v>
      </c>
      <c r="I47" s="136">
        <v>0</v>
      </c>
      <c r="J47" s="136">
        <v>0</v>
      </c>
      <c r="K47" s="136">
        <v>0</v>
      </c>
      <c r="L47" s="136">
        <v>0.1390396774166428</v>
      </c>
      <c r="M47" s="136">
        <v>0</v>
      </c>
      <c r="N47" s="136">
        <v>0</v>
      </c>
      <c r="O47" s="136">
        <v>0</v>
      </c>
      <c r="P47" s="136">
        <v>0</v>
      </c>
      <c r="Q47" s="136">
        <v>0</v>
      </c>
      <c r="R47" s="136">
        <v>0</v>
      </c>
      <c r="S47" s="136">
        <v>0</v>
      </c>
      <c r="T47" s="136">
        <v>0</v>
      </c>
      <c r="U47" s="136">
        <v>0</v>
      </c>
      <c r="V47" s="136">
        <v>0</v>
      </c>
      <c r="W47" s="136">
        <v>0</v>
      </c>
      <c r="X47" s="136">
        <v>0</v>
      </c>
      <c r="Y47" s="136">
        <v>0</v>
      </c>
      <c r="Z47" s="136">
        <v>0</v>
      </c>
      <c r="AA47" s="136">
        <v>0</v>
      </c>
      <c r="AB47" s="136">
        <v>0</v>
      </c>
      <c r="AC47" s="136">
        <v>0</v>
      </c>
      <c r="AD47" s="136">
        <v>0</v>
      </c>
      <c r="AE47" s="136">
        <v>0</v>
      </c>
      <c r="AF47" s="136">
        <v>0</v>
      </c>
      <c r="AG47" s="136">
        <v>0</v>
      </c>
      <c r="AH47" s="136">
        <v>0</v>
      </c>
      <c r="AI47" s="136">
        <v>0</v>
      </c>
      <c r="AJ47" s="136">
        <v>0</v>
      </c>
      <c r="AK47" s="136">
        <v>0</v>
      </c>
      <c r="AL47" s="136">
        <v>0</v>
      </c>
      <c r="AM47" s="136">
        <v>0</v>
      </c>
      <c r="AN47" s="136">
        <v>0</v>
      </c>
      <c r="AO47" s="136">
        <v>0</v>
      </c>
      <c r="AP47" s="136">
        <v>9.9989997800220033E-4</v>
      </c>
      <c r="AQ47" s="136">
        <v>0</v>
      </c>
      <c r="AR47" s="136">
        <v>0</v>
      </c>
      <c r="AS47" s="136">
        <v>0</v>
      </c>
      <c r="AT47" s="136">
        <v>0</v>
      </c>
      <c r="AU47" s="136">
        <v>0</v>
      </c>
      <c r="AV47" s="136">
        <v>0</v>
      </c>
      <c r="AW47" s="136">
        <v>0</v>
      </c>
      <c r="AX47" s="136">
        <v>0</v>
      </c>
    </row>
    <row r="48" spans="1:50" x14ac:dyDescent="0.15">
      <c r="A48" s="142" t="s">
        <v>238</v>
      </c>
      <c r="B48" s="136">
        <v>1.0010009910910911E-3</v>
      </c>
      <c r="C48" s="136">
        <v>0</v>
      </c>
      <c r="D48" s="136">
        <v>0</v>
      </c>
      <c r="E48" s="136">
        <v>0</v>
      </c>
      <c r="F48" s="136">
        <v>0</v>
      </c>
      <c r="G48" s="136">
        <v>0</v>
      </c>
      <c r="H48" s="136">
        <v>0</v>
      </c>
      <c r="I48" s="136">
        <v>0</v>
      </c>
      <c r="J48" s="136">
        <v>0</v>
      </c>
      <c r="K48" s="136">
        <v>0</v>
      </c>
      <c r="L48" s="136">
        <v>0</v>
      </c>
      <c r="M48" s="136">
        <v>0</v>
      </c>
      <c r="N48" s="136">
        <v>0</v>
      </c>
      <c r="O48" s="136">
        <v>0</v>
      </c>
      <c r="P48" s="136">
        <v>0</v>
      </c>
      <c r="Q48" s="136">
        <v>0</v>
      </c>
      <c r="R48" s="136">
        <v>0</v>
      </c>
      <c r="S48" s="136">
        <v>0</v>
      </c>
      <c r="T48" s="136">
        <v>0</v>
      </c>
      <c r="U48" s="136">
        <v>0</v>
      </c>
      <c r="V48" s="136">
        <v>3.0002999680587995E-3</v>
      </c>
      <c r="W48" s="136">
        <v>3.0000000000000005E-3</v>
      </c>
      <c r="X48" s="136">
        <v>0</v>
      </c>
      <c r="Y48" s="136">
        <v>0</v>
      </c>
      <c r="Z48" s="136">
        <v>0.35296469582531692</v>
      </c>
      <c r="AA48" s="136">
        <v>0.33335926366609619</v>
      </c>
      <c r="AB48" s="136">
        <v>0</v>
      </c>
      <c r="AC48" s="136">
        <v>0</v>
      </c>
      <c r="AD48" s="136">
        <v>0</v>
      </c>
      <c r="AE48" s="136">
        <v>0</v>
      </c>
      <c r="AF48" s="136">
        <v>0</v>
      </c>
      <c r="AG48" s="136">
        <v>0</v>
      </c>
      <c r="AH48" s="136">
        <v>0</v>
      </c>
      <c r="AI48" s="136">
        <v>0</v>
      </c>
      <c r="AJ48" s="136">
        <v>0</v>
      </c>
      <c r="AK48" s="136">
        <v>0</v>
      </c>
      <c r="AL48" s="136">
        <v>0</v>
      </c>
      <c r="AM48" s="136">
        <v>0</v>
      </c>
      <c r="AN48" s="136">
        <v>0</v>
      </c>
      <c r="AO48" s="136">
        <v>0</v>
      </c>
      <c r="AP48" s="136">
        <v>0.27087291504079586</v>
      </c>
      <c r="AQ48" s="136">
        <v>0.54500000000000004</v>
      </c>
      <c r="AR48" s="136">
        <v>0.98899999999999999</v>
      </c>
      <c r="AS48" s="136">
        <v>1</v>
      </c>
      <c r="AT48" s="136">
        <v>0</v>
      </c>
      <c r="AU48" s="136">
        <v>0</v>
      </c>
      <c r="AV48" s="136">
        <v>0</v>
      </c>
      <c r="AW48" s="136">
        <v>0</v>
      </c>
      <c r="AX48" s="136">
        <v>0</v>
      </c>
    </row>
    <row r="49" spans="1:50" x14ac:dyDescent="0.15">
      <c r="A49" s="142" t="s">
        <v>239</v>
      </c>
      <c r="B49" s="136">
        <v>2.4024024386186182E-2</v>
      </c>
      <c r="C49" s="136">
        <v>1E-3</v>
      </c>
      <c r="D49" s="136">
        <v>0</v>
      </c>
      <c r="E49" s="136">
        <v>0</v>
      </c>
      <c r="F49" s="136">
        <v>0</v>
      </c>
      <c r="G49" s="136">
        <v>0</v>
      </c>
      <c r="H49" s="136">
        <v>0</v>
      </c>
      <c r="I49" s="136">
        <v>0</v>
      </c>
      <c r="J49" s="136">
        <v>9.9978686859688831E-2</v>
      </c>
      <c r="K49" s="136">
        <v>2.1997800350164975E-2</v>
      </c>
      <c r="L49" s="136">
        <v>0.28601252468588728</v>
      </c>
      <c r="M49" s="136">
        <v>0</v>
      </c>
      <c r="N49" s="136">
        <v>0</v>
      </c>
      <c r="O49" s="136">
        <v>0</v>
      </c>
      <c r="P49" s="136">
        <v>0</v>
      </c>
      <c r="Q49" s="136">
        <v>0</v>
      </c>
      <c r="R49" s="136">
        <v>0</v>
      </c>
      <c r="S49" s="136">
        <v>0</v>
      </c>
      <c r="T49" s="136">
        <v>0</v>
      </c>
      <c r="U49" s="136">
        <v>0.30099999999999999</v>
      </c>
      <c r="V49" s="136">
        <v>0.29532952835458798</v>
      </c>
      <c r="W49" s="136">
        <v>0.23500000000000001</v>
      </c>
      <c r="X49" s="136">
        <v>0</v>
      </c>
      <c r="Y49" s="136">
        <v>0</v>
      </c>
      <c r="Z49" s="136">
        <v>5.8794124468353463E-2</v>
      </c>
      <c r="AA49" s="136">
        <v>5.5533951778253057E-2</v>
      </c>
      <c r="AB49" s="136">
        <v>0</v>
      </c>
      <c r="AC49" s="136">
        <v>0.61799999999999999</v>
      </c>
      <c r="AD49" s="136">
        <v>0.53700000000000003</v>
      </c>
      <c r="AE49" s="136">
        <v>0.55300000000000005</v>
      </c>
      <c r="AF49" s="136">
        <v>0.38600000000000001</v>
      </c>
      <c r="AG49" s="136">
        <v>0</v>
      </c>
      <c r="AH49" s="136">
        <v>0</v>
      </c>
      <c r="AI49" s="136">
        <v>0</v>
      </c>
      <c r="AJ49" s="136">
        <v>0.9</v>
      </c>
      <c r="AK49" s="136">
        <v>0</v>
      </c>
      <c r="AL49" s="136">
        <v>0</v>
      </c>
      <c r="AM49" s="136">
        <v>0</v>
      </c>
      <c r="AN49" s="136">
        <v>0</v>
      </c>
      <c r="AO49" s="136">
        <v>0</v>
      </c>
      <c r="AP49" s="136">
        <v>0.54174583008159172</v>
      </c>
      <c r="AQ49" s="136">
        <v>0.36399999999999999</v>
      </c>
      <c r="AR49" s="136">
        <v>0</v>
      </c>
      <c r="AS49" s="136">
        <v>0</v>
      </c>
      <c r="AT49" s="136">
        <v>0</v>
      </c>
      <c r="AU49" s="136">
        <v>0</v>
      </c>
      <c r="AV49" s="136">
        <v>0</v>
      </c>
      <c r="AW49" s="136">
        <v>0</v>
      </c>
      <c r="AX49" s="136">
        <v>0</v>
      </c>
    </row>
    <row r="50" spans="1:50" x14ac:dyDescent="0.15">
      <c r="A50" s="142" t="s">
        <v>240</v>
      </c>
      <c r="B50" s="136">
        <v>0</v>
      </c>
      <c r="C50" s="136">
        <v>0</v>
      </c>
      <c r="D50" s="136">
        <v>0</v>
      </c>
      <c r="E50" s="136">
        <v>0</v>
      </c>
      <c r="F50" s="136">
        <v>0</v>
      </c>
      <c r="G50" s="136">
        <v>0</v>
      </c>
      <c r="H50" s="136">
        <v>0</v>
      </c>
      <c r="I50" s="136">
        <v>0</v>
      </c>
      <c r="J50" s="136">
        <v>0</v>
      </c>
      <c r="K50" s="136">
        <v>0</v>
      </c>
      <c r="L50" s="136">
        <v>0</v>
      </c>
      <c r="M50" s="136">
        <v>0</v>
      </c>
      <c r="N50" s="136">
        <v>0</v>
      </c>
      <c r="O50" s="136">
        <v>0</v>
      </c>
      <c r="P50" s="136">
        <v>0</v>
      </c>
      <c r="Q50" s="136">
        <v>0</v>
      </c>
      <c r="R50" s="136">
        <v>0</v>
      </c>
      <c r="S50" s="136">
        <v>0</v>
      </c>
      <c r="T50" s="136">
        <v>0</v>
      </c>
      <c r="U50" s="136">
        <v>0</v>
      </c>
      <c r="V50" s="136">
        <v>0</v>
      </c>
      <c r="W50" s="136">
        <v>0</v>
      </c>
      <c r="X50" s="136">
        <v>0</v>
      </c>
      <c r="Y50" s="136">
        <v>0</v>
      </c>
      <c r="Z50" s="136">
        <v>0</v>
      </c>
      <c r="AA50" s="136">
        <v>0</v>
      </c>
      <c r="AB50" s="136">
        <v>0</v>
      </c>
      <c r="AC50" s="136">
        <v>0</v>
      </c>
      <c r="AD50" s="136">
        <v>0</v>
      </c>
      <c r="AE50" s="136">
        <v>0</v>
      </c>
      <c r="AF50" s="136">
        <v>0</v>
      </c>
      <c r="AG50" s="136">
        <v>0</v>
      </c>
      <c r="AH50" s="136">
        <v>0</v>
      </c>
      <c r="AI50" s="136">
        <v>0</v>
      </c>
      <c r="AJ50" s="136">
        <v>0</v>
      </c>
      <c r="AK50" s="136">
        <v>0</v>
      </c>
      <c r="AL50" s="136">
        <v>0</v>
      </c>
      <c r="AM50" s="136">
        <v>0</v>
      </c>
      <c r="AN50" s="136">
        <v>0</v>
      </c>
      <c r="AO50" s="136">
        <v>0</v>
      </c>
      <c r="AP50" s="136">
        <v>0</v>
      </c>
      <c r="AQ50" s="136">
        <v>0</v>
      </c>
      <c r="AR50" s="136">
        <v>0</v>
      </c>
      <c r="AS50" s="136">
        <v>0</v>
      </c>
      <c r="AT50" s="136">
        <v>0</v>
      </c>
      <c r="AU50" s="136">
        <v>0</v>
      </c>
      <c r="AV50" s="136">
        <v>0</v>
      </c>
      <c r="AW50" s="136">
        <v>0</v>
      </c>
      <c r="AX50" s="136">
        <v>0</v>
      </c>
    </row>
    <row r="51" spans="1:50" x14ac:dyDescent="0.15">
      <c r="A51" s="142" t="s">
        <v>260</v>
      </c>
      <c r="B51" s="136">
        <v>0</v>
      </c>
      <c r="C51" s="136">
        <v>0</v>
      </c>
      <c r="D51" s="136">
        <v>0</v>
      </c>
      <c r="E51" s="136">
        <v>0</v>
      </c>
      <c r="F51" s="136">
        <v>0.41754174589148901</v>
      </c>
      <c r="G51" s="136">
        <v>0</v>
      </c>
      <c r="H51" s="136">
        <v>0</v>
      </c>
      <c r="I51" s="136">
        <v>0</v>
      </c>
      <c r="J51" s="136">
        <v>0</v>
      </c>
      <c r="K51" s="136">
        <v>0</v>
      </c>
      <c r="L51" s="136">
        <v>0</v>
      </c>
      <c r="M51" s="136">
        <v>0</v>
      </c>
      <c r="N51" s="136">
        <v>0</v>
      </c>
      <c r="O51" s="136">
        <v>0</v>
      </c>
      <c r="P51" s="136">
        <v>0</v>
      </c>
      <c r="Q51" s="136">
        <v>0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>
        <v>0</v>
      </c>
      <c r="AH51" s="136">
        <v>0</v>
      </c>
      <c r="AI51" s="136">
        <v>0</v>
      </c>
      <c r="AJ51" s="136">
        <v>0</v>
      </c>
      <c r="AK51" s="136">
        <v>0</v>
      </c>
      <c r="AL51" s="136">
        <v>0</v>
      </c>
      <c r="AM51" s="136">
        <v>0</v>
      </c>
      <c r="AN51" s="136">
        <v>0</v>
      </c>
      <c r="AO51" s="136">
        <v>0</v>
      </c>
      <c r="AP51" s="136">
        <v>0</v>
      </c>
      <c r="AQ51" s="136">
        <v>0</v>
      </c>
      <c r="AR51" s="136">
        <v>0</v>
      </c>
      <c r="AS51" s="136">
        <v>0</v>
      </c>
      <c r="AT51" s="136">
        <v>0</v>
      </c>
      <c r="AU51" s="136">
        <v>0</v>
      </c>
      <c r="AV51" s="136">
        <v>0</v>
      </c>
      <c r="AW51" s="136">
        <v>0</v>
      </c>
      <c r="AX51" s="13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63" activePane="bottomRight" state="frozen"/>
      <selection pane="topRight" activeCell="C1" sqref="C1"/>
      <selection pane="bottomLeft" activeCell="A2" sqref="A2"/>
      <selection pane="bottomRight" activeCell="B73" sqref="B7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6.1640625" style="107" customWidth="1"/>
    <col min="5" max="6" width="26.1640625" style="106" customWidth="1"/>
    <col min="7" max="8" width="8.83203125" style="107"/>
  </cols>
  <sheetData>
    <row r="1" spans="1:8" ht="70" x14ac:dyDescent="0.15">
      <c r="A1" s="5" t="s">
        <v>20</v>
      </c>
      <c r="B1" s="1" t="s">
        <v>0</v>
      </c>
      <c r="C1" s="145" t="s">
        <v>239</v>
      </c>
      <c r="D1" s="145" t="s">
        <v>240</v>
      </c>
      <c r="E1" s="145" t="s">
        <v>261</v>
      </c>
      <c r="F1" s="145" t="s">
        <v>262</v>
      </c>
      <c r="G1"/>
      <c r="H1"/>
    </row>
    <row r="2" spans="1:8" x14ac:dyDescent="0.15">
      <c r="A2">
        <v>1</v>
      </c>
      <c r="B2" s="144" t="s">
        <v>192</v>
      </c>
      <c r="C2" s="107">
        <v>1</v>
      </c>
      <c r="D2" s="107">
        <v>0</v>
      </c>
      <c r="E2" s="106">
        <v>0</v>
      </c>
      <c r="F2" s="106">
        <f>SUM(C2:E2)</f>
        <v>1</v>
      </c>
      <c r="G2"/>
      <c r="H2"/>
    </row>
    <row r="3" spans="1:8" x14ac:dyDescent="0.15">
      <c r="A3">
        <v>2</v>
      </c>
      <c r="B3" s="144" t="s">
        <v>193</v>
      </c>
      <c r="C3" s="107">
        <v>1</v>
      </c>
      <c r="D3" s="107">
        <v>0</v>
      </c>
      <c r="E3" s="106">
        <v>0</v>
      </c>
      <c r="F3" s="106">
        <f t="shared" ref="F3:F50" si="0">SUM(C3:E3)</f>
        <v>1</v>
      </c>
      <c r="G3"/>
      <c r="H3"/>
    </row>
    <row r="4" spans="1:8" x14ac:dyDescent="0.15">
      <c r="A4">
        <v>3</v>
      </c>
      <c r="B4" s="144" t="s">
        <v>194</v>
      </c>
      <c r="C4" s="107">
        <v>1</v>
      </c>
      <c r="D4" s="107">
        <v>0</v>
      </c>
      <c r="E4" s="106">
        <v>0</v>
      </c>
      <c r="F4" s="106">
        <f t="shared" si="0"/>
        <v>1</v>
      </c>
      <c r="G4"/>
      <c r="H4"/>
    </row>
    <row r="5" spans="1:8" x14ac:dyDescent="0.15">
      <c r="A5">
        <v>4</v>
      </c>
      <c r="B5" s="144" t="s">
        <v>195</v>
      </c>
      <c r="C5" s="107">
        <v>1</v>
      </c>
      <c r="D5" s="107">
        <v>0</v>
      </c>
      <c r="E5" s="106">
        <v>0</v>
      </c>
      <c r="F5" s="106">
        <f t="shared" si="0"/>
        <v>1</v>
      </c>
      <c r="G5"/>
      <c r="H5"/>
    </row>
    <row r="6" spans="1:8" x14ac:dyDescent="0.15">
      <c r="A6">
        <v>5</v>
      </c>
      <c r="B6" s="144" t="s">
        <v>196</v>
      </c>
      <c r="C6" s="107">
        <v>1</v>
      </c>
      <c r="D6" s="107">
        <v>0</v>
      </c>
      <c r="E6" s="106">
        <v>0</v>
      </c>
      <c r="F6" s="106">
        <f t="shared" si="0"/>
        <v>1</v>
      </c>
      <c r="G6"/>
      <c r="H6"/>
    </row>
    <row r="7" spans="1:8" x14ac:dyDescent="0.15">
      <c r="A7">
        <v>6</v>
      </c>
      <c r="B7" s="144" t="s">
        <v>197</v>
      </c>
      <c r="C7" s="107">
        <v>1</v>
      </c>
      <c r="D7" s="107">
        <v>0</v>
      </c>
      <c r="E7" s="106">
        <v>0</v>
      </c>
      <c r="F7" s="106">
        <f t="shared" si="0"/>
        <v>1</v>
      </c>
      <c r="G7"/>
      <c r="H7"/>
    </row>
    <row r="8" spans="1:8" x14ac:dyDescent="0.15">
      <c r="A8">
        <v>7</v>
      </c>
      <c r="B8" s="144" t="s">
        <v>198</v>
      </c>
      <c r="C8" s="107">
        <v>1</v>
      </c>
      <c r="D8" s="107">
        <v>0</v>
      </c>
      <c r="E8" s="106">
        <v>0</v>
      </c>
      <c r="F8" s="106">
        <f t="shared" si="0"/>
        <v>1</v>
      </c>
      <c r="G8"/>
      <c r="H8"/>
    </row>
    <row r="9" spans="1:8" x14ac:dyDescent="0.15">
      <c r="A9">
        <v>8</v>
      </c>
      <c r="B9" s="144" t="s">
        <v>199</v>
      </c>
      <c r="C9" s="107">
        <v>1</v>
      </c>
      <c r="D9" s="107">
        <v>0</v>
      </c>
      <c r="E9" s="106">
        <v>0</v>
      </c>
      <c r="F9" s="106">
        <f t="shared" si="0"/>
        <v>1</v>
      </c>
      <c r="G9"/>
      <c r="H9"/>
    </row>
    <row r="10" spans="1:8" x14ac:dyDescent="0.15">
      <c r="A10">
        <v>9</v>
      </c>
      <c r="B10" s="144" t="s">
        <v>200</v>
      </c>
      <c r="C10" s="107">
        <v>1</v>
      </c>
      <c r="D10" s="107">
        <v>0</v>
      </c>
      <c r="E10" s="106">
        <v>0</v>
      </c>
      <c r="F10" s="106">
        <f t="shared" si="0"/>
        <v>1</v>
      </c>
      <c r="G10"/>
      <c r="H10"/>
    </row>
    <row r="11" spans="1:8" x14ac:dyDescent="0.15">
      <c r="A11">
        <v>10</v>
      </c>
      <c r="B11" s="144" t="s">
        <v>201</v>
      </c>
      <c r="C11" s="107">
        <v>1</v>
      </c>
      <c r="D11" s="107">
        <v>0</v>
      </c>
      <c r="E11" s="106">
        <v>0</v>
      </c>
      <c r="F11" s="106">
        <f t="shared" si="0"/>
        <v>1</v>
      </c>
      <c r="G11"/>
      <c r="H11"/>
    </row>
    <row r="12" spans="1:8" x14ac:dyDescent="0.15">
      <c r="A12">
        <v>11</v>
      </c>
      <c r="B12" s="144" t="s">
        <v>202</v>
      </c>
      <c r="C12" s="107">
        <v>1</v>
      </c>
      <c r="D12" s="107">
        <v>0</v>
      </c>
      <c r="E12" s="106">
        <v>0</v>
      </c>
      <c r="F12" s="106">
        <f t="shared" si="0"/>
        <v>1</v>
      </c>
      <c r="G12"/>
      <c r="H12"/>
    </row>
    <row r="13" spans="1:8" x14ac:dyDescent="0.15">
      <c r="A13">
        <v>12</v>
      </c>
      <c r="B13" s="144" t="s">
        <v>203</v>
      </c>
      <c r="C13" s="107">
        <v>1</v>
      </c>
      <c r="D13" s="107">
        <v>0</v>
      </c>
      <c r="E13" s="106">
        <v>0</v>
      </c>
      <c r="F13" s="106">
        <f t="shared" si="0"/>
        <v>1</v>
      </c>
      <c r="G13"/>
      <c r="H13"/>
    </row>
    <row r="14" spans="1:8" x14ac:dyDescent="0.15">
      <c r="A14">
        <v>13</v>
      </c>
      <c r="B14" s="144" t="s">
        <v>204</v>
      </c>
      <c r="C14" s="107">
        <v>1</v>
      </c>
      <c r="D14" s="107">
        <v>0</v>
      </c>
      <c r="E14" s="106">
        <v>0</v>
      </c>
      <c r="F14" s="106">
        <f t="shared" si="0"/>
        <v>1</v>
      </c>
      <c r="G14"/>
      <c r="H14"/>
    </row>
    <row r="15" spans="1:8" x14ac:dyDescent="0.15">
      <c r="A15">
        <v>14</v>
      </c>
      <c r="B15" s="144" t="s">
        <v>205</v>
      </c>
      <c r="C15" s="107">
        <v>1</v>
      </c>
      <c r="D15" s="107">
        <v>0</v>
      </c>
      <c r="E15" s="106">
        <v>0</v>
      </c>
      <c r="F15" s="106">
        <f t="shared" si="0"/>
        <v>1</v>
      </c>
      <c r="G15"/>
      <c r="H15"/>
    </row>
    <row r="16" spans="1:8" x14ac:dyDescent="0.15">
      <c r="A16">
        <v>15</v>
      </c>
      <c r="B16" s="144" t="s">
        <v>206</v>
      </c>
      <c r="C16" s="107">
        <v>1</v>
      </c>
      <c r="D16" s="107">
        <v>0</v>
      </c>
      <c r="E16" s="106">
        <v>0</v>
      </c>
      <c r="F16" s="106">
        <f t="shared" si="0"/>
        <v>1</v>
      </c>
      <c r="G16"/>
      <c r="H16"/>
    </row>
    <row r="17" spans="1:8" ht="15" customHeight="1" x14ac:dyDescent="0.15">
      <c r="A17">
        <v>16</v>
      </c>
      <c r="B17" s="144" t="s">
        <v>207</v>
      </c>
      <c r="C17" s="107">
        <v>1</v>
      </c>
      <c r="D17" s="107">
        <v>0</v>
      </c>
      <c r="E17" s="106">
        <v>0</v>
      </c>
      <c r="F17" s="106">
        <f t="shared" si="0"/>
        <v>1</v>
      </c>
      <c r="G17"/>
      <c r="H17"/>
    </row>
    <row r="18" spans="1:8" ht="15" customHeight="1" x14ac:dyDescent="0.15">
      <c r="A18">
        <v>17</v>
      </c>
      <c r="B18" s="144" t="s">
        <v>208</v>
      </c>
      <c r="C18" s="107">
        <v>1</v>
      </c>
      <c r="D18" s="107">
        <v>0</v>
      </c>
      <c r="E18" s="106">
        <v>0</v>
      </c>
      <c r="F18" s="106">
        <f t="shared" si="0"/>
        <v>1</v>
      </c>
      <c r="G18"/>
      <c r="H18"/>
    </row>
    <row r="19" spans="1:8" ht="15" customHeight="1" x14ac:dyDescent="0.15">
      <c r="A19">
        <v>18</v>
      </c>
      <c r="B19" s="144" t="s">
        <v>209</v>
      </c>
      <c r="C19" s="107">
        <v>1</v>
      </c>
      <c r="D19" s="107">
        <v>0</v>
      </c>
      <c r="E19" s="106">
        <v>0</v>
      </c>
      <c r="F19" s="106">
        <f t="shared" si="0"/>
        <v>1</v>
      </c>
      <c r="G19"/>
      <c r="H19"/>
    </row>
    <row r="20" spans="1:8" ht="15" customHeight="1" x14ac:dyDescent="0.15">
      <c r="A20">
        <v>19</v>
      </c>
      <c r="B20" s="144" t="s">
        <v>210</v>
      </c>
      <c r="C20" s="107">
        <v>1</v>
      </c>
      <c r="D20" s="107">
        <v>0</v>
      </c>
      <c r="E20" s="106">
        <v>0</v>
      </c>
      <c r="F20" s="106">
        <f t="shared" si="0"/>
        <v>1</v>
      </c>
      <c r="G20"/>
      <c r="H20"/>
    </row>
    <row r="21" spans="1:8" ht="15" customHeight="1" x14ac:dyDescent="0.15">
      <c r="A21">
        <v>20</v>
      </c>
      <c r="B21" s="144" t="s">
        <v>211</v>
      </c>
      <c r="C21" s="107">
        <v>1</v>
      </c>
      <c r="D21" s="107">
        <v>0</v>
      </c>
      <c r="E21" s="106">
        <v>0</v>
      </c>
      <c r="F21" s="106">
        <f t="shared" si="0"/>
        <v>1</v>
      </c>
      <c r="G21"/>
      <c r="H21"/>
    </row>
    <row r="22" spans="1:8" ht="15" customHeight="1" x14ac:dyDescent="0.15">
      <c r="A22">
        <v>21</v>
      </c>
      <c r="B22" s="144" t="s">
        <v>212</v>
      </c>
      <c r="C22" s="107">
        <v>1</v>
      </c>
      <c r="D22" s="107">
        <v>0</v>
      </c>
      <c r="E22" s="106">
        <v>0</v>
      </c>
      <c r="F22" s="106">
        <f t="shared" si="0"/>
        <v>1</v>
      </c>
      <c r="G22"/>
      <c r="H22"/>
    </row>
    <row r="23" spans="1:8" ht="15" customHeight="1" x14ac:dyDescent="0.15">
      <c r="A23">
        <v>22</v>
      </c>
      <c r="B23" s="144" t="s">
        <v>213</v>
      </c>
      <c r="C23" s="107">
        <v>1</v>
      </c>
      <c r="D23" s="107">
        <v>0</v>
      </c>
      <c r="E23" s="106">
        <v>0</v>
      </c>
      <c r="F23" s="106">
        <f t="shared" si="0"/>
        <v>1</v>
      </c>
      <c r="G23"/>
      <c r="H23"/>
    </row>
    <row r="24" spans="1:8" ht="15" customHeight="1" x14ac:dyDescent="0.15">
      <c r="A24">
        <v>23</v>
      </c>
      <c r="B24" s="144" t="s">
        <v>214</v>
      </c>
      <c r="C24" s="107">
        <v>1</v>
      </c>
      <c r="D24" s="107">
        <v>0</v>
      </c>
      <c r="E24" s="106">
        <v>0</v>
      </c>
      <c r="F24" s="106">
        <f t="shared" si="0"/>
        <v>1</v>
      </c>
      <c r="G24"/>
      <c r="H24"/>
    </row>
    <row r="25" spans="1:8" ht="15" customHeight="1" x14ac:dyDescent="0.15">
      <c r="A25">
        <v>24</v>
      </c>
      <c r="B25" s="144" t="s">
        <v>215</v>
      </c>
      <c r="C25" s="107">
        <v>1</v>
      </c>
      <c r="D25" s="107">
        <v>0</v>
      </c>
      <c r="E25" s="106">
        <v>0</v>
      </c>
      <c r="F25" s="106">
        <f t="shared" si="0"/>
        <v>1</v>
      </c>
      <c r="G25"/>
      <c r="H25"/>
    </row>
    <row r="26" spans="1:8" ht="15" customHeight="1" x14ac:dyDescent="0.15">
      <c r="A26">
        <v>25</v>
      </c>
      <c r="B26" s="144" t="s">
        <v>216</v>
      </c>
      <c r="C26" s="107">
        <v>0</v>
      </c>
      <c r="D26" s="107">
        <v>0</v>
      </c>
      <c r="E26" s="106">
        <v>1</v>
      </c>
      <c r="F26" s="106">
        <f t="shared" si="0"/>
        <v>1</v>
      </c>
      <c r="G26"/>
      <c r="H26"/>
    </row>
    <row r="27" spans="1:8" ht="15" customHeight="1" x14ac:dyDescent="0.15">
      <c r="A27">
        <v>26</v>
      </c>
      <c r="B27" s="144" t="s">
        <v>217</v>
      </c>
      <c r="C27" s="107">
        <v>1</v>
      </c>
      <c r="D27" s="107">
        <v>0</v>
      </c>
      <c r="E27" s="106">
        <v>0</v>
      </c>
      <c r="F27" s="106">
        <f t="shared" si="0"/>
        <v>1</v>
      </c>
      <c r="G27"/>
      <c r="H27"/>
    </row>
    <row r="28" spans="1:8" ht="15" customHeight="1" x14ac:dyDescent="0.15">
      <c r="A28">
        <v>27</v>
      </c>
      <c r="B28" s="144" t="s">
        <v>218</v>
      </c>
      <c r="C28" s="107">
        <v>1</v>
      </c>
      <c r="D28" s="107">
        <v>0</v>
      </c>
      <c r="E28" s="106">
        <v>0</v>
      </c>
      <c r="F28" s="106">
        <f t="shared" si="0"/>
        <v>1</v>
      </c>
      <c r="G28"/>
      <c r="H28"/>
    </row>
    <row r="29" spans="1:8" ht="15" customHeight="1" x14ac:dyDescent="0.15">
      <c r="A29">
        <v>28</v>
      </c>
      <c r="B29" s="144" t="s">
        <v>219</v>
      </c>
      <c r="C29" s="107">
        <v>1</v>
      </c>
      <c r="D29" s="107">
        <v>0</v>
      </c>
      <c r="E29" s="106">
        <v>0</v>
      </c>
      <c r="F29" s="106">
        <f t="shared" si="0"/>
        <v>1</v>
      </c>
      <c r="G29"/>
      <c r="H29"/>
    </row>
    <row r="30" spans="1:8" ht="15" customHeight="1" x14ac:dyDescent="0.15">
      <c r="A30">
        <v>29</v>
      </c>
      <c r="B30" s="144" t="s">
        <v>220</v>
      </c>
      <c r="C30" s="107">
        <v>1</v>
      </c>
      <c r="D30" s="107">
        <v>0</v>
      </c>
      <c r="E30" s="106">
        <v>0</v>
      </c>
      <c r="F30" s="106">
        <f t="shared" si="0"/>
        <v>1</v>
      </c>
      <c r="G30"/>
      <c r="H30"/>
    </row>
    <row r="31" spans="1:8" ht="15" customHeight="1" x14ac:dyDescent="0.15">
      <c r="A31">
        <v>30</v>
      </c>
      <c r="B31" s="144" t="s">
        <v>221</v>
      </c>
      <c r="C31" s="107">
        <v>1</v>
      </c>
      <c r="D31" s="107">
        <v>0</v>
      </c>
      <c r="E31" s="106">
        <v>0</v>
      </c>
      <c r="F31" s="106">
        <f t="shared" si="0"/>
        <v>1</v>
      </c>
      <c r="G31"/>
      <c r="H31"/>
    </row>
    <row r="32" spans="1:8" ht="15" customHeight="1" x14ac:dyDescent="0.15">
      <c r="A32">
        <v>31</v>
      </c>
      <c r="B32" s="144" t="s">
        <v>222</v>
      </c>
      <c r="C32" s="107">
        <v>1</v>
      </c>
      <c r="D32" s="107">
        <v>0</v>
      </c>
      <c r="E32" s="106">
        <v>0</v>
      </c>
      <c r="F32" s="106">
        <f t="shared" si="0"/>
        <v>1</v>
      </c>
    </row>
    <row r="33" spans="1:8" ht="15" customHeight="1" x14ac:dyDescent="0.15">
      <c r="A33">
        <v>32</v>
      </c>
      <c r="B33" s="144" t="s">
        <v>223</v>
      </c>
      <c r="C33" s="107">
        <v>1</v>
      </c>
      <c r="D33" s="107">
        <v>0</v>
      </c>
      <c r="E33" s="106">
        <v>0</v>
      </c>
      <c r="F33" s="106">
        <f t="shared" si="0"/>
        <v>1</v>
      </c>
    </row>
    <row r="34" spans="1:8" ht="15" customHeight="1" x14ac:dyDescent="0.15">
      <c r="A34">
        <v>33</v>
      </c>
      <c r="B34" s="144" t="s">
        <v>224</v>
      </c>
      <c r="C34" s="107">
        <v>1</v>
      </c>
      <c r="D34" s="107">
        <v>0</v>
      </c>
      <c r="E34" s="106">
        <v>0</v>
      </c>
      <c r="F34" s="106">
        <f t="shared" si="0"/>
        <v>1</v>
      </c>
    </row>
    <row r="35" spans="1:8" ht="15" customHeight="1" x14ac:dyDescent="0.15">
      <c r="A35">
        <v>34</v>
      </c>
      <c r="B35" s="144" t="s">
        <v>225</v>
      </c>
      <c r="C35" s="107">
        <v>1</v>
      </c>
      <c r="D35" s="107">
        <v>0</v>
      </c>
      <c r="E35" s="106">
        <v>0</v>
      </c>
      <c r="F35" s="106">
        <f t="shared" si="0"/>
        <v>1</v>
      </c>
    </row>
    <row r="36" spans="1:8" ht="15" customHeight="1" x14ac:dyDescent="0.15">
      <c r="A36">
        <v>35</v>
      </c>
      <c r="B36" s="144" t="s">
        <v>226</v>
      </c>
      <c r="C36" s="107">
        <v>1</v>
      </c>
      <c r="D36" s="107">
        <v>0</v>
      </c>
      <c r="E36" s="107">
        <v>0</v>
      </c>
      <c r="F36" s="106">
        <f t="shared" si="0"/>
        <v>1</v>
      </c>
      <c r="G36"/>
      <c r="H36"/>
    </row>
    <row r="37" spans="1:8" ht="15" customHeight="1" x14ac:dyDescent="0.15">
      <c r="A37">
        <v>36</v>
      </c>
      <c r="B37" s="144" t="s">
        <v>227</v>
      </c>
      <c r="C37" s="107">
        <v>1</v>
      </c>
      <c r="D37" s="107">
        <v>0</v>
      </c>
      <c r="E37" s="107">
        <v>0</v>
      </c>
      <c r="F37" s="106">
        <f t="shared" si="0"/>
        <v>1</v>
      </c>
      <c r="G37"/>
      <c r="H37"/>
    </row>
    <row r="38" spans="1:8" ht="15" customHeight="1" x14ac:dyDescent="0.15">
      <c r="A38">
        <v>37</v>
      </c>
      <c r="B38" s="144" t="s">
        <v>228</v>
      </c>
      <c r="C38" s="107">
        <v>1</v>
      </c>
      <c r="D38" s="107">
        <v>0</v>
      </c>
      <c r="E38" s="107">
        <v>0</v>
      </c>
      <c r="F38" s="106">
        <f t="shared" si="0"/>
        <v>1</v>
      </c>
      <c r="G38"/>
      <c r="H38"/>
    </row>
    <row r="39" spans="1:8" ht="15" customHeight="1" x14ac:dyDescent="0.15">
      <c r="A39">
        <v>38</v>
      </c>
      <c r="B39" s="144" t="s">
        <v>229</v>
      </c>
      <c r="C39" s="107">
        <v>1</v>
      </c>
      <c r="D39" s="107">
        <v>0</v>
      </c>
      <c r="E39" s="107">
        <v>0</v>
      </c>
      <c r="F39" s="106">
        <f t="shared" si="0"/>
        <v>1</v>
      </c>
      <c r="G39"/>
      <c r="H39"/>
    </row>
    <row r="40" spans="1:8" ht="15" customHeight="1" x14ac:dyDescent="0.15">
      <c r="A40">
        <v>39</v>
      </c>
      <c r="B40" s="144" t="s">
        <v>230</v>
      </c>
      <c r="C40" s="107">
        <v>1</v>
      </c>
      <c r="D40" s="107">
        <v>0</v>
      </c>
      <c r="E40" s="107">
        <v>0</v>
      </c>
      <c r="F40" s="106">
        <f t="shared" si="0"/>
        <v>1</v>
      </c>
      <c r="G40"/>
      <c r="H40"/>
    </row>
    <row r="41" spans="1:8" ht="15" customHeight="1" x14ac:dyDescent="0.15">
      <c r="A41">
        <v>40</v>
      </c>
      <c r="B41" s="144" t="s">
        <v>231</v>
      </c>
      <c r="C41" s="107">
        <v>0</v>
      </c>
      <c r="D41" s="107">
        <v>0</v>
      </c>
      <c r="E41" s="107">
        <v>1</v>
      </c>
      <c r="F41" s="106">
        <f t="shared" si="0"/>
        <v>1</v>
      </c>
      <c r="G41"/>
      <c r="H41"/>
    </row>
    <row r="42" spans="1:8" ht="15" customHeight="1" x14ac:dyDescent="0.15">
      <c r="A42">
        <v>41</v>
      </c>
      <c r="B42" s="144" t="s">
        <v>232</v>
      </c>
      <c r="C42" s="107">
        <v>1</v>
      </c>
      <c r="D42" s="107">
        <v>0</v>
      </c>
      <c r="E42" s="107">
        <v>0</v>
      </c>
      <c r="F42" s="106">
        <f t="shared" si="0"/>
        <v>1</v>
      </c>
      <c r="G42"/>
      <c r="H42"/>
    </row>
    <row r="43" spans="1:8" ht="15" customHeight="1" x14ac:dyDescent="0.15">
      <c r="A43">
        <v>42</v>
      </c>
      <c r="B43" s="144" t="s">
        <v>233</v>
      </c>
      <c r="C43" s="107">
        <v>1</v>
      </c>
      <c r="D43" s="107">
        <v>0</v>
      </c>
      <c r="E43" s="107">
        <v>0</v>
      </c>
      <c r="F43" s="106">
        <f t="shared" si="0"/>
        <v>1</v>
      </c>
      <c r="G43"/>
      <c r="H43"/>
    </row>
    <row r="44" spans="1:8" ht="15" customHeight="1" x14ac:dyDescent="0.15">
      <c r="A44">
        <v>43</v>
      </c>
      <c r="B44" s="144" t="s">
        <v>234</v>
      </c>
      <c r="C44" s="107">
        <v>1</v>
      </c>
      <c r="D44" s="107">
        <v>0</v>
      </c>
      <c r="E44" s="106">
        <v>0</v>
      </c>
      <c r="F44" s="106">
        <f t="shared" si="0"/>
        <v>1</v>
      </c>
      <c r="G44"/>
      <c r="H44"/>
    </row>
    <row r="45" spans="1:8" ht="15" customHeight="1" x14ac:dyDescent="0.15">
      <c r="A45">
        <v>44</v>
      </c>
      <c r="B45" s="144" t="s">
        <v>235</v>
      </c>
      <c r="C45" s="107">
        <v>1</v>
      </c>
      <c r="D45" s="107">
        <v>0</v>
      </c>
      <c r="E45" s="106">
        <v>0</v>
      </c>
      <c r="F45" s="106">
        <f t="shared" si="0"/>
        <v>1</v>
      </c>
      <c r="G45"/>
      <c r="H45"/>
    </row>
    <row r="46" spans="1:8" ht="15" customHeight="1" x14ac:dyDescent="0.15">
      <c r="A46">
        <v>45</v>
      </c>
      <c r="B46" s="144" t="s">
        <v>236</v>
      </c>
      <c r="C46" s="107">
        <v>1</v>
      </c>
      <c r="D46" s="107">
        <v>0</v>
      </c>
      <c r="E46" s="107">
        <v>0</v>
      </c>
      <c r="F46" s="106">
        <f t="shared" si="0"/>
        <v>1</v>
      </c>
      <c r="G46"/>
      <c r="H46"/>
    </row>
    <row r="47" spans="1:8" ht="15" customHeight="1" x14ac:dyDescent="0.15">
      <c r="A47">
        <v>46</v>
      </c>
      <c r="B47" s="144" t="s">
        <v>237</v>
      </c>
      <c r="C47" s="107">
        <v>1</v>
      </c>
      <c r="D47" s="107">
        <v>0</v>
      </c>
      <c r="E47" s="106">
        <v>0</v>
      </c>
      <c r="F47" s="106">
        <f t="shared" si="0"/>
        <v>1</v>
      </c>
      <c r="G47"/>
      <c r="H47"/>
    </row>
    <row r="48" spans="1:8" ht="15" customHeight="1" x14ac:dyDescent="0.15">
      <c r="A48">
        <v>47</v>
      </c>
      <c r="B48" s="144" t="s">
        <v>238</v>
      </c>
      <c r="C48" s="107">
        <v>1</v>
      </c>
      <c r="D48" s="107">
        <v>0</v>
      </c>
      <c r="E48" s="106">
        <v>0</v>
      </c>
      <c r="F48" s="106">
        <f t="shared" si="0"/>
        <v>1</v>
      </c>
      <c r="G48"/>
      <c r="H48"/>
    </row>
    <row r="49" spans="1:8" ht="15" customHeight="1" x14ac:dyDescent="0.15">
      <c r="A49">
        <v>48</v>
      </c>
      <c r="B49" s="144" t="s">
        <v>239</v>
      </c>
      <c r="C49" s="107">
        <v>0</v>
      </c>
      <c r="D49" s="107">
        <v>1</v>
      </c>
      <c r="E49" s="106">
        <v>0</v>
      </c>
      <c r="F49" s="106">
        <f t="shared" si="0"/>
        <v>1</v>
      </c>
      <c r="G49"/>
      <c r="H49"/>
    </row>
    <row r="50" spans="1:8" ht="15" customHeight="1" x14ac:dyDescent="0.15">
      <c r="A50">
        <v>49</v>
      </c>
      <c r="B50" s="144" t="s">
        <v>240</v>
      </c>
      <c r="C50" s="107">
        <v>0</v>
      </c>
      <c r="D50" s="107">
        <v>0</v>
      </c>
      <c r="E50" s="106">
        <v>1</v>
      </c>
      <c r="F50" s="106">
        <f t="shared" si="0"/>
        <v>1</v>
      </c>
      <c r="G50"/>
      <c r="H50"/>
    </row>
    <row r="51" spans="1:8" ht="15" customHeight="1" x14ac:dyDescent="0.15">
      <c r="A51">
        <v>50</v>
      </c>
      <c r="B51" s="144" t="s">
        <v>241</v>
      </c>
      <c r="C51" s="107">
        <v>1</v>
      </c>
      <c r="D51" s="107">
        <v>0</v>
      </c>
      <c r="E51" s="106">
        <v>0</v>
      </c>
      <c r="F51" s="106">
        <f t="shared" ref="F51:F69" si="1">SUM(C51:E51)</f>
        <v>1</v>
      </c>
      <c r="G51"/>
      <c r="H51"/>
    </row>
    <row r="52" spans="1:8" ht="15" customHeight="1" x14ac:dyDescent="0.15">
      <c r="A52">
        <v>51</v>
      </c>
      <c r="B52" s="144" t="s">
        <v>242</v>
      </c>
      <c r="C52" s="107">
        <v>1</v>
      </c>
      <c r="D52" s="107">
        <v>0</v>
      </c>
      <c r="E52" s="106">
        <v>0</v>
      </c>
      <c r="F52" s="106">
        <f t="shared" si="1"/>
        <v>1</v>
      </c>
      <c r="G52"/>
      <c r="H52"/>
    </row>
    <row r="53" spans="1:8" ht="15" customHeight="1" x14ac:dyDescent="0.15">
      <c r="A53">
        <v>52</v>
      </c>
      <c r="B53" s="144" t="s">
        <v>243</v>
      </c>
      <c r="C53" s="107">
        <v>1</v>
      </c>
      <c r="D53" s="107">
        <v>0</v>
      </c>
      <c r="E53" s="106">
        <v>0</v>
      </c>
      <c r="F53" s="106">
        <f t="shared" si="1"/>
        <v>1</v>
      </c>
      <c r="G53"/>
      <c r="H53"/>
    </row>
    <row r="54" spans="1:8" ht="15" customHeight="1" x14ac:dyDescent="0.15">
      <c r="A54">
        <v>53</v>
      </c>
      <c r="B54" s="144" t="s">
        <v>244</v>
      </c>
      <c r="C54" s="107">
        <v>1</v>
      </c>
      <c r="D54" s="107">
        <v>0</v>
      </c>
      <c r="E54" s="106">
        <v>0</v>
      </c>
      <c r="F54" s="106">
        <f t="shared" si="1"/>
        <v>1</v>
      </c>
      <c r="G54"/>
      <c r="H54"/>
    </row>
    <row r="55" spans="1:8" ht="15" customHeight="1" x14ac:dyDescent="0.15">
      <c r="A55">
        <v>54</v>
      </c>
      <c r="B55" s="144" t="s">
        <v>245</v>
      </c>
      <c r="C55" s="107">
        <v>1</v>
      </c>
      <c r="D55" s="107">
        <v>0</v>
      </c>
      <c r="E55" s="106">
        <v>0</v>
      </c>
      <c r="F55" s="106">
        <f t="shared" si="1"/>
        <v>1</v>
      </c>
      <c r="G55"/>
      <c r="H55"/>
    </row>
    <row r="56" spans="1:8" ht="15" customHeight="1" x14ac:dyDescent="0.15">
      <c r="A56">
        <v>55</v>
      </c>
      <c r="B56" s="144" t="s">
        <v>246</v>
      </c>
      <c r="C56" s="107">
        <v>1</v>
      </c>
      <c r="D56" s="107">
        <v>0</v>
      </c>
      <c r="E56" s="106">
        <v>0</v>
      </c>
      <c r="F56" s="106">
        <f t="shared" si="1"/>
        <v>1</v>
      </c>
      <c r="G56"/>
      <c r="H56"/>
    </row>
    <row r="57" spans="1:8" ht="15" customHeight="1" x14ac:dyDescent="0.15">
      <c r="A57">
        <v>56</v>
      </c>
      <c r="B57" s="144" t="s">
        <v>247</v>
      </c>
      <c r="C57" s="107">
        <v>1</v>
      </c>
      <c r="D57" s="107">
        <v>0</v>
      </c>
      <c r="E57" s="106">
        <v>0</v>
      </c>
      <c r="F57" s="106">
        <f t="shared" si="1"/>
        <v>1</v>
      </c>
      <c r="G57"/>
      <c r="H57"/>
    </row>
    <row r="58" spans="1:8" ht="15" customHeight="1" x14ac:dyDescent="0.15">
      <c r="A58">
        <v>57</v>
      </c>
      <c r="B58" s="144" t="s">
        <v>248</v>
      </c>
      <c r="C58" s="107">
        <v>1</v>
      </c>
      <c r="D58" s="107">
        <v>0</v>
      </c>
      <c r="E58" s="106">
        <v>0</v>
      </c>
      <c r="F58" s="106">
        <f t="shared" si="1"/>
        <v>1</v>
      </c>
      <c r="G58"/>
      <c r="H58"/>
    </row>
    <row r="59" spans="1:8" ht="15" customHeight="1" x14ac:dyDescent="0.15">
      <c r="A59">
        <v>58</v>
      </c>
      <c r="B59" s="144" t="s">
        <v>249</v>
      </c>
      <c r="C59" s="107">
        <v>1</v>
      </c>
      <c r="D59" s="107">
        <v>0</v>
      </c>
      <c r="E59" s="106">
        <v>0</v>
      </c>
      <c r="F59" s="106">
        <f t="shared" si="1"/>
        <v>1</v>
      </c>
      <c r="G59"/>
      <c r="H59"/>
    </row>
    <row r="60" spans="1:8" ht="15" customHeight="1" x14ac:dyDescent="0.15">
      <c r="A60">
        <v>59</v>
      </c>
      <c r="B60" s="144" t="s">
        <v>250</v>
      </c>
      <c r="C60" s="107">
        <v>1</v>
      </c>
      <c r="D60" s="107">
        <v>0</v>
      </c>
      <c r="E60" s="106">
        <v>0</v>
      </c>
      <c r="F60" s="106">
        <f t="shared" si="1"/>
        <v>1</v>
      </c>
      <c r="G60"/>
      <c r="H60"/>
    </row>
    <row r="61" spans="1:8" ht="15" customHeight="1" x14ac:dyDescent="0.15">
      <c r="A61">
        <v>60</v>
      </c>
      <c r="B61" s="144" t="s">
        <v>251</v>
      </c>
      <c r="C61" s="107">
        <v>1</v>
      </c>
      <c r="D61" s="107">
        <v>0</v>
      </c>
      <c r="E61" s="106">
        <v>0</v>
      </c>
      <c r="F61" s="106">
        <f t="shared" si="1"/>
        <v>1</v>
      </c>
      <c r="G61"/>
      <c r="H61"/>
    </row>
    <row r="62" spans="1:8" ht="15" customHeight="1" x14ac:dyDescent="0.15">
      <c r="A62">
        <v>61</v>
      </c>
      <c r="B62" s="144" t="s">
        <v>252</v>
      </c>
      <c r="C62" s="107">
        <v>1</v>
      </c>
      <c r="D62" s="107">
        <v>0</v>
      </c>
      <c r="E62" s="106">
        <v>0</v>
      </c>
      <c r="F62" s="106">
        <f t="shared" si="1"/>
        <v>1</v>
      </c>
      <c r="G62"/>
      <c r="H62"/>
    </row>
    <row r="63" spans="1:8" ht="15" customHeight="1" x14ac:dyDescent="0.15">
      <c r="A63">
        <v>62</v>
      </c>
      <c r="B63" s="144" t="s">
        <v>253</v>
      </c>
      <c r="C63" s="107">
        <v>1</v>
      </c>
      <c r="D63" s="107">
        <v>0</v>
      </c>
      <c r="E63" s="106">
        <v>0</v>
      </c>
      <c r="F63" s="106">
        <f t="shared" si="1"/>
        <v>1</v>
      </c>
      <c r="G63"/>
      <c r="H63"/>
    </row>
    <row r="64" spans="1:8" ht="15" customHeight="1" x14ac:dyDescent="0.15">
      <c r="A64">
        <v>63</v>
      </c>
      <c r="B64" s="144" t="s">
        <v>254</v>
      </c>
      <c r="C64" s="107">
        <v>1</v>
      </c>
      <c r="D64" s="107">
        <v>0</v>
      </c>
      <c r="E64" s="106">
        <v>0</v>
      </c>
      <c r="F64" s="106">
        <f t="shared" si="1"/>
        <v>1</v>
      </c>
      <c r="G64"/>
      <c r="H64"/>
    </row>
    <row r="65" spans="1:8" ht="15" customHeight="1" x14ac:dyDescent="0.15">
      <c r="A65">
        <v>64</v>
      </c>
      <c r="B65" s="144" t="s">
        <v>255</v>
      </c>
      <c r="C65" s="107">
        <v>1</v>
      </c>
      <c r="D65" s="107">
        <v>0</v>
      </c>
      <c r="E65" s="106">
        <v>0</v>
      </c>
      <c r="F65" s="106">
        <f t="shared" si="1"/>
        <v>1</v>
      </c>
      <c r="G65"/>
      <c r="H65"/>
    </row>
    <row r="66" spans="1:8" ht="15" customHeight="1" x14ac:dyDescent="0.15">
      <c r="A66">
        <v>65</v>
      </c>
      <c r="B66" s="144" t="s">
        <v>256</v>
      </c>
      <c r="C66" s="107">
        <v>1</v>
      </c>
      <c r="D66" s="107">
        <v>0</v>
      </c>
      <c r="E66" s="106">
        <v>0</v>
      </c>
      <c r="F66" s="106">
        <f t="shared" si="1"/>
        <v>1</v>
      </c>
      <c r="G66"/>
      <c r="H66"/>
    </row>
    <row r="67" spans="1:8" ht="15" customHeight="1" x14ac:dyDescent="0.15">
      <c r="A67">
        <v>66</v>
      </c>
      <c r="B67" s="144" t="s">
        <v>257</v>
      </c>
      <c r="C67" s="107">
        <v>1</v>
      </c>
      <c r="D67" s="107">
        <v>0</v>
      </c>
      <c r="E67" s="106">
        <v>0</v>
      </c>
      <c r="F67" s="106">
        <f t="shared" si="1"/>
        <v>1</v>
      </c>
      <c r="G67"/>
      <c r="H67"/>
    </row>
    <row r="68" spans="1:8" ht="15" customHeight="1" x14ac:dyDescent="0.15">
      <c r="A68">
        <v>67</v>
      </c>
      <c r="B68" s="144" t="s">
        <v>258</v>
      </c>
      <c r="C68" s="107">
        <v>1</v>
      </c>
      <c r="D68" s="107">
        <v>0</v>
      </c>
      <c r="E68" s="106">
        <v>0</v>
      </c>
      <c r="F68" s="106">
        <f t="shared" si="1"/>
        <v>1</v>
      </c>
      <c r="G68"/>
      <c r="H68"/>
    </row>
    <row r="69" spans="1:8" ht="15" customHeight="1" x14ac:dyDescent="0.15">
      <c r="A69">
        <v>68</v>
      </c>
      <c r="B69" s="144" t="s">
        <v>259</v>
      </c>
      <c r="C69" s="107">
        <v>1</v>
      </c>
      <c r="D69" s="107">
        <v>0</v>
      </c>
      <c r="E69" s="106">
        <v>0</v>
      </c>
      <c r="F69" s="106">
        <f t="shared" si="1"/>
        <v>1</v>
      </c>
      <c r="G69"/>
      <c r="H69"/>
    </row>
    <row r="70" spans="1:8" ht="15" customHeight="1" x14ac:dyDescent="0.15">
      <c r="C70"/>
      <c r="D70"/>
      <c r="E70"/>
      <c r="F70"/>
      <c r="G70"/>
      <c r="H70"/>
    </row>
    <row r="71" spans="1:8" ht="15" customHeight="1" x14ac:dyDescent="0.15">
      <c r="C71"/>
      <c r="D71"/>
      <c r="E71"/>
      <c r="F71"/>
      <c r="G71"/>
      <c r="H71"/>
    </row>
    <row r="72" spans="1:8" ht="15" customHeight="1" x14ac:dyDescent="0.15">
      <c r="C72"/>
      <c r="D72"/>
      <c r="E72"/>
      <c r="F72"/>
      <c r="G72"/>
      <c r="H72"/>
    </row>
    <row r="73" spans="1:8" ht="15" customHeight="1" x14ac:dyDescent="0.15">
      <c r="C73"/>
      <c r="D73"/>
      <c r="E73"/>
      <c r="F73"/>
      <c r="G73"/>
      <c r="H73"/>
    </row>
    <row r="74" spans="1:8" ht="15" customHeight="1" x14ac:dyDescent="0.15">
      <c r="C74"/>
      <c r="D74"/>
      <c r="E74"/>
      <c r="F74"/>
      <c r="G74"/>
      <c r="H74"/>
    </row>
    <row r="75" spans="1:8" ht="15" customHeight="1" x14ac:dyDescent="0.15">
      <c r="C75"/>
      <c r="D75"/>
      <c r="E75"/>
      <c r="F75"/>
      <c r="G75"/>
      <c r="H75"/>
    </row>
    <row r="76" spans="1:8" ht="15" customHeight="1" x14ac:dyDescent="0.15">
      <c r="C76"/>
      <c r="D76"/>
      <c r="E76"/>
      <c r="F76"/>
      <c r="G76"/>
      <c r="H76"/>
    </row>
    <row r="77" spans="1:8" ht="15" customHeight="1" x14ac:dyDescent="0.15">
      <c r="C77"/>
      <c r="D77"/>
      <c r="E77"/>
      <c r="F77"/>
      <c r="G77"/>
      <c r="H77"/>
    </row>
    <row r="78" spans="1:8" ht="15" customHeight="1" x14ac:dyDescent="0.15">
      <c r="C78"/>
      <c r="D78"/>
      <c r="E78"/>
      <c r="F78"/>
      <c r="G78"/>
      <c r="H78"/>
    </row>
    <row r="79" spans="1:8" ht="15" customHeight="1" x14ac:dyDescent="0.15">
      <c r="C79"/>
      <c r="D79"/>
      <c r="E79"/>
      <c r="F79"/>
      <c r="G79"/>
      <c r="H79"/>
    </row>
    <row r="80" spans="1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V174"/>
  <sheetViews>
    <sheetView workbookViewId="0">
      <pane xSplit="2" ySplit="1" topLeftCell="C5" activePane="bottomRight" state="frozen"/>
      <selection pane="topRight" activeCell="D1" sqref="D1"/>
      <selection pane="bottomLeft" activeCell="A2" sqref="A2"/>
      <selection pane="bottomRight" activeCell="X24" sqref="X24"/>
    </sheetView>
  </sheetViews>
  <sheetFormatPr baseColWidth="10" defaultColWidth="8.83203125" defaultRowHeight="13" x14ac:dyDescent="0.15"/>
  <cols>
    <col min="1" max="1" width="3.33203125" customWidth="1"/>
    <col min="2" max="2" width="18.5" bestFit="1" customWidth="1"/>
    <col min="3" max="3" width="6.83203125" bestFit="1" customWidth="1"/>
    <col min="4" max="4" width="4.83203125" bestFit="1" customWidth="1"/>
    <col min="5" max="5" width="5.83203125" bestFit="1" customWidth="1"/>
    <col min="6" max="6" width="6.83203125" customWidth="1"/>
    <col min="7" max="9" width="5.83203125" customWidth="1"/>
    <col min="10" max="10" width="7.83203125" customWidth="1"/>
    <col min="11" max="11" width="3.83203125" customWidth="1"/>
    <col min="12" max="12" width="4.83203125" customWidth="1"/>
    <col min="13" max="13" width="5.83203125" customWidth="1"/>
    <col min="14" max="14" width="6.83203125" customWidth="1"/>
    <col min="15" max="15" width="5.83203125" customWidth="1"/>
    <col min="16" max="16" width="4.83203125" customWidth="1"/>
    <col min="17" max="17" width="3.83203125" customWidth="1"/>
    <col min="18" max="18" width="5.83203125" customWidth="1"/>
    <col min="19" max="19" width="3.83203125" customWidth="1"/>
    <col min="20" max="21" width="5.83203125" customWidth="1"/>
    <col min="22" max="22" width="7.83203125" customWidth="1"/>
  </cols>
  <sheetData>
    <row r="1" spans="1:22" s="108" customFormat="1" ht="112" x14ac:dyDescent="0.15">
      <c r="A1" s="5" t="s">
        <v>21</v>
      </c>
      <c r="B1" s="3" t="s">
        <v>0</v>
      </c>
      <c r="C1" s="147" t="s">
        <v>241</v>
      </c>
      <c r="D1" s="147" t="s">
        <v>242</v>
      </c>
      <c r="E1" s="147" t="s">
        <v>243</v>
      </c>
      <c r="F1" s="147" t="s">
        <v>244</v>
      </c>
      <c r="G1" s="147" t="s">
        <v>245</v>
      </c>
      <c r="H1" s="147" t="s">
        <v>246</v>
      </c>
      <c r="I1" s="147" t="s">
        <v>247</v>
      </c>
      <c r="J1" s="147" t="s">
        <v>248</v>
      </c>
      <c r="K1" s="147" t="s">
        <v>249</v>
      </c>
      <c r="L1" s="147" t="s">
        <v>250</v>
      </c>
      <c r="M1" s="147" t="s">
        <v>251</v>
      </c>
      <c r="N1" s="147" t="s">
        <v>252</v>
      </c>
      <c r="O1" s="147" t="s">
        <v>253</v>
      </c>
      <c r="P1" s="147" t="s">
        <v>254</v>
      </c>
      <c r="Q1" s="147" t="s">
        <v>255</v>
      </c>
      <c r="R1" s="147" t="s">
        <v>256</v>
      </c>
      <c r="S1" s="147" t="s">
        <v>257</v>
      </c>
      <c r="T1" s="147" t="s">
        <v>258</v>
      </c>
      <c r="U1" s="147" t="s">
        <v>259</v>
      </c>
      <c r="V1" s="147" t="s">
        <v>263</v>
      </c>
    </row>
    <row r="2" spans="1:22" ht="15" customHeight="1" x14ac:dyDescent="0.15">
      <c r="A2">
        <v>1</v>
      </c>
      <c r="B2" s="14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 ht="15" customHeight="1" x14ac:dyDescent="0.15">
      <c r="A3">
        <v>2</v>
      </c>
      <c r="B3" s="14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</row>
    <row r="4" spans="1:22" ht="15" customHeight="1" x14ac:dyDescent="0.15">
      <c r="A4">
        <v>3</v>
      </c>
      <c r="B4" s="14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 ht="15" customHeight="1" x14ac:dyDescent="0.15">
      <c r="A5">
        <v>4</v>
      </c>
      <c r="B5" s="146" t="s">
        <v>195</v>
      </c>
      <c r="C5">
        <v>4.0000000000000002E-4</v>
      </c>
      <c r="D5">
        <v>0</v>
      </c>
      <c r="E5">
        <v>0</v>
      </c>
      <c r="F5">
        <v>8.0000000000000004E-4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1.2E-2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1.32E-2</v>
      </c>
    </row>
    <row r="6" spans="1:22" ht="15" customHeight="1" x14ac:dyDescent="0.15">
      <c r="A6">
        <v>5</v>
      </c>
      <c r="B6" s="146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5.0000000000000002E-5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5.0000000000000002E-5</v>
      </c>
    </row>
    <row r="7" spans="1:22" ht="15" customHeight="1" x14ac:dyDescent="0.15">
      <c r="A7">
        <v>6</v>
      </c>
      <c r="B7" s="146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 ht="15" customHeight="1" x14ac:dyDescent="0.15">
      <c r="A8">
        <v>7</v>
      </c>
      <c r="B8" s="146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 ht="15" customHeight="1" x14ac:dyDescent="0.15">
      <c r="A9">
        <v>8</v>
      </c>
      <c r="B9" s="146" t="s">
        <v>199</v>
      </c>
      <c r="C9">
        <v>0</v>
      </c>
      <c r="D9">
        <v>0</v>
      </c>
      <c r="E9">
        <v>0</v>
      </c>
      <c r="F9">
        <v>5.0000000000000002E-5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0.05</v>
      </c>
      <c r="Q9">
        <v>0</v>
      </c>
      <c r="R9">
        <v>0</v>
      </c>
      <c r="S9">
        <v>0</v>
      </c>
      <c r="T9">
        <v>0</v>
      </c>
      <c r="U9">
        <v>0</v>
      </c>
      <c r="V9">
        <v>5.0050000000000004E-2</v>
      </c>
    </row>
    <row r="10" spans="1:22" ht="15" customHeight="1" x14ac:dyDescent="0.15">
      <c r="A10">
        <v>9</v>
      </c>
      <c r="B10" s="146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 ht="15" customHeight="1" x14ac:dyDescent="0.15">
      <c r="A11">
        <v>10</v>
      </c>
      <c r="B11" s="146" t="s">
        <v>201</v>
      </c>
      <c r="C11">
        <v>0.25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0.25</v>
      </c>
    </row>
    <row r="12" spans="1:22" ht="15" customHeight="1" x14ac:dyDescent="0.15">
      <c r="A12">
        <v>11</v>
      </c>
      <c r="B12" s="146" t="s">
        <v>202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</row>
    <row r="13" spans="1:22" ht="15" customHeight="1" x14ac:dyDescent="0.15">
      <c r="A13">
        <v>12</v>
      </c>
      <c r="B13" s="146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ht="15" customHeight="1" x14ac:dyDescent="0.15">
      <c r="A14">
        <v>13</v>
      </c>
      <c r="B14" s="146" t="s">
        <v>204</v>
      </c>
      <c r="C14">
        <v>3.0000000000000001E-5</v>
      </c>
      <c r="D14">
        <v>0</v>
      </c>
      <c r="E14">
        <v>0</v>
      </c>
      <c r="F14">
        <v>6.9999999999999994E-5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0.1</v>
      </c>
      <c r="T14">
        <v>0</v>
      </c>
      <c r="U14">
        <v>0</v>
      </c>
      <c r="V14">
        <v>0.10010000000000001</v>
      </c>
    </row>
    <row r="15" spans="1:22" ht="15" customHeight="1" x14ac:dyDescent="0.15">
      <c r="A15">
        <v>14</v>
      </c>
      <c r="B15" s="146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1:22" ht="15" customHeight="1" x14ac:dyDescent="0.15">
      <c r="A16">
        <v>15</v>
      </c>
      <c r="B16" s="146" t="s">
        <v>206</v>
      </c>
      <c r="C16">
        <v>0</v>
      </c>
      <c r="D16">
        <v>0</v>
      </c>
      <c r="E16">
        <v>0</v>
      </c>
      <c r="F16">
        <v>0.01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1E-4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1.01E-2</v>
      </c>
    </row>
    <row r="17" spans="1:22" ht="15" customHeight="1" x14ac:dyDescent="0.15">
      <c r="A17">
        <v>16</v>
      </c>
      <c r="B17" s="14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ht="15" customHeight="1" x14ac:dyDescent="0.15">
      <c r="A18">
        <v>17</v>
      </c>
      <c r="B18" s="14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ht="15" customHeight="1" x14ac:dyDescent="0.15">
      <c r="A19">
        <v>18</v>
      </c>
      <c r="B19" s="146" t="s">
        <v>209</v>
      </c>
      <c r="C19">
        <v>0</v>
      </c>
      <c r="D19">
        <v>0</v>
      </c>
      <c r="E19">
        <v>0</v>
      </c>
      <c r="F19">
        <v>2.0000000000000002E-5</v>
      </c>
      <c r="G19">
        <v>0</v>
      </c>
      <c r="H19">
        <v>0</v>
      </c>
      <c r="I19">
        <v>0</v>
      </c>
      <c r="J19">
        <v>1.0000000000000001E-5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0.1</v>
      </c>
      <c r="R19">
        <v>0</v>
      </c>
      <c r="S19">
        <v>0</v>
      </c>
      <c r="T19">
        <v>0</v>
      </c>
      <c r="U19">
        <v>0</v>
      </c>
      <c r="V19">
        <v>0.10003000000000001</v>
      </c>
    </row>
    <row r="20" spans="1:22" ht="15" customHeight="1" x14ac:dyDescent="0.15">
      <c r="A20">
        <v>19</v>
      </c>
      <c r="B20" s="146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 ht="15" customHeight="1" x14ac:dyDescent="0.15">
      <c r="A21">
        <v>20</v>
      </c>
      <c r="B21" s="146" t="s">
        <v>211</v>
      </c>
      <c r="C21">
        <v>0</v>
      </c>
      <c r="D21">
        <v>0.01</v>
      </c>
      <c r="E21">
        <v>0.01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0.02</v>
      </c>
    </row>
    <row r="22" spans="1:22" ht="15" customHeight="1" x14ac:dyDescent="0.15">
      <c r="A22">
        <v>21</v>
      </c>
      <c r="B22" s="146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1E-3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4</v>
      </c>
      <c r="V22">
        <v>4.0010000000000003</v>
      </c>
    </row>
    <row r="23" spans="1:22" ht="15" customHeight="1" x14ac:dyDescent="0.15">
      <c r="A23">
        <v>22</v>
      </c>
      <c r="B23" s="146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</row>
    <row r="24" spans="1:22" ht="15" customHeight="1" x14ac:dyDescent="0.15">
      <c r="A24">
        <v>23</v>
      </c>
      <c r="B24" s="146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1E-3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1E-3</v>
      </c>
    </row>
    <row r="25" spans="1:22" ht="15" customHeight="1" x14ac:dyDescent="0.15">
      <c r="A25">
        <v>24</v>
      </c>
      <c r="B25" s="146" t="s">
        <v>215</v>
      </c>
      <c r="C25">
        <v>0</v>
      </c>
      <c r="D25">
        <v>0</v>
      </c>
      <c r="E25">
        <v>1E-3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11</v>
      </c>
      <c r="V25">
        <v>11.000999999999999</v>
      </c>
    </row>
    <row r="26" spans="1:22" ht="15" customHeight="1" x14ac:dyDescent="0.15">
      <c r="A26">
        <v>25</v>
      </c>
      <c r="B26" s="146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</row>
    <row r="27" spans="1:22" ht="15" customHeight="1" x14ac:dyDescent="0.15">
      <c r="A27">
        <v>26</v>
      </c>
      <c r="B27" s="146" t="s">
        <v>217</v>
      </c>
      <c r="C27">
        <v>0</v>
      </c>
      <c r="D27">
        <v>0.6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0.6</v>
      </c>
    </row>
    <row r="28" spans="1:22" ht="15" customHeight="1" x14ac:dyDescent="0.15">
      <c r="A28">
        <v>27</v>
      </c>
      <c r="B28" s="14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1E-3</v>
      </c>
      <c r="V28">
        <v>1E-3</v>
      </c>
    </row>
    <row r="29" spans="1:22" ht="15" customHeight="1" x14ac:dyDescent="0.15">
      <c r="A29">
        <v>28</v>
      </c>
      <c r="B29" s="14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 ht="15" customHeight="1" x14ac:dyDescent="0.15">
      <c r="A30">
        <v>29</v>
      </c>
      <c r="B30" s="14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1E-3</v>
      </c>
      <c r="J30">
        <v>0</v>
      </c>
      <c r="K30">
        <v>0.8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8.0000000000000002E-3</v>
      </c>
      <c r="U30">
        <v>0</v>
      </c>
      <c r="V30">
        <v>0.80900000000000005</v>
      </c>
    </row>
    <row r="31" spans="1:22" ht="15" customHeight="1" x14ac:dyDescent="0.15">
      <c r="A31">
        <v>30</v>
      </c>
      <c r="B31" s="146" t="s">
        <v>221</v>
      </c>
      <c r="C31">
        <v>0</v>
      </c>
      <c r="D31">
        <v>0</v>
      </c>
      <c r="E31">
        <v>0</v>
      </c>
      <c r="F31">
        <v>0</v>
      </c>
      <c r="G31">
        <v>0.03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0.03</v>
      </c>
    </row>
    <row r="32" spans="1:22" ht="15" customHeight="1" x14ac:dyDescent="0.15">
      <c r="A32">
        <v>31</v>
      </c>
      <c r="B32" s="146" t="s">
        <v>222</v>
      </c>
      <c r="C32">
        <v>0</v>
      </c>
      <c r="D32">
        <v>0</v>
      </c>
      <c r="E32">
        <v>0</v>
      </c>
      <c r="F32">
        <v>0</v>
      </c>
      <c r="G32">
        <v>9.9000000000000005E-2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9.9000000000000005E-2</v>
      </c>
    </row>
    <row r="33" spans="1:22" ht="15" customHeight="1" x14ac:dyDescent="0.15">
      <c r="A33">
        <v>32</v>
      </c>
      <c r="B33" s="146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</row>
    <row r="34" spans="1:22" ht="15" customHeight="1" x14ac:dyDescent="0.15">
      <c r="A34">
        <v>33</v>
      </c>
      <c r="B34" s="146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</row>
    <row r="35" spans="1:22" ht="15" customHeight="1" x14ac:dyDescent="0.15">
      <c r="A35">
        <v>34</v>
      </c>
      <c r="B35" s="146" t="s">
        <v>225</v>
      </c>
      <c r="C35">
        <v>0.02</v>
      </c>
      <c r="D35">
        <v>0</v>
      </c>
      <c r="E35">
        <v>0</v>
      </c>
      <c r="F35">
        <v>0.05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7.0000000000000007E-2</v>
      </c>
    </row>
    <row r="36" spans="1:22" ht="15" customHeight="1" x14ac:dyDescent="0.15">
      <c r="A36">
        <v>35</v>
      </c>
      <c r="B36" s="146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0.01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0.01</v>
      </c>
    </row>
    <row r="37" spans="1:22" ht="15" customHeight="1" x14ac:dyDescent="0.15">
      <c r="A37">
        <v>36</v>
      </c>
      <c r="B37" s="146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</row>
    <row r="38" spans="1:22" ht="15" customHeight="1" x14ac:dyDescent="0.15">
      <c r="A38">
        <v>37</v>
      </c>
      <c r="B38" s="146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</row>
    <row r="39" spans="1:22" ht="15" customHeight="1" x14ac:dyDescent="0.15">
      <c r="A39">
        <v>38</v>
      </c>
      <c r="B39" s="146" t="s">
        <v>229</v>
      </c>
      <c r="C39">
        <v>0</v>
      </c>
      <c r="D39">
        <v>0</v>
      </c>
      <c r="E39">
        <v>0</v>
      </c>
      <c r="F39">
        <v>4.0000000000000003E-5</v>
      </c>
      <c r="G39">
        <v>0</v>
      </c>
      <c r="H39">
        <v>0</v>
      </c>
      <c r="I39">
        <v>0</v>
      </c>
      <c r="J39">
        <v>1.8000000000000001E-4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4.8000000000000001E-2</v>
      </c>
      <c r="S39">
        <v>0</v>
      </c>
      <c r="T39">
        <v>0</v>
      </c>
      <c r="U39">
        <v>0</v>
      </c>
      <c r="V39">
        <v>4.8219999999999999E-2</v>
      </c>
    </row>
    <row r="40" spans="1:22" ht="15" customHeight="1" x14ac:dyDescent="0.15">
      <c r="A40">
        <v>39</v>
      </c>
      <c r="B40" s="146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</row>
    <row r="41" spans="1:22" ht="15" customHeight="1" x14ac:dyDescent="0.15">
      <c r="A41">
        <v>40</v>
      </c>
      <c r="B41" s="146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6.7000000000000004E-2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6.7000000000000004E-2</v>
      </c>
    </row>
    <row r="42" spans="1:22" ht="15" customHeight="1" x14ac:dyDescent="0.15">
      <c r="A42">
        <v>41</v>
      </c>
      <c r="B42" s="146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</row>
    <row r="43" spans="1:22" ht="15" customHeight="1" x14ac:dyDescent="0.15">
      <c r="A43">
        <v>42</v>
      </c>
      <c r="B43" s="146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</row>
    <row r="44" spans="1:22" ht="15" customHeight="1" x14ac:dyDescent="0.15">
      <c r="A44">
        <v>43</v>
      </c>
      <c r="B44" s="146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</row>
    <row r="45" spans="1:22" ht="15" customHeight="1" x14ac:dyDescent="0.15">
      <c r="A45">
        <v>44</v>
      </c>
      <c r="B45" s="146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</row>
    <row r="46" spans="1:22" ht="15" customHeight="1" x14ac:dyDescent="0.15">
      <c r="A46">
        <v>45</v>
      </c>
      <c r="B46" s="146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</row>
    <row r="47" spans="1:22" ht="15" customHeight="1" x14ac:dyDescent="0.15">
      <c r="A47">
        <v>46</v>
      </c>
      <c r="B47" s="146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</row>
    <row r="48" spans="1:22" ht="15" customHeight="1" x14ac:dyDescent="0.15">
      <c r="A48">
        <v>47</v>
      </c>
      <c r="B48" s="146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</row>
    <row r="49" spans="1:22" ht="15" customHeight="1" x14ac:dyDescent="0.15">
      <c r="A49">
        <v>48</v>
      </c>
      <c r="B49" s="146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</row>
    <row r="50" spans="1:22" x14ac:dyDescent="0.15">
      <c r="A50">
        <v>49</v>
      </c>
      <c r="B50" s="146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V5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8.5" bestFit="1" customWidth="1"/>
    <col min="3" max="3" width="2.33203125" bestFit="1" customWidth="1"/>
    <col min="4" max="4" width="5.83203125" bestFit="1" customWidth="1"/>
    <col min="5" max="5" width="2.33203125" bestFit="1" customWidth="1"/>
    <col min="6" max="6" width="4.83203125" customWidth="1"/>
    <col min="7" max="10" width="2.33203125" customWidth="1"/>
    <col min="11" max="11" width="5.83203125" customWidth="1"/>
    <col min="12" max="19" width="2.33203125" customWidth="1"/>
    <col min="20" max="20" width="6.83203125" customWidth="1"/>
    <col min="21" max="21" width="2.33203125" customWidth="1"/>
    <col min="22" max="22" width="8.83203125" customWidth="1"/>
  </cols>
  <sheetData>
    <row r="1" spans="1:22" s="108" customFormat="1" ht="112" x14ac:dyDescent="0.15">
      <c r="A1" s="5" t="s">
        <v>22</v>
      </c>
      <c r="B1" s="3" t="s">
        <v>0</v>
      </c>
      <c r="C1" s="149" t="s">
        <v>241</v>
      </c>
      <c r="D1" s="149" t="s">
        <v>242</v>
      </c>
      <c r="E1" s="149" t="s">
        <v>243</v>
      </c>
      <c r="F1" s="149" t="s">
        <v>244</v>
      </c>
      <c r="G1" s="149" t="s">
        <v>245</v>
      </c>
      <c r="H1" s="149" t="s">
        <v>246</v>
      </c>
      <c r="I1" s="149" t="s">
        <v>247</v>
      </c>
      <c r="J1" s="149" t="s">
        <v>248</v>
      </c>
      <c r="K1" s="149" t="s">
        <v>249</v>
      </c>
      <c r="L1" s="149" t="s">
        <v>250</v>
      </c>
      <c r="M1" s="149" t="s">
        <v>251</v>
      </c>
      <c r="N1" s="149" t="s">
        <v>252</v>
      </c>
      <c r="O1" s="149" t="s">
        <v>253</v>
      </c>
      <c r="P1" s="149" t="s">
        <v>254</v>
      </c>
      <c r="Q1" s="149" t="s">
        <v>255</v>
      </c>
      <c r="R1" s="149" t="s">
        <v>256</v>
      </c>
      <c r="S1" s="149" t="s">
        <v>257</v>
      </c>
      <c r="T1" s="149" t="s">
        <v>258</v>
      </c>
      <c r="U1" s="149" t="s">
        <v>259</v>
      </c>
      <c r="V1" s="149" t="s">
        <v>263</v>
      </c>
    </row>
    <row r="2" spans="1:22" x14ac:dyDescent="0.15">
      <c r="A2">
        <v>1</v>
      </c>
      <c r="B2" s="14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</row>
    <row r="3" spans="1:22" x14ac:dyDescent="0.15">
      <c r="A3">
        <v>2</v>
      </c>
      <c r="B3" s="14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</row>
    <row r="4" spans="1:22" x14ac:dyDescent="0.15">
      <c r="A4">
        <v>3</v>
      </c>
      <c r="B4" s="14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1:22" x14ac:dyDescent="0.15">
      <c r="A5">
        <v>4</v>
      </c>
      <c r="B5" s="148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</row>
    <row r="6" spans="1:22" x14ac:dyDescent="0.15">
      <c r="A6">
        <v>5</v>
      </c>
      <c r="B6" s="148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</row>
    <row r="7" spans="1:22" x14ac:dyDescent="0.15">
      <c r="A7">
        <v>6</v>
      </c>
      <c r="B7" s="148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2" x14ac:dyDescent="0.15">
      <c r="A8">
        <v>7</v>
      </c>
      <c r="B8" s="148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1:22" x14ac:dyDescent="0.15">
      <c r="A9">
        <v>8</v>
      </c>
      <c r="B9" s="148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1:22" x14ac:dyDescent="0.15">
      <c r="A10">
        <v>9</v>
      </c>
      <c r="B10" s="148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1:22" x14ac:dyDescent="0.15">
      <c r="A11">
        <v>10</v>
      </c>
      <c r="B11" s="148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1:22" x14ac:dyDescent="0.15">
      <c r="A12">
        <v>11</v>
      </c>
      <c r="B12" s="148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1:22" x14ac:dyDescent="0.15">
      <c r="A13">
        <v>12</v>
      </c>
      <c r="B13" s="148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15">
      <c r="A14">
        <v>13</v>
      </c>
      <c r="B14" s="148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15">
      <c r="A15">
        <v>14</v>
      </c>
      <c r="B15" s="148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1:22" x14ac:dyDescent="0.15">
      <c r="A16">
        <v>15</v>
      </c>
      <c r="B16" s="148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2" x14ac:dyDescent="0.15">
      <c r="A17">
        <v>16</v>
      </c>
      <c r="B17" s="148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x14ac:dyDescent="0.15">
      <c r="A18">
        <v>17</v>
      </c>
      <c r="B18" s="14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2E-3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1.9999999999999999E-6</v>
      </c>
      <c r="U18">
        <v>0</v>
      </c>
      <c r="V18">
        <v>2.0019999999999999E-3</v>
      </c>
    </row>
    <row r="19" spans="1:22" x14ac:dyDescent="0.15">
      <c r="A19">
        <v>18</v>
      </c>
      <c r="B19" s="148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x14ac:dyDescent="0.15">
      <c r="A20">
        <v>19</v>
      </c>
      <c r="B20" s="14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0.02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2.0000000000000001E-4</v>
      </c>
      <c r="U20">
        <v>0</v>
      </c>
      <c r="V20">
        <v>2.0199999999999999E-2</v>
      </c>
    </row>
    <row r="21" spans="1:22" x14ac:dyDescent="0.15">
      <c r="A21">
        <v>20</v>
      </c>
      <c r="B21" s="148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</row>
    <row r="22" spans="1:22" x14ac:dyDescent="0.15">
      <c r="A22">
        <v>21</v>
      </c>
      <c r="B22" s="148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0.01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1.0000000000000001E-5</v>
      </c>
      <c r="U22">
        <v>0</v>
      </c>
      <c r="V22">
        <v>1.001E-2</v>
      </c>
    </row>
    <row r="23" spans="1:22" x14ac:dyDescent="0.15">
      <c r="A23">
        <v>22</v>
      </c>
      <c r="B23" s="148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0.4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1E-3</v>
      </c>
      <c r="U23">
        <v>0</v>
      </c>
      <c r="V23">
        <v>0.40100000000000002</v>
      </c>
    </row>
    <row r="24" spans="1:22" x14ac:dyDescent="0.15">
      <c r="A24">
        <v>23</v>
      </c>
      <c r="B24" s="14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1.5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5.0000000000000001E-3</v>
      </c>
      <c r="U24">
        <v>0</v>
      </c>
      <c r="V24">
        <v>1.5049999999999999</v>
      </c>
    </row>
    <row r="25" spans="1:22" x14ac:dyDescent="0.15">
      <c r="A25">
        <v>24</v>
      </c>
      <c r="B25" s="14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0.6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1E-3</v>
      </c>
      <c r="U25">
        <v>0</v>
      </c>
      <c r="V25">
        <v>0.60099999999999998</v>
      </c>
    </row>
    <row r="26" spans="1:22" x14ac:dyDescent="0.15">
      <c r="A26">
        <v>25</v>
      </c>
      <c r="B26" s="14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</row>
    <row r="27" spans="1:22" x14ac:dyDescent="0.15">
      <c r="A27">
        <v>26</v>
      </c>
      <c r="B27" s="14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 x14ac:dyDescent="0.15">
      <c r="A28">
        <v>27</v>
      </c>
      <c r="B28" s="148" t="s">
        <v>218</v>
      </c>
      <c r="C28">
        <v>0</v>
      </c>
      <c r="D28">
        <v>0</v>
      </c>
      <c r="E28">
        <v>0</v>
      </c>
      <c r="F28">
        <v>0.01</v>
      </c>
      <c r="G28">
        <v>0</v>
      </c>
      <c r="H28">
        <v>0</v>
      </c>
      <c r="I28">
        <v>0</v>
      </c>
      <c r="J28">
        <v>0</v>
      </c>
      <c r="K28">
        <v>0.1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0.11</v>
      </c>
    </row>
    <row r="29" spans="1:22" x14ac:dyDescent="0.15">
      <c r="A29">
        <v>28</v>
      </c>
      <c r="B29" s="148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</row>
    <row r="30" spans="1:22" x14ac:dyDescent="0.15">
      <c r="A30">
        <v>29</v>
      </c>
      <c r="B30" s="14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</row>
    <row r="31" spans="1:22" x14ac:dyDescent="0.15">
      <c r="A31">
        <v>30</v>
      </c>
      <c r="B31" s="148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</row>
    <row r="32" spans="1:22" x14ac:dyDescent="0.15">
      <c r="A32">
        <v>31</v>
      </c>
      <c r="B32" s="148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</row>
    <row r="33" spans="1:22" x14ac:dyDescent="0.15">
      <c r="A33">
        <v>32</v>
      </c>
      <c r="B33" s="14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0.03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0.03</v>
      </c>
    </row>
    <row r="34" spans="1:22" x14ac:dyDescent="0.15">
      <c r="A34">
        <v>33</v>
      </c>
      <c r="B34" s="148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0.3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0.3</v>
      </c>
    </row>
    <row r="35" spans="1:22" x14ac:dyDescent="0.15">
      <c r="A35">
        <v>34</v>
      </c>
      <c r="B35" s="14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</row>
    <row r="36" spans="1:22" x14ac:dyDescent="0.15">
      <c r="A36">
        <v>35</v>
      </c>
      <c r="B36" s="148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</row>
    <row r="37" spans="1:22" x14ac:dyDescent="0.15">
      <c r="A37">
        <v>36</v>
      </c>
      <c r="B37" s="148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</row>
    <row r="38" spans="1:22" x14ac:dyDescent="0.15">
      <c r="A38">
        <v>37</v>
      </c>
      <c r="B38" s="148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0.1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0.1</v>
      </c>
    </row>
    <row r="39" spans="1:22" x14ac:dyDescent="0.15">
      <c r="A39">
        <v>38</v>
      </c>
      <c r="B39" s="148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</row>
    <row r="40" spans="1:22" x14ac:dyDescent="0.15">
      <c r="A40">
        <v>39</v>
      </c>
      <c r="B40" s="148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0.3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0.3</v>
      </c>
    </row>
    <row r="41" spans="1:22" x14ac:dyDescent="0.15">
      <c r="A41">
        <v>40</v>
      </c>
      <c r="B41" s="148" t="s">
        <v>231</v>
      </c>
      <c r="C41">
        <v>0</v>
      </c>
      <c r="D41">
        <v>5.0000000000000001E-3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5.0000000000000001E-3</v>
      </c>
    </row>
    <row r="42" spans="1:22" x14ac:dyDescent="0.15">
      <c r="A42">
        <v>41</v>
      </c>
      <c r="B42" s="148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</row>
    <row r="43" spans="1:22" x14ac:dyDescent="0.15">
      <c r="A43">
        <v>42</v>
      </c>
      <c r="B43" s="148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</row>
    <row r="44" spans="1:22" x14ac:dyDescent="0.15">
      <c r="A44">
        <v>43</v>
      </c>
      <c r="B44" s="148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</row>
    <row r="45" spans="1:22" x14ac:dyDescent="0.15">
      <c r="A45">
        <v>44</v>
      </c>
      <c r="B45" s="148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</row>
    <row r="46" spans="1:22" x14ac:dyDescent="0.15">
      <c r="A46">
        <v>45</v>
      </c>
      <c r="B46" s="148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</row>
    <row r="47" spans="1:22" x14ac:dyDescent="0.15">
      <c r="A47">
        <v>46</v>
      </c>
      <c r="B47" s="148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</row>
    <row r="48" spans="1:22" x14ac:dyDescent="0.15">
      <c r="A48">
        <v>47</v>
      </c>
      <c r="B48" s="148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</row>
    <row r="49" spans="1:22" x14ac:dyDescent="0.15">
      <c r="A49">
        <v>48</v>
      </c>
      <c r="B49" s="148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</row>
    <row r="50" spans="1:22" x14ac:dyDescent="0.15">
      <c r="A50">
        <v>49</v>
      </c>
      <c r="B50" s="148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8.5" bestFit="1" customWidth="1"/>
    <col min="6" max="6" width="4.83203125" bestFit="1" customWidth="1"/>
    <col min="7" max="9" width="3.83203125" bestFit="1" customWidth="1"/>
    <col min="10" max="11" width="4.83203125" style="107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9" customFormat="1" ht="14" thickBot="1" x14ac:dyDescent="0.2">
      <c r="D1" s="110" t="s">
        <v>8</v>
      </c>
      <c r="E1" s="110" t="s">
        <v>0</v>
      </c>
      <c r="F1" s="111" t="s">
        <v>99</v>
      </c>
      <c r="G1" s="112" t="s">
        <v>84</v>
      </c>
      <c r="H1" s="112" t="s">
        <v>85</v>
      </c>
      <c r="I1" s="112" t="s">
        <v>86</v>
      </c>
      <c r="J1" s="112" t="s">
        <v>87</v>
      </c>
      <c r="K1" s="112" t="s">
        <v>88</v>
      </c>
      <c r="L1" s="113" t="s">
        <v>89</v>
      </c>
      <c r="M1" s="113" t="s">
        <v>93</v>
      </c>
      <c r="N1" s="113" t="s">
        <v>92</v>
      </c>
      <c r="O1" s="113" t="s">
        <v>90</v>
      </c>
      <c r="P1" s="113" t="s">
        <v>91</v>
      </c>
      <c r="Q1" s="114" t="s">
        <v>94</v>
      </c>
      <c r="R1" s="114" t="s">
        <v>95</v>
      </c>
      <c r="S1" s="114" t="s">
        <v>96</v>
      </c>
      <c r="T1" s="114" t="s">
        <v>97</v>
      </c>
      <c r="U1" s="114" t="s">
        <v>98</v>
      </c>
      <c r="V1" s="112" t="s">
        <v>100</v>
      </c>
      <c r="W1" s="112" t="s">
        <v>101</v>
      </c>
      <c r="X1" s="112" t="s">
        <v>102</v>
      </c>
      <c r="Y1" s="112" t="s">
        <v>134</v>
      </c>
      <c r="Z1" s="113" t="s">
        <v>103</v>
      </c>
      <c r="AA1" s="113" t="s">
        <v>104</v>
      </c>
      <c r="AB1" s="113" t="s">
        <v>105</v>
      </c>
      <c r="AC1" s="115" t="s">
        <v>135</v>
      </c>
      <c r="AD1" s="114" t="s">
        <v>106</v>
      </c>
      <c r="AE1" s="114" t="s">
        <v>107</v>
      </c>
      <c r="AF1" s="114" t="s">
        <v>108</v>
      </c>
      <c r="AG1" s="114" t="s">
        <v>136</v>
      </c>
      <c r="AH1" s="112" t="s">
        <v>109</v>
      </c>
      <c r="AI1" s="112" t="s">
        <v>111</v>
      </c>
      <c r="AJ1" s="112" t="s">
        <v>110</v>
      </c>
      <c r="AK1" s="113" t="s">
        <v>115</v>
      </c>
      <c r="AL1" s="113" t="s">
        <v>116</v>
      </c>
      <c r="AM1" s="113" t="s">
        <v>117</v>
      </c>
      <c r="AN1" s="114" t="s">
        <v>112</v>
      </c>
      <c r="AO1" s="114" t="s">
        <v>113</v>
      </c>
      <c r="AP1" s="114" t="s">
        <v>114</v>
      </c>
    </row>
    <row r="2" spans="1:42" x14ac:dyDescent="0.15">
      <c r="A2" s="116" t="s">
        <v>74</v>
      </c>
      <c r="B2" s="117">
        <v>1</v>
      </c>
      <c r="D2">
        <v>1</v>
      </c>
      <c r="E2" s="150" t="s">
        <v>192</v>
      </c>
      <c r="F2">
        <v>0.98</v>
      </c>
      <c r="G2">
        <v>0.8</v>
      </c>
      <c r="H2">
        <v>0.8</v>
      </c>
      <c r="I2">
        <v>0.8</v>
      </c>
      <c r="J2" s="107">
        <v>0.25</v>
      </c>
      <c r="K2" s="107">
        <v>0.05</v>
      </c>
    </row>
    <row r="3" spans="1:42" x14ac:dyDescent="0.15">
      <c r="A3" s="116" t="s">
        <v>75</v>
      </c>
      <c r="B3" s="118">
        <v>1</v>
      </c>
      <c r="D3">
        <v>2</v>
      </c>
      <c r="E3" s="150" t="s">
        <v>193</v>
      </c>
      <c r="F3">
        <v>0.98</v>
      </c>
      <c r="G3">
        <v>0.8</v>
      </c>
      <c r="H3">
        <v>0.8</v>
      </c>
      <c r="I3">
        <v>0.8</v>
      </c>
      <c r="J3" s="107">
        <v>0.25</v>
      </c>
      <c r="K3" s="107">
        <v>0.05</v>
      </c>
    </row>
    <row r="4" spans="1:42" x14ac:dyDescent="0.15">
      <c r="A4" s="116" t="s">
        <v>76</v>
      </c>
      <c r="B4" s="118">
        <v>1</v>
      </c>
      <c r="D4">
        <v>3</v>
      </c>
      <c r="E4" s="150" t="s">
        <v>194</v>
      </c>
      <c r="F4">
        <v>0.98</v>
      </c>
      <c r="G4">
        <v>0.8</v>
      </c>
      <c r="H4">
        <v>0.8</v>
      </c>
      <c r="I4">
        <v>0.8</v>
      </c>
      <c r="J4" s="107">
        <v>0.25</v>
      </c>
      <c r="K4" s="107">
        <v>0.05</v>
      </c>
    </row>
    <row r="5" spans="1:42" x14ac:dyDescent="0.15">
      <c r="A5" s="116" t="s">
        <v>77</v>
      </c>
      <c r="B5" s="118">
        <v>1</v>
      </c>
      <c r="D5">
        <v>4</v>
      </c>
      <c r="E5" s="150" t="s">
        <v>195</v>
      </c>
      <c r="F5">
        <v>0.98</v>
      </c>
      <c r="G5">
        <v>0.8</v>
      </c>
      <c r="H5">
        <v>0.8</v>
      </c>
      <c r="I5">
        <v>0.8</v>
      </c>
      <c r="J5" s="107">
        <v>0.25</v>
      </c>
      <c r="K5" s="107">
        <v>0.05</v>
      </c>
    </row>
    <row r="6" spans="1:42" x14ac:dyDescent="0.15">
      <c r="A6" s="116" t="s">
        <v>78</v>
      </c>
      <c r="B6" s="118">
        <v>1</v>
      </c>
      <c r="D6">
        <v>5</v>
      </c>
      <c r="E6" s="150" t="s">
        <v>196</v>
      </c>
      <c r="F6">
        <v>0.98</v>
      </c>
      <c r="G6">
        <v>0.8</v>
      </c>
      <c r="H6">
        <v>0.8</v>
      </c>
      <c r="I6">
        <v>0.8</v>
      </c>
      <c r="J6" s="107">
        <v>0.25</v>
      </c>
      <c r="K6" s="107">
        <v>0.05</v>
      </c>
    </row>
    <row r="7" spans="1:42" x14ac:dyDescent="0.15">
      <c r="A7" s="116" t="s">
        <v>79</v>
      </c>
      <c r="B7" s="118">
        <v>1</v>
      </c>
      <c r="D7">
        <v>6</v>
      </c>
      <c r="E7" s="150" t="s">
        <v>197</v>
      </c>
      <c r="F7">
        <v>0.98</v>
      </c>
      <c r="G7">
        <v>0.8</v>
      </c>
      <c r="H7">
        <v>0.8</v>
      </c>
      <c r="I7">
        <v>0.8</v>
      </c>
      <c r="J7" s="107">
        <v>0.25</v>
      </c>
      <c r="K7" s="107">
        <v>0.05</v>
      </c>
    </row>
    <row r="8" spans="1:42" x14ac:dyDescent="0.15">
      <c r="A8" s="116" t="s">
        <v>80</v>
      </c>
      <c r="B8" s="118">
        <v>1</v>
      </c>
      <c r="D8">
        <v>7</v>
      </c>
      <c r="E8" s="150" t="s">
        <v>198</v>
      </c>
      <c r="F8">
        <v>0.98</v>
      </c>
      <c r="G8">
        <v>0.8</v>
      </c>
      <c r="H8">
        <v>0.8</v>
      </c>
      <c r="I8">
        <v>0.8</v>
      </c>
      <c r="J8" s="107">
        <v>0.25</v>
      </c>
      <c r="K8" s="107">
        <v>0.05</v>
      </c>
    </row>
    <row r="9" spans="1:42" x14ac:dyDescent="0.15">
      <c r="A9" s="116" t="s">
        <v>81</v>
      </c>
      <c r="B9" s="118">
        <v>0.1</v>
      </c>
      <c r="C9" s="61" t="s">
        <v>150</v>
      </c>
      <c r="D9">
        <v>8</v>
      </c>
      <c r="E9" s="150" t="s">
        <v>199</v>
      </c>
      <c r="F9">
        <v>0.98</v>
      </c>
      <c r="G9">
        <v>0.8</v>
      </c>
      <c r="H9">
        <v>0.8</v>
      </c>
      <c r="I9">
        <v>0.8</v>
      </c>
      <c r="J9" s="107">
        <v>0.25</v>
      </c>
      <c r="K9" s="107">
        <v>0.05</v>
      </c>
    </row>
    <row r="10" spans="1:42" ht="14" thickBot="1" x14ac:dyDescent="0.2">
      <c r="A10" s="116" t="s">
        <v>149</v>
      </c>
      <c r="B10" s="119">
        <f>1/3</f>
        <v>0.33333333333333331</v>
      </c>
      <c r="C10" s="61" t="s">
        <v>150</v>
      </c>
      <c r="D10">
        <v>9</v>
      </c>
      <c r="E10" s="150" t="s">
        <v>200</v>
      </c>
      <c r="F10">
        <v>0.98</v>
      </c>
      <c r="G10">
        <v>0.8</v>
      </c>
      <c r="H10">
        <v>0.8</v>
      </c>
      <c r="I10">
        <v>0.8</v>
      </c>
      <c r="J10" s="107">
        <v>0.25</v>
      </c>
      <c r="K10" s="107">
        <v>0.05</v>
      </c>
    </row>
    <row r="11" spans="1:42" x14ac:dyDescent="0.15">
      <c r="D11">
        <v>10</v>
      </c>
      <c r="E11" s="150" t="s">
        <v>201</v>
      </c>
      <c r="F11">
        <v>0.98</v>
      </c>
      <c r="G11">
        <v>0.8</v>
      </c>
      <c r="H11">
        <v>0.8</v>
      </c>
      <c r="I11">
        <v>0.8</v>
      </c>
      <c r="J11" s="107">
        <v>0.25</v>
      </c>
      <c r="K11" s="107">
        <v>0.05</v>
      </c>
    </row>
    <row r="12" spans="1:42" x14ac:dyDescent="0.15">
      <c r="D12">
        <v>11</v>
      </c>
      <c r="E12" s="150" t="s">
        <v>202</v>
      </c>
      <c r="F12">
        <v>0.98</v>
      </c>
      <c r="G12">
        <v>0.8</v>
      </c>
      <c r="H12">
        <v>0.8</v>
      </c>
      <c r="I12">
        <v>0.8</v>
      </c>
      <c r="J12" s="107">
        <v>0.25</v>
      </c>
      <c r="K12" s="107">
        <v>0.05</v>
      </c>
    </row>
    <row r="13" spans="1:42" x14ac:dyDescent="0.15">
      <c r="D13">
        <v>12</v>
      </c>
      <c r="E13" s="150" t="s">
        <v>203</v>
      </c>
      <c r="F13">
        <v>0.98</v>
      </c>
      <c r="G13">
        <v>0.8</v>
      </c>
      <c r="H13">
        <v>0.8</v>
      </c>
      <c r="I13">
        <v>0.8</v>
      </c>
      <c r="J13" s="107">
        <v>0.25</v>
      </c>
      <c r="K13" s="107">
        <v>0.05</v>
      </c>
    </row>
    <row r="14" spans="1:42" x14ac:dyDescent="0.15">
      <c r="D14">
        <v>13</v>
      </c>
      <c r="E14" s="150" t="s">
        <v>204</v>
      </c>
      <c r="F14">
        <v>0.98</v>
      </c>
      <c r="G14">
        <v>0.8</v>
      </c>
      <c r="H14">
        <v>0.8</v>
      </c>
      <c r="I14">
        <v>0.8</v>
      </c>
      <c r="J14" s="107">
        <v>0.25</v>
      </c>
      <c r="K14" s="107">
        <v>0.05</v>
      </c>
    </row>
    <row r="15" spans="1:42" x14ac:dyDescent="0.15">
      <c r="D15">
        <v>14</v>
      </c>
      <c r="E15" s="150" t="s">
        <v>205</v>
      </c>
      <c r="F15">
        <v>0.98</v>
      </c>
      <c r="G15">
        <v>0.8</v>
      </c>
      <c r="H15">
        <v>0.8</v>
      </c>
      <c r="I15">
        <v>0.8</v>
      </c>
      <c r="J15" s="107">
        <v>0.25</v>
      </c>
      <c r="K15" s="107">
        <v>0.05</v>
      </c>
    </row>
    <row r="16" spans="1:42" x14ac:dyDescent="0.15">
      <c r="D16">
        <v>15</v>
      </c>
      <c r="E16" s="150" t="s">
        <v>206</v>
      </c>
      <c r="F16">
        <v>0.98</v>
      </c>
      <c r="G16">
        <v>0.8</v>
      </c>
      <c r="H16">
        <v>0.8</v>
      </c>
      <c r="I16">
        <v>0.8</v>
      </c>
      <c r="J16" s="107">
        <v>0.25</v>
      </c>
      <c r="K16" s="107">
        <v>0.05</v>
      </c>
    </row>
    <row r="17" spans="4:33" ht="15" customHeight="1" x14ac:dyDescent="0.15">
      <c r="D17">
        <v>16</v>
      </c>
      <c r="E17" s="150" t="s">
        <v>207</v>
      </c>
      <c r="F17">
        <v>0.98</v>
      </c>
      <c r="G17">
        <v>0.8</v>
      </c>
      <c r="H17">
        <v>0.8</v>
      </c>
      <c r="I17">
        <v>0.8</v>
      </c>
      <c r="J17" s="107">
        <v>0.25</v>
      </c>
      <c r="K17" s="107">
        <v>0.05</v>
      </c>
    </row>
    <row r="18" spans="4:33" ht="15" customHeight="1" x14ac:dyDescent="0.15">
      <c r="D18">
        <v>17</v>
      </c>
      <c r="E18" s="150" t="s">
        <v>208</v>
      </c>
      <c r="F18">
        <v>0.98</v>
      </c>
      <c r="G18">
        <v>0.8</v>
      </c>
      <c r="H18">
        <v>0.8</v>
      </c>
      <c r="I18">
        <v>0.8</v>
      </c>
      <c r="J18" s="107">
        <v>0.25</v>
      </c>
      <c r="K18" s="107">
        <v>0.05</v>
      </c>
    </row>
    <row r="19" spans="4:33" ht="15" customHeight="1" x14ac:dyDescent="0.15">
      <c r="D19">
        <v>18</v>
      </c>
      <c r="E19" s="150" t="s">
        <v>209</v>
      </c>
      <c r="F19">
        <v>0.98</v>
      </c>
      <c r="G19">
        <v>0.8</v>
      </c>
      <c r="H19">
        <v>0.8</v>
      </c>
      <c r="I19">
        <v>0.8</v>
      </c>
      <c r="J19" s="107">
        <v>0.25</v>
      </c>
      <c r="K19" s="107">
        <v>0.05</v>
      </c>
    </row>
    <row r="20" spans="4:33" ht="15" customHeight="1" x14ac:dyDescent="0.15">
      <c r="D20">
        <v>19</v>
      </c>
      <c r="E20" s="150" t="s">
        <v>210</v>
      </c>
      <c r="F20">
        <v>0.98</v>
      </c>
      <c r="G20">
        <v>0.8</v>
      </c>
      <c r="H20">
        <v>0.8</v>
      </c>
      <c r="I20">
        <v>0.8</v>
      </c>
      <c r="J20" s="107">
        <v>0.25</v>
      </c>
      <c r="K20" s="107">
        <v>0.05</v>
      </c>
    </row>
    <row r="21" spans="4:33" ht="15" customHeight="1" x14ac:dyDescent="0.15">
      <c r="D21">
        <v>20</v>
      </c>
      <c r="E21" s="150" t="s">
        <v>211</v>
      </c>
      <c r="F21">
        <v>0.98</v>
      </c>
      <c r="G21">
        <v>0.8</v>
      </c>
      <c r="H21">
        <v>0.8</v>
      </c>
      <c r="I21">
        <v>0.8</v>
      </c>
      <c r="J21" s="107">
        <v>0.25</v>
      </c>
      <c r="K21" s="107">
        <v>0.05</v>
      </c>
    </row>
    <row r="22" spans="4:33" ht="15" customHeight="1" x14ac:dyDescent="0.15">
      <c r="D22">
        <v>21</v>
      </c>
      <c r="E22" s="150" t="s">
        <v>212</v>
      </c>
      <c r="F22">
        <v>0.98</v>
      </c>
      <c r="G22">
        <v>0.8</v>
      </c>
      <c r="H22">
        <v>0.8</v>
      </c>
      <c r="I22">
        <v>0.8</v>
      </c>
      <c r="J22" s="107">
        <v>0.25</v>
      </c>
      <c r="K22" s="107">
        <v>0.05</v>
      </c>
    </row>
    <row r="23" spans="4:33" ht="15" customHeight="1" x14ac:dyDescent="0.15">
      <c r="D23">
        <v>22</v>
      </c>
      <c r="E23" s="150" t="s">
        <v>213</v>
      </c>
      <c r="F23">
        <v>0.98</v>
      </c>
      <c r="G23">
        <v>0.8</v>
      </c>
      <c r="H23">
        <v>0.8</v>
      </c>
      <c r="I23">
        <v>0.8</v>
      </c>
      <c r="J23" s="107">
        <v>0.25</v>
      </c>
      <c r="K23" s="107">
        <v>0.05</v>
      </c>
    </row>
    <row r="24" spans="4:33" ht="15" customHeight="1" x14ac:dyDescent="0.15">
      <c r="D24">
        <v>23</v>
      </c>
      <c r="E24" s="150" t="s">
        <v>214</v>
      </c>
      <c r="F24">
        <v>0.98</v>
      </c>
      <c r="G24">
        <v>0.8</v>
      </c>
      <c r="H24">
        <v>0.8</v>
      </c>
      <c r="I24">
        <v>0.8</v>
      </c>
      <c r="J24" s="107">
        <v>0.25</v>
      </c>
      <c r="K24" s="107">
        <v>0.05</v>
      </c>
    </row>
    <row r="25" spans="4:33" ht="15" customHeight="1" x14ac:dyDescent="0.15">
      <c r="D25">
        <v>24</v>
      </c>
      <c r="E25" s="150" t="s">
        <v>215</v>
      </c>
      <c r="F25">
        <v>0.98</v>
      </c>
      <c r="G25">
        <v>0.8</v>
      </c>
      <c r="H25">
        <v>0.8</v>
      </c>
      <c r="I25">
        <v>0.8</v>
      </c>
      <c r="J25" s="107">
        <v>0.25</v>
      </c>
      <c r="K25" s="107">
        <v>0.05</v>
      </c>
    </row>
    <row r="26" spans="4:33" ht="15" customHeight="1" x14ac:dyDescent="0.15">
      <c r="D26">
        <v>25</v>
      </c>
      <c r="E26" s="150" t="s">
        <v>216</v>
      </c>
      <c r="F26">
        <v>0.98</v>
      </c>
      <c r="G26">
        <v>0.8</v>
      </c>
      <c r="H26">
        <v>0.8</v>
      </c>
      <c r="I26">
        <v>0.8</v>
      </c>
      <c r="J26" s="107">
        <v>0.25</v>
      </c>
      <c r="K26" s="107">
        <v>0.05</v>
      </c>
    </row>
    <row r="27" spans="4:33" ht="15" customHeight="1" x14ac:dyDescent="0.15">
      <c r="D27">
        <v>26</v>
      </c>
      <c r="E27" s="150" t="s">
        <v>217</v>
      </c>
      <c r="F27">
        <v>0.98</v>
      </c>
      <c r="G27">
        <v>0.8</v>
      </c>
      <c r="H27">
        <v>0.8</v>
      </c>
      <c r="I27">
        <v>0.8</v>
      </c>
      <c r="J27" s="107">
        <v>0.25</v>
      </c>
      <c r="K27" s="107">
        <v>0.05</v>
      </c>
    </row>
    <row r="28" spans="4:33" ht="15" customHeight="1" x14ac:dyDescent="0.15">
      <c r="D28">
        <v>27</v>
      </c>
      <c r="E28" s="150" t="s">
        <v>218</v>
      </c>
      <c r="F28">
        <v>0.98</v>
      </c>
      <c r="G28">
        <v>0.8</v>
      </c>
      <c r="H28">
        <v>0.8</v>
      </c>
      <c r="I28">
        <v>0.8</v>
      </c>
      <c r="J28" s="107">
        <v>0.25</v>
      </c>
      <c r="K28" s="107">
        <v>0.05</v>
      </c>
    </row>
    <row r="29" spans="4:33" ht="15" customHeight="1" x14ac:dyDescent="0.15">
      <c r="D29">
        <v>28</v>
      </c>
      <c r="E29" s="150" t="s">
        <v>219</v>
      </c>
      <c r="F29">
        <v>0.98</v>
      </c>
      <c r="G29">
        <v>0.8</v>
      </c>
      <c r="H29">
        <v>0.8</v>
      </c>
      <c r="I29">
        <v>0.8</v>
      </c>
      <c r="J29" s="107">
        <v>0.25</v>
      </c>
      <c r="K29" s="107">
        <v>0.05</v>
      </c>
      <c r="Y29"/>
      <c r="AC29"/>
      <c r="AG29"/>
    </row>
    <row r="30" spans="4:33" ht="15" customHeight="1" x14ac:dyDescent="0.15">
      <c r="D30">
        <v>29</v>
      </c>
      <c r="E30" s="150" t="s">
        <v>220</v>
      </c>
      <c r="F30">
        <v>0.98</v>
      </c>
      <c r="G30">
        <v>0.8</v>
      </c>
      <c r="H30">
        <v>0.8</v>
      </c>
      <c r="I30">
        <v>0.8</v>
      </c>
      <c r="J30" s="107">
        <v>0.25</v>
      </c>
      <c r="K30" s="107">
        <v>0.05</v>
      </c>
      <c r="Y30"/>
      <c r="AC30"/>
      <c r="AG30"/>
    </row>
    <row r="31" spans="4:33" ht="15" customHeight="1" x14ac:dyDescent="0.15">
      <c r="D31">
        <v>30</v>
      </c>
      <c r="E31" s="150" t="s">
        <v>221</v>
      </c>
      <c r="F31">
        <v>0.98</v>
      </c>
      <c r="G31">
        <v>0.8</v>
      </c>
      <c r="H31">
        <v>0.8</v>
      </c>
      <c r="I31">
        <v>0.8</v>
      </c>
      <c r="J31" s="107">
        <v>0.25</v>
      </c>
      <c r="K31" s="107">
        <v>0.05</v>
      </c>
      <c r="Y31"/>
      <c r="AC31"/>
      <c r="AG31"/>
    </row>
    <row r="32" spans="4:33" ht="15" customHeight="1" x14ac:dyDescent="0.15">
      <c r="D32">
        <v>31</v>
      </c>
      <c r="E32" s="150" t="s">
        <v>222</v>
      </c>
      <c r="F32">
        <v>0.98</v>
      </c>
      <c r="G32">
        <v>0.8</v>
      </c>
      <c r="H32">
        <v>0.8</v>
      </c>
      <c r="I32">
        <v>0.8</v>
      </c>
      <c r="J32" s="107">
        <v>0.25</v>
      </c>
      <c r="K32" s="107">
        <v>0.05</v>
      </c>
      <c r="Y32"/>
      <c r="AC32"/>
      <c r="AG32"/>
    </row>
    <row r="33" spans="4:33" ht="15" customHeight="1" x14ac:dyDescent="0.15">
      <c r="D33">
        <v>32</v>
      </c>
      <c r="E33" s="150" t="s">
        <v>223</v>
      </c>
      <c r="F33">
        <v>0.98</v>
      </c>
      <c r="G33">
        <v>0.8</v>
      </c>
      <c r="H33">
        <v>0.8</v>
      </c>
      <c r="I33">
        <v>0.8</v>
      </c>
      <c r="J33" s="107">
        <v>0.25</v>
      </c>
      <c r="K33" s="107">
        <v>0.05</v>
      </c>
      <c r="Y33"/>
      <c r="AC33"/>
      <c r="AG33"/>
    </row>
    <row r="34" spans="4:33" ht="15" customHeight="1" x14ac:dyDescent="0.15">
      <c r="D34">
        <v>33</v>
      </c>
      <c r="E34" s="150" t="s">
        <v>224</v>
      </c>
      <c r="F34">
        <v>0.98</v>
      </c>
      <c r="G34">
        <v>0.8</v>
      </c>
      <c r="H34">
        <v>0.8</v>
      </c>
      <c r="I34">
        <v>0.8</v>
      </c>
      <c r="J34" s="107">
        <v>0.25</v>
      </c>
      <c r="K34" s="107">
        <v>0.05</v>
      </c>
      <c r="Y34"/>
      <c r="AC34"/>
      <c r="AG34"/>
    </row>
    <row r="35" spans="4:33" ht="15" customHeight="1" x14ac:dyDescent="0.15">
      <c r="D35">
        <v>34</v>
      </c>
      <c r="E35" s="150" t="s">
        <v>225</v>
      </c>
      <c r="F35">
        <v>0.98</v>
      </c>
      <c r="G35">
        <v>0.8</v>
      </c>
      <c r="H35">
        <v>0.8</v>
      </c>
      <c r="I35">
        <v>0.8</v>
      </c>
      <c r="J35" s="107">
        <v>0.25</v>
      </c>
      <c r="K35" s="107">
        <v>0.05</v>
      </c>
      <c r="Y35"/>
      <c r="AC35"/>
      <c r="AG35"/>
    </row>
    <row r="36" spans="4:33" ht="15" customHeight="1" x14ac:dyDescent="0.15">
      <c r="D36">
        <v>35</v>
      </c>
      <c r="E36" s="150" t="s">
        <v>226</v>
      </c>
      <c r="F36">
        <v>0.98</v>
      </c>
      <c r="G36">
        <v>0.8</v>
      </c>
      <c r="H36">
        <v>0.8</v>
      </c>
      <c r="I36">
        <v>0.8</v>
      </c>
      <c r="J36" s="107">
        <v>0.25</v>
      </c>
      <c r="K36" s="107">
        <v>0.05</v>
      </c>
      <c r="Y36"/>
      <c r="AC36"/>
      <c r="AG36"/>
    </row>
    <row r="37" spans="4:33" ht="15" customHeight="1" x14ac:dyDescent="0.15">
      <c r="D37">
        <v>36</v>
      </c>
      <c r="E37" s="150" t="s">
        <v>227</v>
      </c>
      <c r="F37">
        <v>0.98</v>
      </c>
      <c r="G37">
        <v>0.8</v>
      </c>
      <c r="H37">
        <v>0.8</v>
      </c>
      <c r="I37">
        <v>0.8</v>
      </c>
      <c r="J37" s="107">
        <v>0.25</v>
      </c>
      <c r="K37" s="107">
        <v>0.05</v>
      </c>
      <c r="Y37"/>
      <c r="AC37"/>
      <c r="AG37"/>
    </row>
    <row r="38" spans="4:33" ht="15" customHeight="1" x14ac:dyDescent="0.15">
      <c r="D38">
        <v>37</v>
      </c>
      <c r="E38" s="150" t="s">
        <v>228</v>
      </c>
      <c r="F38">
        <v>0.98</v>
      </c>
      <c r="G38">
        <v>0.8</v>
      </c>
      <c r="H38">
        <v>0.8</v>
      </c>
      <c r="I38">
        <v>0.8</v>
      </c>
      <c r="J38" s="107">
        <v>0.25</v>
      </c>
      <c r="K38" s="107">
        <v>0.05</v>
      </c>
      <c r="Y38"/>
      <c r="AC38"/>
      <c r="AG38"/>
    </row>
    <row r="39" spans="4:33" ht="15" customHeight="1" x14ac:dyDescent="0.15">
      <c r="D39">
        <v>38</v>
      </c>
      <c r="E39" s="150" t="s">
        <v>229</v>
      </c>
      <c r="F39">
        <v>0.98</v>
      </c>
      <c r="G39">
        <v>0.8</v>
      </c>
      <c r="H39">
        <v>0.8</v>
      </c>
      <c r="I39">
        <v>0.8</v>
      </c>
      <c r="J39" s="107">
        <v>0.25</v>
      </c>
      <c r="K39" s="107">
        <v>0.05</v>
      </c>
    </row>
    <row r="40" spans="4:33" ht="15" customHeight="1" x14ac:dyDescent="0.15">
      <c r="D40">
        <v>39</v>
      </c>
      <c r="E40" s="150" t="s">
        <v>230</v>
      </c>
      <c r="F40">
        <v>0.98</v>
      </c>
      <c r="G40">
        <v>0.8</v>
      </c>
      <c r="H40">
        <v>0.8</v>
      </c>
      <c r="I40">
        <v>0.8</v>
      </c>
      <c r="J40" s="107">
        <v>0.25</v>
      </c>
      <c r="K40" s="107">
        <v>0.05</v>
      </c>
      <c r="Y40"/>
      <c r="AC40"/>
      <c r="AG40"/>
    </row>
    <row r="41" spans="4:33" ht="15" customHeight="1" x14ac:dyDescent="0.15">
      <c r="D41">
        <v>40</v>
      </c>
      <c r="E41" s="150" t="s">
        <v>231</v>
      </c>
      <c r="F41">
        <v>0.98</v>
      </c>
      <c r="G41">
        <v>0.8</v>
      </c>
      <c r="H41">
        <v>0.8</v>
      </c>
      <c r="I41">
        <v>0.8</v>
      </c>
      <c r="J41" s="107">
        <v>0.25</v>
      </c>
      <c r="K41" s="107">
        <v>0.05</v>
      </c>
      <c r="Y41"/>
      <c r="AC41"/>
      <c r="AG41"/>
    </row>
    <row r="42" spans="4:33" ht="15" customHeight="1" x14ac:dyDescent="0.15">
      <c r="D42">
        <v>41</v>
      </c>
      <c r="E42" s="150" t="s">
        <v>232</v>
      </c>
      <c r="F42">
        <v>0.98</v>
      </c>
      <c r="G42">
        <v>0.8</v>
      </c>
      <c r="H42">
        <v>0.8</v>
      </c>
      <c r="I42">
        <v>0.8</v>
      </c>
      <c r="J42" s="107">
        <v>0.25</v>
      </c>
      <c r="K42" s="107">
        <v>0.05</v>
      </c>
      <c r="Y42"/>
      <c r="AC42"/>
      <c r="AG42"/>
    </row>
    <row r="43" spans="4:33" ht="15" customHeight="1" x14ac:dyDescent="0.15">
      <c r="D43">
        <v>42</v>
      </c>
      <c r="E43" s="150" t="s">
        <v>233</v>
      </c>
      <c r="F43">
        <v>0.98</v>
      </c>
      <c r="G43">
        <v>0.8</v>
      </c>
      <c r="H43">
        <v>0.8</v>
      </c>
      <c r="I43">
        <v>0.8</v>
      </c>
      <c r="J43" s="107">
        <v>0.25</v>
      </c>
      <c r="K43" s="107">
        <v>0.05</v>
      </c>
      <c r="Y43"/>
      <c r="AC43"/>
      <c r="AG43"/>
    </row>
    <row r="44" spans="4:33" ht="15" customHeight="1" x14ac:dyDescent="0.15">
      <c r="D44">
        <v>43</v>
      </c>
      <c r="E44" s="150" t="s">
        <v>234</v>
      </c>
      <c r="F44">
        <v>0.98</v>
      </c>
      <c r="G44">
        <v>0.8</v>
      </c>
      <c r="H44">
        <v>0.8</v>
      </c>
      <c r="I44">
        <v>0.8</v>
      </c>
      <c r="J44" s="107">
        <v>0.25</v>
      </c>
      <c r="K44" s="107">
        <v>0.05</v>
      </c>
      <c r="Y44"/>
      <c r="AC44"/>
      <c r="AG44"/>
    </row>
    <row r="45" spans="4:33" ht="15" customHeight="1" x14ac:dyDescent="0.15">
      <c r="D45">
        <v>44</v>
      </c>
      <c r="E45" s="150" t="s">
        <v>235</v>
      </c>
      <c r="F45">
        <v>0.98</v>
      </c>
      <c r="G45">
        <v>0.8</v>
      </c>
      <c r="H45">
        <v>0.8</v>
      </c>
      <c r="I45">
        <v>0.8</v>
      </c>
      <c r="J45" s="107">
        <v>0.25</v>
      </c>
      <c r="K45" s="107">
        <v>0.05</v>
      </c>
      <c r="Y45"/>
      <c r="AC45"/>
      <c r="AG45"/>
    </row>
    <row r="46" spans="4:33" ht="15" customHeight="1" x14ac:dyDescent="0.15">
      <c r="D46">
        <v>45</v>
      </c>
      <c r="E46" s="150" t="s">
        <v>236</v>
      </c>
      <c r="F46">
        <v>0.98</v>
      </c>
      <c r="G46">
        <v>0.8</v>
      </c>
      <c r="H46">
        <v>0.8</v>
      </c>
      <c r="I46">
        <v>0</v>
      </c>
      <c r="J46" s="107">
        <v>0</v>
      </c>
      <c r="K46" s="107">
        <v>0</v>
      </c>
      <c r="Y46"/>
      <c r="AC46"/>
      <c r="AG46"/>
    </row>
    <row r="47" spans="4:33" ht="15" customHeight="1" x14ac:dyDescent="0.15">
      <c r="D47">
        <v>46</v>
      </c>
      <c r="E47" s="150" t="s">
        <v>237</v>
      </c>
      <c r="F47">
        <v>0.98</v>
      </c>
      <c r="G47">
        <v>0.8</v>
      </c>
      <c r="H47">
        <v>0.8</v>
      </c>
      <c r="I47">
        <v>0</v>
      </c>
      <c r="J47" s="107">
        <v>0</v>
      </c>
      <c r="K47" s="107">
        <v>0</v>
      </c>
      <c r="Y47"/>
      <c r="AC47"/>
      <c r="AG47"/>
    </row>
    <row r="48" spans="4:33" ht="15" customHeight="1" x14ac:dyDescent="0.15">
      <c r="D48">
        <v>47</v>
      </c>
      <c r="E48" s="150" t="s">
        <v>238</v>
      </c>
      <c r="F48">
        <v>0.98</v>
      </c>
      <c r="G48">
        <v>0.8</v>
      </c>
      <c r="H48">
        <v>0.8</v>
      </c>
      <c r="I48">
        <v>0</v>
      </c>
      <c r="J48" s="107">
        <v>0</v>
      </c>
      <c r="K48" s="107">
        <v>0</v>
      </c>
      <c r="Y48"/>
      <c r="AC48"/>
      <c r="AG48"/>
    </row>
    <row r="49" spans="4:33" ht="15" customHeight="1" x14ac:dyDescent="0.15">
      <c r="D49">
        <v>48</v>
      </c>
      <c r="E49" s="150" t="s">
        <v>239</v>
      </c>
      <c r="F49">
        <v>0.98</v>
      </c>
      <c r="G49">
        <v>0.8</v>
      </c>
      <c r="H49">
        <v>0</v>
      </c>
      <c r="I49">
        <v>0</v>
      </c>
      <c r="J49" s="107">
        <v>0</v>
      </c>
      <c r="K49" s="107">
        <v>0</v>
      </c>
      <c r="Y49"/>
      <c r="AC49"/>
      <c r="AG49"/>
    </row>
    <row r="50" spans="4:33" ht="15" customHeight="1" x14ac:dyDescent="0.15">
      <c r="D50">
        <v>49</v>
      </c>
      <c r="E50" s="150" t="s">
        <v>240</v>
      </c>
      <c r="F50">
        <v>0.98</v>
      </c>
      <c r="G50">
        <v>0.8</v>
      </c>
      <c r="H50">
        <v>0</v>
      </c>
      <c r="I50">
        <v>0</v>
      </c>
      <c r="J50" s="107">
        <v>0</v>
      </c>
      <c r="K50" s="107">
        <v>0</v>
      </c>
      <c r="Y50"/>
      <c r="AC50"/>
      <c r="AG50"/>
    </row>
    <row r="51" spans="4:33" ht="15" customHeight="1" x14ac:dyDescent="0.15">
      <c r="J51"/>
      <c r="K51"/>
      <c r="Y51"/>
      <c r="AC51"/>
      <c r="AG51"/>
    </row>
    <row r="52" spans="4:33" ht="15" customHeight="1" x14ac:dyDescent="0.15">
      <c r="J52"/>
      <c r="K52"/>
      <c r="Y52"/>
      <c r="AC52"/>
      <c r="AG52"/>
    </row>
    <row r="53" spans="4:33" ht="15" customHeight="1" x14ac:dyDescent="0.15">
      <c r="J53"/>
      <c r="K53"/>
      <c r="Y53"/>
      <c r="AC53"/>
      <c r="AG53"/>
    </row>
    <row r="54" spans="4:33" ht="15" customHeight="1" x14ac:dyDescent="0.15">
      <c r="J54"/>
      <c r="K54"/>
      <c r="Y54"/>
      <c r="AC54"/>
      <c r="AG54"/>
    </row>
    <row r="55" spans="4:33" ht="15" customHeight="1" x14ac:dyDescent="0.15">
      <c r="J55"/>
      <c r="K55"/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X51"/>
  <sheetViews>
    <sheetView workbookViewId="0">
      <selection activeCell="A3" sqref="A3"/>
    </sheetView>
  </sheetViews>
  <sheetFormatPr baseColWidth="10" defaultRowHeight="13" x14ac:dyDescent="0.15"/>
  <cols>
    <col min="1" max="1" width="21.6640625" style="105" bestFit="1" customWidth="1"/>
    <col min="2" max="45" width="3.83203125" style="105" customWidth="1"/>
    <col min="46" max="50" width="2.33203125" style="105" customWidth="1"/>
    <col min="51" max="16384" width="10.83203125" style="105"/>
  </cols>
  <sheetData>
    <row r="1" spans="1:50" x14ac:dyDescent="0.15">
      <c r="A1" s="63" t="s">
        <v>118</v>
      </c>
      <c r="B1" s="152" t="s">
        <v>192</v>
      </c>
      <c r="C1" s="152" t="s">
        <v>193</v>
      </c>
      <c r="D1" s="152" t="s">
        <v>194</v>
      </c>
      <c r="E1" s="152" t="s">
        <v>195</v>
      </c>
      <c r="F1" s="152" t="s">
        <v>196</v>
      </c>
      <c r="G1" s="152" t="s">
        <v>197</v>
      </c>
      <c r="H1" s="152" t="s">
        <v>198</v>
      </c>
      <c r="I1" s="152" t="s">
        <v>199</v>
      </c>
      <c r="J1" s="152" t="s">
        <v>200</v>
      </c>
      <c r="K1" s="152" t="s">
        <v>201</v>
      </c>
      <c r="L1" s="152" t="s">
        <v>202</v>
      </c>
      <c r="M1" s="152" t="s">
        <v>203</v>
      </c>
      <c r="N1" s="152" t="s">
        <v>204</v>
      </c>
      <c r="O1" s="152" t="s">
        <v>205</v>
      </c>
      <c r="P1" s="152" t="s">
        <v>206</v>
      </c>
      <c r="Q1" s="152" t="s">
        <v>207</v>
      </c>
      <c r="R1" s="152" t="s">
        <v>208</v>
      </c>
      <c r="S1" s="152" t="s">
        <v>209</v>
      </c>
      <c r="T1" s="152" t="s">
        <v>210</v>
      </c>
      <c r="U1" s="152" t="s">
        <v>211</v>
      </c>
      <c r="V1" s="152" t="s">
        <v>212</v>
      </c>
      <c r="W1" s="152" t="s">
        <v>213</v>
      </c>
      <c r="X1" s="152" t="s">
        <v>214</v>
      </c>
      <c r="Y1" s="152" t="s">
        <v>215</v>
      </c>
      <c r="Z1" s="152" t="s">
        <v>216</v>
      </c>
      <c r="AA1" s="152" t="s">
        <v>217</v>
      </c>
      <c r="AB1" s="152" t="s">
        <v>218</v>
      </c>
      <c r="AC1" s="152" t="s">
        <v>219</v>
      </c>
      <c r="AD1" s="152" t="s">
        <v>220</v>
      </c>
      <c r="AE1" s="152" t="s">
        <v>221</v>
      </c>
      <c r="AF1" s="152" t="s">
        <v>222</v>
      </c>
      <c r="AG1" s="152" t="s">
        <v>223</v>
      </c>
      <c r="AH1" s="152" t="s">
        <v>224</v>
      </c>
      <c r="AI1" s="152" t="s">
        <v>225</v>
      </c>
      <c r="AJ1" s="152" t="s">
        <v>226</v>
      </c>
      <c r="AK1" s="152" t="s">
        <v>227</v>
      </c>
      <c r="AL1" s="152" t="s">
        <v>228</v>
      </c>
      <c r="AM1" s="152" t="s">
        <v>229</v>
      </c>
      <c r="AN1" s="152" t="s">
        <v>230</v>
      </c>
      <c r="AO1" s="152" t="s">
        <v>231</v>
      </c>
      <c r="AP1" s="152" t="s">
        <v>232</v>
      </c>
      <c r="AQ1" s="152" t="s">
        <v>233</v>
      </c>
      <c r="AR1" s="152" t="s">
        <v>234</v>
      </c>
      <c r="AS1" s="152" t="s">
        <v>235</v>
      </c>
      <c r="AT1" s="152" t="s">
        <v>236</v>
      </c>
      <c r="AU1" s="152" t="s">
        <v>237</v>
      </c>
      <c r="AV1" s="152" t="s">
        <v>238</v>
      </c>
      <c r="AW1" s="152" t="s">
        <v>239</v>
      </c>
      <c r="AX1" s="152" t="s">
        <v>240</v>
      </c>
    </row>
    <row r="2" spans="1:50" customFormat="1" x14ac:dyDescent="0.15">
      <c r="A2" s="151" t="s">
        <v>192</v>
      </c>
      <c r="B2" s="105">
        <v>0</v>
      </c>
      <c r="C2" s="105">
        <v>0</v>
      </c>
      <c r="D2" s="105">
        <v>0</v>
      </c>
      <c r="E2" s="105">
        <v>0.8</v>
      </c>
      <c r="F2" s="105">
        <v>0</v>
      </c>
      <c r="G2" s="105">
        <v>0</v>
      </c>
      <c r="H2" s="105">
        <v>0</v>
      </c>
      <c r="I2" s="105">
        <v>0.8</v>
      </c>
      <c r="J2" s="105">
        <v>0</v>
      </c>
      <c r="K2" s="105">
        <v>0</v>
      </c>
      <c r="L2" s="105">
        <v>0</v>
      </c>
      <c r="M2" s="105">
        <v>0</v>
      </c>
      <c r="N2" s="105">
        <v>0</v>
      </c>
      <c r="O2" s="105">
        <v>0</v>
      </c>
      <c r="P2" s="105">
        <v>0</v>
      </c>
      <c r="Q2" s="105">
        <v>0</v>
      </c>
      <c r="R2" s="105">
        <v>0</v>
      </c>
      <c r="S2" s="105">
        <v>0</v>
      </c>
      <c r="T2" s="105">
        <v>0</v>
      </c>
      <c r="U2" s="105">
        <v>0</v>
      </c>
      <c r="V2" s="105">
        <v>0</v>
      </c>
      <c r="W2" s="105">
        <v>0</v>
      </c>
      <c r="X2" s="105">
        <v>0</v>
      </c>
      <c r="Y2" s="105">
        <v>0</v>
      </c>
      <c r="Z2" s="105">
        <v>0</v>
      </c>
      <c r="AA2" s="105">
        <v>0</v>
      </c>
      <c r="AB2" s="105">
        <v>0.8</v>
      </c>
      <c r="AC2" s="105">
        <v>0</v>
      </c>
      <c r="AD2" s="105">
        <v>0</v>
      </c>
      <c r="AE2" s="105">
        <v>0</v>
      </c>
      <c r="AF2" s="105">
        <v>0</v>
      </c>
      <c r="AG2" s="105">
        <v>0</v>
      </c>
      <c r="AH2" s="105">
        <v>0</v>
      </c>
      <c r="AI2" s="105">
        <v>0</v>
      </c>
      <c r="AJ2" s="105">
        <v>0</v>
      </c>
      <c r="AK2" s="105">
        <v>0</v>
      </c>
      <c r="AL2" s="105">
        <v>0</v>
      </c>
      <c r="AM2" s="105">
        <v>0</v>
      </c>
      <c r="AN2" s="105">
        <v>0</v>
      </c>
      <c r="AO2" s="105">
        <v>0</v>
      </c>
      <c r="AP2" s="105">
        <v>0</v>
      </c>
      <c r="AQ2" s="105">
        <v>0</v>
      </c>
      <c r="AR2" s="105">
        <v>0</v>
      </c>
      <c r="AS2" s="105">
        <v>0</v>
      </c>
      <c r="AT2" s="105">
        <v>0</v>
      </c>
      <c r="AU2" s="105">
        <v>0</v>
      </c>
      <c r="AV2" s="105">
        <v>0</v>
      </c>
      <c r="AW2" s="105">
        <v>0</v>
      </c>
      <c r="AX2" s="105">
        <v>0</v>
      </c>
    </row>
    <row r="3" spans="1:50" customFormat="1" x14ac:dyDescent="0.15">
      <c r="A3" s="151" t="s">
        <v>193</v>
      </c>
      <c r="B3" s="105">
        <v>0</v>
      </c>
      <c r="C3" s="105">
        <v>0</v>
      </c>
      <c r="D3" s="105">
        <v>0</v>
      </c>
      <c r="E3" s="105">
        <v>0</v>
      </c>
      <c r="F3" s="105">
        <v>0</v>
      </c>
      <c r="G3" s="105">
        <v>0</v>
      </c>
      <c r="H3" s="105">
        <v>0</v>
      </c>
      <c r="I3" s="105">
        <v>0</v>
      </c>
      <c r="J3" s="105">
        <v>0</v>
      </c>
      <c r="K3" s="105">
        <v>0</v>
      </c>
      <c r="L3" s="105">
        <v>0</v>
      </c>
      <c r="M3" s="105">
        <v>0</v>
      </c>
      <c r="N3" s="105">
        <v>0</v>
      </c>
      <c r="O3" s="105">
        <v>0</v>
      </c>
      <c r="P3" s="105">
        <v>0</v>
      </c>
      <c r="Q3" s="105">
        <v>0</v>
      </c>
      <c r="R3" s="105">
        <v>0</v>
      </c>
      <c r="S3" s="105">
        <v>0</v>
      </c>
      <c r="T3" s="105">
        <v>0.8</v>
      </c>
      <c r="U3" s="105">
        <v>0</v>
      </c>
      <c r="V3" s="105">
        <v>0</v>
      </c>
      <c r="W3" s="105">
        <v>0</v>
      </c>
      <c r="X3" s="105">
        <v>0</v>
      </c>
      <c r="Y3" s="105">
        <v>0</v>
      </c>
      <c r="Z3" s="105">
        <v>0</v>
      </c>
      <c r="AA3" s="105">
        <v>0</v>
      </c>
      <c r="AB3" s="105">
        <v>0</v>
      </c>
      <c r="AC3" s="105">
        <v>0</v>
      </c>
      <c r="AD3" s="105">
        <v>0</v>
      </c>
      <c r="AE3" s="105">
        <v>0</v>
      </c>
      <c r="AF3" s="105">
        <v>0</v>
      </c>
      <c r="AG3" s="105">
        <v>0</v>
      </c>
      <c r="AH3" s="105">
        <v>0</v>
      </c>
      <c r="AI3" s="105">
        <v>0</v>
      </c>
      <c r="AJ3" s="105">
        <v>0</v>
      </c>
      <c r="AK3" s="105">
        <v>0</v>
      </c>
      <c r="AL3" s="105">
        <v>0</v>
      </c>
      <c r="AM3" s="105">
        <v>0</v>
      </c>
      <c r="AN3" s="105">
        <v>0</v>
      </c>
      <c r="AO3" s="105">
        <v>0</v>
      </c>
      <c r="AP3" s="105">
        <v>0</v>
      </c>
      <c r="AQ3" s="105">
        <v>0</v>
      </c>
      <c r="AR3" s="105">
        <v>0</v>
      </c>
      <c r="AS3" s="105">
        <v>0</v>
      </c>
      <c r="AT3" s="105">
        <v>0</v>
      </c>
      <c r="AU3" s="105">
        <v>0</v>
      </c>
      <c r="AV3" s="105">
        <v>0</v>
      </c>
      <c r="AW3" s="105">
        <v>0</v>
      </c>
      <c r="AX3" s="105">
        <v>0</v>
      </c>
    </row>
    <row r="4" spans="1:50" customFormat="1" x14ac:dyDescent="0.15">
      <c r="A4" s="151" t="s">
        <v>194</v>
      </c>
      <c r="B4" s="105">
        <v>0</v>
      </c>
      <c r="C4" s="105">
        <v>0</v>
      </c>
      <c r="D4" s="105">
        <v>0</v>
      </c>
      <c r="E4" s="105">
        <v>0</v>
      </c>
      <c r="F4" s="105">
        <v>0</v>
      </c>
      <c r="G4" s="105">
        <v>0</v>
      </c>
      <c r="H4" s="105">
        <v>0</v>
      </c>
      <c r="I4" s="105">
        <v>0</v>
      </c>
      <c r="J4" s="105">
        <v>0</v>
      </c>
      <c r="K4" s="105">
        <v>0</v>
      </c>
      <c r="L4" s="105">
        <v>0</v>
      </c>
      <c r="M4" s="105">
        <v>0</v>
      </c>
      <c r="N4" s="105">
        <v>0</v>
      </c>
      <c r="O4" s="105">
        <v>0</v>
      </c>
      <c r="P4" s="105">
        <v>0</v>
      </c>
      <c r="Q4" s="105">
        <v>0</v>
      </c>
      <c r="R4" s="105">
        <v>0</v>
      </c>
      <c r="S4" s="105">
        <v>0</v>
      </c>
      <c r="T4" s="105">
        <v>0</v>
      </c>
      <c r="U4" s="105">
        <v>0</v>
      </c>
      <c r="V4" s="105">
        <v>0</v>
      </c>
      <c r="W4" s="105">
        <v>0</v>
      </c>
      <c r="X4" s="105">
        <v>0</v>
      </c>
      <c r="Y4" s="105">
        <v>0</v>
      </c>
      <c r="Z4" s="105">
        <v>0</v>
      </c>
      <c r="AA4" s="105">
        <v>0</v>
      </c>
      <c r="AB4" s="105">
        <v>0</v>
      </c>
      <c r="AC4" s="105">
        <v>0</v>
      </c>
      <c r="AD4" s="105">
        <v>0</v>
      </c>
      <c r="AE4" s="105">
        <v>0</v>
      </c>
      <c r="AF4" s="105">
        <v>0</v>
      </c>
      <c r="AG4" s="105">
        <v>0</v>
      </c>
      <c r="AH4" s="105">
        <v>0</v>
      </c>
      <c r="AI4" s="105">
        <v>0</v>
      </c>
      <c r="AJ4" s="105">
        <v>0</v>
      </c>
      <c r="AK4" s="105">
        <v>0</v>
      </c>
      <c r="AL4" s="105">
        <v>0</v>
      </c>
      <c r="AM4" s="105">
        <v>0</v>
      </c>
      <c r="AN4" s="105">
        <v>0</v>
      </c>
      <c r="AO4" s="105">
        <v>0</v>
      </c>
      <c r="AP4" s="105">
        <v>0</v>
      </c>
      <c r="AQ4" s="105">
        <v>0</v>
      </c>
      <c r="AR4" s="105">
        <v>0</v>
      </c>
      <c r="AS4" s="105">
        <v>0</v>
      </c>
      <c r="AT4" s="105">
        <v>0</v>
      </c>
      <c r="AU4" s="105">
        <v>0</v>
      </c>
      <c r="AV4" s="105">
        <v>0</v>
      </c>
      <c r="AW4" s="105">
        <v>0</v>
      </c>
      <c r="AX4" s="105">
        <v>0</v>
      </c>
    </row>
    <row r="5" spans="1:50" customFormat="1" x14ac:dyDescent="0.15">
      <c r="A5" s="151" t="s">
        <v>195</v>
      </c>
      <c r="B5" s="105">
        <v>0</v>
      </c>
      <c r="C5" s="105">
        <v>0</v>
      </c>
      <c r="D5" s="105">
        <v>0</v>
      </c>
      <c r="E5" s="105">
        <v>0</v>
      </c>
      <c r="F5" s="105">
        <v>0</v>
      </c>
      <c r="G5" s="105">
        <v>0</v>
      </c>
      <c r="H5" s="105">
        <v>0</v>
      </c>
      <c r="I5" s="105">
        <v>0</v>
      </c>
      <c r="J5" s="105">
        <v>0</v>
      </c>
      <c r="K5" s="105">
        <v>0</v>
      </c>
      <c r="L5" s="105">
        <v>0</v>
      </c>
      <c r="M5" s="105">
        <v>0</v>
      </c>
      <c r="N5" s="105">
        <v>0</v>
      </c>
      <c r="O5" s="105">
        <v>0</v>
      </c>
      <c r="P5" s="105">
        <v>0</v>
      </c>
      <c r="Q5" s="105">
        <v>0</v>
      </c>
      <c r="R5" s="105">
        <v>0</v>
      </c>
      <c r="S5" s="105">
        <v>0</v>
      </c>
      <c r="T5" s="105">
        <v>0</v>
      </c>
      <c r="U5" s="105">
        <v>0</v>
      </c>
      <c r="V5" s="105">
        <v>0</v>
      </c>
      <c r="W5" s="105">
        <v>0</v>
      </c>
      <c r="X5" s="105">
        <v>0</v>
      </c>
      <c r="Y5" s="105">
        <v>0</v>
      </c>
      <c r="Z5" s="105">
        <v>0</v>
      </c>
      <c r="AA5" s="105">
        <v>0</v>
      </c>
      <c r="AB5" s="105">
        <v>0</v>
      </c>
      <c r="AC5" s="105">
        <v>0</v>
      </c>
      <c r="AD5" s="105">
        <v>0</v>
      </c>
      <c r="AE5" s="105">
        <v>0</v>
      </c>
      <c r="AF5" s="105">
        <v>0</v>
      </c>
      <c r="AG5" s="105">
        <v>0</v>
      </c>
      <c r="AH5" s="105">
        <v>0</v>
      </c>
      <c r="AI5" s="105">
        <v>0</v>
      </c>
      <c r="AJ5" s="105">
        <v>0</v>
      </c>
      <c r="AK5" s="105">
        <v>0</v>
      </c>
      <c r="AL5" s="105">
        <v>0</v>
      </c>
      <c r="AM5" s="105">
        <v>0</v>
      </c>
      <c r="AN5" s="105">
        <v>0</v>
      </c>
      <c r="AO5" s="105">
        <v>0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>
        <v>0</v>
      </c>
    </row>
    <row r="6" spans="1:50" customFormat="1" x14ac:dyDescent="0.15">
      <c r="A6" s="151" t="s">
        <v>196</v>
      </c>
      <c r="B6" s="105">
        <v>0</v>
      </c>
      <c r="C6" s="105">
        <v>0</v>
      </c>
      <c r="D6" s="105">
        <v>0</v>
      </c>
      <c r="E6" s="105">
        <v>0</v>
      </c>
      <c r="F6" s="105">
        <v>0</v>
      </c>
      <c r="G6" s="105">
        <v>0</v>
      </c>
      <c r="H6" s="105">
        <v>0</v>
      </c>
      <c r="I6" s="105">
        <v>0</v>
      </c>
      <c r="J6" s="105">
        <v>0</v>
      </c>
      <c r="K6" s="105">
        <v>0</v>
      </c>
      <c r="L6" s="105">
        <v>0</v>
      </c>
      <c r="M6" s="105">
        <v>0</v>
      </c>
      <c r="N6" s="105">
        <v>0</v>
      </c>
      <c r="O6" s="105">
        <v>0</v>
      </c>
      <c r="P6" s="105">
        <v>0</v>
      </c>
      <c r="Q6" s="105">
        <v>0</v>
      </c>
      <c r="R6" s="105">
        <v>0</v>
      </c>
      <c r="S6" s="105">
        <v>0</v>
      </c>
      <c r="T6" s="105">
        <v>0</v>
      </c>
      <c r="U6" s="105">
        <v>0</v>
      </c>
      <c r="V6" s="105">
        <v>0</v>
      </c>
      <c r="W6" s="105">
        <v>0</v>
      </c>
      <c r="X6" s="105">
        <v>0</v>
      </c>
      <c r="Y6" s="105">
        <v>0</v>
      </c>
      <c r="Z6" s="105">
        <v>0</v>
      </c>
      <c r="AA6" s="105">
        <v>0</v>
      </c>
      <c r="AB6" s="105">
        <v>0</v>
      </c>
      <c r="AC6" s="105">
        <v>0</v>
      </c>
      <c r="AD6" s="105">
        <v>0</v>
      </c>
      <c r="AE6" s="105">
        <v>0</v>
      </c>
      <c r="AF6" s="105">
        <v>0</v>
      </c>
      <c r="AG6" s="105">
        <v>0</v>
      </c>
      <c r="AH6" s="105">
        <v>0</v>
      </c>
      <c r="AI6" s="105">
        <v>0</v>
      </c>
      <c r="AJ6" s="105">
        <v>0</v>
      </c>
      <c r="AK6" s="105">
        <v>0</v>
      </c>
      <c r="AL6" s="105">
        <v>0</v>
      </c>
      <c r="AM6" s="105">
        <v>0</v>
      </c>
      <c r="AN6" s="105">
        <v>0</v>
      </c>
      <c r="AO6" s="105">
        <v>0</v>
      </c>
      <c r="AP6" s="105">
        <v>0</v>
      </c>
      <c r="AQ6" s="105">
        <v>0</v>
      </c>
      <c r="AR6" s="105">
        <v>0</v>
      </c>
      <c r="AS6" s="105">
        <v>0</v>
      </c>
      <c r="AT6" s="105">
        <v>0</v>
      </c>
      <c r="AU6" s="105">
        <v>0</v>
      </c>
      <c r="AV6" s="105">
        <v>0</v>
      </c>
      <c r="AW6" s="105">
        <v>0</v>
      </c>
      <c r="AX6" s="105">
        <v>0</v>
      </c>
    </row>
    <row r="7" spans="1:50" customFormat="1" x14ac:dyDescent="0.15">
      <c r="A7" s="151" t="s">
        <v>197</v>
      </c>
      <c r="B7" s="105">
        <v>0</v>
      </c>
      <c r="C7" s="105">
        <v>0</v>
      </c>
      <c r="D7" s="105">
        <v>0</v>
      </c>
      <c r="E7" s="105">
        <v>0</v>
      </c>
      <c r="F7" s="105">
        <v>0</v>
      </c>
      <c r="G7" s="105">
        <v>0</v>
      </c>
      <c r="H7" s="105">
        <v>0</v>
      </c>
      <c r="I7" s="105">
        <v>0</v>
      </c>
      <c r="J7" s="105">
        <v>0</v>
      </c>
      <c r="K7" s="105">
        <v>0</v>
      </c>
      <c r="L7" s="105">
        <v>0</v>
      </c>
      <c r="M7" s="105">
        <v>0</v>
      </c>
      <c r="N7" s="105">
        <v>0</v>
      </c>
      <c r="O7" s="105">
        <v>0</v>
      </c>
      <c r="P7" s="105">
        <v>0</v>
      </c>
      <c r="Q7" s="105">
        <v>0</v>
      </c>
      <c r="R7" s="105">
        <v>0</v>
      </c>
      <c r="S7" s="105">
        <v>0</v>
      </c>
      <c r="T7" s="105">
        <v>0</v>
      </c>
      <c r="U7" s="105">
        <v>0</v>
      </c>
      <c r="V7" s="105">
        <v>0</v>
      </c>
      <c r="W7" s="105">
        <v>0</v>
      </c>
      <c r="X7" s="105">
        <v>0</v>
      </c>
      <c r="Y7" s="105">
        <v>0</v>
      </c>
      <c r="Z7" s="105">
        <v>0</v>
      </c>
      <c r="AA7" s="105">
        <v>0</v>
      </c>
      <c r="AB7" s="105">
        <v>0</v>
      </c>
      <c r="AC7" s="105">
        <v>0</v>
      </c>
      <c r="AD7" s="105">
        <v>0</v>
      </c>
      <c r="AE7" s="105">
        <v>0</v>
      </c>
      <c r="AF7" s="105">
        <v>0</v>
      </c>
      <c r="AG7" s="105">
        <v>0.8</v>
      </c>
      <c r="AH7" s="105">
        <v>0</v>
      </c>
      <c r="AI7" s="105">
        <v>0</v>
      </c>
      <c r="AJ7" s="105">
        <v>0</v>
      </c>
      <c r="AK7" s="105">
        <v>0</v>
      </c>
      <c r="AL7" s="105">
        <v>0</v>
      </c>
      <c r="AM7" s="105">
        <v>0</v>
      </c>
      <c r="AN7" s="105">
        <v>0</v>
      </c>
      <c r="AO7" s="105">
        <v>0</v>
      </c>
      <c r="AP7" s="105">
        <v>0</v>
      </c>
      <c r="AQ7" s="105">
        <v>0</v>
      </c>
      <c r="AR7" s="105">
        <v>0</v>
      </c>
      <c r="AS7" s="105">
        <v>0</v>
      </c>
      <c r="AT7" s="105">
        <v>0</v>
      </c>
      <c r="AU7" s="105">
        <v>0</v>
      </c>
      <c r="AV7" s="105">
        <v>0</v>
      </c>
      <c r="AW7" s="105">
        <v>0</v>
      </c>
      <c r="AX7" s="105">
        <v>0</v>
      </c>
    </row>
    <row r="8" spans="1:50" customFormat="1" x14ac:dyDescent="0.15">
      <c r="A8" s="151" t="s">
        <v>198</v>
      </c>
      <c r="B8" s="105">
        <v>0</v>
      </c>
      <c r="C8" s="105">
        <v>0</v>
      </c>
      <c r="D8" s="105">
        <v>0</v>
      </c>
      <c r="E8" s="105">
        <v>0</v>
      </c>
      <c r="F8" s="105">
        <v>0</v>
      </c>
      <c r="G8" s="105">
        <v>0</v>
      </c>
      <c r="H8" s="105">
        <v>0</v>
      </c>
      <c r="I8" s="105">
        <v>0.8</v>
      </c>
      <c r="J8" s="105">
        <v>0</v>
      </c>
      <c r="K8" s="105">
        <v>0</v>
      </c>
      <c r="L8" s="105">
        <v>0</v>
      </c>
      <c r="M8" s="105">
        <v>0</v>
      </c>
      <c r="N8" s="105">
        <v>0.8</v>
      </c>
      <c r="O8" s="105">
        <v>0</v>
      </c>
      <c r="P8" s="105">
        <v>0</v>
      </c>
      <c r="Q8" s="105">
        <v>0</v>
      </c>
      <c r="R8" s="105">
        <v>0</v>
      </c>
      <c r="S8" s="105">
        <v>0</v>
      </c>
      <c r="T8" s="105">
        <v>0</v>
      </c>
      <c r="U8" s="105">
        <v>0</v>
      </c>
      <c r="V8" s="105">
        <v>0</v>
      </c>
      <c r="W8" s="105">
        <v>0</v>
      </c>
      <c r="X8" s="105">
        <v>0</v>
      </c>
      <c r="Y8" s="105">
        <v>0</v>
      </c>
      <c r="Z8" s="105">
        <v>0</v>
      </c>
      <c r="AA8" s="105">
        <v>0</v>
      </c>
      <c r="AB8" s="105">
        <v>0</v>
      </c>
      <c r="AC8" s="105">
        <v>0</v>
      </c>
      <c r="AD8" s="105">
        <v>0</v>
      </c>
      <c r="AE8" s="105">
        <v>0</v>
      </c>
      <c r="AF8" s="105">
        <v>0</v>
      </c>
      <c r="AG8" s="105">
        <v>0</v>
      </c>
      <c r="AH8" s="105">
        <v>0</v>
      </c>
      <c r="AI8" s="105">
        <v>0</v>
      </c>
      <c r="AJ8" s="105">
        <v>0</v>
      </c>
      <c r="AK8" s="105">
        <v>0</v>
      </c>
      <c r="AL8" s="105">
        <v>0</v>
      </c>
      <c r="AM8" s="105">
        <v>0</v>
      </c>
      <c r="AN8" s="105">
        <v>0</v>
      </c>
      <c r="AO8" s="105">
        <v>0</v>
      </c>
      <c r="AP8" s="105">
        <v>0</v>
      </c>
      <c r="AQ8" s="105">
        <v>0</v>
      </c>
      <c r="AR8" s="105">
        <v>0</v>
      </c>
      <c r="AS8" s="105">
        <v>0</v>
      </c>
      <c r="AT8" s="105">
        <v>0</v>
      </c>
      <c r="AU8" s="105">
        <v>0</v>
      </c>
      <c r="AV8" s="105">
        <v>0</v>
      </c>
      <c r="AW8" s="105">
        <v>0</v>
      </c>
      <c r="AX8" s="105">
        <v>0</v>
      </c>
    </row>
    <row r="9" spans="1:50" customFormat="1" x14ac:dyDescent="0.15">
      <c r="A9" s="151" t="s">
        <v>199</v>
      </c>
      <c r="B9" s="105">
        <v>0</v>
      </c>
      <c r="C9" s="105">
        <v>0</v>
      </c>
      <c r="D9" s="105">
        <v>0</v>
      </c>
      <c r="E9" s="105">
        <v>0</v>
      </c>
      <c r="F9" s="105">
        <v>0</v>
      </c>
      <c r="G9" s="105">
        <v>0</v>
      </c>
      <c r="H9" s="105">
        <v>0</v>
      </c>
      <c r="I9" s="105">
        <v>0</v>
      </c>
      <c r="J9" s="105">
        <v>0</v>
      </c>
      <c r="K9" s="105">
        <v>0</v>
      </c>
      <c r="L9" s="105">
        <v>0</v>
      </c>
      <c r="M9" s="105">
        <v>0</v>
      </c>
      <c r="N9" s="105">
        <v>0.8</v>
      </c>
      <c r="O9" s="105">
        <v>0</v>
      </c>
      <c r="P9" s="105">
        <v>0</v>
      </c>
      <c r="Q9" s="105">
        <v>0</v>
      </c>
      <c r="R9" s="105">
        <v>0</v>
      </c>
      <c r="S9" s="105">
        <v>0</v>
      </c>
      <c r="T9" s="105">
        <v>0</v>
      </c>
      <c r="U9" s="105">
        <v>0</v>
      </c>
      <c r="V9" s="105">
        <v>0</v>
      </c>
      <c r="W9" s="105">
        <v>0</v>
      </c>
      <c r="X9" s="105">
        <v>0</v>
      </c>
      <c r="Y9" s="105">
        <v>0</v>
      </c>
      <c r="Z9" s="105">
        <v>0</v>
      </c>
      <c r="AA9" s="105">
        <v>0</v>
      </c>
      <c r="AB9" s="105">
        <v>0</v>
      </c>
      <c r="AC9" s="105">
        <v>0</v>
      </c>
      <c r="AD9" s="105">
        <v>0</v>
      </c>
      <c r="AE9" s="105">
        <v>0</v>
      </c>
      <c r="AF9" s="105">
        <v>0</v>
      </c>
      <c r="AG9" s="105">
        <v>0</v>
      </c>
      <c r="AH9" s="105">
        <v>0</v>
      </c>
      <c r="AI9" s="105">
        <v>0</v>
      </c>
      <c r="AJ9" s="105">
        <v>0</v>
      </c>
      <c r="AK9" s="105">
        <v>0</v>
      </c>
      <c r="AL9" s="105">
        <v>0</v>
      </c>
      <c r="AM9" s="105">
        <v>0</v>
      </c>
      <c r="AN9" s="105">
        <v>0</v>
      </c>
      <c r="AO9" s="105">
        <v>0</v>
      </c>
      <c r="AP9" s="105">
        <v>0</v>
      </c>
      <c r="AQ9" s="105">
        <v>0</v>
      </c>
      <c r="AR9" s="105">
        <v>0</v>
      </c>
      <c r="AS9" s="105">
        <v>0</v>
      </c>
      <c r="AT9" s="105">
        <v>0</v>
      </c>
      <c r="AU9" s="105">
        <v>0</v>
      </c>
      <c r="AV9" s="105">
        <v>0</v>
      </c>
      <c r="AW9" s="105">
        <v>0</v>
      </c>
      <c r="AX9" s="105">
        <v>0</v>
      </c>
    </row>
    <row r="10" spans="1:50" customFormat="1" x14ac:dyDescent="0.15">
      <c r="A10" s="151" t="s">
        <v>200</v>
      </c>
      <c r="B10" s="105">
        <v>0</v>
      </c>
      <c r="C10" s="105">
        <v>0</v>
      </c>
      <c r="D10" s="105">
        <v>0.8</v>
      </c>
      <c r="E10" s="105">
        <v>0.8</v>
      </c>
      <c r="F10" s="105">
        <v>0.8</v>
      </c>
      <c r="G10" s="105">
        <v>0</v>
      </c>
      <c r="H10" s="105">
        <v>0</v>
      </c>
      <c r="I10" s="105">
        <v>0.8</v>
      </c>
      <c r="J10" s="105">
        <v>0</v>
      </c>
      <c r="K10" s="105">
        <v>0</v>
      </c>
      <c r="L10" s="105">
        <v>0</v>
      </c>
      <c r="M10" s="105">
        <v>0.8</v>
      </c>
      <c r="N10" s="105">
        <v>0</v>
      </c>
      <c r="O10" s="105">
        <v>0</v>
      </c>
      <c r="P10" s="105">
        <v>0.8</v>
      </c>
      <c r="Q10" s="105">
        <v>0</v>
      </c>
      <c r="R10" s="105">
        <v>0</v>
      </c>
      <c r="S10" s="105">
        <v>0</v>
      </c>
      <c r="T10" s="105">
        <v>0</v>
      </c>
      <c r="U10" s="105">
        <v>0</v>
      </c>
      <c r="V10" s="105">
        <v>0</v>
      </c>
      <c r="W10" s="105">
        <v>0</v>
      </c>
      <c r="X10" s="105">
        <v>0</v>
      </c>
      <c r="Y10" s="105">
        <v>0</v>
      </c>
      <c r="Z10" s="105">
        <v>0</v>
      </c>
      <c r="AA10" s="105">
        <v>0</v>
      </c>
      <c r="AB10" s="105">
        <v>0</v>
      </c>
      <c r="AC10" s="105">
        <v>0</v>
      </c>
      <c r="AD10" s="105">
        <v>0</v>
      </c>
      <c r="AE10" s="105">
        <v>0</v>
      </c>
      <c r="AF10" s="105">
        <v>0</v>
      </c>
      <c r="AG10" s="105">
        <v>0</v>
      </c>
      <c r="AH10" s="105">
        <v>0</v>
      </c>
      <c r="AI10" s="105">
        <v>0</v>
      </c>
      <c r="AJ10" s="105">
        <v>0</v>
      </c>
      <c r="AK10" s="105">
        <v>0</v>
      </c>
      <c r="AL10" s="105">
        <v>0</v>
      </c>
      <c r="AM10" s="105">
        <v>0</v>
      </c>
      <c r="AN10" s="105">
        <v>0</v>
      </c>
      <c r="AO10" s="105">
        <v>0</v>
      </c>
      <c r="AP10" s="105">
        <v>0</v>
      </c>
      <c r="AQ10" s="105">
        <v>0</v>
      </c>
      <c r="AR10" s="105">
        <v>0</v>
      </c>
      <c r="AS10" s="105">
        <v>0</v>
      </c>
      <c r="AT10" s="105">
        <v>0</v>
      </c>
      <c r="AU10" s="105">
        <v>0</v>
      </c>
      <c r="AV10" s="105">
        <v>0</v>
      </c>
      <c r="AW10" s="105">
        <v>0</v>
      </c>
      <c r="AX10" s="105">
        <v>0</v>
      </c>
    </row>
    <row r="11" spans="1:50" customFormat="1" x14ac:dyDescent="0.15">
      <c r="A11" s="151" t="s">
        <v>201</v>
      </c>
      <c r="B11" s="105">
        <v>0</v>
      </c>
      <c r="C11" s="105">
        <v>0</v>
      </c>
      <c r="D11" s="105">
        <v>0.8</v>
      </c>
      <c r="E11" s="105">
        <v>0.8</v>
      </c>
      <c r="F11" s="105">
        <v>0.8</v>
      </c>
      <c r="G11" s="105">
        <v>0</v>
      </c>
      <c r="H11" s="105">
        <v>0</v>
      </c>
      <c r="I11" s="105">
        <v>0.8</v>
      </c>
      <c r="J11" s="105">
        <v>0</v>
      </c>
      <c r="K11" s="105">
        <v>0</v>
      </c>
      <c r="L11" s="105">
        <v>0</v>
      </c>
      <c r="M11" s="105">
        <v>0</v>
      </c>
      <c r="N11" s="105">
        <v>0.8</v>
      </c>
      <c r="O11" s="105">
        <v>0</v>
      </c>
      <c r="P11" s="105">
        <v>0</v>
      </c>
      <c r="Q11" s="105">
        <v>0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0.8</v>
      </c>
      <c r="AC11" s="105">
        <v>0</v>
      </c>
      <c r="AD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  <c r="AL11" s="105">
        <v>0</v>
      </c>
      <c r="AM11" s="105">
        <v>0</v>
      </c>
      <c r="AN11" s="105">
        <v>0</v>
      </c>
      <c r="AO11" s="105">
        <v>0.8</v>
      </c>
      <c r="AP11" s="105">
        <v>0</v>
      </c>
      <c r="AQ11" s="105">
        <v>0</v>
      </c>
      <c r="AR11" s="105">
        <v>0</v>
      </c>
      <c r="AS11" s="105">
        <v>0</v>
      </c>
      <c r="AT11" s="105">
        <v>0</v>
      </c>
      <c r="AU11" s="105">
        <v>0</v>
      </c>
      <c r="AV11" s="105">
        <v>0</v>
      </c>
      <c r="AW11" s="105">
        <v>0</v>
      </c>
      <c r="AX11" s="105">
        <v>0</v>
      </c>
    </row>
    <row r="12" spans="1:50" customFormat="1" x14ac:dyDescent="0.15">
      <c r="A12" s="151" t="s">
        <v>202</v>
      </c>
      <c r="B12" s="105">
        <v>0</v>
      </c>
      <c r="C12" s="105">
        <v>0</v>
      </c>
      <c r="D12" s="105">
        <v>0</v>
      </c>
      <c r="E12" s="105">
        <v>0</v>
      </c>
      <c r="F12" s="105">
        <v>0</v>
      </c>
      <c r="G12" s="105">
        <v>0</v>
      </c>
      <c r="H12" s="105">
        <v>0</v>
      </c>
      <c r="I12" s="105">
        <v>0</v>
      </c>
      <c r="J12" s="105">
        <v>0</v>
      </c>
      <c r="K12" s="105">
        <v>0</v>
      </c>
      <c r="L12" s="105">
        <v>0</v>
      </c>
      <c r="M12" s="105">
        <v>0</v>
      </c>
      <c r="N12" s="105">
        <v>0.8</v>
      </c>
      <c r="O12" s="105">
        <v>0</v>
      </c>
      <c r="P12" s="105">
        <v>0</v>
      </c>
      <c r="Q12" s="105">
        <v>0</v>
      </c>
      <c r="R12" s="105">
        <v>0</v>
      </c>
      <c r="S12" s="105">
        <v>0</v>
      </c>
      <c r="T12" s="105">
        <v>0</v>
      </c>
      <c r="U12" s="105">
        <v>0</v>
      </c>
      <c r="V12" s="105">
        <v>0</v>
      </c>
      <c r="W12" s="105">
        <v>0</v>
      </c>
      <c r="X12" s="105">
        <v>0</v>
      </c>
      <c r="Y12" s="105">
        <v>0</v>
      </c>
      <c r="Z12" s="105">
        <v>0</v>
      </c>
      <c r="AA12" s="105">
        <v>0</v>
      </c>
      <c r="AB12" s="105">
        <v>0.8</v>
      </c>
      <c r="AC12" s="105">
        <v>0</v>
      </c>
      <c r="AD12" s="105">
        <v>0</v>
      </c>
      <c r="AE12" s="105">
        <v>0</v>
      </c>
      <c r="AF12" s="105">
        <v>0</v>
      </c>
      <c r="AG12" s="105">
        <v>0</v>
      </c>
      <c r="AH12" s="105">
        <v>0</v>
      </c>
      <c r="AI12" s="105">
        <v>0</v>
      </c>
      <c r="AJ12" s="105">
        <v>0</v>
      </c>
      <c r="AK12" s="105">
        <v>0</v>
      </c>
      <c r="AL12" s="105">
        <v>0</v>
      </c>
      <c r="AM12" s="105">
        <v>0</v>
      </c>
      <c r="AN12" s="105">
        <v>0</v>
      </c>
      <c r="AO12" s="105">
        <v>0.8</v>
      </c>
      <c r="AP12" s="105">
        <v>0</v>
      </c>
      <c r="AQ12" s="105">
        <v>0</v>
      </c>
      <c r="AR12" s="105">
        <v>0</v>
      </c>
      <c r="AS12" s="105">
        <v>0</v>
      </c>
      <c r="AT12" s="105">
        <v>0</v>
      </c>
      <c r="AU12" s="105">
        <v>0</v>
      </c>
      <c r="AV12" s="105">
        <v>0</v>
      </c>
      <c r="AW12" s="105">
        <v>0</v>
      </c>
      <c r="AX12" s="105">
        <v>0</v>
      </c>
    </row>
    <row r="13" spans="1:50" customFormat="1" x14ac:dyDescent="0.15">
      <c r="A13" s="151" t="s">
        <v>203</v>
      </c>
      <c r="B13" s="105">
        <v>0</v>
      </c>
      <c r="C13" s="105">
        <v>0</v>
      </c>
      <c r="D13" s="105">
        <v>0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105">
        <v>0</v>
      </c>
      <c r="L13" s="105">
        <v>0</v>
      </c>
      <c r="M13" s="105">
        <v>0</v>
      </c>
      <c r="N13" s="105">
        <v>0</v>
      </c>
      <c r="O13" s="105">
        <v>0</v>
      </c>
      <c r="P13" s="105">
        <v>0</v>
      </c>
      <c r="Q13" s="105">
        <v>0</v>
      </c>
      <c r="R13" s="105">
        <v>0</v>
      </c>
      <c r="S13" s="105">
        <v>0</v>
      </c>
      <c r="T13" s="105">
        <v>0.8</v>
      </c>
      <c r="U13" s="105">
        <v>0</v>
      </c>
      <c r="V13" s="105">
        <v>0</v>
      </c>
      <c r="W13" s="105">
        <v>0</v>
      </c>
      <c r="X13" s="105">
        <v>0</v>
      </c>
      <c r="Y13" s="105">
        <v>0</v>
      </c>
      <c r="Z13" s="105">
        <v>0</v>
      </c>
      <c r="AA13" s="105">
        <v>0</v>
      </c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05">
        <v>0</v>
      </c>
      <c r="AI13" s="105">
        <v>0</v>
      </c>
      <c r="AJ13" s="105">
        <v>0</v>
      </c>
      <c r="AK13" s="105">
        <v>0</v>
      </c>
      <c r="AL13" s="105">
        <v>0</v>
      </c>
      <c r="AM13" s="105">
        <v>0</v>
      </c>
      <c r="AN13" s="105">
        <v>0</v>
      </c>
      <c r="AO13" s="105">
        <v>0</v>
      </c>
      <c r="AP13" s="105">
        <v>0</v>
      </c>
      <c r="AQ13" s="105">
        <v>0</v>
      </c>
      <c r="AR13" s="105">
        <v>0</v>
      </c>
      <c r="AS13" s="105">
        <v>0</v>
      </c>
      <c r="AT13" s="105">
        <v>0</v>
      </c>
      <c r="AU13" s="105">
        <v>0</v>
      </c>
      <c r="AV13" s="105">
        <v>0</v>
      </c>
      <c r="AW13" s="105">
        <v>0</v>
      </c>
      <c r="AX13" s="105">
        <v>0</v>
      </c>
    </row>
    <row r="14" spans="1:50" customFormat="1" x14ac:dyDescent="0.15">
      <c r="A14" s="151" t="s">
        <v>204</v>
      </c>
      <c r="B14" s="105">
        <v>0</v>
      </c>
      <c r="C14" s="105">
        <v>0</v>
      </c>
      <c r="D14" s="105">
        <v>0</v>
      </c>
      <c r="E14" s="105">
        <v>0</v>
      </c>
      <c r="F14" s="105">
        <v>0</v>
      </c>
      <c r="G14" s="105">
        <v>0</v>
      </c>
      <c r="H14" s="105">
        <v>0</v>
      </c>
      <c r="I14" s="105">
        <v>0</v>
      </c>
      <c r="J14" s="105">
        <v>0</v>
      </c>
      <c r="K14" s="105">
        <v>0</v>
      </c>
      <c r="L14" s="105">
        <v>0</v>
      </c>
      <c r="M14" s="105">
        <v>0</v>
      </c>
      <c r="N14" s="105">
        <v>0</v>
      </c>
      <c r="O14" s="105">
        <v>0</v>
      </c>
      <c r="P14" s="105">
        <v>0</v>
      </c>
      <c r="Q14" s="105">
        <v>0</v>
      </c>
      <c r="R14" s="105">
        <v>0</v>
      </c>
      <c r="S14" s="105">
        <v>0</v>
      </c>
      <c r="T14" s="105">
        <v>0</v>
      </c>
      <c r="U14" s="105">
        <v>0</v>
      </c>
      <c r="V14" s="105">
        <v>0</v>
      </c>
      <c r="W14" s="105">
        <v>0</v>
      </c>
      <c r="X14" s="105">
        <v>0</v>
      </c>
      <c r="Y14" s="105">
        <v>0</v>
      </c>
      <c r="Z14" s="105">
        <v>0</v>
      </c>
      <c r="AA14" s="105">
        <v>0</v>
      </c>
      <c r="AB14" s="105">
        <v>0</v>
      </c>
      <c r="AC14" s="105">
        <v>0</v>
      </c>
      <c r="AD14" s="105">
        <v>0</v>
      </c>
      <c r="AE14" s="105">
        <v>0</v>
      </c>
      <c r="AF14" s="105">
        <v>0</v>
      </c>
      <c r="AG14" s="105">
        <v>0</v>
      </c>
      <c r="AH14" s="105">
        <v>0</v>
      </c>
      <c r="AI14" s="105">
        <v>0</v>
      </c>
      <c r="AJ14" s="105">
        <v>0</v>
      </c>
      <c r="AK14" s="105">
        <v>0</v>
      </c>
      <c r="AL14" s="105">
        <v>0</v>
      </c>
      <c r="AM14" s="105">
        <v>0</v>
      </c>
      <c r="AN14" s="105">
        <v>0</v>
      </c>
      <c r="AO14" s="105">
        <v>0</v>
      </c>
      <c r="AP14" s="105">
        <v>0</v>
      </c>
      <c r="AQ14" s="105">
        <v>0</v>
      </c>
      <c r="AR14" s="105">
        <v>0</v>
      </c>
      <c r="AS14" s="105">
        <v>0</v>
      </c>
      <c r="AT14" s="105">
        <v>0</v>
      </c>
      <c r="AU14" s="105">
        <v>0</v>
      </c>
      <c r="AV14" s="105">
        <v>0</v>
      </c>
      <c r="AW14" s="105">
        <v>0</v>
      </c>
      <c r="AX14" s="105">
        <v>0</v>
      </c>
    </row>
    <row r="15" spans="1:50" customFormat="1" x14ac:dyDescent="0.15">
      <c r="A15" s="151" t="s">
        <v>205</v>
      </c>
      <c r="B15" s="105">
        <v>0</v>
      </c>
      <c r="C15" s="105">
        <v>0</v>
      </c>
      <c r="D15" s="105">
        <v>0</v>
      </c>
      <c r="E15" s="105">
        <v>0</v>
      </c>
      <c r="F15" s="105">
        <v>0</v>
      </c>
      <c r="G15" s="105">
        <v>0</v>
      </c>
      <c r="H15" s="105">
        <v>0</v>
      </c>
      <c r="I15" s="105">
        <v>0</v>
      </c>
      <c r="J15" s="105">
        <v>0</v>
      </c>
      <c r="K15" s="105">
        <v>0</v>
      </c>
      <c r="L15" s="105">
        <v>0</v>
      </c>
      <c r="M15" s="105">
        <v>0</v>
      </c>
      <c r="N15" s="105">
        <v>0</v>
      </c>
      <c r="O15" s="105">
        <v>0</v>
      </c>
      <c r="P15" s="105">
        <v>0</v>
      </c>
      <c r="Q15" s="105">
        <v>0</v>
      </c>
      <c r="R15" s="105">
        <v>0</v>
      </c>
      <c r="S15" s="105">
        <v>0</v>
      </c>
      <c r="T15" s="105">
        <v>0.8</v>
      </c>
      <c r="U15" s="105">
        <v>0</v>
      </c>
      <c r="V15" s="105">
        <v>0</v>
      </c>
      <c r="W15" s="105">
        <v>0</v>
      </c>
      <c r="X15" s="105">
        <v>0</v>
      </c>
      <c r="Y15" s="105">
        <v>0</v>
      </c>
      <c r="Z15" s="105">
        <v>0</v>
      </c>
      <c r="AA15" s="105">
        <v>0</v>
      </c>
      <c r="AB15" s="105">
        <v>0</v>
      </c>
      <c r="AC15" s="105">
        <v>0</v>
      </c>
      <c r="AD15" s="105">
        <v>0</v>
      </c>
      <c r="AE15" s="105">
        <v>0</v>
      </c>
      <c r="AF15" s="105">
        <v>0</v>
      </c>
      <c r="AG15" s="105">
        <v>0</v>
      </c>
      <c r="AH15" s="105">
        <v>0</v>
      </c>
      <c r="AI15" s="105">
        <v>0</v>
      </c>
      <c r="AJ15" s="105">
        <v>0</v>
      </c>
      <c r="AK15" s="105">
        <v>0</v>
      </c>
      <c r="AL15" s="105">
        <v>0</v>
      </c>
      <c r="AM15" s="105">
        <v>0</v>
      </c>
      <c r="AN15" s="105">
        <v>0</v>
      </c>
      <c r="AO15" s="105">
        <v>0</v>
      </c>
      <c r="AP15" s="105">
        <v>0</v>
      </c>
      <c r="AQ15" s="105">
        <v>0</v>
      </c>
      <c r="AR15" s="105">
        <v>0</v>
      </c>
      <c r="AS15" s="105">
        <v>0</v>
      </c>
      <c r="AT15" s="105">
        <v>0</v>
      </c>
      <c r="AU15" s="105">
        <v>0</v>
      </c>
      <c r="AV15" s="105">
        <v>0</v>
      </c>
      <c r="AW15" s="105">
        <v>0</v>
      </c>
      <c r="AX15" s="105">
        <v>0</v>
      </c>
    </row>
    <row r="16" spans="1:50" customFormat="1" x14ac:dyDescent="0.15">
      <c r="A16" s="151" t="s">
        <v>206</v>
      </c>
      <c r="B16" s="105">
        <v>0</v>
      </c>
      <c r="C16" s="105">
        <v>0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0</v>
      </c>
      <c r="K16" s="105">
        <v>0</v>
      </c>
      <c r="L16" s="105">
        <v>0</v>
      </c>
      <c r="M16" s="105">
        <v>0</v>
      </c>
      <c r="N16" s="105">
        <v>0</v>
      </c>
      <c r="O16" s="105">
        <v>0</v>
      </c>
      <c r="P16" s="105">
        <v>0</v>
      </c>
      <c r="Q16" s="105">
        <v>0</v>
      </c>
      <c r="R16" s="105">
        <v>0</v>
      </c>
      <c r="S16" s="105">
        <v>0</v>
      </c>
      <c r="T16" s="105">
        <v>0.8</v>
      </c>
      <c r="U16" s="105">
        <v>0</v>
      </c>
      <c r="V16" s="105">
        <v>0</v>
      </c>
      <c r="W16" s="105">
        <v>0</v>
      </c>
      <c r="X16" s="105">
        <v>0</v>
      </c>
      <c r="Y16" s="105">
        <v>0</v>
      </c>
      <c r="Z16" s="105">
        <v>0</v>
      </c>
      <c r="AA16" s="105">
        <v>0</v>
      </c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05">
        <v>0</v>
      </c>
      <c r="AI16" s="105">
        <v>0</v>
      </c>
      <c r="AJ16" s="105">
        <v>0</v>
      </c>
      <c r="AK16" s="105">
        <v>0</v>
      </c>
      <c r="AL16" s="105">
        <v>0</v>
      </c>
      <c r="AM16" s="105">
        <v>0</v>
      </c>
      <c r="AN16" s="105">
        <v>0</v>
      </c>
      <c r="AO16" s="105">
        <v>0</v>
      </c>
      <c r="AP16" s="105">
        <v>0</v>
      </c>
      <c r="AQ16" s="105">
        <v>0</v>
      </c>
      <c r="AR16" s="105">
        <v>0</v>
      </c>
      <c r="AS16" s="105">
        <v>0</v>
      </c>
      <c r="AT16" s="105">
        <v>0</v>
      </c>
      <c r="AU16" s="105">
        <v>0</v>
      </c>
      <c r="AV16" s="105">
        <v>0</v>
      </c>
      <c r="AW16" s="105">
        <v>0</v>
      </c>
      <c r="AX16" s="105">
        <v>0</v>
      </c>
    </row>
    <row r="17" spans="1:50" customFormat="1" x14ac:dyDescent="0.15">
      <c r="A17" s="151" t="s">
        <v>207</v>
      </c>
      <c r="B17" s="105">
        <v>0</v>
      </c>
      <c r="C17" s="105">
        <v>0</v>
      </c>
      <c r="D17" s="105">
        <v>0</v>
      </c>
      <c r="E17" s="105">
        <v>0</v>
      </c>
      <c r="F17" s="105">
        <v>0</v>
      </c>
      <c r="G17" s="105">
        <v>0</v>
      </c>
      <c r="H17" s="105">
        <v>0</v>
      </c>
      <c r="I17" s="105">
        <v>0</v>
      </c>
      <c r="J17" s="105">
        <v>0</v>
      </c>
      <c r="K17" s="105">
        <v>0</v>
      </c>
      <c r="L17" s="105">
        <v>0</v>
      </c>
      <c r="M17" s="105">
        <v>0</v>
      </c>
      <c r="N17" s="105">
        <v>0</v>
      </c>
      <c r="O17" s="105">
        <v>0</v>
      </c>
      <c r="P17" s="105">
        <v>0</v>
      </c>
      <c r="Q17" s="105">
        <v>0</v>
      </c>
      <c r="R17" s="105">
        <v>0</v>
      </c>
      <c r="S17" s="105">
        <v>0</v>
      </c>
      <c r="T17" s="105">
        <v>0</v>
      </c>
      <c r="U17" s="105">
        <v>0</v>
      </c>
      <c r="V17" s="105">
        <v>0</v>
      </c>
      <c r="W17" s="105">
        <v>0</v>
      </c>
      <c r="X17" s="105">
        <v>0</v>
      </c>
      <c r="Y17" s="105">
        <v>0</v>
      </c>
      <c r="Z17" s="105">
        <v>0</v>
      </c>
      <c r="AA17" s="105">
        <v>0</v>
      </c>
      <c r="AB17" s="105">
        <v>0</v>
      </c>
      <c r="AC17" s="105">
        <v>0</v>
      </c>
      <c r="AD17" s="105">
        <v>0</v>
      </c>
      <c r="AE17" s="105">
        <v>0</v>
      </c>
      <c r="AF17" s="105">
        <v>0</v>
      </c>
      <c r="AG17" s="105">
        <v>0</v>
      </c>
      <c r="AH17" s="105">
        <v>0</v>
      </c>
      <c r="AI17" s="105">
        <v>0</v>
      </c>
      <c r="AJ17" s="105">
        <v>0</v>
      </c>
      <c r="AK17" s="105">
        <v>0</v>
      </c>
      <c r="AL17" s="105">
        <v>0</v>
      </c>
      <c r="AM17" s="105">
        <v>0</v>
      </c>
      <c r="AN17" s="105">
        <v>0</v>
      </c>
      <c r="AO17" s="105">
        <v>0</v>
      </c>
      <c r="AP17" s="105">
        <v>0</v>
      </c>
      <c r="AQ17" s="105">
        <v>0</v>
      </c>
      <c r="AR17" s="105">
        <v>0</v>
      </c>
      <c r="AS17" s="105">
        <v>0</v>
      </c>
      <c r="AT17" s="105">
        <v>0</v>
      </c>
      <c r="AU17" s="105">
        <v>0</v>
      </c>
      <c r="AV17" s="105">
        <v>0</v>
      </c>
      <c r="AW17" s="105">
        <v>0</v>
      </c>
      <c r="AX17" s="105">
        <v>0</v>
      </c>
    </row>
    <row r="18" spans="1:50" customFormat="1" x14ac:dyDescent="0.15">
      <c r="A18" s="151" t="s">
        <v>208</v>
      </c>
      <c r="B18" s="105">
        <v>0</v>
      </c>
      <c r="C18" s="105">
        <v>0</v>
      </c>
      <c r="D18" s="105">
        <v>0</v>
      </c>
      <c r="E18" s="105">
        <v>0</v>
      </c>
      <c r="F18" s="105">
        <v>0</v>
      </c>
      <c r="G18" s="105">
        <v>0</v>
      </c>
      <c r="H18" s="105">
        <v>0</v>
      </c>
      <c r="I18" s="105">
        <v>0</v>
      </c>
      <c r="J18" s="105">
        <v>0</v>
      </c>
      <c r="K18" s="105">
        <v>0</v>
      </c>
      <c r="L18" s="105">
        <v>0</v>
      </c>
      <c r="M18" s="105">
        <v>0</v>
      </c>
      <c r="N18" s="105">
        <v>0</v>
      </c>
      <c r="O18" s="105">
        <v>0</v>
      </c>
      <c r="P18" s="105">
        <v>0</v>
      </c>
      <c r="Q18" s="105">
        <v>0</v>
      </c>
      <c r="R18" s="105">
        <v>0</v>
      </c>
      <c r="S18" s="105">
        <v>0</v>
      </c>
      <c r="T18" s="105">
        <v>0</v>
      </c>
      <c r="U18" s="105">
        <v>0</v>
      </c>
      <c r="V18" s="105">
        <v>0</v>
      </c>
      <c r="W18" s="105">
        <v>0</v>
      </c>
      <c r="X18" s="105">
        <v>0</v>
      </c>
      <c r="Y18" s="105">
        <v>0</v>
      </c>
      <c r="Z18" s="105">
        <v>0</v>
      </c>
      <c r="AA18" s="105">
        <v>0</v>
      </c>
      <c r="AB18" s="105">
        <v>0</v>
      </c>
      <c r="AC18" s="105">
        <v>0</v>
      </c>
      <c r="AD18" s="105">
        <v>0</v>
      </c>
      <c r="AE18" s="105">
        <v>0</v>
      </c>
      <c r="AF18" s="105">
        <v>0</v>
      </c>
      <c r="AG18" s="105">
        <v>0</v>
      </c>
      <c r="AH18" s="105">
        <v>0</v>
      </c>
      <c r="AI18" s="105">
        <v>0</v>
      </c>
      <c r="AJ18" s="105">
        <v>0</v>
      </c>
      <c r="AK18" s="105">
        <v>0</v>
      </c>
      <c r="AL18" s="105">
        <v>0</v>
      </c>
      <c r="AM18" s="105">
        <v>0</v>
      </c>
      <c r="AN18" s="105">
        <v>0</v>
      </c>
      <c r="AO18" s="105">
        <v>0</v>
      </c>
      <c r="AP18" s="105">
        <v>0</v>
      </c>
      <c r="AQ18" s="105">
        <v>0</v>
      </c>
      <c r="AR18" s="105">
        <v>0</v>
      </c>
      <c r="AS18" s="105">
        <v>0</v>
      </c>
      <c r="AT18" s="105">
        <v>0</v>
      </c>
      <c r="AU18" s="105">
        <v>0</v>
      </c>
      <c r="AV18" s="105">
        <v>0</v>
      </c>
      <c r="AW18" s="105">
        <v>0</v>
      </c>
      <c r="AX18" s="105">
        <v>0</v>
      </c>
    </row>
    <row r="19" spans="1:50" customFormat="1" x14ac:dyDescent="0.15">
      <c r="A19" s="151" t="s">
        <v>209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0</v>
      </c>
      <c r="K19" s="105">
        <v>0</v>
      </c>
      <c r="L19" s="105">
        <v>0</v>
      </c>
      <c r="M19" s="105">
        <v>0</v>
      </c>
      <c r="N19" s="105">
        <v>0</v>
      </c>
      <c r="O19" s="105">
        <v>0</v>
      </c>
      <c r="P19" s="105">
        <v>0</v>
      </c>
      <c r="Q19" s="105">
        <v>0</v>
      </c>
      <c r="R19" s="105">
        <v>0</v>
      </c>
      <c r="S19" s="105">
        <v>0</v>
      </c>
      <c r="T19" s="105">
        <v>0</v>
      </c>
      <c r="U19" s="105">
        <v>0</v>
      </c>
      <c r="V19" s="105">
        <v>0</v>
      </c>
      <c r="W19" s="105">
        <v>0</v>
      </c>
      <c r="X19" s="105">
        <v>0</v>
      </c>
      <c r="Y19" s="105">
        <v>0</v>
      </c>
      <c r="Z19" s="105">
        <v>0</v>
      </c>
      <c r="AA19" s="105">
        <v>0</v>
      </c>
      <c r="AB19" s="105">
        <v>0</v>
      </c>
      <c r="AC19" s="105">
        <v>0</v>
      </c>
      <c r="AD19" s="105">
        <v>0</v>
      </c>
      <c r="AE19" s="105">
        <v>0</v>
      </c>
      <c r="AF19" s="105">
        <v>0</v>
      </c>
      <c r="AG19" s="105">
        <v>0</v>
      </c>
      <c r="AH19" s="105">
        <v>0</v>
      </c>
      <c r="AI19" s="105">
        <v>0</v>
      </c>
      <c r="AJ19" s="105">
        <v>0</v>
      </c>
      <c r="AK19" s="105">
        <v>0</v>
      </c>
      <c r="AL19" s="105">
        <v>0</v>
      </c>
      <c r="AM19" s="105">
        <v>0</v>
      </c>
      <c r="AN19" s="105">
        <v>0</v>
      </c>
      <c r="AO19" s="105">
        <v>0</v>
      </c>
      <c r="AP19" s="105">
        <v>0</v>
      </c>
      <c r="AQ19" s="105">
        <v>0</v>
      </c>
      <c r="AR19" s="105">
        <v>0</v>
      </c>
      <c r="AS19" s="105">
        <v>0</v>
      </c>
      <c r="AT19" s="105">
        <v>0</v>
      </c>
      <c r="AU19" s="105">
        <v>0</v>
      </c>
      <c r="AV19" s="105">
        <v>0</v>
      </c>
      <c r="AW19" s="105">
        <v>0</v>
      </c>
      <c r="AX19" s="105">
        <v>0</v>
      </c>
    </row>
    <row r="20" spans="1:50" customFormat="1" x14ac:dyDescent="0.15">
      <c r="A20" s="151" t="s">
        <v>210</v>
      </c>
      <c r="B20" s="105">
        <v>0</v>
      </c>
      <c r="C20" s="105">
        <v>0</v>
      </c>
      <c r="D20" s="105">
        <v>0</v>
      </c>
      <c r="E20" s="105">
        <v>0</v>
      </c>
      <c r="F20" s="105">
        <v>0</v>
      </c>
      <c r="G20" s="105">
        <v>0</v>
      </c>
      <c r="H20" s="105">
        <v>0</v>
      </c>
      <c r="I20" s="105">
        <v>0</v>
      </c>
      <c r="J20" s="105">
        <v>0</v>
      </c>
      <c r="K20" s="105">
        <v>0</v>
      </c>
      <c r="L20" s="105">
        <v>0</v>
      </c>
      <c r="M20" s="105">
        <v>0</v>
      </c>
      <c r="N20" s="105">
        <v>0.8</v>
      </c>
      <c r="O20" s="105">
        <v>0</v>
      </c>
      <c r="P20" s="105">
        <v>0</v>
      </c>
      <c r="Q20" s="105">
        <v>0</v>
      </c>
      <c r="R20" s="105">
        <v>0</v>
      </c>
      <c r="S20" s="105">
        <v>0</v>
      </c>
      <c r="T20" s="105">
        <v>0.8</v>
      </c>
      <c r="U20" s="105">
        <v>0</v>
      </c>
      <c r="V20" s="105">
        <v>0</v>
      </c>
      <c r="W20" s="105">
        <v>0</v>
      </c>
      <c r="X20" s="105">
        <v>0</v>
      </c>
      <c r="Y20" s="105">
        <v>0</v>
      </c>
      <c r="Z20" s="105">
        <v>0</v>
      </c>
      <c r="AA20" s="105">
        <v>0</v>
      </c>
      <c r="AB20" s="105">
        <v>0</v>
      </c>
      <c r="AC20" s="105">
        <v>0</v>
      </c>
      <c r="AD20" s="105">
        <v>0</v>
      </c>
      <c r="AE20" s="105">
        <v>0</v>
      </c>
      <c r="AF20" s="105">
        <v>0</v>
      </c>
      <c r="AG20" s="105">
        <v>0</v>
      </c>
      <c r="AH20" s="105">
        <v>0</v>
      </c>
      <c r="AI20" s="105">
        <v>0</v>
      </c>
      <c r="AJ20" s="105">
        <v>0</v>
      </c>
      <c r="AK20" s="105">
        <v>0</v>
      </c>
      <c r="AL20" s="105">
        <v>0</v>
      </c>
      <c r="AM20" s="105">
        <v>0</v>
      </c>
      <c r="AN20" s="105">
        <v>0</v>
      </c>
      <c r="AO20" s="105">
        <v>0</v>
      </c>
      <c r="AP20" s="105">
        <v>0</v>
      </c>
      <c r="AQ20" s="105">
        <v>0</v>
      </c>
      <c r="AR20" s="105">
        <v>0</v>
      </c>
      <c r="AS20" s="105">
        <v>0</v>
      </c>
      <c r="AT20" s="105">
        <v>0</v>
      </c>
      <c r="AU20" s="105">
        <v>0</v>
      </c>
      <c r="AV20" s="105">
        <v>0</v>
      </c>
      <c r="AW20" s="105">
        <v>0</v>
      </c>
      <c r="AX20" s="105">
        <v>0</v>
      </c>
    </row>
    <row r="21" spans="1:50" customFormat="1" x14ac:dyDescent="0.15">
      <c r="A21" s="151" t="s">
        <v>211</v>
      </c>
      <c r="B21" s="105">
        <v>0</v>
      </c>
      <c r="C21" s="105">
        <v>0</v>
      </c>
      <c r="D21" s="105">
        <v>0.8</v>
      </c>
      <c r="E21" s="105">
        <v>0.8</v>
      </c>
      <c r="F21" s="105">
        <v>0.8</v>
      </c>
      <c r="G21" s="105">
        <v>0</v>
      </c>
      <c r="H21" s="105">
        <v>0.8</v>
      </c>
      <c r="I21" s="105">
        <v>0.8</v>
      </c>
      <c r="J21" s="105">
        <v>0</v>
      </c>
      <c r="K21" s="105">
        <v>0</v>
      </c>
      <c r="L21" s="105">
        <v>0</v>
      </c>
      <c r="M21" s="105">
        <v>0.8</v>
      </c>
      <c r="N21" s="105">
        <v>0.8</v>
      </c>
      <c r="O21" s="105">
        <v>0.8</v>
      </c>
      <c r="P21" s="105">
        <v>0.8</v>
      </c>
      <c r="Q21" s="105">
        <v>0</v>
      </c>
      <c r="R21" s="105">
        <v>0</v>
      </c>
      <c r="S21" s="105">
        <v>0</v>
      </c>
      <c r="T21" s="105">
        <v>0.8</v>
      </c>
      <c r="U21" s="105">
        <v>0</v>
      </c>
      <c r="V21" s="105">
        <v>0</v>
      </c>
      <c r="W21" s="105">
        <v>0</v>
      </c>
      <c r="X21" s="105">
        <v>0.8</v>
      </c>
      <c r="Y21" s="105">
        <v>0</v>
      </c>
      <c r="Z21" s="105">
        <v>0</v>
      </c>
      <c r="AA21" s="105">
        <v>0</v>
      </c>
      <c r="AB21" s="105">
        <v>0.8</v>
      </c>
      <c r="AC21" s="105">
        <v>0</v>
      </c>
      <c r="AD21" s="105">
        <v>0</v>
      </c>
      <c r="AE21" s="105">
        <v>0</v>
      </c>
      <c r="AF21" s="105">
        <v>0</v>
      </c>
      <c r="AG21" s="105">
        <v>0</v>
      </c>
      <c r="AH21" s="105">
        <v>0</v>
      </c>
      <c r="AI21" s="105">
        <v>0</v>
      </c>
      <c r="AJ21" s="105">
        <v>0</v>
      </c>
      <c r="AK21" s="105">
        <v>0</v>
      </c>
      <c r="AL21" s="105">
        <v>0</v>
      </c>
      <c r="AM21" s="105">
        <v>0</v>
      </c>
      <c r="AN21" s="105">
        <v>0</v>
      </c>
      <c r="AO21" s="105">
        <v>0.8</v>
      </c>
      <c r="AP21" s="105">
        <v>0</v>
      </c>
      <c r="AQ21" s="105">
        <v>0</v>
      </c>
      <c r="AR21" s="105">
        <v>0</v>
      </c>
      <c r="AS21" s="105">
        <v>0</v>
      </c>
      <c r="AT21" s="105">
        <v>0</v>
      </c>
      <c r="AU21" s="105">
        <v>0</v>
      </c>
      <c r="AV21" s="105">
        <v>0</v>
      </c>
      <c r="AW21" s="105">
        <v>0</v>
      </c>
      <c r="AX21" s="105">
        <v>0</v>
      </c>
    </row>
    <row r="22" spans="1:50" customFormat="1" x14ac:dyDescent="0.15">
      <c r="A22" s="151" t="s">
        <v>212</v>
      </c>
      <c r="B22" s="105">
        <v>0</v>
      </c>
      <c r="C22" s="105">
        <v>0</v>
      </c>
      <c r="D22" s="105">
        <v>0.8</v>
      </c>
      <c r="E22" s="105">
        <v>0.8</v>
      </c>
      <c r="F22" s="105">
        <v>0.8</v>
      </c>
      <c r="G22" s="105">
        <v>0</v>
      </c>
      <c r="H22" s="105">
        <v>0</v>
      </c>
      <c r="I22" s="105">
        <v>0.8</v>
      </c>
      <c r="J22" s="105">
        <v>0</v>
      </c>
      <c r="K22" s="105">
        <v>0</v>
      </c>
      <c r="L22" s="105">
        <v>0</v>
      </c>
      <c r="M22" s="105">
        <v>0.8</v>
      </c>
      <c r="N22" s="105">
        <v>0.8</v>
      </c>
      <c r="O22" s="105">
        <v>0</v>
      </c>
      <c r="P22" s="105">
        <v>0</v>
      </c>
      <c r="Q22" s="105">
        <v>0</v>
      </c>
      <c r="R22" s="105">
        <v>0.8</v>
      </c>
      <c r="S22" s="105">
        <v>0.8</v>
      </c>
      <c r="T22" s="105">
        <v>0.8</v>
      </c>
      <c r="U22" s="105">
        <v>0</v>
      </c>
      <c r="V22" s="105">
        <v>0</v>
      </c>
      <c r="W22" s="105">
        <v>0</v>
      </c>
      <c r="X22" s="105">
        <v>0.8</v>
      </c>
      <c r="Y22" s="105">
        <v>0</v>
      </c>
      <c r="Z22" s="105">
        <v>0</v>
      </c>
      <c r="AA22" s="105">
        <v>0</v>
      </c>
      <c r="AB22" s="105">
        <v>0.8</v>
      </c>
      <c r="AC22" s="105">
        <v>0</v>
      </c>
      <c r="AD22" s="105">
        <v>0</v>
      </c>
      <c r="AE22" s="105">
        <v>0</v>
      </c>
      <c r="AF22" s="105">
        <v>0</v>
      </c>
      <c r="AG22" s="105">
        <v>0.8</v>
      </c>
      <c r="AH22" s="105">
        <v>0</v>
      </c>
      <c r="AI22" s="105">
        <v>0</v>
      </c>
      <c r="AJ22" s="105">
        <v>0</v>
      </c>
      <c r="AK22" s="105">
        <v>0</v>
      </c>
      <c r="AL22" s="105">
        <v>0</v>
      </c>
      <c r="AM22" s="105">
        <v>0.8</v>
      </c>
      <c r="AN22" s="105">
        <v>0</v>
      </c>
      <c r="AO22" s="105">
        <v>0.8</v>
      </c>
      <c r="AP22" s="105">
        <v>0</v>
      </c>
      <c r="AQ22" s="105">
        <v>0</v>
      </c>
      <c r="AR22" s="105">
        <v>0</v>
      </c>
      <c r="AS22" s="105">
        <v>0</v>
      </c>
      <c r="AT22" s="105">
        <v>0</v>
      </c>
      <c r="AU22" s="105">
        <v>0</v>
      </c>
      <c r="AV22" s="105">
        <v>0</v>
      </c>
      <c r="AW22" s="105">
        <v>0</v>
      </c>
      <c r="AX22" s="105">
        <v>0</v>
      </c>
    </row>
    <row r="23" spans="1:50" customFormat="1" x14ac:dyDescent="0.15">
      <c r="A23" s="151" t="s">
        <v>213</v>
      </c>
      <c r="B23" s="105">
        <v>0</v>
      </c>
      <c r="C23" s="105">
        <v>0.8</v>
      </c>
      <c r="D23" s="105">
        <v>0.8</v>
      </c>
      <c r="E23" s="105">
        <v>0.8</v>
      </c>
      <c r="F23" s="105">
        <v>0.8</v>
      </c>
      <c r="G23" s="105">
        <v>0</v>
      </c>
      <c r="H23" s="105">
        <v>0.8</v>
      </c>
      <c r="I23" s="105">
        <v>0.8</v>
      </c>
      <c r="J23" s="105">
        <v>0</v>
      </c>
      <c r="K23" s="105">
        <v>0</v>
      </c>
      <c r="L23" s="105">
        <v>0</v>
      </c>
      <c r="M23" s="105">
        <v>0.8</v>
      </c>
      <c r="N23" s="105">
        <v>0.8</v>
      </c>
      <c r="O23" s="105">
        <v>0.8</v>
      </c>
      <c r="P23" s="105">
        <v>0.8</v>
      </c>
      <c r="Q23" s="105">
        <v>0</v>
      </c>
      <c r="R23" s="105">
        <v>0.8</v>
      </c>
      <c r="S23" s="105">
        <v>0</v>
      </c>
      <c r="T23" s="105">
        <v>0.8</v>
      </c>
      <c r="U23" s="105">
        <v>0</v>
      </c>
      <c r="V23" s="105">
        <v>0</v>
      </c>
      <c r="W23" s="105">
        <v>0</v>
      </c>
      <c r="X23" s="105">
        <v>0.8</v>
      </c>
      <c r="Y23" s="105">
        <v>0</v>
      </c>
      <c r="Z23" s="105">
        <v>0</v>
      </c>
      <c r="AA23" s="105">
        <v>0</v>
      </c>
      <c r="AB23" s="105">
        <v>0.8</v>
      </c>
      <c r="AC23" s="105">
        <v>0</v>
      </c>
      <c r="AD23" s="105">
        <v>0</v>
      </c>
      <c r="AE23" s="105">
        <v>0</v>
      </c>
      <c r="AF23" s="105">
        <v>0</v>
      </c>
      <c r="AG23" s="105">
        <v>0.8</v>
      </c>
      <c r="AH23" s="105">
        <v>0</v>
      </c>
      <c r="AI23" s="105">
        <v>0</v>
      </c>
      <c r="AJ23" s="105">
        <v>0</v>
      </c>
      <c r="AK23" s="105">
        <v>0</v>
      </c>
      <c r="AL23" s="105">
        <v>0</v>
      </c>
      <c r="AM23" s="105">
        <v>0</v>
      </c>
      <c r="AN23" s="105">
        <v>0</v>
      </c>
      <c r="AO23" s="105">
        <v>0.8</v>
      </c>
      <c r="AP23" s="105">
        <v>0</v>
      </c>
      <c r="AQ23" s="105">
        <v>0</v>
      </c>
      <c r="AR23" s="105">
        <v>0</v>
      </c>
      <c r="AS23" s="105">
        <v>0</v>
      </c>
      <c r="AT23" s="105">
        <v>0</v>
      </c>
      <c r="AU23" s="105">
        <v>0</v>
      </c>
      <c r="AV23" s="105">
        <v>0</v>
      </c>
      <c r="AW23" s="105">
        <v>0</v>
      </c>
      <c r="AX23" s="105">
        <v>0</v>
      </c>
    </row>
    <row r="24" spans="1:50" customFormat="1" x14ac:dyDescent="0.15">
      <c r="A24" s="151" t="s">
        <v>214</v>
      </c>
      <c r="B24" s="105">
        <v>0</v>
      </c>
      <c r="C24" s="105">
        <v>0</v>
      </c>
      <c r="D24" s="105">
        <v>0.8</v>
      </c>
      <c r="E24" s="105">
        <v>0.8</v>
      </c>
      <c r="F24" s="105">
        <v>0.8</v>
      </c>
      <c r="G24" s="105">
        <v>0</v>
      </c>
      <c r="H24" s="105">
        <v>0.8</v>
      </c>
      <c r="I24" s="105">
        <v>0.8</v>
      </c>
      <c r="J24" s="105">
        <v>0</v>
      </c>
      <c r="K24" s="105">
        <v>0</v>
      </c>
      <c r="L24" s="105">
        <v>0</v>
      </c>
      <c r="M24" s="105">
        <v>0.8</v>
      </c>
      <c r="N24" s="105">
        <v>0.8</v>
      </c>
      <c r="O24" s="105">
        <v>0</v>
      </c>
      <c r="P24" s="105">
        <v>0.8</v>
      </c>
      <c r="Q24" s="105">
        <v>0</v>
      </c>
      <c r="R24" s="105">
        <v>0</v>
      </c>
      <c r="S24" s="105">
        <v>0.8</v>
      </c>
      <c r="T24" s="105">
        <v>0.8</v>
      </c>
      <c r="U24" s="105">
        <v>0</v>
      </c>
      <c r="V24" s="105">
        <v>0</v>
      </c>
      <c r="W24" s="105">
        <v>0</v>
      </c>
      <c r="X24" s="105">
        <v>0.8</v>
      </c>
      <c r="Y24" s="105">
        <v>0</v>
      </c>
      <c r="Z24" s="105">
        <v>0</v>
      </c>
      <c r="AA24" s="105">
        <v>0</v>
      </c>
      <c r="AB24" s="105">
        <v>0.8</v>
      </c>
      <c r="AC24" s="105">
        <v>0</v>
      </c>
      <c r="AD24" s="105">
        <v>0</v>
      </c>
      <c r="AE24" s="105">
        <v>0</v>
      </c>
      <c r="AF24" s="105">
        <v>0</v>
      </c>
      <c r="AG24" s="105">
        <v>0.8</v>
      </c>
      <c r="AH24" s="105">
        <v>0</v>
      </c>
      <c r="AI24" s="105">
        <v>0</v>
      </c>
      <c r="AJ24" s="105">
        <v>0</v>
      </c>
      <c r="AK24" s="105">
        <v>0</v>
      </c>
      <c r="AL24" s="105">
        <v>0</v>
      </c>
      <c r="AM24" s="105">
        <v>0</v>
      </c>
      <c r="AN24" s="105">
        <v>0</v>
      </c>
      <c r="AO24" s="105">
        <v>0.8</v>
      </c>
      <c r="AP24" s="105">
        <v>0</v>
      </c>
      <c r="AQ24" s="105">
        <v>0</v>
      </c>
      <c r="AR24" s="105">
        <v>0</v>
      </c>
      <c r="AS24" s="105">
        <v>0</v>
      </c>
      <c r="AT24" s="105">
        <v>0</v>
      </c>
      <c r="AU24" s="105">
        <v>0</v>
      </c>
      <c r="AV24" s="105">
        <v>0</v>
      </c>
      <c r="AW24" s="105">
        <v>0</v>
      </c>
      <c r="AX24" s="105">
        <v>0</v>
      </c>
    </row>
    <row r="25" spans="1:50" customFormat="1" x14ac:dyDescent="0.15">
      <c r="A25" s="151" t="s">
        <v>215</v>
      </c>
      <c r="B25" s="105">
        <v>0</v>
      </c>
      <c r="C25" s="105">
        <v>0</v>
      </c>
      <c r="D25" s="105">
        <v>0</v>
      </c>
      <c r="E25" s="105">
        <v>0</v>
      </c>
      <c r="F25" s="105">
        <v>0</v>
      </c>
      <c r="G25" s="105">
        <v>0</v>
      </c>
      <c r="H25" s="105">
        <v>0.8</v>
      </c>
      <c r="I25" s="105">
        <v>0</v>
      </c>
      <c r="J25" s="105">
        <v>0</v>
      </c>
      <c r="K25" s="105">
        <v>0</v>
      </c>
      <c r="L25" s="105">
        <v>0</v>
      </c>
      <c r="M25" s="105">
        <v>0.8</v>
      </c>
      <c r="N25" s="105">
        <v>0.8</v>
      </c>
      <c r="O25" s="105">
        <v>0</v>
      </c>
      <c r="P25" s="105">
        <v>0.8</v>
      </c>
      <c r="Q25" s="105">
        <v>0</v>
      </c>
      <c r="R25" s="105">
        <v>0</v>
      </c>
      <c r="S25" s="105">
        <v>0.8</v>
      </c>
      <c r="T25" s="105">
        <v>0.8</v>
      </c>
      <c r="U25" s="105">
        <v>0</v>
      </c>
      <c r="V25" s="105">
        <v>0</v>
      </c>
      <c r="W25" s="105">
        <v>0</v>
      </c>
      <c r="X25" s="105">
        <v>0.8</v>
      </c>
      <c r="Y25" s="105">
        <v>0</v>
      </c>
      <c r="Z25" s="105">
        <v>0</v>
      </c>
      <c r="AA25" s="105">
        <v>0</v>
      </c>
      <c r="AB25" s="105">
        <v>0.8</v>
      </c>
      <c r="AC25" s="105">
        <v>0</v>
      </c>
      <c r="AD25" s="105">
        <v>0</v>
      </c>
      <c r="AE25" s="105">
        <v>0</v>
      </c>
      <c r="AF25" s="105">
        <v>0</v>
      </c>
      <c r="AG25" s="105">
        <v>0</v>
      </c>
      <c r="AH25" s="105">
        <v>0</v>
      </c>
      <c r="AI25" s="105">
        <v>0</v>
      </c>
      <c r="AJ25" s="105">
        <v>0</v>
      </c>
      <c r="AK25" s="105">
        <v>0</v>
      </c>
      <c r="AL25" s="105">
        <v>0</v>
      </c>
      <c r="AM25" s="105">
        <v>0.8</v>
      </c>
      <c r="AN25" s="105">
        <v>0</v>
      </c>
      <c r="AO25" s="105">
        <v>0.8</v>
      </c>
      <c r="AP25" s="105">
        <v>0</v>
      </c>
      <c r="AQ25" s="105">
        <v>0</v>
      </c>
      <c r="AR25" s="105">
        <v>0</v>
      </c>
      <c r="AS25" s="105">
        <v>0</v>
      </c>
      <c r="AT25" s="105">
        <v>0</v>
      </c>
      <c r="AU25" s="105">
        <v>0</v>
      </c>
      <c r="AV25" s="105">
        <v>0</v>
      </c>
      <c r="AW25" s="105">
        <v>0</v>
      </c>
      <c r="AX25" s="105">
        <v>0</v>
      </c>
    </row>
    <row r="26" spans="1:50" customFormat="1" x14ac:dyDescent="0.15">
      <c r="A26" s="151" t="s">
        <v>216</v>
      </c>
      <c r="B26" s="105">
        <v>0</v>
      </c>
      <c r="C26" s="105">
        <v>0</v>
      </c>
      <c r="D26" s="105">
        <v>0</v>
      </c>
      <c r="E26" s="105">
        <v>0.8</v>
      </c>
      <c r="F26" s="105">
        <v>0.8</v>
      </c>
      <c r="G26" s="105">
        <v>0</v>
      </c>
      <c r="H26" s="105">
        <v>0</v>
      </c>
      <c r="I26" s="105">
        <v>0</v>
      </c>
      <c r="J26" s="105">
        <v>0</v>
      </c>
      <c r="K26" s="105">
        <v>0</v>
      </c>
      <c r="L26" s="105">
        <v>0</v>
      </c>
      <c r="M26" s="105">
        <v>0</v>
      </c>
      <c r="N26" s="105">
        <v>0</v>
      </c>
      <c r="O26" s="105">
        <v>0</v>
      </c>
      <c r="P26" s="105">
        <v>0</v>
      </c>
      <c r="Q26" s="105">
        <v>0</v>
      </c>
      <c r="R26" s="105">
        <v>0.8</v>
      </c>
      <c r="S26" s="105">
        <v>0.8</v>
      </c>
      <c r="T26" s="105">
        <v>0</v>
      </c>
      <c r="U26" s="105">
        <v>0</v>
      </c>
      <c r="V26" s="105">
        <v>0</v>
      </c>
      <c r="W26" s="105">
        <v>0</v>
      </c>
      <c r="X26" s="105">
        <v>0</v>
      </c>
      <c r="Y26" s="105">
        <v>0</v>
      </c>
      <c r="Z26" s="105">
        <v>0</v>
      </c>
      <c r="AA26" s="105">
        <v>0</v>
      </c>
      <c r="AB26" s="105">
        <v>0.8</v>
      </c>
      <c r="AC26" s="105">
        <v>0</v>
      </c>
      <c r="AD26" s="105">
        <v>0</v>
      </c>
      <c r="AE26" s="105">
        <v>0</v>
      </c>
      <c r="AF26" s="105">
        <v>0</v>
      </c>
      <c r="AG26" s="105">
        <v>0</v>
      </c>
      <c r="AH26" s="105">
        <v>0</v>
      </c>
      <c r="AI26" s="105">
        <v>0</v>
      </c>
      <c r="AJ26" s="105">
        <v>0</v>
      </c>
      <c r="AK26" s="105">
        <v>0</v>
      </c>
      <c r="AL26" s="105">
        <v>0.8</v>
      </c>
      <c r="AM26" s="105">
        <v>0</v>
      </c>
      <c r="AN26" s="105">
        <v>0</v>
      </c>
      <c r="AO26" s="105">
        <v>0.8</v>
      </c>
      <c r="AP26" s="105">
        <v>0</v>
      </c>
      <c r="AQ26" s="105">
        <v>0</v>
      </c>
      <c r="AR26" s="105">
        <v>0</v>
      </c>
      <c r="AS26" s="105">
        <v>0</v>
      </c>
      <c r="AT26" s="105">
        <v>0</v>
      </c>
      <c r="AU26" s="105">
        <v>0</v>
      </c>
      <c r="AV26" s="105">
        <v>0</v>
      </c>
      <c r="AW26" s="105">
        <v>0</v>
      </c>
      <c r="AX26" s="105">
        <v>0</v>
      </c>
    </row>
    <row r="27" spans="1:50" customFormat="1" x14ac:dyDescent="0.15">
      <c r="A27" s="151" t="s">
        <v>217</v>
      </c>
      <c r="B27" s="105">
        <v>0</v>
      </c>
      <c r="C27" s="105">
        <v>0</v>
      </c>
      <c r="D27" s="105">
        <v>0.8</v>
      </c>
      <c r="E27" s="105">
        <v>0.8</v>
      </c>
      <c r="F27" s="105">
        <v>0.8</v>
      </c>
      <c r="G27" s="105">
        <v>0</v>
      </c>
      <c r="H27" s="105">
        <v>0</v>
      </c>
      <c r="I27" s="105">
        <v>0.8</v>
      </c>
      <c r="J27" s="105">
        <v>0</v>
      </c>
      <c r="K27" s="105">
        <v>0</v>
      </c>
      <c r="L27" s="105">
        <v>0</v>
      </c>
      <c r="M27" s="105">
        <v>0</v>
      </c>
      <c r="N27" s="105">
        <v>0.8</v>
      </c>
      <c r="O27" s="105">
        <v>0</v>
      </c>
      <c r="P27" s="105">
        <v>0</v>
      </c>
      <c r="Q27" s="105">
        <v>0</v>
      </c>
      <c r="R27" s="105">
        <v>0.8</v>
      </c>
      <c r="S27" s="105">
        <v>0.8</v>
      </c>
      <c r="T27" s="105">
        <v>0</v>
      </c>
      <c r="U27" s="105">
        <v>0</v>
      </c>
      <c r="V27" s="105">
        <v>0</v>
      </c>
      <c r="W27" s="105">
        <v>0</v>
      </c>
      <c r="X27" s="105">
        <v>0</v>
      </c>
      <c r="Y27" s="105">
        <v>0</v>
      </c>
      <c r="Z27" s="105">
        <v>0</v>
      </c>
      <c r="AA27" s="105">
        <v>0</v>
      </c>
      <c r="AB27" s="105">
        <v>0.8</v>
      </c>
      <c r="AC27" s="105">
        <v>0</v>
      </c>
      <c r="AD27" s="105">
        <v>0</v>
      </c>
      <c r="AE27" s="105">
        <v>0</v>
      </c>
      <c r="AF27" s="105">
        <v>0</v>
      </c>
      <c r="AG27" s="105">
        <v>0</v>
      </c>
      <c r="AH27" s="105">
        <v>0</v>
      </c>
      <c r="AI27" s="105">
        <v>0</v>
      </c>
      <c r="AJ27" s="105">
        <v>0</v>
      </c>
      <c r="AK27" s="105">
        <v>0</v>
      </c>
      <c r="AL27" s="105">
        <v>0.8</v>
      </c>
      <c r="AM27" s="105">
        <v>0.8</v>
      </c>
      <c r="AN27" s="105">
        <v>0</v>
      </c>
      <c r="AO27" s="105">
        <v>0.8</v>
      </c>
      <c r="AP27" s="105">
        <v>0</v>
      </c>
      <c r="AQ27" s="105">
        <v>0</v>
      </c>
      <c r="AR27" s="105">
        <v>0</v>
      </c>
      <c r="AS27" s="105">
        <v>0</v>
      </c>
      <c r="AT27" s="105">
        <v>0</v>
      </c>
      <c r="AU27" s="105">
        <v>0</v>
      </c>
      <c r="AV27" s="105">
        <v>0</v>
      </c>
      <c r="AW27" s="105">
        <v>0</v>
      </c>
      <c r="AX27" s="105">
        <v>0</v>
      </c>
    </row>
    <row r="28" spans="1:50" customFormat="1" x14ac:dyDescent="0.15">
      <c r="A28" s="151" t="s">
        <v>218</v>
      </c>
      <c r="B28" s="105">
        <v>0</v>
      </c>
      <c r="C28" s="105">
        <v>0</v>
      </c>
      <c r="D28" s="105">
        <v>0</v>
      </c>
      <c r="E28" s="105">
        <v>0</v>
      </c>
      <c r="F28" s="105">
        <v>0.8</v>
      </c>
      <c r="G28" s="105">
        <v>0.8</v>
      </c>
      <c r="H28" s="105">
        <v>0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0</v>
      </c>
      <c r="O28" s="105">
        <v>0</v>
      </c>
      <c r="P28" s="105">
        <v>0</v>
      </c>
      <c r="Q28" s="105">
        <v>0</v>
      </c>
      <c r="R28" s="105">
        <v>0</v>
      </c>
      <c r="S28" s="105">
        <v>0</v>
      </c>
      <c r="T28" s="105">
        <v>0</v>
      </c>
      <c r="U28" s="105">
        <v>0</v>
      </c>
      <c r="V28" s="105">
        <v>0</v>
      </c>
      <c r="W28" s="105">
        <v>0</v>
      </c>
      <c r="X28" s="105">
        <v>0</v>
      </c>
      <c r="Y28" s="105">
        <v>0</v>
      </c>
      <c r="Z28" s="105">
        <v>0</v>
      </c>
      <c r="AA28" s="105">
        <v>0</v>
      </c>
      <c r="AB28" s="105">
        <v>0.8</v>
      </c>
      <c r="AC28" s="105">
        <v>0</v>
      </c>
      <c r="AD28" s="105">
        <v>0</v>
      </c>
      <c r="AE28" s="105">
        <v>0</v>
      </c>
      <c r="AF28" s="105">
        <v>0</v>
      </c>
      <c r="AG28" s="105">
        <v>0</v>
      </c>
      <c r="AH28" s="105">
        <v>0</v>
      </c>
      <c r="AI28" s="105">
        <v>0</v>
      </c>
      <c r="AJ28" s="105">
        <v>0</v>
      </c>
      <c r="AK28" s="105">
        <v>0</v>
      </c>
      <c r="AL28" s="105">
        <v>0</v>
      </c>
      <c r="AM28" s="105">
        <v>0</v>
      </c>
      <c r="AN28" s="105">
        <v>0</v>
      </c>
      <c r="AO28" s="105">
        <v>0</v>
      </c>
      <c r="AP28" s="105">
        <v>0</v>
      </c>
      <c r="AQ28" s="105">
        <v>0</v>
      </c>
      <c r="AR28" s="105">
        <v>0</v>
      </c>
      <c r="AS28" s="105">
        <v>0</v>
      </c>
      <c r="AT28" s="105">
        <v>0</v>
      </c>
      <c r="AU28" s="105">
        <v>0</v>
      </c>
      <c r="AV28" s="105">
        <v>0</v>
      </c>
      <c r="AW28" s="105">
        <v>0</v>
      </c>
      <c r="AX28" s="105">
        <v>0</v>
      </c>
    </row>
    <row r="29" spans="1:50" customFormat="1" x14ac:dyDescent="0.15">
      <c r="A29" s="151" t="s">
        <v>219</v>
      </c>
      <c r="B29" s="105">
        <v>0</v>
      </c>
      <c r="C29" s="105">
        <v>0.8</v>
      </c>
      <c r="D29" s="105">
        <v>0.8</v>
      </c>
      <c r="E29" s="105">
        <v>0.8</v>
      </c>
      <c r="F29" s="105">
        <v>0.8</v>
      </c>
      <c r="G29" s="105">
        <v>0.8</v>
      </c>
      <c r="H29" s="105">
        <v>0.8</v>
      </c>
      <c r="I29" s="105">
        <v>0.8</v>
      </c>
      <c r="J29" s="105">
        <v>0</v>
      </c>
      <c r="K29" s="105">
        <v>0</v>
      </c>
      <c r="L29" s="105">
        <v>0</v>
      </c>
      <c r="M29" s="105">
        <v>0.8</v>
      </c>
      <c r="N29" s="105">
        <v>0</v>
      </c>
      <c r="O29" s="105">
        <v>0.8</v>
      </c>
      <c r="P29" s="105">
        <v>0.8</v>
      </c>
      <c r="Q29" s="105">
        <v>0</v>
      </c>
      <c r="R29" s="105">
        <v>0</v>
      </c>
      <c r="S29" s="105">
        <v>0</v>
      </c>
      <c r="T29" s="105">
        <v>0.8</v>
      </c>
      <c r="U29" s="105">
        <v>0.8</v>
      </c>
      <c r="V29" s="105">
        <v>0.8</v>
      </c>
      <c r="W29" s="105">
        <v>0.8</v>
      </c>
      <c r="X29" s="105">
        <v>0.8</v>
      </c>
      <c r="Y29" s="105">
        <v>0</v>
      </c>
      <c r="Z29" s="105">
        <v>0</v>
      </c>
      <c r="AA29" s="105">
        <v>0</v>
      </c>
      <c r="AB29" s="105">
        <v>0.8</v>
      </c>
      <c r="AC29" s="105">
        <v>0</v>
      </c>
      <c r="AD29" s="105">
        <v>0</v>
      </c>
      <c r="AE29" s="105">
        <v>0</v>
      </c>
      <c r="AF29" s="105">
        <v>0</v>
      </c>
      <c r="AG29" s="105">
        <v>0.8</v>
      </c>
      <c r="AH29" s="105">
        <v>0</v>
      </c>
      <c r="AI29" s="105">
        <v>0.8</v>
      </c>
      <c r="AJ29" s="105">
        <v>0</v>
      </c>
      <c r="AK29" s="105">
        <v>0</v>
      </c>
      <c r="AL29" s="105">
        <v>0</v>
      </c>
      <c r="AM29" s="105">
        <v>0</v>
      </c>
      <c r="AN29" s="105">
        <v>0</v>
      </c>
      <c r="AO29" s="105">
        <v>0</v>
      </c>
      <c r="AP29" s="105">
        <v>0</v>
      </c>
      <c r="AQ29" s="105">
        <v>0</v>
      </c>
      <c r="AR29" s="105">
        <v>0</v>
      </c>
      <c r="AS29" s="105">
        <v>0</v>
      </c>
      <c r="AT29" s="105">
        <v>0</v>
      </c>
      <c r="AU29" s="105">
        <v>0</v>
      </c>
      <c r="AV29" s="105">
        <v>0</v>
      </c>
      <c r="AW29" s="105">
        <v>0</v>
      </c>
      <c r="AX29" s="105">
        <v>0</v>
      </c>
    </row>
    <row r="30" spans="1:50" customFormat="1" x14ac:dyDescent="0.15">
      <c r="A30" s="151" t="s">
        <v>220</v>
      </c>
      <c r="B30" s="105">
        <v>0</v>
      </c>
      <c r="C30" s="105">
        <v>0.8</v>
      </c>
      <c r="D30" s="105">
        <v>0.8</v>
      </c>
      <c r="E30" s="105">
        <v>0.8</v>
      </c>
      <c r="F30" s="105">
        <v>0.8</v>
      </c>
      <c r="G30" s="105">
        <v>0</v>
      </c>
      <c r="H30" s="105">
        <v>0.8</v>
      </c>
      <c r="I30" s="105">
        <v>0.8</v>
      </c>
      <c r="J30" s="105">
        <v>0</v>
      </c>
      <c r="K30" s="105">
        <v>0</v>
      </c>
      <c r="L30" s="105">
        <v>0</v>
      </c>
      <c r="M30" s="105">
        <v>0.8</v>
      </c>
      <c r="N30" s="105">
        <v>0.8</v>
      </c>
      <c r="O30" s="105">
        <v>0</v>
      </c>
      <c r="P30" s="105">
        <v>0.8</v>
      </c>
      <c r="Q30" s="105">
        <v>0.8</v>
      </c>
      <c r="R30" s="105">
        <v>0</v>
      </c>
      <c r="S30" s="105">
        <v>0</v>
      </c>
      <c r="T30" s="105">
        <v>0.8</v>
      </c>
      <c r="U30" s="105">
        <v>0</v>
      </c>
      <c r="V30" s="105">
        <v>0.8</v>
      </c>
      <c r="W30" s="105">
        <v>0</v>
      </c>
      <c r="X30" s="105">
        <v>0.8</v>
      </c>
      <c r="Y30" s="105">
        <v>0</v>
      </c>
      <c r="Z30" s="105">
        <v>0</v>
      </c>
      <c r="AA30" s="105">
        <v>0</v>
      </c>
      <c r="AB30" s="105">
        <v>0.8</v>
      </c>
      <c r="AC30" s="105">
        <v>0</v>
      </c>
      <c r="AD30" s="105">
        <v>0</v>
      </c>
      <c r="AE30" s="105">
        <v>0</v>
      </c>
      <c r="AF30" s="105">
        <v>0.8</v>
      </c>
      <c r="AG30" s="105">
        <v>0</v>
      </c>
      <c r="AH30" s="105">
        <v>0</v>
      </c>
      <c r="AI30" s="105">
        <v>0.8</v>
      </c>
      <c r="AJ30" s="105">
        <v>0</v>
      </c>
      <c r="AK30" s="105">
        <v>0</v>
      </c>
      <c r="AL30" s="105">
        <v>0.8</v>
      </c>
      <c r="AM30" s="105">
        <v>0.8</v>
      </c>
      <c r="AN30" s="105">
        <v>0.8</v>
      </c>
      <c r="AO30" s="105">
        <v>0.8</v>
      </c>
      <c r="AP30" s="105">
        <v>0</v>
      </c>
      <c r="AQ30" s="105">
        <v>0</v>
      </c>
      <c r="AR30" s="105">
        <v>0</v>
      </c>
      <c r="AS30" s="105">
        <v>0</v>
      </c>
      <c r="AT30" s="105">
        <v>0</v>
      </c>
      <c r="AU30" s="105">
        <v>0</v>
      </c>
      <c r="AV30" s="105">
        <v>0</v>
      </c>
      <c r="AW30" s="105">
        <v>0</v>
      </c>
      <c r="AX30" s="105">
        <v>0</v>
      </c>
    </row>
    <row r="31" spans="1:50" customFormat="1" x14ac:dyDescent="0.15">
      <c r="A31" s="151" t="s">
        <v>221</v>
      </c>
      <c r="B31" s="105">
        <v>0</v>
      </c>
      <c r="C31" s="105">
        <v>0</v>
      </c>
      <c r="D31" s="105">
        <v>0</v>
      </c>
      <c r="E31" s="105">
        <v>0</v>
      </c>
      <c r="F31" s="105">
        <v>0</v>
      </c>
      <c r="G31" s="105">
        <v>0</v>
      </c>
      <c r="H31" s="105">
        <v>0</v>
      </c>
      <c r="I31" s="105">
        <v>0.8</v>
      </c>
      <c r="J31" s="105">
        <v>0</v>
      </c>
      <c r="K31" s="105">
        <v>0</v>
      </c>
      <c r="L31" s="105">
        <v>0</v>
      </c>
      <c r="M31" s="105">
        <v>0</v>
      </c>
      <c r="N31" s="105">
        <v>0</v>
      </c>
      <c r="O31" s="105">
        <v>0</v>
      </c>
      <c r="P31" s="105">
        <v>0</v>
      </c>
      <c r="Q31" s="105">
        <v>0</v>
      </c>
      <c r="R31" s="105">
        <v>0</v>
      </c>
      <c r="S31" s="105">
        <v>0</v>
      </c>
      <c r="T31" s="105">
        <v>0</v>
      </c>
      <c r="U31" s="105">
        <v>0</v>
      </c>
      <c r="V31" s="105">
        <v>0</v>
      </c>
      <c r="W31" s="105">
        <v>0</v>
      </c>
      <c r="X31" s="105">
        <v>0</v>
      </c>
      <c r="Y31" s="105">
        <v>0</v>
      </c>
      <c r="Z31" s="105">
        <v>0</v>
      </c>
      <c r="AA31" s="105">
        <v>0</v>
      </c>
      <c r="AB31" s="105">
        <v>0.8</v>
      </c>
      <c r="AC31" s="105">
        <v>0</v>
      </c>
      <c r="AD31" s="105">
        <v>0</v>
      </c>
      <c r="AE31" s="105">
        <v>0.8</v>
      </c>
      <c r="AF31" s="105">
        <v>0.8</v>
      </c>
      <c r="AG31" s="105">
        <v>0</v>
      </c>
      <c r="AH31" s="105">
        <v>0</v>
      </c>
      <c r="AI31" s="105">
        <v>0</v>
      </c>
      <c r="AJ31" s="105">
        <v>0</v>
      </c>
      <c r="AK31" s="105">
        <v>0</v>
      </c>
      <c r="AL31" s="105">
        <v>0</v>
      </c>
      <c r="AM31" s="105">
        <v>0</v>
      </c>
      <c r="AN31" s="105">
        <v>0</v>
      </c>
      <c r="AO31" s="105">
        <v>0.8</v>
      </c>
      <c r="AP31" s="105">
        <v>0</v>
      </c>
      <c r="AQ31" s="105">
        <v>0</v>
      </c>
      <c r="AR31" s="105">
        <v>0</v>
      </c>
      <c r="AS31" s="105">
        <v>0</v>
      </c>
      <c r="AT31" s="105">
        <v>0</v>
      </c>
      <c r="AU31" s="105">
        <v>0</v>
      </c>
      <c r="AV31" s="105">
        <v>0</v>
      </c>
      <c r="AW31" s="105">
        <v>0</v>
      </c>
      <c r="AX31" s="105">
        <v>0</v>
      </c>
    </row>
    <row r="32" spans="1:50" customFormat="1" x14ac:dyDescent="0.15">
      <c r="A32" s="151" t="s">
        <v>222</v>
      </c>
      <c r="B32" s="105">
        <v>0</v>
      </c>
      <c r="C32" s="105">
        <v>0</v>
      </c>
      <c r="D32" s="105">
        <v>0.8</v>
      </c>
      <c r="E32" s="105">
        <v>0.8</v>
      </c>
      <c r="F32" s="105">
        <v>0.8</v>
      </c>
      <c r="G32" s="105">
        <v>0</v>
      </c>
      <c r="H32" s="105">
        <v>0</v>
      </c>
      <c r="I32" s="105">
        <v>0.8</v>
      </c>
      <c r="J32" s="105">
        <v>0</v>
      </c>
      <c r="K32" s="105">
        <v>0</v>
      </c>
      <c r="L32" s="105">
        <v>0</v>
      </c>
      <c r="M32" s="105">
        <v>0</v>
      </c>
      <c r="N32" s="105">
        <v>0.8</v>
      </c>
      <c r="O32" s="105">
        <v>0</v>
      </c>
      <c r="P32" s="105">
        <v>0</v>
      </c>
      <c r="Q32" s="105">
        <v>0</v>
      </c>
      <c r="R32" s="105">
        <v>0</v>
      </c>
      <c r="S32" s="105">
        <v>0</v>
      </c>
      <c r="T32" s="105">
        <v>0</v>
      </c>
      <c r="U32" s="105">
        <v>0</v>
      </c>
      <c r="V32" s="105">
        <v>0</v>
      </c>
      <c r="W32" s="105">
        <v>0</v>
      </c>
      <c r="X32" s="105">
        <v>0</v>
      </c>
      <c r="Y32" s="105">
        <v>0</v>
      </c>
      <c r="Z32" s="105">
        <v>0</v>
      </c>
      <c r="AA32" s="105">
        <v>0</v>
      </c>
      <c r="AB32" s="105">
        <v>0.8</v>
      </c>
      <c r="AC32" s="105">
        <v>0</v>
      </c>
      <c r="AD32" s="105">
        <v>0</v>
      </c>
      <c r="AE32" s="105">
        <v>0.8</v>
      </c>
      <c r="AF32" s="105">
        <v>0.8</v>
      </c>
      <c r="AG32" s="105">
        <v>0</v>
      </c>
      <c r="AH32" s="105">
        <v>0</v>
      </c>
      <c r="AI32" s="105">
        <v>0</v>
      </c>
      <c r="AJ32" s="105">
        <v>0</v>
      </c>
      <c r="AK32" s="105">
        <v>0</v>
      </c>
      <c r="AL32" s="105">
        <v>0</v>
      </c>
      <c r="AM32" s="105">
        <v>0</v>
      </c>
      <c r="AN32" s="105">
        <v>0</v>
      </c>
      <c r="AO32" s="105">
        <v>0</v>
      </c>
      <c r="AP32" s="105">
        <v>0</v>
      </c>
      <c r="AQ32" s="105">
        <v>0</v>
      </c>
      <c r="AR32" s="105">
        <v>0</v>
      </c>
      <c r="AS32" s="105">
        <v>0</v>
      </c>
      <c r="AT32" s="105">
        <v>0</v>
      </c>
      <c r="AU32" s="105">
        <v>0</v>
      </c>
      <c r="AV32" s="105">
        <v>0</v>
      </c>
      <c r="AW32" s="105">
        <v>0</v>
      </c>
      <c r="AX32" s="105">
        <v>0</v>
      </c>
    </row>
    <row r="33" spans="1:50" x14ac:dyDescent="0.15">
      <c r="A33" s="151" t="s">
        <v>223</v>
      </c>
      <c r="B33" s="105">
        <v>0</v>
      </c>
      <c r="C33" s="105">
        <v>0</v>
      </c>
      <c r="D33" s="105">
        <v>0</v>
      </c>
      <c r="E33" s="105">
        <v>0.8</v>
      </c>
      <c r="F33" s="105">
        <v>0</v>
      </c>
      <c r="G33" s="105">
        <v>0</v>
      </c>
      <c r="H33" s="105">
        <v>0</v>
      </c>
      <c r="I33" s="105">
        <v>0.8</v>
      </c>
      <c r="J33" s="105">
        <v>0</v>
      </c>
      <c r="K33" s="105">
        <v>0</v>
      </c>
      <c r="L33" s="105">
        <v>0</v>
      </c>
      <c r="M33" s="105">
        <v>0</v>
      </c>
      <c r="N33" s="105">
        <v>0</v>
      </c>
      <c r="O33" s="105">
        <v>0</v>
      </c>
      <c r="P33" s="105">
        <v>0.8</v>
      </c>
      <c r="Q33" s="105">
        <v>0</v>
      </c>
      <c r="R33" s="105">
        <v>0</v>
      </c>
      <c r="S33" s="105">
        <v>0</v>
      </c>
      <c r="T33" s="105">
        <v>0.8</v>
      </c>
      <c r="U33" s="105">
        <v>0</v>
      </c>
      <c r="V33" s="105">
        <v>0</v>
      </c>
      <c r="W33" s="105">
        <v>0</v>
      </c>
      <c r="X33" s="105">
        <v>0</v>
      </c>
      <c r="Y33" s="105">
        <v>0</v>
      </c>
      <c r="Z33" s="105">
        <v>0</v>
      </c>
      <c r="AA33" s="105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05">
        <v>0</v>
      </c>
      <c r="AI33" s="105">
        <v>0</v>
      </c>
      <c r="AJ33" s="105">
        <v>0</v>
      </c>
      <c r="AK33" s="105">
        <v>0</v>
      </c>
      <c r="AL33" s="105">
        <v>0</v>
      </c>
      <c r="AM33" s="105">
        <v>0</v>
      </c>
      <c r="AN33" s="105">
        <v>0</v>
      </c>
      <c r="AO33" s="105">
        <v>0</v>
      </c>
      <c r="AP33" s="105">
        <v>0</v>
      </c>
      <c r="AQ33" s="105">
        <v>0</v>
      </c>
      <c r="AR33" s="105">
        <v>0</v>
      </c>
      <c r="AS33" s="105">
        <v>0</v>
      </c>
      <c r="AT33" s="105">
        <v>0</v>
      </c>
      <c r="AU33" s="105">
        <v>0</v>
      </c>
      <c r="AV33" s="105">
        <v>0</v>
      </c>
      <c r="AW33" s="105">
        <v>0</v>
      </c>
      <c r="AX33" s="105">
        <v>0</v>
      </c>
    </row>
    <row r="34" spans="1:50" x14ac:dyDescent="0.15">
      <c r="A34" s="151" t="s">
        <v>224</v>
      </c>
      <c r="B34" s="105">
        <v>0</v>
      </c>
      <c r="C34" s="105">
        <v>0</v>
      </c>
      <c r="D34" s="105">
        <v>0</v>
      </c>
      <c r="E34" s="105">
        <v>0</v>
      </c>
      <c r="F34" s="105">
        <v>0</v>
      </c>
      <c r="G34" s="105">
        <v>0</v>
      </c>
      <c r="H34" s="105">
        <v>0</v>
      </c>
      <c r="I34" s="105">
        <v>0</v>
      </c>
      <c r="J34" s="105">
        <v>0</v>
      </c>
      <c r="K34" s="105">
        <v>0</v>
      </c>
      <c r="L34" s="105">
        <v>0</v>
      </c>
      <c r="M34" s="105">
        <v>0</v>
      </c>
      <c r="N34" s="105">
        <v>0</v>
      </c>
      <c r="O34" s="105">
        <v>0</v>
      </c>
      <c r="P34" s="105">
        <v>0</v>
      </c>
      <c r="Q34" s="105">
        <v>0</v>
      </c>
      <c r="R34" s="105">
        <v>0</v>
      </c>
      <c r="S34" s="105">
        <v>0</v>
      </c>
      <c r="T34" s="105">
        <v>0</v>
      </c>
      <c r="U34" s="105">
        <v>0</v>
      </c>
      <c r="V34" s="105">
        <v>0</v>
      </c>
      <c r="W34" s="105">
        <v>0</v>
      </c>
      <c r="X34" s="105">
        <v>0</v>
      </c>
      <c r="Y34" s="105">
        <v>0</v>
      </c>
      <c r="Z34" s="105">
        <v>0</v>
      </c>
      <c r="AA34" s="105">
        <v>0</v>
      </c>
      <c r="AB34" s="105">
        <v>0</v>
      </c>
      <c r="AC34" s="105">
        <v>0</v>
      </c>
      <c r="AD34" s="105">
        <v>0</v>
      </c>
      <c r="AE34" s="105">
        <v>0</v>
      </c>
      <c r="AF34" s="105">
        <v>0</v>
      </c>
      <c r="AG34" s="105">
        <v>0</v>
      </c>
      <c r="AH34" s="105">
        <v>0</v>
      </c>
      <c r="AI34" s="105">
        <v>0</v>
      </c>
      <c r="AJ34" s="105">
        <v>0</v>
      </c>
      <c r="AK34" s="105">
        <v>0</v>
      </c>
      <c r="AL34" s="105">
        <v>0</v>
      </c>
      <c r="AM34" s="105">
        <v>0</v>
      </c>
      <c r="AN34" s="105">
        <v>0</v>
      </c>
      <c r="AO34" s="105">
        <v>0.8</v>
      </c>
      <c r="AP34" s="105">
        <v>0</v>
      </c>
      <c r="AQ34" s="105">
        <v>0</v>
      </c>
      <c r="AR34" s="105">
        <v>0</v>
      </c>
      <c r="AS34" s="105">
        <v>0</v>
      </c>
      <c r="AT34" s="105">
        <v>0</v>
      </c>
      <c r="AU34" s="105">
        <v>0</v>
      </c>
      <c r="AV34" s="105">
        <v>0</v>
      </c>
      <c r="AW34" s="105">
        <v>0</v>
      </c>
      <c r="AX34" s="105">
        <v>0</v>
      </c>
    </row>
    <row r="35" spans="1:50" x14ac:dyDescent="0.15">
      <c r="A35" s="151" t="s">
        <v>225</v>
      </c>
      <c r="B35" s="105">
        <v>0</v>
      </c>
      <c r="C35" s="105">
        <v>0</v>
      </c>
      <c r="D35" s="105">
        <v>0</v>
      </c>
      <c r="E35" s="105">
        <v>0</v>
      </c>
      <c r="F35" s="105">
        <v>0</v>
      </c>
      <c r="G35" s="105">
        <v>0</v>
      </c>
      <c r="H35" s="105">
        <v>0</v>
      </c>
      <c r="I35" s="105">
        <v>0</v>
      </c>
      <c r="J35" s="105">
        <v>0</v>
      </c>
      <c r="K35" s="105">
        <v>0</v>
      </c>
      <c r="L35" s="105">
        <v>0</v>
      </c>
      <c r="M35" s="105">
        <v>0</v>
      </c>
      <c r="N35" s="105">
        <v>0</v>
      </c>
      <c r="O35" s="105">
        <v>0</v>
      </c>
      <c r="P35" s="105">
        <v>0</v>
      </c>
      <c r="Q35" s="105">
        <v>0</v>
      </c>
      <c r="R35" s="105">
        <v>0</v>
      </c>
      <c r="S35" s="105">
        <v>0</v>
      </c>
      <c r="T35" s="105">
        <v>0</v>
      </c>
      <c r="U35" s="105">
        <v>0</v>
      </c>
      <c r="V35" s="105">
        <v>0</v>
      </c>
      <c r="W35" s="105">
        <v>0</v>
      </c>
      <c r="X35" s="105">
        <v>0</v>
      </c>
      <c r="Y35" s="105">
        <v>0</v>
      </c>
      <c r="Z35" s="105">
        <v>0</v>
      </c>
      <c r="AA35" s="105">
        <v>0</v>
      </c>
      <c r="AB35" s="105">
        <v>0</v>
      </c>
      <c r="AC35" s="105">
        <v>0</v>
      </c>
      <c r="AD35" s="105">
        <v>0</v>
      </c>
      <c r="AE35" s="105">
        <v>0</v>
      </c>
      <c r="AF35" s="105">
        <v>0</v>
      </c>
      <c r="AG35" s="105">
        <v>0</v>
      </c>
      <c r="AH35" s="105">
        <v>0</v>
      </c>
      <c r="AI35" s="105">
        <v>0</v>
      </c>
      <c r="AJ35" s="105">
        <v>0</v>
      </c>
      <c r="AK35" s="105">
        <v>0</v>
      </c>
      <c r="AL35" s="105">
        <v>0</v>
      </c>
      <c r="AM35" s="105">
        <v>0</v>
      </c>
      <c r="AN35" s="105">
        <v>0</v>
      </c>
      <c r="AO35" s="105">
        <v>0</v>
      </c>
      <c r="AP35" s="105">
        <v>0</v>
      </c>
      <c r="AQ35" s="105">
        <v>0</v>
      </c>
      <c r="AR35" s="105">
        <v>0</v>
      </c>
      <c r="AS35" s="105">
        <v>0</v>
      </c>
      <c r="AT35" s="105">
        <v>0</v>
      </c>
      <c r="AU35" s="105">
        <v>0</v>
      </c>
      <c r="AV35" s="105">
        <v>0</v>
      </c>
      <c r="AW35" s="105">
        <v>0</v>
      </c>
      <c r="AX35" s="105">
        <v>0</v>
      </c>
    </row>
    <row r="36" spans="1:50" x14ac:dyDescent="0.15">
      <c r="A36" s="151" t="s">
        <v>226</v>
      </c>
      <c r="B36" s="105">
        <v>0</v>
      </c>
      <c r="C36" s="105">
        <v>0</v>
      </c>
      <c r="D36" s="105">
        <v>0</v>
      </c>
      <c r="E36" s="105">
        <v>0</v>
      </c>
      <c r="F36" s="105">
        <v>0</v>
      </c>
      <c r="G36" s="105">
        <v>0</v>
      </c>
      <c r="H36" s="105">
        <v>0</v>
      </c>
      <c r="I36" s="105">
        <v>0</v>
      </c>
      <c r="J36" s="105">
        <v>0</v>
      </c>
      <c r="K36" s="105">
        <v>0</v>
      </c>
      <c r="L36" s="105">
        <v>0</v>
      </c>
      <c r="M36" s="105">
        <v>0</v>
      </c>
      <c r="N36" s="105">
        <v>0</v>
      </c>
      <c r="O36" s="105">
        <v>0</v>
      </c>
      <c r="P36" s="105">
        <v>0</v>
      </c>
      <c r="Q36" s="105">
        <v>0</v>
      </c>
      <c r="R36" s="105">
        <v>0</v>
      </c>
      <c r="S36" s="105">
        <v>0</v>
      </c>
      <c r="T36" s="105">
        <v>0</v>
      </c>
      <c r="U36" s="105">
        <v>0</v>
      </c>
      <c r="V36" s="105">
        <v>0</v>
      </c>
      <c r="W36" s="105">
        <v>0</v>
      </c>
      <c r="X36" s="105">
        <v>0</v>
      </c>
      <c r="Y36" s="105">
        <v>0</v>
      </c>
      <c r="Z36" s="105">
        <v>0</v>
      </c>
      <c r="AA36" s="105">
        <v>0</v>
      </c>
      <c r="AB36" s="105">
        <v>0</v>
      </c>
      <c r="AC36" s="105">
        <v>0</v>
      </c>
      <c r="AD36" s="105">
        <v>0</v>
      </c>
      <c r="AE36" s="105">
        <v>0</v>
      </c>
      <c r="AF36" s="105">
        <v>0</v>
      </c>
      <c r="AG36" s="105">
        <v>0</v>
      </c>
      <c r="AH36" s="105">
        <v>0</v>
      </c>
      <c r="AI36" s="105">
        <v>0</v>
      </c>
      <c r="AJ36" s="105">
        <v>0</v>
      </c>
      <c r="AK36" s="105">
        <v>0</v>
      </c>
      <c r="AL36" s="105">
        <v>0</v>
      </c>
      <c r="AM36" s="105">
        <v>0</v>
      </c>
      <c r="AN36" s="105">
        <v>0</v>
      </c>
      <c r="AO36" s="105">
        <v>0</v>
      </c>
      <c r="AP36" s="105">
        <v>0</v>
      </c>
      <c r="AQ36" s="105">
        <v>0</v>
      </c>
      <c r="AR36" s="105">
        <v>0</v>
      </c>
      <c r="AS36" s="105">
        <v>0</v>
      </c>
      <c r="AT36" s="105">
        <v>0</v>
      </c>
      <c r="AU36" s="105">
        <v>0</v>
      </c>
      <c r="AV36" s="105">
        <v>0</v>
      </c>
      <c r="AW36" s="105">
        <v>0</v>
      </c>
      <c r="AX36" s="105">
        <v>0</v>
      </c>
    </row>
    <row r="37" spans="1:50" x14ac:dyDescent="0.15">
      <c r="A37" s="151" t="s">
        <v>227</v>
      </c>
      <c r="B37" s="105">
        <v>0</v>
      </c>
      <c r="C37" s="105">
        <v>0</v>
      </c>
      <c r="D37" s="105">
        <v>0</v>
      </c>
      <c r="E37" s="105">
        <v>0</v>
      </c>
      <c r="F37" s="105">
        <v>0</v>
      </c>
      <c r="G37" s="105">
        <v>0</v>
      </c>
      <c r="H37" s="105">
        <v>0</v>
      </c>
      <c r="I37" s="105">
        <v>0</v>
      </c>
      <c r="J37" s="105">
        <v>0</v>
      </c>
      <c r="K37" s="105">
        <v>0</v>
      </c>
      <c r="L37" s="105">
        <v>0</v>
      </c>
      <c r="M37" s="105">
        <v>0</v>
      </c>
      <c r="N37" s="105">
        <v>0</v>
      </c>
      <c r="O37" s="105">
        <v>0</v>
      </c>
      <c r="P37" s="105">
        <v>0</v>
      </c>
      <c r="Q37" s="105">
        <v>0</v>
      </c>
      <c r="R37" s="105">
        <v>0</v>
      </c>
      <c r="S37" s="105">
        <v>0</v>
      </c>
      <c r="T37" s="105">
        <v>0</v>
      </c>
      <c r="U37" s="105">
        <v>0</v>
      </c>
      <c r="V37" s="105">
        <v>0</v>
      </c>
      <c r="W37" s="105">
        <v>0</v>
      </c>
      <c r="X37" s="105">
        <v>0</v>
      </c>
      <c r="Y37" s="105">
        <v>0</v>
      </c>
      <c r="Z37" s="105">
        <v>0</v>
      </c>
      <c r="AA37" s="105">
        <v>0</v>
      </c>
      <c r="AB37" s="105">
        <v>0.8</v>
      </c>
      <c r="AC37" s="105">
        <v>0</v>
      </c>
      <c r="AD37" s="105">
        <v>0</v>
      </c>
      <c r="AE37" s="105">
        <v>0</v>
      </c>
      <c r="AF37" s="105">
        <v>0</v>
      </c>
      <c r="AG37" s="105">
        <v>0</v>
      </c>
      <c r="AH37" s="105">
        <v>0</v>
      </c>
      <c r="AI37" s="105">
        <v>0</v>
      </c>
      <c r="AJ37" s="105">
        <v>0</v>
      </c>
      <c r="AK37" s="105">
        <v>0</v>
      </c>
      <c r="AL37" s="105">
        <v>0</v>
      </c>
      <c r="AM37" s="105">
        <v>0</v>
      </c>
      <c r="AN37" s="105">
        <v>0</v>
      </c>
      <c r="AO37" s="105">
        <v>0</v>
      </c>
      <c r="AP37" s="105">
        <v>0</v>
      </c>
      <c r="AQ37" s="105">
        <v>0</v>
      </c>
      <c r="AR37" s="105">
        <v>0</v>
      </c>
      <c r="AS37" s="105">
        <v>0</v>
      </c>
      <c r="AT37" s="105">
        <v>0</v>
      </c>
      <c r="AU37" s="105">
        <v>0</v>
      </c>
      <c r="AV37" s="105">
        <v>0</v>
      </c>
      <c r="AW37" s="105">
        <v>0</v>
      </c>
      <c r="AX37" s="105">
        <v>0</v>
      </c>
    </row>
    <row r="38" spans="1:50" x14ac:dyDescent="0.15">
      <c r="A38" s="151" t="s">
        <v>228</v>
      </c>
      <c r="B38" s="105">
        <v>0</v>
      </c>
      <c r="C38" s="105">
        <v>0</v>
      </c>
      <c r="D38" s="105">
        <v>0</v>
      </c>
      <c r="E38" s="105">
        <v>0</v>
      </c>
      <c r="F38" s="105">
        <v>0</v>
      </c>
      <c r="G38" s="105">
        <v>0</v>
      </c>
      <c r="H38" s="105">
        <v>0</v>
      </c>
      <c r="I38" s="105">
        <v>0</v>
      </c>
      <c r="J38" s="105">
        <v>0</v>
      </c>
      <c r="K38" s="105">
        <v>0</v>
      </c>
      <c r="L38" s="105">
        <v>0</v>
      </c>
      <c r="M38" s="105">
        <v>0</v>
      </c>
      <c r="N38" s="105">
        <v>0</v>
      </c>
      <c r="O38" s="105">
        <v>0</v>
      </c>
      <c r="P38" s="105">
        <v>0</v>
      </c>
      <c r="Q38" s="105">
        <v>0</v>
      </c>
      <c r="R38" s="105">
        <v>0</v>
      </c>
      <c r="S38" s="105">
        <v>0</v>
      </c>
      <c r="T38" s="105">
        <v>0</v>
      </c>
      <c r="U38" s="105">
        <v>0</v>
      </c>
      <c r="V38" s="105">
        <v>0</v>
      </c>
      <c r="W38" s="105">
        <v>0</v>
      </c>
      <c r="X38" s="105">
        <v>0</v>
      </c>
      <c r="Y38" s="105">
        <v>0</v>
      </c>
      <c r="Z38" s="105">
        <v>0</v>
      </c>
      <c r="AA38" s="105">
        <v>0</v>
      </c>
      <c r="AB38" s="105">
        <v>0.8</v>
      </c>
      <c r="AC38" s="105">
        <v>0</v>
      </c>
      <c r="AD38" s="105">
        <v>0</v>
      </c>
      <c r="AE38" s="105">
        <v>0</v>
      </c>
      <c r="AF38" s="105">
        <v>0</v>
      </c>
      <c r="AG38" s="105">
        <v>0</v>
      </c>
      <c r="AH38" s="105">
        <v>0</v>
      </c>
      <c r="AI38" s="105">
        <v>0</v>
      </c>
      <c r="AJ38" s="105">
        <v>0</v>
      </c>
      <c r="AK38" s="105">
        <v>0</v>
      </c>
      <c r="AL38" s="105">
        <v>0</v>
      </c>
      <c r="AM38" s="105">
        <v>0</v>
      </c>
      <c r="AN38" s="105">
        <v>0</v>
      </c>
      <c r="AO38" s="105">
        <v>0</v>
      </c>
      <c r="AP38" s="105">
        <v>0</v>
      </c>
      <c r="AQ38" s="105">
        <v>0</v>
      </c>
      <c r="AR38" s="105">
        <v>0</v>
      </c>
      <c r="AS38" s="105">
        <v>0</v>
      </c>
      <c r="AT38" s="105">
        <v>0</v>
      </c>
      <c r="AU38" s="105">
        <v>0</v>
      </c>
      <c r="AV38" s="105">
        <v>0</v>
      </c>
      <c r="AW38" s="105">
        <v>0</v>
      </c>
      <c r="AX38" s="105">
        <v>0</v>
      </c>
    </row>
    <row r="39" spans="1:50" x14ac:dyDescent="0.15">
      <c r="A39" s="151" t="s">
        <v>229</v>
      </c>
      <c r="B39" s="105">
        <v>0</v>
      </c>
      <c r="C39" s="105">
        <v>0</v>
      </c>
      <c r="D39" s="105">
        <v>0</v>
      </c>
      <c r="E39" s="105">
        <v>0</v>
      </c>
      <c r="F39" s="105">
        <v>0</v>
      </c>
      <c r="G39" s="105">
        <v>0</v>
      </c>
      <c r="H39" s="105">
        <v>0</v>
      </c>
      <c r="I39" s="105">
        <v>0</v>
      </c>
      <c r="J39" s="105">
        <v>0</v>
      </c>
      <c r="K39" s="105">
        <v>0</v>
      </c>
      <c r="L39" s="105">
        <v>0</v>
      </c>
      <c r="M39" s="105">
        <v>0</v>
      </c>
      <c r="N39" s="105">
        <v>0</v>
      </c>
      <c r="O39" s="105">
        <v>0</v>
      </c>
      <c r="P39" s="105">
        <v>0</v>
      </c>
      <c r="Q39" s="105">
        <v>0</v>
      </c>
      <c r="R39" s="105">
        <v>0</v>
      </c>
      <c r="S39" s="105">
        <v>0</v>
      </c>
      <c r="T39" s="105">
        <v>0</v>
      </c>
      <c r="U39" s="105">
        <v>0</v>
      </c>
      <c r="V39" s="105">
        <v>0</v>
      </c>
      <c r="W39" s="105">
        <v>0</v>
      </c>
      <c r="X39" s="105">
        <v>0</v>
      </c>
      <c r="Y39" s="105">
        <v>0</v>
      </c>
      <c r="Z39" s="105">
        <v>0</v>
      </c>
      <c r="AA39" s="105">
        <v>0</v>
      </c>
      <c r="AB39" s="105">
        <v>0</v>
      </c>
      <c r="AC39" s="105">
        <v>0</v>
      </c>
      <c r="AD39" s="105">
        <v>0</v>
      </c>
      <c r="AE39" s="105">
        <v>0</v>
      </c>
      <c r="AF39" s="105">
        <v>0</v>
      </c>
      <c r="AG39" s="105">
        <v>0</v>
      </c>
      <c r="AH39" s="105">
        <v>0</v>
      </c>
      <c r="AI39" s="105">
        <v>0</v>
      </c>
      <c r="AJ39" s="105">
        <v>0</v>
      </c>
      <c r="AK39" s="105">
        <v>0</v>
      </c>
      <c r="AL39" s="105">
        <v>0</v>
      </c>
      <c r="AM39" s="105">
        <v>0</v>
      </c>
      <c r="AN39" s="105">
        <v>0</v>
      </c>
      <c r="AO39" s="105">
        <v>0</v>
      </c>
      <c r="AP39" s="105">
        <v>0</v>
      </c>
      <c r="AQ39" s="105">
        <v>0</v>
      </c>
      <c r="AR39" s="105">
        <v>0</v>
      </c>
      <c r="AS39" s="105">
        <v>0</v>
      </c>
      <c r="AT39" s="105">
        <v>0</v>
      </c>
      <c r="AU39" s="105">
        <v>0</v>
      </c>
      <c r="AV39" s="105">
        <v>0</v>
      </c>
      <c r="AW39" s="105">
        <v>0</v>
      </c>
      <c r="AX39" s="105">
        <v>0</v>
      </c>
    </row>
    <row r="40" spans="1:50" x14ac:dyDescent="0.15">
      <c r="A40" s="151" t="s">
        <v>230</v>
      </c>
      <c r="B40" s="105">
        <v>0</v>
      </c>
      <c r="C40" s="105">
        <v>0</v>
      </c>
      <c r="D40" s="105">
        <v>0</v>
      </c>
      <c r="E40" s="105">
        <v>0</v>
      </c>
      <c r="F40" s="105">
        <v>0</v>
      </c>
      <c r="G40" s="105">
        <v>0</v>
      </c>
      <c r="H40" s="105">
        <v>0</v>
      </c>
      <c r="I40" s="105">
        <v>0</v>
      </c>
      <c r="J40" s="105">
        <v>0</v>
      </c>
      <c r="K40" s="105">
        <v>0</v>
      </c>
      <c r="L40" s="105">
        <v>0</v>
      </c>
      <c r="M40" s="105">
        <v>0</v>
      </c>
      <c r="N40" s="105">
        <v>0.8</v>
      </c>
      <c r="O40" s="105">
        <v>0</v>
      </c>
      <c r="P40" s="105">
        <v>0</v>
      </c>
      <c r="Q40" s="105">
        <v>0</v>
      </c>
      <c r="R40" s="105">
        <v>0</v>
      </c>
      <c r="S40" s="105">
        <v>0.8</v>
      </c>
      <c r="T40" s="105">
        <v>0</v>
      </c>
      <c r="U40" s="105">
        <v>0</v>
      </c>
      <c r="V40" s="105">
        <v>0</v>
      </c>
      <c r="W40" s="105">
        <v>0</v>
      </c>
      <c r="X40" s="105">
        <v>0</v>
      </c>
      <c r="Y40" s="105">
        <v>0</v>
      </c>
      <c r="Z40" s="105">
        <v>0</v>
      </c>
      <c r="AA40" s="105">
        <v>0</v>
      </c>
      <c r="AB40" s="105">
        <v>0</v>
      </c>
      <c r="AC40" s="105">
        <v>0</v>
      </c>
      <c r="AD40" s="105">
        <v>0</v>
      </c>
      <c r="AE40" s="105">
        <v>0</v>
      </c>
      <c r="AF40" s="105">
        <v>0</v>
      </c>
      <c r="AG40" s="105">
        <v>0</v>
      </c>
      <c r="AH40" s="105">
        <v>0</v>
      </c>
      <c r="AI40" s="105">
        <v>0</v>
      </c>
      <c r="AJ40" s="105">
        <v>0</v>
      </c>
      <c r="AK40" s="105">
        <v>0</v>
      </c>
      <c r="AL40" s="105">
        <v>0</v>
      </c>
      <c r="AM40" s="105">
        <v>0</v>
      </c>
      <c r="AN40" s="105">
        <v>0</v>
      </c>
      <c r="AO40" s="105">
        <v>0.8</v>
      </c>
      <c r="AP40" s="105">
        <v>0</v>
      </c>
      <c r="AQ40" s="105">
        <v>0</v>
      </c>
      <c r="AR40" s="105">
        <v>0</v>
      </c>
      <c r="AS40" s="105">
        <v>0</v>
      </c>
      <c r="AT40" s="105">
        <v>0</v>
      </c>
      <c r="AU40" s="105">
        <v>0</v>
      </c>
      <c r="AV40" s="105">
        <v>0</v>
      </c>
      <c r="AW40" s="105">
        <v>0</v>
      </c>
      <c r="AX40" s="105">
        <v>0</v>
      </c>
    </row>
    <row r="41" spans="1:50" x14ac:dyDescent="0.15">
      <c r="A41" s="151" t="s">
        <v>231</v>
      </c>
      <c r="B41" s="105">
        <v>0</v>
      </c>
      <c r="C41" s="105">
        <v>0</v>
      </c>
      <c r="D41" s="105">
        <v>0</v>
      </c>
      <c r="E41" s="105">
        <v>0</v>
      </c>
      <c r="F41" s="105">
        <v>0</v>
      </c>
      <c r="G41" s="105">
        <v>0</v>
      </c>
      <c r="H41" s="105">
        <v>0</v>
      </c>
      <c r="I41" s="105">
        <v>0</v>
      </c>
      <c r="J41" s="105">
        <v>0</v>
      </c>
      <c r="K41" s="105">
        <v>0</v>
      </c>
      <c r="L41" s="105">
        <v>0</v>
      </c>
      <c r="M41" s="105">
        <v>0</v>
      </c>
      <c r="N41" s="105">
        <v>0</v>
      </c>
      <c r="O41" s="105">
        <v>0</v>
      </c>
      <c r="P41" s="105">
        <v>0</v>
      </c>
      <c r="Q41" s="105">
        <v>0</v>
      </c>
      <c r="R41" s="105">
        <v>0</v>
      </c>
      <c r="S41" s="105">
        <v>0</v>
      </c>
      <c r="T41" s="105">
        <v>0</v>
      </c>
      <c r="U41" s="105">
        <v>0</v>
      </c>
      <c r="V41" s="105">
        <v>0</v>
      </c>
      <c r="W41" s="105">
        <v>0</v>
      </c>
      <c r="X41" s="105">
        <v>0</v>
      </c>
      <c r="Y41" s="105">
        <v>0</v>
      </c>
      <c r="Z41" s="105">
        <v>0</v>
      </c>
      <c r="AA41" s="105">
        <v>0</v>
      </c>
      <c r="AB41" s="105">
        <v>0</v>
      </c>
      <c r="AC41" s="105">
        <v>0</v>
      </c>
      <c r="AD41" s="105">
        <v>0</v>
      </c>
      <c r="AE41" s="105">
        <v>0</v>
      </c>
      <c r="AF41" s="105">
        <v>0</v>
      </c>
      <c r="AG41" s="105">
        <v>0</v>
      </c>
      <c r="AH41" s="105">
        <v>0</v>
      </c>
      <c r="AI41" s="105">
        <v>0</v>
      </c>
      <c r="AJ41" s="105">
        <v>0</v>
      </c>
      <c r="AK41" s="105">
        <v>0</v>
      </c>
      <c r="AL41" s="105">
        <v>0</v>
      </c>
      <c r="AM41" s="105">
        <v>0</v>
      </c>
      <c r="AN41" s="105">
        <v>0</v>
      </c>
      <c r="AO41" s="105">
        <v>0</v>
      </c>
      <c r="AP41" s="105">
        <v>0</v>
      </c>
      <c r="AQ41" s="105">
        <v>0</v>
      </c>
      <c r="AR41" s="105">
        <v>0</v>
      </c>
      <c r="AS41" s="105">
        <v>0</v>
      </c>
      <c r="AT41" s="105">
        <v>0</v>
      </c>
      <c r="AU41" s="105">
        <v>0</v>
      </c>
      <c r="AV41" s="105">
        <v>0</v>
      </c>
      <c r="AW41" s="105">
        <v>0</v>
      </c>
      <c r="AX41" s="105">
        <v>0</v>
      </c>
    </row>
    <row r="42" spans="1:50" x14ac:dyDescent="0.15">
      <c r="A42" s="151" t="s">
        <v>232</v>
      </c>
      <c r="B42" s="105">
        <v>0.8</v>
      </c>
      <c r="C42" s="105">
        <v>0.8</v>
      </c>
      <c r="D42" s="105">
        <v>0.8</v>
      </c>
      <c r="E42" s="105">
        <v>0.8</v>
      </c>
      <c r="F42" s="105">
        <v>0.8</v>
      </c>
      <c r="G42" s="105">
        <v>0.8</v>
      </c>
      <c r="H42" s="105">
        <v>0</v>
      </c>
      <c r="I42" s="105">
        <v>0</v>
      </c>
      <c r="J42" s="105">
        <v>0</v>
      </c>
      <c r="K42" s="105">
        <v>0.8</v>
      </c>
      <c r="L42" s="105">
        <v>0.8</v>
      </c>
      <c r="M42" s="105">
        <v>0.8</v>
      </c>
      <c r="N42" s="105">
        <v>0</v>
      </c>
      <c r="O42" s="105">
        <v>0.8</v>
      </c>
      <c r="P42" s="105">
        <v>0.8</v>
      </c>
      <c r="Q42" s="105">
        <v>0.8</v>
      </c>
      <c r="R42" s="105">
        <v>0.8</v>
      </c>
      <c r="S42" s="105">
        <v>0</v>
      </c>
      <c r="T42" s="105">
        <v>0.8</v>
      </c>
      <c r="U42" s="105">
        <v>0.8</v>
      </c>
      <c r="V42" s="105">
        <v>0.8</v>
      </c>
      <c r="W42" s="105">
        <v>0.8</v>
      </c>
      <c r="X42" s="105">
        <v>0.8</v>
      </c>
      <c r="Y42" s="105">
        <v>0.8</v>
      </c>
      <c r="Z42" s="105">
        <v>0</v>
      </c>
      <c r="AA42" s="105">
        <v>0</v>
      </c>
      <c r="AB42" s="105">
        <v>0.8</v>
      </c>
      <c r="AC42" s="105">
        <v>0.8</v>
      </c>
      <c r="AD42" s="105">
        <v>0.8</v>
      </c>
      <c r="AE42" s="105">
        <v>0.8</v>
      </c>
      <c r="AF42" s="105">
        <v>0.8</v>
      </c>
      <c r="AG42" s="105">
        <v>0.8</v>
      </c>
      <c r="AH42" s="105">
        <v>0</v>
      </c>
      <c r="AI42" s="105">
        <v>0.8</v>
      </c>
      <c r="AJ42" s="105">
        <v>0.8</v>
      </c>
      <c r="AK42" s="105">
        <v>0.8</v>
      </c>
      <c r="AL42" s="105">
        <v>0.8</v>
      </c>
      <c r="AM42" s="105">
        <v>0</v>
      </c>
      <c r="AN42" s="105">
        <v>0.8</v>
      </c>
      <c r="AO42" s="105">
        <v>0.8</v>
      </c>
      <c r="AP42" s="105">
        <v>0.8</v>
      </c>
      <c r="AQ42" s="105">
        <v>0</v>
      </c>
      <c r="AR42" s="105">
        <v>0</v>
      </c>
      <c r="AS42" s="105">
        <v>0</v>
      </c>
      <c r="AT42" s="105">
        <v>0</v>
      </c>
      <c r="AU42" s="105">
        <v>0</v>
      </c>
      <c r="AV42" s="105">
        <v>0</v>
      </c>
      <c r="AW42" s="105">
        <v>0</v>
      </c>
      <c r="AX42" s="105">
        <v>0</v>
      </c>
    </row>
    <row r="43" spans="1:50" x14ac:dyDescent="0.15">
      <c r="A43" s="151" t="s">
        <v>233</v>
      </c>
      <c r="B43" s="105">
        <v>0.8</v>
      </c>
      <c r="C43" s="105">
        <v>0.8</v>
      </c>
      <c r="D43" s="105">
        <v>0</v>
      </c>
      <c r="E43" s="105">
        <v>0</v>
      </c>
      <c r="F43" s="105">
        <v>0</v>
      </c>
      <c r="G43" s="105">
        <v>0.8</v>
      </c>
      <c r="H43" s="105">
        <v>0.8</v>
      </c>
      <c r="I43" s="105">
        <v>0</v>
      </c>
      <c r="J43" s="105">
        <v>0.8</v>
      </c>
      <c r="K43" s="105">
        <v>0.8</v>
      </c>
      <c r="L43" s="105">
        <v>0.8</v>
      </c>
      <c r="M43" s="105">
        <v>0.8</v>
      </c>
      <c r="N43" s="105">
        <v>0</v>
      </c>
      <c r="O43" s="105">
        <v>0.8</v>
      </c>
      <c r="P43" s="105">
        <v>0.8</v>
      </c>
      <c r="Q43" s="105">
        <v>0.8</v>
      </c>
      <c r="R43" s="105">
        <v>0</v>
      </c>
      <c r="S43" s="105">
        <v>0</v>
      </c>
      <c r="T43" s="105">
        <v>0</v>
      </c>
      <c r="U43" s="105">
        <v>0.8</v>
      </c>
      <c r="V43" s="105">
        <v>0.8</v>
      </c>
      <c r="W43" s="105">
        <v>0.8</v>
      </c>
      <c r="X43" s="105">
        <v>0.8</v>
      </c>
      <c r="Y43" s="105">
        <v>0.8</v>
      </c>
      <c r="Z43" s="105">
        <v>0.8</v>
      </c>
      <c r="AA43" s="105">
        <v>0.8</v>
      </c>
      <c r="AB43" s="105">
        <v>0</v>
      </c>
      <c r="AC43" s="105">
        <v>0.8</v>
      </c>
      <c r="AD43" s="105">
        <v>0.8</v>
      </c>
      <c r="AE43" s="105">
        <v>0</v>
      </c>
      <c r="AF43" s="105">
        <v>0.8</v>
      </c>
      <c r="AG43" s="105">
        <v>0</v>
      </c>
      <c r="AH43" s="105">
        <v>0</v>
      </c>
      <c r="AI43" s="105">
        <v>0.8</v>
      </c>
      <c r="AJ43" s="105">
        <v>0</v>
      </c>
      <c r="AK43" s="105">
        <v>0.8</v>
      </c>
      <c r="AL43" s="105">
        <v>0</v>
      </c>
      <c r="AM43" s="105">
        <v>0</v>
      </c>
      <c r="AN43" s="105">
        <v>0</v>
      </c>
      <c r="AO43" s="105">
        <v>0</v>
      </c>
      <c r="AP43" s="105">
        <v>0.8</v>
      </c>
      <c r="AQ43" s="105">
        <v>0</v>
      </c>
      <c r="AR43" s="105">
        <v>0</v>
      </c>
      <c r="AS43" s="105">
        <v>0</v>
      </c>
      <c r="AT43" s="105">
        <v>0</v>
      </c>
      <c r="AU43" s="105">
        <v>0</v>
      </c>
      <c r="AV43" s="105">
        <v>0</v>
      </c>
      <c r="AW43" s="105">
        <v>0</v>
      </c>
      <c r="AX43" s="105">
        <v>0</v>
      </c>
    </row>
    <row r="44" spans="1:50" x14ac:dyDescent="0.15">
      <c r="A44" s="151" t="s">
        <v>234</v>
      </c>
      <c r="B44" s="105">
        <v>0.8</v>
      </c>
      <c r="C44" s="105">
        <v>0</v>
      </c>
      <c r="D44" s="105">
        <v>0</v>
      </c>
      <c r="E44" s="105">
        <v>0</v>
      </c>
      <c r="F44" s="105">
        <v>0</v>
      </c>
      <c r="G44" s="105">
        <v>0.8</v>
      </c>
      <c r="H44" s="105">
        <v>0</v>
      </c>
      <c r="I44" s="105">
        <v>0</v>
      </c>
      <c r="J44" s="105">
        <v>0.8</v>
      </c>
      <c r="K44" s="105">
        <v>0.8</v>
      </c>
      <c r="L44" s="105">
        <v>0.8</v>
      </c>
      <c r="M44" s="105">
        <v>0.8</v>
      </c>
      <c r="N44" s="105">
        <v>0</v>
      </c>
      <c r="O44" s="105">
        <v>0.8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0.8</v>
      </c>
      <c r="V44" s="105">
        <v>0.8</v>
      </c>
      <c r="W44" s="105">
        <v>0.8</v>
      </c>
      <c r="X44" s="105">
        <v>0.8</v>
      </c>
      <c r="Y44" s="105">
        <v>0.8</v>
      </c>
      <c r="Z44" s="105">
        <v>0.8</v>
      </c>
      <c r="AA44" s="105">
        <v>0.8</v>
      </c>
      <c r="AB44" s="105">
        <v>0</v>
      </c>
      <c r="AC44" s="105">
        <v>0.8</v>
      </c>
      <c r="AD44" s="105">
        <v>0.8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0.8</v>
      </c>
      <c r="AL44" s="105">
        <v>0</v>
      </c>
      <c r="AM44" s="105">
        <v>0</v>
      </c>
      <c r="AN44" s="105">
        <v>0</v>
      </c>
      <c r="AO44" s="105">
        <v>0</v>
      </c>
      <c r="AP44" s="105">
        <v>0.8</v>
      </c>
      <c r="AQ44" s="105">
        <v>0.8</v>
      </c>
      <c r="AR44" s="105">
        <v>0.8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</row>
    <row r="45" spans="1:50" x14ac:dyDescent="0.15">
      <c r="A45" s="151" t="s">
        <v>235</v>
      </c>
      <c r="B45" s="105">
        <v>0</v>
      </c>
      <c r="C45" s="105">
        <v>0</v>
      </c>
      <c r="D45" s="105">
        <v>0</v>
      </c>
      <c r="E45" s="105">
        <v>0</v>
      </c>
      <c r="F45" s="105">
        <v>0</v>
      </c>
      <c r="G45" s="105">
        <v>0</v>
      </c>
      <c r="H45" s="105">
        <v>0</v>
      </c>
      <c r="I45" s="105">
        <v>0</v>
      </c>
      <c r="J45" s="105">
        <v>0</v>
      </c>
      <c r="K45" s="105">
        <v>0</v>
      </c>
      <c r="L45" s="105">
        <v>0</v>
      </c>
      <c r="M45" s="105">
        <v>0</v>
      </c>
      <c r="N45" s="105">
        <v>0</v>
      </c>
      <c r="O45" s="105">
        <v>0</v>
      </c>
      <c r="P45" s="105">
        <v>0</v>
      </c>
      <c r="Q45" s="105">
        <v>0</v>
      </c>
      <c r="R45" s="105">
        <v>0</v>
      </c>
      <c r="S45" s="105">
        <v>0</v>
      </c>
      <c r="T45" s="105">
        <v>0</v>
      </c>
      <c r="U45" s="105">
        <v>0</v>
      </c>
      <c r="V45" s="105">
        <v>0</v>
      </c>
      <c r="W45" s="105">
        <v>0</v>
      </c>
      <c r="X45" s="105">
        <v>0</v>
      </c>
      <c r="Y45" s="105">
        <v>0</v>
      </c>
      <c r="Z45" s="105">
        <v>0</v>
      </c>
      <c r="AA45" s="105">
        <v>0</v>
      </c>
      <c r="AB45" s="105">
        <v>0</v>
      </c>
      <c r="AC45" s="105">
        <v>0</v>
      </c>
      <c r="AD45" s="105">
        <v>0</v>
      </c>
      <c r="AE45" s="105">
        <v>0</v>
      </c>
      <c r="AF45" s="105">
        <v>0</v>
      </c>
      <c r="AG45" s="105">
        <v>0</v>
      </c>
      <c r="AH45" s="105">
        <v>0.8</v>
      </c>
      <c r="AI45" s="105">
        <v>0</v>
      </c>
      <c r="AJ45" s="105">
        <v>0</v>
      </c>
      <c r="AK45" s="105">
        <v>0</v>
      </c>
      <c r="AL45" s="105">
        <v>0</v>
      </c>
      <c r="AM45" s="105">
        <v>0</v>
      </c>
      <c r="AN45" s="105">
        <v>0</v>
      </c>
      <c r="AO45" s="105">
        <v>0</v>
      </c>
      <c r="AP45" s="105">
        <v>0</v>
      </c>
      <c r="AQ45" s="105">
        <v>0</v>
      </c>
      <c r="AR45" s="105">
        <v>0</v>
      </c>
      <c r="AS45" s="105">
        <v>0</v>
      </c>
      <c r="AT45" s="105">
        <v>0</v>
      </c>
      <c r="AU45" s="105">
        <v>0</v>
      </c>
      <c r="AV45" s="105">
        <v>0</v>
      </c>
      <c r="AW45" s="105">
        <v>0</v>
      </c>
      <c r="AX45" s="105">
        <v>0</v>
      </c>
    </row>
    <row r="46" spans="1:50" x14ac:dyDescent="0.15">
      <c r="A46" s="151" t="s">
        <v>236</v>
      </c>
      <c r="B46" s="105">
        <v>0.8</v>
      </c>
      <c r="C46" s="105">
        <v>0</v>
      </c>
      <c r="D46" s="105">
        <v>0</v>
      </c>
      <c r="E46" s="105">
        <v>0</v>
      </c>
      <c r="F46" s="105">
        <v>0</v>
      </c>
      <c r="G46" s="105">
        <v>0</v>
      </c>
      <c r="H46" s="105">
        <v>0</v>
      </c>
      <c r="I46" s="105">
        <v>0</v>
      </c>
      <c r="J46" s="105">
        <v>0</v>
      </c>
      <c r="K46" s="105">
        <v>0.8</v>
      </c>
      <c r="L46" s="105">
        <v>0.8</v>
      </c>
      <c r="M46" s="105">
        <v>0</v>
      </c>
      <c r="N46" s="105">
        <v>0</v>
      </c>
      <c r="O46" s="105">
        <v>0</v>
      </c>
      <c r="P46" s="105">
        <v>0</v>
      </c>
      <c r="Q46" s="105">
        <v>0</v>
      </c>
      <c r="R46" s="105">
        <v>0</v>
      </c>
      <c r="S46" s="105">
        <v>0</v>
      </c>
      <c r="T46" s="105">
        <v>0</v>
      </c>
      <c r="U46" s="105">
        <v>0</v>
      </c>
      <c r="V46" s="105">
        <v>0.8</v>
      </c>
      <c r="W46" s="105">
        <v>0.8</v>
      </c>
      <c r="X46" s="105">
        <v>0</v>
      </c>
      <c r="Y46" s="105">
        <v>0</v>
      </c>
      <c r="Z46" s="105">
        <v>0</v>
      </c>
      <c r="AA46" s="105">
        <v>0</v>
      </c>
      <c r="AB46" s="105">
        <v>0</v>
      </c>
      <c r="AC46" s="105">
        <v>0.8</v>
      </c>
      <c r="AD46" s="105">
        <v>0.8</v>
      </c>
      <c r="AE46" s="105">
        <v>0</v>
      </c>
      <c r="AF46" s="105">
        <v>0</v>
      </c>
      <c r="AG46" s="105">
        <v>0</v>
      </c>
      <c r="AH46" s="105">
        <v>0</v>
      </c>
      <c r="AI46" s="105">
        <v>0</v>
      </c>
      <c r="AJ46" s="105">
        <v>0</v>
      </c>
      <c r="AK46" s="105">
        <v>0</v>
      </c>
      <c r="AL46" s="105">
        <v>0</v>
      </c>
      <c r="AM46" s="105">
        <v>0</v>
      </c>
      <c r="AN46" s="105">
        <v>0</v>
      </c>
      <c r="AO46" s="105">
        <v>0</v>
      </c>
      <c r="AP46" s="105">
        <v>0.8</v>
      </c>
      <c r="AQ46" s="105">
        <v>0</v>
      </c>
      <c r="AR46" s="105">
        <v>0.8</v>
      </c>
      <c r="AS46" s="105">
        <v>0</v>
      </c>
      <c r="AT46" s="105">
        <v>0</v>
      </c>
      <c r="AU46" s="105">
        <v>0</v>
      </c>
      <c r="AV46" s="105">
        <v>0</v>
      </c>
      <c r="AW46" s="105">
        <v>0</v>
      </c>
      <c r="AX46" s="105">
        <v>0</v>
      </c>
    </row>
    <row r="47" spans="1:50" x14ac:dyDescent="0.15">
      <c r="A47" s="151" t="s">
        <v>237</v>
      </c>
      <c r="B47" s="105">
        <v>0</v>
      </c>
      <c r="C47" s="105">
        <v>0</v>
      </c>
      <c r="D47" s="105">
        <v>0</v>
      </c>
      <c r="E47" s="105">
        <v>0</v>
      </c>
      <c r="F47" s="105">
        <v>0</v>
      </c>
      <c r="G47" s="105">
        <v>0</v>
      </c>
      <c r="H47" s="105">
        <v>0</v>
      </c>
      <c r="I47" s="105">
        <v>0</v>
      </c>
      <c r="J47" s="105">
        <v>0</v>
      </c>
      <c r="K47" s="105">
        <v>0</v>
      </c>
      <c r="L47" s="105">
        <v>0.8</v>
      </c>
      <c r="M47" s="105">
        <v>0</v>
      </c>
      <c r="N47" s="105">
        <v>0</v>
      </c>
      <c r="O47" s="105">
        <v>0</v>
      </c>
      <c r="P47" s="105">
        <v>0</v>
      </c>
      <c r="Q47" s="105">
        <v>0</v>
      </c>
      <c r="R47" s="105">
        <v>0</v>
      </c>
      <c r="S47" s="105">
        <v>0</v>
      </c>
      <c r="T47" s="105">
        <v>0</v>
      </c>
      <c r="U47" s="105">
        <v>0</v>
      </c>
      <c r="V47" s="105">
        <v>0</v>
      </c>
      <c r="W47" s="105">
        <v>0</v>
      </c>
      <c r="X47" s="105">
        <v>0</v>
      </c>
      <c r="Y47" s="105">
        <v>0</v>
      </c>
      <c r="Z47" s="105">
        <v>0</v>
      </c>
      <c r="AA47" s="105">
        <v>0</v>
      </c>
      <c r="AB47" s="105">
        <v>0</v>
      </c>
      <c r="AC47" s="105">
        <v>0</v>
      </c>
      <c r="AD47" s="105">
        <v>0</v>
      </c>
      <c r="AE47" s="105">
        <v>0</v>
      </c>
      <c r="AF47" s="105">
        <v>0</v>
      </c>
      <c r="AG47" s="105">
        <v>0</v>
      </c>
      <c r="AH47" s="105">
        <v>0</v>
      </c>
      <c r="AI47" s="105">
        <v>0</v>
      </c>
      <c r="AJ47" s="105">
        <v>0</v>
      </c>
      <c r="AK47" s="105">
        <v>0</v>
      </c>
      <c r="AL47" s="105">
        <v>0</v>
      </c>
      <c r="AM47" s="105">
        <v>0</v>
      </c>
      <c r="AN47" s="105">
        <v>0</v>
      </c>
      <c r="AO47" s="105">
        <v>0</v>
      </c>
      <c r="AP47" s="105">
        <v>0.8</v>
      </c>
      <c r="AQ47" s="105">
        <v>0</v>
      </c>
      <c r="AR47" s="105">
        <v>0</v>
      </c>
      <c r="AS47" s="105">
        <v>0</v>
      </c>
      <c r="AT47" s="105">
        <v>0</v>
      </c>
      <c r="AU47" s="105">
        <v>0</v>
      </c>
      <c r="AV47" s="105">
        <v>0</v>
      </c>
      <c r="AW47" s="105">
        <v>0</v>
      </c>
      <c r="AX47" s="105">
        <v>0</v>
      </c>
    </row>
    <row r="48" spans="1:50" x14ac:dyDescent="0.15">
      <c r="A48" s="151" t="s">
        <v>238</v>
      </c>
      <c r="B48" s="105">
        <v>0.8</v>
      </c>
      <c r="C48" s="105">
        <v>0</v>
      </c>
      <c r="D48" s="105">
        <v>0</v>
      </c>
      <c r="E48" s="105">
        <v>0</v>
      </c>
      <c r="F48" s="105">
        <v>0</v>
      </c>
      <c r="G48" s="105">
        <v>0</v>
      </c>
      <c r="H48" s="105">
        <v>0</v>
      </c>
      <c r="I48" s="105">
        <v>0</v>
      </c>
      <c r="J48" s="105">
        <v>0</v>
      </c>
      <c r="K48" s="105">
        <v>0</v>
      </c>
      <c r="L48" s="105">
        <v>0</v>
      </c>
      <c r="M48" s="105">
        <v>0</v>
      </c>
      <c r="N48" s="105">
        <v>0</v>
      </c>
      <c r="O48" s="105">
        <v>0</v>
      </c>
      <c r="P48" s="105">
        <v>0</v>
      </c>
      <c r="Q48" s="105">
        <v>0</v>
      </c>
      <c r="R48" s="105">
        <v>0</v>
      </c>
      <c r="S48" s="105">
        <v>0</v>
      </c>
      <c r="T48" s="105">
        <v>0</v>
      </c>
      <c r="U48" s="105">
        <v>0</v>
      </c>
      <c r="V48" s="105">
        <v>0.8</v>
      </c>
      <c r="W48" s="105">
        <v>0.8</v>
      </c>
      <c r="X48" s="105">
        <v>0</v>
      </c>
      <c r="Y48" s="105">
        <v>0</v>
      </c>
      <c r="Z48" s="105">
        <v>0.8</v>
      </c>
      <c r="AA48" s="105">
        <v>0.8</v>
      </c>
      <c r="AB48" s="105">
        <v>0</v>
      </c>
      <c r="AC48" s="105">
        <v>0</v>
      </c>
      <c r="AD48" s="105">
        <v>0</v>
      </c>
      <c r="AE48" s="105">
        <v>0</v>
      </c>
      <c r="AF48" s="105">
        <v>0</v>
      </c>
      <c r="AG48" s="105">
        <v>0</v>
      </c>
      <c r="AH48" s="105">
        <v>0</v>
      </c>
      <c r="AI48" s="105">
        <v>0</v>
      </c>
      <c r="AJ48" s="105">
        <v>0</v>
      </c>
      <c r="AK48" s="105">
        <v>0</v>
      </c>
      <c r="AL48" s="105">
        <v>0</v>
      </c>
      <c r="AM48" s="105">
        <v>0</v>
      </c>
      <c r="AN48" s="105">
        <v>0</v>
      </c>
      <c r="AO48" s="105">
        <v>0</v>
      </c>
      <c r="AP48" s="105">
        <v>0.8</v>
      </c>
      <c r="AQ48" s="105">
        <v>0.8</v>
      </c>
      <c r="AR48" s="105">
        <v>0.8</v>
      </c>
      <c r="AS48" s="105">
        <v>0.8</v>
      </c>
      <c r="AT48" s="105">
        <v>0</v>
      </c>
      <c r="AU48" s="105">
        <v>0</v>
      </c>
      <c r="AV48" s="105">
        <v>0</v>
      </c>
      <c r="AW48" s="105">
        <v>0</v>
      </c>
      <c r="AX48" s="105">
        <v>0</v>
      </c>
    </row>
    <row r="49" spans="1:50" x14ac:dyDescent="0.15">
      <c r="A49" s="151" t="s">
        <v>239</v>
      </c>
      <c r="B49" s="105">
        <v>0.8</v>
      </c>
      <c r="C49" s="105">
        <v>0.8</v>
      </c>
      <c r="D49" s="105">
        <v>0</v>
      </c>
      <c r="E49" s="105">
        <v>0</v>
      </c>
      <c r="F49" s="105">
        <v>0</v>
      </c>
      <c r="G49" s="105">
        <v>0</v>
      </c>
      <c r="H49" s="105">
        <v>0</v>
      </c>
      <c r="I49" s="105">
        <v>0</v>
      </c>
      <c r="J49" s="105">
        <v>0.8</v>
      </c>
      <c r="K49" s="105">
        <v>0.8</v>
      </c>
      <c r="L49" s="105">
        <v>0.8</v>
      </c>
      <c r="M49" s="105">
        <v>0</v>
      </c>
      <c r="N49" s="105">
        <v>0</v>
      </c>
      <c r="O49" s="105">
        <v>0</v>
      </c>
      <c r="P49" s="105">
        <v>0</v>
      </c>
      <c r="Q49" s="105">
        <v>0</v>
      </c>
      <c r="R49" s="105">
        <v>0</v>
      </c>
      <c r="S49" s="105">
        <v>0</v>
      </c>
      <c r="T49" s="105">
        <v>0</v>
      </c>
      <c r="U49" s="105">
        <v>0.8</v>
      </c>
      <c r="V49" s="105">
        <v>0.8</v>
      </c>
      <c r="W49" s="105">
        <v>0.8</v>
      </c>
      <c r="X49" s="105">
        <v>0</v>
      </c>
      <c r="Y49" s="105">
        <v>0</v>
      </c>
      <c r="Z49" s="105">
        <v>0.8</v>
      </c>
      <c r="AA49" s="105">
        <v>0.8</v>
      </c>
      <c r="AB49" s="105">
        <v>0</v>
      </c>
      <c r="AC49" s="105">
        <v>0.8</v>
      </c>
      <c r="AD49" s="105">
        <v>0.8</v>
      </c>
      <c r="AE49" s="105">
        <v>0.8</v>
      </c>
      <c r="AF49" s="105">
        <v>0.8</v>
      </c>
      <c r="AG49" s="105">
        <v>0</v>
      </c>
      <c r="AH49" s="105">
        <v>0</v>
      </c>
      <c r="AI49" s="105">
        <v>0</v>
      </c>
      <c r="AJ49" s="105">
        <v>0.8</v>
      </c>
      <c r="AK49" s="105">
        <v>0</v>
      </c>
      <c r="AL49" s="105">
        <v>0</v>
      </c>
      <c r="AM49" s="105">
        <v>0</v>
      </c>
      <c r="AN49" s="105">
        <v>0</v>
      </c>
      <c r="AO49" s="105">
        <v>0</v>
      </c>
      <c r="AP49" s="105">
        <v>0.8</v>
      </c>
      <c r="AQ49" s="105">
        <v>0.8</v>
      </c>
      <c r="AR49" s="105">
        <v>0</v>
      </c>
      <c r="AS49" s="105">
        <v>0</v>
      </c>
      <c r="AT49" s="105">
        <v>0</v>
      </c>
      <c r="AU49" s="105">
        <v>0</v>
      </c>
      <c r="AV49" s="105">
        <v>0</v>
      </c>
      <c r="AW49" s="105">
        <v>0</v>
      </c>
      <c r="AX49" s="105">
        <v>0</v>
      </c>
    </row>
    <row r="50" spans="1:50" x14ac:dyDescent="0.15">
      <c r="A50" s="151" t="s">
        <v>240</v>
      </c>
      <c r="B50" s="105">
        <v>0</v>
      </c>
      <c r="C50" s="105">
        <v>0</v>
      </c>
      <c r="D50" s="105">
        <v>0</v>
      </c>
      <c r="E50" s="105">
        <v>0</v>
      </c>
      <c r="F50" s="105">
        <v>0</v>
      </c>
      <c r="G50" s="105">
        <v>0</v>
      </c>
      <c r="H50" s="105">
        <v>0</v>
      </c>
      <c r="I50" s="105">
        <v>0</v>
      </c>
      <c r="J50" s="105">
        <v>0</v>
      </c>
      <c r="K50" s="105">
        <v>0</v>
      </c>
      <c r="L50" s="105">
        <v>0</v>
      </c>
      <c r="M50" s="105">
        <v>0</v>
      </c>
      <c r="N50" s="105">
        <v>0</v>
      </c>
      <c r="O50" s="105">
        <v>0</v>
      </c>
      <c r="P50" s="105">
        <v>0</v>
      </c>
      <c r="Q50" s="105">
        <v>0</v>
      </c>
      <c r="R50" s="105">
        <v>0</v>
      </c>
      <c r="S50" s="105">
        <v>0</v>
      </c>
      <c r="T50" s="105">
        <v>0</v>
      </c>
      <c r="U50" s="105">
        <v>0</v>
      </c>
      <c r="V50" s="105">
        <v>0</v>
      </c>
      <c r="W50" s="105">
        <v>0</v>
      </c>
      <c r="X50" s="105">
        <v>0</v>
      </c>
      <c r="Y50" s="105">
        <v>0</v>
      </c>
      <c r="Z50" s="105">
        <v>0</v>
      </c>
      <c r="AA50" s="105">
        <v>0</v>
      </c>
      <c r="AB50" s="105">
        <v>0</v>
      </c>
      <c r="AC50" s="105">
        <v>0</v>
      </c>
      <c r="AD50" s="105">
        <v>0</v>
      </c>
      <c r="AE50" s="105">
        <v>0</v>
      </c>
      <c r="AF50" s="105">
        <v>0</v>
      </c>
      <c r="AG50" s="105">
        <v>0</v>
      </c>
      <c r="AH50" s="105">
        <v>0</v>
      </c>
      <c r="AI50" s="105">
        <v>0</v>
      </c>
      <c r="AJ50" s="105">
        <v>0</v>
      </c>
      <c r="AK50" s="105">
        <v>0</v>
      </c>
      <c r="AL50" s="105">
        <v>0</v>
      </c>
      <c r="AM50" s="105">
        <v>0</v>
      </c>
      <c r="AN50" s="105">
        <v>0</v>
      </c>
      <c r="AO50" s="105">
        <v>0</v>
      </c>
      <c r="AP50" s="105">
        <v>0</v>
      </c>
      <c r="AQ50" s="105">
        <v>0</v>
      </c>
      <c r="AR50" s="105">
        <v>0</v>
      </c>
      <c r="AS50" s="105">
        <v>0</v>
      </c>
      <c r="AT50" s="105">
        <v>0</v>
      </c>
      <c r="AU50" s="105">
        <v>0</v>
      </c>
      <c r="AV50" s="105">
        <v>0</v>
      </c>
      <c r="AW50" s="105">
        <v>0</v>
      </c>
      <c r="AX50" s="105">
        <v>0</v>
      </c>
    </row>
    <row r="51" spans="1:50" x14ac:dyDescent="0.15">
      <c r="A51" s="151" t="s">
        <v>260</v>
      </c>
      <c r="B51" s="105">
        <v>0</v>
      </c>
      <c r="C51" s="105">
        <v>0</v>
      </c>
      <c r="D51" s="105">
        <v>0</v>
      </c>
      <c r="E51" s="105">
        <v>0</v>
      </c>
      <c r="F51" s="105">
        <v>0.8</v>
      </c>
      <c r="G51" s="105">
        <v>0</v>
      </c>
      <c r="H51" s="105">
        <v>0</v>
      </c>
      <c r="I51" s="105">
        <v>0</v>
      </c>
      <c r="J51" s="105">
        <v>0</v>
      </c>
      <c r="K51" s="105">
        <v>0</v>
      </c>
      <c r="L51" s="105">
        <v>0</v>
      </c>
      <c r="M51" s="105">
        <v>0</v>
      </c>
      <c r="N51" s="105">
        <v>0</v>
      </c>
      <c r="O51" s="105">
        <v>0</v>
      </c>
      <c r="P51" s="105">
        <v>0</v>
      </c>
      <c r="Q51" s="105">
        <v>0</v>
      </c>
      <c r="R51" s="105">
        <v>0</v>
      </c>
      <c r="S51" s="105">
        <v>0</v>
      </c>
      <c r="T51" s="105">
        <v>0</v>
      </c>
      <c r="U51" s="105">
        <v>0</v>
      </c>
      <c r="V51" s="105">
        <v>0</v>
      </c>
      <c r="W51" s="105">
        <v>0</v>
      </c>
      <c r="X51" s="105">
        <v>0</v>
      </c>
      <c r="Y51" s="105">
        <v>0</v>
      </c>
      <c r="Z51" s="105">
        <v>0</v>
      </c>
      <c r="AA51" s="105">
        <v>0</v>
      </c>
      <c r="AB51" s="105">
        <v>0</v>
      </c>
      <c r="AC51" s="105">
        <v>0</v>
      </c>
      <c r="AD51" s="105">
        <v>0</v>
      </c>
      <c r="AE51" s="105">
        <v>0</v>
      </c>
      <c r="AF51" s="105">
        <v>0</v>
      </c>
      <c r="AG51" s="105">
        <v>0</v>
      </c>
      <c r="AH51" s="105">
        <v>0</v>
      </c>
      <c r="AI51" s="105">
        <v>0</v>
      </c>
      <c r="AJ51" s="105">
        <v>0</v>
      </c>
      <c r="AK51" s="105">
        <v>0</v>
      </c>
      <c r="AL51" s="105">
        <v>0</v>
      </c>
      <c r="AM51" s="105">
        <v>0</v>
      </c>
      <c r="AN51" s="105">
        <v>0</v>
      </c>
      <c r="AO51" s="105">
        <v>0</v>
      </c>
      <c r="AP51" s="105">
        <v>0</v>
      </c>
      <c r="AQ51" s="105">
        <v>0</v>
      </c>
      <c r="AR51" s="105">
        <v>0</v>
      </c>
      <c r="AS51" s="105">
        <v>0</v>
      </c>
      <c r="AT51" s="105">
        <v>0</v>
      </c>
      <c r="AU51" s="105">
        <v>0</v>
      </c>
      <c r="AV51" s="105">
        <v>0</v>
      </c>
      <c r="AW51" s="105">
        <v>0</v>
      </c>
      <c r="AX51" s="10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X51"/>
  <sheetViews>
    <sheetView workbookViewId="0">
      <selection activeCell="A3" sqref="A3"/>
    </sheetView>
  </sheetViews>
  <sheetFormatPr baseColWidth="10" defaultRowHeight="13" x14ac:dyDescent="0.15"/>
  <cols>
    <col min="1" max="1" width="21.6640625" style="105" bestFit="1" customWidth="1"/>
    <col min="2" max="50" width="2.33203125" style="105" customWidth="1"/>
    <col min="51" max="16384" width="10.83203125" style="105"/>
  </cols>
  <sheetData>
    <row r="1" spans="1:50" x14ac:dyDescent="0.15">
      <c r="A1" s="63" t="s">
        <v>139</v>
      </c>
      <c r="B1" s="154" t="s">
        <v>192</v>
      </c>
      <c r="C1" s="154" t="s">
        <v>193</v>
      </c>
      <c r="D1" s="154" t="s">
        <v>194</v>
      </c>
      <c r="E1" s="154" t="s">
        <v>195</v>
      </c>
      <c r="F1" s="154" t="s">
        <v>196</v>
      </c>
      <c r="G1" s="154" t="s">
        <v>197</v>
      </c>
      <c r="H1" s="154" t="s">
        <v>198</v>
      </c>
      <c r="I1" s="154" t="s">
        <v>199</v>
      </c>
      <c r="J1" s="154" t="s">
        <v>200</v>
      </c>
      <c r="K1" s="154" t="s">
        <v>201</v>
      </c>
      <c r="L1" s="154" t="s">
        <v>202</v>
      </c>
      <c r="M1" s="154" t="s">
        <v>203</v>
      </c>
      <c r="N1" s="154" t="s">
        <v>204</v>
      </c>
      <c r="O1" s="154" t="s">
        <v>205</v>
      </c>
      <c r="P1" s="154" t="s">
        <v>206</v>
      </c>
      <c r="Q1" s="154" t="s">
        <v>207</v>
      </c>
      <c r="R1" s="154" t="s">
        <v>208</v>
      </c>
      <c r="S1" s="154" t="s">
        <v>209</v>
      </c>
      <c r="T1" s="154" t="s">
        <v>210</v>
      </c>
      <c r="U1" s="154" t="s">
        <v>211</v>
      </c>
      <c r="V1" s="154" t="s">
        <v>212</v>
      </c>
      <c r="W1" s="154" t="s">
        <v>213</v>
      </c>
      <c r="X1" s="154" t="s">
        <v>214</v>
      </c>
      <c r="Y1" s="154" t="s">
        <v>215</v>
      </c>
      <c r="Z1" s="154" t="s">
        <v>216</v>
      </c>
      <c r="AA1" s="154" t="s">
        <v>217</v>
      </c>
      <c r="AB1" s="154" t="s">
        <v>218</v>
      </c>
      <c r="AC1" s="154" t="s">
        <v>219</v>
      </c>
      <c r="AD1" s="154" t="s">
        <v>220</v>
      </c>
      <c r="AE1" s="154" t="s">
        <v>221</v>
      </c>
      <c r="AF1" s="154" t="s">
        <v>222</v>
      </c>
      <c r="AG1" s="154" t="s">
        <v>223</v>
      </c>
      <c r="AH1" s="154" t="s">
        <v>224</v>
      </c>
      <c r="AI1" s="154" t="s">
        <v>225</v>
      </c>
      <c r="AJ1" s="154" t="s">
        <v>226</v>
      </c>
      <c r="AK1" s="154" t="s">
        <v>227</v>
      </c>
      <c r="AL1" s="154" t="s">
        <v>228</v>
      </c>
      <c r="AM1" s="154" t="s">
        <v>229</v>
      </c>
      <c r="AN1" s="154" t="s">
        <v>230</v>
      </c>
      <c r="AO1" s="154" t="s">
        <v>231</v>
      </c>
      <c r="AP1" s="154" t="s">
        <v>232</v>
      </c>
      <c r="AQ1" s="154" t="s">
        <v>233</v>
      </c>
      <c r="AR1" s="154" t="s">
        <v>234</v>
      </c>
      <c r="AS1" s="154" t="s">
        <v>235</v>
      </c>
      <c r="AT1" s="154" t="s">
        <v>236</v>
      </c>
      <c r="AU1" s="154" t="s">
        <v>237</v>
      </c>
      <c r="AV1" s="154" t="s">
        <v>238</v>
      </c>
      <c r="AW1" s="154" t="s">
        <v>239</v>
      </c>
      <c r="AX1" s="154" t="s">
        <v>240</v>
      </c>
    </row>
    <row r="2" spans="1:50" customFormat="1" x14ac:dyDescent="0.15">
      <c r="A2" s="153" t="s">
        <v>192</v>
      </c>
      <c r="B2" s="105">
        <v>0</v>
      </c>
      <c r="C2" s="105">
        <v>0</v>
      </c>
      <c r="D2" s="105">
        <v>0</v>
      </c>
      <c r="E2" s="105">
        <v>1</v>
      </c>
      <c r="F2" s="105">
        <v>0</v>
      </c>
      <c r="G2" s="105">
        <v>0</v>
      </c>
      <c r="H2" s="105">
        <v>0</v>
      </c>
      <c r="I2" s="105">
        <v>1</v>
      </c>
      <c r="J2" s="105">
        <v>0</v>
      </c>
      <c r="K2" s="105">
        <v>0</v>
      </c>
      <c r="L2" s="105">
        <v>0</v>
      </c>
      <c r="M2" s="105">
        <v>0</v>
      </c>
      <c r="N2" s="105">
        <v>0</v>
      </c>
      <c r="O2" s="105">
        <v>0</v>
      </c>
      <c r="P2" s="105">
        <v>0</v>
      </c>
      <c r="Q2" s="105">
        <v>0</v>
      </c>
      <c r="R2" s="105">
        <v>0</v>
      </c>
      <c r="S2" s="105">
        <v>0</v>
      </c>
      <c r="T2" s="105">
        <v>0</v>
      </c>
      <c r="U2" s="105">
        <v>0</v>
      </c>
      <c r="V2" s="105">
        <v>0</v>
      </c>
      <c r="W2" s="105">
        <v>0</v>
      </c>
      <c r="X2" s="105">
        <v>0</v>
      </c>
      <c r="Y2" s="105">
        <v>0</v>
      </c>
      <c r="Z2" s="105">
        <v>0</v>
      </c>
      <c r="AA2" s="105">
        <v>0</v>
      </c>
      <c r="AB2" s="105">
        <v>1</v>
      </c>
      <c r="AC2" s="105">
        <v>0</v>
      </c>
      <c r="AD2" s="105">
        <v>0</v>
      </c>
      <c r="AE2" s="105">
        <v>0</v>
      </c>
      <c r="AF2" s="105">
        <v>0</v>
      </c>
      <c r="AG2" s="105">
        <v>0</v>
      </c>
      <c r="AH2" s="105">
        <v>0</v>
      </c>
      <c r="AI2" s="105">
        <v>0</v>
      </c>
      <c r="AJ2" s="105">
        <v>0</v>
      </c>
      <c r="AK2" s="105">
        <v>0</v>
      </c>
      <c r="AL2" s="105">
        <v>0</v>
      </c>
      <c r="AM2" s="105">
        <v>0</v>
      </c>
      <c r="AN2" s="105">
        <v>0</v>
      </c>
      <c r="AO2" s="105">
        <v>0</v>
      </c>
      <c r="AP2" s="105">
        <v>0</v>
      </c>
      <c r="AQ2" s="105">
        <v>0</v>
      </c>
      <c r="AR2" s="105">
        <v>0</v>
      </c>
      <c r="AS2" s="105">
        <v>0</v>
      </c>
      <c r="AT2" s="105">
        <v>0</v>
      </c>
      <c r="AU2" s="105">
        <v>0</v>
      </c>
      <c r="AV2" s="105">
        <v>0</v>
      </c>
      <c r="AW2" s="105">
        <v>0</v>
      </c>
      <c r="AX2" s="105">
        <v>0</v>
      </c>
    </row>
    <row r="3" spans="1:50" customFormat="1" x14ac:dyDescent="0.15">
      <c r="A3" s="153" t="s">
        <v>193</v>
      </c>
      <c r="B3" s="105">
        <v>0</v>
      </c>
      <c r="C3" s="105">
        <v>0</v>
      </c>
      <c r="D3" s="105">
        <v>0</v>
      </c>
      <c r="E3" s="105">
        <v>0</v>
      </c>
      <c r="F3" s="105">
        <v>0</v>
      </c>
      <c r="G3" s="105">
        <v>0</v>
      </c>
      <c r="H3" s="105">
        <v>0</v>
      </c>
      <c r="I3" s="105">
        <v>0</v>
      </c>
      <c r="J3" s="105">
        <v>0</v>
      </c>
      <c r="K3" s="105">
        <v>0</v>
      </c>
      <c r="L3" s="105">
        <v>0</v>
      </c>
      <c r="M3" s="105">
        <v>0</v>
      </c>
      <c r="N3" s="105">
        <v>0</v>
      </c>
      <c r="O3" s="105">
        <v>0</v>
      </c>
      <c r="P3" s="105">
        <v>0</v>
      </c>
      <c r="Q3" s="105">
        <v>0</v>
      </c>
      <c r="R3" s="105">
        <v>0</v>
      </c>
      <c r="S3" s="105">
        <v>0</v>
      </c>
      <c r="T3" s="105">
        <v>1</v>
      </c>
      <c r="U3" s="105">
        <v>0</v>
      </c>
      <c r="V3" s="105">
        <v>0</v>
      </c>
      <c r="W3" s="105">
        <v>0</v>
      </c>
      <c r="X3" s="105">
        <v>0</v>
      </c>
      <c r="Y3" s="105">
        <v>0</v>
      </c>
      <c r="Z3" s="105">
        <v>0</v>
      </c>
      <c r="AA3" s="105">
        <v>0</v>
      </c>
      <c r="AB3" s="105">
        <v>0</v>
      </c>
      <c r="AC3" s="105">
        <v>0</v>
      </c>
      <c r="AD3" s="105">
        <v>0</v>
      </c>
      <c r="AE3" s="105">
        <v>0</v>
      </c>
      <c r="AF3" s="105">
        <v>0</v>
      </c>
      <c r="AG3" s="105">
        <v>0</v>
      </c>
      <c r="AH3" s="105">
        <v>0</v>
      </c>
      <c r="AI3" s="105">
        <v>0</v>
      </c>
      <c r="AJ3" s="105">
        <v>0</v>
      </c>
      <c r="AK3" s="105">
        <v>0</v>
      </c>
      <c r="AL3" s="105">
        <v>0</v>
      </c>
      <c r="AM3" s="105">
        <v>0</v>
      </c>
      <c r="AN3" s="105">
        <v>0</v>
      </c>
      <c r="AO3" s="105">
        <v>0</v>
      </c>
      <c r="AP3" s="105">
        <v>0</v>
      </c>
      <c r="AQ3" s="105">
        <v>0</v>
      </c>
      <c r="AR3" s="105">
        <v>0</v>
      </c>
      <c r="AS3" s="105">
        <v>0</v>
      </c>
      <c r="AT3" s="105">
        <v>0</v>
      </c>
      <c r="AU3" s="105">
        <v>0</v>
      </c>
      <c r="AV3" s="105">
        <v>0</v>
      </c>
      <c r="AW3" s="105">
        <v>0</v>
      </c>
      <c r="AX3" s="105">
        <v>0</v>
      </c>
    </row>
    <row r="4" spans="1:50" customFormat="1" x14ac:dyDescent="0.15">
      <c r="A4" s="153" t="s">
        <v>194</v>
      </c>
      <c r="B4" s="105">
        <v>0</v>
      </c>
      <c r="C4" s="105">
        <v>0</v>
      </c>
      <c r="D4" s="105">
        <v>0</v>
      </c>
      <c r="E4" s="105">
        <v>0</v>
      </c>
      <c r="F4" s="105">
        <v>0</v>
      </c>
      <c r="G4" s="105">
        <v>0</v>
      </c>
      <c r="H4" s="105">
        <v>0</v>
      </c>
      <c r="I4" s="105">
        <v>0</v>
      </c>
      <c r="J4" s="105">
        <v>0</v>
      </c>
      <c r="K4" s="105">
        <v>0</v>
      </c>
      <c r="L4" s="105">
        <v>0</v>
      </c>
      <c r="M4" s="105">
        <v>0</v>
      </c>
      <c r="N4" s="105">
        <v>0</v>
      </c>
      <c r="O4" s="105">
        <v>0</v>
      </c>
      <c r="P4" s="105">
        <v>0</v>
      </c>
      <c r="Q4" s="105">
        <v>0</v>
      </c>
      <c r="R4" s="105">
        <v>0</v>
      </c>
      <c r="S4" s="105">
        <v>0</v>
      </c>
      <c r="T4" s="105">
        <v>0</v>
      </c>
      <c r="U4" s="105">
        <v>0</v>
      </c>
      <c r="V4" s="105">
        <v>0</v>
      </c>
      <c r="W4" s="105">
        <v>0</v>
      </c>
      <c r="X4" s="105">
        <v>0</v>
      </c>
      <c r="Y4" s="105">
        <v>0</v>
      </c>
      <c r="Z4" s="105">
        <v>0</v>
      </c>
      <c r="AA4" s="105">
        <v>0</v>
      </c>
      <c r="AB4" s="105">
        <v>0</v>
      </c>
      <c r="AC4" s="105">
        <v>0</v>
      </c>
      <c r="AD4" s="105">
        <v>0</v>
      </c>
      <c r="AE4" s="105">
        <v>0</v>
      </c>
      <c r="AF4" s="105">
        <v>0</v>
      </c>
      <c r="AG4" s="105">
        <v>0</v>
      </c>
      <c r="AH4" s="105">
        <v>0</v>
      </c>
      <c r="AI4" s="105">
        <v>0</v>
      </c>
      <c r="AJ4" s="105">
        <v>0</v>
      </c>
      <c r="AK4" s="105">
        <v>0</v>
      </c>
      <c r="AL4" s="105">
        <v>0</v>
      </c>
      <c r="AM4" s="105">
        <v>0</v>
      </c>
      <c r="AN4" s="105">
        <v>0</v>
      </c>
      <c r="AO4" s="105">
        <v>0</v>
      </c>
      <c r="AP4" s="105">
        <v>0</v>
      </c>
      <c r="AQ4" s="105">
        <v>0</v>
      </c>
      <c r="AR4" s="105">
        <v>0</v>
      </c>
      <c r="AS4" s="105">
        <v>0</v>
      </c>
      <c r="AT4" s="105">
        <v>0</v>
      </c>
      <c r="AU4" s="105">
        <v>0</v>
      </c>
      <c r="AV4" s="105">
        <v>0</v>
      </c>
      <c r="AW4" s="105">
        <v>0</v>
      </c>
      <c r="AX4" s="105">
        <v>0</v>
      </c>
    </row>
    <row r="5" spans="1:50" customFormat="1" x14ac:dyDescent="0.15">
      <c r="A5" s="153" t="s">
        <v>195</v>
      </c>
      <c r="B5" s="105">
        <v>0</v>
      </c>
      <c r="C5" s="105">
        <v>0</v>
      </c>
      <c r="D5" s="105">
        <v>0</v>
      </c>
      <c r="E5" s="105">
        <v>0</v>
      </c>
      <c r="F5" s="105">
        <v>0</v>
      </c>
      <c r="G5" s="105">
        <v>0</v>
      </c>
      <c r="H5" s="105">
        <v>0</v>
      </c>
      <c r="I5" s="105">
        <v>0</v>
      </c>
      <c r="J5" s="105">
        <v>0</v>
      </c>
      <c r="K5" s="105">
        <v>0</v>
      </c>
      <c r="L5" s="105">
        <v>0</v>
      </c>
      <c r="M5" s="105">
        <v>0</v>
      </c>
      <c r="N5" s="105">
        <v>0</v>
      </c>
      <c r="O5" s="105">
        <v>0</v>
      </c>
      <c r="P5" s="105">
        <v>0</v>
      </c>
      <c r="Q5" s="105">
        <v>0</v>
      </c>
      <c r="R5" s="105">
        <v>0</v>
      </c>
      <c r="S5" s="105">
        <v>0</v>
      </c>
      <c r="T5" s="105">
        <v>0</v>
      </c>
      <c r="U5" s="105">
        <v>0</v>
      </c>
      <c r="V5" s="105">
        <v>0</v>
      </c>
      <c r="W5" s="105">
        <v>0</v>
      </c>
      <c r="X5" s="105">
        <v>0</v>
      </c>
      <c r="Y5" s="105">
        <v>0</v>
      </c>
      <c r="Z5" s="105">
        <v>0</v>
      </c>
      <c r="AA5" s="105">
        <v>0</v>
      </c>
      <c r="AB5" s="105">
        <v>0</v>
      </c>
      <c r="AC5" s="105">
        <v>0</v>
      </c>
      <c r="AD5" s="105">
        <v>0</v>
      </c>
      <c r="AE5" s="105">
        <v>0</v>
      </c>
      <c r="AF5" s="105">
        <v>0</v>
      </c>
      <c r="AG5" s="105">
        <v>0</v>
      </c>
      <c r="AH5" s="105">
        <v>0</v>
      </c>
      <c r="AI5" s="105">
        <v>0</v>
      </c>
      <c r="AJ5" s="105">
        <v>0</v>
      </c>
      <c r="AK5" s="105">
        <v>0</v>
      </c>
      <c r="AL5" s="105">
        <v>0</v>
      </c>
      <c r="AM5" s="105">
        <v>0</v>
      </c>
      <c r="AN5" s="105">
        <v>0</v>
      </c>
      <c r="AO5" s="105">
        <v>0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>
        <v>0</v>
      </c>
    </row>
    <row r="6" spans="1:50" customFormat="1" x14ac:dyDescent="0.15">
      <c r="A6" s="153" t="s">
        <v>196</v>
      </c>
      <c r="B6" s="105">
        <v>0</v>
      </c>
      <c r="C6" s="105">
        <v>0</v>
      </c>
      <c r="D6" s="105">
        <v>0</v>
      </c>
      <c r="E6" s="105">
        <v>0</v>
      </c>
      <c r="F6" s="105">
        <v>0</v>
      </c>
      <c r="G6" s="105">
        <v>0</v>
      </c>
      <c r="H6" s="105">
        <v>0</v>
      </c>
      <c r="I6" s="105">
        <v>0</v>
      </c>
      <c r="J6" s="105">
        <v>0</v>
      </c>
      <c r="K6" s="105">
        <v>0</v>
      </c>
      <c r="L6" s="105">
        <v>0</v>
      </c>
      <c r="M6" s="105">
        <v>0</v>
      </c>
      <c r="N6" s="105">
        <v>0</v>
      </c>
      <c r="O6" s="105">
        <v>0</v>
      </c>
      <c r="P6" s="105">
        <v>0</v>
      </c>
      <c r="Q6" s="105">
        <v>0</v>
      </c>
      <c r="R6" s="105">
        <v>0</v>
      </c>
      <c r="S6" s="105">
        <v>0</v>
      </c>
      <c r="T6" s="105">
        <v>0</v>
      </c>
      <c r="U6" s="105">
        <v>0</v>
      </c>
      <c r="V6" s="105">
        <v>0</v>
      </c>
      <c r="W6" s="105">
        <v>0</v>
      </c>
      <c r="X6" s="105">
        <v>0</v>
      </c>
      <c r="Y6" s="105">
        <v>0</v>
      </c>
      <c r="Z6" s="105">
        <v>0</v>
      </c>
      <c r="AA6" s="105">
        <v>0</v>
      </c>
      <c r="AB6" s="105">
        <v>0</v>
      </c>
      <c r="AC6" s="105">
        <v>0</v>
      </c>
      <c r="AD6" s="105">
        <v>0</v>
      </c>
      <c r="AE6" s="105">
        <v>0</v>
      </c>
      <c r="AF6" s="105">
        <v>0</v>
      </c>
      <c r="AG6" s="105">
        <v>0</v>
      </c>
      <c r="AH6" s="105">
        <v>0</v>
      </c>
      <c r="AI6" s="105">
        <v>0</v>
      </c>
      <c r="AJ6" s="105">
        <v>0</v>
      </c>
      <c r="AK6" s="105">
        <v>0</v>
      </c>
      <c r="AL6" s="105">
        <v>0</v>
      </c>
      <c r="AM6" s="105">
        <v>0</v>
      </c>
      <c r="AN6" s="105">
        <v>0</v>
      </c>
      <c r="AO6" s="105">
        <v>0</v>
      </c>
      <c r="AP6" s="105">
        <v>0</v>
      </c>
      <c r="AQ6" s="105">
        <v>0</v>
      </c>
      <c r="AR6" s="105">
        <v>0</v>
      </c>
      <c r="AS6" s="105">
        <v>0</v>
      </c>
      <c r="AT6" s="105">
        <v>0</v>
      </c>
      <c r="AU6" s="105">
        <v>0</v>
      </c>
      <c r="AV6" s="105">
        <v>0</v>
      </c>
      <c r="AW6" s="105">
        <v>0</v>
      </c>
      <c r="AX6" s="105">
        <v>0</v>
      </c>
    </row>
    <row r="7" spans="1:50" customFormat="1" x14ac:dyDescent="0.15">
      <c r="A7" s="153" t="s">
        <v>197</v>
      </c>
      <c r="B7" s="105">
        <v>0</v>
      </c>
      <c r="C7" s="105">
        <v>0</v>
      </c>
      <c r="D7" s="105">
        <v>0</v>
      </c>
      <c r="E7" s="105">
        <v>0</v>
      </c>
      <c r="F7" s="105">
        <v>0</v>
      </c>
      <c r="G7" s="105">
        <v>0</v>
      </c>
      <c r="H7" s="105">
        <v>0</v>
      </c>
      <c r="I7" s="105">
        <v>0</v>
      </c>
      <c r="J7" s="105">
        <v>0</v>
      </c>
      <c r="K7" s="105">
        <v>0</v>
      </c>
      <c r="L7" s="105">
        <v>0</v>
      </c>
      <c r="M7" s="105">
        <v>0</v>
      </c>
      <c r="N7" s="105">
        <v>0</v>
      </c>
      <c r="O7" s="105">
        <v>0</v>
      </c>
      <c r="P7" s="105">
        <v>0</v>
      </c>
      <c r="Q7" s="105">
        <v>0</v>
      </c>
      <c r="R7" s="105">
        <v>0</v>
      </c>
      <c r="S7" s="105">
        <v>0</v>
      </c>
      <c r="T7" s="105">
        <v>0</v>
      </c>
      <c r="U7" s="105">
        <v>0</v>
      </c>
      <c r="V7" s="105">
        <v>0</v>
      </c>
      <c r="W7" s="105">
        <v>0</v>
      </c>
      <c r="X7" s="105">
        <v>0</v>
      </c>
      <c r="Y7" s="105">
        <v>0</v>
      </c>
      <c r="Z7" s="105">
        <v>0</v>
      </c>
      <c r="AA7" s="105">
        <v>0</v>
      </c>
      <c r="AB7" s="105">
        <v>0</v>
      </c>
      <c r="AC7" s="105">
        <v>0</v>
      </c>
      <c r="AD7" s="105">
        <v>0</v>
      </c>
      <c r="AE7" s="105">
        <v>0</v>
      </c>
      <c r="AF7" s="105">
        <v>0</v>
      </c>
      <c r="AG7" s="105">
        <v>1</v>
      </c>
      <c r="AH7" s="105">
        <v>0</v>
      </c>
      <c r="AI7" s="105">
        <v>0</v>
      </c>
      <c r="AJ7" s="105">
        <v>0</v>
      </c>
      <c r="AK7" s="105">
        <v>0</v>
      </c>
      <c r="AL7" s="105">
        <v>0</v>
      </c>
      <c r="AM7" s="105">
        <v>0</v>
      </c>
      <c r="AN7" s="105">
        <v>0</v>
      </c>
      <c r="AO7" s="105">
        <v>0</v>
      </c>
      <c r="AP7" s="105">
        <v>0</v>
      </c>
      <c r="AQ7" s="105">
        <v>0</v>
      </c>
      <c r="AR7" s="105">
        <v>0</v>
      </c>
      <c r="AS7" s="105">
        <v>0</v>
      </c>
      <c r="AT7" s="105">
        <v>0</v>
      </c>
      <c r="AU7" s="105">
        <v>0</v>
      </c>
      <c r="AV7" s="105">
        <v>0</v>
      </c>
      <c r="AW7" s="105">
        <v>0</v>
      </c>
      <c r="AX7" s="105">
        <v>0</v>
      </c>
    </row>
    <row r="8" spans="1:50" customFormat="1" x14ac:dyDescent="0.15">
      <c r="A8" s="153" t="s">
        <v>198</v>
      </c>
      <c r="B8" s="105">
        <v>0</v>
      </c>
      <c r="C8" s="105">
        <v>0</v>
      </c>
      <c r="D8" s="105">
        <v>0</v>
      </c>
      <c r="E8" s="105">
        <v>0</v>
      </c>
      <c r="F8" s="105">
        <v>0</v>
      </c>
      <c r="G8" s="105">
        <v>0</v>
      </c>
      <c r="H8" s="105">
        <v>0</v>
      </c>
      <c r="I8" s="105">
        <v>1</v>
      </c>
      <c r="J8" s="105">
        <v>0</v>
      </c>
      <c r="K8" s="105">
        <v>0</v>
      </c>
      <c r="L8" s="105">
        <v>0</v>
      </c>
      <c r="M8" s="105">
        <v>0</v>
      </c>
      <c r="N8" s="105">
        <v>1</v>
      </c>
      <c r="O8" s="105">
        <v>0</v>
      </c>
      <c r="P8" s="105">
        <v>0</v>
      </c>
      <c r="Q8" s="105">
        <v>0</v>
      </c>
      <c r="R8" s="105">
        <v>0</v>
      </c>
      <c r="S8" s="105">
        <v>0</v>
      </c>
      <c r="T8" s="105">
        <v>0</v>
      </c>
      <c r="U8" s="105">
        <v>0</v>
      </c>
      <c r="V8" s="105">
        <v>0</v>
      </c>
      <c r="W8" s="105">
        <v>0</v>
      </c>
      <c r="X8" s="105">
        <v>0</v>
      </c>
      <c r="Y8" s="105">
        <v>0</v>
      </c>
      <c r="Z8" s="105">
        <v>0</v>
      </c>
      <c r="AA8" s="105">
        <v>0</v>
      </c>
      <c r="AB8" s="105">
        <v>0</v>
      </c>
      <c r="AC8" s="105">
        <v>0</v>
      </c>
      <c r="AD8" s="105">
        <v>0</v>
      </c>
      <c r="AE8" s="105">
        <v>0</v>
      </c>
      <c r="AF8" s="105">
        <v>0</v>
      </c>
      <c r="AG8" s="105">
        <v>0</v>
      </c>
      <c r="AH8" s="105">
        <v>0</v>
      </c>
      <c r="AI8" s="105">
        <v>0</v>
      </c>
      <c r="AJ8" s="105">
        <v>0</v>
      </c>
      <c r="AK8" s="105">
        <v>0</v>
      </c>
      <c r="AL8" s="105">
        <v>0</v>
      </c>
      <c r="AM8" s="105">
        <v>0</v>
      </c>
      <c r="AN8" s="105">
        <v>0</v>
      </c>
      <c r="AO8" s="105">
        <v>0</v>
      </c>
      <c r="AP8" s="105">
        <v>0</v>
      </c>
      <c r="AQ8" s="105">
        <v>0</v>
      </c>
      <c r="AR8" s="105">
        <v>0</v>
      </c>
      <c r="AS8" s="105">
        <v>0</v>
      </c>
      <c r="AT8" s="105">
        <v>0</v>
      </c>
      <c r="AU8" s="105">
        <v>0</v>
      </c>
      <c r="AV8" s="105">
        <v>0</v>
      </c>
      <c r="AW8" s="105">
        <v>0</v>
      </c>
      <c r="AX8" s="105">
        <v>0</v>
      </c>
    </row>
    <row r="9" spans="1:50" customFormat="1" x14ac:dyDescent="0.15">
      <c r="A9" s="153" t="s">
        <v>199</v>
      </c>
      <c r="B9" s="105">
        <v>0</v>
      </c>
      <c r="C9" s="105">
        <v>0</v>
      </c>
      <c r="D9" s="105">
        <v>0</v>
      </c>
      <c r="E9" s="105">
        <v>0</v>
      </c>
      <c r="F9" s="105">
        <v>0</v>
      </c>
      <c r="G9" s="105">
        <v>0</v>
      </c>
      <c r="H9" s="105">
        <v>0</v>
      </c>
      <c r="I9" s="105">
        <v>0</v>
      </c>
      <c r="J9" s="105">
        <v>0</v>
      </c>
      <c r="K9" s="105">
        <v>0</v>
      </c>
      <c r="L9" s="105">
        <v>0</v>
      </c>
      <c r="M9" s="105">
        <v>0</v>
      </c>
      <c r="N9" s="105">
        <v>1</v>
      </c>
      <c r="O9" s="105">
        <v>0</v>
      </c>
      <c r="P9" s="105">
        <v>0</v>
      </c>
      <c r="Q9" s="105">
        <v>0</v>
      </c>
      <c r="R9" s="105">
        <v>0</v>
      </c>
      <c r="S9" s="105">
        <v>0</v>
      </c>
      <c r="T9" s="105">
        <v>0</v>
      </c>
      <c r="U9" s="105">
        <v>0</v>
      </c>
      <c r="V9" s="105">
        <v>0</v>
      </c>
      <c r="W9" s="105">
        <v>0</v>
      </c>
      <c r="X9" s="105">
        <v>0</v>
      </c>
      <c r="Y9" s="105">
        <v>0</v>
      </c>
      <c r="Z9" s="105">
        <v>0</v>
      </c>
      <c r="AA9" s="105">
        <v>0</v>
      </c>
      <c r="AB9" s="105">
        <v>0</v>
      </c>
      <c r="AC9" s="105">
        <v>0</v>
      </c>
      <c r="AD9" s="105">
        <v>0</v>
      </c>
      <c r="AE9" s="105">
        <v>0</v>
      </c>
      <c r="AF9" s="105">
        <v>0</v>
      </c>
      <c r="AG9" s="105">
        <v>0</v>
      </c>
      <c r="AH9" s="105">
        <v>0</v>
      </c>
      <c r="AI9" s="105">
        <v>0</v>
      </c>
      <c r="AJ9" s="105">
        <v>0</v>
      </c>
      <c r="AK9" s="105">
        <v>0</v>
      </c>
      <c r="AL9" s="105">
        <v>0</v>
      </c>
      <c r="AM9" s="105">
        <v>0</v>
      </c>
      <c r="AN9" s="105">
        <v>0</v>
      </c>
      <c r="AO9" s="105">
        <v>0</v>
      </c>
      <c r="AP9" s="105">
        <v>0</v>
      </c>
      <c r="AQ9" s="105">
        <v>0</v>
      </c>
      <c r="AR9" s="105">
        <v>0</v>
      </c>
      <c r="AS9" s="105">
        <v>0</v>
      </c>
      <c r="AT9" s="105">
        <v>0</v>
      </c>
      <c r="AU9" s="105">
        <v>0</v>
      </c>
      <c r="AV9" s="105">
        <v>0</v>
      </c>
      <c r="AW9" s="105">
        <v>0</v>
      </c>
      <c r="AX9" s="105">
        <v>0</v>
      </c>
    </row>
    <row r="10" spans="1:50" customFormat="1" x14ac:dyDescent="0.15">
      <c r="A10" s="153" t="s">
        <v>200</v>
      </c>
      <c r="B10" s="105">
        <v>0</v>
      </c>
      <c r="C10" s="105">
        <v>0</v>
      </c>
      <c r="D10" s="105">
        <v>1</v>
      </c>
      <c r="E10" s="105">
        <v>1</v>
      </c>
      <c r="F10" s="105">
        <v>1</v>
      </c>
      <c r="G10" s="105">
        <v>0</v>
      </c>
      <c r="H10" s="105">
        <v>0</v>
      </c>
      <c r="I10" s="105">
        <v>1</v>
      </c>
      <c r="J10" s="105">
        <v>0</v>
      </c>
      <c r="K10" s="105">
        <v>0</v>
      </c>
      <c r="L10" s="105">
        <v>0</v>
      </c>
      <c r="M10" s="105">
        <v>1</v>
      </c>
      <c r="N10" s="105">
        <v>0</v>
      </c>
      <c r="O10" s="105">
        <v>0</v>
      </c>
      <c r="P10" s="105">
        <v>1</v>
      </c>
      <c r="Q10" s="105">
        <v>0</v>
      </c>
      <c r="R10" s="105">
        <v>0</v>
      </c>
      <c r="S10" s="105">
        <v>0</v>
      </c>
      <c r="T10" s="105">
        <v>0</v>
      </c>
      <c r="U10" s="105">
        <v>0</v>
      </c>
      <c r="V10" s="105">
        <v>0</v>
      </c>
      <c r="W10" s="105">
        <v>0</v>
      </c>
      <c r="X10" s="105">
        <v>0</v>
      </c>
      <c r="Y10" s="105">
        <v>0</v>
      </c>
      <c r="Z10" s="105">
        <v>0</v>
      </c>
      <c r="AA10" s="105">
        <v>0</v>
      </c>
      <c r="AB10" s="105">
        <v>0</v>
      </c>
      <c r="AC10" s="105">
        <v>0</v>
      </c>
      <c r="AD10" s="105">
        <v>0</v>
      </c>
      <c r="AE10" s="105">
        <v>0</v>
      </c>
      <c r="AF10" s="105">
        <v>0</v>
      </c>
      <c r="AG10" s="105">
        <v>0</v>
      </c>
      <c r="AH10" s="105">
        <v>0</v>
      </c>
      <c r="AI10" s="105">
        <v>0</v>
      </c>
      <c r="AJ10" s="105">
        <v>0</v>
      </c>
      <c r="AK10" s="105">
        <v>0</v>
      </c>
      <c r="AL10" s="105">
        <v>0</v>
      </c>
      <c r="AM10" s="105">
        <v>0</v>
      </c>
      <c r="AN10" s="105">
        <v>0</v>
      </c>
      <c r="AO10" s="105">
        <v>0</v>
      </c>
      <c r="AP10" s="105">
        <v>0</v>
      </c>
      <c r="AQ10" s="105">
        <v>0</v>
      </c>
      <c r="AR10" s="105">
        <v>0</v>
      </c>
      <c r="AS10" s="105">
        <v>0</v>
      </c>
      <c r="AT10" s="105">
        <v>0</v>
      </c>
      <c r="AU10" s="105">
        <v>0</v>
      </c>
      <c r="AV10" s="105">
        <v>0</v>
      </c>
      <c r="AW10" s="105">
        <v>0</v>
      </c>
      <c r="AX10" s="105">
        <v>0</v>
      </c>
    </row>
    <row r="11" spans="1:50" customFormat="1" x14ac:dyDescent="0.15">
      <c r="A11" s="153" t="s">
        <v>201</v>
      </c>
      <c r="B11" s="105">
        <v>0</v>
      </c>
      <c r="C11" s="105">
        <v>0</v>
      </c>
      <c r="D11" s="105">
        <v>1</v>
      </c>
      <c r="E11" s="105">
        <v>1</v>
      </c>
      <c r="F11" s="105">
        <v>1</v>
      </c>
      <c r="G11" s="105">
        <v>0</v>
      </c>
      <c r="H11" s="105">
        <v>0</v>
      </c>
      <c r="I11" s="105">
        <v>1</v>
      </c>
      <c r="J11" s="105">
        <v>0</v>
      </c>
      <c r="K11" s="105">
        <v>0</v>
      </c>
      <c r="L11" s="105">
        <v>0</v>
      </c>
      <c r="M11" s="105">
        <v>0</v>
      </c>
      <c r="N11" s="105">
        <v>1</v>
      </c>
      <c r="O11" s="105">
        <v>0</v>
      </c>
      <c r="P11" s="105">
        <v>0</v>
      </c>
      <c r="Q11" s="105">
        <v>0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1</v>
      </c>
      <c r="AC11" s="105">
        <v>0</v>
      </c>
      <c r="AD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  <c r="AL11" s="105">
        <v>0</v>
      </c>
      <c r="AM11" s="105">
        <v>0</v>
      </c>
      <c r="AN11" s="105">
        <v>0</v>
      </c>
      <c r="AO11" s="105">
        <v>1</v>
      </c>
      <c r="AP11" s="105">
        <v>0</v>
      </c>
      <c r="AQ11" s="105">
        <v>0</v>
      </c>
      <c r="AR11" s="105">
        <v>0</v>
      </c>
      <c r="AS11" s="105">
        <v>0</v>
      </c>
      <c r="AT11" s="105">
        <v>0</v>
      </c>
      <c r="AU11" s="105">
        <v>0</v>
      </c>
      <c r="AV11" s="105">
        <v>0</v>
      </c>
      <c r="AW11" s="105">
        <v>0</v>
      </c>
      <c r="AX11" s="105">
        <v>0</v>
      </c>
    </row>
    <row r="12" spans="1:50" customFormat="1" x14ac:dyDescent="0.15">
      <c r="A12" s="153" t="s">
        <v>202</v>
      </c>
      <c r="B12" s="105">
        <v>0</v>
      </c>
      <c r="C12" s="105">
        <v>0</v>
      </c>
      <c r="D12" s="105">
        <v>0</v>
      </c>
      <c r="E12" s="105">
        <v>0</v>
      </c>
      <c r="F12" s="105">
        <v>0</v>
      </c>
      <c r="G12" s="105">
        <v>0</v>
      </c>
      <c r="H12" s="105">
        <v>0</v>
      </c>
      <c r="I12" s="105">
        <v>0</v>
      </c>
      <c r="J12" s="105">
        <v>0</v>
      </c>
      <c r="K12" s="105">
        <v>0</v>
      </c>
      <c r="L12" s="105">
        <v>0</v>
      </c>
      <c r="M12" s="105">
        <v>0</v>
      </c>
      <c r="N12" s="105">
        <v>1</v>
      </c>
      <c r="O12" s="105">
        <v>0</v>
      </c>
      <c r="P12" s="105">
        <v>0</v>
      </c>
      <c r="Q12" s="105">
        <v>0</v>
      </c>
      <c r="R12" s="105">
        <v>0</v>
      </c>
      <c r="S12" s="105">
        <v>0</v>
      </c>
      <c r="T12" s="105">
        <v>0</v>
      </c>
      <c r="U12" s="105">
        <v>0</v>
      </c>
      <c r="V12" s="105">
        <v>0</v>
      </c>
      <c r="W12" s="105">
        <v>0</v>
      </c>
      <c r="X12" s="105">
        <v>0</v>
      </c>
      <c r="Y12" s="105">
        <v>0</v>
      </c>
      <c r="Z12" s="105">
        <v>0</v>
      </c>
      <c r="AA12" s="105">
        <v>0</v>
      </c>
      <c r="AB12" s="105">
        <v>1</v>
      </c>
      <c r="AC12" s="105">
        <v>0</v>
      </c>
      <c r="AD12" s="105">
        <v>0</v>
      </c>
      <c r="AE12" s="105">
        <v>0</v>
      </c>
      <c r="AF12" s="105">
        <v>0</v>
      </c>
      <c r="AG12" s="105">
        <v>0</v>
      </c>
      <c r="AH12" s="105">
        <v>0</v>
      </c>
      <c r="AI12" s="105">
        <v>0</v>
      </c>
      <c r="AJ12" s="105">
        <v>0</v>
      </c>
      <c r="AK12" s="105">
        <v>0</v>
      </c>
      <c r="AL12" s="105">
        <v>0</v>
      </c>
      <c r="AM12" s="105">
        <v>0</v>
      </c>
      <c r="AN12" s="105">
        <v>0</v>
      </c>
      <c r="AO12" s="105">
        <v>1</v>
      </c>
      <c r="AP12" s="105">
        <v>0</v>
      </c>
      <c r="AQ12" s="105">
        <v>0</v>
      </c>
      <c r="AR12" s="105">
        <v>0</v>
      </c>
      <c r="AS12" s="105">
        <v>0</v>
      </c>
      <c r="AT12" s="105">
        <v>0</v>
      </c>
      <c r="AU12" s="105">
        <v>0</v>
      </c>
      <c r="AV12" s="105">
        <v>0</v>
      </c>
      <c r="AW12" s="105">
        <v>0</v>
      </c>
      <c r="AX12" s="105">
        <v>0</v>
      </c>
    </row>
    <row r="13" spans="1:50" customFormat="1" x14ac:dyDescent="0.15">
      <c r="A13" s="153" t="s">
        <v>203</v>
      </c>
      <c r="B13" s="105">
        <v>0</v>
      </c>
      <c r="C13" s="105">
        <v>0</v>
      </c>
      <c r="D13" s="105">
        <v>0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105">
        <v>0</v>
      </c>
      <c r="L13" s="105">
        <v>0</v>
      </c>
      <c r="M13" s="105">
        <v>0</v>
      </c>
      <c r="N13" s="105">
        <v>0</v>
      </c>
      <c r="O13" s="105">
        <v>0</v>
      </c>
      <c r="P13" s="105">
        <v>0</v>
      </c>
      <c r="Q13" s="105">
        <v>0</v>
      </c>
      <c r="R13" s="105">
        <v>0</v>
      </c>
      <c r="S13" s="105">
        <v>0</v>
      </c>
      <c r="T13" s="105">
        <v>1</v>
      </c>
      <c r="U13" s="105">
        <v>0</v>
      </c>
      <c r="V13" s="105">
        <v>0</v>
      </c>
      <c r="W13" s="105">
        <v>0</v>
      </c>
      <c r="X13" s="105">
        <v>0</v>
      </c>
      <c r="Y13" s="105">
        <v>0</v>
      </c>
      <c r="Z13" s="105">
        <v>0</v>
      </c>
      <c r="AA13" s="105">
        <v>0</v>
      </c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05">
        <v>0</v>
      </c>
      <c r="AI13" s="105">
        <v>0</v>
      </c>
      <c r="AJ13" s="105">
        <v>0</v>
      </c>
      <c r="AK13" s="105">
        <v>0</v>
      </c>
      <c r="AL13" s="105">
        <v>0</v>
      </c>
      <c r="AM13" s="105">
        <v>0</v>
      </c>
      <c r="AN13" s="105">
        <v>0</v>
      </c>
      <c r="AO13" s="105">
        <v>0</v>
      </c>
      <c r="AP13" s="105">
        <v>0</v>
      </c>
      <c r="AQ13" s="105">
        <v>0</v>
      </c>
      <c r="AR13" s="105">
        <v>0</v>
      </c>
      <c r="AS13" s="105">
        <v>0</v>
      </c>
      <c r="AT13" s="105">
        <v>0</v>
      </c>
      <c r="AU13" s="105">
        <v>0</v>
      </c>
      <c r="AV13" s="105">
        <v>0</v>
      </c>
      <c r="AW13" s="105">
        <v>0</v>
      </c>
      <c r="AX13" s="105">
        <v>0</v>
      </c>
    </row>
    <row r="14" spans="1:50" customFormat="1" x14ac:dyDescent="0.15">
      <c r="A14" s="153" t="s">
        <v>204</v>
      </c>
      <c r="B14" s="105">
        <v>0</v>
      </c>
      <c r="C14" s="105">
        <v>0</v>
      </c>
      <c r="D14" s="105">
        <v>0</v>
      </c>
      <c r="E14" s="105">
        <v>0</v>
      </c>
      <c r="F14" s="105">
        <v>0</v>
      </c>
      <c r="G14" s="105">
        <v>0</v>
      </c>
      <c r="H14" s="105">
        <v>0</v>
      </c>
      <c r="I14" s="105">
        <v>0</v>
      </c>
      <c r="J14" s="105">
        <v>0</v>
      </c>
      <c r="K14" s="105">
        <v>0</v>
      </c>
      <c r="L14" s="105">
        <v>0</v>
      </c>
      <c r="M14" s="105">
        <v>0</v>
      </c>
      <c r="N14" s="105">
        <v>0</v>
      </c>
      <c r="O14" s="105">
        <v>0</v>
      </c>
      <c r="P14" s="105">
        <v>0</v>
      </c>
      <c r="Q14" s="105">
        <v>0</v>
      </c>
      <c r="R14" s="105">
        <v>0</v>
      </c>
      <c r="S14" s="105">
        <v>0</v>
      </c>
      <c r="T14" s="105">
        <v>0</v>
      </c>
      <c r="U14" s="105">
        <v>0</v>
      </c>
      <c r="V14" s="105">
        <v>0</v>
      </c>
      <c r="W14" s="105">
        <v>0</v>
      </c>
      <c r="X14" s="105">
        <v>0</v>
      </c>
      <c r="Y14" s="105">
        <v>0</v>
      </c>
      <c r="Z14" s="105">
        <v>0</v>
      </c>
      <c r="AA14" s="105">
        <v>0</v>
      </c>
      <c r="AB14" s="105">
        <v>0</v>
      </c>
      <c r="AC14" s="105">
        <v>0</v>
      </c>
      <c r="AD14" s="105">
        <v>0</v>
      </c>
      <c r="AE14" s="105">
        <v>0</v>
      </c>
      <c r="AF14" s="105">
        <v>0</v>
      </c>
      <c r="AG14" s="105">
        <v>0</v>
      </c>
      <c r="AH14" s="105">
        <v>0</v>
      </c>
      <c r="AI14" s="105">
        <v>0</v>
      </c>
      <c r="AJ14" s="105">
        <v>0</v>
      </c>
      <c r="AK14" s="105">
        <v>0</v>
      </c>
      <c r="AL14" s="105">
        <v>0</v>
      </c>
      <c r="AM14" s="105">
        <v>0</v>
      </c>
      <c r="AN14" s="105">
        <v>0</v>
      </c>
      <c r="AO14" s="105">
        <v>0</v>
      </c>
      <c r="AP14" s="105">
        <v>0</v>
      </c>
      <c r="AQ14" s="105">
        <v>0</v>
      </c>
      <c r="AR14" s="105">
        <v>0</v>
      </c>
      <c r="AS14" s="105">
        <v>0</v>
      </c>
      <c r="AT14" s="105">
        <v>0</v>
      </c>
      <c r="AU14" s="105">
        <v>0</v>
      </c>
      <c r="AV14" s="105">
        <v>0</v>
      </c>
      <c r="AW14" s="105">
        <v>0</v>
      </c>
      <c r="AX14" s="105">
        <v>0</v>
      </c>
    </row>
    <row r="15" spans="1:50" customFormat="1" x14ac:dyDescent="0.15">
      <c r="A15" s="153" t="s">
        <v>205</v>
      </c>
      <c r="B15" s="105">
        <v>0</v>
      </c>
      <c r="C15" s="105">
        <v>0</v>
      </c>
      <c r="D15" s="105">
        <v>0</v>
      </c>
      <c r="E15" s="105">
        <v>0</v>
      </c>
      <c r="F15" s="105">
        <v>0</v>
      </c>
      <c r="G15" s="105">
        <v>0</v>
      </c>
      <c r="H15" s="105">
        <v>0</v>
      </c>
      <c r="I15" s="105">
        <v>0</v>
      </c>
      <c r="J15" s="105">
        <v>0</v>
      </c>
      <c r="K15" s="105">
        <v>0</v>
      </c>
      <c r="L15" s="105">
        <v>0</v>
      </c>
      <c r="M15" s="105">
        <v>0</v>
      </c>
      <c r="N15" s="105">
        <v>0</v>
      </c>
      <c r="O15" s="105">
        <v>0</v>
      </c>
      <c r="P15" s="105">
        <v>0</v>
      </c>
      <c r="Q15" s="105">
        <v>0</v>
      </c>
      <c r="R15" s="105">
        <v>0</v>
      </c>
      <c r="S15" s="105">
        <v>0</v>
      </c>
      <c r="T15" s="105">
        <v>1</v>
      </c>
      <c r="U15" s="105">
        <v>0</v>
      </c>
      <c r="V15" s="105">
        <v>0</v>
      </c>
      <c r="W15" s="105">
        <v>0</v>
      </c>
      <c r="X15" s="105">
        <v>0</v>
      </c>
      <c r="Y15" s="105">
        <v>0</v>
      </c>
      <c r="Z15" s="105">
        <v>0</v>
      </c>
      <c r="AA15" s="105">
        <v>0</v>
      </c>
      <c r="AB15" s="105">
        <v>0</v>
      </c>
      <c r="AC15" s="105">
        <v>0</v>
      </c>
      <c r="AD15" s="105">
        <v>0</v>
      </c>
      <c r="AE15" s="105">
        <v>0</v>
      </c>
      <c r="AF15" s="105">
        <v>0</v>
      </c>
      <c r="AG15" s="105">
        <v>0</v>
      </c>
      <c r="AH15" s="105">
        <v>0</v>
      </c>
      <c r="AI15" s="105">
        <v>0</v>
      </c>
      <c r="AJ15" s="105">
        <v>0</v>
      </c>
      <c r="AK15" s="105">
        <v>0</v>
      </c>
      <c r="AL15" s="105">
        <v>0</v>
      </c>
      <c r="AM15" s="105">
        <v>0</v>
      </c>
      <c r="AN15" s="105">
        <v>0</v>
      </c>
      <c r="AO15" s="105">
        <v>0</v>
      </c>
      <c r="AP15" s="105">
        <v>0</v>
      </c>
      <c r="AQ15" s="105">
        <v>0</v>
      </c>
      <c r="AR15" s="105">
        <v>0</v>
      </c>
      <c r="AS15" s="105">
        <v>0</v>
      </c>
      <c r="AT15" s="105">
        <v>0</v>
      </c>
      <c r="AU15" s="105">
        <v>0</v>
      </c>
      <c r="AV15" s="105">
        <v>0</v>
      </c>
      <c r="AW15" s="105">
        <v>0</v>
      </c>
      <c r="AX15" s="105">
        <v>0</v>
      </c>
    </row>
    <row r="16" spans="1:50" customFormat="1" x14ac:dyDescent="0.15">
      <c r="A16" s="153" t="s">
        <v>206</v>
      </c>
      <c r="B16" s="105">
        <v>0</v>
      </c>
      <c r="C16" s="105">
        <v>0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0</v>
      </c>
      <c r="K16" s="105">
        <v>0</v>
      </c>
      <c r="L16" s="105">
        <v>0</v>
      </c>
      <c r="M16" s="105">
        <v>0</v>
      </c>
      <c r="N16" s="105">
        <v>0</v>
      </c>
      <c r="O16" s="105">
        <v>0</v>
      </c>
      <c r="P16" s="105">
        <v>0</v>
      </c>
      <c r="Q16" s="105">
        <v>0</v>
      </c>
      <c r="R16" s="105">
        <v>0</v>
      </c>
      <c r="S16" s="105">
        <v>0</v>
      </c>
      <c r="T16" s="105">
        <v>1</v>
      </c>
      <c r="U16" s="105">
        <v>0</v>
      </c>
      <c r="V16" s="105">
        <v>0</v>
      </c>
      <c r="W16" s="105">
        <v>0</v>
      </c>
      <c r="X16" s="105">
        <v>0</v>
      </c>
      <c r="Y16" s="105">
        <v>0</v>
      </c>
      <c r="Z16" s="105">
        <v>0</v>
      </c>
      <c r="AA16" s="105">
        <v>0</v>
      </c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05">
        <v>0</v>
      </c>
      <c r="AI16" s="105">
        <v>0</v>
      </c>
      <c r="AJ16" s="105">
        <v>0</v>
      </c>
      <c r="AK16" s="105">
        <v>0</v>
      </c>
      <c r="AL16" s="105">
        <v>0</v>
      </c>
      <c r="AM16" s="105">
        <v>0</v>
      </c>
      <c r="AN16" s="105">
        <v>0</v>
      </c>
      <c r="AO16" s="105">
        <v>0</v>
      </c>
      <c r="AP16" s="105">
        <v>0</v>
      </c>
      <c r="AQ16" s="105">
        <v>0</v>
      </c>
      <c r="AR16" s="105">
        <v>0</v>
      </c>
      <c r="AS16" s="105">
        <v>0</v>
      </c>
      <c r="AT16" s="105">
        <v>0</v>
      </c>
      <c r="AU16" s="105">
        <v>0</v>
      </c>
      <c r="AV16" s="105">
        <v>0</v>
      </c>
      <c r="AW16" s="105">
        <v>0</v>
      </c>
      <c r="AX16" s="105">
        <v>0</v>
      </c>
    </row>
    <row r="17" spans="1:50" customFormat="1" x14ac:dyDescent="0.15">
      <c r="A17" s="153" t="s">
        <v>207</v>
      </c>
      <c r="B17" s="105">
        <v>0</v>
      </c>
      <c r="C17" s="105">
        <v>0</v>
      </c>
      <c r="D17" s="105">
        <v>0</v>
      </c>
      <c r="E17" s="105">
        <v>0</v>
      </c>
      <c r="F17" s="105">
        <v>0</v>
      </c>
      <c r="G17" s="105">
        <v>0</v>
      </c>
      <c r="H17" s="105">
        <v>0</v>
      </c>
      <c r="I17" s="105">
        <v>0</v>
      </c>
      <c r="J17" s="105">
        <v>0</v>
      </c>
      <c r="K17" s="105">
        <v>0</v>
      </c>
      <c r="L17" s="105">
        <v>0</v>
      </c>
      <c r="M17" s="105">
        <v>0</v>
      </c>
      <c r="N17" s="105">
        <v>0</v>
      </c>
      <c r="O17" s="105">
        <v>0</v>
      </c>
      <c r="P17" s="105">
        <v>0</v>
      </c>
      <c r="Q17" s="105">
        <v>0</v>
      </c>
      <c r="R17" s="105">
        <v>0</v>
      </c>
      <c r="S17" s="105">
        <v>0</v>
      </c>
      <c r="T17" s="105">
        <v>0</v>
      </c>
      <c r="U17" s="105">
        <v>0</v>
      </c>
      <c r="V17" s="105">
        <v>0</v>
      </c>
      <c r="W17" s="105">
        <v>0</v>
      </c>
      <c r="X17" s="105">
        <v>0</v>
      </c>
      <c r="Y17" s="105">
        <v>0</v>
      </c>
      <c r="Z17" s="105">
        <v>0</v>
      </c>
      <c r="AA17" s="105">
        <v>0</v>
      </c>
      <c r="AB17" s="105">
        <v>0</v>
      </c>
      <c r="AC17" s="105">
        <v>0</v>
      </c>
      <c r="AD17" s="105">
        <v>0</v>
      </c>
      <c r="AE17" s="105">
        <v>0</v>
      </c>
      <c r="AF17" s="105">
        <v>0</v>
      </c>
      <c r="AG17" s="105">
        <v>0</v>
      </c>
      <c r="AH17" s="105">
        <v>0</v>
      </c>
      <c r="AI17" s="105">
        <v>0</v>
      </c>
      <c r="AJ17" s="105">
        <v>0</v>
      </c>
      <c r="AK17" s="105">
        <v>0</v>
      </c>
      <c r="AL17" s="105">
        <v>0</v>
      </c>
      <c r="AM17" s="105">
        <v>0</v>
      </c>
      <c r="AN17" s="105">
        <v>0</v>
      </c>
      <c r="AO17" s="105">
        <v>0</v>
      </c>
      <c r="AP17" s="105">
        <v>0</v>
      </c>
      <c r="AQ17" s="105">
        <v>0</v>
      </c>
      <c r="AR17" s="105">
        <v>0</v>
      </c>
      <c r="AS17" s="105">
        <v>0</v>
      </c>
      <c r="AT17" s="105">
        <v>0</v>
      </c>
      <c r="AU17" s="105">
        <v>0</v>
      </c>
      <c r="AV17" s="105">
        <v>0</v>
      </c>
      <c r="AW17" s="105">
        <v>0</v>
      </c>
      <c r="AX17" s="105">
        <v>0</v>
      </c>
    </row>
    <row r="18" spans="1:50" customFormat="1" x14ac:dyDescent="0.15">
      <c r="A18" s="153" t="s">
        <v>208</v>
      </c>
      <c r="B18" s="105">
        <v>0</v>
      </c>
      <c r="C18" s="105">
        <v>0</v>
      </c>
      <c r="D18" s="105">
        <v>0</v>
      </c>
      <c r="E18" s="105">
        <v>0</v>
      </c>
      <c r="F18" s="105">
        <v>0</v>
      </c>
      <c r="G18" s="105">
        <v>0</v>
      </c>
      <c r="H18" s="105">
        <v>0</v>
      </c>
      <c r="I18" s="105">
        <v>0</v>
      </c>
      <c r="J18" s="105">
        <v>0</v>
      </c>
      <c r="K18" s="105">
        <v>0</v>
      </c>
      <c r="L18" s="105">
        <v>0</v>
      </c>
      <c r="M18" s="105">
        <v>0</v>
      </c>
      <c r="N18" s="105">
        <v>0</v>
      </c>
      <c r="O18" s="105">
        <v>0</v>
      </c>
      <c r="P18" s="105">
        <v>0</v>
      </c>
      <c r="Q18" s="105">
        <v>0</v>
      </c>
      <c r="R18" s="105">
        <v>0</v>
      </c>
      <c r="S18" s="105">
        <v>0</v>
      </c>
      <c r="T18" s="105">
        <v>0</v>
      </c>
      <c r="U18" s="105">
        <v>0</v>
      </c>
      <c r="V18" s="105">
        <v>0</v>
      </c>
      <c r="W18" s="105">
        <v>0</v>
      </c>
      <c r="X18" s="105">
        <v>0</v>
      </c>
      <c r="Y18" s="105">
        <v>0</v>
      </c>
      <c r="Z18" s="105">
        <v>0</v>
      </c>
      <c r="AA18" s="105">
        <v>0</v>
      </c>
      <c r="AB18" s="105">
        <v>0</v>
      </c>
      <c r="AC18" s="105">
        <v>0</v>
      </c>
      <c r="AD18" s="105">
        <v>0</v>
      </c>
      <c r="AE18" s="105">
        <v>0</v>
      </c>
      <c r="AF18" s="105">
        <v>0</v>
      </c>
      <c r="AG18" s="105">
        <v>0</v>
      </c>
      <c r="AH18" s="105">
        <v>0</v>
      </c>
      <c r="AI18" s="105">
        <v>0</v>
      </c>
      <c r="AJ18" s="105">
        <v>0</v>
      </c>
      <c r="AK18" s="105">
        <v>0</v>
      </c>
      <c r="AL18" s="105">
        <v>0</v>
      </c>
      <c r="AM18" s="105">
        <v>0</v>
      </c>
      <c r="AN18" s="105">
        <v>0</v>
      </c>
      <c r="AO18" s="105">
        <v>0</v>
      </c>
      <c r="AP18" s="105">
        <v>0</v>
      </c>
      <c r="AQ18" s="105">
        <v>0</v>
      </c>
      <c r="AR18" s="105">
        <v>0</v>
      </c>
      <c r="AS18" s="105">
        <v>0</v>
      </c>
      <c r="AT18" s="105">
        <v>0</v>
      </c>
      <c r="AU18" s="105">
        <v>0</v>
      </c>
      <c r="AV18" s="105">
        <v>0</v>
      </c>
      <c r="AW18" s="105">
        <v>0</v>
      </c>
      <c r="AX18" s="105">
        <v>0</v>
      </c>
    </row>
    <row r="19" spans="1:50" customFormat="1" x14ac:dyDescent="0.15">
      <c r="A19" s="153" t="s">
        <v>209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G19" s="105">
        <v>0</v>
      </c>
      <c r="H19" s="105">
        <v>0</v>
      </c>
      <c r="I19" s="105">
        <v>0</v>
      </c>
      <c r="J19" s="105">
        <v>0</v>
      </c>
      <c r="K19" s="105">
        <v>0</v>
      </c>
      <c r="L19" s="105">
        <v>0</v>
      </c>
      <c r="M19" s="105">
        <v>0</v>
      </c>
      <c r="N19" s="105">
        <v>0</v>
      </c>
      <c r="O19" s="105">
        <v>0</v>
      </c>
      <c r="P19" s="105">
        <v>0</v>
      </c>
      <c r="Q19" s="105">
        <v>0</v>
      </c>
      <c r="R19" s="105">
        <v>0</v>
      </c>
      <c r="S19" s="105">
        <v>0</v>
      </c>
      <c r="T19" s="105">
        <v>0</v>
      </c>
      <c r="U19" s="105">
        <v>0</v>
      </c>
      <c r="V19" s="105">
        <v>0</v>
      </c>
      <c r="W19" s="105">
        <v>0</v>
      </c>
      <c r="X19" s="105">
        <v>0</v>
      </c>
      <c r="Y19" s="105">
        <v>0</v>
      </c>
      <c r="Z19" s="105">
        <v>0</v>
      </c>
      <c r="AA19" s="105">
        <v>0</v>
      </c>
      <c r="AB19" s="105">
        <v>0</v>
      </c>
      <c r="AC19" s="105">
        <v>0</v>
      </c>
      <c r="AD19" s="105">
        <v>0</v>
      </c>
      <c r="AE19" s="105">
        <v>0</v>
      </c>
      <c r="AF19" s="105">
        <v>0</v>
      </c>
      <c r="AG19" s="105">
        <v>0</v>
      </c>
      <c r="AH19" s="105">
        <v>0</v>
      </c>
      <c r="AI19" s="105">
        <v>0</v>
      </c>
      <c r="AJ19" s="105">
        <v>0</v>
      </c>
      <c r="AK19" s="105">
        <v>0</v>
      </c>
      <c r="AL19" s="105">
        <v>0</v>
      </c>
      <c r="AM19" s="105">
        <v>0</v>
      </c>
      <c r="AN19" s="105">
        <v>0</v>
      </c>
      <c r="AO19" s="105">
        <v>0</v>
      </c>
      <c r="AP19" s="105">
        <v>0</v>
      </c>
      <c r="AQ19" s="105">
        <v>0</v>
      </c>
      <c r="AR19" s="105">
        <v>0</v>
      </c>
      <c r="AS19" s="105">
        <v>0</v>
      </c>
      <c r="AT19" s="105">
        <v>0</v>
      </c>
      <c r="AU19" s="105">
        <v>0</v>
      </c>
      <c r="AV19" s="105">
        <v>0</v>
      </c>
      <c r="AW19" s="105">
        <v>0</v>
      </c>
      <c r="AX19" s="105">
        <v>0</v>
      </c>
    </row>
    <row r="20" spans="1:50" customFormat="1" x14ac:dyDescent="0.15">
      <c r="A20" s="153" t="s">
        <v>210</v>
      </c>
      <c r="B20" s="105">
        <v>0</v>
      </c>
      <c r="C20" s="105">
        <v>0</v>
      </c>
      <c r="D20" s="105">
        <v>0</v>
      </c>
      <c r="E20" s="105">
        <v>0</v>
      </c>
      <c r="F20" s="105">
        <v>0</v>
      </c>
      <c r="G20" s="105">
        <v>0</v>
      </c>
      <c r="H20" s="105">
        <v>0</v>
      </c>
      <c r="I20" s="105">
        <v>0</v>
      </c>
      <c r="J20" s="105">
        <v>0</v>
      </c>
      <c r="K20" s="105">
        <v>0</v>
      </c>
      <c r="L20" s="105">
        <v>0</v>
      </c>
      <c r="M20" s="105">
        <v>0</v>
      </c>
      <c r="N20" s="105">
        <v>1</v>
      </c>
      <c r="O20" s="105">
        <v>0</v>
      </c>
      <c r="P20" s="105">
        <v>0</v>
      </c>
      <c r="Q20" s="105">
        <v>0</v>
      </c>
      <c r="R20" s="105">
        <v>0</v>
      </c>
      <c r="S20" s="105">
        <v>0</v>
      </c>
      <c r="T20" s="105">
        <v>1</v>
      </c>
      <c r="U20" s="105">
        <v>0</v>
      </c>
      <c r="V20" s="105">
        <v>0</v>
      </c>
      <c r="W20" s="105">
        <v>0</v>
      </c>
      <c r="X20" s="105">
        <v>0</v>
      </c>
      <c r="Y20" s="105">
        <v>0</v>
      </c>
      <c r="Z20" s="105">
        <v>0</v>
      </c>
      <c r="AA20" s="105">
        <v>0</v>
      </c>
      <c r="AB20" s="105">
        <v>0</v>
      </c>
      <c r="AC20" s="105">
        <v>0</v>
      </c>
      <c r="AD20" s="105">
        <v>0</v>
      </c>
      <c r="AE20" s="105">
        <v>0</v>
      </c>
      <c r="AF20" s="105">
        <v>0</v>
      </c>
      <c r="AG20" s="105">
        <v>0</v>
      </c>
      <c r="AH20" s="105">
        <v>0</v>
      </c>
      <c r="AI20" s="105">
        <v>0</v>
      </c>
      <c r="AJ20" s="105">
        <v>0</v>
      </c>
      <c r="AK20" s="105">
        <v>0</v>
      </c>
      <c r="AL20" s="105">
        <v>0</v>
      </c>
      <c r="AM20" s="105">
        <v>0</v>
      </c>
      <c r="AN20" s="105">
        <v>0</v>
      </c>
      <c r="AO20" s="105">
        <v>0</v>
      </c>
      <c r="AP20" s="105">
        <v>0</v>
      </c>
      <c r="AQ20" s="105">
        <v>0</v>
      </c>
      <c r="AR20" s="105">
        <v>0</v>
      </c>
      <c r="AS20" s="105">
        <v>0</v>
      </c>
      <c r="AT20" s="105">
        <v>0</v>
      </c>
      <c r="AU20" s="105">
        <v>0</v>
      </c>
      <c r="AV20" s="105">
        <v>0</v>
      </c>
      <c r="AW20" s="105">
        <v>0</v>
      </c>
      <c r="AX20" s="105">
        <v>0</v>
      </c>
    </row>
    <row r="21" spans="1:50" customFormat="1" x14ac:dyDescent="0.15">
      <c r="A21" s="153" t="s">
        <v>211</v>
      </c>
      <c r="B21" s="105">
        <v>0</v>
      </c>
      <c r="C21" s="105">
        <v>0</v>
      </c>
      <c r="D21" s="105">
        <v>1</v>
      </c>
      <c r="E21" s="105">
        <v>1</v>
      </c>
      <c r="F21" s="105">
        <v>1</v>
      </c>
      <c r="G21" s="105">
        <v>0</v>
      </c>
      <c r="H21" s="105">
        <v>1</v>
      </c>
      <c r="I21" s="105">
        <v>1</v>
      </c>
      <c r="J21" s="105">
        <v>0</v>
      </c>
      <c r="K21" s="105">
        <v>0</v>
      </c>
      <c r="L21" s="105">
        <v>0</v>
      </c>
      <c r="M21" s="105">
        <v>1</v>
      </c>
      <c r="N21" s="105">
        <v>1</v>
      </c>
      <c r="O21" s="105">
        <v>1</v>
      </c>
      <c r="P21" s="105">
        <v>1</v>
      </c>
      <c r="Q21" s="105">
        <v>0</v>
      </c>
      <c r="R21" s="105">
        <v>0</v>
      </c>
      <c r="S21" s="105">
        <v>0</v>
      </c>
      <c r="T21" s="105">
        <v>1</v>
      </c>
      <c r="U21" s="105">
        <v>0</v>
      </c>
      <c r="V21" s="105">
        <v>0</v>
      </c>
      <c r="W21" s="105">
        <v>0</v>
      </c>
      <c r="X21" s="105">
        <v>1</v>
      </c>
      <c r="Y21" s="105">
        <v>0</v>
      </c>
      <c r="Z21" s="105">
        <v>0</v>
      </c>
      <c r="AA21" s="105">
        <v>0</v>
      </c>
      <c r="AB21" s="105">
        <v>1</v>
      </c>
      <c r="AC21" s="105">
        <v>0</v>
      </c>
      <c r="AD21" s="105">
        <v>0</v>
      </c>
      <c r="AE21" s="105">
        <v>0</v>
      </c>
      <c r="AF21" s="105">
        <v>0</v>
      </c>
      <c r="AG21" s="105">
        <v>0</v>
      </c>
      <c r="AH21" s="105">
        <v>0</v>
      </c>
      <c r="AI21" s="105">
        <v>0</v>
      </c>
      <c r="AJ21" s="105">
        <v>0</v>
      </c>
      <c r="AK21" s="105">
        <v>0</v>
      </c>
      <c r="AL21" s="105">
        <v>0</v>
      </c>
      <c r="AM21" s="105">
        <v>0</v>
      </c>
      <c r="AN21" s="105">
        <v>0</v>
      </c>
      <c r="AO21" s="105">
        <v>1</v>
      </c>
      <c r="AP21" s="105">
        <v>0</v>
      </c>
      <c r="AQ21" s="105">
        <v>0</v>
      </c>
      <c r="AR21" s="105">
        <v>0</v>
      </c>
      <c r="AS21" s="105">
        <v>0</v>
      </c>
      <c r="AT21" s="105">
        <v>0</v>
      </c>
      <c r="AU21" s="105">
        <v>0</v>
      </c>
      <c r="AV21" s="105">
        <v>0</v>
      </c>
      <c r="AW21" s="105">
        <v>0</v>
      </c>
      <c r="AX21" s="105">
        <v>0</v>
      </c>
    </row>
    <row r="22" spans="1:50" customFormat="1" x14ac:dyDescent="0.15">
      <c r="A22" s="153" t="s">
        <v>212</v>
      </c>
      <c r="B22" s="105">
        <v>0</v>
      </c>
      <c r="C22" s="105">
        <v>0</v>
      </c>
      <c r="D22" s="105">
        <v>1</v>
      </c>
      <c r="E22" s="105">
        <v>1</v>
      </c>
      <c r="F22" s="105">
        <v>1</v>
      </c>
      <c r="G22" s="105">
        <v>0</v>
      </c>
      <c r="H22" s="105">
        <v>0</v>
      </c>
      <c r="I22" s="105">
        <v>1</v>
      </c>
      <c r="J22" s="105">
        <v>0</v>
      </c>
      <c r="K22" s="105">
        <v>0</v>
      </c>
      <c r="L22" s="105">
        <v>0</v>
      </c>
      <c r="M22" s="105">
        <v>1</v>
      </c>
      <c r="N22" s="105">
        <v>1</v>
      </c>
      <c r="O22" s="105">
        <v>0</v>
      </c>
      <c r="P22" s="105">
        <v>0</v>
      </c>
      <c r="Q22" s="105">
        <v>0</v>
      </c>
      <c r="R22" s="105">
        <v>1</v>
      </c>
      <c r="S22" s="105">
        <v>1</v>
      </c>
      <c r="T22" s="105">
        <v>1</v>
      </c>
      <c r="U22" s="105">
        <v>0</v>
      </c>
      <c r="V22" s="105">
        <v>0</v>
      </c>
      <c r="W22" s="105">
        <v>0</v>
      </c>
      <c r="X22" s="105">
        <v>1</v>
      </c>
      <c r="Y22" s="105">
        <v>0</v>
      </c>
      <c r="Z22" s="105">
        <v>0</v>
      </c>
      <c r="AA22" s="105">
        <v>0</v>
      </c>
      <c r="AB22" s="105">
        <v>1</v>
      </c>
      <c r="AC22" s="105">
        <v>0</v>
      </c>
      <c r="AD22" s="105">
        <v>0</v>
      </c>
      <c r="AE22" s="105">
        <v>0</v>
      </c>
      <c r="AF22" s="105">
        <v>0</v>
      </c>
      <c r="AG22" s="105">
        <v>1</v>
      </c>
      <c r="AH22" s="105">
        <v>0</v>
      </c>
      <c r="AI22" s="105">
        <v>0</v>
      </c>
      <c r="AJ22" s="105">
        <v>0</v>
      </c>
      <c r="AK22" s="105">
        <v>0</v>
      </c>
      <c r="AL22" s="105">
        <v>0</v>
      </c>
      <c r="AM22" s="105">
        <v>1</v>
      </c>
      <c r="AN22" s="105">
        <v>0</v>
      </c>
      <c r="AO22" s="105">
        <v>1</v>
      </c>
      <c r="AP22" s="105">
        <v>0</v>
      </c>
      <c r="AQ22" s="105">
        <v>0</v>
      </c>
      <c r="AR22" s="105">
        <v>0</v>
      </c>
      <c r="AS22" s="105">
        <v>0</v>
      </c>
      <c r="AT22" s="105">
        <v>0</v>
      </c>
      <c r="AU22" s="105">
        <v>0</v>
      </c>
      <c r="AV22" s="105">
        <v>0</v>
      </c>
      <c r="AW22" s="105">
        <v>0</v>
      </c>
      <c r="AX22" s="105">
        <v>0</v>
      </c>
    </row>
    <row r="23" spans="1:50" customFormat="1" x14ac:dyDescent="0.15">
      <c r="A23" s="153" t="s">
        <v>213</v>
      </c>
      <c r="B23" s="105">
        <v>0</v>
      </c>
      <c r="C23" s="105">
        <v>1</v>
      </c>
      <c r="D23" s="105">
        <v>1</v>
      </c>
      <c r="E23" s="105">
        <v>1</v>
      </c>
      <c r="F23" s="105">
        <v>1</v>
      </c>
      <c r="G23" s="105">
        <v>0</v>
      </c>
      <c r="H23" s="105">
        <v>1</v>
      </c>
      <c r="I23" s="105">
        <v>1</v>
      </c>
      <c r="J23" s="105">
        <v>0</v>
      </c>
      <c r="K23" s="105">
        <v>0</v>
      </c>
      <c r="L23" s="105">
        <v>0</v>
      </c>
      <c r="M23" s="105">
        <v>1</v>
      </c>
      <c r="N23" s="105">
        <v>1</v>
      </c>
      <c r="O23" s="105">
        <v>1</v>
      </c>
      <c r="P23" s="105">
        <v>1</v>
      </c>
      <c r="Q23" s="105">
        <v>0</v>
      </c>
      <c r="R23" s="105">
        <v>1</v>
      </c>
      <c r="S23" s="105">
        <v>0</v>
      </c>
      <c r="T23" s="105">
        <v>1</v>
      </c>
      <c r="U23" s="105">
        <v>0</v>
      </c>
      <c r="V23" s="105">
        <v>0</v>
      </c>
      <c r="W23" s="105">
        <v>0</v>
      </c>
      <c r="X23" s="105">
        <v>1</v>
      </c>
      <c r="Y23" s="105">
        <v>0</v>
      </c>
      <c r="Z23" s="105">
        <v>0</v>
      </c>
      <c r="AA23" s="105">
        <v>0</v>
      </c>
      <c r="AB23" s="105">
        <v>1</v>
      </c>
      <c r="AC23" s="105">
        <v>0</v>
      </c>
      <c r="AD23" s="105">
        <v>0</v>
      </c>
      <c r="AE23" s="105">
        <v>0</v>
      </c>
      <c r="AF23" s="105">
        <v>0</v>
      </c>
      <c r="AG23" s="105">
        <v>1</v>
      </c>
      <c r="AH23" s="105">
        <v>0</v>
      </c>
      <c r="AI23" s="105">
        <v>0</v>
      </c>
      <c r="AJ23" s="105">
        <v>0</v>
      </c>
      <c r="AK23" s="105">
        <v>0</v>
      </c>
      <c r="AL23" s="105">
        <v>0</v>
      </c>
      <c r="AM23" s="105">
        <v>0</v>
      </c>
      <c r="AN23" s="105">
        <v>0</v>
      </c>
      <c r="AO23" s="105">
        <v>1</v>
      </c>
      <c r="AP23" s="105">
        <v>0</v>
      </c>
      <c r="AQ23" s="105">
        <v>0</v>
      </c>
      <c r="AR23" s="105">
        <v>0</v>
      </c>
      <c r="AS23" s="105">
        <v>0</v>
      </c>
      <c r="AT23" s="105">
        <v>0</v>
      </c>
      <c r="AU23" s="105">
        <v>0</v>
      </c>
      <c r="AV23" s="105">
        <v>0</v>
      </c>
      <c r="AW23" s="105">
        <v>0</v>
      </c>
      <c r="AX23" s="105">
        <v>0</v>
      </c>
    </row>
    <row r="24" spans="1:50" customFormat="1" x14ac:dyDescent="0.15">
      <c r="A24" s="153" t="s">
        <v>214</v>
      </c>
      <c r="B24" s="105">
        <v>0</v>
      </c>
      <c r="C24" s="105">
        <v>0</v>
      </c>
      <c r="D24" s="105">
        <v>1</v>
      </c>
      <c r="E24" s="105">
        <v>1</v>
      </c>
      <c r="F24" s="105">
        <v>1</v>
      </c>
      <c r="G24" s="105">
        <v>0</v>
      </c>
      <c r="H24" s="105">
        <v>1</v>
      </c>
      <c r="I24" s="105">
        <v>1</v>
      </c>
      <c r="J24" s="105">
        <v>0</v>
      </c>
      <c r="K24" s="105">
        <v>0</v>
      </c>
      <c r="L24" s="105">
        <v>0</v>
      </c>
      <c r="M24" s="105">
        <v>1</v>
      </c>
      <c r="N24" s="105">
        <v>1</v>
      </c>
      <c r="O24" s="105">
        <v>0</v>
      </c>
      <c r="P24" s="105">
        <v>1</v>
      </c>
      <c r="Q24" s="105">
        <v>0</v>
      </c>
      <c r="R24" s="105">
        <v>0</v>
      </c>
      <c r="S24" s="105">
        <v>1</v>
      </c>
      <c r="T24" s="105">
        <v>1</v>
      </c>
      <c r="U24" s="105">
        <v>0</v>
      </c>
      <c r="V24" s="105">
        <v>0</v>
      </c>
      <c r="W24" s="105">
        <v>0</v>
      </c>
      <c r="X24" s="105">
        <v>1</v>
      </c>
      <c r="Y24" s="105">
        <v>0</v>
      </c>
      <c r="Z24" s="105">
        <v>0</v>
      </c>
      <c r="AA24" s="105">
        <v>0</v>
      </c>
      <c r="AB24" s="105">
        <v>1</v>
      </c>
      <c r="AC24" s="105">
        <v>0</v>
      </c>
      <c r="AD24" s="105">
        <v>0</v>
      </c>
      <c r="AE24" s="105">
        <v>0</v>
      </c>
      <c r="AF24" s="105">
        <v>0</v>
      </c>
      <c r="AG24" s="105">
        <v>1</v>
      </c>
      <c r="AH24" s="105">
        <v>0</v>
      </c>
      <c r="AI24" s="105">
        <v>0</v>
      </c>
      <c r="AJ24" s="105">
        <v>0</v>
      </c>
      <c r="AK24" s="105">
        <v>0</v>
      </c>
      <c r="AL24" s="105">
        <v>0</v>
      </c>
      <c r="AM24" s="105">
        <v>0</v>
      </c>
      <c r="AN24" s="105">
        <v>0</v>
      </c>
      <c r="AO24" s="105">
        <v>1</v>
      </c>
      <c r="AP24" s="105">
        <v>0</v>
      </c>
      <c r="AQ24" s="105">
        <v>0</v>
      </c>
      <c r="AR24" s="105">
        <v>0</v>
      </c>
      <c r="AS24" s="105">
        <v>0</v>
      </c>
      <c r="AT24" s="105">
        <v>0</v>
      </c>
      <c r="AU24" s="105">
        <v>0</v>
      </c>
      <c r="AV24" s="105">
        <v>0</v>
      </c>
      <c r="AW24" s="105">
        <v>0</v>
      </c>
      <c r="AX24" s="105">
        <v>0</v>
      </c>
    </row>
    <row r="25" spans="1:50" customFormat="1" x14ac:dyDescent="0.15">
      <c r="A25" s="153" t="s">
        <v>215</v>
      </c>
      <c r="B25" s="105">
        <v>0</v>
      </c>
      <c r="C25" s="105">
        <v>0</v>
      </c>
      <c r="D25" s="105">
        <v>0</v>
      </c>
      <c r="E25" s="105">
        <v>0</v>
      </c>
      <c r="F25" s="105">
        <v>0</v>
      </c>
      <c r="G25" s="105">
        <v>0</v>
      </c>
      <c r="H25" s="105">
        <v>1</v>
      </c>
      <c r="I25" s="105">
        <v>0</v>
      </c>
      <c r="J25" s="105">
        <v>0</v>
      </c>
      <c r="K25" s="105">
        <v>0</v>
      </c>
      <c r="L25" s="105">
        <v>0</v>
      </c>
      <c r="M25" s="105">
        <v>1</v>
      </c>
      <c r="N25" s="105">
        <v>1</v>
      </c>
      <c r="O25" s="105">
        <v>0</v>
      </c>
      <c r="P25" s="105">
        <v>1</v>
      </c>
      <c r="Q25" s="105">
        <v>0</v>
      </c>
      <c r="R25" s="105">
        <v>0</v>
      </c>
      <c r="S25" s="105">
        <v>1</v>
      </c>
      <c r="T25" s="105">
        <v>1</v>
      </c>
      <c r="U25" s="105">
        <v>0</v>
      </c>
      <c r="V25" s="105">
        <v>0</v>
      </c>
      <c r="W25" s="105">
        <v>0</v>
      </c>
      <c r="X25" s="105">
        <v>1</v>
      </c>
      <c r="Y25" s="105">
        <v>0</v>
      </c>
      <c r="Z25" s="105">
        <v>0</v>
      </c>
      <c r="AA25" s="105">
        <v>0</v>
      </c>
      <c r="AB25" s="105">
        <v>1</v>
      </c>
      <c r="AC25" s="105">
        <v>0</v>
      </c>
      <c r="AD25" s="105">
        <v>0</v>
      </c>
      <c r="AE25" s="105">
        <v>0</v>
      </c>
      <c r="AF25" s="105">
        <v>0</v>
      </c>
      <c r="AG25" s="105">
        <v>0</v>
      </c>
      <c r="AH25" s="105">
        <v>0</v>
      </c>
      <c r="AI25" s="105">
        <v>0</v>
      </c>
      <c r="AJ25" s="105">
        <v>0</v>
      </c>
      <c r="AK25" s="105">
        <v>0</v>
      </c>
      <c r="AL25" s="105">
        <v>0</v>
      </c>
      <c r="AM25" s="105">
        <v>1</v>
      </c>
      <c r="AN25" s="105">
        <v>0</v>
      </c>
      <c r="AO25" s="105">
        <v>1</v>
      </c>
      <c r="AP25" s="105">
        <v>0</v>
      </c>
      <c r="AQ25" s="105">
        <v>0</v>
      </c>
      <c r="AR25" s="105">
        <v>0</v>
      </c>
      <c r="AS25" s="105">
        <v>0</v>
      </c>
      <c r="AT25" s="105">
        <v>0</v>
      </c>
      <c r="AU25" s="105">
        <v>0</v>
      </c>
      <c r="AV25" s="105">
        <v>0</v>
      </c>
      <c r="AW25" s="105">
        <v>0</v>
      </c>
      <c r="AX25" s="105">
        <v>0</v>
      </c>
    </row>
    <row r="26" spans="1:50" customFormat="1" x14ac:dyDescent="0.15">
      <c r="A26" s="153" t="s">
        <v>216</v>
      </c>
      <c r="B26" s="105">
        <v>0</v>
      </c>
      <c r="C26" s="105">
        <v>0</v>
      </c>
      <c r="D26" s="105">
        <v>0</v>
      </c>
      <c r="E26" s="105">
        <v>1</v>
      </c>
      <c r="F26" s="105">
        <v>1</v>
      </c>
      <c r="G26" s="105">
        <v>0</v>
      </c>
      <c r="H26" s="105">
        <v>0</v>
      </c>
      <c r="I26" s="105">
        <v>0</v>
      </c>
      <c r="J26" s="105">
        <v>0</v>
      </c>
      <c r="K26" s="105">
        <v>0</v>
      </c>
      <c r="L26" s="105">
        <v>0</v>
      </c>
      <c r="M26" s="105">
        <v>0</v>
      </c>
      <c r="N26" s="105">
        <v>0</v>
      </c>
      <c r="O26" s="105">
        <v>0</v>
      </c>
      <c r="P26" s="105">
        <v>0</v>
      </c>
      <c r="Q26" s="105">
        <v>0</v>
      </c>
      <c r="R26" s="105">
        <v>1</v>
      </c>
      <c r="S26" s="105">
        <v>1</v>
      </c>
      <c r="T26" s="105">
        <v>0</v>
      </c>
      <c r="U26" s="105">
        <v>0</v>
      </c>
      <c r="V26" s="105">
        <v>0</v>
      </c>
      <c r="W26" s="105">
        <v>0</v>
      </c>
      <c r="X26" s="105">
        <v>0</v>
      </c>
      <c r="Y26" s="105">
        <v>0</v>
      </c>
      <c r="Z26" s="105">
        <v>0</v>
      </c>
      <c r="AA26" s="105">
        <v>0</v>
      </c>
      <c r="AB26" s="105">
        <v>1</v>
      </c>
      <c r="AC26" s="105">
        <v>0</v>
      </c>
      <c r="AD26" s="105">
        <v>0</v>
      </c>
      <c r="AE26" s="105">
        <v>0</v>
      </c>
      <c r="AF26" s="105">
        <v>0</v>
      </c>
      <c r="AG26" s="105">
        <v>0</v>
      </c>
      <c r="AH26" s="105">
        <v>0</v>
      </c>
      <c r="AI26" s="105">
        <v>0</v>
      </c>
      <c r="AJ26" s="105">
        <v>0</v>
      </c>
      <c r="AK26" s="105">
        <v>0</v>
      </c>
      <c r="AL26" s="105">
        <v>1</v>
      </c>
      <c r="AM26" s="105">
        <v>0</v>
      </c>
      <c r="AN26" s="105">
        <v>0</v>
      </c>
      <c r="AO26" s="105">
        <v>1</v>
      </c>
      <c r="AP26" s="105">
        <v>0</v>
      </c>
      <c r="AQ26" s="105">
        <v>0</v>
      </c>
      <c r="AR26" s="105">
        <v>0</v>
      </c>
      <c r="AS26" s="105">
        <v>0</v>
      </c>
      <c r="AT26" s="105">
        <v>0</v>
      </c>
      <c r="AU26" s="105">
        <v>0</v>
      </c>
      <c r="AV26" s="105">
        <v>0</v>
      </c>
      <c r="AW26" s="105">
        <v>0</v>
      </c>
      <c r="AX26" s="105">
        <v>0</v>
      </c>
    </row>
    <row r="27" spans="1:50" customFormat="1" x14ac:dyDescent="0.15">
      <c r="A27" s="153" t="s">
        <v>217</v>
      </c>
      <c r="B27" s="105">
        <v>0</v>
      </c>
      <c r="C27" s="105">
        <v>0</v>
      </c>
      <c r="D27" s="105">
        <v>1</v>
      </c>
      <c r="E27" s="105">
        <v>1</v>
      </c>
      <c r="F27" s="105">
        <v>1</v>
      </c>
      <c r="G27" s="105">
        <v>0</v>
      </c>
      <c r="H27" s="105">
        <v>0</v>
      </c>
      <c r="I27" s="105">
        <v>1</v>
      </c>
      <c r="J27" s="105">
        <v>0</v>
      </c>
      <c r="K27" s="105">
        <v>0</v>
      </c>
      <c r="L27" s="105">
        <v>0</v>
      </c>
      <c r="M27" s="105">
        <v>0</v>
      </c>
      <c r="N27" s="105">
        <v>1</v>
      </c>
      <c r="O27" s="105">
        <v>0</v>
      </c>
      <c r="P27" s="105">
        <v>0</v>
      </c>
      <c r="Q27" s="105">
        <v>0</v>
      </c>
      <c r="R27" s="105">
        <v>1</v>
      </c>
      <c r="S27" s="105">
        <v>1</v>
      </c>
      <c r="T27" s="105">
        <v>0</v>
      </c>
      <c r="U27" s="105">
        <v>0</v>
      </c>
      <c r="V27" s="105">
        <v>0</v>
      </c>
      <c r="W27" s="105">
        <v>0</v>
      </c>
      <c r="X27" s="105">
        <v>0</v>
      </c>
      <c r="Y27" s="105">
        <v>0</v>
      </c>
      <c r="Z27" s="105">
        <v>0</v>
      </c>
      <c r="AA27" s="105">
        <v>0</v>
      </c>
      <c r="AB27" s="105">
        <v>1</v>
      </c>
      <c r="AC27" s="105">
        <v>0</v>
      </c>
      <c r="AD27" s="105">
        <v>0</v>
      </c>
      <c r="AE27" s="105">
        <v>0</v>
      </c>
      <c r="AF27" s="105">
        <v>0</v>
      </c>
      <c r="AG27" s="105">
        <v>0</v>
      </c>
      <c r="AH27" s="105">
        <v>0</v>
      </c>
      <c r="AI27" s="105">
        <v>0</v>
      </c>
      <c r="AJ27" s="105">
        <v>0</v>
      </c>
      <c r="AK27" s="105">
        <v>0</v>
      </c>
      <c r="AL27" s="105">
        <v>1</v>
      </c>
      <c r="AM27" s="105">
        <v>1</v>
      </c>
      <c r="AN27" s="105">
        <v>0</v>
      </c>
      <c r="AO27" s="105">
        <v>1</v>
      </c>
      <c r="AP27" s="105">
        <v>0</v>
      </c>
      <c r="AQ27" s="105">
        <v>0</v>
      </c>
      <c r="AR27" s="105">
        <v>0</v>
      </c>
      <c r="AS27" s="105">
        <v>0</v>
      </c>
      <c r="AT27" s="105">
        <v>0</v>
      </c>
      <c r="AU27" s="105">
        <v>0</v>
      </c>
      <c r="AV27" s="105">
        <v>0</v>
      </c>
      <c r="AW27" s="105">
        <v>0</v>
      </c>
      <c r="AX27" s="105">
        <v>0</v>
      </c>
    </row>
    <row r="28" spans="1:50" customFormat="1" x14ac:dyDescent="0.15">
      <c r="A28" s="153" t="s">
        <v>218</v>
      </c>
      <c r="B28" s="105">
        <v>0</v>
      </c>
      <c r="C28" s="105">
        <v>0</v>
      </c>
      <c r="D28" s="105">
        <v>0</v>
      </c>
      <c r="E28" s="105">
        <v>0</v>
      </c>
      <c r="F28" s="105">
        <v>1</v>
      </c>
      <c r="G28" s="105">
        <v>1</v>
      </c>
      <c r="H28" s="105">
        <v>0</v>
      </c>
      <c r="I28" s="105">
        <v>0</v>
      </c>
      <c r="J28" s="105">
        <v>0</v>
      </c>
      <c r="K28" s="105">
        <v>0</v>
      </c>
      <c r="L28" s="105">
        <v>0</v>
      </c>
      <c r="M28" s="105">
        <v>0</v>
      </c>
      <c r="N28" s="105">
        <v>0</v>
      </c>
      <c r="O28" s="105">
        <v>0</v>
      </c>
      <c r="P28" s="105">
        <v>0</v>
      </c>
      <c r="Q28" s="105">
        <v>0</v>
      </c>
      <c r="R28" s="105">
        <v>0</v>
      </c>
      <c r="S28" s="105">
        <v>0</v>
      </c>
      <c r="T28" s="105">
        <v>0</v>
      </c>
      <c r="U28" s="105">
        <v>0</v>
      </c>
      <c r="V28" s="105">
        <v>0</v>
      </c>
      <c r="W28" s="105">
        <v>0</v>
      </c>
      <c r="X28" s="105">
        <v>0</v>
      </c>
      <c r="Y28" s="105">
        <v>0</v>
      </c>
      <c r="Z28" s="105">
        <v>0</v>
      </c>
      <c r="AA28" s="105">
        <v>0</v>
      </c>
      <c r="AB28" s="105">
        <v>1</v>
      </c>
      <c r="AC28" s="105">
        <v>0</v>
      </c>
      <c r="AD28" s="105">
        <v>0</v>
      </c>
      <c r="AE28" s="105">
        <v>0</v>
      </c>
      <c r="AF28" s="105">
        <v>0</v>
      </c>
      <c r="AG28" s="105">
        <v>0</v>
      </c>
      <c r="AH28" s="105">
        <v>0</v>
      </c>
      <c r="AI28" s="105">
        <v>0</v>
      </c>
      <c r="AJ28" s="105">
        <v>0</v>
      </c>
      <c r="AK28" s="105">
        <v>0</v>
      </c>
      <c r="AL28" s="105">
        <v>0</v>
      </c>
      <c r="AM28" s="105">
        <v>0</v>
      </c>
      <c r="AN28" s="105">
        <v>0</v>
      </c>
      <c r="AO28" s="105">
        <v>0</v>
      </c>
      <c r="AP28" s="105">
        <v>0</v>
      </c>
      <c r="AQ28" s="105">
        <v>0</v>
      </c>
      <c r="AR28" s="105">
        <v>0</v>
      </c>
      <c r="AS28" s="105">
        <v>0</v>
      </c>
      <c r="AT28" s="105">
        <v>0</v>
      </c>
      <c r="AU28" s="105">
        <v>0</v>
      </c>
      <c r="AV28" s="105">
        <v>0</v>
      </c>
      <c r="AW28" s="105">
        <v>0</v>
      </c>
      <c r="AX28" s="105">
        <v>0</v>
      </c>
    </row>
    <row r="29" spans="1:50" customFormat="1" x14ac:dyDescent="0.15">
      <c r="A29" s="153" t="s">
        <v>219</v>
      </c>
      <c r="B29" s="105">
        <v>0</v>
      </c>
      <c r="C29" s="105">
        <v>1</v>
      </c>
      <c r="D29" s="105">
        <v>1</v>
      </c>
      <c r="E29" s="105">
        <v>1</v>
      </c>
      <c r="F29" s="105">
        <v>1</v>
      </c>
      <c r="G29" s="105">
        <v>1</v>
      </c>
      <c r="H29" s="105">
        <v>1</v>
      </c>
      <c r="I29" s="105">
        <v>1</v>
      </c>
      <c r="J29" s="105">
        <v>0</v>
      </c>
      <c r="K29" s="105">
        <v>0</v>
      </c>
      <c r="L29" s="105">
        <v>0</v>
      </c>
      <c r="M29" s="105">
        <v>1</v>
      </c>
      <c r="N29" s="105">
        <v>0</v>
      </c>
      <c r="O29" s="105">
        <v>1</v>
      </c>
      <c r="P29" s="105">
        <v>1</v>
      </c>
      <c r="Q29" s="105">
        <v>0</v>
      </c>
      <c r="R29" s="105">
        <v>0</v>
      </c>
      <c r="S29" s="105">
        <v>0</v>
      </c>
      <c r="T29" s="105">
        <v>1</v>
      </c>
      <c r="U29" s="105">
        <v>1</v>
      </c>
      <c r="V29" s="105">
        <v>1</v>
      </c>
      <c r="W29" s="105">
        <v>1</v>
      </c>
      <c r="X29" s="105">
        <v>1</v>
      </c>
      <c r="Y29" s="105">
        <v>0</v>
      </c>
      <c r="Z29" s="105">
        <v>0</v>
      </c>
      <c r="AA29" s="105">
        <v>0</v>
      </c>
      <c r="AB29" s="105">
        <v>1</v>
      </c>
      <c r="AC29" s="105">
        <v>0</v>
      </c>
      <c r="AD29" s="105">
        <v>0</v>
      </c>
      <c r="AE29" s="105">
        <v>0</v>
      </c>
      <c r="AF29" s="105">
        <v>0</v>
      </c>
      <c r="AG29" s="105">
        <v>1</v>
      </c>
      <c r="AH29" s="105">
        <v>0</v>
      </c>
      <c r="AI29" s="105">
        <v>1</v>
      </c>
      <c r="AJ29" s="105">
        <v>0</v>
      </c>
      <c r="AK29" s="105">
        <v>0</v>
      </c>
      <c r="AL29" s="105">
        <v>0</v>
      </c>
      <c r="AM29" s="105">
        <v>0</v>
      </c>
      <c r="AN29" s="105">
        <v>0</v>
      </c>
      <c r="AO29" s="105">
        <v>0</v>
      </c>
      <c r="AP29" s="105">
        <v>0</v>
      </c>
      <c r="AQ29" s="105">
        <v>0</v>
      </c>
      <c r="AR29" s="105">
        <v>0</v>
      </c>
      <c r="AS29" s="105">
        <v>0</v>
      </c>
      <c r="AT29" s="105">
        <v>0</v>
      </c>
      <c r="AU29" s="105">
        <v>0</v>
      </c>
      <c r="AV29" s="105">
        <v>0</v>
      </c>
      <c r="AW29" s="105">
        <v>0</v>
      </c>
      <c r="AX29" s="105">
        <v>0</v>
      </c>
    </row>
    <row r="30" spans="1:50" customFormat="1" x14ac:dyDescent="0.15">
      <c r="A30" s="153" t="s">
        <v>220</v>
      </c>
      <c r="B30" s="105">
        <v>0</v>
      </c>
      <c r="C30" s="105">
        <v>1</v>
      </c>
      <c r="D30" s="105">
        <v>1</v>
      </c>
      <c r="E30" s="105">
        <v>1</v>
      </c>
      <c r="F30" s="105">
        <v>1</v>
      </c>
      <c r="G30" s="105">
        <v>0</v>
      </c>
      <c r="H30" s="105">
        <v>1</v>
      </c>
      <c r="I30" s="105">
        <v>1</v>
      </c>
      <c r="J30" s="105">
        <v>0</v>
      </c>
      <c r="K30" s="105">
        <v>0</v>
      </c>
      <c r="L30" s="105">
        <v>0</v>
      </c>
      <c r="M30" s="105">
        <v>1</v>
      </c>
      <c r="N30" s="105">
        <v>1</v>
      </c>
      <c r="O30" s="105">
        <v>0</v>
      </c>
      <c r="P30" s="105">
        <v>1</v>
      </c>
      <c r="Q30" s="105">
        <v>1</v>
      </c>
      <c r="R30" s="105">
        <v>0</v>
      </c>
      <c r="S30" s="105">
        <v>0</v>
      </c>
      <c r="T30" s="105">
        <v>1</v>
      </c>
      <c r="U30" s="105">
        <v>0</v>
      </c>
      <c r="V30" s="105">
        <v>1</v>
      </c>
      <c r="W30" s="105">
        <v>0</v>
      </c>
      <c r="X30" s="105">
        <v>1</v>
      </c>
      <c r="Y30" s="105">
        <v>0</v>
      </c>
      <c r="Z30" s="105">
        <v>0</v>
      </c>
      <c r="AA30" s="105">
        <v>0</v>
      </c>
      <c r="AB30" s="105">
        <v>1</v>
      </c>
      <c r="AC30" s="105">
        <v>0</v>
      </c>
      <c r="AD30" s="105">
        <v>0</v>
      </c>
      <c r="AE30" s="105">
        <v>0</v>
      </c>
      <c r="AF30" s="105">
        <v>1</v>
      </c>
      <c r="AG30" s="105">
        <v>0</v>
      </c>
      <c r="AH30" s="105">
        <v>0</v>
      </c>
      <c r="AI30" s="105">
        <v>1</v>
      </c>
      <c r="AJ30" s="105">
        <v>0</v>
      </c>
      <c r="AK30" s="105">
        <v>0</v>
      </c>
      <c r="AL30" s="105">
        <v>1</v>
      </c>
      <c r="AM30" s="105">
        <v>1</v>
      </c>
      <c r="AN30" s="105">
        <v>1</v>
      </c>
      <c r="AO30" s="105">
        <v>1</v>
      </c>
      <c r="AP30" s="105">
        <v>0</v>
      </c>
      <c r="AQ30" s="105">
        <v>0</v>
      </c>
      <c r="AR30" s="105">
        <v>0</v>
      </c>
      <c r="AS30" s="105">
        <v>0</v>
      </c>
      <c r="AT30" s="105">
        <v>0</v>
      </c>
      <c r="AU30" s="105">
        <v>0</v>
      </c>
      <c r="AV30" s="105">
        <v>0</v>
      </c>
      <c r="AW30" s="105">
        <v>0</v>
      </c>
      <c r="AX30" s="105">
        <v>0</v>
      </c>
    </row>
    <row r="31" spans="1:50" customFormat="1" x14ac:dyDescent="0.15">
      <c r="A31" s="153" t="s">
        <v>221</v>
      </c>
      <c r="B31" s="105">
        <v>0</v>
      </c>
      <c r="C31" s="105">
        <v>0</v>
      </c>
      <c r="D31" s="105">
        <v>0</v>
      </c>
      <c r="E31" s="105">
        <v>0</v>
      </c>
      <c r="F31" s="105">
        <v>0</v>
      </c>
      <c r="G31" s="105">
        <v>0</v>
      </c>
      <c r="H31" s="105">
        <v>0</v>
      </c>
      <c r="I31" s="105">
        <v>1</v>
      </c>
      <c r="J31" s="105">
        <v>0</v>
      </c>
      <c r="K31" s="105">
        <v>0</v>
      </c>
      <c r="L31" s="105">
        <v>0</v>
      </c>
      <c r="M31" s="105">
        <v>0</v>
      </c>
      <c r="N31" s="105">
        <v>0</v>
      </c>
      <c r="O31" s="105">
        <v>0</v>
      </c>
      <c r="P31" s="105">
        <v>0</v>
      </c>
      <c r="Q31" s="105">
        <v>0</v>
      </c>
      <c r="R31" s="105">
        <v>0</v>
      </c>
      <c r="S31" s="105">
        <v>0</v>
      </c>
      <c r="T31" s="105">
        <v>0</v>
      </c>
      <c r="U31" s="105">
        <v>0</v>
      </c>
      <c r="V31" s="105">
        <v>0</v>
      </c>
      <c r="W31" s="105">
        <v>0</v>
      </c>
      <c r="X31" s="105">
        <v>0</v>
      </c>
      <c r="Y31" s="105">
        <v>0</v>
      </c>
      <c r="Z31" s="105">
        <v>0</v>
      </c>
      <c r="AA31" s="105">
        <v>0</v>
      </c>
      <c r="AB31" s="105">
        <v>1</v>
      </c>
      <c r="AC31" s="105">
        <v>0</v>
      </c>
      <c r="AD31" s="105">
        <v>0</v>
      </c>
      <c r="AE31" s="105">
        <v>1</v>
      </c>
      <c r="AF31" s="105">
        <v>1</v>
      </c>
      <c r="AG31" s="105">
        <v>0</v>
      </c>
      <c r="AH31" s="105">
        <v>0</v>
      </c>
      <c r="AI31" s="105">
        <v>0</v>
      </c>
      <c r="AJ31" s="105">
        <v>0</v>
      </c>
      <c r="AK31" s="105">
        <v>0</v>
      </c>
      <c r="AL31" s="105">
        <v>0</v>
      </c>
      <c r="AM31" s="105">
        <v>0</v>
      </c>
      <c r="AN31" s="105">
        <v>0</v>
      </c>
      <c r="AO31" s="105">
        <v>1</v>
      </c>
      <c r="AP31" s="105">
        <v>0</v>
      </c>
      <c r="AQ31" s="105">
        <v>0</v>
      </c>
      <c r="AR31" s="105">
        <v>0</v>
      </c>
      <c r="AS31" s="105">
        <v>0</v>
      </c>
      <c r="AT31" s="105">
        <v>0</v>
      </c>
      <c r="AU31" s="105">
        <v>0</v>
      </c>
      <c r="AV31" s="105">
        <v>0</v>
      </c>
      <c r="AW31" s="105">
        <v>0</v>
      </c>
      <c r="AX31" s="105">
        <v>0</v>
      </c>
    </row>
    <row r="32" spans="1:50" x14ac:dyDescent="0.15">
      <c r="A32" s="153" t="s">
        <v>222</v>
      </c>
      <c r="B32" s="105">
        <v>0</v>
      </c>
      <c r="C32" s="105">
        <v>0</v>
      </c>
      <c r="D32" s="105">
        <v>1</v>
      </c>
      <c r="E32" s="105">
        <v>1</v>
      </c>
      <c r="F32" s="105">
        <v>1</v>
      </c>
      <c r="G32" s="105">
        <v>0</v>
      </c>
      <c r="H32" s="105">
        <v>0</v>
      </c>
      <c r="I32" s="105">
        <v>1</v>
      </c>
      <c r="J32" s="105">
        <v>0</v>
      </c>
      <c r="K32" s="105">
        <v>0</v>
      </c>
      <c r="L32" s="105">
        <v>0</v>
      </c>
      <c r="M32" s="105">
        <v>0</v>
      </c>
      <c r="N32" s="105">
        <v>1</v>
      </c>
      <c r="O32" s="105">
        <v>0</v>
      </c>
      <c r="P32" s="105">
        <v>0</v>
      </c>
      <c r="Q32" s="105">
        <v>0</v>
      </c>
      <c r="R32" s="105">
        <v>0</v>
      </c>
      <c r="S32" s="105">
        <v>0</v>
      </c>
      <c r="T32" s="105">
        <v>0</v>
      </c>
      <c r="U32" s="105">
        <v>0</v>
      </c>
      <c r="V32" s="105">
        <v>0</v>
      </c>
      <c r="W32" s="105">
        <v>0</v>
      </c>
      <c r="X32" s="105">
        <v>0</v>
      </c>
      <c r="Y32" s="105">
        <v>0</v>
      </c>
      <c r="Z32" s="105">
        <v>0</v>
      </c>
      <c r="AA32" s="105">
        <v>0</v>
      </c>
      <c r="AB32" s="105">
        <v>1</v>
      </c>
      <c r="AC32" s="105">
        <v>0</v>
      </c>
      <c r="AD32" s="105">
        <v>0</v>
      </c>
      <c r="AE32" s="105">
        <v>1</v>
      </c>
      <c r="AF32" s="105">
        <v>1</v>
      </c>
      <c r="AG32" s="105">
        <v>0</v>
      </c>
      <c r="AH32" s="105">
        <v>0</v>
      </c>
      <c r="AI32" s="105">
        <v>0</v>
      </c>
      <c r="AJ32" s="105">
        <v>0</v>
      </c>
      <c r="AK32" s="105">
        <v>0</v>
      </c>
      <c r="AL32" s="105">
        <v>0</v>
      </c>
      <c r="AM32" s="105">
        <v>0</v>
      </c>
      <c r="AN32" s="105">
        <v>0</v>
      </c>
      <c r="AO32" s="105">
        <v>0</v>
      </c>
      <c r="AP32" s="105">
        <v>0</v>
      </c>
      <c r="AQ32" s="105">
        <v>0</v>
      </c>
      <c r="AR32" s="105">
        <v>0</v>
      </c>
      <c r="AS32" s="105">
        <v>0</v>
      </c>
      <c r="AT32" s="105">
        <v>0</v>
      </c>
      <c r="AU32" s="105">
        <v>0</v>
      </c>
      <c r="AV32" s="105">
        <v>0</v>
      </c>
      <c r="AW32" s="105">
        <v>0</v>
      </c>
      <c r="AX32" s="105">
        <v>0</v>
      </c>
    </row>
    <row r="33" spans="1:50" x14ac:dyDescent="0.15">
      <c r="A33" s="153" t="s">
        <v>223</v>
      </c>
      <c r="B33" s="105">
        <v>0</v>
      </c>
      <c r="C33" s="105">
        <v>0</v>
      </c>
      <c r="D33" s="105">
        <v>0</v>
      </c>
      <c r="E33" s="105">
        <v>1</v>
      </c>
      <c r="F33" s="105">
        <v>0</v>
      </c>
      <c r="G33" s="105">
        <v>0</v>
      </c>
      <c r="H33" s="105">
        <v>0</v>
      </c>
      <c r="I33" s="105">
        <v>1</v>
      </c>
      <c r="J33" s="105">
        <v>0</v>
      </c>
      <c r="K33" s="105">
        <v>0</v>
      </c>
      <c r="L33" s="105">
        <v>0</v>
      </c>
      <c r="M33" s="105">
        <v>0</v>
      </c>
      <c r="N33" s="105">
        <v>0</v>
      </c>
      <c r="O33" s="105">
        <v>0</v>
      </c>
      <c r="P33" s="105">
        <v>1</v>
      </c>
      <c r="Q33" s="105">
        <v>0</v>
      </c>
      <c r="R33" s="105">
        <v>0</v>
      </c>
      <c r="S33" s="105">
        <v>0</v>
      </c>
      <c r="T33" s="105">
        <v>1</v>
      </c>
      <c r="U33" s="105">
        <v>0</v>
      </c>
      <c r="V33" s="105">
        <v>0</v>
      </c>
      <c r="W33" s="105">
        <v>0</v>
      </c>
      <c r="X33" s="105">
        <v>0</v>
      </c>
      <c r="Y33" s="105">
        <v>0</v>
      </c>
      <c r="Z33" s="105">
        <v>0</v>
      </c>
      <c r="AA33" s="105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05">
        <v>0</v>
      </c>
      <c r="AI33" s="105">
        <v>0</v>
      </c>
      <c r="AJ33" s="105">
        <v>0</v>
      </c>
      <c r="AK33" s="105">
        <v>0</v>
      </c>
      <c r="AL33" s="105">
        <v>0</v>
      </c>
      <c r="AM33" s="105">
        <v>0</v>
      </c>
      <c r="AN33" s="105">
        <v>0</v>
      </c>
      <c r="AO33" s="105">
        <v>0</v>
      </c>
      <c r="AP33" s="105">
        <v>0</v>
      </c>
      <c r="AQ33" s="105">
        <v>0</v>
      </c>
      <c r="AR33" s="105">
        <v>0</v>
      </c>
      <c r="AS33" s="105">
        <v>0</v>
      </c>
      <c r="AT33" s="105">
        <v>0</v>
      </c>
      <c r="AU33" s="105">
        <v>0</v>
      </c>
      <c r="AV33" s="105">
        <v>0</v>
      </c>
      <c r="AW33" s="105">
        <v>0</v>
      </c>
      <c r="AX33" s="105">
        <v>0</v>
      </c>
    </row>
    <row r="34" spans="1:50" x14ac:dyDescent="0.15">
      <c r="A34" s="153" t="s">
        <v>224</v>
      </c>
      <c r="B34" s="105">
        <v>0</v>
      </c>
      <c r="C34" s="105">
        <v>0</v>
      </c>
      <c r="D34" s="105">
        <v>0</v>
      </c>
      <c r="E34" s="105">
        <v>0</v>
      </c>
      <c r="F34" s="105">
        <v>0</v>
      </c>
      <c r="G34" s="105">
        <v>0</v>
      </c>
      <c r="H34" s="105">
        <v>0</v>
      </c>
      <c r="I34" s="105">
        <v>0</v>
      </c>
      <c r="J34" s="105">
        <v>0</v>
      </c>
      <c r="K34" s="105">
        <v>0</v>
      </c>
      <c r="L34" s="105">
        <v>0</v>
      </c>
      <c r="M34" s="105">
        <v>0</v>
      </c>
      <c r="N34" s="105">
        <v>0</v>
      </c>
      <c r="O34" s="105">
        <v>0</v>
      </c>
      <c r="P34" s="105">
        <v>0</v>
      </c>
      <c r="Q34" s="105">
        <v>0</v>
      </c>
      <c r="R34" s="105">
        <v>0</v>
      </c>
      <c r="S34" s="105">
        <v>0</v>
      </c>
      <c r="T34" s="105">
        <v>0</v>
      </c>
      <c r="U34" s="105">
        <v>0</v>
      </c>
      <c r="V34" s="105">
        <v>0</v>
      </c>
      <c r="W34" s="105">
        <v>0</v>
      </c>
      <c r="X34" s="105">
        <v>0</v>
      </c>
      <c r="Y34" s="105">
        <v>0</v>
      </c>
      <c r="Z34" s="105">
        <v>0</v>
      </c>
      <c r="AA34" s="105">
        <v>0</v>
      </c>
      <c r="AB34" s="105">
        <v>0</v>
      </c>
      <c r="AC34" s="105">
        <v>0</v>
      </c>
      <c r="AD34" s="105">
        <v>0</v>
      </c>
      <c r="AE34" s="105">
        <v>0</v>
      </c>
      <c r="AF34" s="105">
        <v>0</v>
      </c>
      <c r="AG34" s="105">
        <v>0</v>
      </c>
      <c r="AH34" s="105">
        <v>0</v>
      </c>
      <c r="AI34" s="105">
        <v>0</v>
      </c>
      <c r="AJ34" s="105">
        <v>0</v>
      </c>
      <c r="AK34" s="105">
        <v>0</v>
      </c>
      <c r="AL34" s="105">
        <v>0</v>
      </c>
      <c r="AM34" s="105">
        <v>0</v>
      </c>
      <c r="AN34" s="105">
        <v>0</v>
      </c>
      <c r="AO34" s="105">
        <v>1</v>
      </c>
      <c r="AP34" s="105">
        <v>0</v>
      </c>
      <c r="AQ34" s="105">
        <v>0</v>
      </c>
      <c r="AR34" s="105">
        <v>0</v>
      </c>
      <c r="AS34" s="105">
        <v>0</v>
      </c>
      <c r="AT34" s="105">
        <v>0</v>
      </c>
      <c r="AU34" s="105">
        <v>0</v>
      </c>
      <c r="AV34" s="105">
        <v>0</v>
      </c>
      <c r="AW34" s="105">
        <v>0</v>
      </c>
      <c r="AX34" s="105">
        <v>0</v>
      </c>
    </row>
    <row r="35" spans="1:50" x14ac:dyDescent="0.15">
      <c r="A35" s="153" t="s">
        <v>225</v>
      </c>
      <c r="B35" s="105">
        <v>0</v>
      </c>
      <c r="C35" s="105">
        <v>0</v>
      </c>
      <c r="D35" s="105">
        <v>0</v>
      </c>
      <c r="E35" s="105">
        <v>0</v>
      </c>
      <c r="F35" s="105">
        <v>0</v>
      </c>
      <c r="G35" s="105">
        <v>0</v>
      </c>
      <c r="H35" s="105">
        <v>0</v>
      </c>
      <c r="I35" s="105">
        <v>0</v>
      </c>
      <c r="J35" s="105">
        <v>0</v>
      </c>
      <c r="K35" s="105">
        <v>0</v>
      </c>
      <c r="L35" s="105">
        <v>0</v>
      </c>
      <c r="M35" s="105">
        <v>0</v>
      </c>
      <c r="N35" s="105">
        <v>0</v>
      </c>
      <c r="O35" s="105">
        <v>0</v>
      </c>
      <c r="P35" s="105">
        <v>0</v>
      </c>
      <c r="Q35" s="105">
        <v>0</v>
      </c>
      <c r="R35" s="105">
        <v>0</v>
      </c>
      <c r="S35" s="105">
        <v>0</v>
      </c>
      <c r="T35" s="105">
        <v>0</v>
      </c>
      <c r="U35" s="105">
        <v>0</v>
      </c>
      <c r="V35" s="105">
        <v>0</v>
      </c>
      <c r="W35" s="105">
        <v>0</v>
      </c>
      <c r="X35" s="105">
        <v>0</v>
      </c>
      <c r="Y35" s="105">
        <v>0</v>
      </c>
      <c r="Z35" s="105">
        <v>0</v>
      </c>
      <c r="AA35" s="105">
        <v>0</v>
      </c>
      <c r="AB35" s="105">
        <v>0</v>
      </c>
      <c r="AC35" s="105">
        <v>0</v>
      </c>
      <c r="AD35" s="105">
        <v>0</v>
      </c>
      <c r="AE35" s="105">
        <v>0</v>
      </c>
      <c r="AF35" s="105">
        <v>0</v>
      </c>
      <c r="AG35" s="105">
        <v>0</v>
      </c>
      <c r="AH35" s="105">
        <v>0</v>
      </c>
      <c r="AI35" s="105">
        <v>0</v>
      </c>
      <c r="AJ35" s="105">
        <v>0</v>
      </c>
      <c r="AK35" s="105">
        <v>0</v>
      </c>
      <c r="AL35" s="105">
        <v>0</v>
      </c>
      <c r="AM35" s="105">
        <v>0</v>
      </c>
      <c r="AN35" s="105">
        <v>0</v>
      </c>
      <c r="AO35" s="105">
        <v>0</v>
      </c>
      <c r="AP35" s="105">
        <v>0</v>
      </c>
      <c r="AQ35" s="105">
        <v>0</v>
      </c>
      <c r="AR35" s="105">
        <v>0</v>
      </c>
      <c r="AS35" s="105">
        <v>0</v>
      </c>
      <c r="AT35" s="105">
        <v>0</v>
      </c>
      <c r="AU35" s="105">
        <v>0</v>
      </c>
      <c r="AV35" s="105">
        <v>0</v>
      </c>
      <c r="AW35" s="105">
        <v>0</v>
      </c>
      <c r="AX35" s="105">
        <v>0</v>
      </c>
    </row>
    <row r="36" spans="1:50" x14ac:dyDescent="0.15">
      <c r="A36" s="153" t="s">
        <v>226</v>
      </c>
      <c r="B36" s="105">
        <v>0</v>
      </c>
      <c r="C36" s="105">
        <v>0</v>
      </c>
      <c r="D36" s="105">
        <v>0</v>
      </c>
      <c r="E36" s="105">
        <v>0</v>
      </c>
      <c r="F36" s="105">
        <v>0</v>
      </c>
      <c r="G36" s="105">
        <v>0</v>
      </c>
      <c r="H36" s="105">
        <v>0</v>
      </c>
      <c r="I36" s="105">
        <v>0</v>
      </c>
      <c r="J36" s="105">
        <v>0</v>
      </c>
      <c r="K36" s="105">
        <v>0</v>
      </c>
      <c r="L36" s="105">
        <v>0</v>
      </c>
      <c r="M36" s="105">
        <v>0</v>
      </c>
      <c r="N36" s="105">
        <v>0</v>
      </c>
      <c r="O36" s="105">
        <v>0</v>
      </c>
      <c r="P36" s="105">
        <v>0</v>
      </c>
      <c r="Q36" s="105">
        <v>0</v>
      </c>
      <c r="R36" s="105">
        <v>0</v>
      </c>
      <c r="S36" s="105">
        <v>0</v>
      </c>
      <c r="T36" s="105">
        <v>0</v>
      </c>
      <c r="U36" s="105">
        <v>0</v>
      </c>
      <c r="V36" s="105">
        <v>0</v>
      </c>
      <c r="W36" s="105">
        <v>0</v>
      </c>
      <c r="X36" s="105">
        <v>0</v>
      </c>
      <c r="Y36" s="105">
        <v>0</v>
      </c>
      <c r="Z36" s="105">
        <v>0</v>
      </c>
      <c r="AA36" s="105">
        <v>0</v>
      </c>
      <c r="AB36" s="105">
        <v>0</v>
      </c>
      <c r="AC36" s="105">
        <v>0</v>
      </c>
      <c r="AD36" s="105">
        <v>0</v>
      </c>
      <c r="AE36" s="105">
        <v>0</v>
      </c>
      <c r="AF36" s="105">
        <v>0</v>
      </c>
      <c r="AG36" s="105">
        <v>0</v>
      </c>
      <c r="AH36" s="105">
        <v>0</v>
      </c>
      <c r="AI36" s="105">
        <v>0</v>
      </c>
      <c r="AJ36" s="105">
        <v>0</v>
      </c>
      <c r="AK36" s="105">
        <v>0</v>
      </c>
      <c r="AL36" s="105">
        <v>0</v>
      </c>
      <c r="AM36" s="105">
        <v>0</v>
      </c>
      <c r="AN36" s="105">
        <v>0</v>
      </c>
      <c r="AO36" s="105">
        <v>0</v>
      </c>
      <c r="AP36" s="105">
        <v>0</v>
      </c>
      <c r="AQ36" s="105">
        <v>0</v>
      </c>
      <c r="AR36" s="105">
        <v>0</v>
      </c>
      <c r="AS36" s="105">
        <v>0</v>
      </c>
      <c r="AT36" s="105">
        <v>0</v>
      </c>
      <c r="AU36" s="105">
        <v>0</v>
      </c>
      <c r="AV36" s="105">
        <v>0</v>
      </c>
      <c r="AW36" s="105">
        <v>0</v>
      </c>
      <c r="AX36" s="105">
        <v>0</v>
      </c>
    </row>
    <row r="37" spans="1:50" x14ac:dyDescent="0.15">
      <c r="A37" s="153" t="s">
        <v>227</v>
      </c>
      <c r="B37" s="105">
        <v>0</v>
      </c>
      <c r="C37" s="105">
        <v>0</v>
      </c>
      <c r="D37" s="105">
        <v>0</v>
      </c>
      <c r="E37" s="105">
        <v>0</v>
      </c>
      <c r="F37" s="105">
        <v>0</v>
      </c>
      <c r="G37" s="105">
        <v>0</v>
      </c>
      <c r="H37" s="105">
        <v>0</v>
      </c>
      <c r="I37" s="105">
        <v>0</v>
      </c>
      <c r="J37" s="105">
        <v>0</v>
      </c>
      <c r="K37" s="105">
        <v>0</v>
      </c>
      <c r="L37" s="105">
        <v>0</v>
      </c>
      <c r="M37" s="105">
        <v>0</v>
      </c>
      <c r="N37" s="105">
        <v>0</v>
      </c>
      <c r="O37" s="105">
        <v>0</v>
      </c>
      <c r="P37" s="105">
        <v>0</v>
      </c>
      <c r="Q37" s="105">
        <v>0</v>
      </c>
      <c r="R37" s="105">
        <v>0</v>
      </c>
      <c r="S37" s="105">
        <v>0</v>
      </c>
      <c r="T37" s="105">
        <v>0</v>
      </c>
      <c r="U37" s="105">
        <v>0</v>
      </c>
      <c r="V37" s="105">
        <v>0</v>
      </c>
      <c r="W37" s="105">
        <v>0</v>
      </c>
      <c r="X37" s="105">
        <v>0</v>
      </c>
      <c r="Y37" s="105">
        <v>0</v>
      </c>
      <c r="Z37" s="105">
        <v>0</v>
      </c>
      <c r="AA37" s="105">
        <v>0</v>
      </c>
      <c r="AB37" s="105">
        <v>1</v>
      </c>
      <c r="AC37" s="105">
        <v>0</v>
      </c>
      <c r="AD37" s="105">
        <v>0</v>
      </c>
      <c r="AE37" s="105">
        <v>0</v>
      </c>
      <c r="AF37" s="105">
        <v>0</v>
      </c>
      <c r="AG37" s="105">
        <v>0</v>
      </c>
      <c r="AH37" s="105">
        <v>0</v>
      </c>
      <c r="AI37" s="105">
        <v>0</v>
      </c>
      <c r="AJ37" s="105">
        <v>0</v>
      </c>
      <c r="AK37" s="105">
        <v>0</v>
      </c>
      <c r="AL37" s="105">
        <v>0</v>
      </c>
      <c r="AM37" s="105">
        <v>0</v>
      </c>
      <c r="AN37" s="105">
        <v>0</v>
      </c>
      <c r="AO37" s="105">
        <v>0</v>
      </c>
      <c r="AP37" s="105">
        <v>0</v>
      </c>
      <c r="AQ37" s="105">
        <v>0</v>
      </c>
      <c r="AR37" s="105">
        <v>0</v>
      </c>
      <c r="AS37" s="105">
        <v>0</v>
      </c>
      <c r="AT37" s="105">
        <v>0</v>
      </c>
      <c r="AU37" s="105">
        <v>0</v>
      </c>
      <c r="AV37" s="105">
        <v>0</v>
      </c>
      <c r="AW37" s="105">
        <v>0</v>
      </c>
      <c r="AX37" s="105">
        <v>0</v>
      </c>
    </row>
    <row r="38" spans="1:50" x14ac:dyDescent="0.15">
      <c r="A38" s="153" t="s">
        <v>228</v>
      </c>
      <c r="B38" s="105">
        <v>0</v>
      </c>
      <c r="C38" s="105">
        <v>0</v>
      </c>
      <c r="D38" s="105">
        <v>0</v>
      </c>
      <c r="E38" s="105">
        <v>0</v>
      </c>
      <c r="F38" s="105">
        <v>0</v>
      </c>
      <c r="G38" s="105">
        <v>0</v>
      </c>
      <c r="H38" s="105">
        <v>0</v>
      </c>
      <c r="I38" s="105">
        <v>0</v>
      </c>
      <c r="J38" s="105">
        <v>0</v>
      </c>
      <c r="K38" s="105">
        <v>0</v>
      </c>
      <c r="L38" s="105">
        <v>0</v>
      </c>
      <c r="M38" s="105">
        <v>0</v>
      </c>
      <c r="N38" s="105">
        <v>0</v>
      </c>
      <c r="O38" s="105">
        <v>0</v>
      </c>
      <c r="P38" s="105">
        <v>0</v>
      </c>
      <c r="Q38" s="105">
        <v>0</v>
      </c>
      <c r="R38" s="105">
        <v>0</v>
      </c>
      <c r="S38" s="105">
        <v>0</v>
      </c>
      <c r="T38" s="105">
        <v>0</v>
      </c>
      <c r="U38" s="105">
        <v>0</v>
      </c>
      <c r="V38" s="105">
        <v>0</v>
      </c>
      <c r="W38" s="105">
        <v>0</v>
      </c>
      <c r="X38" s="105">
        <v>0</v>
      </c>
      <c r="Y38" s="105">
        <v>0</v>
      </c>
      <c r="Z38" s="105">
        <v>0</v>
      </c>
      <c r="AA38" s="105">
        <v>0</v>
      </c>
      <c r="AB38" s="105">
        <v>1</v>
      </c>
      <c r="AC38" s="105">
        <v>0</v>
      </c>
      <c r="AD38" s="105">
        <v>0</v>
      </c>
      <c r="AE38" s="105">
        <v>0</v>
      </c>
      <c r="AF38" s="105">
        <v>0</v>
      </c>
      <c r="AG38" s="105">
        <v>0</v>
      </c>
      <c r="AH38" s="105">
        <v>0</v>
      </c>
      <c r="AI38" s="105">
        <v>0</v>
      </c>
      <c r="AJ38" s="105">
        <v>0</v>
      </c>
      <c r="AK38" s="105">
        <v>0</v>
      </c>
      <c r="AL38" s="105">
        <v>0</v>
      </c>
      <c r="AM38" s="105">
        <v>0</v>
      </c>
      <c r="AN38" s="105">
        <v>0</v>
      </c>
      <c r="AO38" s="105">
        <v>0</v>
      </c>
      <c r="AP38" s="105">
        <v>0</v>
      </c>
      <c r="AQ38" s="105">
        <v>0</v>
      </c>
      <c r="AR38" s="105">
        <v>0</v>
      </c>
      <c r="AS38" s="105">
        <v>0</v>
      </c>
      <c r="AT38" s="105">
        <v>0</v>
      </c>
      <c r="AU38" s="105">
        <v>0</v>
      </c>
      <c r="AV38" s="105">
        <v>0</v>
      </c>
      <c r="AW38" s="105">
        <v>0</v>
      </c>
      <c r="AX38" s="105">
        <v>0</v>
      </c>
    </row>
    <row r="39" spans="1:50" x14ac:dyDescent="0.15">
      <c r="A39" s="153" t="s">
        <v>229</v>
      </c>
      <c r="B39" s="105">
        <v>0</v>
      </c>
      <c r="C39" s="105">
        <v>0</v>
      </c>
      <c r="D39" s="105">
        <v>0</v>
      </c>
      <c r="E39" s="105">
        <v>0</v>
      </c>
      <c r="F39" s="105">
        <v>0</v>
      </c>
      <c r="G39" s="105">
        <v>0</v>
      </c>
      <c r="H39" s="105">
        <v>0</v>
      </c>
      <c r="I39" s="105">
        <v>0</v>
      </c>
      <c r="J39" s="105">
        <v>0</v>
      </c>
      <c r="K39" s="105">
        <v>0</v>
      </c>
      <c r="L39" s="105">
        <v>0</v>
      </c>
      <c r="M39" s="105">
        <v>0</v>
      </c>
      <c r="N39" s="105">
        <v>0</v>
      </c>
      <c r="O39" s="105">
        <v>0</v>
      </c>
      <c r="P39" s="105">
        <v>0</v>
      </c>
      <c r="Q39" s="105">
        <v>0</v>
      </c>
      <c r="R39" s="105">
        <v>0</v>
      </c>
      <c r="S39" s="105">
        <v>0</v>
      </c>
      <c r="T39" s="105">
        <v>0</v>
      </c>
      <c r="U39" s="105">
        <v>0</v>
      </c>
      <c r="V39" s="105">
        <v>0</v>
      </c>
      <c r="W39" s="105">
        <v>0</v>
      </c>
      <c r="X39" s="105">
        <v>0</v>
      </c>
      <c r="Y39" s="105">
        <v>0</v>
      </c>
      <c r="Z39" s="105">
        <v>0</v>
      </c>
      <c r="AA39" s="105">
        <v>0</v>
      </c>
      <c r="AB39" s="105">
        <v>0</v>
      </c>
      <c r="AC39" s="105">
        <v>0</v>
      </c>
      <c r="AD39" s="105">
        <v>0</v>
      </c>
      <c r="AE39" s="105">
        <v>0</v>
      </c>
      <c r="AF39" s="105">
        <v>0</v>
      </c>
      <c r="AG39" s="105">
        <v>0</v>
      </c>
      <c r="AH39" s="105">
        <v>0</v>
      </c>
      <c r="AI39" s="105">
        <v>0</v>
      </c>
      <c r="AJ39" s="105">
        <v>0</v>
      </c>
      <c r="AK39" s="105">
        <v>0</v>
      </c>
      <c r="AL39" s="105">
        <v>0</v>
      </c>
      <c r="AM39" s="105">
        <v>0</v>
      </c>
      <c r="AN39" s="105">
        <v>0</v>
      </c>
      <c r="AO39" s="105">
        <v>0</v>
      </c>
      <c r="AP39" s="105">
        <v>0</v>
      </c>
      <c r="AQ39" s="105">
        <v>0</v>
      </c>
      <c r="AR39" s="105">
        <v>0</v>
      </c>
      <c r="AS39" s="105">
        <v>0</v>
      </c>
      <c r="AT39" s="105">
        <v>0</v>
      </c>
      <c r="AU39" s="105">
        <v>0</v>
      </c>
      <c r="AV39" s="105">
        <v>0</v>
      </c>
      <c r="AW39" s="105">
        <v>0</v>
      </c>
      <c r="AX39" s="105">
        <v>0</v>
      </c>
    </row>
    <row r="40" spans="1:50" x14ac:dyDescent="0.15">
      <c r="A40" s="153" t="s">
        <v>230</v>
      </c>
      <c r="B40" s="105">
        <v>0</v>
      </c>
      <c r="C40" s="105">
        <v>0</v>
      </c>
      <c r="D40" s="105">
        <v>0</v>
      </c>
      <c r="E40" s="105">
        <v>0</v>
      </c>
      <c r="F40" s="105">
        <v>0</v>
      </c>
      <c r="G40" s="105">
        <v>0</v>
      </c>
      <c r="H40" s="105">
        <v>0</v>
      </c>
      <c r="I40" s="105">
        <v>0</v>
      </c>
      <c r="J40" s="105">
        <v>0</v>
      </c>
      <c r="K40" s="105">
        <v>0</v>
      </c>
      <c r="L40" s="105">
        <v>0</v>
      </c>
      <c r="M40" s="105">
        <v>0</v>
      </c>
      <c r="N40" s="105">
        <v>1</v>
      </c>
      <c r="O40" s="105">
        <v>0</v>
      </c>
      <c r="P40" s="105">
        <v>0</v>
      </c>
      <c r="Q40" s="105">
        <v>0</v>
      </c>
      <c r="R40" s="105">
        <v>0</v>
      </c>
      <c r="S40" s="105">
        <v>1</v>
      </c>
      <c r="T40" s="105">
        <v>0</v>
      </c>
      <c r="U40" s="105">
        <v>0</v>
      </c>
      <c r="V40" s="105">
        <v>0</v>
      </c>
      <c r="W40" s="105">
        <v>0</v>
      </c>
      <c r="X40" s="105">
        <v>0</v>
      </c>
      <c r="Y40" s="105">
        <v>0</v>
      </c>
      <c r="Z40" s="105">
        <v>0</v>
      </c>
      <c r="AA40" s="105">
        <v>0</v>
      </c>
      <c r="AB40" s="105">
        <v>0</v>
      </c>
      <c r="AC40" s="105">
        <v>0</v>
      </c>
      <c r="AD40" s="105">
        <v>0</v>
      </c>
      <c r="AE40" s="105">
        <v>0</v>
      </c>
      <c r="AF40" s="105">
        <v>0</v>
      </c>
      <c r="AG40" s="105">
        <v>0</v>
      </c>
      <c r="AH40" s="105">
        <v>0</v>
      </c>
      <c r="AI40" s="105">
        <v>0</v>
      </c>
      <c r="AJ40" s="105">
        <v>0</v>
      </c>
      <c r="AK40" s="105">
        <v>0</v>
      </c>
      <c r="AL40" s="105">
        <v>0</v>
      </c>
      <c r="AM40" s="105">
        <v>0</v>
      </c>
      <c r="AN40" s="105">
        <v>0</v>
      </c>
      <c r="AO40" s="105">
        <v>1</v>
      </c>
      <c r="AP40" s="105">
        <v>0</v>
      </c>
      <c r="AQ40" s="105">
        <v>0</v>
      </c>
      <c r="AR40" s="105">
        <v>0</v>
      </c>
      <c r="AS40" s="105">
        <v>0</v>
      </c>
      <c r="AT40" s="105">
        <v>0</v>
      </c>
      <c r="AU40" s="105">
        <v>0</v>
      </c>
      <c r="AV40" s="105">
        <v>0</v>
      </c>
      <c r="AW40" s="105">
        <v>0</v>
      </c>
      <c r="AX40" s="105">
        <v>0</v>
      </c>
    </row>
    <row r="41" spans="1:50" x14ac:dyDescent="0.15">
      <c r="A41" s="153" t="s">
        <v>231</v>
      </c>
      <c r="B41" s="105">
        <v>0</v>
      </c>
      <c r="C41" s="105">
        <v>0</v>
      </c>
      <c r="D41" s="105">
        <v>0</v>
      </c>
      <c r="E41" s="105">
        <v>0</v>
      </c>
      <c r="F41" s="105">
        <v>0</v>
      </c>
      <c r="G41" s="105">
        <v>0</v>
      </c>
      <c r="H41" s="105">
        <v>0</v>
      </c>
      <c r="I41" s="105">
        <v>0</v>
      </c>
      <c r="J41" s="105">
        <v>0</v>
      </c>
      <c r="K41" s="105">
        <v>0</v>
      </c>
      <c r="L41" s="105">
        <v>0</v>
      </c>
      <c r="M41" s="105">
        <v>0</v>
      </c>
      <c r="N41" s="105">
        <v>0</v>
      </c>
      <c r="O41" s="105">
        <v>0</v>
      </c>
      <c r="P41" s="105">
        <v>0</v>
      </c>
      <c r="Q41" s="105">
        <v>0</v>
      </c>
      <c r="R41" s="105">
        <v>0</v>
      </c>
      <c r="S41" s="105">
        <v>0</v>
      </c>
      <c r="T41" s="105">
        <v>0</v>
      </c>
      <c r="U41" s="105">
        <v>0</v>
      </c>
      <c r="V41" s="105">
        <v>0</v>
      </c>
      <c r="W41" s="105">
        <v>0</v>
      </c>
      <c r="X41" s="105">
        <v>0</v>
      </c>
      <c r="Y41" s="105">
        <v>0</v>
      </c>
      <c r="Z41" s="105">
        <v>0</v>
      </c>
      <c r="AA41" s="105">
        <v>0</v>
      </c>
      <c r="AB41" s="105">
        <v>0</v>
      </c>
      <c r="AC41" s="105">
        <v>0</v>
      </c>
      <c r="AD41" s="105">
        <v>0</v>
      </c>
      <c r="AE41" s="105">
        <v>0</v>
      </c>
      <c r="AF41" s="105">
        <v>0</v>
      </c>
      <c r="AG41" s="105">
        <v>0</v>
      </c>
      <c r="AH41" s="105">
        <v>0</v>
      </c>
      <c r="AI41" s="105">
        <v>0</v>
      </c>
      <c r="AJ41" s="105">
        <v>0</v>
      </c>
      <c r="AK41" s="105">
        <v>0</v>
      </c>
      <c r="AL41" s="105">
        <v>0</v>
      </c>
      <c r="AM41" s="105">
        <v>0</v>
      </c>
      <c r="AN41" s="105">
        <v>0</v>
      </c>
      <c r="AO41" s="105">
        <v>0</v>
      </c>
      <c r="AP41" s="105">
        <v>0</v>
      </c>
      <c r="AQ41" s="105">
        <v>0</v>
      </c>
      <c r="AR41" s="105">
        <v>0</v>
      </c>
      <c r="AS41" s="105">
        <v>0</v>
      </c>
      <c r="AT41" s="105">
        <v>0</v>
      </c>
      <c r="AU41" s="105">
        <v>0</v>
      </c>
      <c r="AV41" s="105">
        <v>0</v>
      </c>
      <c r="AW41" s="105">
        <v>0</v>
      </c>
      <c r="AX41" s="105">
        <v>0</v>
      </c>
    </row>
    <row r="42" spans="1:50" x14ac:dyDescent="0.15">
      <c r="A42" s="153" t="s">
        <v>232</v>
      </c>
      <c r="B42" s="105">
        <v>1</v>
      </c>
      <c r="C42" s="105">
        <v>1</v>
      </c>
      <c r="D42" s="105">
        <v>1</v>
      </c>
      <c r="E42" s="105">
        <v>1</v>
      </c>
      <c r="F42" s="105">
        <v>1</v>
      </c>
      <c r="G42" s="105">
        <v>1</v>
      </c>
      <c r="H42" s="105">
        <v>0</v>
      </c>
      <c r="I42" s="105">
        <v>0</v>
      </c>
      <c r="J42" s="105">
        <v>0</v>
      </c>
      <c r="K42" s="105">
        <v>1</v>
      </c>
      <c r="L42" s="105">
        <v>1</v>
      </c>
      <c r="M42" s="105">
        <v>1</v>
      </c>
      <c r="N42" s="105">
        <v>0</v>
      </c>
      <c r="O42" s="105">
        <v>1</v>
      </c>
      <c r="P42" s="105">
        <v>1</v>
      </c>
      <c r="Q42" s="105">
        <v>1</v>
      </c>
      <c r="R42" s="105">
        <v>1</v>
      </c>
      <c r="S42" s="105">
        <v>0</v>
      </c>
      <c r="T42" s="105">
        <v>1</v>
      </c>
      <c r="U42" s="105">
        <v>1</v>
      </c>
      <c r="V42" s="105">
        <v>1</v>
      </c>
      <c r="W42" s="105">
        <v>1</v>
      </c>
      <c r="X42" s="105">
        <v>1</v>
      </c>
      <c r="Y42" s="105">
        <v>1</v>
      </c>
      <c r="Z42" s="105">
        <v>0</v>
      </c>
      <c r="AA42" s="105">
        <v>0</v>
      </c>
      <c r="AB42" s="105">
        <v>1</v>
      </c>
      <c r="AC42" s="105">
        <v>1</v>
      </c>
      <c r="AD42" s="105">
        <v>1</v>
      </c>
      <c r="AE42" s="105">
        <v>1</v>
      </c>
      <c r="AF42" s="105">
        <v>1</v>
      </c>
      <c r="AG42" s="105">
        <v>1</v>
      </c>
      <c r="AH42" s="105">
        <v>0</v>
      </c>
      <c r="AI42" s="105">
        <v>1</v>
      </c>
      <c r="AJ42" s="105">
        <v>1</v>
      </c>
      <c r="AK42" s="105">
        <v>1</v>
      </c>
      <c r="AL42" s="105">
        <v>1</v>
      </c>
      <c r="AM42" s="105">
        <v>0</v>
      </c>
      <c r="AN42" s="105">
        <v>1</v>
      </c>
      <c r="AO42" s="105">
        <v>1</v>
      </c>
      <c r="AP42" s="105">
        <v>1</v>
      </c>
      <c r="AQ42" s="105">
        <v>0</v>
      </c>
      <c r="AR42" s="105">
        <v>0</v>
      </c>
      <c r="AS42" s="105">
        <v>0</v>
      </c>
      <c r="AT42" s="105">
        <v>0</v>
      </c>
      <c r="AU42" s="105">
        <v>0</v>
      </c>
      <c r="AV42" s="105">
        <v>0</v>
      </c>
      <c r="AW42" s="105">
        <v>0</v>
      </c>
      <c r="AX42" s="105">
        <v>0</v>
      </c>
    </row>
    <row r="43" spans="1:50" x14ac:dyDescent="0.15">
      <c r="A43" s="153" t="s">
        <v>233</v>
      </c>
      <c r="B43" s="105">
        <v>1</v>
      </c>
      <c r="C43" s="105">
        <v>1</v>
      </c>
      <c r="D43" s="105">
        <v>0</v>
      </c>
      <c r="E43" s="105">
        <v>0</v>
      </c>
      <c r="F43" s="105">
        <v>0</v>
      </c>
      <c r="G43" s="105">
        <v>1</v>
      </c>
      <c r="H43" s="105">
        <v>1</v>
      </c>
      <c r="I43" s="105">
        <v>0</v>
      </c>
      <c r="J43" s="105">
        <v>1</v>
      </c>
      <c r="K43" s="105">
        <v>1</v>
      </c>
      <c r="L43" s="105">
        <v>1</v>
      </c>
      <c r="M43" s="105">
        <v>1</v>
      </c>
      <c r="N43" s="105">
        <v>0</v>
      </c>
      <c r="O43" s="105">
        <v>1</v>
      </c>
      <c r="P43" s="105">
        <v>1</v>
      </c>
      <c r="Q43" s="105">
        <v>1</v>
      </c>
      <c r="R43" s="105">
        <v>0</v>
      </c>
      <c r="S43" s="105">
        <v>0</v>
      </c>
      <c r="T43" s="105">
        <v>0</v>
      </c>
      <c r="U43" s="105">
        <v>1</v>
      </c>
      <c r="V43" s="105">
        <v>1</v>
      </c>
      <c r="W43" s="105">
        <v>1</v>
      </c>
      <c r="X43" s="105">
        <v>1</v>
      </c>
      <c r="Y43" s="105">
        <v>1</v>
      </c>
      <c r="Z43" s="105">
        <v>1</v>
      </c>
      <c r="AA43" s="105">
        <v>1</v>
      </c>
      <c r="AB43" s="105">
        <v>0</v>
      </c>
      <c r="AC43" s="105">
        <v>1</v>
      </c>
      <c r="AD43" s="105">
        <v>1</v>
      </c>
      <c r="AE43" s="105">
        <v>0</v>
      </c>
      <c r="AF43" s="105">
        <v>1</v>
      </c>
      <c r="AG43" s="105">
        <v>0</v>
      </c>
      <c r="AH43" s="105">
        <v>0</v>
      </c>
      <c r="AI43" s="105">
        <v>1</v>
      </c>
      <c r="AJ43" s="105">
        <v>0</v>
      </c>
      <c r="AK43" s="105">
        <v>1</v>
      </c>
      <c r="AL43" s="105">
        <v>0</v>
      </c>
      <c r="AM43" s="105">
        <v>0</v>
      </c>
      <c r="AN43" s="105">
        <v>0</v>
      </c>
      <c r="AO43" s="105">
        <v>0</v>
      </c>
      <c r="AP43" s="105">
        <v>1</v>
      </c>
      <c r="AQ43" s="105">
        <v>0</v>
      </c>
      <c r="AR43" s="105">
        <v>0</v>
      </c>
      <c r="AS43" s="105">
        <v>0</v>
      </c>
      <c r="AT43" s="105">
        <v>0</v>
      </c>
      <c r="AU43" s="105">
        <v>0</v>
      </c>
      <c r="AV43" s="105">
        <v>0</v>
      </c>
      <c r="AW43" s="105">
        <v>0</v>
      </c>
      <c r="AX43" s="105">
        <v>0</v>
      </c>
    </row>
    <row r="44" spans="1:50" x14ac:dyDescent="0.15">
      <c r="A44" s="153" t="s">
        <v>234</v>
      </c>
      <c r="B44" s="105">
        <v>1</v>
      </c>
      <c r="C44" s="105">
        <v>0</v>
      </c>
      <c r="D44" s="105">
        <v>0</v>
      </c>
      <c r="E44" s="105">
        <v>0</v>
      </c>
      <c r="F44" s="105">
        <v>0</v>
      </c>
      <c r="G44" s="105">
        <v>1</v>
      </c>
      <c r="H44" s="105">
        <v>0</v>
      </c>
      <c r="I44" s="105">
        <v>0</v>
      </c>
      <c r="J44" s="105">
        <v>1</v>
      </c>
      <c r="K44" s="105">
        <v>1</v>
      </c>
      <c r="L44" s="105">
        <v>1</v>
      </c>
      <c r="M44" s="105">
        <v>1</v>
      </c>
      <c r="N44" s="105">
        <v>0</v>
      </c>
      <c r="O44" s="105">
        <v>1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1</v>
      </c>
      <c r="V44" s="105">
        <v>1</v>
      </c>
      <c r="W44" s="105">
        <v>1</v>
      </c>
      <c r="X44" s="105">
        <v>1</v>
      </c>
      <c r="Y44" s="105">
        <v>1</v>
      </c>
      <c r="Z44" s="105">
        <v>1</v>
      </c>
      <c r="AA44" s="105">
        <v>1</v>
      </c>
      <c r="AB44" s="105">
        <v>0</v>
      </c>
      <c r="AC44" s="105">
        <v>1</v>
      </c>
      <c r="AD44" s="105">
        <v>1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1</v>
      </c>
      <c r="AL44" s="105">
        <v>0</v>
      </c>
      <c r="AM44" s="105">
        <v>0</v>
      </c>
      <c r="AN44" s="105">
        <v>0</v>
      </c>
      <c r="AO44" s="105">
        <v>0</v>
      </c>
      <c r="AP44" s="105">
        <v>1</v>
      </c>
      <c r="AQ44" s="105">
        <v>1</v>
      </c>
      <c r="AR44" s="105">
        <v>1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</row>
    <row r="45" spans="1:50" x14ac:dyDescent="0.15">
      <c r="A45" s="153" t="s">
        <v>235</v>
      </c>
      <c r="B45" s="105">
        <v>0</v>
      </c>
      <c r="C45" s="105">
        <v>0</v>
      </c>
      <c r="D45" s="105">
        <v>0</v>
      </c>
      <c r="E45" s="105">
        <v>0</v>
      </c>
      <c r="F45" s="105">
        <v>0</v>
      </c>
      <c r="G45" s="105">
        <v>0</v>
      </c>
      <c r="H45" s="105">
        <v>0</v>
      </c>
      <c r="I45" s="105">
        <v>0</v>
      </c>
      <c r="J45" s="105">
        <v>0</v>
      </c>
      <c r="K45" s="105">
        <v>0</v>
      </c>
      <c r="L45" s="105">
        <v>0</v>
      </c>
      <c r="M45" s="105">
        <v>0</v>
      </c>
      <c r="N45" s="105">
        <v>0</v>
      </c>
      <c r="O45" s="105">
        <v>0</v>
      </c>
      <c r="P45" s="105">
        <v>0</v>
      </c>
      <c r="Q45" s="105">
        <v>0</v>
      </c>
      <c r="R45" s="105">
        <v>0</v>
      </c>
      <c r="S45" s="105">
        <v>0</v>
      </c>
      <c r="T45" s="105">
        <v>0</v>
      </c>
      <c r="U45" s="105">
        <v>0</v>
      </c>
      <c r="V45" s="105">
        <v>0</v>
      </c>
      <c r="W45" s="105">
        <v>0</v>
      </c>
      <c r="X45" s="105">
        <v>0</v>
      </c>
      <c r="Y45" s="105">
        <v>0</v>
      </c>
      <c r="Z45" s="105">
        <v>0</v>
      </c>
      <c r="AA45" s="105">
        <v>0</v>
      </c>
      <c r="AB45" s="105">
        <v>0</v>
      </c>
      <c r="AC45" s="105">
        <v>0</v>
      </c>
      <c r="AD45" s="105">
        <v>0</v>
      </c>
      <c r="AE45" s="105">
        <v>0</v>
      </c>
      <c r="AF45" s="105">
        <v>0</v>
      </c>
      <c r="AG45" s="105">
        <v>0</v>
      </c>
      <c r="AH45" s="105">
        <v>1</v>
      </c>
      <c r="AI45" s="105">
        <v>0</v>
      </c>
      <c r="AJ45" s="105">
        <v>0</v>
      </c>
      <c r="AK45" s="105">
        <v>0</v>
      </c>
      <c r="AL45" s="105">
        <v>0</v>
      </c>
      <c r="AM45" s="105">
        <v>0</v>
      </c>
      <c r="AN45" s="105">
        <v>0</v>
      </c>
      <c r="AO45" s="105">
        <v>0</v>
      </c>
      <c r="AP45" s="105">
        <v>0</v>
      </c>
      <c r="AQ45" s="105">
        <v>0</v>
      </c>
      <c r="AR45" s="105">
        <v>0</v>
      </c>
      <c r="AS45" s="105">
        <v>0</v>
      </c>
      <c r="AT45" s="105">
        <v>0</v>
      </c>
      <c r="AU45" s="105">
        <v>0</v>
      </c>
      <c r="AV45" s="105">
        <v>0</v>
      </c>
      <c r="AW45" s="105">
        <v>0</v>
      </c>
      <c r="AX45" s="105">
        <v>0</v>
      </c>
    </row>
    <row r="46" spans="1:50" x14ac:dyDescent="0.15">
      <c r="A46" s="153" t="s">
        <v>236</v>
      </c>
      <c r="B46" s="105">
        <v>1</v>
      </c>
      <c r="C46" s="105">
        <v>0</v>
      </c>
      <c r="D46" s="105">
        <v>0</v>
      </c>
      <c r="E46" s="105">
        <v>0</v>
      </c>
      <c r="F46" s="105">
        <v>0</v>
      </c>
      <c r="G46" s="105">
        <v>0</v>
      </c>
      <c r="H46" s="105">
        <v>0</v>
      </c>
      <c r="I46" s="105">
        <v>0</v>
      </c>
      <c r="J46" s="105">
        <v>0</v>
      </c>
      <c r="K46" s="105">
        <v>1</v>
      </c>
      <c r="L46" s="105">
        <v>1</v>
      </c>
      <c r="M46" s="105">
        <v>0</v>
      </c>
      <c r="N46" s="105">
        <v>0</v>
      </c>
      <c r="O46" s="105">
        <v>0</v>
      </c>
      <c r="P46" s="105">
        <v>0</v>
      </c>
      <c r="Q46" s="105">
        <v>0</v>
      </c>
      <c r="R46" s="105">
        <v>0</v>
      </c>
      <c r="S46" s="105">
        <v>0</v>
      </c>
      <c r="T46" s="105">
        <v>0</v>
      </c>
      <c r="U46" s="105">
        <v>0</v>
      </c>
      <c r="V46" s="105">
        <v>1</v>
      </c>
      <c r="W46" s="105">
        <v>1</v>
      </c>
      <c r="X46" s="105">
        <v>0</v>
      </c>
      <c r="Y46" s="105">
        <v>0</v>
      </c>
      <c r="Z46" s="105">
        <v>0</v>
      </c>
      <c r="AA46" s="105">
        <v>0</v>
      </c>
      <c r="AB46" s="105">
        <v>0</v>
      </c>
      <c r="AC46" s="105">
        <v>1</v>
      </c>
      <c r="AD46" s="105">
        <v>1</v>
      </c>
      <c r="AE46" s="105">
        <v>0</v>
      </c>
      <c r="AF46" s="105">
        <v>0</v>
      </c>
      <c r="AG46" s="105">
        <v>0</v>
      </c>
      <c r="AH46" s="105">
        <v>0</v>
      </c>
      <c r="AI46" s="105">
        <v>0</v>
      </c>
      <c r="AJ46" s="105">
        <v>0</v>
      </c>
      <c r="AK46" s="105">
        <v>0</v>
      </c>
      <c r="AL46" s="105">
        <v>0</v>
      </c>
      <c r="AM46" s="105">
        <v>0</v>
      </c>
      <c r="AN46" s="105">
        <v>0</v>
      </c>
      <c r="AO46" s="105">
        <v>0</v>
      </c>
      <c r="AP46" s="105">
        <v>1</v>
      </c>
      <c r="AQ46" s="105">
        <v>0</v>
      </c>
      <c r="AR46" s="105">
        <v>1</v>
      </c>
      <c r="AS46" s="105">
        <v>0</v>
      </c>
      <c r="AT46" s="105">
        <v>0</v>
      </c>
      <c r="AU46" s="105">
        <v>0</v>
      </c>
      <c r="AV46" s="105">
        <v>0</v>
      </c>
      <c r="AW46" s="105">
        <v>0</v>
      </c>
      <c r="AX46" s="105">
        <v>0</v>
      </c>
    </row>
    <row r="47" spans="1:50" x14ac:dyDescent="0.15">
      <c r="A47" s="153" t="s">
        <v>237</v>
      </c>
      <c r="B47" s="105">
        <v>0</v>
      </c>
      <c r="C47" s="105">
        <v>0</v>
      </c>
      <c r="D47" s="105">
        <v>0</v>
      </c>
      <c r="E47" s="105">
        <v>0</v>
      </c>
      <c r="F47" s="105">
        <v>0</v>
      </c>
      <c r="G47" s="105">
        <v>0</v>
      </c>
      <c r="H47" s="105">
        <v>0</v>
      </c>
      <c r="I47" s="105">
        <v>0</v>
      </c>
      <c r="J47" s="105">
        <v>0</v>
      </c>
      <c r="K47" s="105">
        <v>0</v>
      </c>
      <c r="L47" s="105">
        <v>1</v>
      </c>
      <c r="M47" s="105">
        <v>0</v>
      </c>
      <c r="N47" s="105">
        <v>0</v>
      </c>
      <c r="O47" s="105">
        <v>0</v>
      </c>
      <c r="P47" s="105">
        <v>0</v>
      </c>
      <c r="Q47" s="105">
        <v>0</v>
      </c>
      <c r="R47" s="105">
        <v>0</v>
      </c>
      <c r="S47" s="105">
        <v>0</v>
      </c>
      <c r="T47" s="105">
        <v>0</v>
      </c>
      <c r="U47" s="105">
        <v>0</v>
      </c>
      <c r="V47" s="105">
        <v>0</v>
      </c>
      <c r="W47" s="105">
        <v>0</v>
      </c>
      <c r="X47" s="105">
        <v>0</v>
      </c>
      <c r="Y47" s="105">
        <v>0</v>
      </c>
      <c r="Z47" s="105">
        <v>0</v>
      </c>
      <c r="AA47" s="105">
        <v>0</v>
      </c>
      <c r="AB47" s="105">
        <v>0</v>
      </c>
      <c r="AC47" s="105">
        <v>0</v>
      </c>
      <c r="AD47" s="105">
        <v>0</v>
      </c>
      <c r="AE47" s="105">
        <v>0</v>
      </c>
      <c r="AF47" s="105">
        <v>0</v>
      </c>
      <c r="AG47" s="105">
        <v>0</v>
      </c>
      <c r="AH47" s="105">
        <v>0</v>
      </c>
      <c r="AI47" s="105">
        <v>0</v>
      </c>
      <c r="AJ47" s="105">
        <v>0</v>
      </c>
      <c r="AK47" s="105">
        <v>0</v>
      </c>
      <c r="AL47" s="105">
        <v>0</v>
      </c>
      <c r="AM47" s="105">
        <v>0</v>
      </c>
      <c r="AN47" s="105">
        <v>0</v>
      </c>
      <c r="AO47" s="105">
        <v>0</v>
      </c>
      <c r="AP47" s="105">
        <v>1</v>
      </c>
      <c r="AQ47" s="105">
        <v>0</v>
      </c>
      <c r="AR47" s="105">
        <v>0</v>
      </c>
      <c r="AS47" s="105">
        <v>0</v>
      </c>
      <c r="AT47" s="105">
        <v>0</v>
      </c>
      <c r="AU47" s="105">
        <v>0</v>
      </c>
      <c r="AV47" s="105">
        <v>0</v>
      </c>
      <c r="AW47" s="105">
        <v>0</v>
      </c>
      <c r="AX47" s="105">
        <v>0</v>
      </c>
    </row>
    <row r="48" spans="1:50" x14ac:dyDescent="0.15">
      <c r="A48" s="153" t="s">
        <v>238</v>
      </c>
      <c r="B48" s="105">
        <v>1</v>
      </c>
      <c r="C48" s="105">
        <v>0</v>
      </c>
      <c r="D48" s="105">
        <v>0</v>
      </c>
      <c r="E48" s="105">
        <v>0</v>
      </c>
      <c r="F48" s="105">
        <v>0</v>
      </c>
      <c r="G48" s="105">
        <v>0</v>
      </c>
      <c r="H48" s="105">
        <v>0</v>
      </c>
      <c r="I48" s="105">
        <v>0</v>
      </c>
      <c r="J48" s="105">
        <v>0</v>
      </c>
      <c r="K48" s="105">
        <v>0</v>
      </c>
      <c r="L48" s="105">
        <v>0</v>
      </c>
      <c r="M48" s="105">
        <v>0</v>
      </c>
      <c r="N48" s="105">
        <v>0</v>
      </c>
      <c r="O48" s="105">
        <v>0</v>
      </c>
      <c r="P48" s="105">
        <v>0</v>
      </c>
      <c r="Q48" s="105">
        <v>0</v>
      </c>
      <c r="R48" s="105">
        <v>0</v>
      </c>
      <c r="S48" s="105">
        <v>0</v>
      </c>
      <c r="T48" s="105">
        <v>0</v>
      </c>
      <c r="U48" s="105">
        <v>0</v>
      </c>
      <c r="V48" s="105">
        <v>1</v>
      </c>
      <c r="W48" s="105">
        <v>1</v>
      </c>
      <c r="X48" s="105">
        <v>0</v>
      </c>
      <c r="Y48" s="105">
        <v>0</v>
      </c>
      <c r="Z48" s="105">
        <v>1</v>
      </c>
      <c r="AA48" s="105">
        <v>1</v>
      </c>
      <c r="AB48" s="105">
        <v>0</v>
      </c>
      <c r="AC48" s="105">
        <v>0</v>
      </c>
      <c r="AD48" s="105">
        <v>0</v>
      </c>
      <c r="AE48" s="105">
        <v>0</v>
      </c>
      <c r="AF48" s="105">
        <v>0</v>
      </c>
      <c r="AG48" s="105">
        <v>0</v>
      </c>
      <c r="AH48" s="105">
        <v>0</v>
      </c>
      <c r="AI48" s="105">
        <v>0</v>
      </c>
      <c r="AJ48" s="105">
        <v>0</v>
      </c>
      <c r="AK48" s="105">
        <v>0</v>
      </c>
      <c r="AL48" s="105">
        <v>0</v>
      </c>
      <c r="AM48" s="105">
        <v>0</v>
      </c>
      <c r="AN48" s="105">
        <v>0</v>
      </c>
      <c r="AO48" s="105">
        <v>0</v>
      </c>
      <c r="AP48" s="105">
        <v>1</v>
      </c>
      <c r="AQ48" s="105">
        <v>1</v>
      </c>
      <c r="AR48" s="105">
        <v>1</v>
      </c>
      <c r="AS48" s="105">
        <v>1</v>
      </c>
      <c r="AT48" s="105">
        <v>0</v>
      </c>
      <c r="AU48" s="105">
        <v>0</v>
      </c>
      <c r="AV48" s="105">
        <v>0</v>
      </c>
      <c r="AW48" s="105">
        <v>0</v>
      </c>
      <c r="AX48" s="105">
        <v>0</v>
      </c>
    </row>
    <row r="49" spans="1:50" x14ac:dyDescent="0.15">
      <c r="A49" s="153" t="s">
        <v>239</v>
      </c>
      <c r="B49" s="105">
        <v>1</v>
      </c>
      <c r="C49" s="105">
        <v>1</v>
      </c>
      <c r="D49" s="105">
        <v>0</v>
      </c>
      <c r="E49" s="105">
        <v>0</v>
      </c>
      <c r="F49" s="105">
        <v>0</v>
      </c>
      <c r="G49" s="105">
        <v>0</v>
      </c>
      <c r="H49" s="105">
        <v>0</v>
      </c>
      <c r="I49" s="105">
        <v>0</v>
      </c>
      <c r="J49" s="105">
        <v>1</v>
      </c>
      <c r="K49" s="105">
        <v>1</v>
      </c>
      <c r="L49" s="105">
        <v>1</v>
      </c>
      <c r="M49" s="105">
        <v>0</v>
      </c>
      <c r="N49" s="105">
        <v>0</v>
      </c>
      <c r="O49" s="105">
        <v>0</v>
      </c>
      <c r="P49" s="105">
        <v>0</v>
      </c>
      <c r="Q49" s="105">
        <v>0</v>
      </c>
      <c r="R49" s="105">
        <v>0</v>
      </c>
      <c r="S49" s="105">
        <v>0</v>
      </c>
      <c r="T49" s="105">
        <v>0</v>
      </c>
      <c r="U49" s="105">
        <v>1</v>
      </c>
      <c r="V49" s="105">
        <v>1</v>
      </c>
      <c r="W49" s="105">
        <v>1</v>
      </c>
      <c r="X49" s="105">
        <v>0</v>
      </c>
      <c r="Y49" s="105">
        <v>0</v>
      </c>
      <c r="Z49" s="105">
        <v>1</v>
      </c>
      <c r="AA49" s="105">
        <v>1</v>
      </c>
      <c r="AB49" s="105">
        <v>0</v>
      </c>
      <c r="AC49" s="105">
        <v>1</v>
      </c>
      <c r="AD49" s="105">
        <v>1</v>
      </c>
      <c r="AE49" s="105">
        <v>1</v>
      </c>
      <c r="AF49" s="105">
        <v>1</v>
      </c>
      <c r="AG49" s="105">
        <v>0</v>
      </c>
      <c r="AH49" s="105">
        <v>0</v>
      </c>
      <c r="AI49" s="105">
        <v>0</v>
      </c>
      <c r="AJ49" s="105">
        <v>1</v>
      </c>
      <c r="AK49" s="105">
        <v>0</v>
      </c>
      <c r="AL49" s="105">
        <v>0</v>
      </c>
      <c r="AM49" s="105">
        <v>0</v>
      </c>
      <c r="AN49" s="105">
        <v>0</v>
      </c>
      <c r="AO49" s="105">
        <v>0</v>
      </c>
      <c r="AP49" s="105">
        <v>1</v>
      </c>
      <c r="AQ49" s="105">
        <v>1</v>
      </c>
      <c r="AR49" s="105">
        <v>0</v>
      </c>
      <c r="AS49" s="105">
        <v>0</v>
      </c>
      <c r="AT49" s="105">
        <v>0</v>
      </c>
      <c r="AU49" s="105">
        <v>0</v>
      </c>
      <c r="AV49" s="105">
        <v>0</v>
      </c>
      <c r="AW49" s="105">
        <v>0</v>
      </c>
      <c r="AX49" s="105">
        <v>0</v>
      </c>
    </row>
    <row r="50" spans="1:50" x14ac:dyDescent="0.15">
      <c r="A50" s="153" t="s">
        <v>240</v>
      </c>
      <c r="B50" s="105">
        <v>0</v>
      </c>
      <c r="C50" s="105">
        <v>0</v>
      </c>
      <c r="D50" s="105">
        <v>0</v>
      </c>
      <c r="E50" s="105">
        <v>0</v>
      </c>
      <c r="F50" s="105">
        <v>0</v>
      </c>
      <c r="G50" s="105">
        <v>0</v>
      </c>
      <c r="H50" s="105">
        <v>0</v>
      </c>
      <c r="I50" s="105">
        <v>0</v>
      </c>
      <c r="J50" s="105">
        <v>0</v>
      </c>
      <c r="K50" s="105">
        <v>0</v>
      </c>
      <c r="L50" s="105">
        <v>0</v>
      </c>
      <c r="M50" s="105">
        <v>0</v>
      </c>
      <c r="N50" s="105">
        <v>0</v>
      </c>
      <c r="O50" s="105">
        <v>0</v>
      </c>
      <c r="P50" s="105">
        <v>0</v>
      </c>
      <c r="Q50" s="105">
        <v>0</v>
      </c>
      <c r="R50" s="105">
        <v>0</v>
      </c>
      <c r="S50" s="105">
        <v>0</v>
      </c>
      <c r="T50" s="105">
        <v>0</v>
      </c>
      <c r="U50" s="105">
        <v>0</v>
      </c>
      <c r="V50" s="105">
        <v>0</v>
      </c>
      <c r="W50" s="105">
        <v>0</v>
      </c>
      <c r="X50" s="105">
        <v>0</v>
      </c>
      <c r="Y50" s="105">
        <v>0</v>
      </c>
      <c r="Z50" s="105">
        <v>0</v>
      </c>
      <c r="AA50" s="105">
        <v>0</v>
      </c>
      <c r="AB50" s="105">
        <v>0</v>
      </c>
      <c r="AC50" s="105">
        <v>0</v>
      </c>
      <c r="AD50" s="105">
        <v>0</v>
      </c>
      <c r="AE50" s="105">
        <v>0</v>
      </c>
      <c r="AF50" s="105">
        <v>0</v>
      </c>
      <c r="AG50" s="105">
        <v>0</v>
      </c>
      <c r="AH50" s="105">
        <v>0</v>
      </c>
      <c r="AI50" s="105">
        <v>0</v>
      </c>
      <c r="AJ50" s="105">
        <v>0</v>
      </c>
      <c r="AK50" s="105">
        <v>0</v>
      </c>
      <c r="AL50" s="105">
        <v>0</v>
      </c>
      <c r="AM50" s="105">
        <v>0</v>
      </c>
      <c r="AN50" s="105">
        <v>0</v>
      </c>
      <c r="AO50" s="105">
        <v>0</v>
      </c>
      <c r="AP50" s="105">
        <v>0</v>
      </c>
      <c r="AQ50" s="105">
        <v>0</v>
      </c>
      <c r="AR50" s="105">
        <v>0</v>
      </c>
      <c r="AS50" s="105">
        <v>0</v>
      </c>
      <c r="AT50" s="105">
        <v>0</v>
      </c>
      <c r="AU50" s="105">
        <v>0</v>
      </c>
      <c r="AV50" s="105">
        <v>0</v>
      </c>
      <c r="AW50" s="105">
        <v>0</v>
      </c>
      <c r="AX50" s="105">
        <v>0</v>
      </c>
    </row>
    <row r="51" spans="1:50" x14ac:dyDescent="0.15">
      <c r="A51" s="153" t="s">
        <v>260</v>
      </c>
      <c r="B51" s="105">
        <v>0</v>
      </c>
      <c r="C51" s="105">
        <v>0</v>
      </c>
      <c r="D51" s="105">
        <v>0</v>
      </c>
      <c r="E51" s="105">
        <v>0</v>
      </c>
      <c r="F51" s="105">
        <v>1</v>
      </c>
      <c r="G51" s="105">
        <v>0</v>
      </c>
      <c r="H51" s="105">
        <v>0</v>
      </c>
      <c r="I51" s="105">
        <v>0</v>
      </c>
      <c r="J51" s="105">
        <v>0</v>
      </c>
      <c r="K51" s="105">
        <v>0</v>
      </c>
      <c r="L51" s="105">
        <v>0</v>
      </c>
      <c r="M51" s="105">
        <v>0</v>
      </c>
      <c r="N51" s="105">
        <v>0</v>
      </c>
      <c r="O51" s="105">
        <v>0</v>
      </c>
      <c r="P51" s="105">
        <v>0</v>
      </c>
      <c r="Q51" s="105">
        <v>0</v>
      </c>
      <c r="R51" s="105">
        <v>0</v>
      </c>
      <c r="S51" s="105">
        <v>0</v>
      </c>
      <c r="T51" s="105">
        <v>0</v>
      </c>
      <c r="U51" s="105">
        <v>0</v>
      </c>
      <c r="V51" s="105">
        <v>0</v>
      </c>
      <c r="W51" s="105">
        <v>0</v>
      </c>
      <c r="X51" s="105">
        <v>0</v>
      </c>
      <c r="Y51" s="105">
        <v>0</v>
      </c>
      <c r="Z51" s="105">
        <v>0</v>
      </c>
      <c r="AA51" s="105">
        <v>0</v>
      </c>
      <c r="AB51" s="105">
        <v>0</v>
      </c>
      <c r="AC51" s="105">
        <v>0</v>
      </c>
      <c r="AD51" s="105">
        <v>0</v>
      </c>
      <c r="AE51" s="105">
        <v>0</v>
      </c>
      <c r="AF51" s="105">
        <v>0</v>
      </c>
      <c r="AG51" s="105">
        <v>0</v>
      </c>
      <c r="AH51" s="105">
        <v>0</v>
      </c>
      <c r="AI51" s="105">
        <v>0</v>
      </c>
      <c r="AJ51" s="105">
        <v>0</v>
      </c>
      <c r="AK51" s="105">
        <v>0</v>
      </c>
      <c r="AL51" s="105">
        <v>0</v>
      </c>
      <c r="AM51" s="105">
        <v>0</v>
      </c>
      <c r="AN51" s="105">
        <v>0</v>
      </c>
      <c r="AO51" s="105">
        <v>0</v>
      </c>
      <c r="AP51" s="105">
        <v>0</v>
      </c>
      <c r="AQ51" s="105">
        <v>0</v>
      </c>
      <c r="AR51" s="105">
        <v>0</v>
      </c>
      <c r="AS51" s="105">
        <v>0</v>
      </c>
      <c r="AT51" s="105">
        <v>0</v>
      </c>
      <c r="AU51" s="105">
        <v>0</v>
      </c>
      <c r="AV51" s="105">
        <v>0</v>
      </c>
      <c r="AW51" s="105">
        <v>0</v>
      </c>
      <c r="AX51" s="10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U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8.5" bestFit="1" customWidth="1"/>
    <col min="3" max="4" width="3.83203125" bestFit="1" customWidth="1"/>
    <col min="5" max="21" width="3.83203125" customWidth="1"/>
  </cols>
  <sheetData>
    <row r="1" spans="1:21" ht="112" x14ac:dyDescent="0.15">
      <c r="A1" s="5" t="s">
        <v>83</v>
      </c>
      <c r="B1" s="3" t="s">
        <v>0</v>
      </c>
      <c r="C1" s="156" t="s">
        <v>241</v>
      </c>
      <c r="D1" s="156" t="s">
        <v>242</v>
      </c>
      <c r="E1" s="156" t="s">
        <v>243</v>
      </c>
      <c r="F1" s="156" t="s">
        <v>244</v>
      </c>
      <c r="G1" s="156" t="s">
        <v>245</v>
      </c>
      <c r="H1" s="156" t="s">
        <v>246</v>
      </c>
      <c r="I1" s="156" t="s">
        <v>247</v>
      </c>
      <c r="J1" s="156" t="s">
        <v>248</v>
      </c>
      <c r="K1" s="156" t="s">
        <v>249</v>
      </c>
      <c r="L1" s="156" t="s">
        <v>250</v>
      </c>
      <c r="M1" s="156" t="s">
        <v>251</v>
      </c>
      <c r="N1" s="156" t="s">
        <v>252</v>
      </c>
      <c r="O1" s="156" t="s">
        <v>253</v>
      </c>
      <c r="P1" s="156" t="s">
        <v>254</v>
      </c>
      <c r="Q1" s="156" t="s">
        <v>255</v>
      </c>
      <c r="R1" s="156" t="s">
        <v>256</v>
      </c>
      <c r="S1" s="156" t="s">
        <v>257</v>
      </c>
      <c r="T1" s="156" t="s">
        <v>258</v>
      </c>
      <c r="U1" s="156" t="s">
        <v>259</v>
      </c>
    </row>
    <row r="2" spans="1:21" x14ac:dyDescent="0.15">
      <c r="A2">
        <v>1</v>
      </c>
      <c r="B2" s="15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15">
      <c r="A3">
        <v>2</v>
      </c>
      <c r="B3" s="15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15">
      <c r="A4">
        <v>3</v>
      </c>
      <c r="B4" s="15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15">
      <c r="A5">
        <v>4</v>
      </c>
      <c r="B5" s="155" t="s">
        <v>195</v>
      </c>
      <c r="C5">
        <v>0.8</v>
      </c>
      <c r="D5">
        <v>0</v>
      </c>
      <c r="E5">
        <v>0</v>
      </c>
      <c r="F5">
        <v>0.8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0.8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15">
      <c r="A6">
        <v>5</v>
      </c>
      <c r="B6" s="155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0.8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15">
      <c r="A7">
        <v>6</v>
      </c>
      <c r="B7" s="155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15">
      <c r="A8">
        <v>7</v>
      </c>
      <c r="B8" s="155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15">
      <c r="A9">
        <v>8</v>
      </c>
      <c r="B9" s="155" t="s">
        <v>199</v>
      </c>
      <c r="C9">
        <v>0</v>
      </c>
      <c r="D9">
        <v>0</v>
      </c>
      <c r="E9">
        <v>0</v>
      </c>
      <c r="F9">
        <v>0.8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0.8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15">
      <c r="A10">
        <v>9</v>
      </c>
      <c r="B10" s="155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15">
      <c r="A11">
        <v>10</v>
      </c>
      <c r="B11" s="155" t="s">
        <v>201</v>
      </c>
      <c r="C11">
        <v>0.8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15">
      <c r="A12">
        <v>11</v>
      </c>
      <c r="B12" s="155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15">
      <c r="A13">
        <v>12</v>
      </c>
      <c r="B13" s="155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15">
      <c r="A14">
        <v>13</v>
      </c>
      <c r="B14" s="155" t="s">
        <v>204</v>
      </c>
      <c r="C14">
        <v>0.8</v>
      </c>
      <c r="D14">
        <v>0</v>
      </c>
      <c r="E14">
        <v>0</v>
      </c>
      <c r="F14">
        <v>0.8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0.8</v>
      </c>
      <c r="T14">
        <v>0</v>
      </c>
      <c r="U14">
        <v>0</v>
      </c>
    </row>
    <row r="15" spans="1:21" x14ac:dyDescent="0.15">
      <c r="A15">
        <v>14</v>
      </c>
      <c r="B15" s="155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15">
      <c r="A16">
        <v>15</v>
      </c>
      <c r="B16" s="155" t="s">
        <v>206</v>
      </c>
      <c r="C16">
        <v>0</v>
      </c>
      <c r="D16">
        <v>0</v>
      </c>
      <c r="E16">
        <v>0</v>
      </c>
      <c r="F16">
        <v>0.8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0.8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15">
      <c r="A17">
        <v>16</v>
      </c>
      <c r="B17" s="155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15">
      <c r="A18">
        <v>17</v>
      </c>
      <c r="B18" s="155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0.8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0.8</v>
      </c>
      <c r="U18">
        <v>0</v>
      </c>
    </row>
    <row r="19" spans="1:21" x14ac:dyDescent="0.15">
      <c r="A19">
        <v>18</v>
      </c>
      <c r="B19" s="155" t="s">
        <v>209</v>
      </c>
      <c r="C19">
        <v>0</v>
      </c>
      <c r="D19">
        <v>0</v>
      </c>
      <c r="E19">
        <v>0</v>
      </c>
      <c r="F19">
        <v>0.8</v>
      </c>
      <c r="G19">
        <v>0</v>
      </c>
      <c r="H19">
        <v>0</v>
      </c>
      <c r="I19">
        <v>0</v>
      </c>
      <c r="J19">
        <v>0.8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0.8</v>
      </c>
      <c r="R19">
        <v>0</v>
      </c>
      <c r="S19">
        <v>0</v>
      </c>
      <c r="T19">
        <v>0</v>
      </c>
      <c r="U19">
        <v>0</v>
      </c>
    </row>
    <row r="20" spans="1:21" x14ac:dyDescent="0.15">
      <c r="A20">
        <v>19</v>
      </c>
      <c r="B20" s="155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0.8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0.8</v>
      </c>
      <c r="U20">
        <v>0</v>
      </c>
    </row>
    <row r="21" spans="1:21" x14ac:dyDescent="0.15">
      <c r="A21">
        <v>20</v>
      </c>
      <c r="B21" s="155" t="s">
        <v>211</v>
      </c>
      <c r="C21">
        <v>0</v>
      </c>
      <c r="D21">
        <v>0.8</v>
      </c>
      <c r="E21">
        <v>0.8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15">
      <c r="A22">
        <v>21</v>
      </c>
      <c r="B22" s="155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0.8</v>
      </c>
      <c r="I22">
        <v>0</v>
      </c>
      <c r="J22">
        <v>0</v>
      </c>
      <c r="K22">
        <v>0.8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0.8</v>
      </c>
      <c r="U22">
        <v>0.8</v>
      </c>
    </row>
    <row r="23" spans="1:21" x14ac:dyDescent="0.15">
      <c r="A23">
        <v>22</v>
      </c>
      <c r="B23" s="155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0.8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0.8</v>
      </c>
      <c r="U23">
        <v>0</v>
      </c>
    </row>
    <row r="24" spans="1:21" x14ac:dyDescent="0.15">
      <c r="A24">
        <v>23</v>
      </c>
      <c r="B24" s="155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0.8</v>
      </c>
      <c r="I24">
        <v>0</v>
      </c>
      <c r="J24">
        <v>0</v>
      </c>
      <c r="K24">
        <v>0.8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0.8</v>
      </c>
      <c r="U24">
        <v>0</v>
      </c>
    </row>
    <row r="25" spans="1:21" x14ac:dyDescent="0.15">
      <c r="A25">
        <v>24</v>
      </c>
      <c r="B25" s="155" t="s">
        <v>215</v>
      </c>
      <c r="C25">
        <v>0</v>
      </c>
      <c r="D25">
        <v>0</v>
      </c>
      <c r="E25">
        <v>0.8</v>
      </c>
      <c r="F25">
        <v>0</v>
      </c>
      <c r="G25">
        <v>0</v>
      </c>
      <c r="H25">
        <v>0</v>
      </c>
      <c r="I25">
        <v>0</v>
      </c>
      <c r="J25">
        <v>0</v>
      </c>
      <c r="K25">
        <v>0.8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0.8</v>
      </c>
      <c r="U25">
        <v>0.8</v>
      </c>
    </row>
    <row r="26" spans="1:21" x14ac:dyDescent="0.15">
      <c r="A26">
        <v>25</v>
      </c>
      <c r="B26" s="155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15">
      <c r="A27">
        <v>26</v>
      </c>
      <c r="B27" s="155" t="s">
        <v>217</v>
      </c>
      <c r="C27">
        <v>0</v>
      </c>
      <c r="D27">
        <v>0.8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15">
      <c r="A28">
        <v>27</v>
      </c>
      <c r="B28" s="155" t="s">
        <v>218</v>
      </c>
      <c r="C28">
        <v>0</v>
      </c>
      <c r="D28">
        <v>0</v>
      </c>
      <c r="E28">
        <v>0</v>
      </c>
      <c r="F28">
        <v>0.8</v>
      </c>
      <c r="G28">
        <v>0</v>
      </c>
      <c r="H28">
        <v>0</v>
      </c>
      <c r="I28">
        <v>0</v>
      </c>
      <c r="J28">
        <v>0</v>
      </c>
      <c r="K28">
        <v>0.8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</v>
      </c>
    </row>
    <row r="29" spans="1:21" x14ac:dyDescent="0.15">
      <c r="A29">
        <v>28</v>
      </c>
      <c r="B29" s="155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15">
      <c r="A30">
        <v>29</v>
      </c>
      <c r="B30" s="155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0.8</v>
      </c>
      <c r="J30">
        <v>0</v>
      </c>
      <c r="K30">
        <v>0.8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0.8</v>
      </c>
      <c r="U30">
        <v>0</v>
      </c>
    </row>
    <row r="31" spans="1:21" x14ac:dyDescent="0.15">
      <c r="A31">
        <v>30</v>
      </c>
      <c r="B31" s="155" t="s">
        <v>221</v>
      </c>
      <c r="C31">
        <v>0</v>
      </c>
      <c r="D31">
        <v>0</v>
      </c>
      <c r="E31">
        <v>0</v>
      </c>
      <c r="F31">
        <v>0</v>
      </c>
      <c r="G31">
        <v>0.8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15">
      <c r="A32">
        <v>31</v>
      </c>
      <c r="B32" s="155" t="s">
        <v>222</v>
      </c>
      <c r="C32">
        <v>0</v>
      </c>
      <c r="D32">
        <v>0</v>
      </c>
      <c r="E32">
        <v>0</v>
      </c>
      <c r="F32">
        <v>0</v>
      </c>
      <c r="G32">
        <v>0.8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15">
      <c r="A33">
        <v>32</v>
      </c>
      <c r="B33" s="155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0.8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15">
      <c r="A34">
        <v>33</v>
      </c>
      <c r="B34" s="155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0.8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15">
      <c r="A35">
        <v>34</v>
      </c>
      <c r="B35" s="155" t="s">
        <v>225</v>
      </c>
      <c r="C35">
        <v>0.8</v>
      </c>
      <c r="D35">
        <v>0</v>
      </c>
      <c r="E35">
        <v>0</v>
      </c>
      <c r="F35">
        <v>0.8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15">
      <c r="A36">
        <v>35</v>
      </c>
      <c r="B36" s="155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0.8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15">
      <c r="A37">
        <v>36</v>
      </c>
      <c r="B37" s="155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15">
      <c r="A38">
        <v>37</v>
      </c>
      <c r="B38" s="155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0.8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15">
      <c r="A39">
        <v>38</v>
      </c>
      <c r="B39" s="155" t="s">
        <v>229</v>
      </c>
      <c r="C39">
        <v>0</v>
      </c>
      <c r="D39">
        <v>0</v>
      </c>
      <c r="E39">
        <v>0</v>
      </c>
      <c r="F39">
        <v>0.8</v>
      </c>
      <c r="G39">
        <v>0</v>
      </c>
      <c r="H39">
        <v>0</v>
      </c>
      <c r="I39">
        <v>0</v>
      </c>
      <c r="J39">
        <v>0.8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0.8</v>
      </c>
      <c r="S39">
        <v>0</v>
      </c>
      <c r="T39">
        <v>0</v>
      </c>
      <c r="U39">
        <v>0</v>
      </c>
    </row>
    <row r="40" spans="1:21" x14ac:dyDescent="0.15">
      <c r="A40">
        <v>39</v>
      </c>
      <c r="B40" s="155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0.8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15">
      <c r="A41">
        <v>40</v>
      </c>
      <c r="B41" s="155" t="s">
        <v>231</v>
      </c>
      <c r="C41">
        <v>0</v>
      </c>
      <c r="D41">
        <v>0.8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0.8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15">
      <c r="A42">
        <v>41</v>
      </c>
      <c r="B42" s="155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15">
      <c r="A43">
        <v>42</v>
      </c>
      <c r="B43" s="155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15">
      <c r="A44">
        <v>43</v>
      </c>
      <c r="B44" s="155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15">
      <c r="A45">
        <v>44</v>
      </c>
      <c r="B45" s="155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15">
      <c r="A46">
        <v>45</v>
      </c>
      <c r="B46" s="155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15">
      <c r="A47">
        <v>46</v>
      </c>
      <c r="B47" s="155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15">
      <c r="A48">
        <v>47</v>
      </c>
      <c r="B48" s="155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15">
      <c r="A49">
        <v>48</v>
      </c>
      <c r="B49" s="155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15">
      <c r="A50">
        <v>49</v>
      </c>
      <c r="B50" s="155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U5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8.5" bestFit="1" customWidth="1"/>
    <col min="3" max="4" width="3.83203125" bestFit="1" customWidth="1"/>
    <col min="5" max="21" width="3.83203125" customWidth="1"/>
  </cols>
  <sheetData>
    <row r="1" spans="1:21" ht="112" x14ac:dyDescent="0.15">
      <c r="A1" s="5" t="s">
        <v>82</v>
      </c>
      <c r="B1" s="3" t="s">
        <v>0</v>
      </c>
      <c r="C1" s="158" t="s">
        <v>241</v>
      </c>
      <c r="D1" s="158" t="s">
        <v>242</v>
      </c>
      <c r="E1" s="158" t="s">
        <v>243</v>
      </c>
      <c r="F1" s="158" t="s">
        <v>244</v>
      </c>
      <c r="G1" s="158" t="s">
        <v>245</v>
      </c>
      <c r="H1" s="158" t="s">
        <v>246</v>
      </c>
      <c r="I1" s="158" t="s">
        <v>247</v>
      </c>
      <c r="J1" s="158" t="s">
        <v>248</v>
      </c>
      <c r="K1" s="158" t="s">
        <v>249</v>
      </c>
      <c r="L1" s="158" t="s">
        <v>250</v>
      </c>
      <c r="M1" s="158" t="s">
        <v>251</v>
      </c>
      <c r="N1" s="158" t="s">
        <v>252</v>
      </c>
      <c r="O1" s="158" t="s">
        <v>253</v>
      </c>
      <c r="P1" s="158" t="s">
        <v>254</v>
      </c>
      <c r="Q1" s="158" t="s">
        <v>255</v>
      </c>
      <c r="R1" s="158" t="s">
        <v>256</v>
      </c>
      <c r="S1" s="158" t="s">
        <v>257</v>
      </c>
      <c r="T1" s="158" t="s">
        <v>258</v>
      </c>
      <c r="U1" s="158" t="s">
        <v>259</v>
      </c>
    </row>
    <row r="2" spans="1:21" x14ac:dyDescent="0.15">
      <c r="A2">
        <v>1</v>
      </c>
      <c r="B2" s="15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15">
      <c r="A3">
        <v>2</v>
      </c>
      <c r="B3" s="15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15">
      <c r="A4">
        <v>3</v>
      </c>
      <c r="B4" s="15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15">
      <c r="A5">
        <v>4</v>
      </c>
      <c r="B5" s="157" t="s">
        <v>195</v>
      </c>
      <c r="C5">
        <v>0.8</v>
      </c>
      <c r="D5">
        <v>0</v>
      </c>
      <c r="E5">
        <v>0</v>
      </c>
      <c r="F5">
        <v>0.8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0.8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15">
      <c r="A6">
        <v>5</v>
      </c>
      <c r="B6" s="157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0.8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15">
      <c r="A7">
        <v>6</v>
      </c>
      <c r="B7" s="157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15">
      <c r="A8">
        <v>7</v>
      </c>
      <c r="B8" s="157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15">
      <c r="A9">
        <v>8</v>
      </c>
      <c r="B9" s="157" t="s">
        <v>199</v>
      </c>
      <c r="C9">
        <v>0</v>
      </c>
      <c r="D9">
        <v>0</v>
      </c>
      <c r="E9">
        <v>0</v>
      </c>
      <c r="F9">
        <v>0.8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0.8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15">
      <c r="A10">
        <v>9</v>
      </c>
      <c r="B10" s="157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15">
      <c r="A11">
        <v>10</v>
      </c>
      <c r="B11" s="157" t="s">
        <v>201</v>
      </c>
      <c r="C11">
        <v>0.8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15">
      <c r="A12">
        <v>11</v>
      </c>
      <c r="B12" s="157" t="s">
        <v>202</v>
      </c>
      <c r="C12">
        <v>0.8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15">
      <c r="A13">
        <v>12</v>
      </c>
      <c r="B13" s="157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15">
      <c r="A14">
        <v>13</v>
      </c>
      <c r="B14" s="157" t="s">
        <v>204</v>
      </c>
      <c r="C14">
        <v>0.8</v>
      </c>
      <c r="D14">
        <v>0</v>
      </c>
      <c r="E14">
        <v>0</v>
      </c>
      <c r="F14">
        <v>0.8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0.8</v>
      </c>
      <c r="T14">
        <v>0</v>
      </c>
      <c r="U14">
        <v>0</v>
      </c>
    </row>
    <row r="15" spans="1:21" x14ac:dyDescent="0.15">
      <c r="A15">
        <v>14</v>
      </c>
      <c r="B15" s="157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15">
      <c r="A16">
        <v>15</v>
      </c>
      <c r="B16" s="157" t="s">
        <v>206</v>
      </c>
      <c r="C16">
        <v>0</v>
      </c>
      <c r="D16">
        <v>0</v>
      </c>
      <c r="E16">
        <v>0</v>
      </c>
      <c r="F16">
        <v>0.8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0.8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15">
      <c r="A17">
        <v>16</v>
      </c>
      <c r="B17" s="157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15">
      <c r="A18">
        <v>17</v>
      </c>
      <c r="B18" s="15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0.8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0.8</v>
      </c>
      <c r="U18">
        <v>0</v>
      </c>
    </row>
    <row r="19" spans="1:21" x14ac:dyDescent="0.15">
      <c r="A19">
        <v>18</v>
      </c>
      <c r="B19" s="157" t="s">
        <v>209</v>
      </c>
      <c r="C19">
        <v>0</v>
      </c>
      <c r="D19">
        <v>0</v>
      </c>
      <c r="E19">
        <v>0</v>
      </c>
      <c r="F19">
        <v>0.8</v>
      </c>
      <c r="G19">
        <v>0</v>
      </c>
      <c r="H19">
        <v>0</v>
      </c>
      <c r="I19">
        <v>0</v>
      </c>
      <c r="J19">
        <v>0.8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0.8</v>
      </c>
      <c r="R19">
        <v>0</v>
      </c>
      <c r="S19">
        <v>0</v>
      </c>
      <c r="T19">
        <v>0</v>
      </c>
      <c r="U19">
        <v>0</v>
      </c>
    </row>
    <row r="20" spans="1:21" x14ac:dyDescent="0.15">
      <c r="A20">
        <v>19</v>
      </c>
      <c r="B20" s="157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0.8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0.8</v>
      </c>
      <c r="U20">
        <v>0</v>
      </c>
    </row>
    <row r="21" spans="1:21" x14ac:dyDescent="0.15">
      <c r="A21">
        <v>20</v>
      </c>
      <c r="B21" s="157" t="s">
        <v>211</v>
      </c>
      <c r="C21">
        <v>0</v>
      </c>
      <c r="D21">
        <v>0.8</v>
      </c>
      <c r="E21">
        <v>0.8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15">
      <c r="A22">
        <v>21</v>
      </c>
      <c r="B22" s="157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0.8</v>
      </c>
      <c r="I22">
        <v>0</v>
      </c>
      <c r="J22">
        <v>0</v>
      </c>
      <c r="K22">
        <v>0.8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0.8</v>
      </c>
      <c r="U22">
        <v>0.8</v>
      </c>
    </row>
    <row r="23" spans="1:21" x14ac:dyDescent="0.15">
      <c r="A23">
        <v>22</v>
      </c>
      <c r="B23" s="157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0.8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0.8</v>
      </c>
      <c r="U23">
        <v>0</v>
      </c>
    </row>
    <row r="24" spans="1:21" x14ac:dyDescent="0.15">
      <c r="A24">
        <v>23</v>
      </c>
      <c r="B24" s="157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0.8</v>
      </c>
      <c r="I24">
        <v>0</v>
      </c>
      <c r="J24">
        <v>0</v>
      </c>
      <c r="K24">
        <v>0.8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0.8</v>
      </c>
      <c r="U24">
        <v>0</v>
      </c>
    </row>
    <row r="25" spans="1:21" x14ac:dyDescent="0.15">
      <c r="A25">
        <v>24</v>
      </c>
      <c r="B25" s="157" t="s">
        <v>215</v>
      </c>
      <c r="C25">
        <v>0</v>
      </c>
      <c r="D25">
        <v>0</v>
      </c>
      <c r="E25">
        <v>0.8</v>
      </c>
      <c r="F25">
        <v>0</v>
      </c>
      <c r="G25">
        <v>0</v>
      </c>
      <c r="H25">
        <v>0</v>
      </c>
      <c r="I25">
        <v>0</v>
      </c>
      <c r="J25">
        <v>0</v>
      </c>
      <c r="K25">
        <v>0.8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0.8</v>
      </c>
      <c r="U25">
        <v>0.8</v>
      </c>
    </row>
    <row r="26" spans="1:21" x14ac:dyDescent="0.15">
      <c r="A26">
        <v>25</v>
      </c>
      <c r="B26" s="157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15">
      <c r="A27">
        <v>26</v>
      </c>
      <c r="B27" s="157" t="s">
        <v>217</v>
      </c>
      <c r="C27">
        <v>0</v>
      </c>
      <c r="D27">
        <v>0.8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15">
      <c r="A28">
        <v>27</v>
      </c>
      <c r="B28" s="157" t="s">
        <v>218</v>
      </c>
      <c r="C28">
        <v>0</v>
      </c>
      <c r="D28">
        <v>0</v>
      </c>
      <c r="E28">
        <v>0</v>
      </c>
      <c r="F28">
        <v>0.8</v>
      </c>
      <c r="G28">
        <v>0</v>
      </c>
      <c r="H28">
        <v>0</v>
      </c>
      <c r="I28">
        <v>0</v>
      </c>
      <c r="J28">
        <v>0</v>
      </c>
      <c r="K28">
        <v>0.8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</v>
      </c>
    </row>
    <row r="29" spans="1:21" x14ac:dyDescent="0.15">
      <c r="A29">
        <v>28</v>
      </c>
      <c r="B29" s="15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15">
      <c r="A30">
        <v>29</v>
      </c>
      <c r="B30" s="157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0.8</v>
      </c>
      <c r="J30">
        <v>0</v>
      </c>
      <c r="K30">
        <v>0.8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0.8</v>
      </c>
      <c r="U30">
        <v>0</v>
      </c>
    </row>
    <row r="31" spans="1:21" x14ac:dyDescent="0.15">
      <c r="A31">
        <v>30</v>
      </c>
      <c r="B31" s="157" t="s">
        <v>221</v>
      </c>
      <c r="C31">
        <v>0</v>
      </c>
      <c r="D31">
        <v>0</v>
      </c>
      <c r="E31">
        <v>0</v>
      </c>
      <c r="F31">
        <v>0</v>
      </c>
      <c r="G31">
        <v>0.8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15">
      <c r="A32">
        <v>31</v>
      </c>
      <c r="B32" s="157" t="s">
        <v>222</v>
      </c>
      <c r="C32">
        <v>0</v>
      </c>
      <c r="D32">
        <v>0</v>
      </c>
      <c r="E32">
        <v>0</v>
      </c>
      <c r="F32">
        <v>0</v>
      </c>
      <c r="G32">
        <v>0.8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15">
      <c r="A33">
        <v>32</v>
      </c>
      <c r="B33" s="15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0.8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15">
      <c r="A34">
        <v>33</v>
      </c>
      <c r="B34" s="157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0.8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15">
      <c r="A35">
        <v>34</v>
      </c>
      <c r="B35" s="157" t="s">
        <v>225</v>
      </c>
      <c r="C35">
        <v>0.8</v>
      </c>
      <c r="D35">
        <v>0</v>
      </c>
      <c r="E35">
        <v>0</v>
      </c>
      <c r="F35">
        <v>0.8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15">
      <c r="A36">
        <v>35</v>
      </c>
      <c r="B36" s="157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0.8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15">
      <c r="A37">
        <v>36</v>
      </c>
      <c r="B37" s="157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15">
      <c r="A38">
        <v>37</v>
      </c>
      <c r="B38" s="157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0.8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15">
      <c r="A39">
        <v>38</v>
      </c>
      <c r="B39" s="157" t="s">
        <v>229</v>
      </c>
      <c r="C39">
        <v>0</v>
      </c>
      <c r="D39">
        <v>0</v>
      </c>
      <c r="E39">
        <v>0</v>
      </c>
      <c r="F39">
        <v>0.8</v>
      </c>
      <c r="G39">
        <v>0</v>
      </c>
      <c r="H39">
        <v>0</v>
      </c>
      <c r="I39">
        <v>0</v>
      </c>
      <c r="J39">
        <v>0.8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0.8</v>
      </c>
      <c r="S39">
        <v>0</v>
      </c>
      <c r="T39">
        <v>0</v>
      </c>
      <c r="U39">
        <v>0</v>
      </c>
    </row>
    <row r="40" spans="1:21" x14ac:dyDescent="0.15">
      <c r="A40">
        <v>39</v>
      </c>
      <c r="B40" s="157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0.8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15">
      <c r="A41">
        <v>40</v>
      </c>
      <c r="B41" s="157" t="s">
        <v>231</v>
      </c>
      <c r="C41">
        <v>0</v>
      </c>
      <c r="D41">
        <v>0.8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0.8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15">
      <c r="A42">
        <v>41</v>
      </c>
      <c r="B42" s="157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15">
      <c r="A43">
        <v>42</v>
      </c>
      <c r="B43" s="157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15">
      <c r="A44">
        <v>43</v>
      </c>
      <c r="B44" s="157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15">
      <c r="A45">
        <v>44</v>
      </c>
      <c r="B45" s="157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15">
      <c r="A46">
        <v>45</v>
      </c>
      <c r="B46" s="157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15">
      <c r="A47">
        <v>46</v>
      </c>
      <c r="B47" s="157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1:21" x14ac:dyDescent="0.15">
      <c r="A48">
        <v>47</v>
      </c>
      <c r="B48" s="157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1" x14ac:dyDescent="0.15">
      <c r="A49">
        <v>48</v>
      </c>
      <c r="B49" s="157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15">
      <c r="A50">
        <v>49</v>
      </c>
      <c r="B50" s="157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A22" sqref="A22:XFD22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222">
        <v>1</v>
      </c>
      <c r="B2" s="222" t="s">
        <v>192</v>
      </c>
      <c r="C2" s="8">
        <v>3.0140621662139893</v>
      </c>
      <c r="D2" s="9">
        <v>1.8139713210985065E-4</v>
      </c>
      <c r="E2" s="9">
        <v>2</v>
      </c>
      <c r="F2" s="9">
        <v>35.117156982421875</v>
      </c>
      <c r="G2" s="9">
        <v>0.55108380317687988</v>
      </c>
      <c r="H2" s="9">
        <v>5.695221945643425E-2</v>
      </c>
      <c r="I2">
        <v>0</v>
      </c>
      <c r="J2"/>
    </row>
    <row r="3" spans="1:10" ht="15" customHeight="1" x14ac:dyDescent="0.15">
      <c r="A3" s="223">
        <v>2</v>
      </c>
      <c r="B3" s="223" t="s">
        <v>193</v>
      </c>
      <c r="C3" s="8">
        <v>3.1135706901550293</v>
      </c>
      <c r="D3" s="9">
        <v>4.9324491992592812E-3</v>
      </c>
      <c r="E3" s="9">
        <v>3.5</v>
      </c>
      <c r="F3" s="9">
        <v>12.551774978637695</v>
      </c>
      <c r="G3" s="9">
        <v>1.7532076686620712E-2</v>
      </c>
      <c r="H3" s="9">
        <v>0.27884501218795776</v>
      </c>
      <c r="I3">
        <v>0</v>
      </c>
      <c r="J3"/>
    </row>
    <row r="4" spans="1:10" ht="15" customHeight="1" x14ac:dyDescent="0.15">
      <c r="A4" s="224">
        <v>3</v>
      </c>
      <c r="B4" s="224" t="s">
        <v>194</v>
      </c>
      <c r="C4" s="8">
        <v>3.5892293453216553</v>
      </c>
      <c r="D4" s="9">
        <v>3.2336726784706116E-2</v>
      </c>
      <c r="E4" s="9">
        <v>1.1000000238418579</v>
      </c>
      <c r="F4" s="9">
        <v>5.5996108055114746</v>
      </c>
      <c r="G4" s="7">
        <v>0</v>
      </c>
      <c r="H4" s="9">
        <v>0.19644223153591156</v>
      </c>
      <c r="I4">
        <v>0</v>
      </c>
      <c r="J4"/>
    </row>
    <row r="5" spans="1:10" ht="15" customHeight="1" x14ac:dyDescent="0.15">
      <c r="A5" s="225">
        <v>4</v>
      </c>
      <c r="B5" s="225" t="s">
        <v>195</v>
      </c>
      <c r="C5" s="8">
        <v>3.5939218997955322</v>
      </c>
      <c r="D5" s="9">
        <v>0.12841987609863281</v>
      </c>
      <c r="E5" s="9">
        <v>0.60000002384185791</v>
      </c>
      <c r="F5" s="9">
        <v>3.2162902355194092</v>
      </c>
      <c r="G5" s="9">
        <v>0.17131303250789642</v>
      </c>
      <c r="H5" s="9">
        <v>0.1865503340959549</v>
      </c>
      <c r="I5">
        <v>1.3199999928474426E-2</v>
      </c>
      <c r="J5"/>
    </row>
    <row r="6" spans="1:10" ht="15" customHeight="1" x14ac:dyDescent="0.15">
      <c r="A6" s="226">
        <v>5</v>
      </c>
      <c r="B6" s="226" t="s">
        <v>196</v>
      </c>
      <c r="C6" s="8">
        <v>3.5896298885345459</v>
      </c>
      <c r="D6" s="9">
        <v>2</v>
      </c>
      <c r="E6" s="9">
        <v>0.15000000596046448</v>
      </c>
      <c r="F6" s="9">
        <v>1.7799999713897705</v>
      </c>
      <c r="G6" s="9">
        <v>1.666666503297165E-4</v>
      </c>
      <c r="H6" s="9">
        <v>8.426966518163681E-2</v>
      </c>
      <c r="I6">
        <v>4.9999998736893758E-5</v>
      </c>
      <c r="J6"/>
    </row>
    <row r="7" spans="1:10" ht="15" customHeight="1" x14ac:dyDescent="0.15">
      <c r="A7" s="227">
        <v>6</v>
      </c>
      <c r="B7" s="227" t="s">
        <v>197</v>
      </c>
      <c r="C7" s="8">
        <v>3.0862009525299072</v>
      </c>
      <c r="D7" s="9">
        <v>9.0944100520573556E-5</v>
      </c>
      <c r="E7" s="9">
        <v>6</v>
      </c>
      <c r="F7" s="9">
        <v>36.060344696044922</v>
      </c>
      <c r="G7" s="9">
        <v>0.56429499387741089</v>
      </c>
      <c r="H7" s="9">
        <v>0.16638776659965515</v>
      </c>
      <c r="I7">
        <v>0</v>
      </c>
      <c r="J7"/>
    </row>
    <row r="8" spans="1:10" ht="15" customHeight="1" x14ac:dyDescent="0.15">
      <c r="A8" s="228">
        <v>7</v>
      </c>
      <c r="B8" s="228" t="s">
        <v>198</v>
      </c>
      <c r="C8" s="8">
        <v>3.4516510963439941</v>
      </c>
      <c r="D8" s="9">
        <v>2.5964872911572456E-2</v>
      </c>
      <c r="E8" s="9">
        <v>1.3999999761581421</v>
      </c>
      <c r="F8" s="9">
        <v>6.2432560920715332</v>
      </c>
      <c r="G8" s="9">
        <v>4.6616971492767334E-2</v>
      </c>
      <c r="H8" s="9">
        <v>0.2242419570684433</v>
      </c>
      <c r="I8">
        <v>0</v>
      </c>
      <c r="J8"/>
    </row>
    <row r="9" spans="1:10" ht="15" customHeight="1" x14ac:dyDescent="0.15">
      <c r="A9" s="229">
        <v>8</v>
      </c>
      <c r="B9" s="229" t="s">
        <v>199</v>
      </c>
      <c r="C9" s="8">
        <v>3.6867964267730713</v>
      </c>
      <c r="D9" s="9">
        <v>0.2199999988079071</v>
      </c>
      <c r="E9" s="9">
        <v>0.69999998807907104</v>
      </c>
      <c r="F9" s="9">
        <v>2.4900000095367432</v>
      </c>
      <c r="G9" s="9">
        <v>0.3264610767364502</v>
      </c>
      <c r="H9" s="9">
        <v>0.28112450242042542</v>
      </c>
      <c r="I9">
        <v>5.0050001591444016E-2</v>
      </c>
      <c r="J9"/>
    </row>
    <row r="10" spans="1:10" ht="15" customHeight="1" x14ac:dyDescent="0.15">
      <c r="A10" s="230">
        <v>9</v>
      </c>
      <c r="B10" s="230" t="s">
        <v>200</v>
      </c>
      <c r="C10" s="8">
        <v>2.9459671974182129</v>
      </c>
      <c r="D10" s="9">
        <v>3.4304745495319366E-2</v>
      </c>
      <c r="E10" s="9">
        <v>3</v>
      </c>
      <c r="F10" s="9">
        <v>50.017967224121094</v>
      </c>
      <c r="G10" s="9">
        <v>0.77307486534118652</v>
      </c>
      <c r="H10" s="9">
        <v>5.997844785451889E-2</v>
      </c>
      <c r="I10">
        <v>0</v>
      </c>
      <c r="J10"/>
    </row>
    <row r="11" spans="1:10" ht="15" customHeight="1" x14ac:dyDescent="0.15">
      <c r="A11" s="231">
        <v>10</v>
      </c>
      <c r="B11" s="231" t="s">
        <v>201</v>
      </c>
      <c r="C11" s="8">
        <v>2.9139089584350586</v>
      </c>
      <c r="D11" s="9">
        <v>0.52236676216125488</v>
      </c>
      <c r="E11" s="9">
        <v>1.7999999523162842</v>
      </c>
      <c r="F11" s="9">
        <v>18.225341796875</v>
      </c>
      <c r="G11" s="9">
        <v>0.45442813634872437</v>
      </c>
      <c r="H11" s="9">
        <v>9.876357764005661E-2</v>
      </c>
      <c r="I11">
        <v>0.25</v>
      </c>
      <c r="J11"/>
    </row>
    <row r="12" spans="1:10" ht="15" customHeight="1" x14ac:dyDescent="0.15">
      <c r="A12" s="232">
        <v>11</v>
      </c>
      <c r="B12" s="232" t="s">
        <v>202</v>
      </c>
      <c r="C12" s="8">
        <v>2.026331901550293</v>
      </c>
      <c r="D12" s="9">
        <v>2.7999999523162842</v>
      </c>
      <c r="E12" s="9">
        <v>0.80000001192092896</v>
      </c>
      <c r="F12" s="9">
        <v>8</v>
      </c>
      <c r="G12" s="9">
        <v>0.54178839921951294</v>
      </c>
      <c r="H12" s="9">
        <v>0.10000000149011612</v>
      </c>
      <c r="I12">
        <v>1</v>
      </c>
      <c r="J12"/>
    </row>
    <row r="13" spans="1:10" ht="15" customHeight="1" x14ac:dyDescent="0.15">
      <c r="A13" s="233">
        <v>12</v>
      </c>
      <c r="B13" s="233" t="s">
        <v>203</v>
      </c>
      <c r="C13" s="8">
        <v>3.2206921577453613</v>
      </c>
      <c r="D13" s="9">
        <v>3.6752637242898345E-5</v>
      </c>
      <c r="E13" s="9">
        <v>4</v>
      </c>
      <c r="F13" s="9">
        <v>36.566658020019531</v>
      </c>
      <c r="G13" s="9">
        <v>2.0588062703609467E-2</v>
      </c>
      <c r="H13" s="9">
        <v>0.10938926786184311</v>
      </c>
      <c r="I13">
        <v>0</v>
      </c>
      <c r="J13"/>
    </row>
    <row r="14" spans="1:10" ht="15" customHeight="1" x14ac:dyDescent="0.15">
      <c r="A14" s="234">
        <v>13</v>
      </c>
      <c r="B14" s="234" t="s">
        <v>204</v>
      </c>
      <c r="C14" s="8">
        <v>3.9838049411773682</v>
      </c>
      <c r="D14" s="9">
        <v>0.25</v>
      </c>
      <c r="E14" s="9">
        <v>0.69999998807907104</v>
      </c>
      <c r="F14" s="9">
        <v>3</v>
      </c>
      <c r="G14" s="9">
        <v>0.57200002670288086</v>
      </c>
      <c r="H14" s="9">
        <v>0.23333333432674408</v>
      </c>
      <c r="I14">
        <v>0.10010000318288803</v>
      </c>
      <c r="J14"/>
    </row>
    <row r="15" spans="1:10" ht="15" customHeight="1" x14ac:dyDescent="0.15">
      <c r="A15" s="235">
        <v>14</v>
      </c>
      <c r="B15" s="235" t="s">
        <v>205</v>
      </c>
      <c r="C15" s="8">
        <v>3.2284231185913086</v>
      </c>
      <c r="D15" s="9">
        <v>9.7870128229260445E-3</v>
      </c>
      <c r="E15" s="9">
        <v>2.7999999523162842</v>
      </c>
      <c r="F15" s="9">
        <v>10.70455265045166</v>
      </c>
      <c r="G15" s="9">
        <v>0.33355140686035156</v>
      </c>
      <c r="H15" s="9">
        <v>0.26157093048095703</v>
      </c>
      <c r="I15">
        <v>0</v>
      </c>
      <c r="J15"/>
    </row>
    <row r="16" spans="1:10" ht="15" customHeight="1" x14ac:dyDescent="0.15">
      <c r="A16" s="236">
        <v>15</v>
      </c>
      <c r="B16" s="236" t="s">
        <v>206</v>
      </c>
      <c r="C16" s="8">
        <v>3.3027124404907227</v>
      </c>
      <c r="D16" s="9">
        <v>8.9000001549720764E-2</v>
      </c>
      <c r="E16" s="9">
        <v>1.6000000238418579</v>
      </c>
      <c r="F16" s="9">
        <v>3.5999999046325684</v>
      </c>
      <c r="G16" s="9">
        <v>0.11407390981912613</v>
      </c>
      <c r="H16" s="9">
        <v>0.44444447755813599</v>
      </c>
      <c r="I16">
        <v>1.0099999606609344E-2</v>
      </c>
      <c r="J16"/>
    </row>
    <row r="17" spans="1:10" ht="15" customHeight="1" x14ac:dyDescent="0.15">
      <c r="A17" s="237">
        <v>16</v>
      </c>
      <c r="B17" s="237" t="s">
        <v>207</v>
      </c>
      <c r="C17" s="8">
        <v>3.0828871726989746</v>
      </c>
      <c r="D17" s="9">
        <v>4.5025828294456005E-3</v>
      </c>
      <c r="E17" s="9">
        <v>2</v>
      </c>
      <c r="F17" s="9">
        <v>8.4569072723388672</v>
      </c>
      <c r="G17" s="7">
        <v>0</v>
      </c>
      <c r="H17" s="9">
        <v>0.23649308085441589</v>
      </c>
      <c r="I17">
        <v>0</v>
      </c>
      <c r="J17"/>
    </row>
    <row r="18" spans="1:10" ht="15" customHeight="1" x14ac:dyDescent="0.15">
      <c r="A18" s="238">
        <v>17</v>
      </c>
      <c r="B18" s="238" t="s">
        <v>208</v>
      </c>
      <c r="C18" s="8">
        <v>3.5271029472351074</v>
      </c>
      <c r="D18" s="9">
        <v>2.4593347683548927E-2</v>
      </c>
      <c r="E18" s="9">
        <v>0.60000002384185791</v>
      </c>
      <c r="F18" s="9">
        <v>3.8085379600524902</v>
      </c>
      <c r="G18" s="9">
        <v>0.13567355275154114</v>
      </c>
      <c r="H18" s="9">
        <v>0.15754076838493347</v>
      </c>
      <c r="I18">
        <v>2.0020001102238894E-3</v>
      </c>
      <c r="J18"/>
    </row>
    <row r="19" spans="1:10" ht="15" customHeight="1" x14ac:dyDescent="0.15">
      <c r="A19" s="239">
        <v>18</v>
      </c>
      <c r="B19" s="239" t="s">
        <v>209</v>
      </c>
      <c r="C19" s="8">
        <v>3.8218975067138672</v>
      </c>
      <c r="D19" s="9">
        <v>0.51999998092651367</v>
      </c>
      <c r="E19" s="9">
        <v>0.44999998807907104</v>
      </c>
      <c r="F19" s="9">
        <v>1.5299999713897705</v>
      </c>
      <c r="G19" s="9">
        <v>0.42747867107391357</v>
      </c>
      <c r="H19" s="9">
        <v>0.29411765933036804</v>
      </c>
      <c r="I19">
        <v>0.10003000497817993</v>
      </c>
      <c r="J19"/>
    </row>
    <row r="20" spans="1:10" ht="15" customHeight="1" x14ac:dyDescent="0.15">
      <c r="A20" s="240">
        <v>19</v>
      </c>
      <c r="B20" s="240" t="s">
        <v>210</v>
      </c>
      <c r="C20" s="8">
        <v>3.7862401008605957</v>
      </c>
      <c r="D20" s="9">
        <v>0.15134978294372559</v>
      </c>
      <c r="E20" s="9">
        <v>0.80000001192092896</v>
      </c>
      <c r="F20" s="9">
        <v>2</v>
      </c>
      <c r="G20" s="9">
        <v>0.20000001788139343</v>
      </c>
      <c r="H20" s="9">
        <v>0.40000000596046448</v>
      </c>
      <c r="I20">
        <v>2.0199999213218689E-2</v>
      </c>
      <c r="J20"/>
    </row>
    <row r="21" spans="1:10" ht="15" customHeight="1" x14ac:dyDescent="0.15">
      <c r="A21" s="241">
        <v>20</v>
      </c>
      <c r="B21" s="241" t="s">
        <v>211</v>
      </c>
      <c r="C21" s="8">
        <v>2.7529721260070801</v>
      </c>
      <c r="D21" s="9">
        <v>1.0931632518768311</v>
      </c>
      <c r="E21" s="9">
        <v>2.5299999713897705</v>
      </c>
      <c r="F21" s="9">
        <v>14</v>
      </c>
      <c r="G21" s="9">
        <v>0.60000002384185791</v>
      </c>
      <c r="H21" s="9">
        <v>0.18071427941322327</v>
      </c>
      <c r="I21">
        <v>1.9999999552965164E-2</v>
      </c>
      <c r="J21"/>
    </row>
    <row r="22" spans="1:10" ht="15" customHeight="1" x14ac:dyDescent="0.15">
      <c r="A22" s="242">
        <v>21</v>
      </c>
      <c r="B22" s="242" t="s">
        <v>212</v>
      </c>
      <c r="C22" s="8">
        <v>2.6233193874359131</v>
      </c>
      <c r="D22" s="7">
        <v>5.0832762718200684</v>
      </c>
      <c r="E22" s="9">
        <v>1.0190000534057617</v>
      </c>
      <c r="F22" s="9">
        <v>8</v>
      </c>
      <c r="G22" s="9">
        <v>0.75000005960464478</v>
      </c>
      <c r="H22" s="9">
        <v>0.12737500667572021</v>
      </c>
      <c r="I22">
        <v>4.0110101699829102</v>
      </c>
      <c r="J22"/>
    </row>
    <row r="23" spans="1:10" ht="15" customHeight="1" x14ac:dyDescent="0.15">
      <c r="A23" s="243">
        <v>22</v>
      </c>
      <c r="B23" s="243" t="s">
        <v>213</v>
      </c>
      <c r="C23" s="8">
        <v>2.6862201690673828</v>
      </c>
      <c r="D23" s="9">
        <v>3.2000000476837158</v>
      </c>
      <c r="E23" s="9">
        <v>1.1000000238418579</v>
      </c>
      <c r="F23" s="9">
        <v>12</v>
      </c>
      <c r="G23" s="9">
        <v>0.6066889762878418</v>
      </c>
      <c r="H23" s="9">
        <v>9.1666668653488159E-2</v>
      </c>
      <c r="I23">
        <v>0.40099999308586121</v>
      </c>
      <c r="J23"/>
    </row>
    <row r="24" spans="1:10" ht="15" customHeight="1" x14ac:dyDescent="0.15">
      <c r="A24" s="244">
        <v>23</v>
      </c>
      <c r="B24" s="244" t="s">
        <v>214</v>
      </c>
      <c r="C24" s="8">
        <v>3.1636738777160645</v>
      </c>
      <c r="D24" s="9">
        <v>1.5349858999252319</v>
      </c>
      <c r="E24" s="9">
        <v>1.3999999761581421</v>
      </c>
      <c r="F24" s="9">
        <v>9</v>
      </c>
      <c r="G24" s="9">
        <v>0.89999997615814209</v>
      </c>
      <c r="H24" s="9">
        <v>0.15555554628372192</v>
      </c>
      <c r="I24">
        <v>1.5060000419616699</v>
      </c>
      <c r="J24"/>
    </row>
    <row r="25" spans="1:10" ht="15" customHeight="1" x14ac:dyDescent="0.15">
      <c r="A25" s="245">
        <v>24</v>
      </c>
      <c r="B25" s="245" t="s">
        <v>215</v>
      </c>
      <c r="C25" s="8">
        <v>3.062410831451416</v>
      </c>
      <c r="D25" s="9">
        <v>11</v>
      </c>
      <c r="E25" s="9">
        <v>1.7999999523162842</v>
      </c>
      <c r="F25" s="9">
        <v>12.105999946594238</v>
      </c>
      <c r="G25" s="9">
        <v>0.82931071519851685</v>
      </c>
      <c r="H25" s="9">
        <v>0.14868660271167755</v>
      </c>
      <c r="I25">
        <v>11.60200023651123</v>
      </c>
      <c r="J25"/>
    </row>
    <row r="26" spans="1:10" ht="15" customHeight="1" x14ac:dyDescent="0.15">
      <c r="A26" s="246">
        <v>25</v>
      </c>
      <c r="B26" s="246" t="s">
        <v>216</v>
      </c>
      <c r="C26" s="8">
        <v>2.6047294139862061</v>
      </c>
      <c r="D26" s="9">
        <v>1.5335948467254639</v>
      </c>
      <c r="E26" s="9">
        <v>2.2999999523162842</v>
      </c>
      <c r="F26" s="9">
        <v>9.0335836410522461</v>
      </c>
      <c r="G26" s="9">
        <v>0.42298626899719238</v>
      </c>
      <c r="H26" s="9">
        <v>0.25460547208786011</v>
      </c>
      <c r="I26">
        <v>0</v>
      </c>
      <c r="J26"/>
    </row>
    <row r="27" spans="1:10" ht="15" customHeight="1" x14ac:dyDescent="0.15">
      <c r="A27" s="247">
        <v>26</v>
      </c>
      <c r="B27" s="247" t="s">
        <v>217</v>
      </c>
      <c r="C27" s="8">
        <v>2.6317374706268311</v>
      </c>
      <c r="D27" s="9">
        <v>6</v>
      </c>
      <c r="E27" s="9">
        <v>1.8999999761581421</v>
      </c>
      <c r="F27" s="9">
        <v>3.7300000190734863</v>
      </c>
      <c r="G27" s="9">
        <v>0.58829206228256226</v>
      </c>
      <c r="H27" s="9">
        <v>0.50938338041305542</v>
      </c>
      <c r="I27">
        <v>0.60000002384185791</v>
      </c>
      <c r="J27"/>
    </row>
    <row r="28" spans="1:10" ht="15" customHeight="1" x14ac:dyDescent="0.15">
      <c r="A28" s="248">
        <v>27</v>
      </c>
      <c r="B28" s="248" t="s">
        <v>218</v>
      </c>
      <c r="C28" s="8">
        <v>3.5489687919616699</v>
      </c>
      <c r="D28" s="9">
        <v>0.15000000596046448</v>
      </c>
      <c r="E28" s="9">
        <v>0.80000001192092896</v>
      </c>
      <c r="F28" s="9">
        <v>7.5999999046325684</v>
      </c>
      <c r="G28" s="9">
        <v>0.94544905424118042</v>
      </c>
      <c r="H28" s="9">
        <v>0.10526315867900848</v>
      </c>
      <c r="I28">
        <v>0.11100000143051147</v>
      </c>
      <c r="J28"/>
    </row>
    <row r="29" spans="1:10" ht="15" customHeight="1" x14ac:dyDescent="0.15">
      <c r="A29" s="249">
        <v>28</v>
      </c>
      <c r="B29" s="249" t="s">
        <v>219</v>
      </c>
      <c r="C29" s="8">
        <v>2.1832430362701416</v>
      </c>
      <c r="D29" s="9">
        <v>8.3585052490234375</v>
      </c>
      <c r="E29" s="9">
        <v>2.4000000953674316</v>
      </c>
      <c r="F29" s="9">
        <v>18</v>
      </c>
      <c r="G29" s="9">
        <v>0.84536010026931763</v>
      </c>
      <c r="H29" s="9">
        <v>0.13333334028720856</v>
      </c>
      <c r="I29">
        <v>0</v>
      </c>
      <c r="J29"/>
    </row>
    <row r="30" spans="1:10" ht="15" customHeight="1" x14ac:dyDescent="0.15">
      <c r="A30" s="250">
        <v>29</v>
      </c>
      <c r="B30" s="250" t="s">
        <v>220</v>
      </c>
      <c r="C30" s="8">
        <v>2.4764254093170166</v>
      </c>
      <c r="D30" s="9">
        <v>1</v>
      </c>
      <c r="E30" s="9">
        <v>2.4000000953674316</v>
      </c>
      <c r="F30" s="9">
        <v>19.200000762939453</v>
      </c>
      <c r="G30" s="9">
        <v>0.74896526336669922</v>
      </c>
      <c r="H30" s="9">
        <v>0.125</v>
      </c>
      <c r="I30">
        <v>0.80900001525878906</v>
      </c>
      <c r="J30"/>
    </row>
    <row r="31" spans="1:10" ht="15" customHeight="1" x14ac:dyDescent="0.15">
      <c r="A31" s="251">
        <v>30</v>
      </c>
      <c r="B31" s="251" t="s">
        <v>221</v>
      </c>
      <c r="C31" s="8">
        <v>2.4752211570739746</v>
      </c>
      <c r="D31" s="9">
        <v>0.17837399244308472</v>
      </c>
      <c r="E31" s="9">
        <v>2</v>
      </c>
      <c r="F31" s="9">
        <v>7</v>
      </c>
      <c r="G31" s="9">
        <v>0.40000000596046448</v>
      </c>
      <c r="H31" s="9">
        <v>0.28571429848670959</v>
      </c>
      <c r="I31">
        <v>2.9999999329447746E-2</v>
      </c>
      <c r="J31"/>
    </row>
    <row r="32" spans="1:10" ht="15" customHeight="1" x14ac:dyDescent="0.15">
      <c r="A32" s="252">
        <v>31</v>
      </c>
      <c r="B32" s="252" t="s">
        <v>222</v>
      </c>
      <c r="C32" s="8">
        <v>2.6531791687011719</v>
      </c>
      <c r="D32" s="9">
        <v>0.20000000298023224</v>
      </c>
      <c r="E32" s="9">
        <v>2.4000000953674316</v>
      </c>
      <c r="F32" s="9">
        <v>8.5</v>
      </c>
      <c r="G32" s="9">
        <v>0.34428539872169495</v>
      </c>
      <c r="H32" s="9">
        <v>0.28235295414924622</v>
      </c>
      <c r="I32">
        <v>9.8999999463558197E-2</v>
      </c>
      <c r="J32"/>
    </row>
    <row r="33" spans="1:10" ht="15" customHeight="1" x14ac:dyDescent="0.15">
      <c r="A33" s="253">
        <v>32</v>
      </c>
      <c r="B33" s="253" t="s">
        <v>223</v>
      </c>
      <c r="C33" s="8">
        <v>3.5027787685394287</v>
      </c>
      <c r="D33" s="9">
        <v>0.15395788848400116</v>
      </c>
      <c r="E33" s="9">
        <v>0.80000001192092896</v>
      </c>
      <c r="F33" s="9">
        <v>4</v>
      </c>
      <c r="G33" s="9">
        <v>0.75000095367431641</v>
      </c>
      <c r="H33" s="9">
        <v>0.20000000298023224</v>
      </c>
      <c r="I33">
        <v>2.9999999329447746E-2</v>
      </c>
      <c r="J33"/>
    </row>
    <row r="34" spans="1:10" ht="15" customHeight="1" x14ac:dyDescent="0.15">
      <c r="A34" s="254">
        <v>33</v>
      </c>
      <c r="B34" s="254" t="s">
        <v>224</v>
      </c>
      <c r="C34" s="8">
        <v>3</v>
      </c>
      <c r="D34" s="9">
        <v>4</v>
      </c>
      <c r="E34" s="9">
        <v>0.30000001192092896</v>
      </c>
      <c r="F34" s="9">
        <v>1</v>
      </c>
      <c r="G34" s="9">
        <v>0.25018000602722168</v>
      </c>
      <c r="H34" s="9">
        <v>0.30000001192092896</v>
      </c>
      <c r="I34">
        <v>0.30000001192092896</v>
      </c>
      <c r="J34"/>
    </row>
    <row r="35" spans="1:10" ht="15" customHeight="1" x14ac:dyDescent="0.15">
      <c r="A35" s="255">
        <v>34</v>
      </c>
      <c r="B35" s="255" t="s">
        <v>225</v>
      </c>
      <c r="C35" s="8">
        <v>3.0879049301147461</v>
      </c>
      <c r="D35" s="9">
        <v>0.10000000149011612</v>
      </c>
      <c r="E35" s="9">
        <v>1</v>
      </c>
      <c r="F35" s="9">
        <v>8</v>
      </c>
      <c r="G35" s="9">
        <v>0.69999998807907104</v>
      </c>
      <c r="H35" s="9">
        <v>0.125</v>
      </c>
      <c r="I35">
        <v>7.0000000298023224E-2</v>
      </c>
      <c r="J35"/>
    </row>
    <row r="36" spans="1:10" ht="15" customHeight="1" x14ac:dyDescent="0.15">
      <c r="A36" s="256">
        <v>35</v>
      </c>
      <c r="B36" s="256" t="s">
        <v>226</v>
      </c>
      <c r="C36" s="8">
        <v>2.1057264804840088</v>
      </c>
      <c r="D36" s="9">
        <v>2.4999998509883881E-2</v>
      </c>
      <c r="E36" s="9">
        <v>0.80000001192092896</v>
      </c>
      <c r="F36" s="9">
        <v>5</v>
      </c>
      <c r="G36" s="9">
        <v>0.5</v>
      </c>
      <c r="H36" s="9">
        <v>0.15999999642372131</v>
      </c>
      <c r="I36">
        <v>9.9999997764825821E-3</v>
      </c>
      <c r="J36"/>
    </row>
    <row r="37" spans="1:10" ht="15" customHeight="1" x14ac:dyDescent="0.15">
      <c r="A37" s="257">
        <v>36</v>
      </c>
      <c r="B37" s="257" t="s">
        <v>227</v>
      </c>
      <c r="C37" s="8">
        <v>3.0550215244293213</v>
      </c>
      <c r="D37" s="9">
        <v>8.8856378570199013E-3</v>
      </c>
      <c r="E37" s="9">
        <v>3</v>
      </c>
      <c r="F37" s="9">
        <v>16.798477172851562</v>
      </c>
      <c r="G37" s="9">
        <v>0.41960123181343079</v>
      </c>
      <c r="H37" s="9">
        <v>0.17858761548995972</v>
      </c>
      <c r="I37">
        <v>0</v>
      </c>
      <c r="J37"/>
    </row>
    <row r="38" spans="1:10" ht="15" customHeight="1" x14ac:dyDescent="0.15">
      <c r="A38" s="258">
        <v>37</v>
      </c>
      <c r="B38" s="258" t="s">
        <v>228</v>
      </c>
      <c r="C38" s="8">
        <v>3.1959743499755859</v>
      </c>
      <c r="D38" s="9">
        <v>0.19294460117816925</v>
      </c>
      <c r="E38" s="9">
        <v>2</v>
      </c>
      <c r="F38" s="9">
        <v>5.3150548934936523</v>
      </c>
      <c r="G38" s="9">
        <v>0.28839069604873657</v>
      </c>
      <c r="H38" s="9">
        <v>0.37628963589668274</v>
      </c>
      <c r="I38">
        <v>0.10000000149011612</v>
      </c>
      <c r="J38"/>
    </row>
    <row r="39" spans="1:10" ht="15" customHeight="1" x14ac:dyDescent="0.15">
      <c r="A39" s="259">
        <v>38</v>
      </c>
      <c r="B39" s="259" t="s">
        <v>229</v>
      </c>
      <c r="C39" s="8">
        <v>3.8011186122894287</v>
      </c>
      <c r="D39" s="9">
        <v>0.55000001192092896</v>
      </c>
      <c r="E39" s="9">
        <v>0.60000002384185791</v>
      </c>
      <c r="F39" s="9">
        <v>2.190000057220459</v>
      </c>
      <c r="G39" s="9">
        <v>0.14612120389938354</v>
      </c>
      <c r="H39" s="9">
        <v>0.27397260069847107</v>
      </c>
      <c r="I39">
        <v>4.822000116109848E-2</v>
      </c>
      <c r="J39"/>
    </row>
    <row r="40" spans="1:10" ht="15" customHeight="1" x14ac:dyDescent="0.15">
      <c r="A40" s="260">
        <v>39</v>
      </c>
      <c r="B40" s="260" t="s">
        <v>230</v>
      </c>
      <c r="C40" s="8">
        <v>3.0782234668731689</v>
      </c>
      <c r="D40" s="9">
        <v>0.60000002384185791</v>
      </c>
      <c r="E40" s="9">
        <v>1.5</v>
      </c>
      <c r="F40" s="9">
        <v>10</v>
      </c>
      <c r="G40" s="9">
        <v>0.57199192047119141</v>
      </c>
      <c r="H40" s="9">
        <v>0.15000000596046448</v>
      </c>
      <c r="I40">
        <v>0.30000001192092896</v>
      </c>
      <c r="J40"/>
    </row>
    <row r="41" spans="1:10" ht="15" customHeight="1" x14ac:dyDescent="0.15">
      <c r="A41" s="261">
        <v>40</v>
      </c>
      <c r="B41" s="261" t="s">
        <v>231</v>
      </c>
      <c r="C41" s="8">
        <v>3.7305254936218262</v>
      </c>
      <c r="D41" s="9">
        <v>12</v>
      </c>
      <c r="E41" s="9">
        <v>7.9999998211860657E-2</v>
      </c>
      <c r="F41" s="9">
        <v>1</v>
      </c>
      <c r="G41" s="9">
        <v>7.5000002980232239E-2</v>
      </c>
      <c r="H41" s="9">
        <v>7.9999998211860657E-2</v>
      </c>
      <c r="I41">
        <v>7.2000004351139069E-2</v>
      </c>
      <c r="J41"/>
    </row>
    <row r="42" spans="1:10" ht="15" customHeight="1" x14ac:dyDescent="0.15">
      <c r="A42" s="262">
        <v>41</v>
      </c>
      <c r="B42" s="262" t="s">
        <v>232</v>
      </c>
      <c r="C42" s="8">
        <v>2.0572655200958252</v>
      </c>
      <c r="D42" s="9">
        <v>33.966621398925781</v>
      </c>
      <c r="E42" s="9">
        <v>4.5</v>
      </c>
      <c r="F42" s="9">
        <v>22</v>
      </c>
      <c r="G42" s="9">
        <v>0.82575708627700806</v>
      </c>
      <c r="H42" s="9">
        <v>0.20454545319080353</v>
      </c>
      <c r="I42">
        <v>0</v>
      </c>
      <c r="J42"/>
    </row>
    <row r="43" spans="1:10" ht="15" customHeight="1" x14ac:dyDescent="0.15">
      <c r="A43" s="263">
        <v>42</v>
      </c>
      <c r="B43" s="263" t="s">
        <v>233</v>
      </c>
      <c r="C43" s="8">
        <v>2.0910911560058594</v>
      </c>
      <c r="D43" s="9">
        <v>10.177268028259277</v>
      </c>
      <c r="E43" s="9">
        <v>22</v>
      </c>
      <c r="F43" s="9">
        <v>67</v>
      </c>
      <c r="G43" s="9">
        <v>0.50133997201919556</v>
      </c>
      <c r="H43" s="9">
        <v>0.32835820317268372</v>
      </c>
      <c r="I43">
        <v>0</v>
      </c>
      <c r="J43"/>
    </row>
    <row r="44" spans="1:10" ht="15" customHeight="1" x14ac:dyDescent="0.15">
      <c r="A44" s="264">
        <v>43</v>
      </c>
      <c r="B44" s="264" t="s">
        <v>234</v>
      </c>
      <c r="C44" s="8">
        <v>2.0010011196136475</v>
      </c>
      <c r="D44" s="9">
        <v>7.2145771980285645</v>
      </c>
      <c r="E44" s="9">
        <v>36</v>
      </c>
      <c r="F44" s="9">
        <v>89</v>
      </c>
      <c r="G44" s="9">
        <v>0.50019246339797974</v>
      </c>
      <c r="H44" s="9">
        <v>0.40449437499046326</v>
      </c>
      <c r="I44">
        <v>0</v>
      </c>
      <c r="J44"/>
    </row>
    <row r="45" spans="1:10" ht="15" customHeight="1" x14ac:dyDescent="0.15">
      <c r="A45" s="265">
        <v>44</v>
      </c>
      <c r="B45" s="265" t="s">
        <v>235</v>
      </c>
      <c r="C45" s="8">
        <v>2</v>
      </c>
      <c r="D45" s="9">
        <v>20</v>
      </c>
      <c r="E45" s="9">
        <v>2</v>
      </c>
      <c r="F45" s="9">
        <v>10</v>
      </c>
      <c r="G45" s="9">
        <v>0.10000000149011612</v>
      </c>
      <c r="H45" s="9">
        <v>0.20000000298023224</v>
      </c>
      <c r="I45">
        <v>0</v>
      </c>
      <c r="J45"/>
    </row>
    <row r="46" spans="1:10" ht="15" customHeight="1" x14ac:dyDescent="0.15">
      <c r="A46" s="266">
        <v>45</v>
      </c>
      <c r="B46" s="266" t="s">
        <v>236</v>
      </c>
      <c r="C46" s="8">
        <v>1</v>
      </c>
      <c r="D46" s="9">
        <v>29.777999877929688</v>
      </c>
      <c r="E46" s="9">
        <v>25</v>
      </c>
      <c r="F46" s="10"/>
      <c r="G46" s="9">
        <v>0.21554939448833466</v>
      </c>
      <c r="H46" s="10"/>
      <c r="I46">
        <v>0</v>
      </c>
      <c r="J46"/>
    </row>
    <row r="47" spans="1:10" ht="15" customHeight="1" x14ac:dyDescent="0.15">
      <c r="A47" s="267">
        <v>46</v>
      </c>
      <c r="B47" s="267" t="s">
        <v>237</v>
      </c>
      <c r="C47" s="8">
        <v>1</v>
      </c>
      <c r="D47" s="9">
        <v>175.61700439453125</v>
      </c>
      <c r="E47" s="9">
        <v>9.0139999389648438</v>
      </c>
      <c r="F47" s="10"/>
      <c r="G47" s="9">
        <v>2.4394511710852385E-3</v>
      </c>
      <c r="H47" s="10"/>
      <c r="I47">
        <v>0</v>
      </c>
      <c r="J47"/>
    </row>
    <row r="48" spans="1:10" ht="15" customHeight="1" x14ac:dyDescent="0.15">
      <c r="A48" s="268">
        <v>47</v>
      </c>
      <c r="B48" s="268" t="s">
        <v>238</v>
      </c>
      <c r="C48" s="8">
        <v>1</v>
      </c>
      <c r="D48" s="9">
        <v>25</v>
      </c>
      <c r="E48" s="9">
        <v>182.1300048828125</v>
      </c>
      <c r="F48" s="10"/>
      <c r="G48" s="9">
        <v>0.31222951412200928</v>
      </c>
      <c r="H48" s="10"/>
      <c r="I48">
        <v>0</v>
      </c>
      <c r="J48"/>
    </row>
    <row r="49" spans="1:10" ht="15" customHeight="1" x14ac:dyDescent="0.15">
      <c r="A49" s="269">
        <v>48</v>
      </c>
      <c r="B49" s="269" t="s">
        <v>239</v>
      </c>
      <c r="C49" s="8">
        <v>1</v>
      </c>
      <c r="D49" s="9">
        <v>100</v>
      </c>
      <c r="E49" s="10"/>
      <c r="F49" s="10"/>
      <c r="G49" s="7">
        <v>0.1195986345410347</v>
      </c>
      <c r="H49" s="10"/>
      <c r="I49">
        <v>0</v>
      </c>
      <c r="J49"/>
    </row>
    <row r="50" spans="1:10" ht="15" customHeight="1" x14ac:dyDescent="0.15">
      <c r="A50" s="270">
        <v>49</v>
      </c>
      <c r="B50" s="270" t="s">
        <v>240</v>
      </c>
      <c r="C50" s="8">
        <v>1</v>
      </c>
      <c r="D50" s="9">
        <v>5</v>
      </c>
      <c r="E50" s="10"/>
      <c r="F50" s="10"/>
      <c r="G50" s="7">
        <v>0</v>
      </c>
      <c r="H50" s="10"/>
      <c r="I50">
        <v>0</v>
      </c>
      <c r="J50"/>
    </row>
    <row r="51" spans="1:10" ht="15" customHeight="1" x14ac:dyDescent="0.15">
      <c r="A51" s="271">
        <v>50</v>
      </c>
      <c r="B51" s="271" t="s">
        <v>241</v>
      </c>
      <c r="C51" s="8">
        <v>3.2182445526123047</v>
      </c>
      <c r="D51" s="10"/>
      <c r="E51" s="10"/>
      <c r="F51" s="10"/>
      <c r="G51" s="10"/>
      <c r="H51" s="10"/>
      <c r="I51">
        <v>1.2704300880432129</v>
      </c>
      <c r="J51"/>
    </row>
    <row r="52" spans="1:10" ht="15" customHeight="1" x14ac:dyDescent="0.15">
      <c r="A52" s="272">
        <v>51</v>
      </c>
      <c r="B52" s="272" t="s">
        <v>242</v>
      </c>
      <c r="C52" s="8">
        <v>3.6426420211791992</v>
      </c>
      <c r="D52" s="10"/>
      <c r="E52" s="10"/>
      <c r="F52" s="10"/>
      <c r="G52" s="10"/>
      <c r="H52" s="10"/>
      <c r="I52">
        <v>0.61500000953674316</v>
      </c>
      <c r="J52"/>
    </row>
    <row r="53" spans="1:10" ht="15" customHeight="1" x14ac:dyDescent="0.15">
      <c r="A53" s="273">
        <v>52</v>
      </c>
      <c r="B53" s="273" t="s">
        <v>243</v>
      </c>
      <c r="C53" s="8">
        <v>3.7811031341552734</v>
      </c>
      <c r="D53" s="10"/>
      <c r="E53" s="10"/>
      <c r="F53" s="10"/>
      <c r="G53" s="10"/>
      <c r="H53" s="10"/>
      <c r="I53">
        <v>1.0999999940395355E-2</v>
      </c>
      <c r="J53"/>
    </row>
    <row r="54" spans="1:10" ht="15" customHeight="1" x14ac:dyDescent="0.15">
      <c r="A54" s="274">
        <v>53</v>
      </c>
      <c r="B54" s="274" t="s">
        <v>244</v>
      </c>
      <c r="C54" s="8">
        <v>4.1907424926757812</v>
      </c>
      <c r="D54" s="10"/>
      <c r="E54" s="10"/>
      <c r="F54" s="10"/>
      <c r="G54" s="10"/>
      <c r="H54" s="10"/>
      <c r="I54">
        <v>7.0980004966259003E-2</v>
      </c>
      <c r="J54"/>
    </row>
    <row r="55" spans="1:10" ht="15" customHeight="1" x14ac:dyDescent="0.15">
      <c r="A55" s="275">
        <v>54</v>
      </c>
      <c r="B55" s="275" t="s">
        <v>245</v>
      </c>
      <c r="C55" s="8">
        <v>3.6117935180664062</v>
      </c>
      <c r="D55" s="10"/>
      <c r="E55" s="10"/>
      <c r="F55" s="10"/>
      <c r="G55" s="10"/>
      <c r="H55" s="10"/>
      <c r="I55">
        <v>0.1289999932050705</v>
      </c>
      <c r="J55"/>
    </row>
    <row r="56" spans="1:10" ht="15" customHeight="1" x14ac:dyDescent="0.15">
      <c r="A56" s="276">
        <v>55</v>
      </c>
      <c r="B56" s="276" t="s">
        <v>246</v>
      </c>
      <c r="C56" s="8">
        <v>3.8934965133666992</v>
      </c>
      <c r="D56" s="10"/>
      <c r="E56" s="10"/>
      <c r="F56" s="10"/>
      <c r="G56" s="10"/>
      <c r="H56" s="10"/>
      <c r="I56">
        <v>2.0000000949949026E-3</v>
      </c>
      <c r="J56"/>
    </row>
    <row r="57" spans="1:10" ht="15" customHeight="1" x14ac:dyDescent="0.15">
      <c r="A57" s="277">
        <v>56</v>
      </c>
      <c r="B57" s="277" t="s">
        <v>247</v>
      </c>
      <c r="C57" s="8">
        <v>3.4764254093170166</v>
      </c>
      <c r="D57" s="10"/>
      <c r="E57" s="10"/>
      <c r="F57" s="10"/>
      <c r="G57" s="10"/>
      <c r="H57" s="10"/>
      <c r="I57">
        <v>1.0000000474974513E-3</v>
      </c>
      <c r="J57"/>
    </row>
    <row r="58" spans="1:10" ht="15" customHeight="1" x14ac:dyDescent="0.15">
      <c r="A58" s="278">
        <v>57</v>
      </c>
      <c r="B58" s="278" t="s">
        <v>248</v>
      </c>
      <c r="C58" s="8">
        <v>4.8022117614746094</v>
      </c>
      <c r="D58" s="10"/>
      <c r="E58" s="10"/>
      <c r="F58" s="10"/>
      <c r="G58" s="10"/>
      <c r="H58" s="10"/>
      <c r="I58">
        <v>1.900000061141327E-4</v>
      </c>
      <c r="J58"/>
    </row>
    <row r="59" spans="1:10" ht="15" customHeight="1" x14ac:dyDescent="0.15">
      <c r="A59" s="279">
        <v>58</v>
      </c>
      <c r="B59" s="279" t="s">
        <v>249</v>
      </c>
      <c r="C59" s="8">
        <v>3.9674782752990723</v>
      </c>
      <c r="D59" s="10"/>
      <c r="E59" s="10"/>
      <c r="F59" s="10"/>
      <c r="G59" s="10"/>
      <c r="H59" s="10"/>
      <c r="I59">
        <v>4.1619997024536133</v>
      </c>
      <c r="J59"/>
    </row>
    <row r="60" spans="1:10" ht="15" customHeight="1" x14ac:dyDescent="0.15">
      <c r="A60" s="280">
        <v>59</v>
      </c>
      <c r="B60" s="280" t="s">
        <v>250</v>
      </c>
      <c r="C60" s="8">
        <v>3.1057267189025879</v>
      </c>
      <c r="D60" s="10"/>
      <c r="E60" s="10"/>
      <c r="F60" s="10"/>
      <c r="G60" s="10"/>
      <c r="H60" s="10"/>
      <c r="I60">
        <v>9.9999997764825821E-3</v>
      </c>
      <c r="J60"/>
    </row>
    <row r="61" spans="1:10" ht="15" customHeight="1" x14ac:dyDescent="0.15">
      <c r="A61" s="281">
        <v>60</v>
      </c>
      <c r="B61" s="281" t="s">
        <v>251</v>
      </c>
      <c r="C61" s="8">
        <v>4.7305264472961426</v>
      </c>
      <c r="D61" s="10"/>
      <c r="E61" s="10"/>
      <c r="F61" s="10"/>
      <c r="G61" s="10"/>
      <c r="H61" s="10"/>
      <c r="I61">
        <v>6.7000001668930054E-2</v>
      </c>
      <c r="J61"/>
    </row>
    <row r="62" spans="1:10" ht="15" customHeight="1" x14ac:dyDescent="0.15">
      <c r="A62" s="282">
        <v>61</v>
      </c>
      <c r="B62" s="282" t="s">
        <v>252</v>
      </c>
      <c r="C62" s="8">
        <v>4.3027124404907227</v>
      </c>
      <c r="D62" s="10"/>
      <c r="E62" s="10"/>
      <c r="F62" s="10"/>
      <c r="G62" s="10"/>
      <c r="H62" s="10"/>
      <c r="I62">
        <v>9.9999997473787516E-5</v>
      </c>
      <c r="J62"/>
    </row>
    <row r="63" spans="1:10" ht="15" customHeight="1" x14ac:dyDescent="0.15">
      <c r="A63" s="283">
        <v>62</v>
      </c>
      <c r="B63" s="283" t="s">
        <v>253</v>
      </c>
      <c r="C63" s="8">
        <v>4.5939044952392578</v>
      </c>
      <c r="D63" s="10"/>
      <c r="E63" s="10"/>
      <c r="F63" s="10"/>
      <c r="G63" s="10"/>
      <c r="H63" s="10"/>
      <c r="I63">
        <v>1.205000001937151E-2</v>
      </c>
      <c r="J63"/>
    </row>
    <row r="64" spans="1:10" ht="15" customHeight="1" x14ac:dyDescent="0.15">
      <c r="A64" s="284">
        <v>63</v>
      </c>
      <c r="B64" s="284" t="s">
        <v>254</v>
      </c>
      <c r="C64" s="8">
        <v>4.6867966651916504</v>
      </c>
      <c r="D64" s="10"/>
      <c r="E64" s="10"/>
      <c r="F64" s="10"/>
      <c r="G64" s="10"/>
      <c r="H64" s="10"/>
      <c r="I64">
        <v>5.000000074505806E-2</v>
      </c>
      <c r="J64"/>
    </row>
    <row r="65" spans="1:10" ht="15" customHeight="1" x14ac:dyDescent="0.15">
      <c r="A65" s="285">
        <v>64</v>
      </c>
      <c r="B65" s="285" t="s">
        <v>255</v>
      </c>
      <c r="C65" s="8">
        <v>4.8218975067138672</v>
      </c>
      <c r="D65" s="10"/>
      <c r="E65" s="10"/>
      <c r="F65" s="10"/>
      <c r="G65" s="10"/>
      <c r="H65" s="10"/>
      <c r="I65">
        <v>0.10000000149011612</v>
      </c>
      <c r="J65"/>
    </row>
    <row r="66" spans="1:10" ht="15" customHeight="1" x14ac:dyDescent="0.15">
      <c r="A66" s="286">
        <v>65</v>
      </c>
      <c r="B66" s="286" t="s">
        <v>256</v>
      </c>
      <c r="C66" s="8">
        <v>4.8011188507080078</v>
      </c>
      <c r="D66" s="10"/>
      <c r="E66" s="10"/>
      <c r="F66" s="10"/>
      <c r="G66" s="10"/>
      <c r="H66" s="10"/>
      <c r="I66">
        <v>4.8000000417232513E-2</v>
      </c>
      <c r="J66"/>
    </row>
    <row r="67" spans="1:10" ht="15" customHeight="1" x14ac:dyDescent="0.15">
      <c r="A67" s="287">
        <v>66</v>
      </c>
      <c r="B67" s="287" t="s">
        <v>257</v>
      </c>
      <c r="C67" s="8">
        <v>4.9838051795959473</v>
      </c>
      <c r="D67" s="10"/>
      <c r="E67" s="10"/>
      <c r="F67" s="10"/>
      <c r="G67" s="10"/>
      <c r="H67" s="10"/>
      <c r="I67">
        <v>0.10000000149011612</v>
      </c>
      <c r="J67"/>
    </row>
    <row r="68" spans="1:10" ht="15" customHeight="1" x14ac:dyDescent="0.15">
      <c r="A68" s="288">
        <v>67</v>
      </c>
      <c r="B68" s="288" t="s">
        <v>258</v>
      </c>
      <c r="C68" s="8">
        <v>3.7720839977264404</v>
      </c>
      <c r="D68" s="10"/>
      <c r="E68" s="10"/>
      <c r="F68" s="10"/>
      <c r="G68" s="10"/>
      <c r="H68" s="10"/>
      <c r="I68">
        <v>1.5212000347673893E-2</v>
      </c>
      <c r="J68"/>
    </row>
    <row r="69" spans="1:10" ht="15" customHeight="1" x14ac:dyDescent="0.15">
      <c r="A69" s="289">
        <v>68</v>
      </c>
      <c r="B69" s="289" t="s">
        <v>259</v>
      </c>
      <c r="C69" s="8">
        <v>3.9453599452972412</v>
      </c>
      <c r="D69" s="10"/>
      <c r="E69" s="10"/>
      <c r="F69" s="10"/>
      <c r="G69" s="10"/>
      <c r="H69" s="10"/>
      <c r="I69">
        <v>15.00100040435791</v>
      </c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S2" activePane="bottomRight" state="frozen"/>
      <selection pane="topRight" activeCell="D1" sqref="D1"/>
      <selection pane="bottomLeft" activeCell="A2" sqref="A2"/>
      <selection pane="bottomRight" activeCell="V22" sqref="V22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269</v>
      </c>
      <c r="J1" t="s">
        <v>270</v>
      </c>
      <c r="K1" t="s">
        <v>271</v>
      </c>
      <c r="L1" t="s">
        <v>272</v>
      </c>
      <c r="M1" t="s">
        <v>273</v>
      </c>
      <c r="N1" t="s">
        <v>274</v>
      </c>
      <c r="O1" t="s">
        <v>275</v>
      </c>
      <c r="P1" t="s">
        <v>276</v>
      </c>
      <c r="Q1" t="s">
        <v>277</v>
      </c>
      <c r="R1" t="s">
        <v>278</v>
      </c>
      <c r="S1" t="s">
        <v>279</v>
      </c>
      <c r="T1" t="s">
        <v>280</v>
      </c>
      <c r="U1" t="s">
        <v>281</v>
      </c>
      <c r="V1" t="s">
        <v>282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204</v>
      </c>
      <c r="AJ1" t="s">
        <v>205</v>
      </c>
      <c r="AK1" t="s">
        <v>206</v>
      </c>
      <c r="AL1" t="s">
        <v>207</v>
      </c>
      <c r="AM1" t="s">
        <v>208</v>
      </c>
      <c r="AN1" t="s">
        <v>209</v>
      </c>
      <c r="AO1" t="s">
        <v>210</v>
      </c>
      <c r="AP1" t="s">
        <v>211</v>
      </c>
      <c r="AQ1" t="s">
        <v>212</v>
      </c>
      <c r="AR1" t="s">
        <v>213</v>
      </c>
      <c r="AS1" t="s">
        <v>214</v>
      </c>
      <c r="AT1" t="s">
        <v>215</v>
      </c>
      <c r="AU1" t="s">
        <v>216</v>
      </c>
      <c r="AV1" t="s">
        <v>217</v>
      </c>
      <c r="AW1" t="s">
        <v>218</v>
      </c>
      <c r="AX1" t="s">
        <v>219</v>
      </c>
      <c r="AY1" t="s">
        <v>220</v>
      </c>
      <c r="AZ1" t="s">
        <v>221</v>
      </c>
      <c r="BA1" t="s">
        <v>222</v>
      </c>
      <c r="BB1" t="s">
        <v>223</v>
      </c>
      <c r="BC1" t="s">
        <v>224</v>
      </c>
      <c r="BD1" t="s">
        <v>225</v>
      </c>
      <c r="BE1" t="s">
        <v>226</v>
      </c>
      <c r="BF1" t="s">
        <v>227</v>
      </c>
      <c r="BG1" t="s">
        <v>228</v>
      </c>
      <c r="BH1" t="s">
        <v>229</v>
      </c>
      <c r="BI1" t="s">
        <v>230</v>
      </c>
      <c r="BJ1" t="s">
        <v>231</v>
      </c>
      <c r="BK1" t="s">
        <v>232</v>
      </c>
      <c r="BL1" t="s">
        <v>233</v>
      </c>
      <c r="BM1" t="s">
        <v>234</v>
      </c>
      <c r="BN1" t="s">
        <v>235</v>
      </c>
      <c r="BO1" t="s">
        <v>236</v>
      </c>
      <c r="BP1" t="s">
        <v>237</v>
      </c>
      <c r="BQ1" t="s">
        <v>238</v>
      </c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</v>
      </c>
      <c r="C2">
        <v>0.89783239364624023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 s="190">
        <v>0.45543929934501648</v>
      </c>
      <c r="AA2"/>
      <c r="AB2"/>
      <c r="AC2"/>
      <c r="AD2" s="189">
        <v>0.30201953649520874</v>
      </c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 s="104">
        <v>0.34470883011817932</v>
      </c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3.5</v>
      </c>
      <c r="C3">
        <v>3.4386377334594727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 s="19">
        <v>6.1362270265817642E-2</v>
      </c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1.1000000238418579</v>
      </c>
      <c r="C4">
        <v>1.1000000238418579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0.60000002384185791</v>
      </c>
      <c r="C5">
        <v>0.49721220135688782</v>
      </c>
      <c r="D5" s="23">
        <v>3.1147825066000223E-3</v>
      </c>
      <c r="E5"/>
      <c r="F5"/>
      <c r="G5" s="15">
        <v>6.2295650132000446E-3</v>
      </c>
      <c r="H5"/>
      <c r="I5"/>
      <c r="J5"/>
      <c r="K5"/>
      <c r="L5"/>
      <c r="M5"/>
      <c r="N5"/>
      <c r="O5"/>
      <c r="P5" s="183">
        <v>9.3443483114242554E-2</v>
      </c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0.15000000596046448</v>
      </c>
      <c r="C6">
        <v>0.1499750018119812</v>
      </c>
      <c r="D6"/>
      <c r="E6"/>
      <c r="F6"/>
      <c r="G6"/>
      <c r="H6"/>
      <c r="I6"/>
      <c r="J6"/>
      <c r="K6"/>
      <c r="L6"/>
      <c r="M6"/>
      <c r="N6"/>
      <c r="O6"/>
      <c r="P6" s="11">
        <v>2.4999999368446879E-5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6</v>
      </c>
      <c r="C7">
        <v>2.6142301559448242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 s="191">
        <v>3.3857700824737549</v>
      </c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1.3999999761581421</v>
      </c>
      <c r="C8">
        <v>1.3347362279891968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 s="192">
        <v>6.329953670501709E-2</v>
      </c>
      <c r="AE8"/>
      <c r="AF8"/>
      <c r="AG8"/>
      <c r="AH8"/>
      <c r="AI8" s="14">
        <v>1.9642184488475323E-3</v>
      </c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0.69999998807907104</v>
      </c>
      <c r="C9">
        <v>0.47147724032402039</v>
      </c>
      <c r="D9"/>
      <c r="E9"/>
      <c r="F9"/>
      <c r="G9" s="11">
        <v>2.2727272880729288E-4</v>
      </c>
      <c r="H9"/>
      <c r="I9"/>
      <c r="J9"/>
      <c r="K9"/>
      <c r="L9"/>
      <c r="M9"/>
      <c r="N9"/>
      <c r="O9"/>
      <c r="P9"/>
      <c r="Q9" s="184">
        <v>0.22727273404598236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 s="14">
        <v>1.0227408492937684E-3</v>
      </c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3</v>
      </c>
      <c r="C10">
        <v>0.68077540397644043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15">
        <v>3.1667042523622513E-2</v>
      </c>
      <c r="Z10" s="21">
        <v>5.6594546884298325E-2</v>
      </c>
      <c r="AA10" s="195">
        <v>0.31135833263397217</v>
      </c>
      <c r="AB10"/>
      <c r="AC10"/>
      <c r="AD10" s="198">
        <v>1.9100399017333984</v>
      </c>
      <c r="AE10"/>
      <c r="AF10"/>
      <c r="AG10"/>
      <c r="AH10" s="11">
        <v>3.9179874875117093E-5</v>
      </c>
      <c r="AI10"/>
      <c r="AJ10"/>
      <c r="AK10" s="12">
        <v>9.5256809145212173E-3</v>
      </c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1.7999999523162842</v>
      </c>
      <c r="C11">
        <v>0.98202931880950928</v>
      </c>
      <c r="D11" s="167">
        <v>0.47859093546867371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14">
        <v>4.4712061062455177E-3</v>
      </c>
      <c r="Z11" s="12">
        <v>6.8007041700184345E-3</v>
      </c>
      <c r="AA11" s="202">
        <v>0.28558272123336792</v>
      </c>
      <c r="AB11"/>
      <c r="AC11"/>
      <c r="AD11" s="11">
        <v>1.0487934341654181E-3</v>
      </c>
      <c r="AE11"/>
      <c r="AF11"/>
      <c r="AG11"/>
      <c r="AH11"/>
      <c r="AI11" s="11">
        <v>7.0353803494072054E-6</v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 s="11">
        <v>1.1970362538704649E-4</v>
      </c>
      <c r="AX11"/>
      <c r="AY11"/>
      <c r="AZ11"/>
      <c r="BA11"/>
      <c r="BB11"/>
      <c r="BC11"/>
      <c r="BD11"/>
      <c r="BE11"/>
      <c r="BF11"/>
      <c r="BG11"/>
      <c r="BH11"/>
      <c r="BI11"/>
      <c r="BJ11" s="193">
        <v>4.1349507868289948E-2</v>
      </c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0.80000001192092896</v>
      </c>
      <c r="C12">
        <v>0.36656928062438965</v>
      </c>
      <c r="D12" s="168">
        <v>0.3571428656578064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 s="11">
        <v>1.3125174973538378E-6</v>
      </c>
      <c r="AJ12"/>
      <c r="AK12"/>
      <c r="AL12"/>
      <c r="AM12"/>
      <c r="AN12"/>
      <c r="AO12"/>
      <c r="AP12"/>
      <c r="AQ12"/>
      <c r="AR12"/>
      <c r="AS12"/>
      <c r="AT12"/>
      <c r="AU12"/>
      <c r="AV12"/>
      <c r="AW12" s="11">
        <v>2.2331853415380465E-6</v>
      </c>
      <c r="AX12"/>
      <c r="AY12"/>
      <c r="AZ12"/>
      <c r="BA12"/>
      <c r="BB12"/>
      <c r="BC12"/>
      <c r="BD12"/>
      <c r="BE12"/>
      <c r="BF12"/>
      <c r="BG12"/>
      <c r="BH12"/>
      <c r="BI12"/>
      <c r="BJ12" s="203">
        <v>7.6284334063529968E-2</v>
      </c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4</v>
      </c>
      <c r="C13">
        <v>3.9176478385925293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 s="21">
        <v>8.2352250814437866E-2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0.69999998807907104</v>
      </c>
      <c r="C14">
        <v>0.29959997534751892</v>
      </c>
      <c r="D14" s="11">
        <v>1.1999999696854502E-4</v>
      </c>
      <c r="E14"/>
      <c r="F14"/>
      <c r="G14" s="11">
        <v>2.8000000747852027E-4</v>
      </c>
      <c r="H14"/>
      <c r="I14"/>
      <c r="J14"/>
      <c r="K14"/>
      <c r="L14"/>
      <c r="M14"/>
      <c r="N14"/>
      <c r="O14"/>
      <c r="P14"/>
      <c r="Q14"/>
      <c r="R14"/>
      <c r="S14"/>
      <c r="T14" s="187">
        <v>0.40000000596046448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2.7999999523162842</v>
      </c>
      <c r="C15">
        <v>1.8660560846328735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 s="180">
        <v>0.93394392728805542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1.6000000238418579</v>
      </c>
      <c r="C16">
        <v>1.4174817800521851</v>
      </c>
      <c r="D16"/>
      <c r="E16"/>
      <c r="F16"/>
      <c r="G16" s="68">
        <v>0.11235954612493515</v>
      </c>
      <c r="H16"/>
      <c r="I16"/>
      <c r="J16"/>
      <c r="K16"/>
      <c r="L16"/>
      <c r="M16"/>
      <c r="N16"/>
      <c r="O16" s="11">
        <v>1.1235954007133842E-3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 s="20">
        <v>6.90351203083992E-2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</v>
      </c>
      <c r="C17">
        <v>2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0.60000002384185791</v>
      </c>
      <c r="C18">
        <v>0.51859587430953979</v>
      </c>
      <c r="D18"/>
      <c r="E18"/>
      <c r="F18"/>
      <c r="G18"/>
      <c r="H18"/>
      <c r="I18"/>
      <c r="J18"/>
      <c r="K18"/>
      <c r="L18" s="175">
        <v>8.1322811543941498E-2</v>
      </c>
      <c r="M18"/>
      <c r="N18"/>
      <c r="O18"/>
      <c r="P18"/>
      <c r="Q18"/>
      <c r="R18"/>
      <c r="S18"/>
      <c r="T18"/>
      <c r="U18" s="11">
        <v>8.1322803453076631E-5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0.44999998807907104</v>
      </c>
      <c r="C19">
        <v>0.25763458013534546</v>
      </c>
      <c r="D19"/>
      <c r="E19"/>
      <c r="F19"/>
      <c r="G19" s="11">
        <v>3.8461537769762799E-5</v>
      </c>
      <c r="H19"/>
      <c r="I19"/>
      <c r="J19"/>
      <c r="K19" s="11">
        <v>1.92307688848814E-5</v>
      </c>
      <c r="L19"/>
      <c r="M19"/>
      <c r="N19"/>
      <c r="O19"/>
      <c r="P19"/>
      <c r="Q19"/>
      <c r="R19" s="185">
        <v>0.19230769574642181</v>
      </c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0.80000001192092896</v>
      </c>
      <c r="C20">
        <v>0.63999998569488525</v>
      </c>
      <c r="D20"/>
      <c r="E20"/>
      <c r="F20"/>
      <c r="G20"/>
      <c r="H20"/>
      <c r="I20"/>
      <c r="J20"/>
      <c r="K20"/>
      <c r="L20" s="176">
        <v>0.13214422762393951</v>
      </c>
      <c r="M20"/>
      <c r="N20"/>
      <c r="O20"/>
      <c r="P20"/>
      <c r="Q20"/>
      <c r="R20"/>
      <c r="S20"/>
      <c r="T20"/>
      <c r="U20" s="14">
        <v>1.3214421924203634E-3</v>
      </c>
      <c r="V20"/>
      <c r="W20"/>
      <c r="X20"/>
      <c r="Y20"/>
      <c r="Z20"/>
      <c r="AA20"/>
      <c r="AB20"/>
      <c r="AC20"/>
      <c r="AD20"/>
      <c r="AE20"/>
      <c r="AF20"/>
      <c r="AG20"/>
      <c r="AH20"/>
      <c r="AI20" s="193">
        <v>1.8335254862904549E-2</v>
      </c>
      <c r="AJ20"/>
      <c r="AK20"/>
      <c r="AL20"/>
      <c r="AM20"/>
      <c r="AN20"/>
      <c r="AO20" s="15">
        <v>8.1990975886583328E-3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2.5299999713897705</v>
      </c>
      <c r="C21">
        <v>1.0119999647140503</v>
      </c>
      <c r="D21"/>
      <c r="E21" s="12">
        <v>9.1477641835808754E-3</v>
      </c>
      <c r="F21" s="12">
        <v>9.1477641835808754E-3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14">
        <v>3.1137468758970499E-3</v>
      </c>
      <c r="Z21" s="23">
        <v>1.6890924423933029E-2</v>
      </c>
      <c r="AA21" s="29">
        <v>0.11952932178974152</v>
      </c>
      <c r="AB21"/>
      <c r="AC21" s="14">
        <v>7.3841111734509468E-3</v>
      </c>
      <c r="AD21" s="25">
        <v>7.7981211245059967E-2</v>
      </c>
      <c r="AE21"/>
      <c r="AF21"/>
      <c r="AG21"/>
      <c r="AH21" s="11">
        <v>2.0508233865257353E-4</v>
      </c>
      <c r="AI21" s="29">
        <v>0.11807633191347122</v>
      </c>
      <c r="AJ21" s="12">
        <v>9.5838736742734909E-3</v>
      </c>
      <c r="AK21" s="137">
        <v>7.2968088090419769E-2</v>
      </c>
      <c r="AL21"/>
      <c r="AM21"/>
      <c r="AN21"/>
      <c r="AO21" s="65">
        <v>0.106512650847435</v>
      </c>
      <c r="AP21"/>
      <c r="AQ21"/>
      <c r="AR21"/>
      <c r="AS21" s="208">
        <v>0.67098528146743774</v>
      </c>
      <c r="AT21"/>
      <c r="AU21"/>
      <c r="AV21"/>
      <c r="AW21" s="201">
        <v>0.10108128190040588</v>
      </c>
      <c r="AX21"/>
      <c r="AY21"/>
      <c r="AZ21"/>
      <c r="BA21"/>
      <c r="BB21"/>
      <c r="BC21"/>
      <c r="BD21"/>
      <c r="BE21"/>
      <c r="BF21"/>
      <c r="BG21"/>
      <c r="BH21"/>
      <c r="BI21"/>
      <c r="BJ21" s="27">
        <v>0.19539271295070648</v>
      </c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1.0190000534057617</v>
      </c>
      <c r="C22">
        <v>0.25474995374679565</v>
      </c>
      <c r="D22"/>
      <c r="E22"/>
      <c r="F22"/>
      <c r="G22"/>
      <c r="H22"/>
      <c r="I22" s="11">
        <v>1.9672352937050164E-4</v>
      </c>
      <c r="J22"/>
      <c r="K22"/>
      <c r="L22" s="14">
        <v>1.9672352354973555E-3</v>
      </c>
      <c r="M22"/>
      <c r="N22"/>
      <c r="O22"/>
      <c r="P22"/>
      <c r="Q22"/>
      <c r="R22"/>
      <c r="S22"/>
      <c r="T22"/>
      <c r="U22" s="11">
        <v>1.9672352209454402E-6</v>
      </c>
      <c r="V22" s="220">
        <v>0.78689408302307129</v>
      </c>
      <c r="W22"/>
      <c r="X22"/>
      <c r="Y22" s="11">
        <v>2.1370661852415651E-4</v>
      </c>
      <c r="Z22" s="14">
        <v>1.795888994820416E-3</v>
      </c>
      <c r="AA22" s="17">
        <v>1.4848602004349232E-2</v>
      </c>
      <c r="AB22"/>
      <c r="AC22"/>
      <c r="AD22" s="15">
        <v>1.0853035375475883E-2</v>
      </c>
      <c r="AE22"/>
      <c r="AF22"/>
      <c r="AG22"/>
      <c r="AH22" s="11">
        <v>2.6440733336130506E-7</v>
      </c>
      <c r="AI22" s="11">
        <v>1.6229906805165228E-6</v>
      </c>
      <c r="AJ22"/>
      <c r="AK22"/>
      <c r="AL22"/>
      <c r="AM22" s="11">
        <v>1.6438780585303903E-4</v>
      </c>
      <c r="AN22" s="11">
        <v>5.6361668976023793E-4</v>
      </c>
      <c r="AO22" s="18">
        <v>1.1598698794841766E-2</v>
      </c>
      <c r="AP22"/>
      <c r="AQ22"/>
      <c r="AR22"/>
      <c r="AS22" s="29">
        <v>4.8913896083831787E-2</v>
      </c>
      <c r="AT22"/>
      <c r="AU22"/>
      <c r="AV22"/>
      <c r="AW22" s="11">
        <v>1.3189118180889636E-4</v>
      </c>
      <c r="AX22"/>
      <c r="AY22"/>
      <c r="AZ22"/>
      <c r="BA22"/>
      <c r="BB22" s="17">
        <v>1.4852811582386494E-2</v>
      </c>
      <c r="BC22"/>
      <c r="BD22"/>
      <c r="BE22"/>
      <c r="BF22"/>
      <c r="BG22"/>
      <c r="BH22" s="219">
        <v>0.12080218642950058</v>
      </c>
      <c r="BI22"/>
      <c r="BJ22" s="18">
        <v>1.2747454456984997E-2</v>
      </c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1.1000000238418579</v>
      </c>
      <c r="C23">
        <v>0.4326421320438385</v>
      </c>
      <c r="D23"/>
      <c r="E23"/>
      <c r="F23"/>
      <c r="G23"/>
      <c r="H23"/>
      <c r="I23"/>
      <c r="J23"/>
      <c r="K23"/>
      <c r="L23" s="177">
        <v>0.125</v>
      </c>
      <c r="M23"/>
      <c r="N23"/>
      <c r="O23"/>
      <c r="P23"/>
      <c r="Q23"/>
      <c r="R23"/>
      <c r="S23"/>
      <c r="T23"/>
      <c r="U23" s="11">
        <v>3.1250002211891115E-4</v>
      </c>
      <c r="V23"/>
      <c r="W23"/>
      <c r="X23" s="11">
        <v>2.5151341105811298E-4</v>
      </c>
      <c r="Y23" s="18">
        <v>1.2905824929475784E-2</v>
      </c>
      <c r="Z23" s="193">
        <v>2.692745067179203E-2</v>
      </c>
      <c r="AA23" s="28">
        <v>3.8941394537687302E-2</v>
      </c>
      <c r="AB23"/>
      <c r="AC23" s="23">
        <v>5.5718142539262772E-3</v>
      </c>
      <c r="AD23" s="13">
        <v>4.0935024619102478E-2</v>
      </c>
      <c r="AE23"/>
      <c r="AF23"/>
      <c r="AG23"/>
      <c r="AH23" s="11">
        <v>2.9401214760582661E-6</v>
      </c>
      <c r="AI23" s="14">
        <v>2.5078458711504936E-3</v>
      </c>
      <c r="AJ23" s="23">
        <v>5.5652097798883915E-3</v>
      </c>
      <c r="AK23" s="14">
        <v>1.6020196489989758E-3</v>
      </c>
      <c r="AL23"/>
      <c r="AM23" s="14">
        <v>2.9014882165938616E-3</v>
      </c>
      <c r="AN23"/>
      <c r="AO23" s="64">
        <v>2.3097218945622444E-2</v>
      </c>
      <c r="AP23"/>
      <c r="AQ23"/>
      <c r="AR23"/>
      <c r="AS23" s="205">
        <v>9.4967752695083618E-2</v>
      </c>
      <c r="AT23"/>
      <c r="AU23"/>
      <c r="AV23"/>
      <c r="AW23" s="12">
        <v>3.8445857353508472E-3</v>
      </c>
      <c r="AX23"/>
      <c r="AY23"/>
      <c r="AZ23"/>
      <c r="BA23"/>
      <c r="BB23" s="68">
        <v>7.6901957392692566E-2</v>
      </c>
      <c r="BC23"/>
      <c r="BD23"/>
      <c r="BE23"/>
      <c r="BF23"/>
      <c r="BG23"/>
      <c r="BH23"/>
      <c r="BI23"/>
      <c r="BJ23" s="207">
        <v>0.20512129366397858</v>
      </c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1.3999999761581421</v>
      </c>
      <c r="C24">
        <v>0.14000003039836884</v>
      </c>
      <c r="D24"/>
      <c r="E24"/>
      <c r="F24"/>
      <c r="G24"/>
      <c r="H24"/>
      <c r="I24" s="11">
        <v>6.5147184068337083E-4</v>
      </c>
      <c r="J24"/>
      <c r="K24"/>
      <c r="L24" s="178">
        <v>0.97720766067504883</v>
      </c>
      <c r="M24"/>
      <c r="N24"/>
      <c r="O24"/>
      <c r="P24"/>
      <c r="Q24"/>
      <c r="R24"/>
      <c r="S24"/>
      <c r="T24"/>
      <c r="U24" s="14">
        <v>3.2573589123785496E-3</v>
      </c>
      <c r="V24"/>
      <c r="W24"/>
      <c r="X24"/>
      <c r="Y24" s="15">
        <v>1.5086088329553604E-2</v>
      </c>
      <c r="Z24" s="11">
        <v>1.2648074189200997E-3</v>
      </c>
      <c r="AA24" s="22">
        <v>1.159735769033432E-2</v>
      </c>
      <c r="AB24"/>
      <c r="AC24" s="12">
        <v>5.2587059326469898E-3</v>
      </c>
      <c r="AD24" s="22">
        <v>1.0671666823327541E-2</v>
      </c>
      <c r="AE24"/>
      <c r="AF24"/>
      <c r="AG24"/>
      <c r="AH24" s="11">
        <v>1.7512286376586417E-6</v>
      </c>
      <c r="AI24" s="11">
        <v>5.3747138008475304E-4</v>
      </c>
      <c r="AJ24"/>
      <c r="AK24" s="11">
        <v>2.1288538118824363E-4</v>
      </c>
      <c r="AL24"/>
      <c r="AM24"/>
      <c r="AN24" s="137">
        <v>3.9818223565816879E-2</v>
      </c>
      <c r="AO24" s="23">
        <v>7.670245599001646E-3</v>
      </c>
      <c r="AP24"/>
      <c r="AQ24"/>
      <c r="AR24"/>
      <c r="AS24" s="17">
        <v>1.7998199909925461E-2</v>
      </c>
      <c r="AT24"/>
      <c r="AU24"/>
      <c r="AV24"/>
      <c r="AW24" s="11">
        <v>7.2795379674062133E-4</v>
      </c>
      <c r="AX24"/>
      <c r="AY24"/>
      <c r="AZ24"/>
      <c r="BA24"/>
      <c r="BB24" s="64">
        <v>2.8886172920465469E-2</v>
      </c>
      <c r="BC24"/>
      <c r="BD24"/>
      <c r="BE24"/>
      <c r="BF24"/>
      <c r="BG24"/>
      <c r="BH24"/>
      <c r="BI24"/>
      <c r="BJ24" s="134">
        <v>0.13915185630321503</v>
      </c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1.7999999523162842</v>
      </c>
      <c r="C25">
        <v>0.30724069476127625</v>
      </c>
      <c r="D25"/>
      <c r="E25"/>
      <c r="F25" s="11">
        <v>9.090909588849172E-5</v>
      </c>
      <c r="G25"/>
      <c r="H25"/>
      <c r="I25"/>
      <c r="J25"/>
      <c r="K25"/>
      <c r="L25" s="137">
        <v>5.4545458406209946E-2</v>
      </c>
      <c r="M25"/>
      <c r="N25"/>
      <c r="O25"/>
      <c r="P25"/>
      <c r="Q25"/>
      <c r="R25"/>
      <c r="S25"/>
      <c r="T25"/>
      <c r="U25" s="11">
        <v>9.090909588849172E-5</v>
      </c>
      <c r="V25" s="188">
        <v>1</v>
      </c>
      <c r="W25"/>
      <c r="X25"/>
      <c r="Y25"/>
      <c r="Z25"/>
      <c r="AA25"/>
      <c r="AB25"/>
      <c r="AC25" s="11">
        <v>7.3382171103730798E-4</v>
      </c>
      <c r="AD25"/>
      <c r="AE25"/>
      <c r="AF25"/>
      <c r="AG25"/>
      <c r="AH25" s="11">
        <v>2.4437375145680562E-7</v>
      </c>
      <c r="AI25" s="24">
        <v>5.0339303910732269E-2</v>
      </c>
      <c r="AJ25"/>
      <c r="AK25" s="11">
        <v>8.6150044808164239E-5</v>
      </c>
      <c r="AL25"/>
      <c r="AM25"/>
      <c r="AN25" s="15">
        <v>1.8456224352121353E-2</v>
      </c>
      <c r="AO25" s="11">
        <v>1.0703380685299635E-3</v>
      </c>
      <c r="AP25"/>
      <c r="AQ25"/>
      <c r="AR25"/>
      <c r="AS25" s="18">
        <v>2.2603895515203476E-2</v>
      </c>
      <c r="AT25"/>
      <c r="AU25"/>
      <c r="AV25"/>
      <c r="AW25" s="11">
        <v>8.5369683802127838E-4</v>
      </c>
      <c r="AX25"/>
      <c r="AY25"/>
      <c r="AZ25"/>
      <c r="BA25"/>
      <c r="BB25"/>
      <c r="BC25"/>
      <c r="BD25"/>
      <c r="BE25"/>
      <c r="BF25"/>
      <c r="BG25"/>
      <c r="BH25" s="26">
        <v>4.5022562146186829E-2</v>
      </c>
      <c r="BI25"/>
      <c r="BJ25" s="133">
        <v>0.38977479934692383</v>
      </c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2.2999999523162842</v>
      </c>
      <c r="C26">
        <v>1.3271315097808838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 s="15">
        <v>2.4322489276528358E-2</v>
      </c>
      <c r="AA26" s="66">
        <v>0.21126335859298706</v>
      </c>
      <c r="AB26"/>
      <c r="AC26"/>
      <c r="AD26"/>
      <c r="AE26"/>
      <c r="AF26"/>
      <c r="AG26"/>
      <c r="AH26"/>
      <c r="AI26"/>
      <c r="AJ26"/>
      <c r="AK26"/>
      <c r="AL26"/>
      <c r="AM26" s="22">
        <v>1.6219330951571465E-2</v>
      </c>
      <c r="AN26" s="138">
        <v>0.14000913500785828</v>
      </c>
      <c r="AO26"/>
      <c r="AP26"/>
      <c r="AQ26"/>
      <c r="AR26"/>
      <c r="AS26"/>
      <c r="AT26"/>
      <c r="AU26"/>
      <c r="AV26"/>
      <c r="AW26" s="173">
        <v>0.19554825127124786</v>
      </c>
      <c r="AX26"/>
      <c r="AY26"/>
      <c r="AZ26"/>
      <c r="BA26"/>
      <c r="BB26"/>
      <c r="BC26"/>
      <c r="BD26"/>
      <c r="BE26"/>
      <c r="BF26"/>
      <c r="BG26" s="23">
        <v>1.1489317752420902E-2</v>
      </c>
      <c r="BH26"/>
      <c r="BI26"/>
      <c r="BJ26" s="206">
        <v>0.37401643395423889</v>
      </c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1.8999999761581421</v>
      </c>
      <c r="C27">
        <v>0.78224509954452515</v>
      </c>
      <c r="D27"/>
      <c r="E27" s="170">
        <v>0.10000000149011612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14">
        <v>1.9433236448094249E-3</v>
      </c>
      <c r="Z27" s="22">
        <v>1.6227038577198982E-2</v>
      </c>
      <c r="AA27" s="209">
        <v>0.13897256553173065</v>
      </c>
      <c r="AB27"/>
      <c r="AC27"/>
      <c r="AD27" s="11">
        <v>9.1309135314077139E-5</v>
      </c>
      <c r="AE27"/>
      <c r="AF27"/>
      <c r="AG27"/>
      <c r="AH27"/>
      <c r="AI27" s="12">
        <v>6.9375918246805668E-3</v>
      </c>
      <c r="AJ27"/>
      <c r="AK27"/>
      <c r="AL27"/>
      <c r="AM27" s="12">
        <v>6.9852364249527454E-3</v>
      </c>
      <c r="AN27" s="21">
        <v>3.8439009338617325E-2</v>
      </c>
      <c r="AO27"/>
      <c r="AP27"/>
      <c r="AQ27"/>
      <c r="AR27"/>
      <c r="AS27"/>
      <c r="AT27"/>
      <c r="AU27"/>
      <c r="AV27"/>
      <c r="AW27" s="137">
        <v>5.7431291788816452E-2</v>
      </c>
      <c r="AX27"/>
      <c r="AY27"/>
      <c r="AZ27"/>
      <c r="BA27"/>
      <c r="BB27"/>
      <c r="BC27"/>
      <c r="BD27"/>
      <c r="BE27"/>
      <c r="BF27"/>
      <c r="BG27" s="17">
        <v>2.4677811190485954E-2</v>
      </c>
      <c r="BH27" s="23">
        <v>1.146265584975481E-2</v>
      </c>
      <c r="BI27"/>
      <c r="BJ27" s="211">
        <v>0.71458715200424194</v>
      </c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0.80000001192092896</v>
      </c>
      <c r="C28">
        <v>4.3640758842229843E-2</v>
      </c>
      <c r="D28"/>
      <c r="E28"/>
      <c r="F28"/>
      <c r="G28" s="171">
        <v>6.6666662693023682E-2</v>
      </c>
      <c r="H28"/>
      <c r="I28"/>
      <c r="J28"/>
      <c r="K28"/>
      <c r="L28" s="179">
        <v>0.66666662693023682</v>
      </c>
      <c r="M28"/>
      <c r="N28"/>
      <c r="O28"/>
      <c r="P28"/>
      <c r="Q28"/>
      <c r="R28"/>
      <c r="S28"/>
      <c r="T28"/>
      <c r="U28"/>
      <c r="V28" s="22">
        <v>6.6666668280959129E-3</v>
      </c>
      <c r="W28"/>
      <c r="X28"/>
      <c r="Y28"/>
      <c r="Z28"/>
      <c r="AA28" s="16">
        <v>1.1867852881550789E-2</v>
      </c>
      <c r="AB28" s="11">
        <v>2.1841327907168306E-5</v>
      </c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 s="23">
        <v>4.4695953838527203E-3</v>
      </c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2.4000000953674316</v>
      </c>
      <c r="C29">
        <v>0.37113577127456665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 s="11">
        <v>5.9255561791360378E-4</v>
      </c>
      <c r="Y29" s="14">
        <v>4.1632764041423798E-3</v>
      </c>
      <c r="Z29" s="14">
        <v>6.6025052219629288E-3</v>
      </c>
      <c r="AA29" s="16">
        <v>3.7995282560586929E-2</v>
      </c>
      <c r="AB29" s="11">
        <v>7.8391982242465019E-5</v>
      </c>
      <c r="AC29" s="12">
        <v>7.9158628359436989E-3</v>
      </c>
      <c r="AD29" s="14">
        <v>6.5282410942018032E-3</v>
      </c>
      <c r="AE29"/>
      <c r="AF29"/>
      <c r="AG29"/>
      <c r="AH29" s="11">
        <v>2.6178393454756588E-5</v>
      </c>
      <c r="AI29"/>
      <c r="AJ29" s="11">
        <v>5.0136888603447005E-5</v>
      </c>
      <c r="AK29" s="11">
        <v>1.0360183659940958E-3</v>
      </c>
      <c r="AL29"/>
      <c r="AM29"/>
      <c r="AN29"/>
      <c r="AO29" s="11">
        <v>1.4846335398033261E-4</v>
      </c>
      <c r="AP29" s="12">
        <v>9.1549176722764969E-3</v>
      </c>
      <c r="AQ29" s="221">
        <v>1.4368518590927124</v>
      </c>
      <c r="AR29" s="27">
        <v>0.18376491963863373</v>
      </c>
      <c r="AS29" s="210">
        <v>0.29284551739692688</v>
      </c>
      <c r="AT29"/>
      <c r="AU29"/>
      <c r="AV29"/>
      <c r="AW29" s="12">
        <v>1.0235607624053955E-2</v>
      </c>
      <c r="AX29"/>
      <c r="AY29"/>
      <c r="AZ29"/>
      <c r="BA29"/>
      <c r="BB29" s="18">
        <v>2.6089107617735863E-2</v>
      </c>
      <c r="BC29"/>
      <c r="BD29" s="14">
        <v>4.7855451703071594E-3</v>
      </c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2.4000000953674316</v>
      </c>
      <c r="C30">
        <v>0.60248339176177979</v>
      </c>
      <c r="D30"/>
      <c r="E30"/>
      <c r="F30"/>
      <c r="G30"/>
      <c r="H30"/>
      <c r="I30"/>
      <c r="J30" s="11">
        <v>1.0000000474974513E-3</v>
      </c>
      <c r="K30"/>
      <c r="L30" s="180">
        <v>0.80000001192092896</v>
      </c>
      <c r="M30"/>
      <c r="N30"/>
      <c r="O30"/>
      <c r="P30"/>
      <c r="Q30"/>
      <c r="R30"/>
      <c r="S30"/>
      <c r="T30"/>
      <c r="U30" s="12">
        <v>8.0000003799796104E-3</v>
      </c>
      <c r="V30"/>
      <c r="W30"/>
      <c r="X30" s="14">
        <v>3.3431937918066978E-3</v>
      </c>
      <c r="Y30" s="64">
        <v>4.9500435590744019E-2</v>
      </c>
      <c r="Z30" s="199">
        <v>8.0219537019729614E-2</v>
      </c>
      <c r="AA30" s="193">
        <v>5.7677768170833588E-2</v>
      </c>
      <c r="AB30"/>
      <c r="AC30" s="64">
        <v>5.1641598343849182E-2</v>
      </c>
      <c r="AD30" s="192">
        <v>0.10874917358160019</v>
      </c>
      <c r="AE30"/>
      <c r="AF30"/>
      <c r="AG30"/>
      <c r="AH30" s="11">
        <v>2.6881111807597335E-6</v>
      </c>
      <c r="AI30" s="11">
        <v>8.2501099677756429E-4</v>
      </c>
      <c r="AJ30"/>
      <c r="AK30" s="11">
        <v>2.2547547705471516E-3</v>
      </c>
      <c r="AL30" s="11">
        <v>2.0041014067828655E-3</v>
      </c>
      <c r="AM30"/>
      <c r="AN30"/>
      <c r="AO30" s="11">
        <v>1.2409316841512918E-3</v>
      </c>
      <c r="AP30"/>
      <c r="AQ30" s="19">
        <v>4.0670279413461685E-2</v>
      </c>
      <c r="AR30"/>
      <c r="AS30" s="18">
        <v>2.7626983821392059E-2</v>
      </c>
      <c r="AT30"/>
      <c r="AU30"/>
      <c r="AV30"/>
      <c r="AW30" s="16">
        <v>3.8036707788705826E-2</v>
      </c>
      <c r="AX30"/>
      <c r="AY30"/>
      <c r="AZ30"/>
      <c r="BA30" s="11">
        <v>1.7000001389533281E-3</v>
      </c>
      <c r="BB30"/>
      <c r="BC30"/>
      <c r="BD30" s="19">
        <v>4.0000002831220627E-2</v>
      </c>
      <c r="BE30"/>
      <c r="BF30"/>
      <c r="BG30" s="29">
        <v>0.11341921985149384</v>
      </c>
      <c r="BH30" s="18">
        <v>2.6405047625303268E-2</v>
      </c>
      <c r="BI30" s="204">
        <v>0.30000001192092896</v>
      </c>
      <c r="BJ30" s="19">
        <v>4.3199218809604645E-2</v>
      </c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2</v>
      </c>
      <c r="C31">
        <v>1.2000000476837158</v>
      </c>
      <c r="D31"/>
      <c r="E31"/>
      <c r="F31"/>
      <c r="G31"/>
      <c r="H31" s="173">
        <v>0.16818594932556152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 s="14">
        <v>3.071382874622941E-3</v>
      </c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 s="200">
        <v>0.4796348512172699</v>
      </c>
      <c r="AX31"/>
      <c r="AY31"/>
      <c r="AZ31" s="22">
        <v>1.4000000432133675E-2</v>
      </c>
      <c r="BA31" s="193">
        <v>4.7652684152126312E-2</v>
      </c>
      <c r="BB31"/>
      <c r="BC31"/>
      <c r="BD31"/>
      <c r="BE31"/>
      <c r="BF31"/>
      <c r="BG31"/>
      <c r="BH31"/>
      <c r="BI31"/>
      <c r="BJ31" s="20">
        <v>8.7455116212368011E-2</v>
      </c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2.4000000953674316</v>
      </c>
      <c r="C32">
        <v>1.5737150907516479</v>
      </c>
      <c r="D32"/>
      <c r="E32"/>
      <c r="F32"/>
      <c r="G32"/>
      <c r="H32" s="174">
        <v>0.49500000476837158</v>
      </c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 s="193">
        <v>5.8299709111452103E-2</v>
      </c>
      <c r="Z32" s="22">
        <v>1.7762308940291405E-2</v>
      </c>
      <c r="AA32" s="65">
        <v>9.7909785807132721E-2</v>
      </c>
      <c r="AB32"/>
      <c r="AC32"/>
      <c r="AD32" s="14">
        <v>2.7392739430069923E-3</v>
      </c>
      <c r="AE32"/>
      <c r="AF32"/>
      <c r="AG32"/>
      <c r="AH32"/>
      <c r="AI32" s="11">
        <v>3.6750486469827592E-4</v>
      </c>
      <c r="AJ32"/>
      <c r="AK32"/>
      <c r="AL32"/>
      <c r="AM32"/>
      <c r="AN32"/>
      <c r="AO32"/>
      <c r="AP32"/>
      <c r="AQ32"/>
      <c r="AR32"/>
      <c r="AS32"/>
      <c r="AT32"/>
      <c r="AU32"/>
      <c r="AV32"/>
      <c r="AW32" s="170">
        <v>0.12697714567184448</v>
      </c>
      <c r="AX32"/>
      <c r="AY32"/>
      <c r="AZ32" s="22">
        <v>1.8729269504547119E-2</v>
      </c>
      <c r="BA32" s="12">
        <v>8.500000461935997E-3</v>
      </c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0.80000001192092896</v>
      </c>
      <c r="C33">
        <v>0.19999924302101135</v>
      </c>
      <c r="D33"/>
      <c r="E33"/>
      <c r="F33"/>
      <c r="G33"/>
      <c r="H33"/>
      <c r="I33"/>
      <c r="J33"/>
      <c r="K33"/>
      <c r="L33" s="181">
        <v>0.19485847651958466</v>
      </c>
      <c r="M33"/>
      <c r="N33"/>
      <c r="O33"/>
      <c r="P33"/>
      <c r="Q33"/>
      <c r="R33"/>
      <c r="S33"/>
      <c r="T33"/>
      <c r="U33"/>
      <c r="V33"/>
      <c r="W33"/>
      <c r="X33"/>
      <c r="Y33"/>
      <c r="Z33" s="197">
        <v>0.10517561435699463</v>
      </c>
      <c r="AA33"/>
      <c r="AB33"/>
      <c r="AC33"/>
      <c r="AD33" s="75">
        <v>0.17721189558506012</v>
      </c>
      <c r="AE33"/>
      <c r="AF33"/>
      <c r="AG33"/>
      <c r="AH33"/>
      <c r="AI33"/>
      <c r="AJ33"/>
      <c r="AK33" s="72">
        <v>6.2401577830314636E-2</v>
      </c>
      <c r="AL33"/>
      <c r="AM33"/>
      <c r="AN33"/>
      <c r="AO33" s="194">
        <v>6.0353223234415054E-2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0.30000001192092896</v>
      </c>
      <c r="C34">
        <v>0.22494600713253021</v>
      </c>
      <c r="D34"/>
      <c r="E34"/>
      <c r="F34"/>
      <c r="G34"/>
      <c r="H34"/>
      <c r="I34"/>
      <c r="J34"/>
      <c r="K34"/>
      <c r="L34" s="139">
        <v>7.5000002980232239E-2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 s="11">
        <v>5.3999025112716481E-5</v>
      </c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1</v>
      </c>
      <c r="C35">
        <v>0.30000001192092896</v>
      </c>
      <c r="D35" s="169">
        <v>0.19999998807907104</v>
      </c>
      <c r="E35"/>
      <c r="F35"/>
      <c r="G35" s="172">
        <v>0.5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0.80000001192092896</v>
      </c>
      <c r="C36">
        <v>0.40000000596046448</v>
      </c>
      <c r="D36"/>
      <c r="E36"/>
      <c r="F36"/>
      <c r="G36"/>
      <c r="H36"/>
      <c r="I36"/>
      <c r="J36"/>
      <c r="K36"/>
      <c r="L36"/>
      <c r="M36" s="172">
        <v>0.40000000596046448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3</v>
      </c>
      <c r="C37">
        <v>1.7411962747573853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 s="196">
        <v>1.2588037252426147</v>
      </c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2</v>
      </c>
      <c r="C38">
        <v>1.4232186079025269</v>
      </c>
      <c r="D38"/>
      <c r="E38"/>
      <c r="F38"/>
      <c r="G38"/>
      <c r="H38"/>
      <c r="I38"/>
      <c r="J38"/>
      <c r="K38"/>
      <c r="L38" s="182">
        <v>0.51828348636627197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 s="137">
        <v>5.8497913181781769E-2</v>
      </c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0.60000002384185791</v>
      </c>
      <c r="C39">
        <v>0.51232731342315674</v>
      </c>
      <c r="D39"/>
      <c r="E39"/>
      <c r="F39"/>
      <c r="G39" s="11">
        <v>7.2727270890027285E-5</v>
      </c>
      <c r="H39"/>
      <c r="I39"/>
      <c r="J39"/>
      <c r="K39" s="11">
        <v>3.2727271900512278E-4</v>
      </c>
      <c r="L39"/>
      <c r="M39"/>
      <c r="N39"/>
      <c r="O39"/>
      <c r="P39"/>
      <c r="Q39"/>
      <c r="R39"/>
      <c r="S39" s="186">
        <v>8.7272725999355316E-2</v>
      </c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1.5</v>
      </c>
      <c r="C40">
        <v>0.64201211929321289</v>
      </c>
      <c r="D40"/>
      <c r="E40"/>
      <c r="F40"/>
      <c r="G40"/>
      <c r="H40"/>
      <c r="I40"/>
      <c r="J40"/>
      <c r="K40"/>
      <c r="L40" s="180">
        <v>0.5</v>
      </c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 s="17">
        <v>2.125028520822525E-2</v>
      </c>
      <c r="AJ40"/>
      <c r="AK40"/>
      <c r="AL40"/>
      <c r="AM40"/>
      <c r="AN40" s="66">
        <v>0.13874121010303497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 s="197">
        <v>0.19799640774726868</v>
      </c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7.9999998211860657E-2</v>
      </c>
      <c r="C41">
        <v>7.4000000953674316E-2</v>
      </c>
      <c r="D41"/>
      <c r="E41" s="23">
        <v>4.166666476521641E-4</v>
      </c>
      <c r="F41"/>
      <c r="G41"/>
      <c r="H41"/>
      <c r="I41"/>
      <c r="J41"/>
      <c r="K41"/>
      <c r="L41"/>
      <c r="M41"/>
      <c r="N41" s="68">
        <v>5.5833333171904087E-3</v>
      </c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4.5</v>
      </c>
      <c r="C42">
        <v>0.78409314155578613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11">
        <v>2.2527508917846717E-5</v>
      </c>
      <c r="X42" s="11">
        <v>6.6528585739433765E-4</v>
      </c>
      <c r="Y42" s="11">
        <v>3.1982275686459616E-5</v>
      </c>
      <c r="Z42" s="11">
        <v>5.7157922128681093E-5</v>
      </c>
      <c r="AA42" s="11">
        <v>3.1445777858607471E-4</v>
      </c>
      <c r="AB42" s="11">
        <v>1.9290697309770621E-5</v>
      </c>
      <c r="AC42"/>
      <c r="AD42"/>
      <c r="AE42"/>
      <c r="AF42" s="24">
        <v>0.1219395324587822</v>
      </c>
      <c r="AG42" s="12">
        <v>1.383649930357933E-2</v>
      </c>
      <c r="AH42" s="11">
        <v>6.4419787122460548E-6</v>
      </c>
      <c r="AI42"/>
      <c r="AJ42" s="11">
        <v>4.3798782280646265E-4</v>
      </c>
      <c r="AK42" s="11">
        <v>4.1974261403083801E-3</v>
      </c>
      <c r="AL42" s="11">
        <v>9.4403332332149148E-4</v>
      </c>
      <c r="AM42" s="11">
        <v>4.9339613178744912E-4</v>
      </c>
      <c r="AN42"/>
      <c r="AO42" s="11">
        <v>3.6533856473397464E-5</v>
      </c>
      <c r="AP42" s="22">
        <v>3.6946609616279602E-2</v>
      </c>
      <c r="AQ42" s="218">
        <v>0.28281643986701965</v>
      </c>
      <c r="AR42" s="203">
        <v>0.43185928463935852</v>
      </c>
      <c r="AS42" s="16">
        <v>7.2063416242599487E-2</v>
      </c>
      <c r="AT42" s="212">
        <v>1.4256348609924316</v>
      </c>
      <c r="AU42"/>
      <c r="AV42"/>
      <c r="AW42" s="11">
        <v>3.0537690035998821E-3</v>
      </c>
      <c r="AX42" s="210">
        <v>0.54925048351287842</v>
      </c>
      <c r="AY42" s="65">
        <v>0.18201398849487305</v>
      </c>
      <c r="AZ42" s="12">
        <v>1.6247984021902084E-2</v>
      </c>
      <c r="BA42" s="23">
        <v>2.9028497636318207E-2</v>
      </c>
      <c r="BB42" s="11">
        <v>9.2828116612508893E-4</v>
      </c>
      <c r="BC42"/>
      <c r="BD42" s="12">
        <v>1.8842028453946114E-2</v>
      </c>
      <c r="BE42" s="11">
        <v>3.6800833186134696E-4</v>
      </c>
      <c r="BF42" s="11">
        <v>3.5155732184648514E-3</v>
      </c>
      <c r="BG42" s="12">
        <v>2.1974664181470871E-2</v>
      </c>
      <c r="BH42"/>
      <c r="BI42" s="13">
        <v>0.1678118109703064</v>
      </c>
      <c r="BJ42" s="22">
        <v>3.7977777421474457E-2</v>
      </c>
      <c r="BK42" s="74">
        <v>0.29257073998451233</v>
      </c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22</v>
      </c>
      <c r="C43">
        <v>10.970520973205566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 s="11">
        <v>3.0136868008412421E-4</v>
      </c>
      <c r="X43" s="11">
        <v>2.9625487513840199E-3</v>
      </c>
      <c r="Y43"/>
      <c r="Z43"/>
      <c r="AA43"/>
      <c r="AB43" s="11">
        <v>1.2876535765826702E-4</v>
      </c>
      <c r="AC43" s="11">
        <v>2.2137952328193933E-4</v>
      </c>
      <c r="AD43"/>
      <c r="AE43" s="12">
        <v>8.429834246635437E-2</v>
      </c>
      <c r="AF43" s="15">
        <v>0.20297208428382874</v>
      </c>
      <c r="AG43" s="11">
        <v>4.365207627415657E-3</v>
      </c>
      <c r="AH43" s="11">
        <v>6.3985229644458741E-5</v>
      </c>
      <c r="AI43"/>
      <c r="AJ43" s="11">
        <v>3.0882761348038912E-3</v>
      </c>
      <c r="AK43" s="11">
        <v>6.9578960537910461E-3</v>
      </c>
      <c r="AL43" s="11">
        <v>3.9383876719512045E-4</v>
      </c>
      <c r="AM43"/>
      <c r="AN43"/>
      <c r="AO43"/>
      <c r="AP43" s="28">
        <v>0.79699885845184326</v>
      </c>
      <c r="AQ43" s="12">
        <v>7.1931377053260803E-2</v>
      </c>
      <c r="AR43" s="193">
        <v>0.5357823371887207</v>
      </c>
      <c r="AS43" s="64">
        <v>0.47966581583023071</v>
      </c>
      <c r="AT43" s="213">
        <v>5.9475688934326172</v>
      </c>
      <c r="AU43" s="18">
        <v>0.24023748934268951</v>
      </c>
      <c r="AV43" s="64">
        <v>0.48865175247192383</v>
      </c>
      <c r="AW43"/>
      <c r="AX43" s="11">
        <v>1.4783251099288464E-2</v>
      </c>
      <c r="AY43" s="23">
        <v>0.12262623012065887</v>
      </c>
      <c r="AZ43"/>
      <c r="BA43" s="11">
        <v>4.5100515708327293E-3</v>
      </c>
      <c r="BB43"/>
      <c r="BC43"/>
      <c r="BD43" s="11">
        <v>7.8606558963656425E-3</v>
      </c>
      <c r="BE43"/>
      <c r="BF43" s="11">
        <v>1.4666527276858687E-3</v>
      </c>
      <c r="BG43"/>
      <c r="BH43"/>
      <c r="BI43"/>
      <c r="BJ43"/>
      <c r="BK43" s="66">
        <v>2.0116431713104248</v>
      </c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36</v>
      </c>
      <c r="C44">
        <v>17.993070602416992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 s="11">
        <v>3.1906602089293301E-4</v>
      </c>
      <c r="X44"/>
      <c r="Y44"/>
      <c r="Z44"/>
      <c r="AA44"/>
      <c r="AB44" s="11">
        <v>9.0821646153926849E-5</v>
      </c>
      <c r="AC44"/>
      <c r="AD44"/>
      <c r="AE44" s="14">
        <v>9.5137663185596466E-2</v>
      </c>
      <c r="AF44" s="22">
        <v>0.28632324934005737</v>
      </c>
      <c r="AG44" s="11">
        <v>6.1577954329550266E-3</v>
      </c>
      <c r="AH44" s="11">
        <v>1.4903777127983631E-6</v>
      </c>
      <c r="AI44"/>
      <c r="AJ44" s="11">
        <v>4.1241408325731754E-3</v>
      </c>
      <c r="AK44"/>
      <c r="AL44"/>
      <c r="AM44"/>
      <c r="AN44"/>
      <c r="AO44"/>
      <c r="AP44" s="12">
        <v>0.17394664883613586</v>
      </c>
      <c r="AQ44" s="11">
        <v>1.6911707818508148E-2</v>
      </c>
      <c r="AR44" s="18">
        <v>0.42580458521842957</v>
      </c>
      <c r="AS44" s="15">
        <v>0.33927848935127258</v>
      </c>
      <c r="AT44" s="71">
        <v>3.3559832572937012</v>
      </c>
      <c r="AU44" s="64">
        <v>0.79068362712860107</v>
      </c>
      <c r="AV44" s="199">
        <v>1.2063673734664917</v>
      </c>
      <c r="AW44"/>
      <c r="AX44" s="137">
        <v>1.0635560750961304</v>
      </c>
      <c r="AY44" s="12">
        <v>0.17298310995101929</v>
      </c>
      <c r="AZ44"/>
      <c r="BA44"/>
      <c r="BB44"/>
      <c r="BC44"/>
      <c r="BD44"/>
      <c r="BE44"/>
      <c r="BF44" s="11">
        <v>2.0689386874437332E-3</v>
      </c>
      <c r="BG44"/>
      <c r="BH44"/>
      <c r="BI44"/>
      <c r="BJ44"/>
      <c r="BK44" s="201">
        <v>1.3774389028549194</v>
      </c>
      <c r="BL44" s="200">
        <v>8.6007537841796875</v>
      </c>
      <c r="BM44" s="14">
        <v>8.9000009000301361E-2</v>
      </c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2</v>
      </c>
      <c r="C45">
        <v>1.7999999523162842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 s="134">
        <v>0.20000000298023224</v>
      </c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25</v>
      </c>
      <c r="C46">
        <v>19.611265182495117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 s="11">
        <v>2.5696265311125899E-6</v>
      </c>
      <c r="X46"/>
      <c r="Y46"/>
      <c r="Z46"/>
      <c r="AA46"/>
      <c r="AB46"/>
      <c r="AC46"/>
      <c r="AD46"/>
      <c r="AE46"/>
      <c r="AF46" s="14">
        <v>3.4844864159822464E-2</v>
      </c>
      <c r="AG46" s="16">
        <v>0.41372823715209961</v>
      </c>
      <c r="AH46"/>
      <c r="AI46"/>
      <c r="AJ46"/>
      <c r="AK46"/>
      <c r="AL46"/>
      <c r="AM46"/>
      <c r="AN46"/>
      <c r="AO46"/>
      <c r="AP46"/>
      <c r="AQ46" s="22">
        <v>0.20227243006229401</v>
      </c>
      <c r="AR46" s="23">
        <v>0.15216602385044098</v>
      </c>
      <c r="AS46"/>
      <c r="AT46"/>
      <c r="AU46"/>
      <c r="AV46"/>
      <c r="AW46"/>
      <c r="AX46" s="65">
        <v>1.0408133268356323</v>
      </c>
      <c r="AY46" s="11">
        <v>7.0924847386777401E-3</v>
      </c>
      <c r="AZ46"/>
      <c r="BA46"/>
      <c r="BB46"/>
      <c r="BC46"/>
      <c r="BD46"/>
      <c r="BE46"/>
      <c r="BF46"/>
      <c r="BG46"/>
      <c r="BH46"/>
      <c r="BI46"/>
      <c r="BJ46"/>
      <c r="BK46" s="214">
        <v>3.3221867084503174</v>
      </c>
      <c r="BL46"/>
      <c r="BM46" s="22">
        <v>0.21562810242176056</v>
      </c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9.0139999389648438</v>
      </c>
      <c r="C47">
        <v>8.9920110702514648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 s="14">
        <v>1.7734551802277565E-2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 s="11">
        <v>4.254661500453949E-3</v>
      </c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182.1300048828125</v>
      </c>
      <c r="C48">
        <v>125.26364135742188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 s="11">
        <v>2.5506111001050158E-7</v>
      </c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 s="11">
        <v>4.8804329708218575E-3</v>
      </c>
      <c r="AR48" s="11">
        <v>4.6080001629889011E-3</v>
      </c>
      <c r="AS48"/>
      <c r="AT48"/>
      <c r="AU48" s="14">
        <v>0.19559690356254578</v>
      </c>
      <c r="AV48" s="14">
        <v>0.29842320084571838</v>
      </c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 s="192">
        <v>8.0965614318847656</v>
      </c>
      <c r="BL48" s="171">
        <v>14.864917755126953</v>
      </c>
      <c r="BM48" s="215">
        <v>25.401372909545898</v>
      </c>
      <c r="BN48" s="20">
        <v>8</v>
      </c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/>
      <c r="C49">
        <v>0.1195986345410347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 s="9">
        <v>1.5303667169064283E-4</v>
      </c>
      <c r="X49" s="9">
        <v>6.1910992371849716E-5</v>
      </c>
      <c r="Y49"/>
      <c r="Z49"/>
      <c r="AA49"/>
      <c r="AB49"/>
      <c r="AC49"/>
      <c r="AD49"/>
      <c r="AE49" s="9">
        <v>0.17154878377914429</v>
      </c>
      <c r="AF49" s="9">
        <v>0.20942594110965729</v>
      </c>
      <c r="AG49" s="9">
        <v>6.4066805839538574</v>
      </c>
      <c r="AH49"/>
      <c r="AI49"/>
      <c r="AJ49"/>
      <c r="AK49"/>
      <c r="AL49"/>
      <c r="AM49"/>
      <c r="AN49"/>
      <c r="AO49"/>
      <c r="AP49" s="9">
        <v>4.6065897941589355</v>
      </c>
      <c r="AQ49" s="9">
        <v>12.009933471679688</v>
      </c>
      <c r="AR49" s="9">
        <v>9.0240001678466797</v>
      </c>
      <c r="AS49"/>
      <c r="AT49"/>
      <c r="AU49" s="9">
        <v>0.81452542543411255</v>
      </c>
      <c r="AV49" s="9">
        <v>1.2428498268127441</v>
      </c>
      <c r="AW49"/>
      <c r="AX49" s="9">
        <v>92.980010986328125</v>
      </c>
      <c r="AY49" s="9">
        <v>10.310400009155273</v>
      </c>
      <c r="AZ49" s="9">
        <v>0.69048571586608887</v>
      </c>
      <c r="BA49" s="9">
        <v>0.65620005130767822</v>
      </c>
      <c r="BB49"/>
      <c r="BC49"/>
      <c r="BD49"/>
      <c r="BE49" s="9">
        <v>0.11249998956918716</v>
      </c>
      <c r="BF49"/>
      <c r="BG49"/>
      <c r="BH49"/>
      <c r="BI49"/>
      <c r="BJ49"/>
      <c r="BK49" s="9">
        <v>404.82806396484375</v>
      </c>
      <c r="BL49" s="9">
        <v>248.20320129394531</v>
      </c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/>
      <c r="C50">
        <v>0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44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59" t="s">
        <v>192</v>
      </c>
      <c r="E5">
        <v>4</v>
      </c>
      <c r="F5">
        <v>3.24</v>
      </c>
      <c r="G5">
        <v>4</v>
      </c>
      <c r="H5" s="160" t="s">
        <v>192</v>
      </c>
      <c r="J5" s="57"/>
      <c r="K5" s="58"/>
    </row>
    <row r="6" spans="1:12" ht="14" thickBot="1" x14ac:dyDescent="0.2">
      <c r="A6" s="41" t="s">
        <v>121</v>
      </c>
      <c r="D6" s="159" t="s">
        <v>193</v>
      </c>
      <c r="E6">
        <v>5</v>
      </c>
      <c r="F6">
        <v>3.24</v>
      </c>
      <c r="G6">
        <v>5</v>
      </c>
      <c r="H6" s="160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59" t="s">
        <v>194</v>
      </c>
      <c r="E7">
        <v>6</v>
      </c>
      <c r="F7">
        <v>3.24</v>
      </c>
      <c r="G7">
        <v>6</v>
      </c>
      <c r="H7" s="160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59" t="s">
        <v>195</v>
      </c>
      <c r="E8">
        <v>7</v>
      </c>
      <c r="F8">
        <v>3.24</v>
      </c>
      <c r="G8">
        <v>7</v>
      </c>
      <c r="H8" s="160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59" t="s">
        <v>196</v>
      </c>
      <c r="E9">
        <v>8</v>
      </c>
      <c r="F9">
        <v>3.24</v>
      </c>
      <c r="G9">
        <v>8</v>
      </c>
      <c r="H9" s="160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59" t="s">
        <v>197</v>
      </c>
      <c r="E10">
        <v>9</v>
      </c>
      <c r="F10">
        <v>3.14</v>
      </c>
      <c r="G10">
        <v>9</v>
      </c>
      <c r="H10" s="160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59" t="s">
        <v>198</v>
      </c>
      <c r="E11">
        <v>10</v>
      </c>
      <c r="F11">
        <v>3.14</v>
      </c>
      <c r="G11">
        <v>10</v>
      </c>
      <c r="H11" s="160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59" t="s">
        <v>199</v>
      </c>
      <c r="E12">
        <v>11</v>
      </c>
      <c r="F12">
        <v>3.14</v>
      </c>
      <c r="G12">
        <v>11</v>
      </c>
      <c r="H12" s="160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59" t="s">
        <v>200</v>
      </c>
      <c r="E13">
        <v>12</v>
      </c>
      <c r="F13">
        <v>3.14</v>
      </c>
      <c r="G13">
        <v>12</v>
      </c>
      <c r="H13" s="160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59" t="s">
        <v>201</v>
      </c>
      <c r="E14">
        <v>13</v>
      </c>
      <c r="F14">
        <v>3.14</v>
      </c>
      <c r="G14">
        <v>13</v>
      </c>
      <c r="H14" s="160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59" t="s">
        <v>202</v>
      </c>
      <c r="E15">
        <v>14</v>
      </c>
      <c r="F15">
        <v>3.14</v>
      </c>
      <c r="G15">
        <v>14</v>
      </c>
      <c r="H15" s="160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59" t="s">
        <v>203</v>
      </c>
      <c r="E16">
        <v>15</v>
      </c>
      <c r="F16">
        <v>3.14</v>
      </c>
      <c r="G16">
        <v>15</v>
      </c>
      <c r="H16" s="160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59" t="s">
        <v>204</v>
      </c>
      <c r="E17">
        <v>16</v>
      </c>
      <c r="F17">
        <v>3.14</v>
      </c>
      <c r="G17">
        <v>16</v>
      </c>
      <c r="H17" s="160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59" t="s">
        <v>205</v>
      </c>
      <c r="E18">
        <v>17</v>
      </c>
      <c r="F18">
        <v>3.14</v>
      </c>
      <c r="G18">
        <v>17</v>
      </c>
      <c r="H18" s="160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59" t="s">
        <v>206</v>
      </c>
      <c r="E19">
        <v>18</v>
      </c>
      <c r="F19">
        <v>3.14</v>
      </c>
      <c r="G19">
        <v>18</v>
      </c>
      <c r="H19" s="160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59" t="s">
        <v>207</v>
      </c>
      <c r="E20">
        <v>19</v>
      </c>
      <c r="F20">
        <v>3.24</v>
      </c>
      <c r="G20">
        <v>19</v>
      </c>
      <c r="H20" s="160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59" t="s">
        <v>208</v>
      </c>
      <c r="E21">
        <v>20</v>
      </c>
      <c r="F21">
        <v>3.24</v>
      </c>
      <c r="G21">
        <v>20</v>
      </c>
      <c r="H21" s="160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59" t="s">
        <v>209</v>
      </c>
      <c r="E22">
        <v>21</v>
      </c>
      <c r="F22">
        <v>3.24</v>
      </c>
      <c r="G22">
        <v>21</v>
      </c>
      <c r="H22" s="160" t="s">
        <v>209</v>
      </c>
    </row>
    <row r="23" spans="1:12" x14ac:dyDescent="0.15">
      <c r="A23" s="36" t="s">
        <v>129</v>
      </c>
      <c r="B23" s="44">
        <v>4</v>
      </c>
      <c r="C23" s="38"/>
      <c r="D23" s="159" t="s">
        <v>210</v>
      </c>
      <c r="E23">
        <v>22</v>
      </c>
      <c r="F23">
        <v>3.14</v>
      </c>
      <c r="G23">
        <v>22</v>
      </c>
      <c r="H23" s="160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59" t="s">
        <v>211</v>
      </c>
      <c r="E24">
        <v>23</v>
      </c>
      <c r="F24">
        <v>3.14</v>
      </c>
      <c r="G24">
        <v>23</v>
      </c>
      <c r="H24" s="160" t="s">
        <v>211</v>
      </c>
    </row>
    <row r="25" spans="1:12" x14ac:dyDescent="0.15">
      <c r="A25" s="36" t="s">
        <v>70</v>
      </c>
      <c r="B25" s="44">
        <v>4.2</v>
      </c>
      <c r="C25" s="38"/>
      <c r="D25" s="159" t="s">
        <v>212</v>
      </c>
      <c r="E25">
        <v>24</v>
      </c>
      <c r="F25">
        <v>3.24</v>
      </c>
      <c r="G25">
        <v>24</v>
      </c>
      <c r="H25" s="160" t="s">
        <v>212</v>
      </c>
    </row>
    <row r="26" spans="1:12" x14ac:dyDescent="0.15">
      <c r="A26" s="36" t="s">
        <v>123</v>
      </c>
      <c r="B26" s="44">
        <v>4.3</v>
      </c>
      <c r="C26" s="38"/>
      <c r="D26" s="159" t="s">
        <v>213</v>
      </c>
      <c r="E26">
        <v>25</v>
      </c>
      <c r="F26">
        <v>3.04</v>
      </c>
      <c r="G26">
        <v>25</v>
      </c>
      <c r="H26" s="160" t="s">
        <v>213</v>
      </c>
    </row>
    <row r="27" spans="1:12" x14ac:dyDescent="0.15">
      <c r="A27" s="36" t="s">
        <v>125</v>
      </c>
      <c r="B27" s="44">
        <v>6.1</v>
      </c>
      <c r="D27" s="159" t="s">
        <v>214</v>
      </c>
      <c r="E27">
        <v>26</v>
      </c>
      <c r="F27">
        <v>3.24</v>
      </c>
      <c r="G27">
        <v>26</v>
      </c>
      <c r="H27" s="160" t="s">
        <v>214</v>
      </c>
    </row>
    <row r="28" spans="1:12" x14ac:dyDescent="0.15">
      <c r="A28" s="36" t="s">
        <v>124</v>
      </c>
      <c r="B28" s="44">
        <v>6.2</v>
      </c>
      <c r="D28" s="159" t="s">
        <v>215</v>
      </c>
      <c r="E28">
        <v>27</v>
      </c>
      <c r="F28">
        <v>3.14</v>
      </c>
      <c r="G28">
        <v>27</v>
      </c>
      <c r="H28" s="160" t="s">
        <v>215</v>
      </c>
    </row>
    <row r="29" spans="1:12" x14ac:dyDescent="0.15">
      <c r="A29" s="36" t="s">
        <v>44</v>
      </c>
      <c r="B29" s="44">
        <v>5</v>
      </c>
      <c r="D29" s="159" t="s">
        <v>216</v>
      </c>
      <c r="E29">
        <v>28</v>
      </c>
      <c r="F29">
        <v>3.14</v>
      </c>
      <c r="G29">
        <v>28</v>
      </c>
      <c r="H29" s="160" t="s">
        <v>216</v>
      </c>
    </row>
    <row r="30" spans="1:12" x14ac:dyDescent="0.15">
      <c r="A30" s="36" t="s">
        <v>73</v>
      </c>
      <c r="B30" s="44">
        <v>7</v>
      </c>
      <c r="D30" s="159" t="s">
        <v>217</v>
      </c>
      <c r="E30">
        <v>29</v>
      </c>
      <c r="F30">
        <v>3.14</v>
      </c>
      <c r="G30">
        <v>29</v>
      </c>
      <c r="H30" s="160" t="s">
        <v>217</v>
      </c>
    </row>
    <row r="31" spans="1:12" x14ac:dyDescent="0.15">
      <c r="A31" s="36" t="s">
        <v>169</v>
      </c>
      <c r="B31" s="44">
        <v>3.14</v>
      </c>
      <c r="D31" s="159" t="s">
        <v>218</v>
      </c>
      <c r="E31">
        <v>30</v>
      </c>
      <c r="F31">
        <v>3.24</v>
      </c>
      <c r="G31">
        <v>30</v>
      </c>
      <c r="H31" s="160" t="s">
        <v>218</v>
      </c>
    </row>
    <row r="32" spans="1:12" ht="12" customHeight="1" thickBot="1" x14ac:dyDescent="0.2">
      <c r="A32" s="42" t="s">
        <v>170</v>
      </c>
      <c r="B32" s="45">
        <v>9</v>
      </c>
      <c r="D32" s="159" t="s">
        <v>219</v>
      </c>
      <c r="E32">
        <v>31</v>
      </c>
      <c r="F32">
        <v>3.21</v>
      </c>
      <c r="G32">
        <v>31</v>
      </c>
      <c r="H32" s="160" t="s">
        <v>219</v>
      </c>
    </row>
    <row r="33" spans="4:8" customFormat="1" ht="12" customHeight="1" x14ac:dyDescent="0.15">
      <c r="D33" s="159" t="s">
        <v>220</v>
      </c>
      <c r="E33">
        <v>32</v>
      </c>
      <c r="F33">
        <v>3.02</v>
      </c>
      <c r="G33">
        <v>32</v>
      </c>
      <c r="H33" s="160" t="s">
        <v>220</v>
      </c>
    </row>
    <row r="34" spans="4:8" customFormat="1" ht="12" customHeight="1" x14ac:dyDescent="0.15">
      <c r="D34" s="159" t="s">
        <v>221</v>
      </c>
      <c r="E34">
        <v>33</v>
      </c>
      <c r="F34">
        <v>3.21</v>
      </c>
      <c r="G34">
        <v>33</v>
      </c>
      <c r="H34" s="160" t="s">
        <v>221</v>
      </c>
    </row>
    <row r="35" spans="4:8" customFormat="1" x14ac:dyDescent="0.15">
      <c r="D35" s="159" t="s">
        <v>222</v>
      </c>
      <c r="E35">
        <v>34</v>
      </c>
      <c r="F35">
        <v>3.21</v>
      </c>
      <c r="G35">
        <v>34</v>
      </c>
      <c r="H35" s="160" t="s">
        <v>222</v>
      </c>
    </row>
    <row r="36" spans="4:8" customFormat="1" x14ac:dyDescent="0.15">
      <c r="D36" s="159" t="s">
        <v>223</v>
      </c>
      <c r="E36">
        <v>35</v>
      </c>
      <c r="F36">
        <v>3.24</v>
      </c>
      <c r="G36">
        <v>35</v>
      </c>
      <c r="H36" s="160" t="s">
        <v>223</v>
      </c>
    </row>
    <row r="37" spans="4:8" customFormat="1" ht="12" customHeight="1" x14ac:dyDescent="0.15">
      <c r="D37" s="159" t="s">
        <v>224</v>
      </c>
      <c r="E37">
        <v>36</v>
      </c>
      <c r="F37">
        <v>3.24</v>
      </c>
      <c r="G37">
        <v>36</v>
      </c>
      <c r="H37" s="160" t="s">
        <v>224</v>
      </c>
    </row>
    <row r="38" spans="4:8" customFormat="1" x14ac:dyDescent="0.15">
      <c r="D38" s="159" t="s">
        <v>225</v>
      </c>
      <c r="E38">
        <v>37</v>
      </c>
      <c r="F38">
        <v>3.14</v>
      </c>
      <c r="G38">
        <v>37</v>
      </c>
      <c r="H38" s="160" t="s">
        <v>225</v>
      </c>
    </row>
    <row r="39" spans="4:8" customFormat="1" x14ac:dyDescent="0.15">
      <c r="D39" s="159" t="s">
        <v>226</v>
      </c>
      <c r="E39">
        <v>38</v>
      </c>
      <c r="F39">
        <v>3.21</v>
      </c>
      <c r="G39">
        <v>38</v>
      </c>
      <c r="H39" s="160" t="s">
        <v>226</v>
      </c>
    </row>
    <row r="40" spans="4:8" customFormat="1" x14ac:dyDescent="0.15">
      <c r="D40" s="159" t="s">
        <v>227</v>
      </c>
      <c r="E40">
        <v>39</v>
      </c>
      <c r="F40">
        <v>3.24</v>
      </c>
      <c r="G40">
        <v>39</v>
      </c>
      <c r="H40" s="160" t="s">
        <v>227</v>
      </c>
    </row>
    <row r="41" spans="4:8" customFormat="1" x14ac:dyDescent="0.15">
      <c r="D41" s="159" t="s">
        <v>228</v>
      </c>
      <c r="E41">
        <v>40</v>
      </c>
      <c r="F41">
        <v>3.24</v>
      </c>
      <c r="G41">
        <v>40</v>
      </c>
      <c r="H41" s="160" t="s">
        <v>228</v>
      </c>
    </row>
    <row r="42" spans="4:8" customFormat="1" x14ac:dyDescent="0.15">
      <c r="D42" s="159" t="s">
        <v>229</v>
      </c>
      <c r="E42">
        <v>41</v>
      </c>
      <c r="F42">
        <v>3.24</v>
      </c>
      <c r="G42">
        <v>41</v>
      </c>
      <c r="H42" s="160" t="s">
        <v>229</v>
      </c>
    </row>
    <row r="43" spans="4:8" customFormat="1" x14ac:dyDescent="0.15">
      <c r="D43" s="159" t="s">
        <v>230</v>
      </c>
      <c r="E43">
        <v>42</v>
      </c>
      <c r="F43">
        <v>3.24</v>
      </c>
      <c r="G43">
        <v>42</v>
      </c>
      <c r="H43" s="160" t="s">
        <v>230</v>
      </c>
    </row>
    <row r="44" spans="4:8" customFormat="1" x14ac:dyDescent="0.15">
      <c r="D44" s="159" t="s">
        <v>231</v>
      </c>
      <c r="E44">
        <v>43</v>
      </c>
      <c r="F44">
        <v>3.14</v>
      </c>
      <c r="G44">
        <v>43</v>
      </c>
      <c r="H44" s="160" t="s">
        <v>231</v>
      </c>
    </row>
    <row r="45" spans="4:8" customFormat="1" x14ac:dyDescent="0.15">
      <c r="D45" s="159" t="s">
        <v>232</v>
      </c>
      <c r="E45">
        <v>44</v>
      </c>
      <c r="F45">
        <v>3.21</v>
      </c>
      <c r="G45">
        <v>44</v>
      </c>
      <c r="H45" s="160" t="s">
        <v>232</v>
      </c>
    </row>
    <row r="46" spans="4:8" customFormat="1" x14ac:dyDescent="0.15">
      <c r="D46" s="159" t="s">
        <v>233</v>
      </c>
      <c r="E46">
        <v>45</v>
      </c>
      <c r="F46">
        <v>3.11</v>
      </c>
      <c r="G46">
        <v>45</v>
      </c>
      <c r="H46" s="160" t="s">
        <v>233</v>
      </c>
    </row>
    <row r="47" spans="4:8" customFormat="1" x14ac:dyDescent="0.15">
      <c r="D47" s="159" t="s">
        <v>234</v>
      </c>
      <c r="E47">
        <v>46</v>
      </c>
      <c r="F47">
        <v>3.1110000000000002</v>
      </c>
      <c r="G47">
        <v>46</v>
      </c>
      <c r="H47" s="160" t="s">
        <v>234</v>
      </c>
    </row>
    <row r="48" spans="4:8" customFormat="1" x14ac:dyDescent="0.15">
      <c r="D48" s="159" t="s">
        <v>235</v>
      </c>
      <c r="E48">
        <v>47</v>
      </c>
      <c r="F48">
        <v>3.21</v>
      </c>
      <c r="G48">
        <v>47</v>
      </c>
      <c r="H48" s="160" t="s">
        <v>235</v>
      </c>
    </row>
    <row r="49" spans="4:8" customFormat="1" x14ac:dyDescent="0.15">
      <c r="D49" s="159" t="s">
        <v>236</v>
      </c>
      <c r="E49">
        <v>48</v>
      </c>
      <c r="F49">
        <v>2.2000000000000002</v>
      </c>
      <c r="G49">
        <v>48</v>
      </c>
      <c r="H49" s="160" t="s">
        <v>236</v>
      </c>
    </row>
    <row r="50" spans="4:8" customFormat="1" ht="12" customHeight="1" x14ac:dyDescent="0.15">
      <c r="D50" s="159" t="s">
        <v>237</v>
      </c>
      <c r="E50">
        <v>49</v>
      </c>
      <c r="F50">
        <v>2.2200000000000002</v>
      </c>
      <c r="G50">
        <v>49</v>
      </c>
      <c r="H50" s="160" t="s">
        <v>237</v>
      </c>
    </row>
    <row r="51" spans="4:8" customFormat="1" x14ac:dyDescent="0.15">
      <c r="D51" s="159" t="s">
        <v>238</v>
      </c>
      <c r="E51">
        <v>50</v>
      </c>
      <c r="F51">
        <v>2.1</v>
      </c>
      <c r="G51">
        <v>50</v>
      </c>
      <c r="H51" s="160" t="s">
        <v>238</v>
      </c>
    </row>
    <row r="52" spans="4:8" customFormat="1" ht="12" customHeight="1" x14ac:dyDescent="0.15">
      <c r="D52" s="159" t="s">
        <v>239</v>
      </c>
      <c r="E52">
        <v>51</v>
      </c>
      <c r="F52">
        <v>4.0999999999999996</v>
      </c>
      <c r="G52">
        <v>51</v>
      </c>
      <c r="H52" s="160" t="s">
        <v>239</v>
      </c>
    </row>
    <row r="53" spans="4:8" customFormat="1" x14ac:dyDescent="0.15">
      <c r="D53" s="159" t="s">
        <v>240</v>
      </c>
      <c r="E53">
        <v>52</v>
      </c>
      <c r="F53">
        <v>4.3</v>
      </c>
      <c r="G53">
        <v>52</v>
      </c>
      <c r="H53" s="160" t="s">
        <v>240</v>
      </c>
    </row>
    <row r="54" spans="4:8" customFormat="1" ht="12" customHeight="1" x14ac:dyDescent="0.15">
      <c r="D54" s="159" t="s">
        <v>241</v>
      </c>
      <c r="E54">
        <v>53</v>
      </c>
      <c r="F54">
        <v>5</v>
      </c>
      <c r="G54">
        <v>53</v>
      </c>
      <c r="H54" s="160" t="s">
        <v>241</v>
      </c>
    </row>
    <row r="55" spans="4:8" customFormat="1" ht="12" customHeight="1" x14ac:dyDescent="0.15">
      <c r="D55" s="159" t="s">
        <v>242</v>
      </c>
      <c r="E55">
        <v>54</v>
      </c>
      <c r="F55">
        <v>5</v>
      </c>
      <c r="G55">
        <v>54</v>
      </c>
      <c r="H55" s="160" t="s">
        <v>242</v>
      </c>
    </row>
    <row r="56" spans="4:8" customFormat="1" x14ac:dyDescent="0.15">
      <c r="D56" s="159" t="s">
        <v>243</v>
      </c>
      <c r="E56">
        <v>55</v>
      </c>
      <c r="F56">
        <v>5</v>
      </c>
      <c r="G56">
        <v>55</v>
      </c>
      <c r="H56" s="160" t="s">
        <v>243</v>
      </c>
    </row>
    <row r="57" spans="4:8" customFormat="1" x14ac:dyDescent="0.15">
      <c r="D57" s="159" t="s">
        <v>244</v>
      </c>
      <c r="E57">
        <v>56</v>
      </c>
      <c r="F57">
        <v>5</v>
      </c>
      <c r="G57">
        <v>56</v>
      </c>
      <c r="H57" s="160" t="s">
        <v>244</v>
      </c>
    </row>
    <row r="58" spans="4:8" customFormat="1" x14ac:dyDescent="0.15">
      <c r="D58" s="159" t="s">
        <v>245</v>
      </c>
      <c r="E58">
        <v>57</v>
      </c>
      <c r="F58">
        <v>5</v>
      </c>
      <c r="G58">
        <v>57</v>
      </c>
      <c r="H58" s="160" t="s">
        <v>245</v>
      </c>
    </row>
    <row r="59" spans="4:8" customFormat="1" x14ac:dyDescent="0.15">
      <c r="D59" s="159" t="s">
        <v>246</v>
      </c>
      <c r="E59">
        <v>58</v>
      </c>
      <c r="F59">
        <v>5</v>
      </c>
      <c r="G59">
        <v>58</v>
      </c>
      <c r="H59" s="160" t="s">
        <v>246</v>
      </c>
    </row>
    <row r="60" spans="4:8" customFormat="1" x14ac:dyDescent="0.15">
      <c r="D60" s="159" t="s">
        <v>247</v>
      </c>
      <c r="E60">
        <v>59</v>
      </c>
      <c r="F60">
        <v>5</v>
      </c>
      <c r="G60">
        <v>59</v>
      </c>
      <c r="H60" s="160" t="s">
        <v>247</v>
      </c>
    </row>
    <row r="61" spans="4:8" customFormat="1" x14ac:dyDescent="0.15">
      <c r="D61" s="159" t="s">
        <v>248</v>
      </c>
      <c r="E61">
        <v>60</v>
      </c>
      <c r="F61">
        <v>5</v>
      </c>
      <c r="G61">
        <v>60</v>
      </c>
      <c r="H61" s="160" t="s">
        <v>248</v>
      </c>
    </row>
    <row r="62" spans="4:8" customFormat="1" x14ac:dyDescent="0.15">
      <c r="D62" s="159" t="s">
        <v>249</v>
      </c>
      <c r="E62">
        <v>61</v>
      </c>
      <c r="F62">
        <v>5</v>
      </c>
      <c r="G62">
        <v>61</v>
      </c>
      <c r="H62" s="160" t="s">
        <v>249</v>
      </c>
    </row>
    <row r="63" spans="4:8" customFormat="1" x14ac:dyDescent="0.15">
      <c r="D63" s="159" t="s">
        <v>250</v>
      </c>
      <c r="E63">
        <v>62</v>
      </c>
      <c r="F63">
        <v>5</v>
      </c>
      <c r="G63">
        <v>62</v>
      </c>
      <c r="H63" s="160" t="s">
        <v>250</v>
      </c>
    </row>
    <row r="64" spans="4:8" customFormat="1" x14ac:dyDescent="0.15">
      <c r="D64" s="159" t="s">
        <v>251</v>
      </c>
      <c r="E64">
        <v>63</v>
      </c>
      <c r="F64">
        <v>5</v>
      </c>
      <c r="G64">
        <v>63</v>
      </c>
      <c r="H64" s="160" t="s">
        <v>251</v>
      </c>
    </row>
    <row r="65" spans="4:8" customFormat="1" x14ac:dyDescent="0.15">
      <c r="D65" s="159" t="s">
        <v>252</v>
      </c>
      <c r="E65">
        <v>64</v>
      </c>
      <c r="F65">
        <v>5</v>
      </c>
      <c r="G65">
        <v>64</v>
      </c>
      <c r="H65" s="160" t="s">
        <v>252</v>
      </c>
    </row>
    <row r="66" spans="4:8" customFormat="1" x14ac:dyDescent="0.15">
      <c r="D66" s="159" t="s">
        <v>253</v>
      </c>
      <c r="E66">
        <v>65</v>
      </c>
      <c r="F66">
        <v>5</v>
      </c>
      <c r="G66">
        <v>65</v>
      </c>
      <c r="H66" s="160" t="s">
        <v>253</v>
      </c>
    </row>
    <row r="67" spans="4:8" customFormat="1" x14ac:dyDescent="0.15">
      <c r="D67" s="159" t="s">
        <v>254</v>
      </c>
      <c r="E67">
        <v>66</v>
      </c>
      <c r="F67">
        <v>5</v>
      </c>
      <c r="G67">
        <v>66</v>
      </c>
      <c r="H67" s="160" t="s">
        <v>254</v>
      </c>
    </row>
    <row r="68" spans="4:8" customFormat="1" x14ac:dyDescent="0.15">
      <c r="D68" s="159" t="s">
        <v>255</v>
      </c>
      <c r="E68">
        <v>67</v>
      </c>
      <c r="F68">
        <v>5</v>
      </c>
      <c r="G68">
        <v>67</v>
      </c>
      <c r="H68" s="160" t="s">
        <v>255</v>
      </c>
    </row>
    <row r="69" spans="4:8" customFormat="1" x14ac:dyDescent="0.15">
      <c r="D69" s="159" t="s">
        <v>256</v>
      </c>
      <c r="E69">
        <v>68</v>
      </c>
      <c r="F69">
        <v>5</v>
      </c>
      <c r="G69">
        <v>68</v>
      </c>
      <c r="H69" s="160" t="s">
        <v>256</v>
      </c>
    </row>
    <row r="70" spans="4:8" customFormat="1" x14ac:dyDescent="0.15">
      <c r="D70" s="159" t="s">
        <v>257</v>
      </c>
      <c r="E70">
        <v>69</v>
      </c>
      <c r="F70">
        <v>5</v>
      </c>
      <c r="G70">
        <v>69</v>
      </c>
      <c r="H70" s="160" t="s">
        <v>257</v>
      </c>
    </row>
    <row r="71" spans="4:8" customFormat="1" x14ac:dyDescent="0.15">
      <c r="D71" s="159" t="s">
        <v>258</v>
      </c>
      <c r="E71">
        <v>70</v>
      </c>
      <c r="F71">
        <v>5</v>
      </c>
      <c r="G71">
        <v>70</v>
      </c>
      <c r="H71" s="160" t="s">
        <v>258</v>
      </c>
    </row>
    <row r="72" spans="4:8" customFormat="1" x14ac:dyDescent="0.15">
      <c r="D72" s="159" t="s">
        <v>259</v>
      </c>
      <c r="E72">
        <v>71</v>
      </c>
      <c r="F72">
        <v>5</v>
      </c>
      <c r="G72">
        <v>71</v>
      </c>
      <c r="H72" s="160" t="s">
        <v>259</v>
      </c>
    </row>
    <row r="73" spans="4:8" customFormat="1" x14ac:dyDescent="0.15">
      <c r="D73" s="159" t="s">
        <v>138</v>
      </c>
      <c r="E73">
        <v>72</v>
      </c>
      <c r="F73">
        <v>6.1</v>
      </c>
      <c r="G73">
        <v>72</v>
      </c>
      <c r="H73" s="160" t="s">
        <v>138</v>
      </c>
    </row>
    <row r="74" spans="4:8" customFormat="1" x14ac:dyDescent="0.15">
      <c r="D74" s="159" t="s">
        <v>45</v>
      </c>
      <c r="E74">
        <v>73</v>
      </c>
      <c r="F74">
        <v>6.2</v>
      </c>
      <c r="G74">
        <v>73</v>
      </c>
      <c r="H74" s="160" t="s">
        <v>45</v>
      </c>
    </row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22" activePane="bottomLeft" state="frozen"/>
      <selection pane="bottomLeft" activeCell="U27" sqref="U27"/>
    </sheetView>
  </sheetViews>
  <sheetFormatPr baseColWidth="10" defaultColWidth="11.5" defaultRowHeight="15" customHeight="1" x14ac:dyDescent="0.15"/>
  <cols>
    <col min="1" max="1" width="18.33203125" style="81" bestFit="1" customWidth="1"/>
    <col min="2" max="2" width="12.83203125" style="80" customWidth="1"/>
    <col min="3" max="3" width="18.33203125" style="80" customWidth="1"/>
    <col min="4" max="4" width="11.83203125" style="80" customWidth="1"/>
    <col min="5" max="5" width="12.83203125" style="80" customWidth="1"/>
    <col min="6" max="6" width="21.6640625" style="80" bestFit="1" customWidth="1"/>
    <col min="7" max="9" width="2.33203125" style="80" customWidth="1"/>
    <col min="10" max="10" width="2.33203125" style="80" bestFit="1" customWidth="1"/>
    <col min="11" max="15" width="2.33203125" style="80" customWidth="1"/>
    <col min="16" max="16" width="2.33203125" style="69" customWidth="1"/>
    <col min="17" max="17" width="2.33203125" style="80" customWidth="1"/>
    <col min="18" max="18" width="2.33203125" style="70" customWidth="1"/>
    <col min="19" max="16384" width="11.5" style="80"/>
  </cols>
  <sheetData>
    <row r="1" spans="1:23" ht="15" customHeight="1" thickBot="1" x14ac:dyDescent="0.2">
      <c r="F1" s="1"/>
      <c r="G1" s="67" t="s">
        <v>46</v>
      </c>
      <c r="H1" s="67" t="s">
        <v>47</v>
      </c>
      <c r="I1" s="67" t="s">
        <v>120</v>
      </c>
      <c r="J1" s="67" t="s">
        <v>132</v>
      </c>
      <c r="K1" s="82" t="s">
        <v>48</v>
      </c>
      <c r="L1" s="70"/>
      <c r="M1" s="82" t="s">
        <v>119</v>
      </c>
      <c r="N1" s="70"/>
      <c r="O1" s="82" t="s">
        <v>49</v>
      </c>
      <c r="P1" s="73"/>
      <c r="Q1" s="82" t="s">
        <v>50</v>
      </c>
      <c r="R1" s="67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2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2">
        <v>0</v>
      </c>
      <c r="R4" s="106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2">
        <v>0</v>
      </c>
      <c r="R5" s="106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61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1</v>
      </c>
      <c r="L6" s="80">
        <v>0</v>
      </c>
      <c r="M6" s="80">
        <v>1</v>
      </c>
      <c r="N6" s="80">
        <v>0</v>
      </c>
      <c r="O6" s="80">
        <v>1</v>
      </c>
      <c r="P6" s="69">
        <v>0</v>
      </c>
      <c r="Q6" s="80">
        <v>0</v>
      </c>
      <c r="R6" s="70">
        <v>1</v>
      </c>
      <c r="S6"/>
      <c r="T6"/>
    </row>
    <row r="7" spans="1:23" ht="15" customHeight="1" thickBot="1" x14ac:dyDescent="0.2">
      <c r="F7" s="161" t="s">
        <v>193</v>
      </c>
      <c r="G7" s="80">
        <v>0</v>
      </c>
      <c r="H7" s="80">
        <v>0</v>
      </c>
      <c r="I7" s="80">
        <v>0</v>
      </c>
      <c r="J7" s="80">
        <v>0</v>
      </c>
      <c r="K7" s="80">
        <v>1</v>
      </c>
      <c r="L7" s="80">
        <v>0</v>
      </c>
      <c r="M7" s="80">
        <v>1</v>
      </c>
      <c r="N7" s="80">
        <v>0</v>
      </c>
      <c r="O7" s="80">
        <v>1</v>
      </c>
      <c r="P7" s="69">
        <v>0</v>
      </c>
      <c r="Q7" s="80">
        <v>0</v>
      </c>
      <c r="R7" s="70">
        <v>1</v>
      </c>
      <c r="S7"/>
      <c r="T7"/>
    </row>
    <row r="8" spans="1:23" ht="15" customHeight="1" x14ac:dyDescent="0.15">
      <c r="A8" s="82" t="s">
        <v>56</v>
      </c>
      <c r="B8" s="89">
        <v>0.1081937507580811</v>
      </c>
      <c r="C8" s="162" t="s">
        <v>236</v>
      </c>
      <c r="D8" s="84" t="s">
        <v>160</v>
      </c>
      <c r="F8" s="161" t="s">
        <v>194</v>
      </c>
      <c r="G8" s="80">
        <v>0</v>
      </c>
      <c r="H8" s="80">
        <v>0</v>
      </c>
      <c r="I8" s="80">
        <v>0</v>
      </c>
      <c r="J8" s="80">
        <v>0</v>
      </c>
      <c r="K8" s="80">
        <v>1</v>
      </c>
      <c r="L8" s="80">
        <v>0</v>
      </c>
      <c r="M8" s="80">
        <v>1</v>
      </c>
      <c r="N8" s="80">
        <v>0</v>
      </c>
      <c r="O8" s="80">
        <v>1</v>
      </c>
      <c r="P8" s="69">
        <v>0</v>
      </c>
      <c r="Q8" s="80">
        <v>0</v>
      </c>
      <c r="R8" s="70">
        <v>1</v>
      </c>
      <c r="S8"/>
      <c r="T8"/>
      <c r="W8"/>
    </row>
    <row r="9" spans="1:23" ht="15" customHeight="1" x14ac:dyDescent="0.15">
      <c r="A9" s="120" t="s">
        <v>168</v>
      </c>
      <c r="B9" s="91">
        <v>0.23006510391418322</v>
      </c>
      <c r="C9" s="162" t="s">
        <v>237</v>
      </c>
      <c r="D9" s="84" t="s">
        <v>160</v>
      </c>
      <c r="F9" s="161" t="s">
        <v>195</v>
      </c>
      <c r="G9" s="80">
        <v>0</v>
      </c>
      <c r="H9" s="80">
        <v>0</v>
      </c>
      <c r="I9" s="80">
        <v>0</v>
      </c>
      <c r="J9" s="80">
        <v>0</v>
      </c>
      <c r="K9" s="80">
        <v>1</v>
      </c>
      <c r="L9" s="80">
        <v>0</v>
      </c>
      <c r="M9" s="80">
        <v>1</v>
      </c>
      <c r="N9" s="80">
        <v>0</v>
      </c>
      <c r="O9" s="80">
        <v>1</v>
      </c>
      <c r="P9" s="69">
        <v>0</v>
      </c>
      <c r="Q9" s="80">
        <v>0</v>
      </c>
      <c r="R9" s="70">
        <v>1</v>
      </c>
      <c r="S9"/>
      <c r="T9"/>
      <c r="W9"/>
    </row>
    <row r="10" spans="1:23" ht="15" customHeight="1" x14ac:dyDescent="0.15">
      <c r="B10" s="91">
        <v>0.66174114532773565</v>
      </c>
      <c r="C10" s="162" t="s">
        <v>238</v>
      </c>
      <c r="D10" s="84" t="s">
        <v>160</v>
      </c>
      <c r="F10" s="161" t="s">
        <v>196</v>
      </c>
      <c r="G10" s="80">
        <v>0</v>
      </c>
      <c r="H10" s="80">
        <v>0</v>
      </c>
      <c r="I10" s="80">
        <v>0</v>
      </c>
      <c r="J10" s="80">
        <v>0</v>
      </c>
      <c r="K10" s="80">
        <v>1</v>
      </c>
      <c r="L10" s="80">
        <v>0</v>
      </c>
      <c r="M10" s="80">
        <v>1</v>
      </c>
      <c r="N10" s="80">
        <v>0</v>
      </c>
      <c r="O10" s="80">
        <v>1</v>
      </c>
      <c r="P10" s="69">
        <v>0</v>
      </c>
      <c r="Q10" s="80">
        <v>0</v>
      </c>
      <c r="R10" s="70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61" t="s">
        <v>197</v>
      </c>
      <c r="G11" s="80">
        <v>0</v>
      </c>
      <c r="H11" s="80">
        <v>0</v>
      </c>
      <c r="I11" s="80">
        <v>0</v>
      </c>
      <c r="J11" s="80">
        <v>0</v>
      </c>
      <c r="K11" s="80">
        <v>1</v>
      </c>
      <c r="L11" s="80">
        <v>0</v>
      </c>
      <c r="M11" s="80">
        <v>1</v>
      </c>
      <c r="N11" s="80">
        <v>0</v>
      </c>
      <c r="O11" s="80">
        <v>1</v>
      </c>
      <c r="P11" s="69">
        <v>0</v>
      </c>
      <c r="Q11" s="80">
        <v>0</v>
      </c>
      <c r="R11" s="70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61" t="s">
        <v>198</v>
      </c>
      <c r="G12" s="80">
        <v>0</v>
      </c>
      <c r="H12" s="80">
        <v>0</v>
      </c>
      <c r="I12" s="80">
        <v>0</v>
      </c>
      <c r="J12" s="80">
        <v>0</v>
      </c>
      <c r="K12" s="80">
        <v>1</v>
      </c>
      <c r="L12" s="80">
        <v>0</v>
      </c>
      <c r="M12" s="80">
        <v>1</v>
      </c>
      <c r="N12" s="80">
        <v>0</v>
      </c>
      <c r="O12" s="80">
        <v>1</v>
      </c>
      <c r="P12" s="69">
        <v>0</v>
      </c>
      <c r="Q12" s="80">
        <v>0</v>
      </c>
      <c r="R12" s="70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61" t="s">
        <v>199</v>
      </c>
      <c r="G13" s="80">
        <v>0</v>
      </c>
      <c r="H13" s="80">
        <v>0</v>
      </c>
      <c r="I13" s="80">
        <v>0</v>
      </c>
      <c r="J13" s="80">
        <v>0</v>
      </c>
      <c r="K13" s="80">
        <v>1</v>
      </c>
      <c r="L13" s="80">
        <v>0</v>
      </c>
      <c r="M13" s="80">
        <v>1</v>
      </c>
      <c r="N13" s="80">
        <v>0</v>
      </c>
      <c r="O13" s="80">
        <v>1</v>
      </c>
      <c r="P13" s="69">
        <v>0</v>
      </c>
      <c r="Q13" s="80">
        <v>0</v>
      </c>
      <c r="R13" s="70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61" t="s">
        <v>200</v>
      </c>
      <c r="G14" s="80">
        <v>0</v>
      </c>
      <c r="H14" s="80">
        <v>0</v>
      </c>
      <c r="I14" s="80">
        <v>0</v>
      </c>
      <c r="J14" s="80">
        <v>0</v>
      </c>
      <c r="K14" s="80">
        <v>1</v>
      </c>
      <c r="L14" s="80">
        <v>0</v>
      </c>
      <c r="M14" s="80">
        <v>1</v>
      </c>
      <c r="N14" s="80">
        <v>0</v>
      </c>
      <c r="O14" s="80">
        <v>1</v>
      </c>
      <c r="P14" s="69">
        <v>0</v>
      </c>
      <c r="Q14" s="80">
        <v>0</v>
      </c>
      <c r="R14" s="70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61" t="s">
        <v>201</v>
      </c>
      <c r="G15" s="80">
        <v>0</v>
      </c>
      <c r="H15" s="80">
        <v>0</v>
      </c>
      <c r="I15" s="80">
        <v>0</v>
      </c>
      <c r="J15" s="80">
        <v>0</v>
      </c>
      <c r="K15" s="80">
        <v>1</v>
      </c>
      <c r="L15" s="80">
        <v>0</v>
      </c>
      <c r="M15" s="80">
        <v>1</v>
      </c>
      <c r="N15" s="80">
        <v>0</v>
      </c>
      <c r="O15" s="80">
        <v>1</v>
      </c>
      <c r="P15" s="69">
        <v>0</v>
      </c>
      <c r="Q15" s="80">
        <v>0</v>
      </c>
      <c r="R15" s="70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61" t="s">
        <v>202</v>
      </c>
      <c r="G16" s="80">
        <v>0</v>
      </c>
      <c r="H16" s="80">
        <v>0</v>
      </c>
      <c r="I16" s="80">
        <v>0</v>
      </c>
      <c r="J16" s="80">
        <v>0</v>
      </c>
      <c r="K16" s="80">
        <v>1</v>
      </c>
      <c r="L16" s="80">
        <v>0</v>
      </c>
      <c r="M16" s="80">
        <v>1</v>
      </c>
      <c r="N16" s="80">
        <v>0</v>
      </c>
      <c r="O16" s="80">
        <v>1</v>
      </c>
      <c r="P16" s="69">
        <v>0</v>
      </c>
      <c r="Q16" s="80">
        <v>0</v>
      </c>
      <c r="R16" s="70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61" t="s">
        <v>203</v>
      </c>
      <c r="G17" s="80">
        <v>0</v>
      </c>
      <c r="H17" s="80">
        <v>0</v>
      </c>
      <c r="I17" s="80">
        <v>0</v>
      </c>
      <c r="J17" s="80">
        <v>0</v>
      </c>
      <c r="K17" s="80">
        <v>1</v>
      </c>
      <c r="L17" s="80">
        <v>0</v>
      </c>
      <c r="M17" s="80">
        <v>1</v>
      </c>
      <c r="N17" s="80">
        <v>0</v>
      </c>
      <c r="O17" s="80">
        <v>1</v>
      </c>
      <c r="P17" s="69">
        <v>0</v>
      </c>
      <c r="Q17" s="80">
        <v>0</v>
      </c>
      <c r="R17" s="70">
        <v>1</v>
      </c>
      <c r="S17"/>
      <c r="T17"/>
    </row>
    <row r="18" spans="1:20" ht="15" customHeight="1" thickBot="1" x14ac:dyDescent="0.2">
      <c r="B18" s="92"/>
      <c r="F18" s="161" t="s">
        <v>204</v>
      </c>
      <c r="G18" s="80">
        <v>0</v>
      </c>
      <c r="H18" s="80">
        <v>0</v>
      </c>
      <c r="I18" s="80">
        <v>0</v>
      </c>
      <c r="J18" s="80">
        <v>0</v>
      </c>
      <c r="K18" s="80">
        <v>1</v>
      </c>
      <c r="L18" s="80">
        <v>0</v>
      </c>
      <c r="M18" s="80">
        <v>1</v>
      </c>
      <c r="N18" s="80">
        <v>0</v>
      </c>
      <c r="O18" s="80">
        <v>1</v>
      </c>
      <c r="P18" s="69">
        <v>0</v>
      </c>
      <c r="Q18" s="80">
        <v>0</v>
      </c>
      <c r="R18" s="70">
        <v>1</v>
      </c>
      <c r="S18"/>
      <c r="T18"/>
    </row>
    <row r="19" spans="1:20" ht="15" customHeight="1" x14ac:dyDescent="0.15">
      <c r="A19" s="82" t="s">
        <v>57</v>
      </c>
      <c r="B19" s="89">
        <v>0.1081937507580811</v>
      </c>
      <c r="C19" s="163" t="s">
        <v>236</v>
      </c>
      <c r="D19" s="84" t="s">
        <v>160</v>
      </c>
      <c r="F19" s="161" t="s">
        <v>205</v>
      </c>
      <c r="G19" s="80">
        <v>0</v>
      </c>
      <c r="H19" s="80">
        <v>0</v>
      </c>
      <c r="I19" s="80">
        <v>0</v>
      </c>
      <c r="J19" s="80">
        <v>0</v>
      </c>
      <c r="K19" s="80">
        <v>1</v>
      </c>
      <c r="L19" s="80">
        <v>0</v>
      </c>
      <c r="M19" s="80">
        <v>1</v>
      </c>
      <c r="N19" s="80">
        <v>0</v>
      </c>
      <c r="O19" s="80">
        <v>1</v>
      </c>
      <c r="P19" s="69">
        <v>0</v>
      </c>
      <c r="Q19" s="80">
        <v>0</v>
      </c>
      <c r="R19" s="70">
        <v>1</v>
      </c>
      <c r="S19"/>
      <c r="T19"/>
    </row>
    <row r="20" spans="1:20" ht="15" customHeight="1" x14ac:dyDescent="0.15">
      <c r="A20" s="120" t="s">
        <v>168</v>
      </c>
      <c r="B20" s="91">
        <v>0.23006510391418322</v>
      </c>
      <c r="C20" s="163" t="s">
        <v>237</v>
      </c>
      <c r="D20" s="84" t="s">
        <v>160</v>
      </c>
      <c r="F20" s="161" t="s">
        <v>206</v>
      </c>
      <c r="G20" s="80">
        <v>0</v>
      </c>
      <c r="H20" s="80">
        <v>0</v>
      </c>
      <c r="I20" s="80">
        <v>0</v>
      </c>
      <c r="J20" s="80">
        <v>0</v>
      </c>
      <c r="K20" s="80">
        <v>1</v>
      </c>
      <c r="L20" s="80">
        <v>0</v>
      </c>
      <c r="M20" s="80">
        <v>1</v>
      </c>
      <c r="N20" s="80">
        <v>0</v>
      </c>
      <c r="O20" s="80">
        <v>1</v>
      </c>
      <c r="P20" s="69">
        <v>0</v>
      </c>
      <c r="Q20" s="80">
        <v>0</v>
      </c>
      <c r="R20" s="70">
        <v>1</v>
      </c>
      <c r="S20"/>
      <c r="T20"/>
    </row>
    <row r="21" spans="1:20" ht="15" customHeight="1" x14ac:dyDescent="0.15">
      <c r="B21" s="91">
        <v>0.66174114532773565</v>
      </c>
      <c r="C21" s="163" t="s">
        <v>238</v>
      </c>
      <c r="D21" s="84" t="s">
        <v>160</v>
      </c>
      <c r="F21" s="161" t="s">
        <v>207</v>
      </c>
      <c r="G21" s="80">
        <v>0</v>
      </c>
      <c r="H21" s="80">
        <v>0</v>
      </c>
      <c r="I21" s="80">
        <v>0</v>
      </c>
      <c r="J21" s="80">
        <v>0</v>
      </c>
      <c r="K21" s="80">
        <v>1</v>
      </c>
      <c r="L21" s="80">
        <v>0</v>
      </c>
      <c r="M21" s="80">
        <v>1</v>
      </c>
      <c r="N21" s="80">
        <v>0</v>
      </c>
      <c r="O21" s="80">
        <v>1</v>
      </c>
      <c r="P21" s="69">
        <v>0</v>
      </c>
      <c r="Q21" s="80">
        <v>0</v>
      </c>
      <c r="R21" s="70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61" t="s">
        <v>208</v>
      </c>
      <c r="G22" s="80">
        <v>0</v>
      </c>
      <c r="H22" s="80">
        <v>0</v>
      </c>
      <c r="I22" s="80">
        <v>0</v>
      </c>
      <c r="J22" s="80">
        <v>0</v>
      </c>
      <c r="K22" s="80">
        <v>1</v>
      </c>
      <c r="L22" s="80">
        <v>0</v>
      </c>
      <c r="M22" s="80">
        <v>1</v>
      </c>
      <c r="N22" s="80">
        <v>0</v>
      </c>
      <c r="O22" s="80">
        <v>1</v>
      </c>
      <c r="P22" s="69">
        <v>0</v>
      </c>
      <c r="Q22" s="80">
        <v>0</v>
      </c>
      <c r="R22" s="70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61" t="s">
        <v>209</v>
      </c>
      <c r="G23" s="80">
        <v>0</v>
      </c>
      <c r="H23" s="80">
        <v>0</v>
      </c>
      <c r="I23" s="80">
        <v>0</v>
      </c>
      <c r="J23" s="80">
        <v>0</v>
      </c>
      <c r="K23" s="80">
        <v>1</v>
      </c>
      <c r="L23" s="80">
        <v>0</v>
      </c>
      <c r="M23" s="80">
        <v>1</v>
      </c>
      <c r="N23" s="80">
        <v>0</v>
      </c>
      <c r="O23" s="80">
        <v>1</v>
      </c>
      <c r="P23" s="69">
        <v>0</v>
      </c>
      <c r="Q23" s="80">
        <v>0</v>
      </c>
      <c r="R23" s="70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61" t="s">
        <v>210</v>
      </c>
      <c r="G24" s="80">
        <v>0</v>
      </c>
      <c r="H24" s="80">
        <v>0</v>
      </c>
      <c r="I24" s="80">
        <v>0</v>
      </c>
      <c r="J24" s="80">
        <v>0</v>
      </c>
      <c r="K24" s="80">
        <v>1</v>
      </c>
      <c r="L24" s="80">
        <v>0</v>
      </c>
      <c r="M24" s="80">
        <v>1</v>
      </c>
      <c r="N24" s="80">
        <v>0</v>
      </c>
      <c r="O24" s="80">
        <v>1</v>
      </c>
      <c r="P24" s="69">
        <v>0</v>
      </c>
      <c r="Q24" s="80">
        <v>0</v>
      </c>
      <c r="R24" s="70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61" t="s">
        <v>211</v>
      </c>
      <c r="G25" s="80">
        <v>0</v>
      </c>
      <c r="H25" s="80">
        <v>0</v>
      </c>
      <c r="I25" s="80">
        <v>0</v>
      </c>
      <c r="J25" s="80">
        <v>0</v>
      </c>
      <c r="K25" s="80">
        <v>1</v>
      </c>
      <c r="L25" s="80">
        <v>0</v>
      </c>
      <c r="M25" s="80">
        <v>1</v>
      </c>
      <c r="N25" s="80">
        <v>0</v>
      </c>
      <c r="O25" s="80">
        <v>1</v>
      </c>
      <c r="P25" s="69">
        <v>0</v>
      </c>
      <c r="Q25" s="80">
        <v>0</v>
      </c>
      <c r="R25" s="70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61" t="s">
        <v>212</v>
      </c>
      <c r="G26" s="80">
        <v>0</v>
      </c>
      <c r="H26" s="80">
        <v>0</v>
      </c>
      <c r="I26" s="80">
        <v>0</v>
      </c>
      <c r="J26" s="80">
        <v>0</v>
      </c>
      <c r="K26" s="80">
        <v>1</v>
      </c>
      <c r="L26" s="80">
        <v>0</v>
      </c>
      <c r="M26" s="80">
        <v>1</v>
      </c>
      <c r="N26" s="80">
        <v>0</v>
      </c>
      <c r="O26" s="80">
        <v>1</v>
      </c>
      <c r="P26" s="69">
        <v>0</v>
      </c>
      <c r="Q26" s="80">
        <v>0</v>
      </c>
      <c r="R26" s="70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61" t="s">
        <v>213</v>
      </c>
      <c r="G27" s="80">
        <v>0</v>
      </c>
      <c r="H27" s="80">
        <v>0</v>
      </c>
      <c r="I27" s="80">
        <v>0</v>
      </c>
      <c r="J27" s="80">
        <v>0</v>
      </c>
      <c r="K27" s="80">
        <v>1</v>
      </c>
      <c r="L27" s="80">
        <v>0</v>
      </c>
      <c r="M27" s="80">
        <v>1</v>
      </c>
      <c r="N27" s="80">
        <v>0</v>
      </c>
      <c r="O27" s="80">
        <v>1</v>
      </c>
      <c r="P27" s="69">
        <v>0</v>
      </c>
      <c r="Q27" s="80">
        <v>0</v>
      </c>
      <c r="R27" s="70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61" t="s">
        <v>214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1</v>
      </c>
      <c r="N28" s="80">
        <v>0</v>
      </c>
      <c r="O28" s="80">
        <v>1</v>
      </c>
      <c r="P28" s="69">
        <v>0</v>
      </c>
      <c r="Q28" s="80">
        <v>0</v>
      </c>
      <c r="R28" s="70">
        <v>1</v>
      </c>
      <c r="S28"/>
      <c r="T28"/>
    </row>
    <row r="29" spans="1:20" ht="15" customHeight="1" x14ac:dyDescent="0.15">
      <c r="F29" s="161" t="s">
        <v>215</v>
      </c>
      <c r="G29" s="80">
        <v>0</v>
      </c>
      <c r="H29" s="80">
        <v>0</v>
      </c>
      <c r="I29" s="80">
        <v>0</v>
      </c>
      <c r="J29" s="80">
        <v>0</v>
      </c>
      <c r="K29" s="80">
        <v>1</v>
      </c>
      <c r="L29" s="80">
        <v>0</v>
      </c>
      <c r="M29" s="80">
        <v>1</v>
      </c>
      <c r="N29" s="80">
        <v>0</v>
      </c>
      <c r="O29" s="80">
        <v>1</v>
      </c>
      <c r="P29" s="69">
        <v>0</v>
      </c>
      <c r="Q29" s="80">
        <v>0</v>
      </c>
      <c r="R29" s="70">
        <v>1</v>
      </c>
      <c r="S29"/>
      <c r="T29"/>
    </row>
    <row r="30" spans="1:20" ht="15" customHeight="1" x14ac:dyDescent="0.15">
      <c r="F30" s="161" t="s">
        <v>216</v>
      </c>
      <c r="G30" s="80">
        <v>0</v>
      </c>
      <c r="H30" s="80">
        <v>0</v>
      </c>
      <c r="I30" s="80">
        <v>0</v>
      </c>
      <c r="J30" s="80">
        <v>0</v>
      </c>
      <c r="K30" s="80">
        <v>0</v>
      </c>
      <c r="L30" s="80">
        <v>1</v>
      </c>
      <c r="M30" s="80">
        <v>0</v>
      </c>
      <c r="N30" s="80">
        <v>1</v>
      </c>
      <c r="O30" s="80">
        <v>0</v>
      </c>
      <c r="P30" s="69">
        <v>1</v>
      </c>
      <c r="Q30" s="80">
        <v>0</v>
      </c>
      <c r="R30" s="70">
        <v>1</v>
      </c>
      <c r="S30"/>
      <c r="T30"/>
    </row>
    <row r="31" spans="1:20" ht="15" customHeight="1" x14ac:dyDescent="0.15">
      <c r="A31" s="121"/>
      <c r="B31" s="130" t="s">
        <v>17</v>
      </c>
      <c r="C31" s="130" t="s">
        <v>1</v>
      </c>
      <c r="D31" s="130" t="s">
        <v>161</v>
      </c>
      <c r="E31" s="131" t="s">
        <v>163</v>
      </c>
      <c r="F31" s="161" t="s">
        <v>217</v>
      </c>
      <c r="G31" s="80">
        <v>0</v>
      </c>
      <c r="H31" s="80">
        <v>0</v>
      </c>
      <c r="I31" s="80">
        <v>0</v>
      </c>
      <c r="J31" s="80">
        <v>0</v>
      </c>
      <c r="K31" s="80">
        <v>1</v>
      </c>
      <c r="L31" s="80">
        <v>0</v>
      </c>
      <c r="M31" s="80">
        <v>1</v>
      </c>
      <c r="N31" s="80">
        <v>0</v>
      </c>
      <c r="O31" s="80">
        <v>1</v>
      </c>
      <c r="P31" s="69">
        <v>0</v>
      </c>
      <c r="Q31" s="80">
        <v>0</v>
      </c>
      <c r="R31" s="70">
        <v>1</v>
      </c>
      <c r="S31"/>
      <c r="T31"/>
    </row>
    <row r="32" spans="1:20" ht="15" customHeight="1" x14ac:dyDescent="0.15">
      <c r="A32" s="164" t="s">
        <v>236</v>
      </c>
      <c r="B32" s="92">
        <v>29.777999999999999</v>
      </c>
      <c r="C32" s="92">
        <v>25</v>
      </c>
      <c r="D32" s="92">
        <v>744.44999999999993</v>
      </c>
      <c r="E32" s="122">
        <v>0.1081937507580811</v>
      </c>
      <c r="F32" s="161" t="s">
        <v>218</v>
      </c>
      <c r="G32" s="80">
        <v>0</v>
      </c>
      <c r="H32" s="80">
        <v>0</v>
      </c>
      <c r="I32" s="80">
        <v>0</v>
      </c>
      <c r="J32" s="80">
        <v>0</v>
      </c>
      <c r="K32" s="80">
        <v>1</v>
      </c>
      <c r="L32" s="80">
        <v>0</v>
      </c>
      <c r="M32" s="80">
        <v>1</v>
      </c>
      <c r="N32" s="80">
        <v>0</v>
      </c>
      <c r="O32" s="80">
        <v>1</v>
      </c>
      <c r="P32" s="69">
        <v>0</v>
      </c>
      <c r="Q32" s="80">
        <v>0</v>
      </c>
      <c r="R32" s="70">
        <v>1</v>
      </c>
      <c r="S32"/>
      <c r="T32"/>
    </row>
    <row r="33" spans="1:20" ht="15" customHeight="1" x14ac:dyDescent="0.15">
      <c r="A33" s="164" t="s">
        <v>237</v>
      </c>
      <c r="B33" s="92">
        <v>175.61699999999999</v>
      </c>
      <c r="C33" s="92">
        <v>9.0139999999999993</v>
      </c>
      <c r="D33" s="92">
        <v>1583.0116379999997</v>
      </c>
      <c r="E33" s="122">
        <v>0.23006510391418322</v>
      </c>
      <c r="F33" s="161" t="s">
        <v>219</v>
      </c>
      <c r="G33" s="80">
        <v>0</v>
      </c>
      <c r="H33" s="80">
        <v>0</v>
      </c>
      <c r="I33" s="80">
        <v>0</v>
      </c>
      <c r="J33" s="80">
        <v>0</v>
      </c>
      <c r="K33" s="80">
        <v>1</v>
      </c>
      <c r="L33" s="80">
        <v>0</v>
      </c>
      <c r="M33" s="80">
        <v>1</v>
      </c>
      <c r="N33" s="80">
        <v>0</v>
      </c>
      <c r="O33" s="80">
        <v>1</v>
      </c>
      <c r="P33" s="69">
        <v>0</v>
      </c>
      <c r="Q33" s="80">
        <v>0</v>
      </c>
      <c r="R33" s="70">
        <v>1</v>
      </c>
      <c r="S33"/>
      <c r="T33"/>
    </row>
    <row r="34" spans="1:20" ht="15" customHeight="1" x14ac:dyDescent="0.15">
      <c r="A34" s="164" t="s">
        <v>238</v>
      </c>
      <c r="B34" s="92">
        <v>25</v>
      </c>
      <c r="C34" s="92">
        <v>182.13</v>
      </c>
      <c r="D34" s="92">
        <v>4553.25</v>
      </c>
      <c r="E34" s="122">
        <v>0.66174114532773565</v>
      </c>
      <c r="F34" s="161" t="s">
        <v>220</v>
      </c>
      <c r="G34" s="80">
        <v>0</v>
      </c>
      <c r="H34" s="80">
        <v>0</v>
      </c>
      <c r="I34" s="80">
        <v>0</v>
      </c>
      <c r="J34" s="80">
        <v>0</v>
      </c>
      <c r="K34" s="80">
        <v>1</v>
      </c>
      <c r="L34" s="80">
        <v>0</v>
      </c>
      <c r="M34" s="80">
        <v>1</v>
      </c>
      <c r="N34" s="80">
        <v>0</v>
      </c>
      <c r="O34" s="80">
        <v>1</v>
      </c>
      <c r="P34" s="69">
        <v>0</v>
      </c>
      <c r="Q34" s="80">
        <v>0</v>
      </c>
      <c r="R34" s="70">
        <v>1</v>
      </c>
      <c r="S34"/>
      <c r="T34"/>
    </row>
    <row r="35" spans="1:20" ht="15" customHeight="1" x14ac:dyDescent="0.15">
      <c r="A35" s="123"/>
      <c r="B35" s="92"/>
      <c r="C35" s="92"/>
      <c r="D35" s="92"/>
      <c r="E35" s="122"/>
      <c r="F35" s="161" t="s">
        <v>221</v>
      </c>
      <c r="G35" s="80">
        <v>0</v>
      </c>
      <c r="H35" s="80">
        <v>0</v>
      </c>
      <c r="I35" s="80">
        <v>0</v>
      </c>
      <c r="J35" s="80">
        <v>0</v>
      </c>
      <c r="K35" s="80">
        <v>1</v>
      </c>
      <c r="L35" s="80">
        <v>0</v>
      </c>
      <c r="M35" s="80">
        <v>1</v>
      </c>
      <c r="N35" s="80">
        <v>0</v>
      </c>
      <c r="O35" s="80">
        <v>1</v>
      </c>
      <c r="P35" s="69">
        <v>0</v>
      </c>
      <c r="Q35" s="80">
        <v>0</v>
      </c>
      <c r="R35" s="70">
        <v>1</v>
      </c>
      <c r="S35"/>
      <c r="T35"/>
    </row>
    <row r="36" spans="1:20" ht="15" customHeight="1" x14ac:dyDescent="0.15">
      <c r="A36" s="124"/>
      <c r="B36" s="92"/>
      <c r="C36" s="92"/>
      <c r="D36" s="92"/>
      <c r="E36" s="122"/>
      <c r="F36" s="161" t="s">
        <v>222</v>
      </c>
      <c r="G36" s="80">
        <v>0</v>
      </c>
      <c r="H36" s="80">
        <v>0</v>
      </c>
      <c r="I36" s="80">
        <v>0</v>
      </c>
      <c r="J36" s="80">
        <v>0</v>
      </c>
      <c r="K36" s="80">
        <v>1</v>
      </c>
      <c r="L36" s="80">
        <v>0</v>
      </c>
      <c r="M36" s="80">
        <v>1</v>
      </c>
      <c r="N36" s="80">
        <v>0</v>
      </c>
      <c r="O36" s="80">
        <v>1</v>
      </c>
      <c r="P36" s="69">
        <v>0</v>
      </c>
      <c r="Q36" s="80">
        <v>0</v>
      </c>
      <c r="R36" s="70">
        <v>1</v>
      </c>
      <c r="S36"/>
      <c r="T36"/>
    </row>
    <row r="37" spans="1:20" ht="15" customHeight="1" x14ac:dyDescent="0.15">
      <c r="A37" s="124"/>
      <c r="B37" s="92"/>
      <c r="C37" s="92"/>
      <c r="D37" s="92"/>
      <c r="E37" s="122"/>
      <c r="F37" s="161" t="s">
        <v>223</v>
      </c>
      <c r="G37" s="80">
        <v>0</v>
      </c>
      <c r="H37" s="80">
        <v>0</v>
      </c>
      <c r="I37" s="80">
        <v>0</v>
      </c>
      <c r="J37" s="80">
        <v>0</v>
      </c>
      <c r="K37" s="80">
        <v>1</v>
      </c>
      <c r="L37" s="80">
        <v>0</v>
      </c>
      <c r="M37" s="80">
        <v>1</v>
      </c>
      <c r="N37" s="80">
        <v>0</v>
      </c>
      <c r="O37" s="80">
        <v>1</v>
      </c>
      <c r="P37" s="69">
        <v>0</v>
      </c>
      <c r="Q37" s="80">
        <v>0</v>
      </c>
      <c r="R37" s="70">
        <v>1</v>
      </c>
      <c r="S37"/>
      <c r="T37"/>
    </row>
    <row r="38" spans="1:20" ht="15" customHeight="1" x14ac:dyDescent="0.15">
      <c r="A38" s="125"/>
      <c r="B38" s="92"/>
      <c r="C38" s="92"/>
      <c r="D38" s="92"/>
      <c r="E38" s="122"/>
      <c r="F38" s="161" t="s">
        <v>224</v>
      </c>
      <c r="G38" s="80">
        <v>0</v>
      </c>
      <c r="H38" s="80">
        <v>0</v>
      </c>
      <c r="I38" s="80">
        <v>0</v>
      </c>
      <c r="J38" s="80">
        <v>0</v>
      </c>
      <c r="K38" s="80">
        <v>1</v>
      </c>
      <c r="L38" s="80">
        <v>0</v>
      </c>
      <c r="M38" s="80">
        <v>1</v>
      </c>
      <c r="N38" s="80">
        <v>0</v>
      </c>
      <c r="O38" s="80">
        <v>1</v>
      </c>
      <c r="P38" s="69">
        <v>0</v>
      </c>
      <c r="Q38" s="80">
        <v>0</v>
      </c>
      <c r="R38" s="70">
        <v>1</v>
      </c>
      <c r="S38"/>
      <c r="T38"/>
    </row>
    <row r="39" spans="1:20" ht="15" customHeight="1" x14ac:dyDescent="0.15">
      <c r="A39" s="125"/>
      <c r="B39" s="92"/>
      <c r="C39" s="92"/>
      <c r="D39" s="92"/>
      <c r="E39" s="122"/>
      <c r="F39" s="161" t="s">
        <v>225</v>
      </c>
      <c r="G39" s="80">
        <v>0</v>
      </c>
      <c r="H39" s="80">
        <v>0</v>
      </c>
      <c r="I39" s="80">
        <v>0</v>
      </c>
      <c r="J39" s="80">
        <v>0</v>
      </c>
      <c r="K39" s="80">
        <v>1</v>
      </c>
      <c r="L39" s="80">
        <v>0</v>
      </c>
      <c r="M39" s="80">
        <v>1</v>
      </c>
      <c r="N39" s="80">
        <v>0</v>
      </c>
      <c r="O39" s="80">
        <v>1</v>
      </c>
      <c r="P39" s="69">
        <v>0</v>
      </c>
      <c r="Q39" s="80">
        <v>0</v>
      </c>
      <c r="R39" s="70">
        <v>1</v>
      </c>
      <c r="S39"/>
      <c r="T39"/>
    </row>
    <row r="40" spans="1:20" ht="15" customHeight="1" x14ac:dyDescent="0.15">
      <c r="A40" s="125"/>
      <c r="B40" s="92"/>
      <c r="C40" s="92"/>
      <c r="D40" s="92"/>
      <c r="E40" s="122"/>
      <c r="F40" s="161" t="s">
        <v>226</v>
      </c>
      <c r="G40" s="80">
        <v>0</v>
      </c>
      <c r="H40" s="80">
        <v>0</v>
      </c>
      <c r="I40" s="80">
        <v>0</v>
      </c>
      <c r="J40" s="80">
        <v>0</v>
      </c>
      <c r="K40" s="80">
        <v>1</v>
      </c>
      <c r="L40" s="80">
        <v>0</v>
      </c>
      <c r="M40" s="80">
        <v>1</v>
      </c>
      <c r="N40" s="80">
        <v>0</v>
      </c>
      <c r="O40" s="80">
        <v>1</v>
      </c>
      <c r="P40" s="69">
        <v>0</v>
      </c>
      <c r="Q40" s="80">
        <v>0</v>
      </c>
      <c r="R40" s="70">
        <v>1</v>
      </c>
      <c r="S40"/>
      <c r="T40"/>
    </row>
    <row r="41" spans="1:20" ht="15" customHeight="1" thickBot="1" x14ac:dyDescent="0.2">
      <c r="A41" s="125"/>
      <c r="B41" s="92"/>
      <c r="C41" s="92"/>
      <c r="D41" s="93"/>
      <c r="E41" s="126"/>
      <c r="F41" s="161" t="s">
        <v>227</v>
      </c>
      <c r="G41" s="80">
        <v>0</v>
      </c>
      <c r="H41" s="80">
        <v>0</v>
      </c>
      <c r="I41" s="80">
        <v>0</v>
      </c>
      <c r="J41" s="80">
        <v>0</v>
      </c>
      <c r="K41" s="80">
        <v>1</v>
      </c>
      <c r="L41" s="80">
        <v>0</v>
      </c>
      <c r="M41" s="80">
        <v>1</v>
      </c>
      <c r="N41" s="80">
        <v>0</v>
      </c>
      <c r="O41" s="80">
        <v>1</v>
      </c>
      <c r="P41" s="69">
        <v>0</v>
      </c>
      <c r="Q41" s="80">
        <v>0</v>
      </c>
      <c r="R41" s="70">
        <v>1</v>
      </c>
      <c r="S41"/>
      <c r="T41"/>
    </row>
    <row r="42" spans="1:20" ht="15" customHeight="1" x14ac:dyDescent="0.15">
      <c r="A42" s="127"/>
      <c r="B42" s="128"/>
      <c r="C42" s="128" t="s">
        <v>162</v>
      </c>
      <c r="D42" s="128">
        <f>SUM(D32:D41)</f>
        <v>6880.7116379999998</v>
      </c>
      <c r="E42" s="129">
        <f>SUM(E32:E41)</f>
        <v>1</v>
      </c>
      <c r="F42" s="161" t="s">
        <v>228</v>
      </c>
      <c r="G42" s="80">
        <v>0</v>
      </c>
      <c r="H42" s="80">
        <v>0</v>
      </c>
      <c r="I42" s="80">
        <v>0</v>
      </c>
      <c r="J42" s="80">
        <v>0</v>
      </c>
      <c r="K42" s="80">
        <v>1</v>
      </c>
      <c r="L42" s="80">
        <v>0</v>
      </c>
      <c r="M42" s="80">
        <v>1</v>
      </c>
      <c r="N42" s="80">
        <v>0</v>
      </c>
      <c r="O42" s="80">
        <v>1</v>
      </c>
      <c r="P42" s="69">
        <v>0</v>
      </c>
      <c r="Q42" s="80">
        <v>0</v>
      </c>
      <c r="R42" s="70">
        <v>1</v>
      </c>
      <c r="S42"/>
      <c r="T42"/>
    </row>
    <row r="43" spans="1:20" ht="15" customHeight="1" x14ac:dyDescent="0.15">
      <c r="A43" s="80"/>
      <c r="F43" s="161" t="s">
        <v>229</v>
      </c>
      <c r="G43" s="80">
        <v>0</v>
      </c>
      <c r="H43" s="80">
        <v>0</v>
      </c>
      <c r="I43" s="80">
        <v>0</v>
      </c>
      <c r="J43" s="80">
        <v>0</v>
      </c>
      <c r="K43" s="80">
        <v>1</v>
      </c>
      <c r="L43" s="80">
        <v>0</v>
      </c>
      <c r="M43" s="80">
        <v>1</v>
      </c>
      <c r="N43" s="80">
        <v>0</v>
      </c>
      <c r="O43" s="80">
        <v>1</v>
      </c>
      <c r="P43" s="69">
        <v>0</v>
      </c>
      <c r="Q43" s="80">
        <v>0</v>
      </c>
      <c r="R43" s="70">
        <v>1</v>
      </c>
      <c r="S43"/>
      <c r="T43"/>
    </row>
    <row r="44" spans="1:20" ht="15" customHeight="1" x14ac:dyDescent="0.15">
      <c r="A44" s="80"/>
      <c r="F44" s="161" t="s">
        <v>230</v>
      </c>
      <c r="G44" s="80">
        <v>0</v>
      </c>
      <c r="H44" s="80">
        <v>0</v>
      </c>
      <c r="I44" s="80">
        <v>0</v>
      </c>
      <c r="J44" s="80">
        <v>0</v>
      </c>
      <c r="K44" s="80">
        <v>1</v>
      </c>
      <c r="L44" s="80">
        <v>0</v>
      </c>
      <c r="M44" s="80">
        <v>1</v>
      </c>
      <c r="N44" s="80">
        <v>0</v>
      </c>
      <c r="O44" s="80">
        <v>1</v>
      </c>
      <c r="P44" s="69">
        <v>0</v>
      </c>
      <c r="Q44" s="80">
        <v>0</v>
      </c>
      <c r="R44" s="70">
        <v>1</v>
      </c>
    </row>
    <row r="45" spans="1:20" ht="15" customHeight="1" x14ac:dyDescent="0.15">
      <c r="A45" s="80"/>
      <c r="F45" s="161" t="s">
        <v>231</v>
      </c>
      <c r="G45" s="80">
        <v>0</v>
      </c>
      <c r="H45" s="80">
        <v>0</v>
      </c>
      <c r="I45" s="80">
        <v>0</v>
      </c>
      <c r="J45" s="80">
        <v>0</v>
      </c>
      <c r="K45" s="80">
        <v>0</v>
      </c>
      <c r="L45" s="80">
        <v>1</v>
      </c>
      <c r="M45" s="80">
        <v>0</v>
      </c>
      <c r="N45" s="80">
        <v>1</v>
      </c>
      <c r="O45" s="80">
        <v>0</v>
      </c>
      <c r="P45" s="69">
        <v>1</v>
      </c>
      <c r="Q45" s="80">
        <v>0</v>
      </c>
      <c r="R45" s="70">
        <v>1</v>
      </c>
    </row>
    <row r="46" spans="1:20" ht="15" customHeight="1" x14ac:dyDescent="0.15">
      <c r="A46" s="80"/>
      <c r="F46" s="161" t="s">
        <v>232</v>
      </c>
      <c r="G46" s="80">
        <v>0</v>
      </c>
      <c r="H46" s="80">
        <v>0</v>
      </c>
      <c r="I46" s="80">
        <v>0</v>
      </c>
      <c r="J46" s="80">
        <v>0</v>
      </c>
      <c r="K46" s="80">
        <v>1</v>
      </c>
      <c r="L46" s="80">
        <v>0</v>
      </c>
      <c r="M46" s="80">
        <v>1</v>
      </c>
      <c r="N46" s="80">
        <v>0</v>
      </c>
      <c r="O46" s="80">
        <v>1</v>
      </c>
      <c r="P46" s="69">
        <v>0</v>
      </c>
      <c r="Q46" s="80">
        <v>0</v>
      </c>
      <c r="R46" s="70">
        <v>1</v>
      </c>
    </row>
    <row r="47" spans="1:20" ht="15" customHeight="1" x14ac:dyDescent="0.15">
      <c r="A47" s="80"/>
      <c r="F47" s="161" t="s">
        <v>233</v>
      </c>
      <c r="G47" s="80">
        <v>0</v>
      </c>
      <c r="H47" s="80">
        <v>0</v>
      </c>
      <c r="I47" s="80">
        <v>0</v>
      </c>
      <c r="J47" s="80">
        <v>0</v>
      </c>
      <c r="K47" s="80">
        <v>1</v>
      </c>
      <c r="L47" s="80">
        <v>0</v>
      </c>
      <c r="M47" s="80">
        <v>1</v>
      </c>
      <c r="N47" s="80">
        <v>0</v>
      </c>
      <c r="O47" s="80">
        <v>1</v>
      </c>
      <c r="P47" s="69">
        <v>0</v>
      </c>
      <c r="Q47" s="80">
        <v>0</v>
      </c>
      <c r="R47" s="70">
        <v>1</v>
      </c>
    </row>
    <row r="48" spans="1:20" ht="15" customHeight="1" x14ac:dyDescent="0.15">
      <c r="A48" s="80"/>
      <c r="F48" s="161" t="s">
        <v>234</v>
      </c>
      <c r="G48" s="80">
        <v>0</v>
      </c>
      <c r="H48" s="80">
        <v>0</v>
      </c>
      <c r="I48" s="80">
        <v>0</v>
      </c>
      <c r="J48" s="80">
        <v>0</v>
      </c>
      <c r="K48" s="80">
        <v>1</v>
      </c>
      <c r="L48" s="80">
        <v>0</v>
      </c>
      <c r="M48" s="80">
        <v>1</v>
      </c>
      <c r="N48" s="80">
        <v>0</v>
      </c>
      <c r="O48" s="80">
        <v>1</v>
      </c>
      <c r="P48" s="69">
        <v>0</v>
      </c>
      <c r="Q48" s="80">
        <v>0</v>
      </c>
      <c r="R48" s="70">
        <v>1</v>
      </c>
    </row>
    <row r="49" spans="6:18" s="80" customFormat="1" ht="15" customHeight="1" x14ac:dyDescent="0.15">
      <c r="F49" s="161" t="s">
        <v>235</v>
      </c>
      <c r="G49" s="80">
        <v>0</v>
      </c>
      <c r="H49" s="80">
        <v>0</v>
      </c>
      <c r="I49" s="80">
        <v>0</v>
      </c>
      <c r="J49" s="80">
        <v>0</v>
      </c>
      <c r="K49" s="80">
        <v>1</v>
      </c>
      <c r="L49" s="80">
        <v>0</v>
      </c>
      <c r="M49" s="80">
        <v>1</v>
      </c>
      <c r="N49" s="80">
        <v>0</v>
      </c>
      <c r="O49" s="80">
        <v>1</v>
      </c>
      <c r="P49" s="69">
        <v>0</v>
      </c>
      <c r="Q49" s="80">
        <v>0</v>
      </c>
      <c r="R49" s="70">
        <v>1</v>
      </c>
    </row>
    <row r="50" spans="6:18" s="80" customFormat="1" ht="15" customHeight="1" x14ac:dyDescent="0.15">
      <c r="F50" s="161" t="s">
        <v>236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0</v>
      </c>
      <c r="M50" s="80">
        <v>1</v>
      </c>
      <c r="N50" s="80">
        <v>0</v>
      </c>
      <c r="O50" s="80">
        <v>0</v>
      </c>
      <c r="P50" s="69">
        <v>0</v>
      </c>
      <c r="Q50" s="80">
        <v>0</v>
      </c>
      <c r="R50" s="70">
        <v>1</v>
      </c>
    </row>
    <row r="51" spans="6:18" s="80" customFormat="1" ht="15" customHeight="1" x14ac:dyDescent="0.15">
      <c r="F51" s="161" t="s">
        <v>237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80">
        <v>0</v>
      </c>
      <c r="M51" s="80">
        <v>1</v>
      </c>
      <c r="N51" s="80">
        <v>0</v>
      </c>
      <c r="O51" s="80">
        <v>0</v>
      </c>
      <c r="P51" s="69">
        <v>0</v>
      </c>
      <c r="Q51" s="80">
        <v>0</v>
      </c>
      <c r="R51" s="70">
        <v>1</v>
      </c>
    </row>
    <row r="52" spans="6:18" s="80" customFormat="1" ht="15" customHeight="1" x14ac:dyDescent="0.15">
      <c r="F52" s="161" t="s">
        <v>238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80">
        <v>0</v>
      </c>
      <c r="M52" s="80">
        <v>1</v>
      </c>
      <c r="N52" s="80">
        <v>0</v>
      </c>
      <c r="O52" s="80">
        <v>0</v>
      </c>
      <c r="P52" s="69">
        <v>0</v>
      </c>
      <c r="Q52" s="80">
        <v>0</v>
      </c>
      <c r="R52" s="70">
        <v>1</v>
      </c>
    </row>
    <row r="53" spans="6:18" s="80" customFormat="1" ht="15" customHeight="1" x14ac:dyDescent="0.15">
      <c r="F53" s="161" t="s">
        <v>239</v>
      </c>
      <c r="G53" s="80">
        <v>0</v>
      </c>
      <c r="H53" s="80">
        <v>0</v>
      </c>
      <c r="I53" s="80">
        <v>0</v>
      </c>
      <c r="J53" s="80">
        <v>0</v>
      </c>
      <c r="K53" s="80">
        <v>0</v>
      </c>
      <c r="L53" s="80">
        <v>1</v>
      </c>
      <c r="M53" s="80">
        <v>0</v>
      </c>
      <c r="N53" s="80">
        <v>1</v>
      </c>
      <c r="O53" s="80">
        <v>0</v>
      </c>
      <c r="P53" s="69">
        <v>1</v>
      </c>
      <c r="Q53" s="80">
        <v>0</v>
      </c>
      <c r="R53" s="70">
        <v>1</v>
      </c>
    </row>
    <row r="54" spans="6:18" s="80" customFormat="1" ht="15" customHeight="1" x14ac:dyDescent="0.15">
      <c r="F54" s="161" t="s">
        <v>240</v>
      </c>
      <c r="G54" s="80">
        <v>0</v>
      </c>
      <c r="H54" s="80">
        <v>0</v>
      </c>
      <c r="I54" s="80">
        <v>0</v>
      </c>
      <c r="J54" s="80">
        <v>0</v>
      </c>
      <c r="K54" s="80">
        <v>0</v>
      </c>
      <c r="L54" s="80">
        <v>1</v>
      </c>
      <c r="M54" s="80">
        <v>0</v>
      </c>
      <c r="N54" s="80">
        <v>1</v>
      </c>
      <c r="O54" s="80">
        <v>0</v>
      </c>
      <c r="P54" s="69">
        <v>1</v>
      </c>
      <c r="Q54" s="80">
        <v>0</v>
      </c>
      <c r="R54" s="70">
        <v>1</v>
      </c>
    </row>
    <row r="55" spans="6:18" s="80" customFormat="1" ht="15" customHeight="1" x14ac:dyDescent="0.15">
      <c r="F55" s="161" t="s">
        <v>241</v>
      </c>
      <c r="G55" s="80">
        <v>0</v>
      </c>
      <c r="H55" s="80">
        <v>0</v>
      </c>
      <c r="I55" s="80">
        <v>0</v>
      </c>
      <c r="J55" s="80">
        <v>0</v>
      </c>
      <c r="K55" s="80">
        <v>0</v>
      </c>
      <c r="L55" s="80">
        <v>1</v>
      </c>
      <c r="M55" s="80">
        <v>0</v>
      </c>
      <c r="N55" s="80">
        <v>0</v>
      </c>
      <c r="O55" s="80">
        <v>0</v>
      </c>
      <c r="P55" s="69">
        <v>0</v>
      </c>
      <c r="Q55" s="80">
        <v>0</v>
      </c>
      <c r="R55" s="70">
        <v>1</v>
      </c>
    </row>
    <row r="56" spans="6:18" s="80" customFormat="1" ht="15" customHeight="1" x14ac:dyDescent="0.15">
      <c r="F56" s="161" t="s">
        <v>242</v>
      </c>
      <c r="G56" s="80">
        <v>0</v>
      </c>
      <c r="H56" s="80">
        <v>0</v>
      </c>
      <c r="I56" s="80">
        <v>0</v>
      </c>
      <c r="J56" s="80">
        <v>0</v>
      </c>
      <c r="K56" s="80">
        <v>0</v>
      </c>
      <c r="L56" s="80">
        <v>1</v>
      </c>
      <c r="M56" s="80">
        <v>0</v>
      </c>
      <c r="N56" s="80">
        <v>0</v>
      </c>
      <c r="O56" s="80">
        <v>0</v>
      </c>
      <c r="P56" s="69">
        <v>0</v>
      </c>
      <c r="Q56" s="80">
        <v>0</v>
      </c>
      <c r="R56" s="70">
        <v>1</v>
      </c>
    </row>
    <row r="57" spans="6:18" s="80" customFormat="1" ht="15" customHeight="1" x14ac:dyDescent="0.15">
      <c r="F57" s="161" t="s">
        <v>243</v>
      </c>
      <c r="G57" s="80">
        <v>0</v>
      </c>
      <c r="H57" s="80">
        <v>0</v>
      </c>
      <c r="I57" s="80">
        <v>0</v>
      </c>
      <c r="J57" s="80">
        <v>0</v>
      </c>
      <c r="K57" s="80">
        <v>0</v>
      </c>
      <c r="L57" s="80">
        <v>1</v>
      </c>
      <c r="M57" s="80">
        <v>0</v>
      </c>
      <c r="N57" s="80">
        <v>0</v>
      </c>
      <c r="O57" s="80">
        <v>0</v>
      </c>
      <c r="P57" s="69">
        <v>0</v>
      </c>
      <c r="Q57" s="80">
        <v>0</v>
      </c>
      <c r="R57" s="70">
        <v>1</v>
      </c>
    </row>
    <row r="58" spans="6:18" s="80" customFormat="1" ht="15" customHeight="1" x14ac:dyDescent="0.15">
      <c r="F58" s="161" t="s">
        <v>244</v>
      </c>
      <c r="G58" s="80">
        <v>0</v>
      </c>
      <c r="H58" s="80">
        <v>0</v>
      </c>
      <c r="I58" s="80">
        <v>0</v>
      </c>
      <c r="J58" s="80">
        <v>0</v>
      </c>
      <c r="K58" s="80">
        <v>0</v>
      </c>
      <c r="L58" s="80">
        <v>1</v>
      </c>
      <c r="M58" s="80">
        <v>0</v>
      </c>
      <c r="N58" s="80">
        <v>0</v>
      </c>
      <c r="O58" s="80">
        <v>0</v>
      </c>
      <c r="P58" s="69">
        <v>0</v>
      </c>
      <c r="Q58" s="80">
        <v>0</v>
      </c>
      <c r="R58" s="70">
        <v>1</v>
      </c>
    </row>
    <row r="59" spans="6:18" s="80" customFormat="1" ht="15" customHeight="1" x14ac:dyDescent="0.15">
      <c r="F59" s="161" t="s">
        <v>245</v>
      </c>
      <c r="G59" s="80">
        <v>0</v>
      </c>
      <c r="H59" s="80">
        <v>0</v>
      </c>
      <c r="I59" s="80">
        <v>0</v>
      </c>
      <c r="J59" s="80">
        <v>0</v>
      </c>
      <c r="K59" s="80">
        <v>0</v>
      </c>
      <c r="L59" s="80">
        <v>1</v>
      </c>
      <c r="M59" s="80">
        <v>0</v>
      </c>
      <c r="N59" s="80">
        <v>0</v>
      </c>
      <c r="O59" s="80">
        <v>0</v>
      </c>
      <c r="P59" s="69">
        <v>0</v>
      </c>
      <c r="Q59" s="80">
        <v>0</v>
      </c>
      <c r="R59" s="70">
        <v>1</v>
      </c>
    </row>
    <row r="60" spans="6:18" s="80" customFormat="1" ht="15" customHeight="1" x14ac:dyDescent="0.15">
      <c r="F60" s="161" t="s">
        <v>246</v>
      </c>
      <c r="G60" s="80">
        <v>0</v>
      </c>
      <c r="H60" s="80">
        <v>0</v>
      </c>
      <c r="I60" s="80">
        <v>0</v>
      </c>
      <c r="J60" s="80">
        <v>0</v>
      </c>
      <c r="K60" s="80">
        <v>0</v>
      </c>
      <c r="L60" s="80">
        <v>1</v>
      </c>
      <c r="M60" s="80">
        <v>0</v>
      </c>
      <c r="N60" s="80">
        <v>0</v>
      </c>
      <c r="O60" s="80">
        <v>0</v>
      </c>
      <c r="P60" s="69">
        <v>0</v>
      </c>
      <c r="Q60" s="80">
        <v>0</v>
      </c>
      <c r="R60" s="70">
        <v>1</v>
      </c>
    </row>
    <row r="61" spans="6:18" s="80" customFormat="1" ht="15" customHeight="1" x14ac:dyDescent="0.15">
      <c r="F61" s="161" t="s">
        <v>247</v>
      </c>
      <c r="G61" s="80">
        <v>0</v>
      </c>
      <c r="H61" s="80">
        <v>0</v>
      </c>
      <c r="I61" s="80">
        <v>0</v>
      </c>
      <c r="J61" s="80">
        <v>0</v>
      </c>
      <c r="K61" s="80">
        <v>0</v>
      </c>
      <c r="L61" s="80">
        <v>1</v>
      </c>
      <c r="M61" s="80">
        <v>0</v>
      </c>
      <c r="N61" s="80">
        <v>0</v>
      </c>
      <c r="O61" s="80">
        <v>0</v>
      </c>
      <c r="P61" s="69">
        <v>0</v>
      </c>
      <c r="Q61" s="80">
        <v>0</v>
      </c>
      <c r="R61" s="70">
        <v>1</v>
      </c>
    </row>
    <row r="62" spans="6:18" s="80" customFormat="1" ht="15" customHeight="1" x14ac:dyDescent="0.15">
      <c r="F62" s="161" t="s">
        <v>248</v>
      </c>
      <c r="G62" s="80">
        <v>0</v>
      </c>
      <c r="H62" s="80">
        <v>0</v>
      </c>
      <c r="I62" s="80">
        <v>0</v>
      </c>
      <c r="J62" s="80">
        <v>0</v>
      </c>
      <c r="K62" s="80">
        <v>0</v>
      </c>
      <c r="L62" s="80">
        <v>1</v>
      </c>
      <c r="M62" s="80">
        <v>0</v>
      </c>
      <c r="N62" s="80">
        <v>0</v>
      </c>
      <c r="O62" s="80">
        <v>0</v>
      </c>
      <c r="P62" s="69">
        <v>0</v>
      </c>
      <c r="Q62" s="80">
        <v>0</v>
      </c>
      <c r="R62" s="70">
        <v>1</v>
      </c>
    </row>
    <row r="63" spans="6:18" s="80" customFormat="1" ht="15" customHeight="1" x14ac:dyDescent="0.15">
      <c r="F63" s="161" t="s">
        <v>249</v>
      </c>
      <c r="G63" s="80">
        <v>0</v>
      </c>
      <c r="H63" s="80">
        <v>0</v>
      </c>
      <c r="I63" s="80">
        <v>0</v>
      </c>
      <c r="J63" s="80">
        <v>0</v>
      </c>
      <c r="K63" s="80">
        <v>0</v>
      </c>
      <c r="L63" s="80">
        <v>1</v>
      </c>
      <c r="M63" s="80">
        <v>0</v>
      </c>
      <c r="N63" s="80">
        <v>0</v>
      </c>
      <c r="O63" s="80">
        <v>0</v>
      </c>
      <c r="P63" s="69">
        <v>0</v>
      </c>
      <c r="Q63" s="80">
        <v>0</v>
      </c>
      <c r="R63" s="70">
        <v>1</v>
      </c>
    </row>
    <row r="64" spans="6:18" s="80" customFormat="1" ht="15" customHeight="1" x14ac:dyDescent="0.15">
      <c r="F64" s="161" t="s">
        <v>250</v>
      </c>
      <c r="G64" s="80">
        <v>0</v>
      </c>
      <c r="H64" s="80">
        <v>0</v>
      </c>
      <c r="I64" s="80">
        <v>0</v>
      </c>
      <c r="J64" s="80">
        <v>0</v>
      </c>
      <c r="K64" s="80">
        <v>0</v>
      </c>
      <c r="L64" s="80">
        <v>1</v>
      </c>
      <c r="M64" s="80">
        <v>0</v>
      </c>
      <c r="N64" s="80">
        <v>0</v>
      </c>
      <c r="O64" s="80">
        <v>0</v>
      </c>
      <c r="P64" s="69">
        <v>0</v>
      </c>
      <c r="Q64" s="80">
        <v>0</v>
      </c>
      <c r="R64" s="70">
        <v>1</v>
      </c>
    </row>
    <row r="65" spans="1:18" ht="15" customHeight="1" x14ac:dyDescent="0.15">
      <c r="F65" s="161" t="s">
        <v>251</v>
      </c>
      <c r="G65" s="80">
        <v>0</v>
      </c>
      <c r="H65" s="80">
        <v>0</v>
      </c>
      <c r="I65" s="80">
        <v>0</v>
      </c>
      <c r="J65" s="80">
        <v>0</v>
      </c>
      <c r="K65" s="80">
        <v>0</v>
      </c>
      <c r="L65" s="80">
        <v>1</v>
      </c>
      <c r="M65" s="80">
        <v>0</v>
      </c>
      <c r="N65" s="80">
        <v>0</v>
      </c>
      <c r="O65" s="80">
        <v>0</v>
      </c>
      <c r="P65" s="69">
        <v>0</v>
      </c>
      <c r="Q65" s="80">
        <v>0</v>
      </c>
      <c r="R65" s="70">
        <v>1</v>
      </c>
    </row>
    <row r="66" spans="1:18" ht="15" customHeight="1" x14ac:dyDescent="0.15">
      <c r="F66" s="161" t="s">
        <v>252</v>
      </c>
      <c r="G66" s="80">
        <v>0</v>
      </c>
      <c r="H66" s="80">
        <v>0</v>
      </c>
      <c r="I66" s="80">
        <v>0</v>
      </c>
      <c r="J66" s="80">
        <v>0</v>
      </c>
      <c r="K66" s="80">
        <v>0</v>
      </c>
      <c r="L66" s="80">
        <v>1</v>
      </c>
      <c r="M66" s="80">
        <v>0</v>
      </c>
      <c r="N66" s="80">
        <v>0</v>
      </c>
      <c r="O66" s="80">
        <v>0</v>
      </c>
      <c r="P66" s="69">
        <v>0</v>
      </c>
      <c r="Q66" s="80">
        <v>0</v>
      </c>
      <c r="R66" s="70">
        <v>1</v>
      </c>
    </row>
    <row r="67" spans="1:18" ht="15" customHeight="1" x14ac:dyDescent="0.15">
      <c r="F67" s="161" t="s">
        <v>253</v>
      </c>
      <c r="G67" s="80">
        <v>0</v>
      </c>
      <c r="H67" s="80">
        <v>0</v>
      </c>
      <c r="I67" s="80">
        <v>0</v>
      </c>
      <c r="J67" s="80">
        <v>0</v>
      </c>
      <c r="K67" s="80">
        <v>0</v>
      </c>
      <c r="L67" s="80">
        <v>1</v>
      </c>
      <c r="M67" s="80">
        <v>0</v>
      </c>
      <c r="N67" s="80">
        <v>0</v>
      </c>
      <c r="O67" s="80">
        <v>0</v>
      </c>
      <c r="P67" s="69">
        <v>0</v>
      </c>
      <c r="Q67" s="80">
        <v>0</v>
      </c>
      <c r="R67" s="70">
        <v>1</v>
      </c>
    </row>
    <row r="68" spans="1:18" ht="15" customHeight="1" x14ac:dyDescent="0.15">
      <c r="F68" s="161" t="s">
        <v>254</v>
      </c>
      <c r="G68" s="80">
        <v>0</v>
      </c>
      <c r="H68" s="80">
        <v>0</v>
      </c>
      <c r="I68" s="80">
        <v>0</v>
      </c>
      <c r="J68" s="80">
        <v>0</v>
      </c>
      <c r="K68" s="80">
        <v>0</v>
      </c>
      <c r="L68" s="80">
        <v>1</v>
      </c>
      <c r="M68" s="80">
        <v>0</v>
      </c>
      <c r="N68" s="80">
        <v>0</v>
      </c>
      <c r="O68" s="80">
        <v>0</v>
      </c>
      <c r="P68" s="69">
        <v>0</v>
      </c>
      <c r="Q68" s="80">
        <v>0</v>
      </c>
      <c r="R68" s="70">
        <v>1</v>
      </c>
    </row>
    <row r="69" spans="1:18" ht="15" customHeight="1" x14ac:dyDescent="0.15">
      <c r="F69" s="161" t="s">
        <v>255</v>
      </c>
      <c r="G69" s="80">
        <v>0</v>
      </c>
      <c r="H69" s="80">
        <v>0</v>
      </c>
      <c r="I69" s="80">
        <v>0</v>
      </c>
      <c r="J69" s="80">
        <v>0</v>
      </c>
      <c r="K69" s="80">
        <v>0</v>
      </c>
      <c r="L69" s="80">
        <v>1</v>
      </c>
      <c r="M69" s="80">
        <v>0</v>
      </c>
      <c r="N69" s="80">
        <v>0</v>
      </c>
      <c r="O69" s="80">
        <v>0</v>
      </c>
      <c r="P69" s="69">
        <v>0</v>
      </c>
      <c r="Q69" s="80">
        <v>0</v>
      </c>
      <c r="R69" s="70">
        <v>1</v>
      </c>
    </row>
    <row r="70" spans="1:18" ht="15" customHeight="1" x14ac:dyDescent="0.15">
      <c r="F70" s="161" t="s">
        <v>256</v>
      </c>
      <c r="G70" s="80">
        <v>0</v>
      </c>
      <c r="H70" s="80">
        <v>0</v>
      </c>
      <c r="I70" s="80">
        <v>0</v>
      </c>
      <c r="J70" s="80">
        <v>0</v>
      </c>
      <c r="K70" s="80">
        <v>0</v>
      </c>
      <c r="L70" s="80">
        <v>1</v>
      </c>
      <c r="M70" s="80">
        <v>0</v>
      </c>
      <c r="N70" s="80">
        <v>0</v>
      </c>
      <c r="O70" s="80">
        <v>0</v>
      </c>
      <c r="P70" s="69">
        <v>0</v>
      </c>
      <c r="Q70" s="80">
        <v>0</v>
      </c>
      <c r="R70" s="70">
        <v>1</v>
      </c>
    </row>
    <row r="71" spans="1:18" ht="15" customHeight="1" x14ac:dyDescent="0.15">
      <c r="F71" s="161" t="s">
        <v>257</v>
      </c>
      <c r="G71" s="80">
        <v>0</v>
      </c>
      <c r="H71" s="80">
        <v>0</v>
      </c>
      <c r="I71" s="80">
        <v>0</v>
      </c>
      <c r="J71" s="80">
        <v>0</v>
      </c>
      <c r="K71" s="80">
        <v>0</v>
      </c>
      <c r="L71" s="80">
        <v>1</v>
      </c>
      <c r="M71" s="80">
        <v>0</v>
      </c>
      <c r="N71" s="80">
        <v>0</v>
      </c>
      <c r="O71" s="80">
        <v>0</v>
      </c>
      <c r="P71" s="69">
        <v>0</v>
      </c>
      <c r="Q71" s="80">
        <v>0</v>
      </c>
      <c r="R71" s="70">
        <v>1</v>
      </c>
    </row>
    <row r="72" spans="1:18" ht="15" customHeight="1" x14ac:dyDescent="0.15">
      <c r="F72" s="161" t="s">
        <v>258</v>
      </c>
      <c r="G72" s="80">
        <v>0</v>
      </c>
      <c r="H72" s="80">
        <v>0</v>
      </c>
      <c r="I72" s="80">
        <v>0</v>
      </c>
      <c r="J72" s="80">
        <v>0</v>
      </c>
      <c r="K72" s="80">
        <v>0</v>
      </c>
      <c r="L72" s="80">
        <v>1</v>
      </c>
      <c r="M72" s="80">
        <v>0</v>
      </c>
      <c r="N72" s="80">
        <v>0</v>
      </c>
      <c r="O72" s="80">
        <v>0</v>
      </c>
      <c r="P72" s="69">
        <v>0</v>
      </c>
      <c r="Q72" s="80">
        <v>0</v>
      </c>
      <c r="R72" s="70">
        <v>1</v>
      </c>
    </row>
    <row r="73" spans="1:18" ht="15" customHeight="1" x14ac:dyDescent="0.15">
      <c r="F73" s="161" t="s">
        <v>259</v>
      </c>
      <c r="G73" s="80">
        <v>0</v>
      </c>
      <c r="H73" s="80">
        <v>0</v>
      </c>
      <c r="I73" s="80">
        <v>0</v>
      </c>
      <c r="J73" s="80">
        <v>0</v>
      </c>
      <c r="K73" s="80">
        <v>0</v>
      </c>
      <c r="L73" s="80">
        <v>1</v>
      </c>
      <c r="M73" s="80">
        <v>0</v>
      </c>
      <c r="N73" s="80">
        <v>0</v>
      </c>
      <c r="O73" s="80">
        <v>0</v>
      </c>
      <c r="P73" s="69">
        <v>0</v>
      </c>
      <c r="Q73" s="80">
        <v>0</v>
      </c>
      <c r="R73" s="70">
        <v>1</v>
      </c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X192"/>
  <sheetViews>
    <sheetView workbookViewId="0">
      <pane xSplit="1" ySplit="1" topLeftCell="B57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6" customWidth="1"/>
    <col min="3" max="5" width="7.83203125" style="106" customWidth="1"/>
    <col min="6" max="8" width="8.83203125" style="6"/>
    <col min="9" max="10" width="12.6640625" style="6" customWidth="1"/>
    <col min="11" max="11" width="13.6640625" style="6" customWidth="1"/>
    <col min="12" max="12" width="14.6640625" style="6" customWidth="1"/>
    <col min="13" max="13" width="13.33203125" style="6" customWidth="1"/>
    <col min="14" max="14" width="12.5" style="6" customWidth="1"/>
    <col min="15" max="15" width="13.5" style="6" customWidth="1"/>
    <col min="16" max="16" width="13" style="6" customWidth="1"/>
    <col min="17" max="17" width="9.5" style="6" customWidth="1"/>
    <col min="18" max="18" width="10.5" style="6" customWidth="1"/>
    <col min="19" max="19" width="10" style="6" customWidth="1"/>
    <col min="20" max="20" width="11" style="6" customWidth="1"/>
    <col min="21" max="21" width="10.5" style="6" customWidth="1"/>
    <col min="22" max="22" width="12.33203125" style="6" customWidth="1"/>
    <col min="23" max="23" width="11.83203125" style="6" customWidth="1"/>
    <col min="24" max="24" width="9.5" style="6" customWidth="1"/>
    <col min="25" max="25" width="11" style="6" customWidth="1"/>
    <col min="26" max="26" width="10.5" style="6" customWidth="1"/>
    <col min="27" max="27" width="6.1640625" style="6" customWidth="1"/>
    <col min="28" max="28" width="12.1640625" style="6" customWidth="1"/>
    <col min="29" max="29" width="8.1640625" style="6" customWidth="1"/>
    <col min="30" max="30" width="9.5" style="6" customWidth="1"/>
    <col min="31" max="31" width="11.1640625" style="6" customWidth="1"/>
    <col min="32" max="32" width="13.83203125" style="6" customWidth="1"/>
    <col min="33" max="33" width="12.5" style="6" customWidth="1"/>
    <col min="34" max="34" width="9.83203125" style="6" customWidth="1"/>
    <col min="35" max="35" width="7" style="6" customWidth="1"/>
    <col min="36" max="36" width="14" style="6" customWidth="1"/>
    <col min="37" max="37" width="7.1640625" style="6" customWidth="1"/>
    <col min="38" max="38" width="10.5" style="6" customWidth="1"/>
    <col min="39" max="39" width="9.5" customWidth="1"/>
    <col min="40" max="40" width="6.83203125" customWidth="1"/>
    <col min="41" max="41" width="5.5" customWidth="1"/>
    <col min="42" max="42" width="9.1640625" customWidth="1"/>
    <col min="43" max="43" width="7.5" customWidth="1"/>
    <col min="44" max="44" width="14.1640625" customWidth="1"/>
    <col min="45" max="45" width="15.1640625" customWidth="1"/>
    <col min="46" max="46" width="15.5" customWidth="1"/>
    <col min="47" max="47" width="14.33203125" customWidth="1"/>
    <col min="48" max="48" width="9.1640625" customWidth="1"/>
    <col min="49" max="49" width="18.5" customWidth="1"/>
    <col min="50" max="50" width="17" customWidth="1"/>
    <col min="51" max="51" width="16.83203125" customWidth="1"/>
    <col min="52" max="52" width="7.1640625" customWidth="1"/>
    <col min="53" max="53" width="18.33203125" customWidth="1"/>
    <col min="54" max="54" width="10.1640625" customWidth="1"/>
    <col min="55" max="55" width="13.1640625" customWidth="1"/>
    <col min="56" max="56" width="7.6640625" customWidth="1"/>
    <col min="57" max="57" width="21.6640625" customWidth="1"/>
    <col min="58" max="58" width="12.5" customWidth="1"/>
    <col min="59" max="59" width="11.5" customWidth="1"/>
    <col min="60" max="60" width="10.33203125" customWidth="1"/>
    <col min="61" max="61" width="14.5" customWidth="1"/>
    <col min="62" max="62" width="10.33203125" customWidth="1"/>
    <col min="63" max="63" width="8.5" customWidth="1"/>
    <col min="64" max="64" width="9.5" customWidth="1"/>
    <col min="65" max="65" width="11.33203125" customWidth="1"/>
    <col min="66" max="66" width="12" customWidth="1"/>
    <col min="67" max="67" width="10" customWidth="1"/>
    <col min="68" max="68" width="12.6640625" customWidth="1"/>
    <col min="69" max="69" width="12.33203125" customWidth="1"/>
    <col min="70" max="70" width="14.5" customWidth="1"/>
    <col min="71" max="71" width="11" customWidth="1"/>
    <col min="72" max="72" width="13.5" customWidth="1"/>
    <col min="73" max="73" width="13.83203125" customWidth="1"/>
    <col min="74" max="74" width="14.83203125" customWidth="1"/>
    <col min="75" max="75" width="17.5" customWidth="1"/>
    <col min="76" max="76" width="9.5" customWidth="1"/>
    <col min="81" max="81" width="22.1640625" bestFit="1" customWidth="1"/>
  </cols>
  <sheetData>
    <row r="1" spans="1:76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66" t="s">
        <v>192</v>
      </c>
      <c r="J1" s="166" t="s">
        <v>193</v>
      </c>
      <c r="K1" s="166" t="s">
        <v>194</v>
      </c>
      <c r="L1" s="166" t="s">
        <v>195</v>
      </c>
      <c r="M1" s="166" t="s">
        <v>196</v>
      </c>
      <c r="N1" s="166" t="s">
        <v>197</v>
      </c>
      <c r="O1" s="166" t="s">
        <v>198</v>
      </c>
      <c r="P1" s="166" t="s">
        <v>199</v>
      </c>
      <c r="Q1" s="166" t="s">
        <v>200</v>
      </c>
      <c r="R1" s="166" t="s">
        <v>201</v>
      </c>
      <c r="S1" s="166" t="s">
        <v>202</v>
      </c>
      <c r="T1" s="166" t="s">
        <v>203</v>
      </c>
      <c r="U1" s="166" t="s">
        <v>204</v>
      </c>
      <c r="V1" s="166" t="s">
        <v>205</v>
      </c>
      <c r="W1" s="166" t="s">
        <v>206</v>
      </c>
      <c r="X1" s="166" t="s">
        <v>207</v>
      </c>
      <c r="Y1" s="166" t="s">
        <v>208</v>
      </c>
      <c r="Z1" s="166" t="s">
        <v>209</v>
      </c>
      <c r="AA1" s="166" t="s">
        <v>210</v>
      </c>
      <c r="AB1" s="166" t="s">
        <v>211</v>
      </c>
      <c r="AC1" s="166" t="s">
        <v>212</v>
      </c>
      <c r="AD1" s="166" t="s">
        <v>213</v>
      </c>
      <c r="AE1" s="166" t="s">
        <v>214</v>
      </c>
      <c r="AF1" s="166" t="s">
        <v>215</v>
      </c>
      <c r="AG1" s="166" t="s">
        <v>216</v>
      </c>
      <c r="AH1" s="166" t="s">
        <v>217</v>
      </c>
      <c r="AI1" s="166" t="s">
        <v>218</v>
      </c>
      <c r="AJ1" s="166" t="s">
        <v>219</v>
      </c>
      <c r="AK1" s="166" t="s">
        <v>220</v>
      </c>
      <c r="AL1" s="166" t="s">
        <v>221</v>
      </c>
      <c r="AM1" s="166" t="s">
        <v>222</v>
      </c>
      <c r="AN1" s="166" t="s">
        <v>223</v>
      </c>
      <c r="AO1" s="166" t="s">
        <v>224</v>
      </c>
      <c r="AP1" s="166" t="s">
        <v>225</v>
      </c>
      <c r="AQ1" s="166" t="s">
        <v>226</v>
      </c>
      <c r="AR1" s="166" t="s">
        <v>227</v>
      </c>
      <c r="AS1" s="166" t="s">
        <v>228</v>
      </c>
      <c r="AT1" s="166" t="s">
        <v>229</v>
      </c>
      <c r="AU1" s="166" t="s">
        <v>230</v>
      </c>
      <c r="AV1" s="166" t="s">
        <v>231</v>
      </c>
      <c r="AW1" s="166" t="s">
        <v>232</v>
      </c>
      <c r="AX1" s="166" t="s">
        <v>233</v>
      </c>
      <c r="AY1" s="166" t="s">
        <v>234</v>
      </c>
      <c r="AZ1" s="166" t="s">
        <v>235</v>
      </c>
      <c r="BA1" s="166" t="s">
        <v>236</v>
      </c>
      <c r="BB1" s="166" t="s">
        <v>237</v>
      </c>
      <c r="BC1" s="166" t="s">
        <v>238</v>
      </c>
      <c r="BD1" s="166" t="s">
        <v>239</v>
      </c>
      <c r="BE1" s="166" t="s">
        <v>240</v>
      </c>
      <c r="BF1" s="166" t="s">
        <v>241</v>
      </c>
      <c r="BG1" s="166" t="s">
        <v>242</v>
      </c>
      <c r="BH1" s="166" t="s">
        <v>243</v>
      </c>
      <c r="BI1" s="166" t="s">
        <v>244</v>
      </c>
      <c r="BJ1" s="166" t="s">
        <v>245</v>
      </c>
      <c r="BK1" s="166" t="s">
        <v>246</v>
      </c>
      <c r="BL1" s="166" t="s">
        <v>247</v>
      </c>
      <c r="BM1" s="166" t="s">
        <v>248</v>
      </c>
      <c r="BN1" s="166" t="s">
        <v>249</v>
      </c>
      <c r="BO1" s="166" t="s">
        <v>250</v>
      </c>
      <c r="BP1" s="166" t="s">
        <v>251</v>
      </c>
      <c r="BQ1" s="166" t="s">
        <v>252</v>
      </c>
      <c r="BR1" s="166" t="s">
        <v>253</v>
      </c>
      <c r="BS1" s="166" t="s">
        <v>254</v>
      </c>
      <c r="BT1" s="166" t="s">
        <v>255</v>
      </c>
      <c r="BU1" s="166" t="s">
        <v>256</v>
      </c>
      <c r="BV1" s="166" t="s">
        <v>257</v>
      </c>
      <c r="BW1" s="166" t="s">
        <v>258</v>
      </c>
      <c r="BX1" s="166" t="s">
        <v>259</v>
      </c>
    </row>
    <row r="2" spans="1:76" x14ac:dyDescent="0.15">
      <c r="A2" t="s">
        <v>38</v>
      </c>
      <c r="B2" s="106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6" x14ac:dyDescent="0.15">
      <c r="A3" t="s">
        <v>40</v>
      </c>
      <c r="B3" s="106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6" x14ac:dyDescent="0.15">
      <c r="A4" t="s">
        <v>41</v>
      </c>
      <c r="B4" s="106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6" x14ac:dyDescent="0.15">
      <c r="A5" s="165" t="s">
        <v>192</v>
      </c>
      <c r="B5" s="106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6" x14ac:dyDescent="0.15">
      <c r="A6" s="165" t="s">
        <v>193</v>
      </c>
      <c r="B6" s="106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6" x14ac:dyDescent="0.15">
      <c r="A7" s="165" t="s">
        <v>194</v>
      </c>
      <c r="B7" s="106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6" x14ac:dyDescent="0.15">
      <c r="A8" s="165" t="s">
        <v>195</v>
      </c>
      <c r="B8" s="106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6" x14ac:dyDescent="0.15">
      <c r="A9" s="165" t="s">
        <v>196</v>
      </c>
      <c r="B9" s="106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6" x14ac:dyDescent="0.15">
      <c r="A10" s="165" t="s">
        <v>197</v>
      </c>
      <c r="B10" s="106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6" x14ac:dyDescent="0.15">
      <c r="A11" s="165" t="s">
        <v>198</v>
      </c>
      <c r="B11" s="106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6" x14ac:dyDescent="0.15">
      <c r="A12" s="165" t="s">
        <v>199</v>
      </c>
      <c r="B12" s="106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6" x14ac:dyDescent="0.15">
      <c r="A13" s="165" t="s">
        <v>200</v>
      </c>
      <c r="B13" s="106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6" x14ac:dyDescent="0.15">
      <c r="A14" s="165" t="s">
        <v>201</v>
      </c>
      <c r="B14" s="106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6" x14ac:dyDescent="0.15">
      <c r="A15" s="165" t="s">
        <v>202</v>
      </c>
      <c r="B15" s="106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6" x14ac:dyDescent="0.15">
      <c r="A16" s="165" t="s">
        <v>203</v>
      </c>
      <c r="B16" s="106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65" t="s">
        <v>204</v>
      </c>
      <c r="B17" s="106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65" t="s">
        <v>205</v>
      </c>
      <c r="B18" s="106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65" t="s">
        <v>206</v>
      </c>
      <c r="B19" s="106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65" t="s">
        <v>207</v>
      </c>
      <c r="B20" s="106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65" t="s">
        <v>208</v>
      </c>
      <c r="B21" s="106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65" t="s">
        <v>209</v>
      </c>
      <c r="B22" s="106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65" t="s">
        <v>210</v>
      </c>
      <c r="B23" s="106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65" t="s">
        <v>211</v>
      </c>
      <c r="B24" s="106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65" t="s">
        <v>212</v>
      </c>
      <c r="B25" s="106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65" t="s">
        <v>213</v>
      </c>
      <c r="B26" s="106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65" t="s">
        <v>214</v>
      </c>
      <c r="B27" s="106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65" t="s">
        <v>215</v>
      </c>
      <c r="B28" s="106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65" t="s">
        <v>216</v>
      </c>
      <c r="B29" s="106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65" t="s">
        <v>217</v>
      </c>
      <c r="B30" s="106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65" t="s">
        <v>218</v>
      </c>
      <c r="B31" s="106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65" t="s">
        <v>219</v>
      </c>
      <c r="B32" s="106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65" t="s">
        <v>220</v>
      </c>
      <c r="B33" s="106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65" t="s">
        <v>221</v>
      </c>
      <c r="B34" s="106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65" t="s">
        <v>222</v>
      </c>
      <c r="B35" s="106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65" t="s">
        <v>223</v>
      </c>
      <c r="B36" s="106">
        <v>0</v>
      </c>
      <c r="C36"/>
      <c r="D36"/>
    </row>
    <row r="37" spans="1:38" ht="15" customHeight="1" x14ac:dyDescent="0.15">
      <c r="A37" s="165" t="s">
        <v>224</v>
      </c>
      <c r="B37" s="106">
        <v>0</v>
      </c>
      <c r="C37"/>
      <c r="D37"/>
    </row>
    <row r="38" spans="1:38" ht="15" customHeight="1" x14ac:dyDescent="0.15">
      <c r="A38" s="165" t="s">
        <v>225</v>
      </c>
      <c r="B38" s="106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65" t="s">
        <v>226</v>
      </c>
      <c r="B39" s="106">
        <v>0</v>
      </c>
      <c r="C39"/>
      <c r="D39"/>
    </row>
    <row r="40" spans="1:38" ht="15" customHeight="1" x14ac:dyDescent="0.15">
      <c r="A40" s="165" t="s">
        <v>227</v>
      </c>
      <c r="B40" s="106">
        <v>0</v>
      </c>
      <c r="C40"/>
      <c r="D40"/>
    </row>
    <row r="41" spans="1:38" ht="15" customHeight="1" x14ac:dyDescent="0.15">
      <c r="A41" s="165" t="s">
        <v>228</v>
      </c>
      <c r="B41" s="106">
        <v>0</v>
      </c>
      <c r="C41"/>
      <c r="D41"/>
    </row>
    <row r="42" spans="1:38" ht="15" customHeight="1" x14ac:dyDescent="0.15">
      <c r="A42" s="165" t="s">
        <v>229</v>
      </c>
      <c r="B42" s="106">
        <v>0</v>
      </c>
    </row>
    <row r="43" spans="1:38" ht="15" customHeight="1" x14ac:dyDescent="0.15">
      <c r="A43" s="165" t="s">
        <v>230</v>
      </c>
      <c r="B43" s="106">
        <v>0</v>
      </c>
    </row>
    <row r="44" spans="1:38" ht="15" customHeight="1" x14ac:dyDescent="0.15">
      <c r="A44" s="165" t="s">
        <v>231</v>
      </c>
      <c r="B44" s="106">
        <v>0</v>
      </c>
    </row>
    <row r="45" spans="1:38" ht="15" customHeight="1" x14ac:dyDescent="0.15">
      <c r="A45" s="165" t="s">
        <v>232</v>
      </c>
      <c r="B45" s="106">
        <v>0</v>
      </c>
    </row>
    <row r="46" spans="1:38" ht="15" customHeight="1" x14ac:dyDescent="0.15">
      <c r="A46" s="165" t="s">
        <v>233</v>
      </c>
      <c r="B46" s="106">
        <v>0</v>
      </c>
    </row>
    <row r="47" spans="1:38" ht="15" customHeight="1" x14ac:dyDescent="0.15">
      <c r="A47" s="165" t="s">
        <v>234</v>
      </c>
      <c r="B47" s="106">
        <v>0</v>
      </c>
    </row>
    <row r="48" spans="1:38" ht="15" customHeight="1" x14ac:dyDescent="0.15">
      <c r="A48" s="165" t="s">
        <v>235</v>
      </c>
      <c r="B48" s="106">
        <v>0</v>
      </c>
    </row>
    <row r="49" spans="1:38" ht="15" customHeight="1" x14ac:dyDescent="0.15">
      <c r="A49" s="165" t="s">
        <v>236</v>
      </c>
      <c r="B49" s="106">
        <v>0</v>
      </c>
    </row>
    <row r="50" spans="1:38" ht="15" customHeight="1" x14ac:dyDescent="0.15">
      <c r="A50" s="165" t="s">
        <v>237</v>
      </c>
      <c r="B50" s="106">
        <v>0</v>
      </c>
    </row>
    <row r="51" spans="1:38" ht="15" customHeight="1" x14ac:dyDescent="0.15">
      <c r="A51" s="165" t="s">
        <v>238</v>
      </c>
      <c r="B51" s="106">
        <v>0</v>
      </c>
    </row>
    <row r="52" spans="1:38" ht="15" customHeight="1" x14ac:dyDescent="0.15">
      <c r="A52" s="165" t="s">
        <v>239</v>
      </c>
      <c r="B52" s="106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165" t="s">
        <v>240</v>
      </c>
      <c r="B53" s="106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165" t="s">
        <v>241</v>
      </c>
      <c r="B54" s="106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165" t="s">
        <v>242</v>
      </c>
      <c r="B55" s="106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165" t="s">
        <v>243</v>
      </c>
      <c r="B56" s="106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165" t="s">
        <v>244</v>
      </c>
      <c r="B57" s="106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165" t="s">
        <v>245</v>
      </c>
      <c r="B58" s="106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165" t="s">
        <v>246</v>
      </c>
      <c r="B59" s="106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165" t="s">
        <v>247</v>
      </c>
      <c r="B60" s="106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165" t="s">
        <v>248</v>
      </c>
      <c r="B61" s="106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165" t="s">
        <v>249</v>
      </c>
      <c r="B62" s="106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165" t="s">
        <v>250</v>
      </c>
      <c r="B63" s="106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165" t="s">
        <v>251</v>
      </c>
      <c r="B64" s="106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165" t="s">
        <v>252</v>
      </c>
      <c r="B65" s="106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165" t="s">
        <v>253</v>
      </c>
      <c r="B66" s="106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165" t="s">
        <v>254</v>
      </c>
      <c r="B67" s="106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165" t="s">
        <v>255</v>
      </c>
      <c r="B68" s="106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165" t="s">
        <v>256</v>
      </c>
      <c r="B69" s="106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165" t="s">
        <v>257</v>
      </c>
      <c r="B70" s="106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165" t="s">
        <v>258</v>
      </c>
      <c r="B71" s="106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165" t="s">
        <v>259</v>
      </c>
      <c r="B72" s="106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2023-08-14T23:40:37Z</dcterms:modified>
</cp:coreProperties>
</file>