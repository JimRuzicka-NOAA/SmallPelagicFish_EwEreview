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9FE6D53B-9A9A-5D45-A983-08CBE3572C88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Diets!$B$2:$AK$40</definedName>
    <definedName name="matDiscards">Discards!$C$2:$G$39</definedName>
    <definedName name="matFishery">Fishing!$C$2:$G$39</definedName>
    <definedName name="matFishing">Fishing!#REF!</definedName>
    <definedName name="matMort">Mortalities!$A$1:$AT$39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<sst xmlns="http://schemas.openxmlformats.org/spreadsheetml/2006/main" count="1158" uniqueCount="244">
  <si>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</si>
  <si>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</si>
  <si>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</si>
  <si>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</si>
  <si>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</si>
  <si>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</si>
  <si>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</si>
  <si>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</si>
  <si>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</si>
  <si>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</si>
  <si>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</si>
  <si>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</si>
  <si>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</si>
  <si>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</si>
  <si>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</si>
  <si>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</si>
  <si>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</si>
  <si>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</si>
  <si>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</si>
  <si>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</si>
  <si>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</si>
  <si>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</si>
  <si>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</si>
  <si>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</si>
  <si>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</si>
  <si>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</si>
  <si>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</si>
  <si>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</si>
  <si>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</si>
  <si>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</si>
  <si>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</si>
  <si>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</si>
  <si>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</si>
  <si>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</si>
  <si>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</si>
  <si>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</si>
  <si>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</si>
  <si>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</si>
  <si>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</si>
  <si>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</si>
  <si>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</si>
  <si>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</si>
  <si>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</si>
  <si>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</si>
  <si>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</si>
  <si>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</si>
  <si>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</si>
  <si>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</si>
  <si>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</si>
  <si>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</si>
  <si>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</si>
  <si>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</si>
  <si>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</si>
  <si>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</si>
  <si>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</si>
  <si>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</si>
  <si>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</si>
  <si>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</si>
  <si>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</si>
  <si>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</si>
  <si>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</si>
  <si>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</si>
  <si>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</si>
  <si>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</si>
  <si>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</si>
  <si>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</si>
  <si>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</si>
  <si>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</si>
  <si>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</si>
  <si>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</si>
  <si>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</si>
  <si>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</si>
  <si>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</si>
  <si>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</si>
  <si>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</si>
  <si>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</si>
  <si>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</si>
  <si>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</si>
  <si>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</si>
  <si>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</si>
  <si>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</si>
  <si>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</si>
  <si>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</si>
  <si>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</si>
  <si>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</si>
  <si>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</si>
  <si>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</si>
  <si>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</si>
  <si>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</si>
  <si>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</si>
  <si>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</si>
  <si>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</si>
  <si>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</si>
  <si>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</si>
  <si>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</si>
  <si>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</si>
  <si>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</si>
  <si>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</si>
  <si>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</si>
  <si>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</si>
  <si>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</si>
  <si>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</si>
  <si>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</si>
  <si>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</si>
  <si>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</si>
  <si>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</si>
  <si>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</si>
  <si>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</si>
  <si>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</si>
  <si>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</si>
  <si>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</si>
  <si>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</si>
  <si>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</si>
  <si>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</si>
  <si>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</si>
  <si>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</si>
  <si>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</si>
  <si>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</si>
  <si>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</si>
  <si>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</si>
  <si>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</si>
  <si>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</si>
  <si>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</si>
  <si>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</si>
  <si>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</si>
  <si>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</si>
  <si>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</si>
  <si>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</si>
  <si>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</si>
  <si>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</si>
  <si>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</si>
  <si>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</si>
  <si>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</si>
  <si>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</si>
  <si>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</si>
  <si>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</si>
  <si>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</si>
  <si>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</si>
  <si>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</si>
  <si>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</si>
  <si>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</si>
  <si>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</si>
  <si>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</si>
  <si>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</si>
  <si>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</si>
  <si>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</si>
  <si>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</si>
  <si>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</si>
  <si>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</si>
  <si>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</si>
  <si>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</si>
  <si>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</si>
  <si>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</si>
  <si>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</si>
  <si>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</si>
  <si>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</si>
  <si>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</si>
  <si>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</si>
  <si>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</si>
  <si>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</si>
  <si>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</si>
  <si>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</si>
  <si>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</si>
  <si>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</si>
  <si>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</si>
  <si>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</si>
  <si>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</si>
  <si>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</si>
  <si>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</si>
  <si>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</si>
  <si>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</si>
  <si>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</si>
  <si>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</si>
  <si>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</si>
  <si>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</si>
  <si>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</si>
  <si>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</si>
  <si>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</si>
  <si>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</si>
  <si>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</si>
  <si>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</si>
  <si>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</si>
  <si>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</si>
  <si>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</si>
  <si>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</si>
  <si>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Australia North West Shelf</t>
  </si>
  <si>
    <t>Australia</t>
  </si>
  <si>
    <t>BOX(113.8 -21,119.5 -18)</t>
  </si>
  <si>
    <t>continental shelf</t>
  </si>
  <si>
    <t>WetWeight</t>
  </si>
  <si>
    <t>same as 51 with some changes to time series 4 scenarios; 30/06/2005 1:22:10 PM; 30/06/2005 2:26:55 PM; 1/07/2005 1:47:13 PM</t>
  </si>
  <si>
    <t>Bulman C.(2006). Trophic webs and modelling of Australia's North West Shelf NWSJEMS Technical Report</t>
  </si>
  <si>
    <t>Coastal sharks</t>
  </si>
  <si>
    <t>Rays</t>
  </si>
  <si>
    <t>SmTunas</t>
  </si>
  <si>
    <t>ShLethrinids</t>
  </si>
  <si>
    <t>RedEmperor</t>
  </si>
  <si>
    <t>ShLutjanids</t>
  </si>
  <si>
    <t>ShNemipterirds</t>
  </si>
  <si>
    <t>DpNemipterids</t>
  </si>
  <si>
    <t>ShSerranids</t>
  </si>
  <si>
    <t>FryPBream</t>
  </si>
  <si>
    <t>JuvCarangids</t>
  </si>
  <si>
    <t>AdCarangids</t>
  </si>
  <si>
    <t>SmallPelagics</t>
  </si>
  <si>
    <t>ShLizard</t>
  </si>
  <si>
    <t>DpLizard</t>
  </si>
  <si>
    <t>ShMullidae</t>
  </si>
  <si>
    <t>DpMullidae</t>
  </si>
  <si>
    <t>ShTriggerFish</t>
  </si>
  <si>
    <t>ShSweetlip</t>
  </si>
  <si>
    <t>DpPonyfish</t>
  </si>
  <si>
    <t>ShSmFish</t>
  </si>
  <si>
    <t>DpSmFish</t>
  </si>
  <si>
    <t>ShMedFish</t>
  </si>
  <si>
    <t>DpMedFish</t>
  </si>
  <si>
    <t>ShLgFish</t>
  </si>
  <si>
    <t>DpLgFish</t>
  </si>
  <si>
    <t>SessEpibenthos</t>
  </si>
  <si>
    <t>Megabenthos</t>
  </si>
  <si>
    <t>Macrofauna</t>
  </si>
  <si>
    <t>ComPrawns</t>
  </si>
  <si>
    <t>Squid</t>
  </si>
  <si>
    <t>LgZooplankton</t>
  </si>
  <si>
    <t>SmZooplankton</t>
  </si>
  <si>
    <t>PelPhytoplankton</t>
  </si>
  <si>
    <t>BenPhytoplankton</t>
  </si>
  <si>
    <t>Microphytobenthos</t>
  </si>
  <si>
    <t>Detritus</t>
  </si>
  <si>
    <t>detritus_TerminalBenthic</t>
  </si>
  <si>
    <t>Domestic trawl</t>
  </si>
  <si>
    <t>Domestic trap</t>
  </si>
  <si>
    <t>Prawn</t>
  </si>
  <si>
    <t>Foreign trawl</t>
  </si>
  <si>
    <t>Longline</t>
  </si>
  <si>
    <t>Import</t>
  </si>
  <si>
    <t>export</t>
  </si>
  <si>
    <t>sum</t>
  </si>
  <si>
    <t>TOTAL</t>
  </si>
  <si>
    <t>F Domestic trawl</t>
  </si>
  <si>
    <t>F Domestic trap</t>
  </si>
  <si>
    <t>F Prawn</t>
  </si>
  <si>
    <t>F Foreign trawl</t>
  </si>
  <si>
    <t>F Longline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</si>
</sst>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B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09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5" t="s">
        <v>171</v>
      </c>
      <c r="C53" s="111">
        <v>405</v>
      </c>
      <c r="D53" s="111"/>
    </row>
    <row r="54" spans="2:4" x14ac:dyDescent="0.15">
      <c r="B54" s="175" t="s">
        <v>172</v>
      </c>
      <c r="C54" s="175" t="s">
        <v>185</v>
      </c>
      <c r="D54" s="111"/>
    </row>
    <row r="55" spans="2:4" x14ac:dyDescent="0.15">
      <c r="B55" s="175" t="s">
        <v>173</v>
      </c>
      <c r="C55" s="175" t="s">
        <v>186</v>
      </c>
      <c r="D55" s="111"/>
    </row>
    <row r="56" spans="2:4" x14ac:dyDescent="0.15">
      <c r="B56" s="175" t="s">
        <v>174</v>
      </c>
      <c r="C56" s="111">
        <v>70000</v>
      </c>
      <c r="D56" s="111"/>
    </row>
    <row r="57" spans="2:4" x14ac:dyDescent="0.15">
      <c r="B57" s="175" t="s">
        <v>175</v>
      </c>
      <c r="C57" s="175" t="s">
        <v>187</v>
      </c>
      <c r="D57" s="111"/>
    </row>
    <row r="58" spans="2:4" x14ac:dyDescent="0.15">
      <c r="B58" s="175" t="s">
        <v>176</v>
      </c>
      <c r="C58" s="175" t="s">
        <v>188</v>
      </c>
      <c r="D58" s="111"/>
    </row>
    <row r="59" spans="2:4" x14ac:dyDescent="0.15">
      <c r="B59" s="175" t="s">
        <v>177</v>
      </c>
      <c r="C59" s="175" t="s">
        <v>189</v>
      </c>
      <c r="D59" s="111"/>
    </row>
    <row r="60" spans="2:4" x14ac:dyDescent="0.15">
      <c r="B60" s="175" t="s">
        <v>178</v>
      </c>
      <c r="C60" s="175" t="s">
        <v>190</v>
      </c>
      <c r="D60" s="111"/>
    </row>
    <row r="61" spans="2:4" x14ac:dyDescent="0.15">
      <c r="B61" s="175" t="s">
        <v>179</v>
      </c>
      <c r="C61" s="111">
        <v>37</v>
      </c>
      <c r="D61" s="111"/>
    </row>
    <row r="62" spans="2:4" x14ac:dyDescent="0.15">
      <c r="B62" s="175" t="s">
        <v>180</v>
      </c>
      <c r="C62" s="111">
        <v>5</v>
      </c>
      <c r="D62" s="111"/>
    </row>
    <row r="63" spans="2:4" x14ac:dyDescent="0.15">
      <c r="B63" s="175" t="s">
        <v>181</v>
      </c>
      <c r="C63" s="111">
        <v>1986</v>
      </c>
      <c r="D63" s="111"/>
    </row>
    <row r="64" spans="2:4" x14ac:dyDescent="0.15">
      <c r="B64" s="175" t="s">
        <v>182</v>
      </c>
      <c r="C64" s="111">
        <v>5</v>
      </c>
      <c r="D64" s="111"/>
    </row>
    <row r="65" spans="2:4" x14ac:dyDescent="0.15">
      <c r="B65" s="175" t="s">
        <v>183</v>
      </c>
      <c r="C65" s="175" t="s">
        <v>191</v>
      </c>
      <c r="D65" s="111"/>
    </row>
    <row r="66" spans="2:4" x14ac:dyDescent="0.15">
      <c r="B66" s="175" t="s">
        <v>184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1.6640625" style="82" bestFit="1" customWidth="1"/>
    <col min="6" max="6" width="2.33203125" style="82" bestFit="1" customWidth="1"/>
    <col min="7" max="7" width="12.83203125" style="82" bestFit="1" customWidth="1"/>
    <col min="8" max="8" width="4.83203125" style="82" customWidth="1"/>
    <col min="9" max="9" width="10.83203125" style="82" customWidth="1"/>
    <col min="10" max="10" width="13.83203125" style="82" customWidth="1"/>
    <col min="11" max="11" width="12.83203125" style="82" customWidth="1"/>
    <col min="12" max="12" width="14.5" style="82" customWidth="1"/>
    <col min="13" max="13" width="3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6" t="s">
        <v>192</v>
      </c>
      <c r="F2" s="82">
        <v>0</v>
      </c>
      <c r="G2" s="82">
        <v>3.0030000000000001E-2</v>
      </c>
      <c r="H2" s="82">
        <v>0.33</v>
      </c>
      <c r="I2" s="6">
        <v>3.8</v>
      </c>
      <c r="J2" s="6">
        <v>9.0007970000000007E-2</v>
      </c>
      <c r="K2" s="6">
        <v>8.684211E-2</v>
      </c>
      <c r="L2" s="6">
        <v>0</v>
      </c>
      <c r="M2" s="82">
        <v>0.2</v>
      </c>
      <c r="N2" s="82">
        <v>0</v>
      </c>
    </row>
    <row r="3" spans="1:46" ht="15" customHeight="1" x14ac:dyDescent="0.15">
      <c r="A3" s="1" t="s">
        <v>9</v>
      </c>
      <c r="B3" s="4">
        <v>36</v>
      </c>
      <c r="C3" s="82">
        <v>2</v>
      </c>
      <c r="D3"/>
      <c r="E3" s="176" t="s">
        <v>193</v>
      </c>
      <c r="F3" s="82">
        <v>0</v>
      </c>
      <c r="G3" s="82">
        <v>9.0160004799999999E-2</v>
      </c>
      <c r="H3" s="82">
        <v>0.19</v>
      </c>
      <c r="I3" s="82">
        <v>2.44</v>
      </c>
      <c r="J3" s="82">
        <v>5.1253905999999998E-4</v>
      </c>
      <c r="K3" s="82">
        <v>7.7868850000000003E-2</v>
      </c>
      <c r="L3" s="82">
        <v>0</v>
      </c>
      <c r="M3" s="82">
        <v>0.2</v>
      </c>
      <c r="N3" s="82">
        <v>0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76" t="s">
        <v>194</v>
      </c>
      <c r="F4" s="82">
        <v>0</v>
      </c>
      <c r="G4" s="82">
        <v>9.7000000000000003E-2</v>
      </c>
      <c r="H4" s="82">
        <v>0.55000000000000004</v>
      </c>
      <c r="I4" s="82">
        <v>5.24</v>
      </c>
      <c r="J4" s="82">
        <v>0.110582456</v>
      </c>
      <c r="K4" s="82">
        <v>0.104961842</v>
      </c>
      <c r="L4" s="82">
        <v>0</v>
      </c>
      <c r="M4" s="82">
        <v>0.2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2">
        <v>4</v>
      </c>
      <c r="D5"/>
      <c r="E5" s="176" t="s">
        <v>195</v>
      </c>
      <c r="F5" s="82">
        <v>0</v>
      </c>
      <c r="G5" s="82">
        <v>0.13900000000000001</v>
      </c>
      <c r="H5" s="82">
        <v>0.45</v>
      </c>
      <c r="I5" s="82">
        <v>7.22</v>
      </c>
      <c r="J5" s="82">
        <v>0.70447899999999997</v>
      </c>
      <c r="K5" s="82">
        <v>6.2326869999999999E-2</v>
      </c>
      <c r="L5" s="82">
        <v>-3.59712243E-2</v>
      </c>
      <c r="M5" s="82">
        <v>0.2</v>
      </c>
      <c r="N5" s="82">
        <v>0</v>
      </c>
      <c r="P5" s="71"/>
      <c r="Q5" s="71"/>
      <c r="R5" s="71"/>
    </row>
    <row r="6" spans="1:46" ht="15" customHeight="1" thickBot="1" x14ac:dyDescent="0.2">
      <c r="B6" s="1"/>
      <c r="C6" s="82">
        <v>5</v>
      </c>
      <c r="D6"/>
      <c r="E6" s="176" t="s">
        <v>196</v>
      </c>
      <c r="F6" s="82">
        <v>0</v>
      </c>
      <c r="G6" s="82">
        <v>0.11899999999999999</v>
      </c>
      <c r="H6" s="82">
        <v>0.49</v>
      </c>
      <c r="I6" s="82">
        <v>4.5999999999999996</v>
      </c>
      <c r="J6" s="82">
        <v>0.18949106299999999</v>
      </c>
      <c r="K6" s="82">
        <v>0.106521741</v>
      </c>
      <c r="L6" s="82">
        <v>-4.2016804200000001E-2</v>
      </c>
      <c r="M6" s="82">
        <v>0.2</v>
      </c>
      <c r="N6" s="82">
        <v>0</v>
      </c>
      <c r="P6" s="71"/>
      <c r="Q6" s="71"/>
      <c r="R6" s="71"/>
      <c r="W6" s="35" t="s">
        <v>31</v>
      </c>
      <c r="X6" s="51">
        <f>MAX(MainOutputs!G:G)</f>
        <v>0.99260413646697998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373</v>
      </c>
      <c r="C7" s="82">
        <v>6</v>
      </c>
      <c r="D7"/>
      <c r="E7" s="176" t="s">
        <v>197</v>
      </c>
      <c r="F7" s="82">
        <v>0</v>
      </c>
      <c r="G7" s="82">
        <v>0.26500000000000001</v>
      </c>
      <c r="H7" s="82">
        <v>0.4</v>
      </c>
      <c r="I7" s="82">
        <v>5.88</v>
      </c>
      <c r="J7" s="82">
        <v>0.73092275900000003</v>
      </c>
      <c r="K7" s="82">
        <v>6.8027210000000005E-2</v>
      </c>
      <c r="L7" s="82">
        <v>-1.8867924800000001E-2</v>
      </c>
      <c r="M7" s="82">
        <v>0.2</v>
      </c>
      <c r="N7" s="82">
        <v>0</v>
      </c>
      <c r="P7" s="71"/>
      <c r="Q7" s="71"/>
      <c r="R7" s="71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221</v>
      </c>
      <c r="C8" s="82">
        <v>7</v>
      </c>
      <c r="D8"/>
      <c r="E8" s="176" t="s">
        <v>198</v>
      </c>
      <c r="F8" s="82">
        <v>0</v>
      </c>
      <c r="G8" s="82">
        <v>2.4340000000000002</v>
      </c>
      <c r="H8" s="82">
        <v>0.9</v>
      </c>
      <c r="I8" s="82">
        <v>10.02</v>
      </c>
      <c r="J8" s="82">
        <v>0.94090830000000003</v>
      </c>
      <c r="K8" s="82">
        <v>8.9820355199999993E-2</v>
      </c>
      <c r="L8" s="82">
        <v>-2.0542317099999999E-3</v>
      </c>
      <c r="M8" s="82">
        <v>0.2</v>
      </c>
      <c r="N8" s="82">
        <v>0</v>
      </c>
      <c r="P8" s="71"/>
      <c r="Q8" s="71"/>
      <c r="R8" s="71"/>
    </row>
    <row r="9" spans="1:46" ht="15" customHeight="1" x14ac:dyDescent="0.15">
      <c r="B9" s="1"/>
      <c r="C9" s="82">
        <v>8</v>
      </c>
      <c r="D9"/>
      <c r="E9" s="176" t="s">
        <v>199</v>
      </c>
      <c r="F9" s="82">
        <v>0</v>
      </c>
      <c r="G9" s="82">
        <v>0.97299999999999998</v>
      </c>
      <c r="H9" s="82">
        <v>0.9</v>
      </c>
      <c r="I9" s="82">
        <v>9.1999999999999993</v>
      </c>
      <c r="J9" s="82">
        <v>0.62698024500000005</v>
      </c>
      <c r="K9" s="82">
        <v>9.7826086000000007E-2</v>
      </c>
      <c r="L9" s="82">
        <v>0</v>
      </c>
      <c r="M9" s="82">
        <v>0.2</v>
      </c>
      <c r="N9" s="82">
        <v>0</v>
      </c>
      <c r="P9" s="71"/>
      <c r="Q9" s="71"/>
      <c r="R9" s="71"/>
    </row>
    <row r="10" spans="1:46" ht="15" customHeight="1" x14ac:dyDescent="0.15">
      <c r="B10" s="1"/>
      <c r="C10" s="82">
        <v>9</v>
      </c>
      <c r="D10"/>
      <c r="E10" s="176" t="s">
        <v>200</v>
      </c>
      <c r="F10" s="82">
        <v>0</v>
      </c>
      <c r="G10" s="82">
        <v>2.9000000000000001E-2</v>
      </c>
      <c r="H10" s="82">
        <v>0.32</v>
      </c>
      <c r="I10" s="82">
        <v>5</v>
      </c>
      <c r="J10" s="82">
        <v>0.33055420000000002</v>
      </c>
      <c r="K10" s="82">
        <v>6.3999995599999998E-2</v>
      </c>
      <c r="L10" s="82">
        <v>-3.4482762200000003E-2</v>
      </c>
      <c r="M10" s="82">
        <v>0.2</v>
      </c>
      <c r="N10" s="82">
        <v>0</v>
      </c>
    </row>
    <row r="11" spans="1:46" ht="15" customHeight="1" x14ac:dyDescent="0.15">
      <c r="C11" s="82">
        <v>10</v>
      </c>
      <c r="D11"/>
      <c r="E11" s="176" t="s">
        <v>201</v>
      </c>
      <c r="F11" s="82">
        <v>0</v>
      </c>
      <c r="G11" s="82">
        <v>4.9000000000000002E-2</v>
      </c>
      <c r="H11" s="82">
        <v>0.37</v>
      </c>
      <c r="I11" s="82">
        <v>4.5</v>
      </c>
      <c r="J11" s="82">
        <v>0.23629814399999999</v>
      </c>
      <c r="K11" s="82">
        <v>8.2222219999999999E-2</v>
      </c>
      <c r="L11" s="82">
        <v>0</v>
      </c>
      <c r="M11" s="82">
        <v>0.2</v>
      </c>
      <c r="N11" s="82">
        <v>0</v>
      </c>
    </row>
    <row r="12" spans="1:46" ht="15" customHeight="1" x14ac:dyDescent="0.15">
      <c r="C12" s="82">
        <v>11</v>
      </c>
      <c r="D12"/>
      <c r="E12" s="176" t="s">
        <v>202</v>
      </c>
      <c r="F12" s="82">
        <v>0</v>
      </c>
      <c r="G12" s="82">
        <v>0.73499995500000004</v>
      </c>
      <c r="H12" s="82">
        <v>0.6</v>
      </c>
      <c r="I12" s="82">
        <v>5.5200004600000003</v>
      </c>
      <c r="J12" s="82">
        <v>0.93868803999999995</v>
      </c>
      <c r="K12" s="82">
        <v>0.10869564900000001</v>
      </c>
      <c r="L12" s="82">
        <v>0</v>
      </c>
      <c r="M12" s="82">
        <v>0.2</v>
      </c>
      <c r="N12" s="82">
        <v>0</v>
      </c>
    </row>
    <row r="13" spans="1:46" ht="15" customHeight="1" x14ac:dyDescent="0.15">
      <c r="C13" s="82">
        <v>12</v>
      </c>
      <c r="D13"/>
      <c r="E13" s="176" t="s">
        <v>203</v>
      </c>
      <c r="F13" s="82">
        <v>0</v>
      </c>
      <c r="G13" s="82">
        <v>0.95353305300000002</v>
      </c>
      <c r="H13" s="82">
        <v>0.6</v>
      </c>
      <c r="I13" s="82">
        <v>2.9880032500000002</v>
      </c>
      <c r="J13" s="82">
        <v>3.7872658600000002E-3</v>
      </c>
      <c r="K13" s="82">
        <v>0.20080300000000001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76" t="s">
        <v>204</v>
      </c>
      <c r="F14" s="82">
        <v>0</v>
      </c>
      <c r="G14" s="82">
        <v>11.3950377</v>
      </c>
      <c r="H14" s="82">
        <v>2.0499999999999998</v>
      </c>
      <c r="I14" s="82">
        <v>10.210000000000001</v>
      </c>
      <c r="J14" s="82">
        <v>0.96329290000000001</v>
      </c>
      <c r="K14" s="82">
        <v>0.20078353600000001</v>
      </c>
      <c r="L14" s="82">
        <v>0</v>
      </c>
      <c r="M14" s="82">
        <v>0.2</v>
      </c>
      <c r="N14" s="82">
        <v>0</v>
      </c>
    </row>
    <row r="15" spans="1:46" ht="15" customHeight="1" x14ac:dyDescent="0.15">
      <c r="C15" s="82">
        <v>14</v>
      </c>
      <c r="D15"/>
      <c r="E15" s="176" t="s">
        <v>205</v>
      </c>
      <c r="F15" s="82">
        <v>0</v>
      </c>
      <c r="G15" s="82">
        <v>0.35499999999999998</v>
      </c>
      <c r="H15" s="82">
        <v>0.74</v>
      </c>
      <c r="I15" s="82">
        <v>7.1</v>
      </c>
      <c r="J15" s="82">
        <v>0.27475246800000003</v>
      </c>
      <c r="K15" s="82">
        <v>0.10422535199999999</v>
      </c>
      <c r="L15" s="82">
        <v>0</v>
      </c>
      <c r="M15" s="82">
        <v>0.2</v>
      </c>
      <c r="N15" s="82">
        <v>0</v>
      </c>
    </row>
    <row r="16" spans="1:46" ht="15" customHeight="1" x14ac:dyDescent="0.15">
      <c r="C16" s="82">
        <v>15</v>
      </c>
      <c r="D16"/>
      <c r="E16" s="176" t="s">
        <v>206</v>
      </c>
      <c r="F16" s="82">
        <v>0</v>
      </c>
      <c r="G16" s="82">
        <v>0.11600000000000001</v>
      </c>
      <c r="H16" s="82">
        <v>0.66</v>
      </c>
      <c r="I16" s="82">
        <v>7.3</v>
      </c>
      <c r="J16" s="82">
        <v>0.84245133400000005</v>
      </c>
      <c r="K16" s="82">
        <v>9.0410959999999999E-2</v>
      </c>
      <c r="L16" s="82">
        <v>0</v>
      </c>
      <c r="M16" s="82">
        <v>0.2</v>
      </c>
      <c r="N16" s="82">
        <v>0</v>
      </c>
    </row>
    <row r="17" spans="1:22" ht="15" customHeight="1" x14ac:dyDescent="0.15">
      <c r="C17" s="82">
        <v>16</v>
      </c>
      <c r="D17"/>
      <c r="E17" s="176" t="s">
        <v>207</v>
      </c>
      <c r="F17" s="82">
        <v>0</v>
      </c>
      <c r="G17" s="82">
        <v>1.843</v>
      </c>
      <c r="H17" s="82">
        <v>1.05</v>
      </c>
      <c r="I17" s="82">
        <v>13.61</v>
      </c>
      <c r="J17" s="82">
        <v>0.70186424300000005</v>
      </c>
      <c r="K17" s="82">
        <v>7.714915E-2</v>
      </c>
      <c r="L17" s="82">
        <v>0</v>
      </c>
      <c r="M17" s="82">
        <v>0.2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76" t="s">
        <v>208</v>
      </c>
      <c r="F18" s="82">
        <v>0</v>
      </c>
      <c r="G18" s="82">
        <v>3.2970000000000002</v>
      </c>
      <c r="H18" s="82">
        <v>1.7</v>
      </c>
      <c r="I18" s="82">
        <v>9.6999999999999993</v>
      </c>
      <c r="J18" s="82">
        <v>0.27503153699999999</v>
      </c>
      <c r="K18" s="82">
        <v>0.17525774199999999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76" t="s">
        <v>209</v>
      </c>
      <c r="F19" s="82">
        <v>0</v>
      </c>
      <c r="G19" s="82">
        <v>0.17499999999999999</v>
      </c>
      <c r="H19" s="82">
        <v>0.56999999999999995</v>
      </c>
      <c r="I19" s="82">
        <v>5.6</v>
      </c>
      <c r="J19" s="82">
        <v>0.72868275599999999</v>
      </c>
      <c r="K19" s="82">
        <v>0.101785712</v>
      </c>
      <c r="L19" s="82">
        <v>0</v>
      </c>
      <c r="M19" s="82">
        <v>0.2</v>
      </c>
      <c r="N19" s="82">
        <v>0</v>
      </c>
    </row>
    <row r="20" spans="1:22" ht="15" customHeight="1" thickBot="1" x14ac:dyDescent="0.2">
      <c r="C20" s="82">
        <v>19</v>
      </c>
      <c r="D20"/>
      <c r="E20" s="176" t="s">
        <v>210</v>
      </c>
      <c r="F20" s="82">
        <v>0</v>
      </c>
      <c r="G20" s="82">
        <v>0.111</v>
      </c>
      <c r="H20" s="82">
        <v>0.45</v>
      </c>
      <c r="I20" s="82">
        <v>5</v>
      </c>
      <c r="J20" s="82">
        <v>0.11422386</v>
      </c>
      <c r="K20" s="82">
        <v>8.9999996099999993E-2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6" t="s">
        <v>137</v>
      </c>
      <c r="B21" s="100"/>
      <c r="C21" s="82">
        <v>20</v>
      </c>
      <c r="D21"/>
      <c r="E21" s="176" t="s">
        <v>211</v>
      </c>
      <c r="F21" s="82">
        <v>0</v>
      </c>
      <c r="G21" s="82">
        <v>0.92</v>
      </c>
      <c r="H21" s="82">
        <v>2.0699999999999998</v>
      </c>
      <c r="I21" s="82">
        <v>24</v>
      </c>
      <c r="J21" s="82">
        <v>0.99260400000000004</v>
      </c>
      <c r="K21" s="82">
        <v>8.6249999999999993E-2</v>
      </c>
      <c r="L21" s="82">
        <v>0</v>
      </c>
      <c r="M21" s="82">
        <v>0.2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6" t="s">
        <v>212</v>
      </c>
      <c r="F22" s="82">
        <v>0</v>
      </c>
      <c r="G22" s="82">
        <v>5.9749999999999996</v>
      </c>
      <c r="H22" s="82">
        <v>1.1100000000000001</v>
      </c>
      <c r="I22" s="82">
        <v>11.18</v>
      </c>
      <c r="J22" s="82">
        <v>0.90764856299999996</v>
      </c>
      <c r="K22" s="82">
        <v>9.9284430000000007E-2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6" t="s">
        <v>213</v>
      </c>
      <c r="F23" s="82">
        <v>0</v>
      </c>
      <c r="G23" s="82">
        <v>2.6</v>
      </c>
      <c r="H23" s="82">
        <v>1.78</v>
      </c>
      <c r="I23" s="82">
        <v>12.96</v>
      </c>
      <c r="J23" s="82">
        <v>0.9583777</v>
      </c>
      <c r="K23" s="82">
        <v>0.137345672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6" t="s">
        <v>214</v>
      </c>
      <c r="F24" s="82">
        <v>0</v>
      </c>
      <c r="G24" s="82">
        <v>0.34799999999999998</v>
      </c>
      <c r="H24" s="82">
        <v>0.71</v>
      </c>
      <c r="I24" s="82">
        <v>9.5500000000000007</v>
      </c>
      <c r="J24" s="82">
        <v>0.63796883800000004</v>
      </c>
      <c r="K24" s="82">
        <v>7.4345544E-2</v>
      </c>
      <c r="L24" s="82">
        <v>-2.8735632099999998E-2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6" t="s">
        <v>215</v>
      </c>
      <c r="F25" s="82">
        <v>0</v>
      </c>
      <c r="G25" s="82">
        <v>6.8000000000000005E-2</v>
      </c>
      <c r="H25" s="82">
        <v>0.6</v>
      </c>
      <c r="I25" s="82">
        <v>6.49</v>
      </c>
      <c r="J25" s="82">
        <v>0.84923744199999995</v>
      </c>
      <c r="K25" s="82">
        <v>9.244993E-2</v>
      </c>
      <c r="L25" s="82">
        <v>-7.3529410000000003E-2</v>
      </c>
      <c r="M25" s="82">
        <v>0.2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76" t="s">
        <v>216</v>
      </c>
      <c r="F26" s="82">
        <v>0</v>
      </c>
      <c r="G26" s="82">
        <v>0.24299999999999999</v>
      </c>
      <c r="H26" s="82">
        <v>0.42</v>
      </c>
      <c r="I26" s="82">
        <v>6.15</v>
      </c>
      <c r="J26" s="82">
        <v>0.20194551299999999</v>
      </c>
      <c r="K26" s="82">
        <v>6.8292679999999995E-2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76" t="s">
        <v>217</v>
      </c>
      <c r="F27" s="82">
        <v>0</v>
      </c>
      <c r="G27" s="82">
        <v>2E-3</v>
      </c>
      <c r="H27" s="82">
        <v>0.36</v>
      </c>
      <c r="I27" s="82">
        <v>4</v>
      </c>
      <c r="J27" s="82">
        <v>1.6388887500000001E-2</v>
      </c>
      <c r="K27" s="82">
        <v>0.09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76" t="s">
        <v>218</v>
      </c>
      <c r="F28" s="82">
        <v>0</v>
      </c>
      <c r="G28" s="82">
        <v>6.9135293999999998</v>
      </c>
      <c r="H28" s="82">
        <v>0.8</v>
      </c>
      <c r="I28" s="82">
        <v>12</v>
      </c>
      <c r="J28" s="82">
        <v>0.92726665699999999</v>
      </c>
      <c r="K28" s="82">
        <v>6.6666669999999997E-2</v>
      </c>
      <c r="L28" s="82">
        <v>0</v>
      </c>
      <c r="M28" s="82">
        <v>0.2</v>
      </c>
      <c r="N28" s="82">
        <v>0</v>
      </c>
    </row>
    <row r="29" spans="1:22" customFormat="1" ht="15" customHeight="1" x14ac:dyDescent="0.15">
      <c r="C29" s="82">
        <v>28</v>
      </c>
      <c r="E29" s="176" t="s">
        <v>219</v>
      </c>
      <c r="F29" s="82">
        <v>0</v>
      </c>
      <c r="G29" s="82">
        <v>11.874723400000001</v>
      </c>
      <c r="H29" s="82">
        <v>3.1</v>
      </c>
      <c r="I29" s="82">
        <v>20</v>
      </c>
      <c r="J29" s="82">
        <v>0.91284299999999996</v>
      </c>
      <c r="K29" s="82">
        <v>0.155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76" t="s">
        <v>220</v>
      </c>
      <c r="F30" s="82">
        <v>0</v>
      </c>
      <c r="G30" s="82">
        <v>166.54489100000001</v>
      </c>
      <c r="H30" s="82">
        <v>2.9</v>
      </c>
      <c r="I30" s="82">
        <v>10</v>
      </c>
      <c r="J30" s="82">
        <v>0.72583299999999995</v>
      </c>
      <c r="K30" s="82">
        <v>0.290000021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76" t="s">
        <v>221</v>
      </c>
      <c r="F31" s="82">
        <v>0</v>
      </c>
      <c r="G31" s="82">
        <v>7.6182150000000002</v>
      </c>
      <c r="H31" s="82">
        <v>7.57</v>
      </c>
      <c r="I31" s="82">
        <v>37.9</v>
      </c>
      <c r="J31" s="82">
        <v>0.96488070000000004</v>
      </c>
      <c r="K31" s="82">
        <v>0.199736148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76" t="s">
        <v>222</v>
      </c>
      <c r="F32" s="82">
        <v>0</v>
      </c>
      <c r="G32" s="82">
        <v>1.60975683</v>
      </c>
      <c r="H32" s="82">
        <v>4.59</v>
      </c>
      <c r="I32" s="82">
        <v>17.55</v>
      </c>
      <c r="J32" s="82">
        <v>0.78275329999999999</v>
      </c>
      <c r="K32" s="82">
        <v>0.26153847600000002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76" t="s">
        <v>223</v>
      </c>
      <c r="F33" s="82">
        <v>0</v>
      </c>
      <c r="G33" s="82">
        <v>9.1879810000000006</v>
      </c>
      <c r="H33" s="82">
        <v>20</v>
      </c>
      <c r="I33" s="82">
        <v>40</v>
      </c>
      <c r="J33" s="82">
        <v>0.66131859999999998</v>
      </c>
      <c r="K33" s="82">
        <v>0.5</v>
      </c>
      <c r="L33" s="82">
        <v>0</v>
      </c>
      <c r="M33" s="82">
        <v>0.2</v>
      </c>
      <c r="N33" s="82">
        <v>0</v>
      </c>
    </row>
    <row r="34" spans="3:14" customFormat="1" ht="15" customHeight="1" x14ac:dyDescent="0.15">
      <c r="C34" s="82">
        <v>33</v>
      </c>
      <c r="E34" s="176" t="s">
        <v>224</v>
      </c>
      <c r="F34" s="82">
        <v>0</v>
      </c>
      <c r="G34" s="82">
        <v>30</v>
      </c>
      <c r="H34" s="82">
        <v>40</v>
      </c>
      <c r="I34" s="82">
        <v>80</v>
      </c>
      <c r="J34" s="82">
        <v>0.38169350000000002</v>
      </c>
      <c r="K34" s="82">
        <v>0.5</v>
      </c>
      <c r="L34" s="82">
        <v>0</v>
      </c>
      <c r="M34" s="82">
        <v>0.2</v>
      </c>
      <c r="N34" s="82">
        <v>0</v>
      </c>
    </row>
    <row r="35" spans="3:14" customFormat="1" ht="15" customHeight="1" x14ac:dyDescent="0.15">
      <c r="C35" s="82">
        <v>34</v>
      </c>
      <c r="E35" s="176" t="s">
        <v>225</v>
      </c>
      <c r="F35" s="82">
        <v>1</v>
      </c>
      <c r="G35" s="82">
        <v>35</v>
      </c>
      <c r="H35" s="82">
        <v>240</v>
      </c>
      <c r="I35" s="82">
        <v>0</v>
      </c>
      <c r="J35" s="82">
        <v>0.27057429999999999</v>
      </c>
      <c r="K35" s="82">
        <v>0</v>
      </c>
      <c r="L35" s="82">
        <v>0</v>
      </c>
      <c r="M35" s="82">
        <v>0</v>
      </c>
      <c r="N35" s="82">
        <v>0</v>
      </c>
    </row>
    <row r="36" spans="3:14" customFormat="1" ht="15" customHeight="1" x14ac:dyDescent="0.15">
      <c r="C36" s="82">
        <v>35</v>
      </c>
      <c r="E36" s="176" t="s">
        <v>226</v>
      </c>
      <c r="F36" s="82">
        <v>1</v>
      </c>
      <c r="G36" s="82">
        <v>40</v>
      </c>
      <c r="H36" s="82">
        <v>20</v>
      </c>
      <c r="I36" s="82">
        <v>0</v>
      </c>
      <c r="J36" s="82">
        <v>0.68142175699999996</v>
      </c>
      <c r="K36" s="82">
        <v>0</v>
      </c>
      <c r="L36" s="82">
        <v>0</v>
      </c>
      <c r="M36" s="82">
        <v>0</v>
      </c>
      <c r="N36" s="82">
        <v>0</v>
      </c>
    </row>
    <row r="37" spans="3:14" customFormat="1" ht="15" customHeight="1" x14ac:dyDescent="0.15">
      <c r="C37" s="82">
        <v>36</v>
      </c>
      <c r="E37" s="176" t="s">
        <v>227</v>
      </c>
      <c r="F37" s="82">
        <v>1</v>
      </c>
      <c r="G37" s="82">
        <v>24</v>
      </c>
      <c r="H37" s="82">
        <v>24</v>
      </c>
      <c r="I37" s="82">
        <v>0</v>
      </c>
      <c r="J37" s="82">
        <v>0.96544295499999999</v>
      </c>
      <c r="K37" s="82">
        <v>0</v>
      </c>
      <c r="L37" s="82">
        <v>0</v>
      </c>
      <c r="M37" s="82">
        <v>0</v>
      </c>
      <c r="N37" s="82">
        <v>0</v>
      </c>
    </row>
    <row r="38" spans="3:14" customFormat="1" ht="15" customHeight="1" x14ac:dyDescent="0.15">
      <c r="C38" s="82">
        <v>37</v>
      </c>
      <c r="E38" s="176" t="s">
        <v>228</v>
      </c>
      <c r="F38" s="82">
        <v>2</v>
      </c>
      <c r="G38" s="82">
        <v>100</v>
      </c>
      <c r="H38" s="82">
        <v>0</v>
      </c>
      <c r="I38" s="82">
        <v>0</v>
      </c>
      <c r="J38" s="82">
        <v>0.115605772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76" t="s">
        <v>229</v>
      </c>
      <c r="F39" s="82">
        <v>2</v>
      </c>
      <c r="G39" s="82">
        <v>5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>
      <c r="C40" s="82">
        <v>39</v>
      </c>
      <c r="E40" s="176" t="s">
        <v>230</v>
      </c>
      <c r="F40" s="82">
        <v>3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0</v>
      </c>
      <c r="M40" s="82">
        <v>0</v>
      </c>
      <c r="N40" s="82">
        <v>0</v>
      </c>
    </row>
    <row r="41" spans="3:14" customFormat="1" ht="15" customHeight="1" x14ac:dyDescent="0.15">
      <c r="C41" s="82">
        <v>40</v>
      </c>
      <c r="E41" s="176" t="s">
        <v>231</v>
      </c>
      <c r="F41" s="82">
        <v>3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0</v>
      </c>
      <c r="N41" s="82">
        <v>0</v>
      </c>
    </row>
    <row r="42" spans="3:14" customFormat="1" ht="15" customHeight="1" x14ac:dyDescent="0.15">
      <c r="C42" s="82">
        <v>41</v>
      </c>
      <c r="E42" s="176" t="s">
        <v>232</v>
      </c>
      <c r="F42" s="82">
        <v>3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0</v>
      </c>
      <c r="N42" s="82">
        <v>0</v>
      </c>
    </row>
    <row r="43" spans="3:14" customFormat="1" ht="15" customHeight="1" x14ac:dyDescent="0.15">
      <c r="C43" s="82">
        <v>42</v>
      </c>
      <c r="E43" s="176" t="s">
        <v>233</v>
      </c>
      <c r="F43" s="82">
        <v>3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</row>
    <row r="44" spans="3:14" customFormat="1" ht="15" customHeight="1" x14ac:dyDescent="0.15">
      <c r="C44" s="82">
        <v>43</v>
      </c>
      <c r="E44" s="176" t="s">
        <v>234</v>
      </c>
      <c r="F44" s="82">
        <v>3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0</v>
      </c>
      <c r="M44" s="82">
        <v>0</v>
      </c>
      <c r="N44" s="82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1" bestFit="1" customWidth="1"/>
    <col min="2" max="5" width="14.83203125" style="141" bestFit="1" customWidth="1"/>
    <col min="6" max="7" width="13.83203125" style="141" bestFit="1" customWidth="1"/>
    <col min="8" max="15" width="14.83203125" style="141" bestFit="1" customWidth="1"/>
    <col min="16" max="16" width="13.83203125" style="141" bestFit="1" customWidth="1"/>
    <col min="17" max="18" width="14.83203125" style="141" bestFit="1" customWidth="1"/>
    <col min="19" max="19" width="13.83203125" style="141" bestFit="1" customWidth="1"/>
    <col min="20" max="21" width="5.83203125" style="141" bestFit="1" customWidth="1"/>
    <col min="22" max="22" width="15.83203125" style="141" bestFit="1" customWidth="1"/>
    <col min="23" max="24" width="14.83203125" style="141" bestFit="1" customWidth="1"/>
    <col min="25" max="25" width="5.83203125" style="141" bestFit="1" customWidth="1"/>
    <col min="26" max="26" width="15.83203125" style="141" bestFit="1" customWidth="1"/>
    <col min="27" max="27" width="13.83203125" style="141" bestFit="1" customWidth="1"/>
    <col min="28" max="28" width="14.83203125" style="141" bestFit="1" customWidth="1"/>
    <col min="29" max="29" width="4.83203125" style="141" bestFit="1" customWidth="1"/>
    <col min="30" max="30" width="4.83203125" style="141" customWidth="1"/>
    <col min="31" max="31" width="14.83203125" style="141" customWidth="1"/>
    <col min="32" max="32" width="4.83203125" style="141" customWidth="1"/>
    <col min="33" max="34" width="3.83203125" style="141" customWidth="1"/>
    <col min="35" max="39" width="2.33203125" style="141" customWidth="1"/>
    <col min="40" max="16384" width="8.83203125" style="141"/>
  </cols>
  <sheetData>
    <row r="1" spans="1:39" x14ac:dyDescent="0.15">
      <c r="A1" s="140" t="s">
        <v>19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 s="178" t="s">
        <v>224</v>
      </c>
      <c r="AI1" s="178" t="s">
        <v>225</v>
      </c>
      <c r="AJ1" s="178" t="s">
        <v>226</v>
      </c>
      <c r="AK1" s="178" t="s">
        <v>227</v>
      </c>
      <c r="AL1" s="178" t="s">
        <v>228</v>
      </c>
      <c r="AM1" s="178" t="s">
        <v>229</v>
      </c>
    </row>
    <row r="2" spans="1:39" customFormat="1" x14ac:dyDescent="0.15">
      <c r="A2" s="177" t="s">
        <v>192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  <c r="AL2" s="141">
        <v>0</v>
      </c>
      <c r="AM2" s="141">
        <v>0</v>
      </c>
    </row>
    <row r="3" spans="1:39" customFormat="1" x14ac:dyDescent="0.15">
      <c r="A3" s="177" t="s">
        <v>193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  <c r="AJ3" s="141">
        <v>0</v>
      </c>
      <c r="AK3" s="141">
        <v>0</v>
      </c>
      <c r="AL3" s="141">
        <v>0</v>
      </c>
      <c r="AM3" s="141">
        <v>0</v>
      </c>
    </row>
    <row r="4" spans="1:39" customFormat="1" x14ac:dyDescent="0.15">
      <c r="A4" s="177" t="s">
        <v>194</v>
      </c>
      <c r="B4" s="141">
        <v>9.9991589404050136E-3</v>
      </c>
      <c r="C4" s="141">
        <v>0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  <c r="AJ4" s="141">
        <v>0</v>
      </c>
      <c r="AK4" s="141">
        <v>0</v>
      </c>
      <c r="AL4" s="141">
        <v>0</v>
      </c>
      <c r="AM4" s="141">
        <v>0</v>
      </c>
    </row>
    <row r="5" spans="1:39" customFormat="1" x14ac:dyDescent="0.15">
      <c r="A5" s="177" t="s">
        <v>195</v>
      </c>
      <c r="B5" s="141">
        <v>1.7032549898486002E-2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6.3935959521759012E-2</v>
      </c>
      <c r="K5" s="141">
        <v>2.0481199637482771E-3</v>
      </c>
      <c r="L5" s="141">
        <v>0</v>
      </c>
      <c r="M5" s="141">
        <v>9.9986301399808217E-3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2.0893234743170398E-3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  <c r="AJ5" s="141">
        <v>0</v>
      </c>
      <c r="AK5" s="141">
        <v>0</v>
      </c>
      <c r="AL5" s="141">
        <v>0</v>
      </c>
      <c r="AM5" s="141">
        <v>0</v>
      </c>
    </row>
    <row r="6" spans="1:39" customFormat="1" x14ac:dyDescent="0.15">
      <c r="A6" s="177" t="s">
        <v>196</v>
      </c>
      <c r="B6" s="141">
        <v>0</v>
      </c>
      <c r="C6" s="141">
        <v>0</v>
      </c>
      <c r="D6" s="141">
        <v>0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2.6973031298241721E-2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5.997299663687344E-3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  <c r="AJ6" s="141">
        <v>0</v>
      </c>
      <c r="AK6" s="141">
        <v>0</v>
      </c>
      <c r="AL6" s="141">
        <v>0</v>
      </c>
      <c r="AM6" s="141">
        <v>0</v>
      </c>
    </row>
    <row r="7" spans="1:39" customFormat="1" x14ac:dyDescent="0.15">
      <c r="A7" s="177" t="s">
        <v>197</v>
      </c>
      <c r="B7" s="141">
        <v>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4.4955052063736206E-2</v>
      </c>
      <c r="K7" s="141">
        <v>0</v>
      </c>
      <c r="L7" s="141">
        <v>0</v>
      </c>
      <c r="M7" s="141">
        <v>0</v>
      </c>
      <c r="N7" s="141">
        <v>0</v>
      </c>
      <c r="O7" s="141">
        <v>1.9066699097440507E-2</v>
      </c>
      <c r="P7" s="141">
        <v>2.3285737502585915E-2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2.0893332443170129E-3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  <c r="AL7" s="141">
        <v>0</v>
      </c>
      <c r="AM7" s="141">
        <v>0</v>
      </c>
    </row>
    <row r="8" spans="1:39" customFormat="1" x14ac:dyDescent="0.15">
      <c r="A8" s="177" t="s">
        <v>198</v>
      </c>
      <c r="B8" s="141">
        <v>0</v>
      </c>
      <c r="C8" s="141">
        <v>0</v>
      </c>
      <c r="D8" s="141">
        <v>0</v>
      </c>
      <c r="E8" s="141">
        <v>7.6867750415085853E-2</v>
      </c>
      <c r="F8" s="141">
        <v>0</v>
      </c>
      <c r="G8" s="141">
        <v>8.2828395086747469E-2</v>
      </c>
      <c r="H8" s="141">
        <v>1.0274193947254828E-2</v>
      </c>
      <c r="I8" s="141">
        <v>2.3049280814331091E-2</v>
      </c>
      <c r="J8" s="141">
        <v>8.4915093464835084E-2</v>
      </c>
      <c r="K8" s="141">
        <v>0.88805924228135147</v>
      </c>
      <c r="L8" s="141">
        <v>6.055670701795824E-2</v>
      </c>
      <c r="M8" s="141">
        <v>4.9677460695484454E-2</v>
      </c>
      <c r="N8" s="141">
        <v>0</v>
      </c>
      <c r="O8" s="141">
        <v>0.13685920213500352</v>
      </c>
      <c r="P8" s="141">
        <v>0.11642868201292954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9.714458131145183E-2</v>
      </c>
      <c r="Y8" s="141">
        <v>0</v>
      </c>
      <c r="Z8" s="141">
        <v>2.1937997940328642E-2</v>
      </c>
      <c r="AA8" s="141">
        <v>4.7981355170450345E-2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0</v>
      </c>
      <c r="AL8" s="141">
        <v>0</v>
      </c>
      <c r="AM8" s="141">
        <v>0</v>
      </c>
    </row>
    <row r="9" spans="1:39" customFormat="1" x14ac:dyDescent="0.15">
      <c r="A9" s="177" t="s">
        <v>199</v>
      </c>
      <c r="B9" s="141">
        <v>0</v>
      </c>
      <c r="C9" s="141">
        <v>0</v>
      </c>
      <c r="D9" s="141">
        <v>0</v>
      </c>
      <c r="E9" s="141">
        <v>0</v>
      </c>
      <c r="F9" s="141">
        <v>0</v>
      </c>
      <c r="G9" s="141">
        <v>4.5005169992799181E-2</v>
      </c>
      <c r="H9" s="141">
        <v>7.5089028152809907E-3</v>
      </c>
      <c r="I9" s="141">
        <v>7.014999247839924E-3</v>
      </c>
      <c r="J9" s="141">
        <v>1.0989012117802188E-2</v>
      </c>
      <c r="K9" s="141">
        <v>0</v>
      </c>
      <c r="L9" s="141">
        <v>2.0125196638304554E-3</v>
      </c>
      <c r="M9" s="141">
        <v>0</v>
      </c>
      <c r="N9" s="141">
        <v>0</v>
      </c>
      <c r="O9" s="141">
        <v>2.2244480347013894E-2</v>
      </c>
      <c r="P9" s="141">
        <v>2.3285737502585915E-2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3.9960043961538511E-3</v>
      </c>
      <c r="X9" s="141">
        <v>0</v>
      </c>
      <c r="Y9" s="141">
        <v>2.9000000000000001E-2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  <c r="AJ9" s="141">
        <v>0</v>
      </c>
      <c r="AK9" s="141">
        <v>0</v>
      </c>
      <c r="AL9" s="141">
        <v>0</v>
      </c>
      <c r="AM9" s="141">
        <v>0</v>
      </c>
    </row>
    <row r="10" spans="1:39" customFormat="1" x14ac:dyDescent="0.15">
      <c r="A10" s="177" t="s">
        <v>200</v>
      </c>
      <c r="B10" s="141">
        <v>0</v>
      </c>
      <c r="C10" s="141">
        <v>0</v>
      </c>
      <c r="D10" s="141">
        <v>0</v>
      </c>
      <c r="E10" s="141">
        <v>0</v>
      </c>
      <c r="F10" s="141">
        <v>0</v>
      </c>
      <c r="G10" s="141">
        <v>1.0001148298399818E-3</v>
      </c>
      <c r="H10" s="141">
        <v>0</v>
      </c>
      <c r="I10" s="141">
        <v>0</v>
      </c>
      <c r="J10" s="141">
        <v>6.9930082576922965E-3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9.9954999728122393E-4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  <c r="AJ10" s="141">
        <v>0</v>
      </c>
      <c r="AK10" s="141">
        <v>0</v>
      </c>
      <c r="AL10" s="141">
        <v>0</v>
      </c>
      <c r="AM10" s="141">
        <v>0</v>
      </c>
    </row>
    <row r="11" spans="1:39" customFormat="1" x14ac:dyDescent="0.15">
      <c r="A11" s="177" t="s">
        <v>201</v>
      </c>
      <c r="B11" s="141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0</v>
      </c>
      <c r="H11" s="141">
        <v>0</v>
      </c>
      <c r="I11" s="141">
        <v>0</v>
      </c>
      <c r="J11" s="141">
        <v>1.0989012117802188E-2</v>
      </c>
      <c r="K11" s="141">
        <v>0</v>
      </c>
      <c r="L11" s="141">
        <v>0</v>
      </c>
      <c r="M11" s="141">
        <v>0</v>
      </c>
      <c r="N11" s="141">
        <v>0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0.19992232246020974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  <c r="AJ11" s="141">
        <v>0</v>
      </c>
      <c r="AK11" s="141">
        <v>0</v>
      </c>
      <c r="AL11" s="141">
        <v>0</v>
      </c>
      <c r="AM11" s="141">
        <v>0</v>
      </c>
    </row>
    <row r="12" spans="1:39" customFormat="1" x14ac:dyDescent="0.15">
      <c r="A12" s="177" t="s">
        <v>202</v>
      </c>
      <c r="B12" s="141">
        <v>0</v>
      </c>
      <c r="C12" s="141">
        <v>0</v>
      </c>
      <c r="D12" s="141">
        <v>5.0159459967396352E-3</v>
      </c>
      <c r="E12" s="141">
        <v>1.5794742985291609E-2</v>
      </c>
      <c r="F12" s="141">
        <v>0</v>
      </c>
      <c r="G12" s="141">
        <v>1.4494971397680809E-2</v>
      </c>
      <c r="H12" s="141">
        <v>0</v>
      </c>
      <c r="I12" s="141">
        <v>6.1210316862560493E-3</v>
      </c>
      <c r="J12" s="141">
        <v>4.6953051948791159E-2</v>
      </c>
      <c r="K12" s="141">
        <v>0</v>
      </c>
      <c r="L12" s="141">
        <v>0</v>
      </c>
      <c r="M12" s="141">
        <v>1.4706777605894887E-2</v>
      </c>
      <c r="N12" s="141">
        <v>0</v>
      </c>
      <c r="O12" s="141">
        <v>5.1763077107504003E-2</v>
      </c>
      <c r="P12" s="141">
        <v>5.1174812445220867E-2</v>
      </c>
      <c r="Q12" s="141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7.0143160069441725E-4</v>
      </c>
      <c r="W12" s="141">
        <v>0</v>
      </c>
      <c r="X12" s="141">
        <v>1.342078688118062E-2</v>
      </c>
      <c r="Y12" s="141">
        <v>6.0000000000000001E-3</v>
      </c>
      <c r="Z12" s="141">
        <v>1.0446666271585064E-3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  <c r="AJ12" s="141">
        <v>0</v>
      </c>
      <c r="AK12" s="141">
        <v>0</v>
      </c>
      <c r="AL12" s="141">
        <v>0</v>
      </c>
      <c r="AM12" s="141">
        <v>0</v>
      </c>
    </row>
    <row r="13" spans="1:39" customFormat="1" x14ac:dyDescent="0.15">
      <c r="A13" s="177" t="s">
        <v>203</v>
      </c>
      <c r="B13" s="141">
        <v>0</v>
      </c>
      <c r="C13" s="141">
        <v>0</v>
      </c>
      <c r="D13" s="141">
        <v>0</v>
      </c>
      <c r="E13" s="141">
        <v>0</v>
      </c>
      <c r="F13" s="141">
        <v>0</v>
      </c>
      <c r="G13" s="141">
        <v>0</v>
      </c>
      <c r="H13" s="141">
        <v>0</v>
      </c>
      <c r="I13" s="141">
        <v>0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0</v>
      </c>
      <c r="AK13" s="141">
        <v>0</v>
      </c>
      <c r="AL13" s="141">
        <v>0</v>
      </c>
      <c r="AM13" s="141">
        <v>0</v>
      </c>
    </row>
    <row r="14" spans="1:39" customFormat="1" x14ac:dyDescent="0.15">
      <c r="A14" s="177" t="s">
        <v>204</v>
      </c>
      <c r="B14" s="141">
        <v>5.9994957042430056E-3</v>
      </c>
      <c r="C14" s="141">
        <v>1.6138272785543337E-2</v>
      </c>
      <c r="D14" s="141">
        <v>0.94032819938878653</v>
      </c>
      <c r="E14" s="141">
        <v>4.2119320227444329E-3</v>
      </c>
      <c r="F14" s="141">
        <v>0</v>
      </c>
      <c r="G14" s="141">
        <v>0.10701228698287805</v>
      </c>
      <c r="H14" s="141">
        <v>2.8767745192313465E-2</v>
      </c>
      <c r="I14" s="141">
        <v>1.2025712524868424E-2</v>
      </c>
      <c r="J14" s="141">
        <v>0</v>
      </c>
      <c r="K14" s="141">
        <v>1.0240598418741408E-2</v>
      </c>
      <c r="L14" s="141">
        <v>0.20025137436622559</v>
      </c>
      <c r="M14" s="141">
        <v>0.70790300991064214</v>
      </c>
      <c r="N14" s="141">
        <v>4.0226359057094138E-2</v>
      </c>
      <c r="O14" s="141">
        <v>0.26853430418913515</v>
      </c>
      <c r="P14" s="141">
        <v>0.30206904062800066</v>
      </c>
      <c r="Q14" s="141">
        <v>0</v>
      </c>
      <c r="R14" s="141">
        <v>0</v>
      </c>
      <c r="S14" s="141">
        <v>0</v>
      </c>
      <c r="T14" s="141">
        <v>0</v>
      </c>
      <c r="U14" s="141">
        <v>0</v>
      </c>
      <c r="V14" s="141">
        <v>3.1074790030764042E-2</v>
      </c>
      <c r="W14" s="141">
        <v>0</v>
      </c>
      <c r="X14" s="141">
        <v>0</v>
      </c>
      <c r="Y14" s="141">
        <v>1.2999999999999999E-2</v>
      </c>
      <c r="Z14" s="141">
        <v>0.22989649937468148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0.36</v>
      </c>
      <c r="AG14" s="141">
        <v>0</v>
      </c>
      <c r="AH14" s="141">
        <v>0</v>
      </c>
      <c r="AI14" s="141">
        <v>0</v>
      </c>
      <c r="AJ14" s="141">
        <v>0</v>
      </c>
      <c r="AK14" s="141">
        <v>0</v>
      </c>
      <c r="AL14" s="141">
        <v>0</v>
      </c>
      <c r="AM14" s="141">
        <v>0</v>
      </c>
    </row>
    <row r="15" spans="1:39" customFormat="1" x14ac:dyDescent="0.15">
      <c r="A15" s="177" t="s">
        <v>205</v>
      </c>
      <c r="B15" s="141">
        <v>0</v>
      </c>
      <c r="C15" s="141">
        <v>0</v>
      </c>
      <c r="D15" s="141">
        <v>5.0159459967396352E-3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5.7942065866593333E-2</v>
      </c>
      <c r="K15" s="141">
        <v>4.0962399274965542E-3</v>
      </c>
      <c r="L15" s="141">
        <v>0</v>
      </c>
      <c r="M15" s="141">
        <v>0</v>
      </c>
      <c r="N15" s="141">
        <v>0</v>
      </c>
      <c r="O15" s="141">
        <v>1.0368120161742675E-2</v>
      </c>
      <c r="P15" s="141">
        <v>2.8006403043655703E-2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4.9977499864061184E-3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  <c r="AL15" s="141">
        <v>0</v>
      </c>
      <c r="AM15" s="141">
        <v>0</v>
      </c>
    </row>
    <row r="16" spans="1:39" customFormat="1" x14ac:dyDescent="0.15">
      <c r="A16" s="177" t="s">
        <v>206</v>
      </c>
      <c r="B16" s="141">
        <v>0</v>
      </c>
      <c r="C16" s="141">
        <v>0</v>
      </c>
      <c r="D16" s="141">
        <v>0</v>
      </c>
      <c r="E16" s="141">
        <v>0</v>
      </c>
      <c r="F16" s="141">
        <v>0</v>
      </c>
      <c r="G16" s="141">
        <v>3.1060653295030302E-3</v>
      </c>
      <c r="H16" s="141">
        <v>0</v>
      </c>
      <c r="I16" s="141">
        <v>0</v>
      </c>
      <c r="J16" s="141">
        <v>2.3976025920659321E-2</v>
      </c>
      <c r="K16" s="141">
        <v>0</v>
      </c>
      <c r="L16" s="141">
        <v>0</v>
      </c>
      <c r="M16" s="141">
        <v>0</v>
      </c>
      <c r="N16" s="141">
        <v>0</v>
      </c>
      <c r="O16" s="141">
        <v>1.03526154615008E-2</v>
      </c>
      <c r="P16" s="141">
        <v>2.0004572474039778E-2</v>
      </c>
      <c r="Q16" s="141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1.0999999999999999E-2</v>
      </c>
      <c r="Z16" s="141">
        <v>5.2233329857925333E-3</v>
      </c>
      <c r="AA16" s="141">
        <v>5.8977082240761876E-2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  <c r="AL16" s="141">
        <v>0</v>
      </c>
      <c r="AM16" s="141">
        <v>0</v>
      </c>
    </row>
    <row r="17" spans="1:39" customFormat="1" x14ac:dyDescent="0.15">
      <c r="A17" s="177" t="s">
        <v>207</v>
      </c>
      <c r="B17" s="141">
        <v>0</v>
      </c>
      <c r="C17" s="141">
        <v>0</v>
      </c>
      <c r="D17" s="141">
        <v>0</v>
      </c>
      <c r="E17" s="141">
        <v>1.36887776739194E-2</v>
      </c>
      <c r="F17" s="141">
        <v>0</v>
      </c>
      <c r="G17" s="141">
        <v>2.7003099995679507E-2</v>
      </c>
      <c r="H17" s="141">
        <v>2.0381309498619785E-2</v>
      </c>
      <c r="I17" s="141">
        <v>1.9040710672708308E-2</v>
      </c>
      <c r="J17" s="141">
        <v>1.2987015702857119E-2</v>
      </c>
      <c r="K17" s="141">
        <v>1.1264657400615566E-2</v>
      </c>
      <c r="L17" s="141">
        <v>1.4017596135635789E-2</v>
      </c>
      <c r="M17" s="141">
        <v>9.5127061331778867E-2</v>
      </c>
      <c r="N17" s="141">
        <v>0</v>
      </c>
      <c r="O17" s="141">
        <v>7.0503221099850258E-2</v>
      </c>
      <c r="P17" s="141">
        <v>4.8789166324465748E-2</v>
      </c>
      <c r="Q17" s="141">
        <v>0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141">
        <v>0</v>
      </c>
      <c r="X17" s="141">
        <v>1.3877797087350258E-2</v>
      </c>
      <c r="Y17" s="141">
        <v>0</v>
      </c>
      <c r="Z17" s="141">
        <v>2.199009994018692E-2</v>
      </c>
      <c r="AA17" s="141">
        <v>0.1667683415497255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  <c r="AJ17" s="141">
        <v>0</v>
      </c>
      <c r="AK17" s="141">
        <v>0</v>
      </c>
      <c r="AL17" s="141">
        <v>0</v>
      </c>
      <c r="AM17" s="141">
        <v>0</v>
      </c>
    </row>
    <row r="18" spans="1:39" customFormat="1" x14ac:dyDescent="0.15">
      <c r="A18" s="177" t="s">
        <v>208</v>
      </c>
      <c r="B18" s="141">
        <v>0</v>
      </c>
      <c r="C18" s="141">
        <v>0</v>
      </c>
      <c r="D18" s="141">
        <v>0</v>
      </c>
      <c r="E18" s="141">
        <v>0</v>
      </c>
      <c r="F18" s="141">
        <v>0</v>
      </c>
      <c r="G18" s="141">
        <v>0.10353549998343435</v>
      </c>
      <c r="H18" s="141">
        <v>2.3599408019454562E-2</v>
      </c>
      <c r="I18" s="141">
        <v>2.3049280814331091E-2</v>
      </c>
      <c r="J18" s="141">
        <v>2.7972032990769186E-2</v>
      </c>
      <c r="K18" s="141">
        <v>0</v>
      </c>
      <c r="L18" s="141">
        <v>5.0312984645761267E-3</v>
      </c>
      <c r="M18" s="141">
        <v>0</v>
      </c>
      <c r="N18" s="141">
        <v>0</v>
      </c>
      <c r="O18" s="141">
        <v>4.3429703177503366E-2</v>
      </c>
      <c r="P18" s="141">
        <v>4.8789166324465748E-2</v>
      </c>
      <c r="Q18" s="141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141">
        <v>1.1988012238461541E-2</v>
      </c>
      <c r="X18" s="141">
        <v>0</v>
      </c>
      <c r="Y18" s="141">
        <v>4.2999999999999997E-2</v>
      </c>
      <c r="Z18" s="141">
        <v>0</v>
      </c>
      <c r="AA18" s="141">
        <v>1.6993397754117828E-2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</v>
      </c>
      <c r="AL18" s="141">
        <v>0</v>
      </c>
      <c r="AM18" s="141">
        <v>0</v>
      </c>
    </row>
    <row r="19" spans="1:39" customFormat="1" x14ac:dyDescent="0.15">
      <c r="A19" s="177" t="s">
        <v>209</v>
      </c>
      <c r="B19" s="141">
        <v>9.9991599404050061E-4</v>
      </c>
      <c r="C19" s="141">
        <v>0</v>
      </c>
      <c r="D19" s="141">
        <v>5.0159459967396352E-3</v>
      </c>
      <c r="E19" s="141">
        <v>0</v>
      </c>
      <c r="F19" s="141">
        <v>0</v>
      </c>
      <c r="G19" s="141">
        <v>2.0002296196799635E-2</v>
      </c>
      <c r="H19" s="141">
        <v>0</v>
      </c>
      <c r="I19" s="141">
        <v>0</v>
      </c>
      <c r="J19" s="141">
        <v>3.9960045101098851E-2</v>
      </c>
      <c r="K19" s="141">
        <v>0</v>
      </c>
      <c r="L19" s="141">
        <v>0</v>
      </c>
      <c r="M19" s="141">
        <v>1.0548533047679462E-2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0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1.9990999945624479E-3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0</v>
      </c>
      <c r="AL19" s="141">
        <v>0</v>
      </c>
      <c r="AM19" s="141">
        <v>0</v>
      </c>
    </row>
    <row r="20" spans="1:39" customFormat="1" x14ac:dyDescent="0.15">
      <c r="A20" s="177" t="s">
        <v>210</v>
      </c>
      <c r="B20" s="141">
        <v>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2.5974031305714244E-2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</v>
      </c>
      <c r="S20" s="141">
        <v>0</v>
      </c>
      <c r="T20" s="141">
        <v>0</v>
      </c>
      <c r="U20" s="141">
        <v>0</v>
      </c>
      <c r="V20" s="141">
        <v>0</v>
      </c>
      <c r="W20" s="141">
        <v>0</v>
      </c>
      <c r="X20" s="141">
        <v>0</v>
      </c>
      <c r="Y20" s="141">
        <v>0</v>
      </c>
      <c r="Z20" s="141">
        <v>1.0446666271585064E-3</v>
      </c>
      <c r="AA20" s="141">
        <v>4.0943129889453547E-2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  <c r="AJ20" s="141">
        <v>0</v>
      </c>
      <c r="AK20" s="141">
        <v>0</v>
      </c>
      <c r="AL20" s="141">
        <v>0</v>
      </c>
      <c r="AM20" s="141">
        <v>0</v>
      </c>
    </row>
    <row r="21" spans="1:39" customFormat="1" x14ac:dyDescent="0.15">
      <c r="A21" s="177" t="s">
        <v>211</v>
      </c>
      <c r="B21" s="141">
        <v>0</v>
      </c>
      <c r="C21" s="141">
        <v>7.0604935086751898E-3</v>
      </c>
      <c r="D21" s="141">
        <v>0</v>
      </c>
      <c r="E21" s="141">
        <v>1.8953690102349926E-2</v>
      </c>
      <c r="F21" s="141">
        <v>0.68999975903449995</v>
      </c>
      <c r="G21" s="141">
        <v>0.11803047398111514</v>
      </c>
      <c r="H21" s="141">
        <v>9.6543027625041519E-3</v>
      </c>
      <c r="I21" s="141">
        <v>9.0192833186512802E-3</v>
      </c>
      <c r="J21" s="141">
        <v>7.9920089402197719E-3</v>
      </c>
      <c r="K21" s="141">
        <v>0</v>
      </c>
      <c r="L21" s="141">
        <v>0.12015082101973529</v>
      </c>
      <c r="M21" s="141">
        <v>7.3987711035827962E-3</v>
      </c>
      <c r="N21" s="141">
        <v>0</v>
      </c>
      <c r="O21" s="141">
        <v>4.9785270776650223E-2</v>
      </c>
      <c r="P21" s="141">
        <v>5.876876841128828E-2</v>
      </c>
      <c r="Q21" s="141">
        <v>0</v>
      </c>
      <c r="R21" s="141">
        <v>0</v>
      </c>
      <c r="S21" s="141">
        <v>0</v>
      </c>
      <c r="T21" s="141">
        <v>0.30299999999999999</v>
      </c>
      <c r="U21" s="141">
        <v>0</v>
      </c>
      <c r="V21" s="141">
        <v>0</v>
      </c>
      <c r="W21" s="141">
        <v>2.9970030346153846E-3</v>
      </c>
      <c r="X21" s="141">
        <v>0</v>
      </c>
      <c r="Y21" s="141">
        <v>2.1999999999999999E-2</v>
      </c>
      <c r="Z21" s="141">
        <v>1.8803996948853124E-2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</row>
    <row r="22" spans="1:39" customFormat="1" x14ac:dyDescent="0.15">
      <c r="A22" s="177" t="s">
        <v>212</v>
      </c>
      <c r="B22" s="141">
        <v>5.0096009701427781E-3</v>
      </c>
      <c r="C22" s="141">
        <v>1.959999886824397E-2</v>
      </c>
      <c r="D22" s="141">
        <v>4.5105919970681151E-3</v>
      </c>
      <c r="E22" s="141">
        <v>0.1649845548909166</v>
      </c>
      <c r="F22" s="141">
        <v>4.9000036002449995E-2</v>
      </c>
      <c r="G22" s="141">
        <v>0.14494969997680807</v>
      </c>
      <c r="H22" s="141">
        <v>4.1093281389105278E-2</v>
      </c>
      <c r="I22" s="141">
        <v>0</v>
      </c>
      <c r="J22" s="141">
        <v>0.13186813801362629</v>
      </c>
      <c r="K22" s="141">
        <v>2.3871615077472413E-2</v>
      </c>
      <c r="L22" s="141">
        <v>0.13886383433430102</v>
      </c>
      <c r="M22" s="141">
        <v>0</v>
      </c>
      <c r="N22" s="141">
        <v>3.9984126562772069E-3</v>
      </c>
      <c r="O22" s="141">
        <v>0.13452616509860818</v>
      </c>
      <c r="P22" s="141">
        <v>9.3142950810343669E-2</v>
      </c>
      <c r="Q22" s="141">
        <v>4.0000002527999977E-2</v>
      </c>
      <c r="R22" s="141">
        <v>0</v>
      </c>
      <c r="S22" s="141">
        <v>2.5100400416666648E-2</v>
      </c>
      <c r="T22" s="141">
        <v>0.192</v>
      </c>
      <c r="U22" s="141">
        <v>0</v>
      </c>
      <c r="V22" s="141">
        <v>1.0000408609900403E-2</v>
      </c>
      <c r="W22" s="141">
        <v>0</v>
      </c>
      <c r="X22" s="141">
        <v>0.10053522235722548</v>
      </c>
      <c r="Y22" s="141">
        <v>8.0000000000000002E-3</v>
      </c>
      <c r="Z22" s="141">
        <v>0.15669998457377601</v>
      </c>
      <c r="AA22" s="141">
        <v>0.11883493467914567</v>
      </c>
      <c r="AB22" s="141">
        <v>1.9999998906799982E-3</v>
      </c>
      <c r="AC22" s="141">
        <v>0</v>
      </c>
      <c r="AD22" s="141">
        <v>0</v>
      </c>
      <c r="AE22" s="141">
        <v>1.9999998418800016E-3</v>
      </c>
      <c r="AF22" s="141">
        <v>0</v>
      </c>
      <c r="AG22" s="141">
        <v>0</v>
      </c>
      <c r="AH22" s="141">
        <v>0</v>
      </c>
      <c r="AI22" s="141">
        <v>0</v>
      </c>
      <c r="AJ22" s="141">
        <v>0</v>
      </c>
      <c r="AK22" s="141">
        <v>0</v>
      </c>
      <c r="AL22" s="141">
        <v>0</v>
      </c>
      <c r="AM22" s="141">
        <v>0</v>
      </c>
    </row>
    <row r="23" spans="1:39" customFormat="1" x14ac:dyDescent="0.15">
      <c r="A23" s="177" t="s">
        <v>213</v>
      </c>
      <c r="B23" s="141">
        <v>0</v>
      </c>
      <c r="C23" s="141">
        <v>0</v>
      </c>
      <c r="D23" s="141">
        <v>0</v>
      </c>
      <c r="E23" s="141">
        <v>4.7384232555874858E-2</v>
      </c>
      <c r="F23" s="141">
        <v>0</v>
      </c>
      <c r="G23" s="141">
        <v>6.4192009989729279E-2</v>
      </c>
      <c r="H23" s="141">
        <v>1.0274193947254828E-2</v>
      </c>
      <c r="I23" s="141">
        <v>0.10002464453387069</v>
      </c>
      <c r="J23" s="141">
        <v>3.8961045108571374E-2</v>
      </c>
      <c r="K23" s="141">
        <v>0</v>
      </c>
      <c r="L23" s="141">
        <v>0.15018852352466905</v>
      </c>
      <c r="M23" s="141">
        <v>0</v>
      </c>
      <c r="N23" s="141">
        <v>0</v>
      </c>
      <c r="O23" s="141">
        <v>6.2208720970456044E-2</v>
      </c>
      <c r="P23" s="141">
        <v>9.3021267009285008E-2</v>
      </c>
      <c r="Q23" s="141">
        <v>0</v>
      </c>
      <c r="R23" s="141">
        <v>4.9929638523557592E-2</v>
      </c>
      <c r="S23" s="141">
        <v>0</v>
      </c>
      <c r="T23" s="141">
        <v>0</v>
      </c>
      <c r="U23" s="141">
        <v>1.4999999999999999E-2</v>
      </c>
      <c r="V23" s="141">
        <v>0</v>
      </c>
      <c r="W23" s="141">
        <v>8.9910091038461534E-3</v>
      </c>
      <c r="X23" s="141">
        <v>1.3877797087350258E-2</v>
      </c>
      <c r="Y23" s="141">
        <v>3.1E-2</v>
      </c>
      <c r="Z23" s="141">
        <v>0</v>
      </c>
      <c r="AA23" s="141">
        <v>6.4974749824568176E-2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  <c r="AJ23" s="141">
        <v>0</v>
      </c>
      <c r="AK23" s="141">
        <v>0</v>
      </c>
      <c r="AL23" s="141">
        <v>0</v>
      </c>
      <c r="AM23" s="141">
        <v>0</v>
      </c>
    </row>
    <row r="24" spans="1:39" customFormat="1" x14ac:dyDescent="0.15">
      <c r="A24" s="177" t="s">
        <v>214</v>
      </c>
      <c r="B24" s="141">
        <v>0</v>
      </c>
      <c r="C24" s="141">
        <v>0</v>
      </c>
      <c r="D24" s="141">
        <v>5.0017456467488655E-3</v>
      </c>
      <c r="E24" s="141">
        <v>0</v>
      </c>
      <c r="F24" s="141">
        <v>0</v>
      </c>
      <c r="G24" s="141">
        <v>1.0001148098399817E-2</v>
      </c>
      <c r="H24" s="141">
        <v>0</v>
      </c>
      <c r="I24" s="141">
        <v>0</v>
      </c>
      <c r="J24" s="141">
        <v>8.0919093794725172E-2</v>
      </c>
      <c r="K24" s="141">
        <v>2.0481199637482771E-3</v>
      </c>
      <c r="L24" s="141">
        <v>2.314397168905016E-2</v>
      </c>
      <c r="M24" s="141">
        <v>0</v>
      </c>
      <c r="N24" s="141">
        <v>0</v>
      </c>
      <c r="O24" s="141">
        <v>5.0112200781750335E-3</v>
      </c>
      <c r="P24" s="141">
        <v>0</v>
      </c>
      <c r="Q24" s="141">
        <v>0</v>
      </c>
      <c r="R24" s="141">
        <v>0</v>
      </c>
      <c r="S24" s="141">
        <v>0</v>
      </c>
      <c r="T24" s="141">
        <v>0.01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9.9954999728122367E-3</v>
      </c>
      <c r="AA24" s="141">
        <v>3.4951452105631074E-2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</row>
    <row r="25" spans="1:39" customFormat="1" x14ac:dyDescent="0.15">
      <c r="A25" s="177" t="s">
        <v>215</v>
      </c>
      <c r="B25" s="141">
        <v>0</v>
      </c>
      <c r="C25" s="141">
        <v>0</v>
      </c>
      <c r="D25" s="141">
        <v>0</v>
      </c>
      <c r="E25" s="141">
        <v>0</v>
      </c>
      <c r="F25" s="141">
        <v>0</v>
      </c>
      <c r="G25" s="141">
        <v>1.0353549998343434E-3</v>
      </c>
      <c r="H25" s="141">
        <v>0</v>
      </c>
      <c r="I25" s="141">
        <v>0</v>
      </c>
      <c r="J25" s="141">
        <v>4.9950056326373568E-3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4.0009145048079557E-2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141">
        <v>0</v>
      </c>
      <c r="X25" s="141">
        <v>0</v>
      </c>
      <c r="Y25" s="141">
        <v>1E-3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0</v>
      </c>
      <c r="AL25" s="141">
        <v>0</v>
      </c>
      <c r="AM25" s="141">
        <v>0</v>
      </c>
    </row>
    <row r="26" spans="1:39" customFormat="1" x14ac:dyDescent="0.15">
      <c r="A26" s="177" t="s">
        <v>216</v>
      </c>
      <c r="B26" s="141">
        <v>9.9991599404050061E-4</v>
      </c>
      <c r="C26" s="141">
        <v>0</v>
      </c>
      <c r="D26" s="141">
        <v>0</v>
      </c>
      <c r="E26" s="141">
        <v>0</v>
      </c>
      <c r="F26" s="141">
        <v>0</v>
      </c>
      <c r="G26" s="141">
        <v>1.0353549998343434E-3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141">
        <v>0</v>
      </c>
      <c r="X26" s="141">
        <v>0</v>
      </c>
      <c r="Y26" s="141">
        <v>0</v>
      </c>
      <c r="Z26" s="141">
        <v>2.0893332443170129E-3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  <c r="AL26" s="141">
        <v>0</v>
      </c>
      <c r="AM26" s="141">
        <v>0</v>
      </c>
    </row>
    <row r="27" spans="1:39" customFormat="1" x14ac:dyDescent="0.15">
      <c r="A27" s="177" t="s">
        <v>217</v>
      </c>
      <c r="B27" s="141">
        <v>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</v>
      </c>
      <c r="L27" s="141">
        <v>0</v>
      </c>
      <c r="M27" s="141">
        <v>0</v>
      </c>
      <c r="N27" s="141">
        <v>0</v>
      </c>
      <c r="O27" s="141">
        <v>0</v>
      </c>
      <c r="P27" s="141">
        <v>0</v>
      </c>
      <c r="Q27" s="141">
        <v>0</v>
      </c>
      <c r="R27" s="141">
        <v>0</v>
      </c>
      <c r="S27" s="141">
        <v>0</v>
      </c>
      <c r="T27" s="141">
        <v>0</v>
      </c>
      <c r="U27" s="141">
        <v>0</v>
      </c>
      <c r="V27" s="141">
        <v>0</v>
      </c>
      <c r="W27" s="141">
        <v>0</v>
      </c>
      <c r="X27" s="141">
        <v>0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  <c r="AJ27" s="141">
        <v>0</v>
      </c>
      <c r="AK27" s="141">
        <v>0</v>
      </c>
      <c r="AL27" s="141">
        <v>0</v>
      </c>
      <c r="AM27" s="141">
        <v>0</v>
      </c>
    </row>
    <row r="28" spans="1:39" customFormat="1" x14ac:dyDescent="0.15">
      <c r="A28" s="177" t="s">
        <v>218</v>
      </c>
      <c r="B28" s="141">
        <v>0</v>
      </c>
      <c r="C28" s="141">
        <v>6.0518515845787348E-3</v>
      </c>
      <c r="D28" s="141">
        <v>0</v>
      </c>
      <c r="E28" s="141">
        <v>0</v>
      </c>
      <c r="F28" s="141">
        <v>0</v>
      </c>
      <c r="G28" s="141">
        <v>0</v>
      </c>
      <c r="H28" s="141">
        <v>2.4672109393066109E-2</v>
      </c>
      <c r="I28" s="141">
        <v>2.4051424949736843E-2</v>
      </c>
      <c r="J28" s="141">
        <v>0</v>
      </c>
      <c r="K28" s="141">
        <v>0</v>
      </c>
      <c r="L28" s="141">
        <v>5.0312984645761267E-3</v>
      </c>
      <c r="M28" s="141">
        <v>0</v>
      </c>
      <c r="N28" s="141">
        <v>1.6960521802445366E-2</v>
      </c>
      <c r="O28" s="141">
        <v>0</v>
      </c>
      <c r="P28" s="141">
        <v>0</v>
      </c>
      <c r="Q28" s="141">
        <v>0</v>
      </c>
      <c r="R28" s="141">
        <v>0</v>
      </c>
      <c r="S28" s="141">
        <v>0.14427687439499615</v>
      </c>
      <c r="T28" s="141">
        <v>0.156</v>
      </c>
      <c r="U28" s="141">
        <v>0</v>
      </c>
      <c r="V28" s="141">
        <v>1.657322421640749E-2</v>
      </c>
      <c r="W28" s="141">
        <v>0</v>
      </c>
      <c r="X28" s="141">
        <v>0</v>
      </c>
      <c r="Y28" s="141">
        <v>4.2999999999999997E-2</v>
      </c>
      <c r="Z28" s="141">
        <v>8.2528665475522012E-2</v>
      </c>
      <c r="AA28" s="141">
        <v>0</v>
      </c>
      <c r="AB28" s="141">
        <v>1.0080807954639592E-2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  <c r="AI28" s="141">
        <v>0</v>
      </c>
      <c r="AJ28" s="141">
        <v>0</v>
      </c>
      <c r="AK28" s="141">
        <v>0</v>
      </c>
      <c r="AL28" s="141">
        <v>0</v>
      </c>
      <c r="AM28" s="141">
        <v>0</v>
      </c>
    </row>
    <row r="29" spans="1:39" customFormat="1" x14ac:dyDescent="0.15">
      <c r="A29" s="177" t="s">
        <v>219</v>
      </c>
      <c r="B29" s="141">
        <v>0.93992095639807105</v>
      </c>
      <c r="C29" s="141">
        <v>0.41455186390364401</v>
      </c>
      <c r="D29" s="141">
        <v>0</v>
      </c>
      <c r="E29" s="141">
        <v>0.17900710096663836</v>
      </c>
      <c r="F29" s="141">
        <v>3.2000027601600006E-2</v>
      </c>
      <c r="G29" s="141">
        <v>3.4166715994533331E-2</v>
      </c>
      <c r="H29" s="141">
        <v>0.23277596527371125</v>
      </c>
      <c r="I29" s="141">
        <v>0.21746496168303708</v>
      </c>
      <c r="J29" s="141">
        <v>0.14985015887912079</v>
      </c>
      <c r="K29" s="141">
        <v>4.7106749166210549E-2</v>
      </c>
      <c r="L29" s="141">
        <v>9.0563361522370094E-3</v>
      </c>
      <c r="M29" s="141">
        <v>1.6911478936760704E-2</v>
      </c>
      <c r="N29" s="141">
        <v>1.9953554032288691E-2</v>
      </c>
      <c r="O29" s="141">
        <v>0</v>
      </c>
      <c r="P29" s="141">
        <v>0</v>
      </c>
      <c r="Q29" s="141">
        <v>0</v>
      </c>
      <c r="R29" s="141">
        <v>5.9915566228269108E-2</v>
      </c>
      <c r="S29" s="141">
        <v>0.37099773315856244</v>
      </c>
      <c r="T29" s="141">
        <v>6.3E-2</v>
      </c>
      <c r="U29" s="141">
        <v>0</v>
      </c>
      <c r="V29" s="141">
        <v>0.26827904626559629</v>
      </c>
      <c r="W29" s="141">
        <v>5.6943060657692342E-2</v>
      </c>
      <c r="X29" s="141">
        <v>0.16012844616173402</v>
      </c>
      <c r="Y29" s="141">
        <v>0.184</v>
      </c>
      <c r="Z29" s="141">
        <v>0.21415664241749388</v>
      </c>
      <c r="AA29" s="141">
        <v>4.9930646865187257E-2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  <c r="AI29" s="141">
        <v>0</v>
      </c>
      <c r="AJ29" s="141">
        <v>0</v>
      </c>
      <c r="AK29" s="141">
        <v>0</v>
      </c>
      <c r="AL29" s="141">
        <v>0</v>
      </c>
      <c r="AM29" s="141">
        <v>0</v>
      </c>
    </row>
    <row r="30" spans="1:39" customFormat="1" x14ac:dyDescent="0.15">
      <c r="A30" s="177" t="s">
        <v>220</v>
      </c>
      <c r="B30" s="141">
        <v>1.4026884816399765E-2</v>
      </c>
      <c r="C30" s="141">
        <v>0.28746295686749002</v>
      </c>
      <c r="D30" s="141">
        <v>0</v>
      </c>
      <c r="E30" s="141">
        <v>6.0020026124108145E-2</v>
      </c>
      <c r="F30" s="141">
        <v>0.22600017501130001</v>
      </c>
      <c r="G30" s="141">
        <v>0.15219719997564848</v>
      </c>
      <c r="H30" s="141">
        <v>0.40762614197239694</v>
      </c>
      <c r="I30" s="141">
        <v>0.39083561380822224</v>
      </c>
      <c r="J30" s="141">
        <v>7.9920089402197719E-2</v>
      </c>
      <c r="K30" s="141">
        <v>2.0481199637482771E-3</v>
      </c>
      <c r="L30" s="141">
        <v>3.5219085092032809E-2</v>
      </c>
      <c r="M30" s="141">
        <v>8.244344115420818E-2</v>
      </c>
      <c r="N30" s="141">
        <v>9.8770097684828889E-2</v>
      </c>
      <c r="O30" s="141">
        <v>2.9659308962685219E-2</v>
      </c>
      <c r="P30" s="141">
        <v>5.3224550463053591E-2</v>
      </c>
      <c r="Q30" s="141">
        <v>0.11319648423026389</v>
      </c>
      <c r="R30" s="141">
        <v>6.8531941404904803E-2</v>
      </c>
      <c r="S30" s="141">
        <v>0.30916480513213584</v>
      </c>
      <c r="T30" s="141">
        <v>0.247</v>
      </c>
      <c r="U30" s="141">
        <v>0.40400000000000003</v>
      </c>
      <c r="V30" s="141">
        <v>0.23927590023688314</v>
      </c>
      <c r="W30" s="141">
        <v>0.3766234043500003</v>
      </c>
      <c r="X30" s="141">
        <v>0.22524732704083889</v>
      </c>
      <c r="Y30" s="141">
        <v>0.55200000000000005</v>
      </c>
      <c r="Z30" s="141">
        <v>8.4617994469839045E-2</v>
      </c>
      <c r="AA30" s="141">
        <v>0</v>
      </c>
      <c r="AB30" s="141">
        <v>0.35282820541238463</v>
      </c>
      <c r="AC30" s="141">
        <v>0.01</v>
      </c>
      <c r="AD30" s="141">
        <v>0.1</v>
      </c>
      <c r="AE30" s="141">
        <v>0.2721818365340325</v>
      </c>
      <c r="AF30" s="141">
        <v>0.13</v>
      </c>
      <c r="AG30" s="141">
        <v>0</v>
      </c>
      <c r="AH30" s="141">
        <v>0</v>
      </c>
      <c r="AI30" s="141">
        <v>0</v>
      </c>
      <c r="AJ30" s="141">
        <v>0</v>
      </c>
      <c r="AK30" s="141">
        <v>0</v>
      </c>
      <c r="AL30" s="141">
        <v>0</v>
      </c>
      <c r="AM30" s="141">
        <v>0</v>
      </c>
    </row>
    <row r="31" spans="1:39" customFormat="1" x14ac:dyDescent="0.15">
      <c r="A31" s="177" t="s">
        <v>221</v>
      </c>
      <c r="B31" s="141">
        <v>5.0096009701427781E-3</v>
      </c>
      <c r="C31" s="141">
        <v>0.2440913528313424</v>
      </c>
      <c r="D31" s="141">
        <v>1.9060594987610611E-2</v>
      </c>
      <c r="E31" s="141">
        <v>1.8953690102349926E-2</v>
      </c>
      <c r="F31" s="141">
        <v>3.0000023501500005E-3</v>
      </c>
      <c r="G31" s="141">
        <v>4.4520266392876769E-2</v>
      </c>
      <c r="H31" s="141">
        <v>7.9379828047256226E-2</v>
      </c>
      <c r="I31" s="141">
        <v>6.9147832442992913E-2</v>
      </c>
      <c r="J31" s="141">
        <v>1.9980022550549426E-2</v>
      </c>
      <c r="K31" s="141">
        <v>0</v>
      </c>
      <c r="L31" s="141">
        <v>3.1194050524371984E-2</v>
      </c>
      <c r="M31" s="141">
        <v>5.2848360739877059E-3</v>
      </c>
      <c r="N31" s="141">
        <v>0</v>
      </c>
      <c r="O31" s="141">
        <v>5.1840600808713373E-3</v>
      </c>
      <c r="P31" s="141">
        <v>0</v>
      </c>
      <c r="Q31" s="141">
        <v>0.83774779430331492</v>
      </c>
      <c r="R31" s="141">
        <v>0.81318815267035716</v>
      </c>
      <c r="S31" s="141">
        <v>0</v>
      </c>
      <c r="T31" s="141">
        <v>0.02</v>
      </c>
      <c r="U31" s="141">
        <v>0</v>
      </c>
      <c r="V31" s="141">
        <v>1.0358265110254681E-3</v>
      </c>
      <c r="W31" s="141">
        <v>0</v>
      </c>
      <c r="X31" s="141">
        <v>0.20603190278143066</v>
      </c>
      <c r="Y31" s="141">
        <v>2.1000000000000001E-2</v>
      </c>
      <c r="Z31" s="141">
        <v>1.9848663346011632E-2</v>
      </c>
      <c r="AA31" s="141">
        <v>9.9861293730374515E-2</v>
      </c>
      <c r="AB31" s="141">
        <v>0</v>
      </c>
      <c r="AC31" s="141">
        <v>0</v>
      </c>
      <c r="AD31" s="141">
        <v>0</v>
      </c>
      <c r="AE31" s="141">
        <v>1.71373727447354E-2</v>
      </c>
      <c r="AF31" s="141">
        <v>0</v>
      </c>
      <c r="AG31" s="141">
        <v>0</v>
      </c>
      <c r="AH31" s="141">
        <v>0</v>
      </c>
      <c r="AI31" s="141">
        <v>0</v>
      </c>
      <c r="AJ31" s="141">
        <v>0</v>
      </c>
      <c r="AK31" s="141">
        <v>0</v>
      </c>
      <c r="AL31" s="141">
        <v>0</v>
      </c>
      <c r="AM31" s="141">
        <v>0</v>
      </c>
    </row>
    <row r="32" spans="1:39" customFormat="1" x14ac:dyDescent="0.15">
      <c r="A32" s="177" t="s">
        <v>222</v>
      </c>
      <c r="B32" s="141">
        <v>1.0019203140285548E-3</v>
      </c>
      <c r="C32" s="141">
        <v>5.043209650482279E-3</v>
      </c>
      <c r="D32" s="141">
        <v>1.6051029989566829E-2</v>
      </c>
      <c r="E32" s="141">
        <v>0.40013350216072091</v>
      </c>
      <c r="F32" s="141">
        <v>0</v>
      </c>
      <c r="G32" s="141">
        <v>2.5883875795858585E-2</v>
      </c>
      <c r="H32" s="141">
        <v>2.5685486668137029E-2</v>
      </c>
      <c r="I32" s="141">
        <v>3.0007391060161124E-2</v>
      </c>
      <c r="J32" s="141">
        <v>0</v>
      </c>
      <c r="K32" s="141">
        <v>9.2165378368672807E-3</v>
      </c>
      <c r="L32" s="141">
        <v>5.506912712571202E-2</v>
      </c>
      <c r="M32" s="141">
        <v>0</v>
      </c>
      <c r="N32" s="141">
        <v>0</v>
      </c>
      <c r="O32" s="141">
        <v>8.0503831255859762E-2</v>
      </c>
      <c r="P32" s="141">
        <v>0</v>
      </c>
      <c r="Q32" s="141">
        <v>9.0557189384211107E-3</v>
      </c>
      <c r="R32" s="141">
        <v>8.4347011729113738E-3</v>
      </c>
      <c r="S32" s="141">
        <v>0</v>
      </c>
      <c r="T32" s="141">
        <v>8.9999999999999993E-3</v>
      </c>
      <c r="U32" s="141">
        <v>0</v>
      </c>
      <c r="V32" s="141">
        <v>4.5001842144551822E-2</v>
      </c>
      <c r="W32" s="141">
        <v>0</v>
      </c>
      <c r="X32" s="141">
        <v>9.6077041297040044E-3</v>
      </c>
      <c r="Y32" s="141">
        <v>3.5999999999999997E-2</v>
      </c>
      <c r="Z32" s="141">
        <v>0.11194959969549706</v>
      </c>
      <c r="AA32" s="141">
        <v>9.9861293730374515E-2</v>
      </c>
      <c r="AB32" s="141">
        <v>0</v>
      </c>
      <c r="AC32" s="141">
        <v>0</v>
      </c>
      <c r="AD32" s="141">
        <v>0</v>
      </c>
      <c r="AE32" s="141">
        <v>0</v>
      </c>
      <c r="AF32" s="141">
        <v>0.01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</row>
    <row r="33" spans="1:39" customFormat="1" x14ac:dyDescent="0.15">
      <c r="A33" s="177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7.5089028152809907E-3</v>
      </c>
      <c r="I33" s="141">
        <v>0</v>
      </c>
      <c r="J33" s="141">
        <v>0</v>
      </c>
      <c r="K33" s="141">
        <v>0</v>
      </c>
      <c r="L33" s="141">
        <v>9.3862907677835464E-2</v>
      </c>
      <c r="M33" s="141">
        <v>0</v>
      </c>
      <c r="N33" s="141">
        <v>5.9860656496866206E-2</v>
      </c>
      <c r="O33" s="141">
        <v>0</v>
      </c>
      <c r="P33" s="141">
        <v>0</v>
      </c>
      <c r="Q33" s="141">
        <v>0</v>
      </c>
      <c r="R33" s="141">
        <v>0</v>
      </c>
      <c r="S33" s="141">
        <v>5.1527460855355853E-2</v>
      </c>
      <c r="T33" s="141">
        <v>0</v>
      </c>
      <c r="U33" s="141">
        <v>6.0000000000000001E-3</v>
      </c>
      <c r="V33" s="141">
        <v>0.3000123002970122</v>
      </c>
      <c r="W33" s="141">
        <v>0.53846150621923039</v>
      </c>
      <c r="X33" s="141">
        <v>0.15479082108967607</v>
      </c>
      <c r="Y33" s="141">
        <v>0</v>
      </c>
      <c r="Z33" s="141">
        <v>0</v>
      </c>
      <c r="AA33" s="141">
        <v>0</v>
      </c>
      <c r="AB33" s="141">
        <v>0</v>
      </c>
      <c r="AC33" s="141">
        <v>0.05</v>
      </c>
      <c r="AD33" s="141">
        <v>0</v>
      </c>
      <c r="AE33" s="141">
        <v>0.19455959823729002</v>
      </c>
      <c r="AF33" s="141">
        <v>0.25</v>
      </c>
      <c r="AG33" s="141">
        <v>0</v>
      </c>
      <c r="AH33" s="141">
        <v>0</v>
      </c>
      <c r="AI33" s="141">
        <v>0</v>
      </c>
      <c r="AJ33" s="141">
        <v>0</v>
      </c>
      <c r="AK33" s="141">
        <v>0</v>
      </c>
      <c r="AL33" s="141">
        <v>0</v>
      </c>
      <c r="AM33" s="141">
        <v>0</v>
      </c>
    </row>
    <row r="34" spans="1:39" customFormat="1" x14ac:dyDescent="0.15">
      <c r="A34" s="177" t="s">
        <v>224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7.0798228258363585E-2</v>
      </c>
      <c r="I34" s="141">
        <v>6.9147832442992913E-2</v>
      </c>
      <c r="J34" s="141">
        <v>0</v>
      </c>
      <c r="K34" s="141">
        <v>0</v>
      </c>
      <c r="L34" s="141">
        <v>5.6350548747252711E-2</v>
      </c>
      <c r="M34" s="141">
        <v>0</v>
      </c>
      <c r="N34" s="141">
        <v>0.52876918760565017</v>
      </c>
      <c r="O34" s="141">
        <v>0</v>
      </c>
      <c r="P34" s="141">
        <v>0</v>
      </c>
      <c r="Q34" s="141">
        <v>0</v>
      </c>
      <c r="R34" s="141">
        <v>0</v>
      </c>
      <c r="S34" s="141">
        <v>2.679428044478506E-2</v>
      </c>
      <c r="T34" s="141">
        <v>0</v>
      </c>
      <c r="U34" s="141">
        <v>0</v>
      </c>
      <c r="V34" s="141">
        <v>0</v>
      </c>
      <c r="W34" s="141">
        <v>0</v>
      </c>
      <c r="X34" s="141">
        <v>0</v>
      </c>
      <c r="Y34" s="141">
        <v>0</v>
      </c>
      <c r="Z34" s="141">
        <v>0</v>
      </c>
      <c r="AA34" s="141">
        <v>0</v>
      </c>
      <c r="AB34" s="141">
        <v>5.0404042773198016E-2</v>
      </c>
      <c r="AC34" s="141">
        <v>0.05</v>
      </c>
      <c r="AD34" s="141">
        <v>0.05</v>
      </c>
      <c r="AE34" s="141">
        <v>3.7298995662071094E-2</v>
      </c>
      <c r="AF34" s="141">
        <v>0.25</v>
      </c>
      <c r="AG34" s="141">
        <v>0.1</v>
      </c>
      <c r="AH34" s="141">
        <v>0.10000000000000002</v>
      </c>
      <c r="AI34" s="141">
        <v>0</v>
      </c>
      <c r="AJ34" s="141">
        <v>0</v>
      </c>
      <c r="AK34" s="141">
        <v>0</v>
      </c>
      <c r="AL34" s="141">
        <v>0</v>
      </c>
      <c r="AM34" s="141">
        <v>0</v>
      </c>
    </row>
    <row r="35" spans="1:39" customFormat="1" x14ac:dyDescent="0.15">
      <c r="A35" s="177" t="s">
        <v>225</v>
      </c>
      <c r="B35" s="141">
        <v>0</v>
      </c>
      <c r="C35" s="141">
        <v>0</v>
      </c>
      <c r="D35" s="141">
        <v>0</v>
      </c>
      <c r="E35" s="141">
        <v>0</v>
      </c>
      <c r="F35" s="141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2.8932650821818659E-2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5.7000000000000002E-2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0.20161617109279206</v>
      </c>
      <c r="AC35" s="141">
        <v>0.23</v>
      </c>
      <c r="AD35" s="141">
        <v>0.2</v>
      </c>
      <c r="AE35" s="141">
        <v>0</v>
      </c>
      <c r="AF35" s="141">
        <v>0</v>
      </c>
      <c r="AG35" s="141">
        <v>0.5</v>
      </c>
      <c r="AH35" s="141">
        <v>0.70000000000000007</v>
      </c>
      <c r="AI35" s="141">
        <v>0</v>
      </c>
      <c r="AJ35" s="141">
        <v>0</v>
      </c>
      <c r="AK35" s="141">
        <v>0</v>
      </c>
      <c r="AL35" s="141">
        <v>0</v>
      </c>
      <c r="AM35" s="141">
        <v>0</v>
      </c>
    </row>
    <row r="36" spans="1:39" customFormat="1" x14ac:dyDescent="0.15">
      <c r="A36" s="177" t="s">
        <v>226</v>
      </c>
      <c r="B36" s="141">
        <v>0</v>
      </c>
      <c r="C36" s="141">
        <v>0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8.9790987895299226E-2</v>
      </c>
      <c r="O36" s="141">
        <v>0</v>
      </c>
      <c r="P36" s="141">
        <v>0</v>
      </c>
      <c r="Q36" s="141">
        <v>0</v>
      </c>
      <c r="R36" s="141">
        <v>0</v>
      </c>
      <c r="S36" s="141">
        <v>5.1527460855355853E-2</v>
      </c>
      <c r="T36" s="141">
        <v>0</v>
      </c>
      <c r="U36" s="141">
        <v>0</v>
      </c>
      <c r="V36" s="141">
        <v>8.8045230087164777E-2</v>
      </c>
      <c r="W36" s="141">
        <v>0</v>
      </c>
      <c r="X36" s="141">
        <v>5.3376140720577895E-3</v>
      </c>
      <c r="Y36" s="141">
        <v>0</v>
      </c>
      <c r="Z36" s="141">
        <v>0</v>
      </c>
      <c r="AA36" s="141">
        <v>0</v>
      </c>
      <c r="AB36" s="141">
        <v>0</v>
      </c>
      <c r="AC36" s="141">
        <v>0</v>
      </c>
      <c r="AD36" s="141">
        <v>0.3</v>
      </c>
      <c r="AE36" s="141">
        <v>0.10080808308667877</v>
      </c>
      <c r="AF36" s="141">
        <v>0</v>
      </c>
      <c r="AG36" s="141">
        <v>0</v>
      </c>
      <c r="AH36" s="141">
        <v>0</v>
      </c>
      <c r="AI36" s="141">
        <v>0</v>
      </c>
      <c r="AJ36" s="141">
        <v>0</v>
      </c>
      <c r="AK36" s="141">
        <v>0</v>
      </c>
      <c r="AL36" s="141">
        <v>0</v>
      </c>
      <c r="AM36" s="141">
        <v>0</v>
      </c>
    </row>
    <row r="37" spans="1:39" customFormat="1" x14ac:dyDescent="0.15">
      <c r="A37" s="177" t="s">
        <v>227</v>
      </c>
      <c r="B37" s="141">
        <v>0</v>
      </c>
      <c r="C37" s="141">
        <v>0</v>
      </c>
      <c r="D37" s="141">
        <v>0</v>
      </c>
      <c r="E37" s="141">
        <v>0</v>
      </c>
      <c r="F37" s="141">
        <v>0</v>
      </c>
      <c r="G37" s="141">
        <v>0</v>
      </c>
      <c r="H37" s="141">
        <v>0</v>
      </c>
      <c r="I37" s="141">
        <v>0</v>
      </c>
      <c r="J37" s="141">
        <v>0</v>
      </c>
      <c r="K37" s="141">
        <v>0</v>
      </c>
      <c r="L37" s="141">
        <v>0</v>
      </c>
      <c r="M37" s="141">
        <v>0</v>
      </c>
      <c r="N37" s="141">
        <v>1.9953555432288658E-3</v>
      </c>
      <c r="O37" s="141">
        <v>0</v>
      </c>
      <c r="P37" s="141">
        <v>0</v>
      </c>
      <c r="Q37" s="141">
        <v>0</v>
      </c>
      <c r="R37" s="141">
        <v>0</v>
      </c>
      <c r="S37" s="141">
        <v>1.0305492371071175E-2</v>
      </c>
      <c r="T37" s="141">
        <v>0</v>
      </c>
      <c r="U37" s="141">
        <v>0</v>
      </c>
      <c r="V37" s="141">
        <v>0</v>
      </c>
      <c r="W37" s="141">
        <v>0</v>
      </c>
      <c r="X37" s="141">
        <v>0</v>
      </c>
      <c r="Y37" s="141">
        <v>0</v>
      </c>
      <c r="Z37" s="141">
        <v>0</v>
      </c>
      <c r="AA37" s="141">
        <v>0</v>
      </c>
      <c r="AB37" s="141">
        <v>5.0404042773198016E-2</v>
      </c>
      <c r="AC37" s="141">
        <v>0.22</v>
      </c>
      <c r="AD37" s="141">
        <v>0.15</v>
      </c>
      <c r="AE37" s="141">
        <v>3.3266666998603991E-2</v>
      </c>
      <c r="AF37" s="141">
        <v>0</v>
      </c>
      <c r="AG37" s="141">
        <v>0</v>
      </c>
      <c r="AH37" s="141">
        <v>0.10000000000000002</v>
      </c>
      <c r="AI37" s="141">
        <v>0</v>
      </c>
      <c r="AJ37" s="141">
        <v>0</v>
      </c>
      <c r="AK37" s="141">
        <v>0</v>
      </c>
      <c r="AL37" s="141">
        <v>0</v>
      </c>
      <c r="AM37" s="141">
        <v>0</v>
      </c>
    </row>
    <row r="38" spans="1:39" customFormat="1" x14ac:dyDescent="0.15">
      <c r="A38" s="177" t="s">
        <v>228</v>
      </c>
      <c r="B38" s="141">
        <v>0</v>
      </c>
      <c r="C38" s="141">
        <v>0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0.11074221640420243</v>
      </c>
      <c r="O38" s="141">
        <v>0</v>
      </c>
      <c r="P38" s="141">
        <v>0</v>
      </c>
      <c r="Q38" s="141">
        <v>0</v>
      </c>
      <c r="R38" s="141">
        <v>0</v>
      </c>
      <c r="S38" s="141">
        <v>1.0305492371071175E-2</v>
      </c>
      <c r="T38" s="141">
        <v>0</v>
      </c>
      <c r="U38" s="141">
        <v>0.51800000000000002</v>
      </c>
      <c r="V38" s="141">
        <v>0</v>
      </c>
      <c r="W38" s="141">
        <v>0</v>
      </c>
      <c r="X38" s="141">
        <v>0</v>
      </c>
      <c r="Y38" s="141">
        <v>0</v>
      </c>
      <c r="Z38" s="141">
        <v>0</v>
      </c>
      <c r="AA38" s="141">
        <v>0</v>
      </c>
      <c r="AB38" s="141">
        <v>0.3326667301031076</v>
      </c>
      <c r="AC38" s="141">
        <v>0.44</v>
      </c>
      <c r="AD38" s="141">
        <v>0.2</v>
      </c>
      <c r="AE38" s="141">
        <v>0.3427474468947081</v>
      </c>
      <c r="AF38" s="141">
        <v>0</v>
      </c>
      <c r="AG38" s="141">
        <v>0.4</v>
      </c>
      <c r="AH38" s="141">
        <v>0.10000000000000002</v>
      </c>
      <c r="AI38" s="141">
        <v>0</v>
      </c>
      <c r="AJ38" s="141">
        <v>0</v>
      </c>
      <c r="AK38" s="141">
        <v>0</v>
      </c>
      <c r="AL38" s="141">
        <v>0</v>
      </c>
      <c r="AM38" s="141">
        <v>0</v>
      </c>
    </row>
    <row r="39" spans="1:39" x14ac:dyDescent="0.15">
      <c r="A39" s="177" t="s">
        <v>229</v>
      </c>
      <c r="B39" s="141">
        <v>0</v>
      </c>
      <c r="C39" s="141">
        <v>0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1">
        <v>0</v>
      </c>
      <c r="Q39" s="141">
        <v>0</v>
      </c>
      <c r="R39" s="141">
        <v>0</v>
      </c>
      <c r="S39" s="141">
        <v>0</v>
      </c>
      <c r="T39" s="141">
        <v>0</v>
      </c>
      <c r="U39" s="141">
        <v>0</v>
      </c>
      <c r="V39" s="141">
        <v>0</v>
      </c>
      <c r="W39" s="141">
        <v>0</v>
      </c>
      <c r="X39" s="141">
        <v>0</v>
      </c>
      <c r="Y39" s="141">
        <v>0</v>
      </c>
      <c r="Z39" s="141">
        <v>0</v>
      </c>
      <c r="AA39" s="141">
        <v>0</v>
      </c>
      <c r="AB39" s="141">
        <v>0</v>
      </c>
      <c r="AC39" s="141">
        <v>0</v>
      </c>
      <c r="AD39" s="141">
        <v>0</v>
      </c>
      <c r="AE39" s="141">
        <v>0</v>
      </c>
      <c r="AF39" s="141">
        <v>0</v>
      </c>
      <c r="AG39" s="141">
        <v>0</v>
      </c>
      <c r="AH39" s="141">
        <v>0</v>
      </c>
      <c r="AI39" s="141">
        <v>0</v>
      </c>
      <c r="AJ39" s="141">
        <v>0</v>
      </c>
      <c r="AK39" s="141">
        <v>0</v>
      </c>
      <c r="AL39" s="141">
        <v>0</v>
      </c>
      <c r="AM39" s="141">
        <v>0</v>
      </c>
    </row>
    <row r="40" spans="1:39" x14ac:dyDescent="0.15">
      <c r="A40" s="177" t="s">
        <v>235</v>
      </c>
      <c r="B40" s="141">
        <v>0</v>
      </c>
      <c r="C40" s="141">
        <v>0</v>
      </c>
      <c r="D40" s="141">
        <v>0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0</v>
      </c>
      <c r="T40" s="141">
        <v>0</v>
      </c>
      <c r="U40" s="141">
        <v>0</v>
      </c>
      <c r="V40" s="141">
        <v>0</v>
      </c>
      <c r="W40" s="141">
        <v>0</v>
      </c>
      <c r="X40" s="141">
        <v>0</v>
      </c>
      <c r="Y40" s="141">
        <v>0</v>
      </c>
      <c r="Z40" s="141">
        <v>0</v>
      </c>
      <c r="AA40" s="141">
        <v>0</v>
      </c>
      <c r="AB40" s="141">
        <v>0</v>
      </c>
      <c r="AC40" s="141">
        <v>0</v>
      </c>
      <c r="AD40" s="141">
        <v>0</v>
      </c>
      <c r="AE40" s="141">
        <v>0</v>
      </c>
      <c r="AF40" s="141">
        <v>0</v>
      </c>
      <c r="AG40" s="141">
        <v>0</v>
      </c>
      <c r="AH40" s="141">
        <v>0</v>
      </c>
      <c r="AI40" s="141">
        <v>0</v>
      </c>
      <c r="AJ40" s="141">
        <v>0</v>
      </c>
      <c r="AK40" s="141">
        <v>0</v>
      </c>
      <c r="AL40" s="141">
        <v>0</v>
      </c>
      <c r="AM40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3" customWidth="1"/>
    <col min="5" max="6" width="2.33203125" style="112" bestFit="1" customWidth="1"/>
    <col min="7" max="8" width="8.83203125" style="113"/>
  </cols>
  <sheetData>
    <row r="1" spans="1:8" ht="70" x14ac:dyDescent="0.15">
      <c r="A1" s="5" t="s">
        <v>20</v>
      </c>
      <c r="B1" s="1" t="s">
        <v>0</v>
      </c>
      <c r="C1" s="180" t="s">
        <v>228</v>
      </c>
      <c r="D1" s="180" t="s">
        <v>229</v>
      </c>
      <c r="E1" s="180" t="s">
        <v>236</v>
      </c>
      <c r="F1" s="180" t="s">
        <v>237</v>
      </c>
      <c r="G1"/>
      <c r="H1"/>
    </row>
    <row r="2" spans="1:8" x14ac:dyDescent="0.15">
      <c r="A2">
        <v>1</v>
      </c>
      <c r="B2" s="179" t="s">
        <v>192</v>
      </c>
      <c r="C2" s="113">
        <v>1</v>
      </c>
      <c r="D2" s="113">
        <v>0</v>
      </c>
      <c r="E2" s="112">
        <v>0</v>
      </c>
      <c r="F2" s="112">
        <v>1</v>
      </c>
      <c r="G2"/>
      <c r="H2"/>
    </row>
    <row r="3" spans="1:8" x14ac:dyDescent="0.15">
      <c r="A3">
        <v>2</v>
      </c>
      <c r="B3" s="179" t="s">
        <v>193</v>
      </c>
      <c r="C3" s="113">
        <v>1</v>
      </c>
      <c r="D3" s="113">
        <v>0</v>
      </c>
      <c r="E3" s="112">
        <v>0</v>
      </c>
      <c r="F3" s="112">
        <v>1</v>
      </c>
      <c r="G3"/>
      <c r="H3"/>
    </row>
    <row r="4" spans="1:8" x14ac:dyDescent="0.15">
      <c r="A4">
        <v>3</v>
      </c>
      <c r="B4" s="179" t="s">
        <v>194</v>
      </c>
      <c r="C4" s="113">
        <v>1</v>
      </c>
      <c r="D4" s="113">
        <v>0</v>
      </c>
      <c r="E4" s="112">
        <v>0</v>
      </c>
      <c r="F4" s="112">
        <v>1</v>
      </c>
      <c r="G4"/>
      <c r="H4"/>
    </row>
    <row r="5" spans="1:8" x14ac:dyDescent="0.15">
      <c r="A5">
        <v>4</v>
      </c>
      <c r="B5" s="179" t="s">
        <v>195</v>
      </c>
      <c r="C5" s="113">
        <v>1</v>
      </c>
      <c r="D5" s="113">
        <v>0</v>
      </c>
      <c r="E5" s="112">
        <v>0</v>
      </c>
      <c r="F5" s="112">
        <v>1</v>
      </c>
      <c r="G5"/>
      <c r="H5"/>
    </row>
    <row r="6" spans="1:8" x14ac:dyDescent="0.15">
      <c r="A6">
        <v>5</v>
      </c>
      <c r="B6" s="179" t="s">
        <v>196</v>
      </c>
      <c r="C6" s="113">
        <v>1</v>
      </c>
      <c r="D6" s="113">
        <v>0</v>
      </c>
      <c r="E6" s="112">
        <v>0</v>
      </c>
      <c r="F6" s="112">
        <v>1</v>
      </c>
      <c r="G6"/>
      <c r="H6"/>
    </row>
    <row r="7" spans="1:8" x14ac:dyDescent="0.15">
      <c r="A7">
        <v>6</v>
      </c>
      <c r="B7" s="179" t="s">
        <v>197</v>
      </c>
      <c r="C7" s="113">
        <v>1</v>
      </c>
      <c r="D7" s="113">
        <v>0</v>
      </c>
      <c r="E7" s="112">
        <v>0</v>
      </c>
      <c r="F7" s="112">
        <v>1</v>
      </c>
      <c r="G7"/>
      <c r="H7"/>
    </row>
    <row r="8" spans="1:8" x14ac:dyDescent="0.15">
      <c r="A8">
        <v>7</v>
      </c>
      <c r="B8" s="179" t="s">
        <v>198</v>
      </c>
      <c r="C8" s="113">
        <v>1</v>
      </c>
      <c r="D8" s="113">
        <v>0</v>
      </c>
      <c r="E8" s="112">
        <v>0</v>
      </c>
      <c r="F8" s="112">
        <v>1</v>
      </c>
      <c r="G8"/>
      <c r="H8"/>
    </row>
    <row r="9" spans="1:8" x14ac:dyDescent="0.15">
      <c r="A9">
        <v>8</v>
      </c>
      <c r="B9" s="179" t="s">
        <v>199</v>
      </c>
      <c r="C9" s="113">
        <v>1</v>
      </c>
      <c r="D9" s="113">
        <v>0</v>
      </c>
      <c r="E9" s="112">
        <v>0</v>
      </c>
      <c r="F9" s="112">
        <v>1</v>
      </c>
      <c r="G9"/>
      <c r="H9"/>
    </row>
    <row r="10" spans="1:8" x14ac:dyDescent="0.15">
      <c r="A10">
        <v>9</v>
      </c>
      <c r="B10" s="179" t="s">
        <v>200</v>
      </c>
      <c r="C10" s="113">
        <v>1</v>
      </c>
      <c r="D10" s="113">
        <v>0</v>
      </c>
      <c r="E10" s="112">
        <v>0</v>
      </c>
      <c r="F10" s="112">
        <v>1</v>
      </c>
      <c r="G10"/>
      <c r="H10"/>
    </row>
    <row r="11" spans="1:8" x14ac:dyDescent="0.15">
      <c r="A11">
        <v>10</v>
      </c>
      <c r="B11" s="179" t="s">
        <v>201</v>
      </c>
      <c r="C11" s="113">
        <v>1</v>
      </c>
      <c r="D11" s="113">
        <v>0</v>
      </c>
      <c r="E11" s="112">
        <v>0</v>
      </c>
      <c r="F11" s="112">
        <v>1</v>
      </c>
      <c r="G11"/>
      <c r="H11"/>
    </row>
    <row r="12" spans="1:8" x14ac:dyDescent="0.15">
      <c r="A12">
        <v>11</v>
      </c>
      <c r="B12" s="179" t="s">
        <v>202</v>
      </c>
      <c r="C12" s="113">
        <v>1</v>
      </c>
      <c r="D12" s="113">
        <v>0</v>
      </c>
      <c r="E12" s="112">
        <v>0</v>
      </c>
      <c r="F12" s="112">
        <v>1</v>
      </c>
      <c r="G12"/>
      <c r="H12"/>
    </row>
    <row r="13" spans="1:8" x14ac:dyDescent="0.15">
      <c r="A13">
        <v>12</v>
      </c>
      <c r="B13" s="179" t="s">
        <v>203</v>
      </c>
      <c r="C13" s="113">
        <v>1</v>
      </c>
      <c r="D13" s="113">
        <v>0</v>
      </c>
      <c r="E13" s="112">
        <v>0</v>
      </c>
      <c r="F13" s="112">
        <v>1</v>
      </c>
      <c r="G13"/>
      <c r="H13"/>
    </row>
    <row r="14" spans="1:8" x14ac:dyDescent="0.15">
      <c r="A14">
        <v>13</v>
      </c>
      <c r="B14" s="179" t="s">
        <v>204</v>
      </c>
      <c r="C14" s="113">
        <v>1</v>
      </c>
      <c r="D14" s="113">
        <v>0</v>
      </c>
      <c r="E14" s="112">
        <v>0</v>
      </c>
      <c r="F14" s="112">
        <v>1</v>
      </c>
      <c r="G14"/>
      <c r="H14"/>
    </row>
    <row r="15" spans="1:8" x14ac:dyDescent="0.15">
      <c r="A15">
        <v>14</v>
      </c>
      <c r="B15" s="179" t="s">
        <v>205</v>
      </c>
      <c r="C15" s="113">
        <v>1</v>
      </c>
      <c r="D15" s="113">
        <v>0</v>
      </c>
      <c r="E15" s="112">
        <v>0</v>
      </c>
      <c r="F15" s="112">
        <v>1</v>
      </c>
      <c r="G15"/>
      <c r="H15"/>
    </row>
    <row r="16" spans="1:8" x14ac:dyDescent="0.15">
      <c r="A16">
        <v>15</v>
      </c>
      <c r="B16" s="179" t="s">
        <v>206</v>
      </c>
      <c r="C16" s="113">
        <v>1</v>
      </c>
      <c r="D16" s="113">
        <v>0</v>
      </c>
      <c r="E16" s="112">
        <v>0</v>
      </c>
      <c r="F16" s="112">
        <v>1</v>
      </c>
      <c r="G16"/>
      <c r="H16"/>
    </row>
    <row r="17" spans="1:8" ht="15" customHeight="1" x14ac:dyDescent="0.15">
      <c r="A17">
        <v>16</v>
      </c>
      <c r="B17" s="179" t="s">
        <v>207</v>
      </c>
      <c r="C17" s="113">
        <v>1</v>
      </c>
      <c r="D17" s="113">
        <v>0</v>
      </c>
      <c r="E17" s="112">
        <v>0</v>
      </c>
      <c r="F17" s="112">
        <v>1</v>
      </c>
      <c r="G17"/>
      <c r="H17"/>
    </row>
    <row r="18" spans="1:8" ht="15" customHeight="1" x14ac:dyDescent="0.15">
      <c r="A18">
        <v>17</v>
      </c>
      <c r="B18" s="179" t="s">
        <v>208</v>
      </c>
      <c r="C18" s="113">
        <v>1</v>
      </c>
      <c r="D18" s="113">
        <v>0</v>
      </c>
      <c r="E18" s="112">
        <v>0</v>
      </c>
      <c r="F18" s="112">
        <v>1</v>
      </c>
      <c r="G18"/>
      <c r="H18"/>
    </row>
    <row r="19" spans="1:8" ht="15" customHeight="1" x14ac:dyDescent="0.15">
      <c r="A19">
        <v>18</v>
      </c>
      <c r="B19" s="179" t="s">
        <v>209</v>
      </c>
      <c r="C19" s="113">
        <v>1</v>
      </c>
      <c r="D19" s="113">
        <v>0</v>
      </c>
      <c r="E19" s="112">
        <v>0</v>
      </c>
      <c r="F19" s="112">
        <v>1</v>
      </c>
      <c r="G19"/>
      <c r="H19"/>
    </row>
    <row r="20" spans="1:8" ht="15" customHeight="1" x14ac:dyDescent="0.15">
      <c r="A20">
        <v>19</v>
      </c>
      <c r="B20" s="179" t="s">
        <v>210</v>
      </c>
      <c r="C20" s="113">
        <v>1</v>
      </c>
      <c r="D20" s="113">
        <v>0</v>
      </c>
      <c r="E20" s="112">
        <v>0</v>
      </c>
      <c r="F20" s="112">
        <v>1</v>
      </c>
      <c r="G20"/>
      <c r="H20"/>
    </row>
    <row r="21" spans="1:8" ht="15" customHeight="1" x14ac:dyDescent="0.15">
      <c r="A21">
        <v>20</v>
      </c>
      <c r="B21" s="179" t="s">
        <v>211</v>
      </c>
      <c r="C21" s="113">
        <v>1</v>
      </c>
      <c r="D21" s="113">
        <v>0</v>
      </c>
      <c r="E21" s="112">
        <v>0</v>
      </c>
      <c r="F21" s="112">
        <v>1</v>
      </c>
      <c r="G21"/>
      <c r="H21"/>
    </row>
    <row r="22" spans="1:8" ht="15" customHeight="1" x14ac:dyDescent="0.15">
      <c r="A22">
        <v>21</v>
      </c>
      <c r="B22" s="179" t="s">
        <v>212</v>
      </c>
      <c r="C22" s="113">
        <v>1</v>
      </c>
      <c r="D22" s="113">
        <v>0</v>
      </c>
      <c r="E22" s="112">
        <v>0</v>
      </c>
      <c r="F22" s="112">
        <v>1</v>
      </c>
      <c r="G22"/>
      <c r="H22"/>
    </row>
    <row r="23" spans="1:8" ht="15" customHeight="1" x14ac:dyDescent="0.15">
      <c r="A23">
        <v>22</v>
      </c>
      <c r="B23" s="179" t="s">
        <v>213</v>
      </c>
      <c r="C23" s="113">
        <v>1</v>
      </c>
      <c r="D23" s="113">
        <v>0</v>
      </c>
      <c r="E23" s="112">
        <v>0</v>
      </c>
      <c r="F23" s="112">
        <v>1</v>
      </c>
      <c r="G23"/>
      <c r="H23"/>
    </row>
    <row r="24" spans="1:8" ht="15" customHeight="1" x14ac:dyDescent="0.15">
      <c r="A24">
        <v>23</v>
      </c>
      <c r="B24" s="179" t="s">
        <v>214</v>
      </c>
      <c r="C24" s="113">
        <v>1</v>
      </c>
      <c r="D24" s="113">
        <v>0</v>
      </c>
      <c r="E24" s="112">
        <v>0</v>
      </c>
      <c r="F24" s="112">
        <v>1</v>
      </c>
      <c r="G24"/>
      <c r="H24"/>
    </row>
    <row r="25" spans="1:8" ht="15" customHeight="1" x14ac:dyDescent="0.15">
      <c r="A25">
        <v>24</v>
      </c>
      <c r="B25" s="179" t="s">
        <v>215</v>
      </c>
      <c r="C25" s="113">
        <v>1</v>
      </c>
      <c r="D25" s="113">
        <v>0</v>
      </c>
      <c r="E25" s="112">
        <v>0</v>
      </c>
      <c r="F25" s="112">
        <v>1</v>
      </c>
      <c r="G25"/>
      <c r="H25"/>
    </row>
    <row r="26" spans="1:8" ht="15" customHeight="1" x14ac:dyDescent="0.15">
      <c r="A26">
        <v>25</v>
      </c>
      <c r="B26" s="179" t="s">
        <v>216</v>
      </c>
      <c r="C26" s="113">
        <v>1</v>
      </c>
      <c r="D26" s="113">
        <v>0</v>
      </c>
      <c r="E26" s="112">
        <v>0</v>
      </c>
      <c r="F26" s="112">
        <v>1</v>
      </c>
      <c r="G26"/>
      <c r="H26"/>
    </row>
    <row r="27" spans="1:8" ht="15" customHeight="1" x14ac:dyDescent="0.15">
      <c r="A27">
        <v>26</v>
      </c>
      <c r="B27" s="179" t="s">
        <v>217</v>
      </c>
      <c r="C27" s="113">
        <v>1</v>
      </c>
      <c r="D27" s="113">
        <v>0</v>
      </c>
      <c r="E27" s="112">
        <v>0</v>
      </c>
      <c r="F27" s="112">
        <v>1</v>
      </c>
      <c r="G27"/>
      <c r="H27"/>
    </row>
    <row r="28" spans="1:8" ht="15" customHeight="1" x14ac:dyDescent="0.15">
      <c r="A28">
        <v>27</v>
      </c>
      <c r="B28" s="179" t="s">
        <v>218</v>
      </c>
      <c r="C28" s="113">
        <v>1</v>
      </c>
      <c r="D28" s="113">
        <v>0</v>
      </c>
      <c r="E28" s="112">
        <v>0</v>
      </c>
      <c r="F28" s="112">
        <v>1</v>
      </c>
      <c r="G28"/>
      <c r="H28"/>
    </row>
    <row r="29" spans="1:8" ht="15" customHeight="1" x14ac:dyDescent="0.15">
      <c r="A29">
        <v>28</v>
      </c>
      <c r="B29" s="179" t="s">
        <v>219</v>
      </c>
      <c r="C29" s="113">
        <v>1</v>
      </c>
      <c r="D29" s="113">
        <v>0</v>
      </c>
      <c r="E29" s="112">
        <v>0</v>
      </c>
      <c r="F29" s="112">
        <v>1</v>
      </c>
      <c r="G29"/>
      <c r="H29"/>
    </row>
    <row r="30" spans="1:8" ht="15" customHeight="1" x14ac:dyDescent="0.15">
      <c r="A30">
        <v>29</v>
      </c>
      <c r="B30" s="179" t="s">
        <v>220</v>
      </c>
      <c r="C30" s="113">
        <v>1</v>
      </c>
      <c r="D30" s="113">
        <v>0</v>
      </c>
      <c r="E30" s="112">
        <v>0</v>
      </c>
      <c r="F30" s="112">
        <v>1</v>
      </c>
      <c r="G30"/>
      <c r="H30"/>
    </row>
    <row r="31" spans="1:8" ht="15" customHeight="1" x14ac:dyDescent="0.15">
      <c r="A31">
        <v>30</v>
      </c>
      <c r="B31" s="179" t="s">
        <v>221</v>
      </c>
      <c r="C31" s="113">
        <v>1</v>
      </c>
      <c r="D31" s="113">
        <v>0</v>
      </c>
      <c r="E31" s="112">
        <v>0</v>
      </c>
      <c r="F31" s="112">
        <v>1</v>
      </c>
      <c r="G31"/>
      <c r="H31"/>
    </row>
    <row r="32" spans="1:8" ht="15" customHeight="1" x14ac:dyDescent="0.15">
      <c r="A32">
        <v>31</v>
      </c>
      <c r="B32" s="179" t="s">
        <v>222</v>
      </c>
      <c r="C32" s="113">
        <v>1</v>
      </c>
      <c r="D32" s="113">
        <v>0</v>
      </c>
      <c r="E32" s="112">
        <v>0</v>
      </c>
      <c r="F32" s="112">
        <v>1</v>
      </c>
    </row>
    <row r="33" spans="1:8" ht="15" customHeight="1" x14ac:dyDescent="0.15">
      <c r="A33">
        <v>32</v>
      </c>
      <c r="B33" s="179" t="s">
        <v>223</v>
      </c>
      <c r="C33" s="113">
        <v>1</v>
      </c>
      <c r="D33" s="113">
        <v>0</v>
      </c>
      <c r="E33" s="112">
        <v>0</v>
      </c>
      <c r="F33" s="112">
        <v>1</v>
      </c>
    </row>
    <row r="34" spans="1:8" ht="15" customHeight="1" x14ac:dyDescent="0.15">
      <c r="A34">
        <v>33</v>
      </c>
      <c r="B34" s="179" t="s">
        <v>224</v>
      </c>
      <c r="C34" s="113">
        <v>1</v>
      </c>
      <c r="D34" s="113">
        <v>0</v>
      </c>
      <c r="E34" s="112">
        <v>0</v>
      </c>
      <c r="F34" s="112">
        <v>1</v>
      </c>
    </row>
    <row r="35" spans="1:8" ht="15" customHeight="1" x14ac:dyDescent="0.15">
      <c r="A35">
        <v>34</v>
      </c>
      <c r="B35" s="179" t="s">
        <v>225</v>
      </c>
      <c r="C35" s="113">
        <v>1</v>
      </c>
      <c r="D35" s="113">
        <v>0</v>
      </c>
      <c r="E35" s="112">
        <v>0</v>
      </c>
      <c r="F35" s="112">
        <v>1</v>
      </c>
    </row>
    <row r="36" spans="1:8" ht="15" customHeight="1" x14ac:dyDescent="0.15">
      <c r="A36">
        <v>35</v>
      </c>
      <c r="B36" s="179" t="s">
        <v>226</v>
      </c>
      <c r="C36" s="113">
        <v>1</v>
      </c>
      <c r="D36" s="113">
        <v>0</v>
      </c>
      <c r="E36" s="113">
        <v>0</v>
      </c>
      <c r="F36" s="113">
        <v>1</v>
      </c>
      <c r="G36"/>
      <c r="H36"/>
    </row>
    <row r="37" spans="1:8" ht="15" customHeight="1" x14ac:dyDescent="0.15">
      <c r="A37">
        <v>36</v>
      </c>
      <c r="B37" s="179" t="s">
        <v>227</v>
      </c>
      <c r="C37" s="113">
        <v>1</v>
      </c>
      <c r="D37" s="113">
        <v>0</v>
      </c>
      <c r="E37" s="113">
        <v>0</v>
      </c>
      <c r="F37" s="113">
        <v>1</v>
      </c>
      <c r="G37"/>
      <c r="H37"/>
    </row>
    <row r="38" spans="1:8" ht="15" customHeight="1" x14ac:dyDescent="0.15">
      <c r="A38">
        <v>37</v>
      </c>
      <c r="B38" s="179" t="s">
        <v>228</v>
      </c>
      <c r="C38" s="113">
        <v>0</v>
      </c>
      <c r="D38" s="113">
        <v>1</v>
      </c>
      <c r="E38" s="113">
        <v>0</v>
      </c>
      <c r="F38" s="113">
        <v>1</v>
      </c>
      <c r="G38"/>
      <c r="H38"/>
    </row>
    <row r="39" spans="1:8" ht="15" customHeight="1" x14ac:dyDescent="0.15">
      <c r="A39">
        <v>38</v>
      </c>
      <c r="B39" s="179" t="s">
        <v>229</v>
      </c>
      <c r="C39" s="113">
        <v>0</v>
      </c>
      <c r="D39" s="113">
        <v>0</v>
      </c>
      <c r="E39" s="113">
        <v>1</v>
      </c>
      <c r="F39" s="113">
        <v>1</v>
      </c>
      <c r="G39"/>
      <c r="H39"/>
    </row>
    <row r="40" spans="1:8" ht="15" customHeight="1" x14ac:dyDescent="0.15">
      <c r="A40">
        <v>39</v>
      </c>
      <c r="B40" s="179" t="s">
        <v>230</v>
      </c>
      <c r="C40" s="113">
        <v>0</v>
      </c>
      <c r="D40" s="113">
        <v>1</v>
      </c>
      <c r="E40" s="113">
        <v>0</v>
      </c>
      <c r="F40" s="113">
        <v>1</v>
      </c>
      <c r="G40"/>
      <c r="H40"/>
    </row>
    <row r="41" spans="1:8" ht="15" customHeight="1" x14ac:dyDescent="0.15">
      <c r="A41">
        <v>40</v>
      </c>
      <c r="B41" s="179" t="s">
        <v>231</v>
      </c>
      <c r="C41" s="113">
        <v>0</v>
      </c>
      <c r="D41" s="113">
        <v>1</v>
      </c>
      <c r="E41" s="113">
        <v>0</v>
      </c>
      <c r="F41" s="113">
        <v>1</v>
      </c>
      <c r="G41"/>
      <c r="H41"/>
    </row>
    <row r="42" spans="1:8" ht="15" customHeight="1" x14ac:dyDescent="0.15">
      <c r="A42">
        <v>41</v>
      </c>
      <c r="B42" s="179" t="s">
        <v>232</v>
      </c>
      <c r="C42" s="113">
        <v>0</v>
      </c>
      <c r="D42" s="113">
        <v>1</v>
      </c>
      <c r="E42" s="113">
        <v>0</v>
      </c>
      <c r="F42" s="113">
        <v>1</v>
      </c>
      <c r="G42"/>
      <c r="H42"/>
    </row>
    <row r="43" spans="1:8" ht="15" customHeight="1" x14ac:dyDescent="0.15">
      <c r="A43">
        <v>42</v>
      </c>
      <c r="B43" s="179" t="s">
        <v>233</v>
      </c>
      <c r="C43" s="113">
        <v>0</v>
      </c>
      <c r="D43" s="113">
        <v>1</v>
      </c>
      <c r="E43" s="113">
        <v>0</v>
      </c>
      <c r="F43" s="113">
        <v>1</v>
      </c>
      <c r="G43"/>
      <c r="H43"/>
    </row>
    <row r="44" spans="1:8" ht="15" customHeight="1" x14ac:dyDescent="0.15">
      <c r="A44">
        <v>43</v>
      </c>
      <c r="B44" s="179" t="s">
        <v>234</v>
      </c>
      <c r="C44" s="113">
        <v>0</v>
      </c>
      <c r="D44" s="113">
        <v>1</v>
      </c>
      <c r="E44" s="112">
        <v>0</v>
      </c>
      <c r="F44" s="112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3"/>
      <c r="F46" s="113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" bestFit="1" customWidth="1"/>
    <col min="3" max="3" width="7.5" bestFit="1" customWidth="1"/>
    <col min="4" max="4" width="8.5" bestFit="1" customWidth="1"/>
    <col min="5" max="5" width="7.83203125" bestFit="1" customWidth="1"/>
    <col min="6" max="7" width="7.83203125" customWidth="1"/>
    <col min="8" max="8" width="9.83203125" customWidth="1"/>
  </cols>
  <sheetData>
    <row r="1" spans="1:8" s="114" customFormat="1" ht="112" x14ac:dyDescent="0.15">
      <c r="A1" s="5" t="s">
        <v>21</v>
      </c>
      <c r="B1" s="3" t="s">
        <v>0</v>
      </c>
      <c r="C1" s="182" t="s">
        <v>230</v>
      </c>
      <c r="D1" s="182" t="s">
        <v>231</v>
      </c>
      <c r="E1" s="182" t="s">
        <v>232</v>
      </c>
      <c r="F1" s="182" t="s">
        <v>233</v>
      </c>
      <c r="G1" s="182" t="s">
        <v>234</v>
      </c>
      <c r="H1" s="182" t="s">
        <v>238</v>
      </c>
    </row>
    <row r="2" spans="1:8" ht="15" customHeight="1" x14ac:dyDescent="0.15">
      <c r="A2">
        <v>1</v>
      </c>
      <c r="B2" s="181" t="s">
        <v>192</v>
      </c>
      <c r="C2">
        <v>0</v>
      </c>
      <c r="D2">
        <v>5.0000000000000004E-6</v>
      </c>
      <c r="E2">
        <v>1.0000000000000001E-5</v>
      </c>
      <c r="F2">
        <v>6.8000000000000005E-4</v>
      </c>
      <c r="G2">
        <v>7.9999999999999996E-6</v>
      </c>
      <c r="H2">
        <v>7.0300000000000007E-4</v>
      </c>
    </row>
    <row r="3" spans="1:8" ht="15" customHeight="1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ht="15" customHeight="1" x14ac:dyDescent="0.15">
      <c r="A4">
        <v>3</v>
      </c>
      <c r="B4" s="181" t="s">
        <v>194</v>
      </c>
      <c r="C4">
        <v>0</v>
      </c>
      <c r="D4">
        <v>1.0000000000000001E-5</v>
      </c>
      <c r="E4">
        <v>7.9999999999999996E-7</v>
      </c>
      <c r="F4">
        <v>0</v>
      </c>
      <c r="G4">
        <v>4.5500000000000002E-3</v>
      </c>
      <c r="H4">
        <v>4.5608000000000003E-3</v>
      </c>
    </row>
    <row r="5" spans="1:8" ht="15" customHeight="1" x14ac:dyDescent="0.15">
      <c r="A5">
        <v>4</v>
      </c>
      <c r="B5" s="181" t="s">
        <v>195</v>
      </c>
      <c r="C5">
        <v>0</v>
      </c>
      <c r="D5">
        <v>0</v>
      </c>
      <c r="E5">
        <v>0</v>
      </c>
      <c r="F5">
        <v>5.7299999999999999E-3</v>
      </c>
      <c r="G5">
        <v>0</v>
      </c>
      <c r="H5">
        <v>5.7299999999999999E-3</v>
      </c>
    </row>
    <row r="6" spans="1:8" ht="15" customHeight="1" x14ac:dyDescent="0.15">
      <c r="A6">
        <v>5</v>
      </c>
      <c r="B6" s="181" t="s">
        <v>196</v>
      </c>
      <c r="C6">
        <v>1.3999999999999999E-6</v>
      </c>
      <c r="D6">
        <v>2.0000000000000001E-4</v>
      </c>
      <c r="E6">
        <v>1.9999999999999999E-7</v>
      </c>
      <c r="F6">
        <v>2.9399999999999999E-3</v>
      </c>
      <c r="G6">
        <v>0</v>
      </c>
      <c r="H6">
        <v>3.1416E-3</v>
      </c>
    </row>
    <row r="7" spans="1:8" ht="15" customHeight="1" x14ac:dyDescent="0.15">
      <c r="A7">
        <v>6</v>
      </c>
      <c r="B7" s="181" t="s">
        <v>197</v>
      </c>
      <c r="C7">
        <v>3.8999999999999999E-6</v>
      </c>
      <c r="D7">
        <v>4.2400000000000001E-5</v>
      </c>
      <c r="E7">
        <v>0</v>
      </c>
      <c r="F7">
        <v>4.96E-3</v>
      </c>
      <c r="G7">
        <v>0</v>
      </c>
      <c r="H7">
        <v>5.0063E-3</v>
      </c>
    </row>
    <row r="8" spans="1:8" ht="15" customHeight="1" x14ac:dyDescent="0.15">
      <c r="A8">
        <v>7</v>
      </c>
      <c r="B8" s="181" t="s">
        <v>198</v>
      </c>
      <c r="C8">
        <v>0</v>
      </c>
      <c r="D8">
        <v>0</v>
      </c>
      <c r="E8">
        <v>0</v>
      </c>
      <c r="F8">
        <v>8.0400000000000003E-3</v>
      </c>
      <c r="G8">
        <v>0</v>
      </c>
      <c r="H8">
        <v>8.0400000000000003E-3</v>
      </c>
    </row>
    <row r="9" spans="1:8" ht="15" customHeight="1" x14ac:dyDescent="0.15">
      <c r="A9">
        <v>8</v>
      </c>
      <c r="B9" s="18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ht="15" customHeight="1" x14ac:dyDescent="0.15">
      <c r="A10">
        <v>9</v>
      </c>
      <c r="B10" s="18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ht="15" customHeight="1" x14ac:dyDescent="0.15">
      <c r="A11">
        <v>10</v>
      </c>
      <c r="B11" s="181" t="s">
        <v>201</v>
      </c>
      <c r="C11">
        <v>0</v>
      </c>
      <c r="D11">
        <v>0</v>
      </c>
      <c r="E11">
        <v>0</v>
      </c>
      <c r="F11">
        <v>1.08E-3</v>
      </c>
      <c r="G11">
        <v>0</v>
      </c>
      <c r="H11">
        <v>1.08E-3</v>
      </c>
    </row>
    <row r="12" spans="1:8" ht="15" customHeight="1" x14ac:dyDescent="0.15">
      <c r="A12">
        <v>11</v>
      </c>
      <c r="B12" s="18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t="15" customHeight="1" x14ac:dyDescent="0.15">
      <c r="A13">
        <v>12</v>
      </c>
      <c r="B13" s="181" t="s">
        <v>203</v>
      </c>
      <c r="C13">
        <v>0</v>
      </c>
      <c r="D13">
        <v>3.0000000000000001E-6</v>
      </c>
      <c r="E13">
        <v>1.9999999999999999E-7</v>
      </c>
      <c r="F13">
        <v>2.14E-3</v>
      </c>
      <c r="G13">
        <v>0</v>
      </c>
      <c r="H13">
        <v>2.1432000000000001E-3</v>
      </c>
    </row>
    <row r="14" spans="1:8" ht="15" customHeight="1" x14ac:dyDescent="0.15">
      <c r="A14">
        <v>13</v>
      </c>
      <c r="B14" s="181" t="s">
        <v>204</v>
      </c>
      <c r="C14">
        <v>0</v>
      </c>
      <c r="D14">
        <v>0</v>
      </c>
      <c r="E14">
        <v>0</v>
      </c>
      <c r="F14">
        <v>3.0000000000000001E-5</v>
      </c>
      <c r="G14">
        <v>0</v>
      </c>
      <c r="H14">
        <v>3.0000000000000001E-5</v>
      </c>
    </row>
    <row r="15" spans="1:8" ht="15" customHeight="1" x14ac:dyDescent="0.15">
      <c r="A15">
        <v>14</v>
      </c>
      <c r="B15" s="181" t="s">
        <v>205</v>
      </c>
      <c r="C15">
        <v>0</v>
      </c>
      <c r="D15">
        <v>0</v>
      </c>
      <c r="E15">
        <v>0</v>
      </c>
      <c r="F15">
        <v>2.96E-3</v>
      </c>
      <c r="G15">
        <v>0</v>
      </c>
      <c r="H15">
        <v>2.96E-3</v>
      </c>
    </row>
    <row r="16" spans="1:8" ht="15" customHeight="1" x14ac:dyDescent="0.15">
      <c r="A16">
        <v>15</v>
      </c>
      <c r="B16" s="18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ht="15" customHeight="1" x14ac:dyDescent="0.15">
      <c r="A17">
        <v>16</v>
      </c>
      <c r="B17" s="181" t="s">
        <v>207</v>
      </c>
      <c r="C17">
        <v>3.8999999999999999E-6</v>
      </c>
      <c r="D17">
        <v>0</v>
      </c>
      <c r="E17">
        <v>0</v>
      </c>
      <c r="F17">
        <v>3.2299999999999998E-3</v>
      </c>
      <c r="G17">
        <v>0</v>
      </c>
      <c r="H17">
        <v>3.2338999999999996E-3</v>
      </c>
    </row>
    <row r="18" spans="1:8" ht="15" customHeight="1" x14ac:dyDescent="0.15">
      <c r="A18">
        <v>17</v>
      </c>
      <c r="B18" s="18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t="15" customHeight="1" x14ac:dyDescent="0.15">
      <c r="A20">
        <v>19</v>
      </c>
      <c r="B20" s="181" t="s">
        <v>210</v>
      </c>
      <c r="C20">
        <v>0</v>
      </c>
      <c r="D20">
        <v>0</v>
      </c>
      <c r="E20">
        <v>0</v>
      </c>
      <c r="F20">
        <v>5.0000000000000002E-5</v>
      </c>
      <c r="G20">
        <v>0</v>
      </c>
      <c r="H20">
        <v>5.0000000000000002E-5</v>
      </c>
    </row>
    <row r="21" spans="1:8" ht="15" customHeight="1" x14ac:dyDescent="0.15">
      <c r="A21">
        <v>20</v>
      </c>
      <c r="B21" s="181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ht="15" customHeight="1" x14ac:dyDescent="0.15">
      <c r="A22">
        <v>21</v>
      </c>
      <c r="B22" s="181" t="s">
        <v>212</v>
      </c>
      <c r="C22">
        <v>4.0000000000000003E-5</v>
      </c>
      <c r="D22">
        <v>2.7E-4</v>
      </c>
      <c r="E22">
        <v>1.0000000000000001E-5</v>
      </c>
      <c r="F22">
        <v>2.0999999999999999E-3</v>
      </c>
      <c r="G22">
        <v>0</v>
      </c>
      <c r="H22">
        <v>2.4199999999999998E-3</v>
      </c>
    </row>
    <row r="23" spans="1:8" ht="15" customHeight="1" x14ac:dyDescent="0.15">
      <c r="A23">
        <v>22</v>
      </c>
      <c r="B23" s="181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ht="15" customHeight="1" x14ac:dyDescent="0.15">
      <c r="A24">
        <v>23</v>
      </c>
      <c r="B24" s="181" t="s">
        <v>214</v>
      </c>
      <c r="C24">
        <v>1.0000000000000001E-5</v>
      </c>
      <c r="D24">
        <v>3.5E-4</v>
      </c>
      <c r="E24">
        <v>0</v>
      </c>
      <c r="F24">
        <v>9.5499999999999995E-3</v>
      </c>
      <c r="G24">
        <v>0</v>
      </c>
      <c r="H24">
        <v>9.9099999999999987E-3</v>
      </c>
    </row>
    <row r="25" spans="1:8" ht="15" customHeight="1" x14ac:dyDescent="0.15">
      <c r="A25">
        <v>24</v>
      </c>
      <c r="B25" s="181" t="s">
        <v>215</v>
      </c>
      <c r="C25">
        <v>0</v>
      </c>
      <c r="D25">
        <v>0</v>
      </c>
      <c r="E25">
        <v>0</v>
      </c>
      <c r="F25">
        <v>2.96E-3</v>
      </c>
      <c r="G25">
        <v>0</v>
      </c>
      <c r="H25">
        <v>2.96E-3</v>
      </c>
    </row>
    <row r="26" spans="1:8" ht="15" customHeight="1" x14ac:dyDescent="0.15">
      <c r="A26">
        <v>25</v>
      </c>
      <c r="B26" s="181" t="s">
        <v>216</v>
      </c>
      <c r="C26">
        <v>1.5E-6</v>
      </c>
      <c r="D26">
        <v>8.0000000000000007E-5</v>
      </c>
      <c r="E26">
        <v>1.3999999999999999E-6</v>
      </c>
      <c r="F26">
        <v>1.5509999999999999E-2</v>
      </c>
      <c r="G26">
        <v>0</v>
      </c>
      <c r="H26">
        <v>1.55929E-2</v>
      </c>
    </row>
    <row r="27" spans="1:8" ht="15" customHeight="1" x14ac:dyDescent="0.15">
      <c r="A27">
        <v>26</v>
      </c>
      <c r="B27" s="181" t="s">
        <v>217</v>
      </c>
      <c r="C27">
        <v>0</v>
      </c>
      <c r="D27">
        <v>1.0000000000000001E-5</v>
      </c>
      <c r="E27">
        <v>1.7999999999999999E-6</v>
      </c>
      <c r="F27">
        <v>0</v>
      </c>
      <c r="G27">
        <v>0</v>
      </c>
      <c r="H27">
        <v>1.1800000000000001E-5</v>
      </c>
    </row>
    <row r="28" spans="1:8" ht="15" customHeight="1" x14ac:dyDescent="0.15">
      <c r="A28">
        <v>27</v>
      </c>
      <c r="B28" s="18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ht="15" customHeight="1" x14ac:dyDescent="0.15">
      <c r="A29">
        <v>28</v>
      </c>
      <c r="B29" s="181" t="s">
        <v>219</v>
      </c>
      <c r="C29">
        <v>0</v>
      </c>
      <c r="D29">
        <v>1.9999999999999999E-7</v>
      </c>
      <c r="E29">
        <v>3.3E-4</v>
      </c>
      <c r="F29">
        <v>0</v>
      </c>
      <c r="G29">
        <v>0</v>
      </c>
      <c r="H29">
        <v>3.302E-4</v>
      </c>
    </row>
    <row r="30" spans="1:8" ht="15" customHeight="1" x14ac:dyDescent="0.15">
      <c r="A30">
        <v>29</v>
      </c>
      <c r="B30" s="18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ht="15" customHeight="1" x14ac:dyDescent="0.15">
      <c r="A31">
        <v>30</v>
      </c>
      <c r="B31" s="181" t="s">
        <v>221</v>
      </c>
      <c r="C31">
        <v>0</v>
      </c>
      <c r="D31">
        <v>0</v>
      </c>
      <c r="E31">
        <v>5.3E-3</v>
      </c>
      <c r="F31">
        <v>0</v>
      </c>
      <c r="G31">
        <v>0</v>
      </c>
      <c r="H31">
        <v>5.3E-3</v>
      </c>
    </row>
    <row r="32" spans="1:8" ht="15" customHeight="1" x14ac:dyDescent="0.15">
      <c r="A32">
        <v>31</v>
      </c>
      <c r="B32" s="181" t="s">
        <v>222</v>
      </c>
      <c r="C32">
        <v>0</v>
      </c>
      <c r="D32">
        <v>0</v>
      </c>
      <c r="E32">
        <v>3.0000000000000001E-5</v>
      </c>
      <c r="F32">
        <v>1.1199999999999999E-3</v>
      </c>
      <c r="G32">
        <v>0</v>
      </c>
      <c r="H32">
        <v>1.15E-3</v>
      </c>
    </row>
    <row r="33" spans="1:8" ht="15" customHeight="1" x14ac:dyDescent="0.15">
      <c r="A33">
        <v>32</v>
      </c>
      <c r="B33" s="18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ht="15" customHeight="1" x14ac:dyDescent="0.15">
      <c r="A34">
        <v>33</v>
      </c>
      <c r="B34" s="18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t="15" customHeight="1" x14ac:dyDescent="0.15">
      <c r="A35">
        <v>34</v>
      </c>
      <c r="B35" s="18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t="15" customHeight="1" x14ac:dyDescent="0.15">
      <c r="A36">
        <v>35</v>
      </c>
      <c r="B36" s="18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t="15" customHeight="1" x14ac:dyDescent="0.15">
      <c r="A37">
        <v>36</v>
      </c>
      <c r="B37" s="18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8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8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/>
    <row r="41" spans="1:8" ht="15" customHeight="1" x14ac:dyDescent="0.15"/>
    <row r="42" spans="1:8" ht="15" customHeight="1" x14ac:dyDescent="0.15"/>
    <row r="43" spans="1:8" ht="15" customHeight="1" x14ac:dyDescent="0.15"/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" bestFit="1" customWidth="1"/>
    <col min="3" max="3" width="8.83203125" bestFit="1" customWidth="1"/>
    <col min="4" max="4" width="7.5" bestFit="1" customWidth="1"/>
    <col min="5" max="5" width="10.83203125" bestFit="1" customWidth="1"/>
    <col min="6" max="6" width="8.83203125" customWidth="1"/>
    <col min="7" max="7" width="7.5" customWidth="1"/>
    <col min="8" max="8" width="10.83203125" customWidth="1"/>
  </cols>
  <sheetData>
    <row r="1" spans="1:8" s="114" customFormat="1" ht="112" x14ac:dyDescent="0.15">
      <c r="A1" s="5" t="s">
        <v>22</v>
      </c>
      <c r="B1" s="3" t="s">
        <v>0</v>
      </c>
      <c r="C1" s="184" t="s">
        <v>230</v>
      </c>
      <c r="D1" s="184" t="s">
        <v>231</v>
      </c>
      <c r="E1" s="184" t="s">
        <v>232</v>
      </c>
      <c r="F1" s="184" t="s">
        <v>233</v>
      </c>
      <c r="G1" s="184" t="s">
        <v>234</v>
      </c>
      <c r="H1" s="184" t="s">
        <v>238</v>
      </c>
    </row>
    <row r="2" spans="1:8" x14ac:dyDescent="0.15">
      <c r="A2">
        <v>1</v>
      </c>
      <c r="B2" s="183" t="s">
        <v>192</v>
      </c>
      <c r="C2">
        <v>1.9999999999999999E-7</v>
      </c>
      <c r="D2">
        <v>9.9999999999999995E-8</v>
      </c>
      <c r="E2">
        <v>1.1587E-4</v>
      </c>
      <c r="F2">
        <v>6.8000000000000001E-6</v>
      </c>
      <c r="G2">
        <v>6.6000000000000005E-5</v>
      </c>
      <c r="H2">
        <v>1.8897E-4</v>
      </c>
    </row>
    <row r="3" spans="1:8" x14ac:dyDescent="0.15">
      <c r="A3">
        <v>2</v>
      </c>
      <c r="B3" s="183" t="s">
        <v>193</v>
      </c>
      <c r="C3">
        <v>8.7800000000000006E-6</v>
      </c>
      <c r="D3">
        <v>0</v>
      </c>
      <c r="E3">
        <v>0</v>
      </c>
      <c r="F3">
        <v>0</v>
      </c>
      <c r="G3">
        <v>0</v>
      </c>
      <c r="H3">
        <v>8.7800000000000006E-6</v>
      </c>
    </row>
    <row r="4" spans="1:8" x14ac:dyDescent="0.15">
      <c r="A4">
        <v>3</v>
      </c>
      <c r="B4" s="183" t="s">
        <v>194</v>
      </c>
      <c r="C4">
        <v>4.0000000000000001E-8</v>
      </c>
      <c r="D4">
        <v>1.9999999999999999E-7</v>
      </c>
      <c r="E4">
        <v>1.8548999999999999E-4</v>
      </c>
      <c r="F4">
        <v>0</v>
      </c>
      <c r="G4">
        <v>1.2E-5</v>
      </c>
      <c r="H4">
        <v>1.9772999999999999E-4</v>
      </c>
    </row>
    <row r="5" spans="1:8" x14ac:dyDescent="0.15">
      <c r="A5">
        <v>4</v>
      </c>
      <c r="B5" s="183" t="s">
        <v>195</v>
      </c>
      <c r="C5">
        <v>1.9999999999999999E-7</v>
      </c>
      <c r="D5">
        <v>9.9999999999999995E-7</v>
      </c>
      <c r="E5">
        <v>0</v>
      </c>
      <c r="F5">
        <v>5.7899999999999998E-5</v>
      </c>
      <c r="G5">
        <v>0</v>
      </c>
      <c r="H5">
        <v>5.91E-5</v>
      </c>
    </row>
    <row r="6" spans="1:8" x14ac:dyDescent="0.15">
      <c r="A6">
        <v>5</v>
      </c>
      <c r="B6" s="183" t="s">
        <v>196</v>
      </c>
      <c r="C6">
        <v>2.9999999999999999E-7</v>
      </c>
      <c r="D6">
        <v>3.8E-6</v>
      </c>
      <c r="E6">
        <v>7.0000000000000005E-8</v>
      </c>
      <c r="F6">
        <v>2.97E-5</v>
      </c>
      <c r="G6">
        <v>0</v>
      </c>
      <c r="H6">
        <v>3.3869999999999999E-5</v>
      </c>
    </row>
    <row r="7" spans="1:8" x14ac:dyDescent="0.15">
      <c r="A7">
        <v>6</v>
      </c>
      <c r="B7" s="183" t="s">
        <v>197</v>
      </c>
      <c r="C7">
        <v>1.5E-6</v>
      </c>
      <c r="D7">
        <v>2.9000000000000002E-6</v>
      </c>
      <c r="E7">
        <v>1.4999999999999999E-7</v>
      </c>
      <c r="F7">
        <v>5.0099999999999998E-5</v>
      </c>
      <c r="G7">
        <v>0</v>
      </c>
      <c r="H7">
        <v>5.465E-5</v>
      </c>
    </row>
    <row r="8" spans="1:8" x14ac:dyDescent="0.15">
      <c r="A8">
        <v>7</v>
      </c>
      <c r="B8" s="183" t="s">
        <v>198</v>
      </c>
      <c r="C8">
        <v>9.9999999999999995E-8</v>
      </c>
      <c r="D8">
        <v>0</v>
      </c>
      <c r="E8">
        <v>1E-8</v>
      </c>
      <c r="F8">
        <v>8.1299999999999997E-5</v>
      </c>
      <c r="G8">
        <v>0</v>
      </c>
      <c r="H8">
        <v>8.1409999999999995E-5</v>
      </c>
    </row>
    <row r="9" spans="1:8" x14ac:dyDescent="0.15">
      <c r="A9">
        <v>8</v>
      </c>
      <c r="B9" s="183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3" t="s">
        <v>200</v>
      </c>
      <c r="C10">
        <v>0</v>
      </c>
      <c r="D10">
        <v>1.3999999999999999E-6</v>
      </c>
      <c r="E10">
        <v>0</v>
      </c>
      <c r="F10">
        <v>0</v>
      </c>
      <c r="G10">
        <v>0</v>
      </c>
      <c r="H10">
        <v>1.3999999999999999E-6</v>
      </c>
    </row>
    <row r="11" spans="1:8" x14ac:dyDescent="0.15">
      <c r="A11">
        <v>10</v>
      </c>
      <c r="B11" s="183" t="s">
        <v>201</v>
      </c>
      <c r="C11">
        <v>2.9999999999999999E-7</v>
      </c>
      <c r="D11">
        <v>0</v>
      </c>
      <c r="E11">
        <v>0</v>
      </c>
      <c r="F11">
        <v>1.1E-5</v>
      </c>
      <c r="G11">
        <v>0</v>
      </c>
      <c r="H11">
        <v>1.13E-5</v>
      </c>
    </row>
    <row r="12" spans="1:8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83" t="s">
        <v>203</v>
      </c>
      <c r="C13">
        <v>5.9999999999999997E-7</v>
      </c>
      <c r="D13">
        <v>3.9999999999999998E-7</v>
      </c>
      <c r="E13">
        <v>9.7000000000000003E-7</v>
      </c>
      <c r="F13">
        <v>2.16E-5</v>
      </c>
      <c r="G13">
        <v>0</v>
      </c>
      <c r="H13">
        <v>2.357E-5</v>
      </c>
    </row>
    <row r="14" spans="1:8" x14ac:dyDescent="0.15">
      <c r="A14">
        <v>13</v>
      </c>
      <c r="B14" s="183" t="s">
        <v>204</v>
      </c>
      <c r="C14">
        <v>9.9999999999999995E-8</v>
      </c>
      <c r="D14">
        <v>0</v>
      </c>
      <c r="E14">
        <v>0</v>
      </c>
      <c r="F14">
        <v>2.9999999999999999E-7</v>
      </c>
      <c r="G14">
        <v>0</v>
      </c>
      <c r="H14">
        <v>3.9999999999999998E-7</v>
      </c>
    </row>
    <row r="15" spans="1:8" x14ac:dyDescent="0.15">
      <c r="A15">
        <v>14</v>
      </c>
      <c r="B15" s="183" t="s">
        <v>205</v>
      </c>
      <c r="C15">
        <v>1.5699999999999999E-5</v>
      </c>
      <c r="D15">
        <v>0</v>
      </c>
      <c r="E15">
        <v>0</v>
      </c>
      <c r="F15">
        <v>2.9899999999999998E-5</v>
      </c>
      <c r="G15">
        <v>0</v>
      </c>
      <c r="H15">
        <v>4.5599999999999997E-5</v>
      </c>
    </row>
    <row r="16" spans="1:8" x14ac:dyDescent="0.15">
      <c r="A16">
        <v>15</v>
      </c>
      <c r="B16" s="183" t="s">
        <v>206</v>
      </c>
      <c r="C16">
        <v>1.5699999999999999E-5</v>
      </c>
      <c r="D16">
        <v>0</v>
      </c>
      <c r="E16">
        <v>0</v>
      </c>
      <c r="F16">
        <v>0</v>
      </c>
      <c r="G16">
        <v>0</v>
      </c>
      <c r="H16">
        <v>1.5699999999999999E-5</v>
      </c>
    </row>
    <row r="17" spans="1:8" x14ac:dyDescent="0.15">
      <c r="A17">
        <v>16</v>
      </c>
      <c r="B17" s="183" t="s">
        <v>207</v>
      </c>
      <c r="C17">
        <v>3.8999999999999999E-6</v>
      </c>
      <c r="D17">
        <v>0</v>
      </c>
      <c r="E17">
        <v>1.75E-6</v>
      </c>
      <c r="F17">
        <v>3.2700000000000002E-5</v>
      </c>
      <c r="G17">
        <v>0</v>
      </c>
      <c r="H17">
        <v>3.8350000000000004E-5</v>
      </c>
    </row>
    <row r="18" spans="1:8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83" t="s">
        <v>209</v>
      </c>
      <c r="C19">
        <v>1.8700000000000001E-5</v>
      </c>
      <c r="D19">
        <v>0</v>
      </c>
      <c r="E19">
        <v>0</v>
      </c>
      <c r="F19">
        <v>0</v>
      </c>
      <c r="G19">
        <v>0</v>
      </c>
      <c r="H19">
        <v>1.8700000000000001E-5</v>
      </c>
    </row>
    <row r="20" spans="1:8" x14ac:dyDescent="0.15">
      <c r="A20">
        <v>19</v>
      </c>
      <c r="B20" s="183" t="s">
        <v>210</v>
      </c>
      <c r="C20">
        <v>0</v>
      </c>
      <c r="D20">
        <v>0</v>
      </c>
      <c r="E20">
        <v>0</v>
      </c>
      <c r="F20">
        <v>4.9999999999999998E-7</v>
      </c>
      <c r="G20">
        <v>0</v>
      </c>
      <c r="H20">
        <v>4.9999999999999998E-7</v>
      </c>
    </row>
    <row r="21" spans="1:8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3" t="s">
        <v>212</v>
      </c>
      <c r="C22">
        <v>3.8600000000000003E-5</v>
      </c>
      <c r="D22">
        <v>4.5000000000000001E-6</v>
      </c>
      <c r="E22">
        <v>1.8170000000000001E-5</v>
      </c>
      <c r="F22">
        <v>2.1299999999999999E-5</v>
      </c>
      <c r="G22">
        <v>0</v>
      </c>
      <c r="H22">
        <v>8.2570000000000004E-5</v>
      </c>
    </row>
    <row r="23" spans="1:8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83" t="s">
        <v>214</v>
      </c>
      <c r="C24">
        <v>6.2999999999999998E-6</v>
      </c>
      <c r="D24">
        <v>4.3000000000000003E-6</v>
      </c>
      <c r="E24">
        <v>3.3900000000000002E-6</v>
      </c>
      <c r="F24">
        <v>9.6500000000000001E-5</v>
      </c>
      <c r="G24">
        <v>0</v>
      </c>
      <c r="H24">
        <v>1.1049000000000001E-4</v>
      </c>
    </row>
    <row r="25" spans="1:8" x14ac:dyDescent="0.15">
      <c r="A25">
        <v>24</v>
      </c>
      <c r="B25" s="183" t="s">
        <v>215</v>
      </c>
      <c r="C25">
        <v>2.9999999999999999E-7</v>
      </c>
      <c r="D25">
        <v>0</v>
      </c>
      <c r="E25">
        <v>5.9999999999999995E-8</v>
      </c>
      <c r="F25">
        <v>2.9899999999999998E-5</v>
      </c>
      <c r="G25">
        <v>0</v>
      </c>
      <c r="H25">
        <v>3.0259999999999998E-5</v>
      </c>
    </row>
    <row r="26" spans="1:8" x14ac:dyDescent="0.15">
      <c r="A26">
        <v>25</v>
      </c>
      <c r="B26" s="183" t="s">
        <v>216</v>
      </c>
      <c r="C26">
        <v>1.5E-6</v>
      </c>
      <c r="D26">
        <v>2.2000000000000001E-6</v>
      </c>
      <c r="E26">
        <v>7.1600000000000001E-6</v>
      </c>
      <c r="F26">
        <v>1.5699999999999999E-4</v>
      </c>
      <c r="G26">
        <v>0</v>
      </c>
      <c r="H26">
        <v>1.6785999999999998E-4</v>
      </c>
    </row>
    <row r="27" spans="1:8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83" t="s">
        <v>218</v>
      </c>
      <c r="C28">
        <v>1.21E-4</v>
      </c>
      <c r="D28">
        <v>0</v>
      </c>
      <c r="E28">
        <v>0</v>
      </c>
      <c r="F28">
        <v>2.7100000000000002E-3</v>
      </c>
      <c r="G28">
        <v>0</v>
      </c>
      <c r="H28">
        <v>2.8310000000000002E-3</v>
      </c>
    </row>
    <row r="29" spans="1:8" x14ac:dyDescent="0.15">
      <c r="A29">
        <v>28</v>
      </c>
      <c r="B29" s="183" t="s">
        <v>219</v>
      </c>
      <c r="C29">
        <v>2.0999999999999998E-6</v>
      </c>
      <c r="D29">
        <v>0</v>
      </c>
      <c r="E29">
        <v>4.1155E-4</v>
      </c>
      <c r="F29">
        <v>2.9399999999999999E-3</v>
      </c>
      <c r="G29">
        <v>0</v>
      </c>
      <c r="H29">
        <v>3.3536499999999997E-3</v>
      </c>
    </row>
    <row r="30" spans="1:8" x14ac:dyDescent="0.15">
      <c r="A30">
        <v>29</v>
      </c>
      <c r="B30" s="183" t="s">
        <v>220</v>
      </c>
      <c r="C30">
        <v>2.9999999999999999E-7</v>
      </c>
      <c r="D30">
        <v>0</v>
      </c>
      <c r="E30">
        <v>5.0179999999999997E-5</v>
      </c>
      <c r="F30">
        <v>3.5799999999999997E-4</v>
      </c>
      <c r="G30">
        <v>0</v>
      </c>
      <c r="H30">
        <v>4.0847999999999997E-4</v>
      </c>
    </row>
    <row r="31" spans="1:8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3" t="s">
        <v>222</v>
      </c>
      <c r="C32">
        <v>1.9999999999999999E-7</v>
      </c>
      <c r="D32">
        <v>0</v>
      </c>
      <c r="E32">
        <v>1.5778999999999999E-4</v>
      </c>
      <c r="F32">
        <v>1.1199999999999999E-3</v>
      </c>
      <c r="G32">
        <v>0</v>
      </c>
      <c r="H32">
        <v>1.2779899999999999E-3</v>
      </c>
    </row>
    <row r="33" spans="1:8" x14ac:dyDescent="0.15">
      <c r="A33">
        <v>32</v>
      </c>
      <c r="B33" s="183" t="s">
        <v>223</v>
      </c>
      <c r="C33">
        <v>5.4999999999999999E-6</v>
      </c>
      <c r="D33">
        <v>0</v>
      </c>
      <c r="E33">
        <v>0</v>
      </c>
      <c r="F33">
        <v>1.2400000000000001E-4</v>
      </c>
      <c r="G33">
        <v>0</v>
      </c>
      <c r="H33">
        <v>1.295E-4</v>
      </c>
    </row>
    <row r="34" spans="1:8" x14ac:dyDescent="0.15">
      <c r="A34">
        <v>33</v>
      </c>
      <c r="B34" s="18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8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8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83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5" t="s">
        <v>192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5" t="s">
        <v>193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5" t="s">
        <v>194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5" t="s">
        <v>195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5" t="s">
        <v>196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5" t="s">
        <v>197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5" t="s">
        <v>198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0" t="s">
        <v>150</v>
      </c>
      <c r="D9">
        <v>8</v>
      </c>
      <c r="E9" s="185" t="s">
        <v>199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0" t="s">
        <v>150</v>
      </c>
      <c r="D10">
        <v>9</v>
      </c>
      <c r="E10" s="185" t="s">
        <v>200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5" t="s">
        <v>201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5" t="s">
        <v>202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5" t="s">
        <v>203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5" t="s">
        <v>204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5" t="s">
        <v>205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5" t="s">
        <v>206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5" t="s">
        <v>207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5" t="s">
        <v>208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5" t="s">
        <v>209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5" t="s">
        <v>210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5" t="s">
        <v>211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5" t="s">
        <v>212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5" t="s">
        <v>213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5" t="s">
        <v>214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5" t="s">
        <v>215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5" t="s">
        <v>216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5" t="s">
        <v>217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5" t="s">
        <v>218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85" t="s">
        <v>219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85" t="s">
        <v>220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85" t="s">
        <v>221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85" t="s">
        <v>222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85" t="s">
        <v>223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85" t="s">
        <v>224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85" t="s">
        <v>225</v>
      </c>
      <c r="F35">
        <v>0.98</v>
      </c>
      <c r="G35">
        <v>0.8</v>
      </c>
      <c r="H35">
        <v>0.8</v>
      </c>
      <c r="I35">
        <v>0</v>
      </c>
      <c r="J35" s="113">
        <v>0</v>
      </c>
      <c r="K35" s="113">
        <v>0</v>
      </c>
      <c r="Y35"/>
      <c r="AC35"/>
      <c r="AG35"/>
    </row>
    <row r="36" spans="4:33" ht="15" customHeight="1" x14ac:dyDescent="0.15">
      <c r="D36">
        <v>35</v>
      </c>
      <c r="E36" s="185" t="s">
        <v>226</v>
      </c>
      <c r="F36">
        <v>0.98</v>
      </c>
      <c r="G36">
        <v>0.8</v>
      </c>
      <c r="H36">
        <v>0.8</v>
      </c>
      <c r="I36">
        <v>0</v>
      </c>
      <c r="J36" s="113">
        <v>0</v>
      </c>
      <c r="K36" s="113">
        <v>0</v>
      </c>
      <c r="Y36"/>
      <c r="AC36"/>
      <c r="AG36"/>
    </row>
    <row r="37" spans="4:33" ht="15" customHeight="1" x14ac:dyDescent="0.15">
      <c r="D37">
        <v>36</v>
      </c>
      <c r="E37" s="185" t="s">
        <v>227</v>
      </c>
      <c r="F37">
        <v>0.98</v>
      </c>
      <c r="G37">
        <v>0.8</v>
      </c>
      <c r="H37">
        <v>0.8</v>
      </c>
      <c r="I37">
        <v>0</v>
      </c>
      <c r="J37" s="113">
        <v>0</v>
      </c>
      <c r="K37" s="113">
        <v>0</v>
      </c>
      <c r="Y37"/>
      <c r="AC37"/>
      <c r="AG37"/>
    </row>
    <row r="38" spans="4:33" ht="15" customHeight="1" x14ac:dyDescent="0.15">
      <c r="D38">
        <v>37</v>
      </c>
      <c r="E38" s="185" t="s">
        <v>228</v>
      </c>
      <c r="F38">
        <v>0.98</v>
      </c>
      <c r="G38">
        <v>0.8</v>
      </c>
      <c r="H38">
        <v>0</v>
      </c>
      <c r="I38">
        <v>0</v>
      </c>
      <c r="J38" s="113">
        <v>0</v>
      </c>
      <c r="K38" s="113">
        <v>0</v>
      </c>
      <c r="Y38"/>
      <c r="AC38"/>
      <c r="AG38"/>
    </row>
    <row r="39" spans="4:33" ht="15" customHeight="1" x14ac:dyDescent="0.15">
      <c r="D39">
        <v>38</v>
      </c>
      <c r="E39" s="185" t="s">
        <v>229</v>
      </c>
      <c r="F39">
        <v>0.98</v>
      </c>
      <c r="G39">
        <v>0.8</v>
      </c>
      <c r="H39">
        <v>0</v>
      </c>
      <c r="I39">
        <v>0</v>
      </c>
      <c r="J39" s="113">
        <v>0</v>
      </c>
      <c r="K39" s="113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34" width="3.83203125" style="111" customWidth="1"/>
    <col min="35" max="39" width="2.33203125" style="111" customWidth="1"/>
    <col min="40" max="16384" width="10.83203125" style="111"/>
  </cols>
  <sheetData>
    <row r="1" spans="1:39" x14ac:dyDescent="0.15">
      <c r="A1" s="62" t="s">
        <v>118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</row>
    <row r="2" spans="1:39" customFormat="1" x14ac:dyDescent="0.15">
      <c r="A2" s="186" t="s">
        <v>192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</row>
    <row r="3" spans="1:39" customFormat="1" x14ac:dyDescent="0.15">
      <c r="A3" s="186" t="s">
        <v>193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</row>
    <row r="4" spans="1:39" customFormat="1" x14ac:dyDescent="0.15">
      <c r="A4" s="186" t="s">
        <v>194</v>
      </c>
      <c r="B4" s="111">
        <v>0.8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</row>
    <row r="5" spans="1:39" customFormat="1" x14ac:dyDescent="0.15">
      <c r="A5" s="186" t="s">
        <v>195</v>
      </c>
      <c r="B5" s="111">
        <v>0.8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0.8</v>
      </c>
      <c r="K5" s="111">
        <v>0.8</v>
      </c>
      <c r="L5" s="111">
        <v>0</v>
      </c>
      <c r="M5" s="111">
        <v>0.8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0.8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</row>
    <row r="6" spans="1:39" customFormat="1" x14ac:dyDescent="0.15">
      <c r="A6" s="186" t="s">
        <v>196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</v>
      </c>
      <c r="H6" s="111">
        <v>0</v>
      </c>
      <c r="I6" s="111">
        <v>0</v>
      </c>
      <c r="J6" s="111">
        <v>0.8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0.8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</row>
    <row r="7" spans="1:39" customFormat="1" x14ac:dyDescent="0.15">
      <c r="A7" s="186" t="s">
        <v>197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</v>
      </c>
      <c r="I7" s="111">
        <v>0</v>
      </c>
      <c r="J7" s="111">
        <v>0.8</v>
      </c>
      <c r="K7" s="111">
        <v>0</v>
      </c>
      <c r="L7" s="111">
        <v>0</v>
      </c>
      <c r="M7" s="111">
        <v>0</v>
      </c>
      <c r="N7" s="111">
        <v>0</v>
      </c>
      <c r="O7" s="111">
        <v>0.8</v>
      </c>
      <c r="P7" s="111">
        <v>0.8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0.8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</row>
    <row r="8" spans="1:39" customFormat="1" x14ac:dyDescent="0.15">
      <c r="A8" s="186" t="s">
        <v>198</v>
      </c>
      <c r="B8" s="111">
        <v>0</v>
      </c>
      <c r="C8" s="111">
        <v>0</v>
      </c>
      <c r="D8" s="111">
        <v>0</v>
      </c>
      <c r="E8" s="111">
        <v>0.8</v>
      </c>
      <c r="F8" s="111">
        <v>0</v>
      </c>
      <c r="G8" s="111">
        <v>0.8</v>
      </c>
      <c r="H8" s="111">
        <v>0.8</v>
      </c>
      <c r="I8" s="111">
        <v>0.8</v>
      </c>
      <c r="J8" s="111">
        <v>0.8</v>
      </c>
      <c r="K8" s="111">
        <v>0.8</v>
      </c>
      <c r="L8" s="111">
        <v>0.8</v>
      </c>
      <c r="M8" s="111">
        <v>0.8</v>
      </c>
      <c r="N8" s="111">
        <v>0</v>
      </c>
      <c r="O8" s="111">
        <v>0.8</v>
      </c>
      <c r="P8" s="111">
        <v>0.8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0.8</v>
      </c>
      <c r="Y8" s="111">
        <v>0</v>
      </c>
      <c r="Z8" s="111">
        <v>0.8</v>
      </c>
      <c r="AA8" s="111">
        <v>0.8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</row>
    <row r="9" spans="1:39" customFormat="1" x14ac:dyDescent="0.15">
      <c r="A9" s="186" t="s">
        <v>199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0.8</v>
      </c>
      <c r="H9" s="111">
        <v>0.8</v>
      </c>
      <c r="I9" s="111">
        <v>0.8</v>
      </c>
      <c r="J9" s="111">
        <v>0.8</v>
      </c>
      <c r="K9" s="111">
        <v>0</v>
      </c>
      <c r="L9" s="111">
        <v>0.8</v>
      </c>
      <c r="M9" s="111">
        <v>0</v>
      </c>
      <c r="N9" s="111">
        <v>0</v>
      </c>
      <c r="O9" s="111">
        <v>0.8</v>
      </c>
      <c r="P9" s="111">
        <v>0.8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0.8</v>
      </c>
      <c r="X9" s="111">
        <v>0</v>
      </c>
      <c r="Y9" s="111">
        <v>0.8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</row>
    <row r="10" spans="1:39" customFormat="1" x14ac:dyDescent="0.15">
      <c r="A10" s="186" t="s">
        <v>200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0.8</v>
      </c>
      <c r="H10" s="111">
        <v>0</v>
      </c>
      <c r="I10" s="111">
        <v>0</v>
      </c>
      <c r="J10" s="111">
        <v>0.8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0.8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</row>
    <row r="11" spans="1:39" customFormat="1" x14ac:dyDescent="0.15">
      <c r="A11" s="186" t="s">
        <v>201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0.8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0.8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</row>
    <row r="12" spans="1:39" customFormat="1" x14ac:dyDescent="0.15">
      <c r="A12" s="186" t="s">
        <v>202</v>
      </c>
      <c r="B12" s="111">
        <v>0</v>
      </c>
      <c r="C12" s="111">
        <v>0</v>
      </c>
      <c r="D12" s="111">
        <v>0.8</v>
      </c>
      <c r="E12" s="111">
        <v>0.8</v>
      </c>
      <c r="F12" s="111">
        <v>0</v>
      </c>
      <c r="G12" s="111">
        <v>0.8</v>
      </c>
      <c r="H12" s="111">
        <v>0</v>
      </c>
      <c r="I12" s="111">
        <v>0.8</v>
      </c>
      <c r="J12" s="111">
        <v>0.8</v>
      </c>
      <c r="K12" s="111">
        <v>0</v>
      </c>
      <c r="L12" s="111">
        <v>0</v>
      </c>
      <c r="M12" s="111">
        <v>0.8</v>
      </c>
      <c r="N12" s="111">
        <v>0</v>
      </c>
      <c r="O12" s="111">
        <v>0.8</v>
      </c>
      <c r="P12" s="111">
        <v>0.8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0.8</v>
      </c>
      <c r="W12" s="111">
        <v>0</v>
      </c>
      <c r="X12" s="111">
        <v>0.8</v>
      </c>
      <c r="Y12" s="111">
        <v>0.8</v>
      </c>
      <c r="Z12" s="111">
        <v>0.8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</row>
    <row r="13" spans="1:39" customFormat="1" x14ac:dyDescent="0.15">
      <c r="A13" s="186" t="s">
        <v>203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0</v>
      </c>
      <c r="M13" s="111">
        <v>0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</row>
    <row r="14" spans="1:39" customFormat="1" x14ac:dyDescent="0.15">
      <c r="A14" s="186" t="s">
        <v>204</v>
      </c>
      <c r="B14" s="111">
        <v>0.8</v>
      </c>
      <c r="C14" s="111">
        <v>0.8</v>
      </c>
      <c r="D14" s="111">
        <v>0.8</v>
      </c>
      <c r="E14" s="111">
        <v>0.8</v>
      </c>
      <c r="F14" s="111">
        <v>0</v>
      </c>
      <c r="G14" s="111">
        <v>0.8</v>
      </c>
      <c r="H14" s="111">
        <v>0.8</v>
      </c>
      <c r="I14" s="111">
        <v>0.8</v>
      </c>
      <c r="J14" s="111">
        <v>0</v>
      </c>
      <c r="K14" s="111">
        <v>0.8</v>
      </c>
      <c r="L14" s="111">
        <v>0.8</v>
      </c>
      <c r="M14" s="111">
        <v>0.8</v>
      </c>
      <c r="N14" s="111">
        <v>0.8</v>
      </c>
      <c r="O14" s="111">
        <v>0.8</v>
      </c>
      <c r="P14" s="111">
        <v>0.8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0.8</v>
      </c>
      <c r="W14" s="111">
        <v>0</v>
      </c>
      <c r="X14" s="111">
        <v>0</v>
      </c>
      <c r="Y14" s="111">
        <v>0.8</v>
      </c>
      <c r="Z14" s="111">
        <v>0.8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0.8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</row>
    <row r="15" spans="1:39" customFormat="1" x14ac:dyDescent="0.15">
      <c r="A15" s="186" t="s">
        <v>205</v>
      </c>
      <c r="B15" s="111">
        <v>0</v>
      </c>
      <c r="C15" s="111">
        <v>0</v>
      </c>
      <c r="D15" s="111">
        <v>0.8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0.8</v>
      </c>
      <c r="K15" s="111">
        <v>0.8</v>
      </c>
      <c r="L15" s="111">
        <v>0</v>
      </c>
      <c r="M15" s="111">
        <v>0</v>
      </c>
      <c r="N15" s="111">
        <v>0</v>
      </c>
      <c r="O15" s="111">
        <v>0.8</v>
      </c>
      <c r="P15" s="111">
        <v>0.8</v>
      </c>
      <c r="Q15" s="111">
        <v>0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</v>
      </c>
      <c r="Y15" s="111">
        <v>0</v>
      </c>
      <c r="Z15" s="111">
        <v>0.8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</row>
    <row r="16" spans="1:39" customFormat="1" x14ac:dyDescent="0.15">
      <c r="A16" s="186" t="s">
        <v>206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0.8</v>
      </c>
      <c r="H16" s="111">
        <v>0</v>
      </c>
      <c r="I16" s="111">
        <v>0</v>
      </c>
      <c r="J16" s="111">
        <v>0.8</v>
      </c>
      <c r="K16" s="111">
        <v>0</v>
      </c>
      <c r="L16" s="111">
        <v>0</v>
      </c>
      <c r="M16" s="111">
        <v>0</v>
      </c>
      <c r="N16" s="111">
        <v>0</v>
      </c>
      <c r="O16" s="111">
        <v>0.8</v>
      </c>
      <c r="P16" s="111">
        <v>0.8</v>
      </c>
      <c r="Q16" s="111">
        <v>0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0.8</v>
      </c>
      <c r="Z16" s="111">
        <v>0.8</v>
      </c>
      <c r="AA16" s="111">
        <v>0.8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</row>
    <row r="17" spans="1:39" customFormat="1" x14ac:dyDescent="0.15">
      <c r="A17" s="186" t="s">
        <v>207</v>
      </c>
      <c r="B17" s="111">
        <v>0</v>
      </c>
      <c r="C17" s="111">
        <v>0</v>
      </c>
      <c r="D17" s="111">
        <v>0</v>
      </c>
      <c r="E17" s="111">
        <v>0.8</v>
      </c>
      <c r="F17" s="111">
        <v>0</v>
      </c>
      <c r="G17" s="111">
        <v>0.8</v>
      </c>
      <c r="H17" s="111">
        <v>0.8</v>
      </c>
      <c r="I17" s="111">
        <v>0.8</v>
      </c>
      <c r="J17" s="111">
        <v>0.8</v>
      </c>
      <c r="K17" s="111">
        <v>0.8</v>
      </c>
      <c r="L17" s="111">
        <v>0.8</v>
      </c>
      <c r="M17" s="111">
        <v>0.8</v>
      </c>
      <c r="N17" s="111">
        <v>0</v>
      </c>
      <c r="O17" s="111">
        <v>0.8</v>
      </c>
      <c r="P17" s="111">
        <v>0.8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0.8</v>
      </c>
      <c r="Y17" s="111">
        <v>0</v>
      </c>
      <c r="Z17" s="111">
        <v>0.8</v>
      </c>
      <c r="AA17" s="111">
        <v>0.8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</row>
    <row r="18" spans="1:39" customFormat="1" x14ac:dyDescent="0.15">
      <c r="A18" s="186" t="s">
        <v>208</v>
      </c>
      <c r="B18" s="111">
        <v>0</v>
      </c>
      <c r="C18" s="111">
        <v>0</v>
      </c>
      <c r="D18" s="111">
        <v>0</v>
      </c>
      <c r="E18" s="111">
        <v>0</v>
      </c>
      <c r="F18" s="111">
        <v>0</v>
      </c>
      <c r="G18" s="111">
        <v>0.8</v>
      </c>
      <c r="H18" s="111">
        <v>0.8</v>
      </c>
      <c r="I18" s="111">
        <v>0.8</v>
      </c>
      <c r="J18" s="111">
        <v>0.8</v>
      </c>
      <c r="K18" s="111">
        <v>0</v>
      </c>
      <c r="L18" s="111">
        <v>0.8</v>
      </c>
      <c r="M18" s="111">
        <v>0</v>
      </c>
      <c r="N18" s="111">
        <v>0</v>
      </c>
      <c r="O18" s="111">
        <v>0.8</v>
      </c>
      <c r="P18" s="111">
        <v>0.8</v>
      </c>
      <c r="Q18" s="111">
        <v>0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0.8</v>
      </c>
      <c r="X18" s="111">
        <v>0</v>
      </c>
      <c r="Y18" s="111">
        <v>0.8</v>
      </c>
      <c r="Z18" s="111">
        <v>0</v>
      </c>
      <c r="AA18" s="111">
        <v>0.8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</row>
    <row r="19" spans="1:39" customFormat="1" x14ac:dyDescent="0.15">
      <c r="A19" s="186" t="s">
        <v>209</v>
      </c>
      <c r="B19" s="111">
        <v>0.8</v>
      </c>
      <c r="C19" s="111">
        <v>0</v>
      </c>
      <c r="D19" s="111">
        <v>0.8</v>
      </c>
      <c r="E19" s="111">
        <v>0</v>
      </c>
      <c r="F19" s="111">
        <v>0</v>
      </c>
      <c r="G19" s="111">
        <v>0.8</v>
      </c>
      <c r="H19" s="111">
        <v>0</v>
      </c>
      <c r="I19" s="111">
        <v>0</v>
      </c>
      <c r="J19" s="111">
        <v>0.8</v>
      </c>
      <c r="K19" s="111">
        <v>0</v>
      </c>
      <c r="L19" s="111">
        <v>0</v>
      </c>
      <c r="M19" s="111">
        <v>0.8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0.8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</row>
    <row r="20" spans="1:39" customFormat="1" x14ac:dyDescent="0.15">
      <c r="A20" s="186" t="s">
        <v>210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0</v>
      </c>
      <c r="H20" s="111">
        <v>0</v>
      </c>
      <c r="I20" s="111">
        <v>0</v>
      </c>
      <c r="J20" s="111">
        <v>0.8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</v>
      </c>
      <c r="Y20" s="111">
        <v>0</v>
      </c>
      <c r="Z20" s="111">
        <v>0.8</v>
      </c>
      <c r="AA20" s="111">
        <v>0.8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</row>
    <row r="21" spans="1:39" customFormat="1" x14ac:dyDescent="0.15">
      <c r="A21" s="186" t="s">
        <v>211</v>
      </c>
      <c r="B21" s="111">
        <v>0</v>
      </c>
      <c r="C21" s="111">
        <v>0.8</v>
      </c>
      <c r="D21" s="111">
        <v>0</v>
      </c>
      <c r="E21" s="111">
        <v>0.8</v>
      </c>
      <c r="F21" s="111">
        <v>0.8</v>
      </c>
      <c r="G21" s="111">
        <v>0.8</v>
      </c>
      <c r="H21" s="111">
        <v>0.8</v>
      </c>
      <c r="I21" s="111">
        <v>0.8</v>
      </c>
      <c r="J21" s="111">
        <v>0.8</v>
      </c>
      <c r="K21" s="111">
        <v>0</v>
      </c>
      <c r="L21" s="111">
        <v>0.8</v>
      </c>
      <c r="M21" s="111">
        <v>0.8</v>
      </c>
      <c r="N21" s="111">
        <v>0</v>
      </c>
      <c r="O21" s="111">
        <v>0.8</v>
      </c>
      <c r="P21" s="111">
        <v>0.8</v>
      </c>
      <c r="Q21" s="111">
        <v>0</v>
      </c>
      <c r="R21" s="111">
        <v>0</v>
      </c>
      <c r="S21" s="111">
        <v>0</v>
      </c>
      <c r="T21" s="111">
        <v>0.8</v>
      </c>
      <c r="U21" s="111">
        <v>0</v>
      </c>
      <c r="V21" s="111">
        <v>0</v>
      </c>
      <c r="W21" s="111">
        <v>0.8</v>
      </c>
      <c r="X21" s="111">
        <v>0</v>
      </c>
      <c r="Y21" s="111">
        <v>0.8</v>
      </c>
      <c r="Z21" s="111">
        <v>0.8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</row>
    <row r="22" spans="1:39" customFormat="1" x14ac:dyDescent="0.15">
      <c r="A22" s="186" t="s">
        <v>212</v>
      </c>
      <c r="B22" s="111">
        <v>0.8</v>
      </c>
      <c r="C22" s="111">
        <v>0.8</v>
      </c>
      <c r="D22" s="111">
        <v>0.8</v>
      </c>
      <c r="E22" s="111">
        <v>0.8</v>
      </c>
      <c r="F22" s="111">
        <v>0.8</v>
      </c>
      <c r="G22" s="111">
        <v>0.8</v>
      </c>
      <c r="H22" s="111">
        <v>0.8</v>
      </c>
      <c r="I22" s="111">
        <v>0</v>
      </c>
      <c r="J22" s="111">
        <v>0.8</v>
      </c>
      <c r="K22" s="111">
        <v>0.8</v>
      </c>
      <c r="L22" s="111">
        <v>0.8</v>
      </c>
      <c r="M22" s="111">
        <v>0</v>
      </c>
      <c r="N22" s="111">
        <v>0.8</v>
      </c>
      <c r="O22" s="111">
        <v>0.8</v>
      </c>
      <c r="P22" s="111">
        <v>0.8</v>
      </c>
      <c r="Q22" s="111">
        <v>0.8</v>
      </c>
      <c r="R22" s="111">
        <v>0</v>
      </c>
      <c r="S22" s="111">
        <v>0.8</v>
      </c>
      <c r="T22" s="111">
        <v>0.8</v>
      </c>
      <c r="U22" s="111">
        <v>0</v>
      </c>
      <c r="V22" s="111">
        <v>0.8</v>
      </c>
      <c r="W22" s="111">
        <v>0</v>
      </c>
      <c r="X22" s="111">
        <v>0.8</v>
      </c>
      <c r="Y22" s="111">
        <v>0.8</v>
      </c>
      <c r="Z22" s="111">
        <v>0.8</v>
      </c>
      <c r="AA22" s="111">
        <v>0.8</v>
      </c>
      <c r="AB22" s="111">
        <v>0.8</v>
      </c>
      <c r="AC22" s="111">
        <v>0</v>
      </c>
      <c r="AD22" s="111">
        <v>0</v>
      </c>
      <c r="AE22" s="111">
        <v>0.8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</row>
    <row r="23" spans="1:39" customFormat="1" x14ac:dyDescent="0.15">
      <c r="A23" s="186" t="s">
        <v>213</v>
      </c>
      <c r="B23" s="111">
        <v>0</v>
      </c>
      <c r="C23" s="111">
        <v>0</v>
      </c>
      <c r="D23" s="111">
        <v>0</v>
      </c>
      <c r="E23" s="111">
        <v>0.8</v>
      </c>
      <c r="F23" s="111">
        <v>0</v>
      </c>
      <c r="G23" s="111">
        <v>0.8</v>
      </c>
      <c r="H23" s="111">
        <v>0.8</v>
      </c>
      <c r="I23" s="111">
        <v>0.8</v>
      </c>
      <c r="J23" s="111">
        <v>0.8</v>
      </c>
      <c r="K23" s="111">
        <v>0</v>
      </c>
      <c r="L23" s="111">
        <v>0.8</v>
      </c>
      <c r="M23" s="111">
        <v>0</v>
      </c>
      <c r="N23" s="111">
        <v>0</v>
      </c>
      <c r="O23" s="111">
        <v>0.8</v>
      </c>
      <c r="P23" s="111">
        <v>0.8</v>
      </c>
      <c r="Q23" s="111">
        <v>0</v>
      </c>
      <c r="R23" s="111">
        <v>0.8</v>
      </c>
      <c r="S23" s="111">
        <v>0</v>
      </c>
      <c r="T23" s="111">
        <v>0</v>
      </c>
      <c r="U23" s="111">
        <v>0.8</v>
      </c>
      <c r="V23" s="111">
        <v>0</v>
      </c>
      <c r="W23" s="111">
        <v>0.8</v>
      </c>
      <c r="X23" s="111">
        <v>0.8</v>
      </c>
      <c r="Y23" s="111">
        <v>0.8</v>
      </c>
      <c r="Z23" s="111">
        <v>0</v>
      </c>
      <c r="AA23" s="111">
        <v>0.8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</row>
    <row r="24" spans="1:39" customFormat="1" x14ac:dyDescent="0.15">
      <c r="A24" s="186" t="s">
        <v>214</v>
      </c>
      <c r="B24" s="111">
        <v>0</v>
      </c>
      <c r="C24" s="111">
        <v>0</v>
      </c>
      <c r="D24" s="111">
        <v>0.8</v>
      </c>
      <c r="E24" s="111">
        <v>0</v>
      </c>
      <c r="F24" s="111">
        <v>0</v>
      </c>
      <c r="G24" s="111">
        <v>0.8</v>
      </c>
      <c r="H24" s="111">
        <v>0</v>
      </c>
      <c r="I24" s="111">
        <v>0</v>
      </c>
      <c r="J24" s="111">
        <v>0.8</v>
      </c>
      <c r="K24" s="111">
        <v>0.8</v>
      </c>
      <c r="L24" s="111">
        <v>0.8</v>
      </c>
      <c r="M24" s="111">
        <v>0</v>
      </c>
      <c r="N24" s="111">
        <v>0</v>
      </c>
      <c r="O24" s="111">
        <v>0.8</v>
      </c>
      <c r="P24" s="111">
        <v>0</v>
      </c>
      <c r="Q24" s="111">
        <v>0</v>
      </c>
      <c r="R24" s="111">
        <v>0</v>
      </c>
      <c r="S24" s="111">
        <v>0</v>
      </c>
      <c r="T24" s="111">
        <v>0.8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0.8</v>
      </c>
      <c r="AA24" s="111">
        <v>0.8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</row>
    <row r="25" spans="1:39" customFormat="1" x14ac:dyDescent="0.15">
      <c r="A25" s="186" t="s">
        <v>215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0.8</v>
      </c>
      <c r="H25" s="111">
        <v>0</v>
      </c>
      <c r="I25" s="111">
        <v>0</v>
      </c>
      <c r="J25" s="111">
        <v>0.8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0.8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0.8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</row>
    <row r="26" spans="1:39" customFormat="1" x14ac:dyDescent="0.15">
      <c r="A26" s="186" t="s">
        <v>216</v>
      </c>
      <c r="B26" s="111">
        <v>0.8</v>
      </c>
      <c r="C26" s="111">
        <v>0</v>
      </c>
      <c r="D26" s="111">
        <v>0</v>
      </c>
      <c r="E26" s="111">
        <v>0</v>
      </c>
      <c r="F26" s="111">
        <v>0</v>
      </c>
      <c r="G26" s="111">
        <v>0.8</v>
      </c>
      <c r="H26" s="111">
        <v>0</v>
      </c>
      <c r="I26" s="111">
        <v>0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0</v>
      </c>
      <c r="Z26" s="111">
        <v>0.8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</row>
    <row r="27" spans="1:39" customFormat="1" x14ac:dyDescent="0.15">
      <c r="A27" s="186" t="s">
        <v>217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</row>
    <row r="28" spans="1:39" customFormat="1" x14ac:dyDescent="0.15">
      <c r="A28" s="186" t="s">
        <v>218</v>
      </c>
      <c r="B28" s="111">
        <v>0</v>
      </c>
      <c r="C28" s="111">
        <v>0.8</v>
      </c>
      <c r="D28" s="111">
        <v>0</v>
      </c>
      <c r="E28" s="111">
        <v>0</v>
      </c>
      <c r="F28" s="111">
        <v>0</v>
      </c>
      <c r="G28" s="111">
        <v>0</v>
      </c>
      <c r="H28" s="111">
        <v>0.8</v>
      </c>
      <c r="I28" s="111">
        <v>0.8</v>
      </c>
      <c r="J28" s="111">
        <v>0</v>
      </c>
      <c r="K28" s="111">
        <v>0</v>
      </c>
      <c r="L28" s="111">
        <v>0.8</v>
      </c>
      <c r="M28" s="111">
        <v>0</v>
      </c>
      <c r="N28" s="111">
        <v>0.8</v>
      </c>
      <c r="O28" s="111">
        <v>0</v>
      </c>
      <c r="P28" s="111">
        <v>0</v>
      </c>
      <c r="Q28" s="111">
        <v>0</v>
      </c>
      <c r="R28" s="111">
        <v>0</v>
      </c>
      <c r="S28" s="111">
        <v>0.8</v>
      </c>
      <c r="T28" s="111">
        <v>0.8</v>
      </c>
      <c r="U28" s="111">
        <v>0</v>
      </c>
      <c r="V28" s="111">
        <v>0.8</v>
      </c>
      <c r="W28" s="111">
        <v>0</v>
      </c>
      <c r="X28" s="111">
        <v>0</v>
      </c>
      <c r="Y28" s="111">
        <v>0.8</v>
      </c>
      <c r="Z28" s="111">
        <v>0.8</v>
      </c>
      <c r="AA28" s="111">
        <v>0</v>
      </c>
      <c r="AB28" s="111">
        <v>0.8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</row>
    <row r="29" spans="1:39" customFormat="1" x14ac:dyDescent="0.15">
      <c r="A29" s="186" t="s">
        <v>219</v>
      </c>
      <c r="B29" s="111">
        <v>0.8</v>
      </c>
      <c r="C29" s="111">
        <v>0.8</v>
      </c>
      <c r="D29" s="111">
        <v>0</v>
      </c>
      <c r="E29" s="111">
        <v>0.8</v>
      </c>
      <c r="F29" s="111">
        <v>0.8</v>
      </c>
      <c r="G29" s="111">
        <v>0.8</v>
      </c>
      <c r="H29" s="111">
        <v>0.8</v>
      </c>
      <c r="I29" s="111">
        <v>0.8</v>
      </c>
      <c r="J29" s="111">
        <v>0.8</v>
      </c>
      <c r="K29" s="111">
        <v>0.8</v>
      </c>
      <c r="L29" s="111">
        <v>0.8</v>
      </c>
      <c r="M29" s="111">
        <v>0.8</v>
      </c>
      <c r="N29" s="111">
        <v>0.8</v>
      </c>
      <c r="O29" s="111">
        <v>0</v>
      </c>
      <c r="P29" s="111">
        <v>0</v>
      </c>
      <c r="Q29" s="111">
        <v>0</v>
      </c>
      <c r="R29" s="111">
        <v>0.8</v>
      </c>
      <c r="S29" s="111">
        <v>0.8</v>
      </c>
      <c r="T29" s="111">
        <v>0.8</v>
      </c>
      <c r="U29" s="111">
        <v>0</v>
      </c>
      <c r="V29" s="111">
        <v>0.8</v>
      </c>
      <c r="W29" s="111">
        <v>0.8</v>
      </c>
      <c r="X29" s="111">
        <v>0.8</v>
      </c>
      <c r="Y29" s="111">
        <v>0.8</v>
      </c>
      <c r="Z29" s="111">
        <v>0.8</v>
      </c>
      <c r="AA29" s="111">
        <v>0.8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</row>
    <row r="30" spans="1:39" customFormat="1" x14ac:dyDescent="0.15">
      <c r="A30" s="186" t="s">
        <v>220</v>
      </c>
      <c r="B30" s="111">
        <v>0.8</v>
      </c>
      <c r="C30" s="111">
        <v>0.8</v>
      </c>
      <c r="D30" s="111">
        <v>0</v>
      </c>
      <c r="E30" s="111">
        <v>0.8</v>
      </c>
      <c r="F30" s="111">
        <v>0.8</v>
      </c>
      <c r="G30" s="111">
        <v>0.8</v>
      </c>
      <c r="H30" s="111">
        <v>0.8</v>
      </c>
      <c r="I30" s="111">
        <v>0.8</v>
      </c>
      <c r="J30" s="111">
        <v>0.8</v>
      </c>
      <c r="K30" s="111">
        <v>0.8</v>
      </c>
      <c r="L30" s="111">
        <v>0.8</v>
      </c>
      <c r="M30" s="111">
        <v>0.8</v>
      </c>
      <c r="N30" s="111">
        <v>0.8</v>
      </c>
      <c r="O30" s="111">
        <v>0.8</v>
      </c>
      <c r="P30" s="111">
        <v>0.8</v>
      </c>
      <c r="Q30" s="111">
        <v>0.8</v>
      </c>
      <c r="R30" s="111">
        <v>0.8</v>
      </c>
      <c r="S30" s="111">
        <v>0.8</v>
      </c>
      <c r="T30" s="111">
        <v>0.8</v>
      </c>
      <c r="U30" s="111">
        <v>0.8</v>
      </c>
      <c r="V30" s="111">
        <v>0.8</v>
      </c>
      <c r="W30" s="111">
        <v>0.8</v>
      </c>
      <c r="X30" s="111">
        <v>0.8</v>
      </c>
      <c r="Y30" s="111">
        <v>0.8</v>
      </c>
      <c r="Z30" s="111">
        <v>0.8</v>
      </c>
      <c r="AA30" s="111">
        <v>0</v>
      </c>
      <c r="AB30" s="111">
        <v>0.8</v>
      </c>
      <c r="AC30" s="111">
        <v>0.8</v>
      </c>
      <c r="AD30" s="111">
        <v>0.8</v>
      </c>
      <c r="AE30" s="111">
        <v>0.8</v>
      </c>
      <c r="AF30" s="111">
        <v>0.8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</row>
    <row r="31" spans="1:39" customFormat="1" x14ac:dyDescent="0.15">
      <c r="A31" s="186" t="s">
        <v>221</v>
      </c>
      <c r="B31" s="111">
        <v>0.8</v>
      </c>
      <c r="C31" s="111">
        <v>0.8</v>
      </c>
      <c r="D31" s="111">
        <v>0.8</v>
      </c>
      <c r="E31" s="111">
        <v>0.8</v>
      </c>
      <c r="F31" s="111">
        <v>0.8</v>
      </c>
      <c r="G31" s="111">
        <v>0.8</v>
      </c>
      <c r="H31" s="111">
        <v>0.8</v>
      </c>
      <c r="I31" s="111">
        <v>0.8</v>
      </c>
      <c r="J31" s="111">
        <v>0.8</v>
      </c>
      <c r="K31" s="111">
        <v>0</v>
      </c>
      <c r="L31" s="111">
        <v>0.8</v>
      </c>
      <c r="M31" s="111">
        <v>0.8</v>
      </c>
      <c r="N31" s="111">
        <v>0</v>
      </c>
      <c r="O31" s="111">
        <v>0.8</v>
      </c>
      <c r="P31" s="111">
        <v>0</v>
      </c>
      <c r="Q31" s="111">
        <v>0.8</v>
      </c>
      <c r="R31" s="111">
        <v>0.8</v>
      </c>
      <c r="S31" s="111">
        <v>0</v>
      </c>
      <c r="T31" s="111">
        <v>0.8</v>
      </c>
      <c r="U31" s="111">
        <v>0</v>
      </c>
      <c r="V31" s="111">
        <v>0.8</v>
      </c>
      <c r="W31" s="111">
        <v>0</v>
      </c>
      <c r="X31" s="111">
        <v>0.8</v>
      </c>
      <c r="Y31" s="111">
        <v>0.8</v>
      </c>
      <c r="Z31" s="111">
        <v>0.8</v>
      </c>
      <c r="AA31" s="111">
        <v>0.8</v>
      </c>
      <c r="AB31" s="111">
        <v>0</v>
      </c>
      <c r="AC31" s="111">
        <v>0</v>
      </c>
      <c r="AD31" s="111">
        <v>0</v>
      </c>
      <c r="AE31" s="111">
        <v>0.8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</row>
    <row r="32" spans="1:39" customFormat="1" x14ac:dyDescent="0.15">
      <c r="A32" s="186" t="s">
        <v>222</v>
      </c>
      <c r="B32" s="111">
        <v>0.8</v>
      </c>
      <c r="C32" s="111">
        <v>0.8</v>
      </c>
      <c r="D32" s="111">
        <v>0.8</v>
      </c>
      <c r="E32" s="111">
        <v>0.8</v>
      </c>
      <c r="F32" s="111">
        <v>0</v>
      </c>
      <c r="G32" s="111">
        <v>0.8</v>
      </c>
      <c r="H32" s="111">
        <v>0.8</v>
      </c>
      <c r="I32" s="111">
        <v>0.8</v>
      </c>
      <c r="J32" s="111">
        <v>0</v>
      </c>
      <c r="K32" s="111">
        <v>0.8</v>
      </c>
      <c r="L32" s="111">
        <v>0.8</v>
      </c>
      <c r="M32" s="111">
        <v>0</v>
      </c>
      <c r="N32" s="111">
        <v>0</v>
      </c>
      <c r="O32" s="111">
        <v>0.8</v>
      </c>
      <c r="P32" s="111">
        <v>0</v>
      </c>
      <c r="Q32" s="111">
        <v>0.8</v>
      </c>
      <c r="R32" s="111">
        <v>0.8</v>
      </c>
      <c r="S32" s="111">
        <v>0</v>
      </c>
      <c r="T32" s="111">
        <v>0.8</v>
      </c>
      <c r="U32" s="111">
        <v>0</v>
      </c>
      <c r="V32" s="111">
        <v>0.8</v>
      </c>
      <c r="W32" s="111">
        <v>0</v>
      </c>
      <c r="X32" s="111">
        <v>0.8</v>
      </c>
      <c r="Y32" s="111">
        <v>0.8</v>
      </c>
      <c r="Z32" s="111">
        <v>0.8</v>
      </c>
      <c r="AA32" s="111">
        <v>0.8</v>
      </c>
      <c r="AB32" s="111">
        <v>0</v>
      </c>
      <c r="AC32" s="111">
        <v>0</v>
      </c>
      <c r="AD32" s="111">
        <v>0</v>
      </c>
      <c r="AE32" s="111">
        <v>0</v>
      </c>
      <c r="AF32" s="111">
        <v>0.8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</row>
    <row r="33" spans="1:39" x14ac:dyDescent="0.15">
      <c r="A33" s="186" t="s">
        <v>223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</v>
      </c>
      <c r="H33" s="111">
        <v>0.8</v>
      </c>
      <c r="I33" s="111">
        <v>0</v>
      </c>
      <c r="J33" s="111">
        <v>0</v>
      </c>
      <c r="K33" s="111">
        <v>0</v>
      </c>
      <c r="L33" s="111">
        <v>0.8</v>
      </c>
      <c r="M33" s="111">
        <v>0</v>
      </c>
      <c r="N33" s="111">
        <v>0.8</v>
      </c>
      <c r="O33" s="111">
        <v>0</v>
      </c>
      <c r="P33" s="111">
        <v>0</v>
      </c>
      <c r="Q33" s="111">
        <v>0</v>
      </c>
      <c r="R33" s="111">
        <v>0</v>
      </c>
      <c r="S33" s="111">
        <v>0.8</v>
      </c>
      <c r="T33" s="111">
        <v>0</v>
      </c>
      <c r="U33" s="111">
        <v>0.8</v>
      </c>
      <c r="V33" s="111">
        <v>0.8</v>
      </c>
      <c r="W33" s="111">
        <v>0.8</v>
      </c>
      <c r="X33" s="111">
        <v>0.8</v>
      </c>
      <c r="Y33" s="111">
        <v>0</v>
      </c>
      <c r="Z33" s="111">
        <v>0</v>
      </c>
      <c r="AA33" s="111">
        <v>0</v>
      </c>
      <c r="AB33" s="111">
        <v>0</v>
      </c>
      <c r="AC33" s="111">
        <v>0.8</v>
      </c>
      <c r="AD33" s="111">
        <v>0</v>
      </c>
      <c r="AE33" s="111">
        <v>0.8</v>
      </c>
      <c r="AF33" s="111">
        <v>0.8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</row>
    <row r="34" spans="1:39" x14ac:dyDescent="0.15">
      <c r="A34" s="186" t="s">
        <v>224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0.8</v>
      </c>
      <c r="I34" s="111">
        <v>0.8</v>
      </c>
      <c r="J34" s="111">
        <v>0</v>
      </c>
      <c r="K34" s="111">
        <v>0</v>
      </c>
      <c r="L34" s="111">
        <v>0.8</v>
      </c>
      <c r="M34" s="111">
        <v>0</v>
      </c>
      <c r="N34" s="111">
        <v>0.8</v>
      </c>
      <c r="O34" s="111">
        <v>0</v>
      </c>
      <c r="P34" s="111">
        <v>0</v>
      </c>
      <c r="Q34" s="111">
        <v>0</v>
      </c>
      <c r="R34" s="111">
        <v>0</v>
      </c>
      <c r="S34" s="111">
        <v>0.8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0.8</v>
      </c>
      <c r="AC34" s="111">
        <v>0.8</v>
      </c>
      <c r="AD34" s="111">
        <v>0.8</v>
      </c>
      <c r="AE34" s="111">
        <v>0.8</v>
      </c>
      <c r="AF34" s="111">
        <v>0.8</v>
      </c>
      <c r="AG34" s="111">
        <v>0.8</v>
      </c>
      <c r="AH34" s="111">
        <v>0.8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</row>
    <row r="35" spans="1:39" x14ac:dyDescent="0.15">
      <c r="A35" s="186" t="s">
        <v>225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111">
        <v>0.8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0.8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0.8</v>
      </c>
      <c r="AC35" s="111">
        <v>0.8</v>
      </c>
      <c r="AD35" s="111">
        <v>0.8</v>
      </c>
      <c r="AE35" s="111">
        <v>0</v>
      </c>
      <c r="AF35" s="111">
        <v>0</v>
      </c>
      <c r="AG35" s="111">
        <v>0.8</v>
      </c>
      <c r="AH35" s="111">
        <v>0.8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</row>
    <row r="36" spans="1:39" x14ac:dyDescent="0.15">
      <c r="A36" s="186" t="s">
        <v>226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0.8</v>
      </c>
      <c r="O36" s="111">
        <v>0</v>
      </c>
      <c r="P36" s="111">
        <v>0</v>
      </c>
      <c r="Q36" s="111">
        <v>0</v>
      </c>
      <c r="R36" s="111">
        <v>0</v>
      </c>
      <c r="S36" s="111">
        <v>0.8</v>
      </c>
      <c r="T36" s="111">
        <v>0</v>
      </c>
      <c r="U36" s="111">
        <v>0</v>
      </c>
      <c r="V36" s="111">
        <v>0.8</v>
      </c>
      <c r="W36" s="111">
        <v>0</v>
      </c>
      <c r="X36" s="111">
        <v>0.8</v>
      </c>
      <c r="Y36" s="111">
        <v>0</v>
      </c>
      <c r="Z36" s="111">
        <v>0</v>
      </c>
      <c r="AA36" s="111">
        <v>0</v>
      </c>
      <c r="AB36" s="111">
        <v>0</v>
      </c>
      <c r="AC36" s="111">
        <v>0</v>
      </c>
      <c r="AD36" s="111">
        <v>0.8</v>
      </c>
      <c r="AE36" s="111">
        <v>0.8</v>
      </c>
      <c r="AF36" s="111">
        <v>0</v>
      </c>
      <c r="AG36" s="111">
        <v>0</v>
      </c>
      <c r="AH36" s="111">
        <v>0</v>
      </c>
      <c r="AI36" s="111">
        <v>0</v>
      </c>
      <c r="AJ36" s="111">
        <v>0</v>
      </c>
      <c r="AK36" s="111">
        <v>0</v>
      </c>
      <c r="AL36" s="111">
        <v>0</v>
      </c>
      <c r="AM36" s="111">
        <v>0</v>
      </c>
    </row>
    <row r="37" spans="1:39" x14ac:dyDescent="0.15">
      <c r="A37" s="186" t="s">
        <v>227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0.8</v>
      </c>
      <c r="O37" s="111">
        <v>0</v>
      </c>
      <c r="P37" s="111">
        <v>0</v>
      </c>
      <c r="Q37" s="111">
        <v>0</v>
      </c>
      <c r="R37" s="111">
        <v>0</v>
      </c>
      <c r="S37" s="111">
        <v>0.8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0.8</v>
      </c>
      <c r="AC37" s="111">
        <v>0.8</v>
      </c>
      <c r="AD37" s="111">
        <v>0.8</v>
      </c>
      <c r="AE37" s="111">
        <v>0.8</v>
      </c>
      <c r="AF37" s="111">
        <v>0</v>
      </c>
      <c r="AG37" s="111">
        <v>0</v>
      </c>
      <c r="AH37" s="111">
        <v>0.8</v>
      </c>
      <c r="AI37" s="111">
        <v>0</v>
      </c>
      <c r="AJ37" s="111">
        <v>0</v>
      </c>
      <c r="AK37" s="111">
        <v>0</v>
      </c>
      <c r="AL37" s="111">
        <v>0</v>
      </c>
      <c r="AM37" s="111">
        <v>0</v>
      </c>
    </row>
    <row r="38" spans="1:39" x14ac:dyDescent="0.15">
      <c r="A38" s="186" t="s">
        <v>228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0.8</v>
      </c>
      <c r="O38" s="111">
        <v>0</v>
      </c>
      <c r="P38" s="111">
        <v>0</v>
      </c>
      <c r="Q38" s="111">
        <v>0</v>
      </c>
      <c r="R38" s="111">
        <v>0</v>
      </c>
      <c r="S38" s="111">
        <v>0.8</v>
      </c>
      <c r="T38" s="111">
        <v>0</v>
      </c>
      <c r="U38" s="111">
        <v>0.8</v>
      </c>
      <c r="V38" s="111">
        <v>0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0.8</v>
      </c>
      <c r="AC38" s="111">
        <v>0.8</v>
      </c>
      <c r="AD38" s="111">
        <v>0.8</v>
      </c>
      <c r="AE38" s="111">
        <v>0.8</v>
      </c>
      <c r="AF38" s="111">
        <v>0</v>
      </c>
      <c r="AG38" s="111">
        <v>0.8</v>
      </c>
      <c r="AH38" s="111">
        <v>0.8</v>
      </c>
      <c r="AI38" s="111">
        <v>0</v>
      </c>
      <c r="AJ38" s="111">
        <v>0</v>
      </c>
      <c r="AK38" s="111">
        <v>0</v>
      </c>
      <c r="AL38" s="111">
        <v>0</v>
      </c>
      <c r="AM38" s="111">
        <v>0</v>
      </c>
    </row>
    <row r="39" spans="1:39" x14ac:dyDescent="0.15">
      <c r="A39" s="186" t="s">
        <v>229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0</v>
      </c>
      <c r="AM39" s="111">
        <v>0</v>
      </c>
    </row>
    <row r="40" spans="1:39" x14ac:dyDescent="0.15">
      <c r="A40" s="186" t="s">
        <v>235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39" width="2.33203125" style="111" customWidth="1"/>
    <col min="40" max="16384" width="10.83203125" style="111"/>
  </cols>
  <sheetData>
    <row r="1" spans="1:39" x14ac:dyDescent="0.15">
      <c r="A1" s="62" t="s">
        <v>139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</row>
    <row r="2" spans="1:39" customFormat="1" x14ac:dyDescent="0.15">
      <c r="A2" s="188" t="s">
        <v>192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</row>
    <row r="3" spans="1:39" customFormat="1" x14ac:dyDescent="0.15">
      <c r="A3" s="188" t="s">
        <v>193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</row>
    <row r="4" spans="1:39" customFormat="1" x14ac:dyDescent="0.15">
      <c r="A4" s="188" t="s">
        <v>194</v>
      </c>
      <c r="B4" s="111">
        <v>1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</row>
    <row r="5" spans="1:39" customFormat="1" x14ac:dyDescent="0.15">
      <c r="A5" s="188" t="s">
        <v>195</v>
      </c>
      <c r="B5" s="111">
        <v>1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1</v>
      </c>
      <c r="K5" s="111">
        <v>1</v>
      </c>
      <c r="L5" s="111">
        <v>0</v>
      </c>
      <c r="M5" s="111">
        <v>1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1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</row>
    <row r="6" spans="1:39" customFormat="1" x14ac:dyDescent="0.15">
      <c r="A6" s="188" t="s">
        <v>196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</v>
      </c>
      <c r="H6" s="111">
        <v>0</v>
      </c>
      <c r="I6" s="111">
        <v>0</v>
      </c>
      <c r="J6" s="111">
        <v>1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1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</row>
    <row r="7" spans="1:39" customFormat="1" x14ac:dyDescent="0.15">
      <c r="A7" s="188" t="s">
        <v>197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</v>
      </c>
      <c r="I7" s="111">
        <v>0</v>
      </c>
      <c r="J7" s="111">
        <v>1</v>
      </c>
      <c r="K7" s="111">
        <v>0</v>
      </c>
      <c r="L7" s="111">
        <v>0</v>
      </c>
      <c r="M7" s="111">
        <v>0</v>
      </c>
      <c r="N7" s="111">
        <v>0</v>
      </c>
      <c r="O7" s="111">
        <v>1</v>
      </c>
      <c r="P7" s="111">
        <v>1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1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</row>
    <row r="8" spans="1:39" customFormat="1" x14ac:dyDescent="0.15">
      <c r="A8" s="188" t="s">
        <v>198</v>
      </c>
      <c r="B8" s="111">
        <v>0</v>
      </c>
      <c r="C8" s="111">
        <v>0</v>
      </c>
      <c r="D8" s="111">
        <v>0</v>
      </c>
      <c r="E8" s="111">
        <v>1</v>
      </c>
      <c r="F8" s="111">
        <v>0</v>
      </c>
      <c r="G8" s="111">
        <v>1</v>
      </c>
      <c r="H8" s="111">
        <v>1</v>
      </c>
      <c r="I8" s="111">
        <v>1</v>
      </c>
      <c r="J8" s="111">
        <v>1</v>
      </c>
      <c r="K8" s="111">
        <v>1</v>
      </c>
      <c r="L8" s="111">
        <v>1</v>
      </c>
      <c r="M8" s="111">
        <v>1</v>
      </c>
      <c r="N8" s="111">
        <v>0</v>
      </c>
      <c r="O8" s="111">
        <v>1</v>
      </c>
      <c r="P8" s="111">
        <v>1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1</v>
      </c>
      <c r="Y8" s="111">
        <v>0</v>
      </c>
      <c r="Z8" s="111">
        <v>1</v>
      </c>
      <c r="AA8" s="111">
        <v>1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</row>
    <row r="9" spans="1:39" customFormat="1" x14ac:dyDescent="0.15">
      <c r="A9" s="188" t="s">
        <v>199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1</v>
      </c>
      <c r="H9" s="111">
        <v>1</v>
      </c>
      <c r="I9" s="111">
        <v>1</v>
      </c>
      <c r="J9" s="111">
        <v>1</v>
      </c>
      <c r="K9" s="111">
        <v>0</v>
      </c>
      <c r="L9" s="111">
        <v>1</v>
      </c>
      <c r="M9" s="111">
        <v>0</v>
      </c>
      <c r="N9" s="111">
        <v>0</v>
      </c>
      <c r="O9" s="111">
        <v>1</v>
      </c>
      <c r="P9" s="111">
        <v>1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1</v>
      </c>
      <c r="X9" s="111">
        <v>0</v>
      </c>
      <c r="Y9" s="111">
        <v>1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</row>
    <row r="10" spans="1:39" customFormat="1" x14ac:dyDescent="0.15">
      <c r="A10" s="188" t="s">
        <v>200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1</v>
      </c>
      <c r="H10" s="111">
        <v>0</v>
      </c>
      <c r="I10" s="111">
        <v>0</v>
      </c>
      <c r="J10" s="111">
        <v>1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1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</row>
    <row r="11" spans="1:39" customFormat="1" x14ac:dyDescent="0.15">
      <c r="A11" s="188" t="s">
        <v>201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1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1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</row>
    <row r="12" spans="1:39" customFormat="1" x14ac:dyDescent="0.15">
      <c r="A12" s="188" t="s">
        <v>202</v>
      </c>
      <c r="B12" s="111">
        <v>0</v>
      </c>
      <c r="C12" s="111">
        <v>0</v>
      </c>
      <c r="D12" s="111">
        <v>1</v>
      </c>
      <c r="E12" s="111">
        <v>1</v>
      </c>
      <c r="F12" s="111">
        <v>0</v>
      </c>
      <c r="G12" s="111">
        <v>1</v>
      </c>
      <c r="H12" s="111">
        <v>0</v>
      </c>
      <c r="I12" s="111">
        <v>1</v>
      </c>
      <c r="J12" s="111">
        <v>1</v>
      </c>
      <c r="K12" s="111">
        <v>0</v>
      </c>
      <c r="L12" s="111">
        <v>0</v>
      </c>
      <c r="M12" s="111">
        <v>1</v>
      </c>
      <c r="N12" s="111">
        <v>0</v>
      </c>
      <c r="O12" s="111">
        <v>1</v>
      </c>
      <c r="P12" s="111">
        <v>1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1</v>
      </c>
      <c r="W12" s="111">
        <v>0</v>
      </c>
      <c r="X12" s="111">
        <v>1</v>
      </c>
      <c r="Y12" s="111">
        <v>1</v>
      </c>
      <c r="Z12" s="111">
        <v>1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</row>
    <row r="13" spans="1:39" customFormat="1" x14ac:dyDescent="0.15">
      <c r="A13" s="188" t="s">
        <v>203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0</v>
      </c>
      <c r="M13" s="111">
        <v>0</v>
      </c>
      <c r="N13" s="111">
        <v>0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</row>
    <row r="14" spans="1:39" customFormat="1" x14ac:dyDescent="0.15">
      <c r="A14" s="188" t="s">
        <v>204</v>
      </c>
      <c r="B14" s="111">
        <v>1</v>
      </c>
      <c r="C14" s="111">
        <v>1</v>
      </c>
      <c r="D14" s="111">
        <v>1</v>
      </c>
      <c r="E14" s="111">
        <v>1</v>
      </c>
      <c r="F14" s="111">
        <v>0</v>
      </c>
      <c r="G14" s="111">
        <v>1</v>
      </c>
      <c r="H14" s="111">
        <v>1</v>
      </c>
      <c r="I14" s="111">
        <v>1</v>
      </c>
      <c r="J14" s="111">
        <v>0</v>
      </c>
      <c r="K14" s="111">
        <v>1</v>
      </c>
      <c r="L14" s="111">
        <v>1</v>
      </c>
      <c r="M14" s="111">
        <v>1</v>
      </c>
      <c r="N14" s="111">
        <v>1</v>
      </c>
      <c r="O14" s="111">
        <v>1</v>
      </c>
      <c r="P14" s="111">
        <v>1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1</v>
      </c>
      <c r="W14" s="111">
        <v>0</v>
      </c>
      <c r="X14" s="111">
        <v>0</v>
      </c>
      <c r="Y14" s="111">
        <v>1</v>
      </c>
      <c r="Z14" s="111">
        <v>1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1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</row>
    <row r="15" spans="1:39" customFormat="1" x14ac:dyDescent="0.15">
      <c r="A15" s="188" t="s">
        <v>205</v>
      </c>
      <c r="B15" s="111">
        <v>0</v>
      </c>
      <c r="C15" s="111">
        <v>0</v>
      </c>
      <c r="D15" s="111">
        <v>1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1</v>
      </c>
      <c r="K15" s="111">
        <v>1</v>
      </c>
      <c r="L15" s="111">
        <v>0</v>
      </c>
      <c r="M15" s="111">
        <v>0</v>
      </c>
      <c r="N15" s="111">
        <v>0</v>
      </c>
      <c r="O15" s="111">
        <v>1</v>
      </c>
      <c r="P15" s="111">
        <v>1</v>
      </c>
      <c r="Q15" s="111">
        <v>0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</v>
      </c>
      <c r="Y15" s="111">
        <v>0</v>
      </c>
      <c r="Z15" s="111">
        <v>1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</row>
    <row r="16" spans="1:39" customFormat="1" x14ac:dyDescent="0.15">
      <c r="A16" s="188" t="s">
        <v>206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1</v>
      </c>
      <c r="H16" s="111">
        <v>0</v>
      </c>
      <c r="I16" s="111">
        <v>0</v>
      </c>
      <c r="J16" s="111">
        <v>1</v>
      </c>
      <c r="K16" s="111">
        <v>0</v>
      </c>
      <c r="L16" s="111">
        <v>0</v>
      </c>
      <c r="M16" s="111">
        <v>0</v>
      </c>
      <c r="N16" s="111">
        <v>0</v>
      </c>
      <c r="O16" s="111">
        <v>1</v>
      </c>
      <c r="P16" s="111">
        <v>1</v>
      </c>
      <c r="Q16" s="111">
        <v>0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1</v>
      </c>
      <c r="Z16" s="111">
        <v>1</v>
      </c>
      <c r="AA16" s="111">
        <v>1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</row>
    <row r="17" spans="1:39" customFormat="1" x14ac:dyDescent="0.15">
      <c r="A17" s="188" t="s">
        <v>207</v>
      </c>
      <c r="B17" s="111">
        <v>0</v>
      </c>
      <c r="C17" s="111">
        <v>0</v>
      </c>
      <c r="D17" s="111">
        <v>0</v>
      </c>
      <c r="E17" s="111">
        <v>1</v>
      </c>
      <c r="F17" s="111">
        <v>0</v>
      </c>
      <c r="G17" s="111">
        <v>1</v>
      </c>
      <c r="H17" s="111">
        <v>1</v>
      </c>
      <c r="I17" s="111">
        <v>1</v>
      </c>
      <c r="J17" s="111">
        <v>1</v>
      </c>
      <c r="K17" s="111">
        <v>1</v>
      </c>
      <c r="L17" s="111">
        <v>1</v>
      </c>
      <c r="M17" s="111">
        <v>1</v>
      </c>
      <c r="N17" s="111">
        <v>0</v>
      </c>
      <c r="O17" s="111">
        <v>1</v>
      </c>
      <c r="P17" s="111">
        <v>1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1</v>
      </c>
      <c r="Y17" s="111">
        <v>0</v>
      </c>
      <c r="Z17" s="111">
        <v>1</v>
      </c>
      <c r="AA17" s="111">
        <v>1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</row>
    <row r="18" spans="1:39" customFormat="1" x14ac:dyDescent="0.15">
      <c r="A18" s="188" t="s">
        <v>208</v>
      </c>
      <c r="B18" s="111">
        <v>0</v>
      </c>
      <c r="C18" s="111">
        <v>0</v>
      </c>
      <c r="D18" s="111">
        <v>0</v>
      </c>
      <c r="E18" s="111">
        <v>0</v>
      </c>
      <c r="F18" s="111">
        <v>0</v>
      </c>
      <c r="G18" s="111">
        <v>1</v>
      </c>
      <c r="H18" s="111">
        <v>1</v>
      </c>
      <c r="I18" s="111">
        <v>1</v>
      </c>
      <c r="J18" s="111">
        <v>1</v>
      </c>
      <c r="K18" s="111">
        <v>0</v>
      </c>
      <c r="L18" s="111">
        <v>1</v>
      </c>
      <c r="M18" s="111">
        <v>0</v>
      </c>
      <c r="N18" s="111">
        <v>0</v>
      </c>
      <c r="O18" s="111">
        <v>1</v>
      </c>
      <c r="P18" s="111">
        <v>1</v>
      </c>
      <c r="Q18" s="111">
        <v>0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1</v>
      </c>
      <c r="X18" s="111">
        <v>0</v>
      </c>
      <c r="Y18" s="111">
        <v>1</v>
      </c>
      <c r="Z18" s="111">
        <v>0</v>
      </c>
      <c r="AA18" s="111">
        <v>1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</row>
    <row r="19" spans="1:39" customFormat="1" x14ac:dyDescent="0.15">
      <c r="A19" s="188" t="s">
        <v>209</v>
      </c>
      <c r="B19" s="111">
        <v>1</v>
      </c>
      <c r="C19" s="111">
        <v>0</v>
      </c>
      <c r="D19" s="111">
        <v>1</v>
      </c>
      <c r="E19" s="111">
        <v>0</v>
      </c>
      <c r="F19" s="111">
        <v>0</v>
      </c>
      <c r="G19" s="111">
        <v>1</v>
      </c>
      <c r="H19" s="111">
        <v>0</v>
      </c>
      <c r="I19" s="111">
        <v>0</v>
      </c>
      <c r="J19" s="111">
        <v>1</v>
      </c>
      <c r="K19" s="111">
        <v>0</v>
      </c>
      <c r="L19" s="111">
        <v>0</v>
      </c>
      <c r="M19" s="111">
        <v>1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1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</row>
    <row r="20" spans="1:39" customFormat="1" x14ac:dyDescent="0.15">
      <c r="A20" s="188" t="s">
        <v>210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0</v>
      </c>
      <c r="H20" s="111">
        <v>0</v>
      </c>
      <c r="I20" s="111">
        <v>0</v>
      </c>
      <c r="J20" s="111">
        <v>1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</v>
      </c>
      <c r="Y20" s="111">
        <v>0</v>
      </c>
      <c r="Z20" s="111">
        <v>1</v>
      </c>
      <c r="AA20" s="111">
        <v>1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</row>
    <row r="21" spans="1:39" customFormat="1" x14ac:dyDescent="0.15">
      <c r="A21" s="188" t="s">
        <v>211</v>
      </c>
      <c r="B21" s="111">
        <v>0</v>
      </c>
      <c r="C21" s="111">
        <v>1</v>
      </c>
      <c r="D21" s="111">
        <v>0</v>
      </c>
      <c r="E21" s="111">
        <v>1</v>
      </c>
      <c r="F21" s="111">
        <v>1</v>
      </c>
      <c r="G21" s="111">
        <v>1</v>
      </c>
      <c r="H21" s="111">
        <v>1</v>
      </c>
      <c r="I21" s="111">
        <v>1</v>
      </c>
      <c r="J21" s="111">
        <v>1</v>
      </c>
      <c r="K21" s="111">
        <v>0</v>
      </c>
      <c r="L21" s="111">
        <v>1</v>
      </c>
      <c r="M21" s="111">
        <v>1</v>
      </c>
      <c r="N21" s="111">
        <v>0</v>
      </c>
      <c r="O21" s="111">
        <v>1</v>
      </c>
      <c r="P21" s="111">
        <v>1</v>
      </c>
      <c r="Q21" s="111">
        <v>0</v>
      </c>
      <c r="R21" s="111">
        <v>0</v>
      </c>
      <c r="S21" s="111">
        <v>0</v>
      </c>
      <c r="T21" s="111">
        <v>1</v>
      </c>
      <c r="U21" s="111">
        <v>0</v>
      </c>
      <c r="V21" s="111">
        <v>0</v>
      </c>
      <c r="W21" s="111">
        <v>1</v>
      </c>
      <c r="X21" s="111">
        <v>0</v>
      </c>
      <c r="Y21" s="111">
        <v>1</v>
      </c>
      <c r="Z21" s="111">
        <v>1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</row>
    <row r="22" spans="1:39" customFormat="1" x14ac:dyDescent="0.15">
      <c r="A22" s="188" t="s">
        <v>212</v>
      </c>
      <c r="B22" s="111">
        <v>1</v>
      </c>
      <c r="C22" s="111">
        <v>1</v>
      </c>
      <c r="D22" s="111">
        <v>1</v>
      </c>
      <c r="E22" s="111">
        <v>1</v>
      </c>
      <c r="F22" s="111">
        <v>1</v>
      </c>
      <c r="G22" s="111">
        <v>1</v>
      </c>
      <c r="H22" s="111">
        <v>1</v>
      </c>
      <c r="I22" s="111">
        <v>0</v>
      </c>
      <c r="J22" s="111">
        <v>1</v>
      </c>
      <c r="K22" s="111">
        <v>1</v>
      </c>
      <c r="L22" s="111">
        <v>1</v>
      </c>
      <c r="M22" s="111">
        <v>0</v>
      </c>
      <c r="N22" s="111">
        <v>1</v>
      </c>
      <c r="O22" s="111">
        <v>1</v>
      </c>
      <c r="P22" s="111">
        <v>1</v>
      </c>
      <c r="Q22" s="111">
        <v>1</v>
      </c>
      <c r="R22" s="111">
        <v>0</v>
      </c>
      <c r="S22" s="111">
        <v>1</v>
      </c>
      <c r="T22" s="111">
        <v>1</v>
      </c>
      <c r="U22" s="111">
        <v>0</v>
      </c>
      <c r="V22" s="111">
        <v>1</v>
      </c>
      <c r="W22" s="111">
        <v>0</v>
      </c>
      <c r="X22" s="111">
        <v>1</v>
      </c>
      <c r="Y22" s="111">
        <v>1</v>
      </c>
      <c r="Z22" s="111">
        <v>1</v>
      </c>
      <c r="AA22" s="111">
        <v>1</v>
      </c>
      <c r="AB22" s="111">
        <v>1</v>
      </c>
      <c r="AC22" s="111">
        <v>0</v>
      </c>
      <c r="AD22" s="111">
        <v>0</v>
      </c>
      <c r="AE22" s="111">
        <v>1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</row>
    <row r="23" spans="1:39" customFormat="1" x14ac:dyDescent="0.15">
      <c r="A23" s="188" t="s">
        <v>213</v>
      </c>
      <c r="B23" s="111">
        <v>0</v>
      </c>
      <c r="C23" s="111">
        <v>0</v>
      </c>
      <c r="D23" s="111">
        <v>0</v>
      </c>
      <c r="E23" s="111">
        <v>1</v>
      </c>
      <c r="F23" s="111">
        <v>0</v>
      </c>
      <c r="G23" s="111">
        <v>1</v>
      </c>
      <c r="H23" s="111">
        <v>1</v>
      </c>
      <c r="I23" s="111">
        <v>1</v>
      </c>
      <c r="J23" s="111">
        <v>1</v>
      </c>
      <c r="K23" s="111">
        <v>0</v>
      </c>
      <c r="L23" s="111">
        <v>1</v>
      </c>
      <c r="M23" s="111">
        <v>0</v>
      </c>
      <c r="N23" s="111">
        <v>0</v>
      </c>
      <c r="O23" s="111">
        <v>1</v>
      </c>
      <c r="P23" s="111">
        <v>1</v>
      </c>
      <c r="Q23" s="111">
        <v>0</v>
      </c>
      <c r="R23" s="111">
        <v>1</v>
      </c>
      <c r="S23" s="111">
        <v>0</v>
      </c>
      <c r="T23" s="111">
        <v>0</v>
      </c>
      <c r="U23" s="111">
        <v>1</v>
      </c>
      <c r="V23" s="111">
        <v>0</v>
      </c>
      <c r="W23" s="111">
        <v>1</v>
      </c>
      <c r="X23" s="111">
        <v>1</v>
      </c>
      <c r="Y23" s="111">
        <v>1</v>
      </c>
      <c r="Z23" s="111">
        <v>0</v>
      </c>
      <c r="AA23" s="111">
        <v>1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</row>
    <row r="24" spans="1:39" customFormat="1" x14ac:dyDescent="0.15">
      <c r="A24" s="188" t="s">
        <v>214</v>
      </c>
      <c r="B24" s="111">
        <v>0</v>
      </c>
      <c r="C24" s="111">
        <v>0</v>
      </c>
      <c r="D24" s="111">
        <v>1</v>
      </c>
      <c r="E24" s="111">
        <v>0</v>
      </c>
      <c r="F24" s="111">
        <v>0</v>
      </c>
      <c r="G24" s="111">
        <v>1</v>
      </c>
      <c r="H24" s="111">
        <v>0</v>
      </c>
      <c r="I24" s="111">
        <v>0</v>
      </c>
      <c r="J24" s="111">
        <v>1</v>
      </c>
      <c r="K24" s="111">
        <v>1</v>
      </c>
      <c r="L24" s="111">
        <v>1</v>
      </c>
      <c r="M24" s="111">
        <v>0</v>
      </c>
      <c r="N24" s="111">
        <v>0</v>
      </c>
      <c r="O24" s="111">
        <v>1</v>
      </c>
      <c r="P24" s="111">
        <v>0</v>
      </c>
      <c r="Q24" s="111">
        <v>0</v>
      </c>
      <c r="R24" s="111">
        <v>0</v>
      </c>
      <c r="S24" s="111">
        <v>0</v>
      </c>
      <c r="T24" s="111">
        <v>1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1</v>
      </c>
      <c r="AA24" s="111">
        <v>1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</row>
    <row r="25" spans="1:39" customFormat="1" x14ac:dyDescent="0.15">
      <c r="A25" s="188" t="s">
        <v>215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1</v>
      </c>
      <c r="H25" s="111">
        <v>0</v>
      </c>
      <c r="I25" s="111">
        <v>0</v>
      </c>
      <c r="J25" s="111">
        <v>1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1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1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</row>
    <row r="26" spans="1:39" customFormat="1" x14ac:dyDescent="0.15">
      <c r="A26" s="188" t="s">
        <v>216</v>
      </c>
      <c r="B26" s="111">
        <v>1</v>
      </c>
      <c r="C26" s="111">
        <v>0</v>
      </c>
      <c r="D26" s="111">
        <v>0</v>
      </c>
      <c r="E26" s="111">
        <v>0</v>
      </c>
      <c r="F26" s="111">
        <v>0</v>
      </c>
      <c r="G26" s="111">
        <v>1</v>
      </c>
      <c r="H26" s="111">
        <v>0</v>
      </c>
      <c r="I26" s="111">
        <v>0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0</v>
      </c>
      <c r="Z26" s="111">
        <v>1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</row>
    <row r="27" spans="1:39" customFormat="1" x14ac:dyDescent="0.15">
      <c r="A27" s="188" t="s">
        <v>217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</row>
    <row r="28" spans="1:39" customFormat="1" x14ac:dyDescent="0.15">
      <c r="A28" s="188" t="s">
        <v>218</v>
      </c>
      <c r="B28" s="111">
        <v>0</v>
      </c>
      <c r="C28" s="111">
        <v>1</v>
      </c>
      <c r="D28" s="111">
        <v>0</v>
      </c>
      <c r="E28" s="111">
        <v>0</v>
      </c>
      <c r="F28" s="111">
        <v>0</v>
      </c>
      <c r="G28" s="111">
        <v>0</v>
      </c>
      <c r="H28" s="111">
        <v>1</v>
      </c>
      <c r="I28" s="111">
        <v>1</v>
      </c>
      <c r="J28" s="111">
        <v>0</v>
      </c>
      <c r="K28" s="111">
        <v>0</v>
      </c>
      <c r="L28" s="111">
        <v>1</v>
      </c>
      <c r="M28" s="111">
        <v>0</v>
      </c>
      <c r="N28" s="111">
        <v>1</v>
      </c>
      <c r="O28" s="111">
        <v>0</v>
      </c>
      <c r="P28" s="111">
        <v>0</v>
      </c>
      <c r="Q28" s="111">
        <v>0</v>
      </c>
      <c r="R28" s="111">
        <v>0</v>
      </c>
      <c r="S28" s="111">
        <v>1</v>
      </c>
      <c r="T28" s="111">
        <v>1</v>
      </c>
      <c r="U28" s="111">
        <v>0</v>
      </c>
      <c r="V28" s="111">
        <v>1</v>
      </c>
      <c r="W28" s="111">
        <v>0</v>
      </c>
      <c r="X28" s="111">
        <v>0</v>
      </c>
      <c r="Y28" s="111">
        <v>1</v>
      </c>
      <c r="Z28" s="111">
        <v>1</v>
      </c>
      <c r="AA28" s="111">
        <v>0</v>
      </c>
      <c r="AB28" s="111">
        <v>1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</row>
    <row r="29" spans="1:39" customFormat="1" x14ac:dyDescent="0.15">
      <c r="A29" s="188" t="s">
        <v>219</v>
      </c>
      <c r="B29" s="111">
        <v>1</v>
      </c>
      <c r="C29" s="111">
        <v>1</v>
      </c>
      <c r="D29" s="111">
        <v>0</v>
      </c>
      <c r="E29" s="111">
        <v>1</v>
      </c>
      <c r="F29" s="111">
        <v>1</v>
      </c>
      <c r="G29" s="111">
        <v>1</v>
      </c>
      <c r="H29" s="111">
        <v>1</v>
      </c>
      <c r="I29" s="111">
        <v>1</v>
      </c>
      <c r="J29" s="111">
        <v>1</v>
      </c>
      <c r="K29" s="111">
        <v>1</v>
      </c>
      <c r="L29" s="111">
        <v>1</v>
      </c>
      <c r="M29" s="111">
        <v>1</v>
      </c>
      <c r="N29" s="111">
        <v>1</v>
      </c>
      <c r="O29" s="111">
        <v>0</v>
      </c>
      <c r="P29" s="111">
        <v>0</v>
      </c>
      <c r="Q29" s="111">
        <v>0</v>
      </c>
      <c r="R29" s="111">
        <v>1</v>
      </c>
      <c r="S29" s="111">
        <v>1</v>
      </c>
      <c r="T29" s="111">
        <v>1</v>
      </c>
      <c r="U29" s="111">
        <v>0</v>
      </c>
      <c r="V29" s="111">
        <v>1</v>
      </c>
      <c r="W29" s="111">
        <v>1</v>
      </c>
      <c r="X29" s="111">
        <v>1</v>
      </c>
      <c r="Y29" s="111">
        <v>1</v>
      </c>
      <c r="Z29" s="111">
        <v>1</v>
      </c>
      <c r="AA29" s="111">
        <v>1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</row>
    <row r="30" spans="1:39" customFormat="1" x14ac:dyDescent="0.15">
      <c r="A30" s="188" t="s">
        <v>220</v>
      </c>
      <c r="B30" s="111">
        <v>1</v>
      </c>
      <c r="C30" s="111">
        <v>1</v>
      </c>
      <c r="D30" s="111">
        <v>0</v>
      </c>
      <c r="E30" s="111">
        <v>1</v>
      </c>
      <c r="F30" s="111">
        <v>1</v>
      </c>
      <c r="G30" s="111">
        <v>1</v>
      </c>
      <c r="H30" s="111">
        <v>1</v>
      </c>
      <c r="I30" s="111">
        <v>1</v>
      </c>
      <c r="J30" s="111">
        <v>1</v>
      </c>
      <c r="K30" s="111">
        <v>1</v>
      </c>
      <c r="L30" s="111">
        <v>1</v>
      </c>
      <c r="M30" s="111">
        <v>1</v>
      </c>
      <c r="N30" s="111">
        <v>1</v>
      </c>
      <c r="O30" s="111">
        <v>1</v>
      </c>
      <c r="P30" s="111">
        <v>1</v>
      </c>
      <c r="Q30" s="111">
        <v>1</v>
      </c>
      <c r="R30" s="111">
        <v>1</v>
      </c>
      <c r="S30" s="111">
        <v>1</v>
      </c>
      <c r="T30" s="111">
        <v>1</v>
      </c>
      <c r="U30" s="111">
        <v>1</v>
      </c>
      <c r="V30" s="111">
        <v>1</v>
      </c>
      <c r="W30" s="111">
        <v>1</v>
      </c>
      <c r="X30" s="111">
        <v>1</v>
      </c>
      <c r="Y30" s="111">
        <v>1</v>
      </c>
      <c r="Z30" s="111">
        <v>1</v>
      </c>
      <c r="AA30" s="111">
        <v>0</v>
      </c>
      <c r="AB30" s="111">
        <v>1</v>
      </c>
      <c r="AC30" s="111">
        <v>1</v>
      </c>
      <c r="AD30" s="111">
        <v>1</v>
      </c>
      <c r="AE30" s="111">
        <v>1</v>
      </c>
      <c r="AF30" s="111">
        <v>1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</row>
    <row r="31" spans="1:39" customFormat="1" x14ac:dyDescent="0.15">
      <c r="A31" s="188" t="s">
        <v>221</v>
      </c>
      <c r="B31" s="111">
        <v>1</v>
      </c>
      <c r="C31" s="111">
        <v>1</v>
      </c>
      <c r="D31" s="111">
        <v>1</v>
      </c>
      <c r="E31" s="111">
        <v>1</v>
      </c>
      <c r="F31" s="111">
        <v>1</v>
      </c>
      <c r="G31" s="111">
        <v>1</v>
      </c>
      <c r="H31" s="111">
        <v>1</v>
      </c>
      <c r="I31" s="111">
        <v>1</v>
      </c>
      <c r="J31" s="111">
        <v>1</v>
      </c>
      <c r="K31" s="111">
        <v>0</v>
      </c>
      <c r="L31" s="111">
        <v>1</v>
      </c>
      <c r="M31" s="111">
        <v>1</v>
      </c>
      <c r="N31" s="111">
        <v>0</v>
      </c>
      <c r="O31" s="111">
        <v>1</v>
      </c>
      <c r="P31" s="111">
        <v>0</v>
      </c>
      <c r="Q31" s="111">
        <v>1</v>
      </c>
      <c r="R31" s="111">
        <v>1</v>
      </c>
      <c r="S31" s="111">
        <v>0</v>
      </c>
      <c r="T31" s="111">
        <v>1</v>
      </c>
      <c r="U31" s="111">
        <v>0</v>
      </c>
      <c r="V31" s="111">
        <v>1</v>
      </c>
      <c r="W31" s="111">
        <v>0</v>
      </c>
      <c r="X31" s="111">
        <v>1</v>
      </c>
      <c r="Y31" s="111">
        <v>1</v>
      </c>
      <c r="Z31" s="111">
        <v>1</v>
      </c>
      <c r="AA31" s="111">
        <v>1</v>
      </c>
      <c r="AB31" s="111">
        <v>0</v>
      </c>
      <c r="AC31" s="111">
        <v>0</v>
      </c>
      <c r="AD31" s="111">
        <v>0</v>
      </c>
      <c r="AE31" s="111">
        <v>1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</row>
    <row r="32" spans="1:39" x14ac:dyDescent="0.15">
      <c r="A32" s="188" t="s">
        <v>222</v>
      </c>
      <c r="B32" s="111">
        <v>1</v>
      </c>
      <c r="C32" s="111">
        <v>1</v>
      </c>
      <c r="D32" s="111">
        <v>1</v>
      </c>
      <c r="E32" s="111">
        <v>1</v>
      </c>
      <c r="F32" s="111">
        <v>0</v>
      </c>
      <c r="G32" s="111">
        <v>1</v>
      </c>
      <c r="H32" s="111">
        <v>1</v>
      </c>
      <c r="I32" s="111">
        <v>1</v>
      </c>
      <c r="J32" s="111">
        <v>0</v>
      </c>
      <c r="K32" s="111">
        <v>1</v>
      </c>
      <c r="L32" s="111">
        <v>1</v>
      </c>
      <c r="M32" s="111">
        <v>0</v>
      </c>
      <c r="N32" s="111">
        <v>0</v>
      </c>
      <c r="O32" s="111">
        <v>1</v>
      </c>
      <c r="P32" s="111">
        <v>0</v>
      </c>
      <c r="Q32" s="111">
        <v>1</v>
      </c>
      <c r="R32" s="111">
        <v>1</v>
      </c>
      <c r="S32" s="111">
        <v>0</v>
      </c>
      <c r="T32" s="111">
        <v>1</v>
      </c>
      <c r="U32" s="111">
        <v>0</v>
      </c>
      <c r="V32" s="111">
        <v>1</v>
      </c>
      <c r="W32" s="111">
        <v>0</v>
      </c>
      <c r="X32" s="111">
        <v>1</v>
      </c>
      <c r="Y32" s="111">
        <v>1</v>
      </c>
      <c r="Z32" s="111">
        <v>1</v>
      </c>
      <c r="AA32" s="111">
        <v>1</v>
      </c>
      <c r="AB32" s="111">
        <v>0</v>
      </c>
      <c r="AC32" s="111">
        <v>0</v>
      </c>
      <c r="AD32" s="111">
        <v>0</v>
      </c>
      <c r="AE32" s="111">
        <v>0</v>
      </c>
      <c r="AF32" s="111">
        <v>1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</row>
    <row r="33" spans="1:39" x14ac:dyDescent="0.15">
      <c r="A33" s="188" t="s">
        <v>223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</v>
      </c>
      <c r="H33" s="111">
        <v>1</v>
      </c>
      <c r="I33" s="111">
        <v>0</v>
      </c>
      <c r="J33" s="111">
        <v>0</v>
      </c>
      <c r="K33" s="111">
        <v>0</v>
      </c>
      <c r="L33" s="111">
        <v>1</v>
      </c>
      <c r="M33" s="111">
        <v>0</v>
      </c>
      <c r="N33" s="111">
        <v>1</v>
      </c>
      <c r="O33" s="111">
        <v>0</v>
      </c>
      <c r="P33" s="111">
        <v>0</v>
      </c>
      <c r="Q33" s="111">
        <v>0</v>
      </c>
      <c r="R33" s="111">
        <v>0</v>
      </c>
      <c r="S33" s="111">
        <v>1</v>
      </c>
      <c r="T33" s="111">
        <v>0</v>
      </c>
      <c r="U33" s="111">
        <v>1</v>
      </c>
      <c r="V33" s="111">
        <v>1</v>
      </c>
      <c r="W33" s="111">
        <v>1</v>
      </c>
      <c r="X33" s="111">
        <v>1</v>
      </c>
      <c r="Y33" s="111">
        <v>0</v>
      </c>
      <c r="Z33" s="111">
        <v>0</v>
      </c>
      <c r="AA33" s="111">
        <v>0</v>
      </c>
      <c r="AB33" s="111">
        <v>0</v>
      </c>
      <c r="AC33" s="111">
        <v>1</v>
      </c>
      <c r="AD33" s="111">
        <v>0</v>
      </c>
      <c r="AE33" s="111">
        <v>1</v>
      </c>
      <c r="AF33" s="111">
        <v>1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</row>
    <row r="34" spans="1:39" x14ac:dyDescent="0.15">
      <c r="A34" s="188" t="s">
        <v>224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1</v>
      </c>
      <c r="I34" s="111">
        <v>1</v>
      </c>
      <c r="J34" s="111">
        <v>0</v>
      </c>
      <c r="K34" s="111">
        <v>0</v>
      </c>
      <c r="L34" s="111">
        <v>1</v>
      </c>
      <c r="M34" s="111">
        <v>0</v>
      </c>
      <c r="N34" s="111">
        <v>1</v>
      </c>
      <c r="O34" s="111">
        <v>0</v>
      </c>
      <c r="P34" s="111">
        <v>0</v>
      </c>
      <c r="Q34" s="111">
        <v>0</v>
      </c>
      <c r="R34" s="111">
        <v>0</v>
      </c>
      <c r="S34" s="111">
        <v>1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1</v>
      </c>
      <c r="AC34" s="111">
        <v>1</v>
      </c>
      <c r="AD34" s="111">
        <v>1</v>
      </c>
      <c r="AE34" s="111">
        <v>1</v>
      </c>
      <c r="AF34" s="111">
        <v>1</v>
      </c>
      <c r="AG34" s="111">
        <v>1</v>
      </c>
      <c r="AH34" s="111">
        <v>1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</row>
    <row r="35" spans="1:39" x14ac:dyDescent="0.15">
      <c r="A35" s="188" t="s">
        <v>225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111">
        <v>1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1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1</v>
      </c>
      <c r="AC35" s="111">
        <v>1</v>
      </c>
      <c r="AD35" s="111">
        <v>1</v>
      </c>
      <c r="AE35" s="111">
        <v>0</v>
      </c>
      <c r="AF35" s="111">
        <v>0</v>
      </c>
      <c r="AG35" s="111">
        <v>1</v>
      </c>
      <c r="AH35" s="111">
        <v>1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</row>
    <row r="36" spans="1:39" x14ac:dyDescent="0.15">
      <c r="A36" s="188" t="s">
        <v>226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1</v>
      </c>
      <c r="O36" s="111">
        <v>0</v>
      </c>
      <c r="P36" s="111">
        <v>0</v>
      </c>
      <c r="Q36" s="111">
        <v>0</v>
      </c>
      <c r="R36" s="111">
        <v>0</v>
      </c>
      <c r="S36" s="111">
        <v>1</v>
      </c>
      <c r="T36" s="111">
        <v>0</v>
      </c>
      <c r="U36" s="111">
        <v>0</v>
      </c>
      <c r="V36" s="111">
        <v>1</v>
      </c>
      <c r="W36" s="111">
        <v>0</v>
      </c>
      <c r="X36" s="111">
        <v>1</v>
      </c>
      <c r="Y36" s="111">
        <v>0</v>
      </c>
      <c r="Z36" s="111">
        <v>0</v>
      </c>
      <c r="AA36" s="111">
        <v>0</v>
      </c>
      <c r="AB36" s="111">
        <v>0</v>
      </c>
      <c r="AC36" s="111">
        <v>0</v>
      </c>
      <c r="AD36" s="111">
        <v>1</v>
      </c>
      <c r="AE36" s="111">
        <v>1</v>
      </c>
      <c r="AF36" s="111">
        <v>0</v>
      </c>
      <c r="AG36" s="111">
        <v>0</v>
      </c>
      <c r="AH36" s="111">
        <v>0</v>
      </c>
      <c r="AI36" s="111">
        <v>0</v>
      </c>
      <c r="AJ36" s="111">
        <v>0</v>
      </c>
      <c r="AK36" s="111">
        <v>0</v>
      </c>
      <c r="AL36" s="111">
        <v>0</v>
      </c>
      <c r="AM36" s="111">
        <v>0</v>
      </c>
    </row>
    <row r="37" spans="1:39" x14ac:dyDescent="0.15">
      <c r="A37" s="188" t="s">
        <v>227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1</v>
      </c>
      <c r="O37" s="111">
        <v>0</v>
      </c>
      <c r="P37" s="111">
        <v>0</v>
      </c>
      <c r="Q37" s="111">
        <v>0</v>
      </c>
      <c r="R37" s="111">
        <v>0</v>
      </c>
      <c r="S37" s="111">
        <v>1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1</v>
      </c>
      <c r="AC37" s="111">
        <v>1</v>
      </c>
      <c r="AD37" s="111">
        <v>1</v>
      </c>
      <c r="AE37" s="111">
        <v>1</v>
      </c>
      <c r="AF37" s="111">
        <v>0</v>
      </c>
      <c r="AG37" s="111">
        <v>0</v>
      </c>
      <c r="AH37" s="111">
        <v>1</v>
      </c>
      <c r="AI37" s="111">
        <v>0</v>
      </c>
      <c r="AJ37" s="111">
        <v>0</v>
      </c>
      <c r="AK37" s="111">
        <v>0</v>
      </c>
      <c r="AL37" s="111">
        <v>0</v>
      </c>
      <c r="AM37" s="111">
        <v>0</v>
      </c>
    </row>
    <row r="38" spans="1:39" x14ac:dyDescent="0.15">
      <c r="A38" s="188" t="s">
        <v>228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1</v>
      </c>
      <c r="O38" s="111">
        <v>0</v>
      </c>
      <c r="P38" s="111">
        <v>0</v>
      </c>
      <c r="Q38" s="111">
        <v>0</v>
      </c>
      <c r="R38" s="111">
        <v>0</v>
      </c>
      <c r="S38" s="111">
        <v>1</v>
      </c>
      <c r="T38" s="111">
        <v>0</v>
      </c>
      <c r="U38" s="111">
        <v>1</v>
      </c>
      <c r="V38" s="111">
        <v>0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1</v>
      </c>
      <c r="AC38" s="111">
        <v>1</v>
      </c>
      <c r="AD38" s="111">
        <v>1</v>
      </c>
      <c r="AE38" s="111">
        <v>1</v>
      </c>
      <c r="AF38" s="111">
        <v>0</v>
      </c>
      <c r="AG38" s="111">
        <v>1</v>
      </c>
      <c r="AH38" s="111">
        <v>1</v>
      </c>
      <c r="AI38" s="111">
        <v>0</v>
      </c>
      <c r="AJ38" s="111">
        <v>0</v>
      </c>
      <c r="AK38" s="111">
        <v>0</v>
      </c>
      <c r="AL38" s="111">
        <v>0</v>
      </c>
      <c r="AM38" s="111">
        <v>0</v>
      </c>
    </row>
    <row r="39" spans="1:39" x14ac:dyDescent="0.15">
      <c r="A39" s="188" t="s">
        <v>229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0</v>
      </c>
      <c r="AM39" s="111">
        <v>0</v>
      </c>
    </row>
    <row r="40" spans="1:39" x14ac:dyDescent="0.15">
      <c r="A40" s="188" t="s">
        <v>235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91" t="s">
        <v>230</v>
      </c>
      <c r="D1" s="191" t="s">
        <v>231</v>
      </c>
      <c r="E1" s="191" t="s">
        <v>232</v>
      </c>
      <c r="F1" s="191" t="s">
        <v>233</v>
      </c>
      <c r="G1" s="191" t="s">
        <v>234</v>
      </c>
    </row>
    <row r="2" spans="1:7" x14ac:dyDescent="0.15">
      <c r="A2">
        <v>1</v>
      </c>
      <c r="B2" s="190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90" t="s">
        <v>193</v>
      </c>
      <c r="C3">
        <v>0.8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90" t="s">
        <v>194</v>
      </c>
      <c r="C4">
        <v>0.8</v>
      </c>
      <c r="D4">
        <v>0.8</v>
      </c>
      <c r="E4">
        <v>0.8</v>
      </c>
      <c r="F4">
        <v>0</v>
      </c>
      <c r="G4">
        <v>0.8</v>
      </c>
    </row>
    <row r="5" spans="1:7" x14ac:dyDescent="0.15">
      <c r="A5">
        <v>4</v>
      </c>
      <c r="B5" s="190" t="s">
        <v>195</v>
      </c>
      <c r="C5">
        <v>0.8</v>
      </c>
      <c r="D5">
        <v>0.8</v>
      </c>
      <c r="E5">
        <v>0</v>
      </c>
      <c r="F5">
        <v>0.8</v>
      </c>
      <c r="G5">
        <v>0</v>
      </c>
    </row>
    <row r="6" spans="1:7" x14ac:dyDescent="0.15">
      <c r="A6">
        <v>5</v>
      </c>
      <c r="B6" s="190" t="s">
        <v>196</v>
      </c>
      <c r="C6">
        <v>0.8</v>
      </c>
      <c r="D6">
        <v>0.8</v>
      </c>
      <c r="E6">
        <v>0.8</v>
      </c>
      <c r="F6">
        <v>0.8</v>
      </c>
      <c r="G6">
        <v>0</v>
      </c>
    </row>
    <row r="7" spans="1:7" x14ac:dyDescent="0.15">
      <c r="A7">
        <v>6</v>
      </c>
      <c r="B7" s="190" t="s">
        <v>197</v>
      </c>
      <c r="C7">
        <v>0.8</v>
      </c>
      <c r="D7">
        <v>0.8</v>
      </c>
      <c r="E7">
        <v>0.8</v>
      </c>
      <c r="F7">
        <v>0.8</v>
      </c>
      <c r="G7">
        <v>0</v>
      </c>
    </row>
    <row r="8" spans="1:7" x14ac:dyDescent="0.15">
      <c r="A8">
        <v>7</v>
      </c>
      <c r="B8" s="190" t="s">
        <v>198</v>
      </c>
      <c r="C8">
        <v>0.8</v>
      </c>
      <c r="D8">
        <v>0</v>
      </c>
      <c r="E8">
        <v>0.8</v>
      </c>
      <c r="F8">
        <v>0.8</v>
      </c>
      <c r="G8">
        <v>0</v>
      </c>
    </row>
    <row r="9" spans="1:7" x14ac:dyDescent="0.15">
      <c r="A9">
        <v>8</v>
      </c>
      <c r="B9" s="190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90" t="s">
        <v>200</v>
      </c>
      <c r="C10">
        <v>0</v>
      </c>
      <c r="D10">
        <v>0.8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90" t="s">
        <v>201</v>
      </c>
      <c r="C11">
        <v>0.8</v>
      </c>
      <c r="D11">
        <v>0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90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90" t="s">
        <v>203</v>
      </c>
      <c r="C13">
        <v>0.8</v>
      </c>
      <c r="D13">
        <v>0.8</v>
      </c>
      <c r="E13">
        <v>0.8</v>
      </c>
      <c r="F13">
        <v>0.8</v>
      </c>
      <c r="G13">
        <v>0</v>
      </c>
    </row>
    <row r="14" spans="1:7" x14ac:dyDescent="0.15">
      <c r="A14">
        <v>13</v>
      </c>
      <c r="B14" s="190" t="s">
        <v>204</v>
      </c>
      <c r="C14">
        <v>0.8</v>
      </c>
      <c r="D14">
        <v>0</v>
      </c>
      <c r="E14">
        <v>0</v>
      </c>
      <c r="F14">
        <v>0.8</v>
      </c>
      <c r="G14">
        <v>0</v>
      </c>
    </row>
    <row r="15" spans="1:7" x14ac:dyDescent="0.15">
      <c r="A15">
        <v>14</v>
      </c>
      <c r="B15" s="190" t="s">
        <v>205</v>
      </c>
      <c r="C15">
        <v>0.8</v>
      </c>
      <c r="D15">
        <v>0</v>
      </c>
      <c r="E15">
        <v>0</v>
      </c>
      <c r="F15">
        <v>0.8</v>
      </c>
      <c r="G15">
        <v>0</v>
      </c>
    </row>
    <row r="16" spans="1:7" x14ac:dyDescent="0.15">
      <c r="A16">
        <v>15</v>
      </c>
      <c r="B16" s="190" t="s">
        <v>206</v>
      </c>
      <c r="C16">
        <v>0.8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90" t="s">
        <v>207</v>
      </c>
      <c r="C17">
        <v>0.8</v>
      </c>
      <c r="D17">
        <v>0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0" t="s">
        <v>209</v>
      </c>
      <c r="C19">
        <v>0.8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0.8</v>
      </c>
      <c r="G20">
        <v>0</v>
      </c>
    </row>
    <row r="21" spans="1:7" x14ac:dyDescent="0.15">
      <c r="A21">
        <v>20</v>
      </c>
      <c r="B21" s="190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90" t="s">
        <v>212</v>
      </c>
      <c r="C22">
        <v>0.8</v>
      </c>
      <c r="D22">
        <v>0.8</v>
      </c>
      <c r="E22">
        <v>0.8</v>
      </c>
      <c r="F22">
        <v>0.8</v>
      </c>
      <c r="G22">
        <v>0</v>
      </c>
    </row>
    <row r="23" spans="1:7" x14ac:dyDescent="0.15">
      <c r="A23">
        <v>22</v>
      </c>
      <c r="B23" s="190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90" t="s">
        <v>214</v>
      </c>
      <c r="C24">
        <v>0.8</v>
      </c>
      <c r="D24">
        <v>0.8</v>
      </c>
      <c r="E24">
        <v>0.8</v>
      </c>
      <c r="F24">
        <v>0.8</v>
      </c>
      <c r="G24">
        <v>0</v>
      </c>
    </row>
    <row r="25" spans="1:7" x14ac:dyDescent="0.15">
      <c r="A25">
        <v>24</v>
      </c>
      <c r="B25" s="190" t="s">
        <v>215</v>
      </c>
      <c r="C25">
        <v>0.8</v>
      </c>
      <c r="D25">
        <v>0</v>
      </c>
      <c r="E25">
        <v>0.8</v>
      </c>
      <c r="F25">
        <v>0.8</v>
      </c>
      <c r="G25">
        <v>0</v>
      </c>
    </row>
    <row r="26" spans="1:7" x14ac:dyDescent="0.15">
      <c r="A26">
        <v>25</v>
      </c>
      <c r="B26" s="190" t="s">
        <v>216</v>
      </c>
      <c r="C26">
        <v>0.8</v>
      </c>
      <c r="D26">
        <v>0.8</v>
      </c>
      <c r="E26">
        <v>0.8</v>
      </c>
      <c r="F26">
        <v>0.8</v>
      </c>
      <c r="G26">
        <v>0</v>
      </c>
    </row>
    <row r="27" spans="1:7" x14ac:dyDescent="0.15">
      <c r="A27">
        <v>26</v>
      </c>
      <c r="B27" s="190" t="s">
        <v>217</v>
      </c>
      <c r="C27">
        <v>0</v>
      </c>
      <c r="D27">
        <v>0.8</v>
      </c>
      <c r="E27">
        <v>0.8</v>
      </c>
      <c r="F27">
        <v>0</v>
      </c>
      <c r="G27">
        <v>0</v>
      </c>
    </row>
    <row r="28" spans="1:7" x14ac:dyDescent="0.15">
      <c r="A28">
        <v>27</v>
      </c>
      <c r="B28" s="190" t="s">
        <v>218</v>
      </c>
      <c r="C28">
        <v>0.8</v>
      </c>
      <c r="D28">
        <v>0</v>
      </c>
      <c r="E28">
        <v>0</v>
      </c>
      <c r="F28">
        <v>0.8</v>
      </c>
      <c r="G28">
        <v>0</v>
      </c>
    </row>
    <row r="29" spans="1:7" x14ac:dyDescent="0.15">
      <c r="A29">
        <v>28</v>
      </c>
      <c r="B29" s="190" t="s">
        <v>219</v>
      </c>
      <c r="C29">
        <v>0.8</v>
      </c>
      <c r="D29">
        <v>0.8</v>
      </c>
      <c r="E29">
        <v>0.8</v>
      </c>
      <c r="F29">
        <v>0.8</v>
      </c>
      <c r="G29">
        <v>0</v>
      </c>
    </row>
    <row r="30" spans="1:7" x14ac:dyDescent="0.15">
      <c r="A30">
        <v>29</v>
      </c>
      <c r="B30" s="190" t="s">
        <v>220</v>
      </c>
      <c r="C30">
        <v>0.8</v>
      </c>
      <c r="D30">
        <v>0</v>
      </c>
      <c r="E30">
        <v>0.8</v>
      </c>
      <c r="F30">
        <v>0.8</v>
      </c>
      <c r="G30">
        <v>0</v>
      </c>
    </row>
    <row r="31" spans="1:7" x14ac:dyDescent="0.15">
      <c r="A31">
        <v>30</v>
      </c>
      <c r="B31" s="190" t="s">
        <v>221</v>
      </c>
      <c r="C31">
        <v>0</v>
      </c>
      <c r="D31">
        <v>0</v>
      </c>
      <c r="E31">
        <v>0.8</v>
      </c>
      <c r="F31">
        <v>0</v>
      </c>
      <c r="G31">
        <v>0</v>
      </c>
    </row>
    <row r="32" spans="1:7" x14ac:dyDescent="0.15">
      <c r="A32">
        <v>31</v>
      </c>
      <c r="B32" s="190" t="s">
        <v>222</v>
      </c>
      <c r="C32">
        <v>0.8</v>
      </c>
      <c r="D32">
        <v>0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90" t="s">
        <v>223</v>
      </c>
      <c r="C33">
        <v>0.8</v>
      </c>
      <c r="D33">
        <v>0</v>
      </c>
      <c r="E33">
        <v>0</v>
      </c>
      <c r="F33">
        <v>0.8</v>
      </c>
      <c r="G33">
        <v>0</v>
      </c>
    </row>
    <row r="34" spans="1:7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0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0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0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93" t="s">
        <v>230</v>
      </c>
      <c r="D1" s="193" t="s">
        <v>231</v>
      </c>
      <c r="E1" s="193" t="s">
        <v>232</v>
      </c>
      <c r="F1" s="193" t="s">
        <v>233</v>
      </c>
      <c r="G1" s="193" t="s">
        <v>234</v>
      </c>
    </row>
    <row r="2" spans="1:7" x14ac:dyDescent="0.15">
      <c r="A2">
        <v>1</v>
      </c>
      <c r="B2" s="192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92" t="s">
        <v>193</v>
      </c>
      <c r="C3">
        <v>0.8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92" t="s">
        <v>194</v>
      </c>
      <c r="C4">
        <v>0.8</v>
      </c>
      <c r="D4">
        <v>0.8</v>
      </c>
      <c r="E4">
        <v>0.8</v>
      </c>
      <c r="F4">
        <v>0</v>
      </c>
      <c r="G4">
        <v>0.8</v>
      </c>
    </row>
    <row r="5" spans="1:7" x14ac:dyDescent="0.15">
      <c r="A5">
        <v>4</v>
      </c>
      <c r="B5" s="192" t="s">
        <v>195</v>
      </c>
      <c r="C5">
        <v>0.8</v>
      </c>
      <c r="D5">
        <v>0.8</v>
      </c>
      <c r="E5">
        <v>0</v>
      </c>
      <c r="F5">
        <v>0.8</v>
      </c>
      <c r="G5">
        <v>0</v>
      </c>
    </row>
    <row r="6" spans="1:7" x14ac:dyDescent="0.15">
      <c r="A6">
        <v>5</v>
      </c>
      <c r="B6" s="192" t="s">
        <v>196</v>
      </c>
      <c r="C6">
        <v>0.8</v>
      </c>
      <c r="D6">
        <v>0.8</v>
      </c>
      <c r="E6">
        <v>0.8</v>
      </c>
      <c r="F6">
        <v>0.8</v>
      </c>
      <c r="G6">
        <v>0</v>
      </c>
    </row>
    <row r="7" spans="1:7" x14ac:dyDescent="0.15">
      <c r="A7">
        <v>6</v>
      </c>
      <c r="B7" s="192" t="s">
        <v>197</v>
      </c>
      <c r="C7">
        <v>0.8</v>
      </c>
      <c r="D7">
        <v>0.8</v>
      </c>
      <c r="E7">
        <v>0.8</v>
      </c>
      <c r="F7">
        <v>0.8</v>
      </c>
      <c r="G7">
        <v>0</v>
      </c>
    </row>
    <row r="8" spans="1:7" x14ac:dyDescent="0.15">
      <c r="A8">
        <v>7</v>
      </c>
      <c r="B8" s="192" t="s">
        <v>198</v>
      </c>
      <c r="C8">
        <v>0.8</v>
      </c>
      <c r="D8">
        <v>0</v>
      </c>
      <c r="E8">
        <v>0.8</v>
      </c>
      <c r="F8">
        <v>0.8</v>
      </c>
      <c r="G8">
        <v>0</v>
      </c>
    </row>
    <row r="9" spans="1:7" x14ac:dyDescent="0.15">
      <c r="A9">
        <v>8</v>
      </c>
      <c r="B9" s="192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92" t="s">
        <v>200</v>
      </c>
      <c r="C10">
        <v>0</v>
      </c>
      <c r="D10">
        <v>0.8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92" t="s">
        <v>201</v>
      </c>
      <c r="C11">
        <v>0.8</v>
      </c>
      <c r="D11">
        <v>0</v>
      </c>
      <c r="E11">
        <v>0</v>
      </c>
      <c r="F11">
        <v>0.8</v>
      </c>
      <c r="G11">
        <v>0</v>
      </c>
    </row>
    <row r="12" spans="1:7" x14ac:dyDescent="0.15">
      <c r="A12">
        <v>11</v>
      </c>
      <c r="B12" s="192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92" t="s">
        <v>203</v>
      </c>
      <c r="C13">
        <v>0.8</v>
      </c>
      <c r="D13">
        <v>0.8</v>
      </c>
      <c r="E13">
        <v>0.8</v>
      </c>
      <c r="F13">
        <v>0.8</v>
      </c>
      <c r="G13">
        <v>0</v>
      </c>
    </row>
    <row r="14" spans="1:7" x14ac:dyDescent="0.15">
      <c r="A14">
        <v>13</v>
      </c>
      <c r="B14" s="192" t="s">
        <v>204</v>
      </c>
      <c r="C14">
        <v>0.8</v>
      </c>
      <c r="D14">
        <v>0</v>
      </c>
      <c r="E14">
        <v>0</v>
      </c>
      <c r="F14">
        <v>0.8</v>
      </c>
      <c r="G14">
        <v>0</v>
      </c>
    </row>
    <row r="15" spans="1:7" x14ac:dyDescent="0.15">
      <c r="A15">
        <v>14</v>
      </c>
      <c r="B15" s="192" t="s">
        <v>205</v>
      </c>
      <c r="C15">
        <v>0.8</v>
      </c>
      <c r="D15">
        <v>0</v>
      </c>
      <c r="E15">
        <v>0</v>
      </c>
      <c r="F15">
        <v>0.8</v>
      </c>
      <c r="G15">
        <v>0</v>
      </c>
    </row>
    <row r="16" spans="1:7" x14ac:dyDescent="0.15">
      <c r="A16">
        <v>15</v>
      </c>
      <c r="B16" s="192" t="s">
        <v>206</v>
      </c>
      <c r="C16">
        <v>0.8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92" t="s">
        <v>207</v>
      </c>
      <c r="C17">
        <v>0.8</v>
      </c>
      <c r="D17">
        <v>0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92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2" t="s">
        <v>209</v>
      </c>
      <c r="C19">
        <v>0.8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2" t="s">
        <v>210</v>
      </c>
      <c r="C20">
        <v>0</v>
      </c>
      <c r="D20">
        <v>0</v>
      </c>
      <c r="E20">
        <v>0</v>
      </c>
      <c r="F20">
        <v>0.8</v>
      </c>
      <c r="G20">
        <v>0</v>
      </c>
    </row>
    <row r="21" spans="1:7" x14ac:dyDescent="0.15">
      <c r="A21">
        <v>20</v>
      </c>
      <c r="B21" s="192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92" t="s">
        <v>212</v>
      </c>
      <c r="C22">
        <v>0.8</v>
      </c>
      <c r="D22">
        <v>0.8</v>
      </c>
      <c r="E22">
        <v>0.8</v>
      </c>
      <c r="F22">
        <v>0.8</v>
      </c>
      <c r="G22">
        <v>0</v>
      </c>
    </row>
    <row r="23" spans="1:7" x14ac:dyDescent="0.15">
      <c r="A23">
        <v>22</v>
      </c>
      <c r="B23" s="192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92" t="s">
        <v>214</v>
      </c>
      <c r="C24">
        <v>0.8</v>
      </c>
      <c r="D24">
        <v>0.8</v>
      </c>
      <c r="E24">
        <v>0.8</v>
      </c>
      <c r="F24">
        <v>0.8</v>
      </c>
      <c r="G24">
        <v>0</v>
      </c>
    </row>
    <row r="25" spans="1:7" x14ac:dyDescent="0.15">
      <c r="A25">
        <v>24</v>
      </c>
      <c r="B25" s="192" t="s">
        <v>215</v>
      </c>
      <c r="C25">
        <v>0.8</v>
      </c>
      <c r="D25">
        <v>0</v>
      </c>
      <c r="E25">
        <v>0.8</v>
      </c>
      <c r="F25">
        <v>0.8</v>
      </c>
      <c r="G25">
        <v>0</v>
      </c>
    </row>
    <row r="26" spans="1:7" x14ac:dyDescent="0.15">
      <c r="A26">
        <v>25</v>
      </c>
      <c r="B26" s="192" t="s">
        <v>216</v>
      </c>
      <c r="C26">
        <v>0.8</v>
      </c>
      <c r="D26">
        <v>0.8</v>
      </c>
      <c r="E26">
        <v>0.8</v>
      </c>
      <c r="F26">
        <v>0.8</v>
      </c>
      <c r="G26">
        <v>0</v>
      </c>
    </row>
    <row r="27" spans="1:7" x14ac:dyDescent="0.15">
      <c r="A27">
        <v>26</v>
      </c>
      <c r="B27" s="192" t="s">
        <v>217</v>
      </c>
      <c r="C27">
        <v>0</v>
      </c>
      <c r="D27">
        <v>0.8</v>
      </c>
      <c r="E27">
        <v>0.8</v>
      </c>
      <c r="F27">
        <v>0</v>
      </c>
      <c r="G27">
        <v>0</v>
      </c>
    </row>
    <row r="28" spans="1:7" x14ac:dyDescent="0.15">
      <c r="A28">
        <v>27</v>
      </c>
      <c r="B28" s="192" t="s">
        <v>218</v>
      </c>
      <c r="C28">
        <v>0.8</v>
      </c>
      <c r="D28">
        <v>0</v>
      </c>
      <c r="E28">
        <v>0</v>
      </c>
      <c r="F28">
        <v>0.8</v>
      </c>
      <c r="G28">
        <v>0</v>
      </c>
    </row>
    <row r="29" spans="1:7" x14ac:dyDescent="0.15">
      <c r="A29">
        <v>28</v>
      </c>
      <c r="B29" s="192" t="s">
        <v>219</v>
      </c>
      <c r="C29">
        <v>0.8</v>
      </c>
      <c r="D29">
        <v>0.8</v>
      </c>
      <c r="E29">
        <v>0.8</v>
      </c>
      <c r="F29">
        <v>0.8</v>
      </c>
      <c r="G29">
        <v>0</v>
      </c>
    </row>
    <row r="30" spans="1:7" x14ac:dyDescent="0.15">
      <c r="A30">
        <v>29</v>
      </c>
      <c r="B30" s="192" t="s">
        <v>220</v>
      </c>
      <c r="C30">
        <v>0.8</v>
      </c>
      <c r="D30">
        <v>0</v>
      </c>
      <c r="E30">
        <v>0.8</v>
      </c>
      <c r="F30">
        <v>0.8</v>
      </c>
      <c r="G30">
        <v>0</v>
      </c>
    </row>
    <row r="31" spans="1:7" x14ac:dyDescent="0.15">
      <c r="A31">
        <v>30</v>
      </c>
      <c r="B31" s="192" t="s">
        <v>221</v>
      </c>
      <c r="C31">
        <v>0</v>
      </c>
      <c r="D31">
        <v>0</v>
      </c>
      <c r="E31">
        <v>0.8</v>
      </c>
      <c r="F31">
        <v>0</v>
      </c>
      <c r="G31">
        <v>0</v>
      </c>
    </row>
    <row r="32" spans="1:7" x14ac:dyDescent="0.15">
      <c r="A32">
        <v>31</v>
      </c>
      <c r="B32" s="192" t="s">
        <v>222</v>
      </c>
      <c r="C32">
        <v>0.8</v>
      </c>
      <c r="D32">
        <v>0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92" t="s">
        <v>223</v>
      </c>
      <c r="C33">
        <v>0.8</v>
      </c>
      <c r="D33">
        <v>0</v>
      </c>
      <c r="E33">
        <v>0</v>
      </c>
      <c r="F33">
        <v>0.8</v>
      </c>
      <c r="G33">
        <v>0</v>
      </c>
    </row>
    <row r="34" spans="1:7" x14ac:dyDescent="0.15">
      <c r="A34">
        <v>33</v>
      </c>
      <c r="B34" s="192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2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2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2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2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2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M8" sqref="M8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192</v>
      </c>
      <c r="C2" s="8">
        <v>3.1900544166564941</v>
      </c>
      <c r="D2" s="9">
        <v>3.002999909222126E-2</v>
      </c>
      <c r="E2" s="9">
        <v>0.33000001311302185</v>
      </c>
      <c r="F2" s="9">
        <v>3.7999999523162842</v>
      </c>
      <c r="G2" s="9">
        <v>9.0007968246936798E-2</v>
      </c>
      <c r="H2" s="9">
        <v>8.6842112243175507E-2</v>
      </c>
      <c r="I2">
        <v>8.9197000488638878E-4</v>
      </c>
      <c r="J2"/>
    </row>
    <row r="3" spans="1:10" ht="15" customHeight="1" x14ac:dyDescent="0.15">
      <c r="A3" s="146">
        <v>2</v>
      </c>
      <c r="B3" s="146" t="s">
        <v>193</v>
      </c>
      <c r="C3" s="8">
        <v>3.2996799945831299</v>
      </c>
      <c r="D3" s="9">
        <v>9.0160004794597626E-2</v>
      </c>
      <c r="E3" s="9">
        <v>0.18999999761581421</v>
      </c>
      <c r="F3" s="9">
        <v>2.440000057220459</v>
      </c>
      <c r="G3" s="9">
        <v>5.1253905985504389E-4</v>
      </c>
      <c r="H3" s="9">
        <v>7.7868849039077759E-2</v>
      </c>
      <c r="I3">
        <v>8.7799999164417386E-6</v>
      </c>
      <c r="J3"/>
    </row>
    <row r="4" spans="1:10" ht="15" customHeight="1" x14ac:dyDescent="0.15">
      <c r="A4" s="147">
        <v>3</v>
      </c>
      <c r="B4" s="147" t="s">
        <v>194</v>
      </c>
      <c r="C4" s="8">
        <v>3.9218394756317139</v>
      </c>
      <c r="D4" s="9">
        <v>9.7000002861022949E-2</v>
      </c>
      <c r="E4" s="9">
        <v>0.55000001192092896</v>
      </c>
      <c r="F4" s="9">
        <v>5.2399997711181641</v>
      </c>
      <c r="G4" s="9">
        <v>0.11058245599269867</v>
      </c>
      <c r="H4" s="9">
        <v>0.10496184229850769</v>
      </c>
      <c r="I4">
        <v>4.7585302963852882E-3</v>
      </c>
      <c r="J4"/>
    </row>
    <row r="5" spans="1:10" ht="15" customHeight="1" x14ac:dyDescent="0.15">
      <c r="A5" s="148">
        <v>4</v>
      </c>
      <c r="B5" s="148" t="s">
        <v>195</v>
      </c>
      <c r="C5" s="8">
        <v>4.024472713470459</v>
      </c>
      <c r="D5" s="9">
        <v>0.13899999856948853</v>
      </c>
      <c r="E5" s="9">
        <v>0.44999998807907104</v>
      </c>
      <c r="F5" s="9">
        <v>7.2199997901916504</v>
      </c>
      <c r="G5" s="9">
        <v>0.20933550596237183</v>
      </c>
      <c r="H5" s="9">
        <v>6.2326870858669281E-2</v>
      </c>
      <c r="I5">
        <v>5.7890997268259525E-3</v>
      </c>
      <c r="J5"/>
    </row>
    <row r="6" spans="1:10" ht="15" customHeight="1" x14ac:dyDescent="0.15">
      <c r="A6" s="149">
        <v>5</v>
      </c>
      <c r="B6" s="149" t="s">
        <v>196</v>
      </c>
      <c r="C6" s="8">
        <v>3.454312801361084</v>
      </c>
      <c r="D6" s="9">
        <v>0.11900000274181366</v>
      </c>
      <c r="E6" s="9">
        <v>0.49000000953674316</v>
      </c>
      <c r="F6" s="9">
        <v>4.5999999046325684</v>
      </c>
      <c r="G6" s="10"/>
      <c r="H6" s="9">
        <v>0.10652174055576324</v>
      </c>
      <c r="I6">
        <v>3.1754700466990471E-3</v>
      </c>
      <c r="J6"/>
    </row>
    <row r="7" spans="1:10" ht="15" customHeight="1" x14ac:dyDescent="0.15">
      <c r="A7" s="150">
        <v>6</v>
      </c>
      <c r="B7" s="150" t="s">
        <v>197</v>
      </c>
      <c r="C7" s="8">
        <v>3.954951286315918</v>
      </c>
      <c r="D7" s="9">
        <v>0.26499998569488525</v>
      </c>
      <c r="E7" s="9">
        <v>0.40000000596046448</v>
      </c>
      <c r="F7" s="9">
        <v>5.880000114440918</v>
      </c>
      <c r="G7" s="9">
        <v>0.60009324550628662</v>
      </c>
      <c r="H7" s="9">
        <v>6.8027213215827942E-2</v>
      </c>
      <c r="I7">
        <v>5.0609498284757137E-3</v>
      </c>
      <c r="J7"/>
    </row>
    <row r="8" spans="1:10" ht="15" customHeight="1" x14ac:dyDescent="0.15">
      <c r="A8" s="151">
        <v>7</v>
      </c>
      <c r="B8" s="151" t="s">
        <v>198</v>
      </c>
      <c r="C8" s="8">
        <v>3.3889250755310059</v>
      </c>
      <c r="D8" s="9">
        <v>2.4340000152587891</v>
      </c>
      <c r="E8" s="9">
        <v>0.89999997615814209</v>
      </c>
      <c r="F8" s="9">
        <v>10.020000457763672</v>
      </c>
      <c r="G8" s="9">
        <v>0.94225305318832397</v>
      </c>
      <c r="H8" s="9">
        <v>8.9820355176925659E-2</v>
      </c>
      <c r="I8">
        <v>8.1214094534516335E-3</v>
      </c>
      <c r="J8"/>
    </row>
    <row r="9" spans="1:10" ht="15" customHeight="1" x14ac:dyDescent="0.15">
      <c r="A9" s="152">
        <v>8</v>
      </c>
      <c r="B9" s="152" t="s">
        <v>199</v>
      </c>
      <c r="C9" s="8">
        <v>3.4509847164154053</v>
      </c>
      <c r="D9" s="9">
        <v>0.97299998998641968</v>
      </c>
      <c r="E9" s="9">
        <v>0.89999997615814209</v>
      </c>
      <c r="F9" s="9">
        <v>9.1999998092651367</v>
      </c>
      <c r="G9" s="9">
        <v>0.6269802451133728</v>
      </c>
      <c r="H9" s="9">
        <v>9.7826085984706879E-2</v>
      </c>
      <c r="I9">
        <v>0</v>
      </c>
      <c r="J9"/>
    </row>
    <row r="10" spans="1:10" ht="15" customHeight="1" x14ac:dyDescent="0.15">
      <c r="A10" s="153">
        <v>9</v>
      </c>
      <c r="B10" s="153" t="s">
        <v>200</v>
      </c>
      <c r="C10" s="8">
        <v>4.222257137298584</v>
      </c>
      <c r="D10" s="9">
        <v>2.8999999165534973E-2</v>
      </c>
      <c r="E10" s="9">
        <v>0.31999999284744263</v>
      </c>
      <c r="F10" s="9">
        <v>5</v>
      </c>
      <c r="G10" s="10"/>
      <c r="H10" s="9">
        <v>6.3999995589256287E-2</v>
      </c>
      <c r="I10">
        <v>1.3999999737279722E-6</v>
      </c>
      <c r="J10"/>
    </row>
    <row r="11" spans="1:10" ht="15" customHeight="1" x14ac:dyDescent="0.15">
      <c r="A11" s="154">
        <v>10</v>
      </c>
      <c r="B11" s="154" t="s">
        <v>201</v>
      </c>
      <c r="C11" s="8">
        <v>4.3231115341186523</v>
      </c>
      <c r="D11" s="9">
        <v>4.8999998718500137E-2</v>
      </c>
      <c r="E11" s="9">
        <v>0.37000000476837158</v>
      </c>
      <c r="F11" s="9">
        <v>4.5</v>
      </c>
      <c r="G11" s="9">
        <v>0.23629814386367798</v>
      </c>
      <c r="H11" s="9">
        <v>8.2222223281860352E-2</v>
      </c>
      <c r="I11">
        <v>1.0912999277934432E-3</v>
      </c>
      <c r="J11"/>
    </row>
    <row r="12" spans="1:10" ht="15" customHeight="1" x14ac:dyDescent="0.15">
      <c r="A12" s="155">
        <v>11</v>
      </c>
      <c r="B12" s="155" t="s">
        <v>202</v>
      </c>
      <c r="C12" s="8">
        <v>3.8510692119598389</v>
      </c>
      <c r="D12" s="9">
        <v>0.73499995470046997</v>
      </c>
      <c r="E12" s="9">
        <v>0.60000002384185791</v>
      </c>
      <c r="F12" s="9">
        <v>5.5200004577636719</v>
      </c>
      <c r="G12" s="9">
        <v>0.93868803977966309</v>
      </c>
      <c r="H12" s="9">
        <v>0.10869564861059189</v>
      </c>
      <c r="I12">
        <v>0</v>
      </c>
      <c r="J12"/>
    </row>
    <row r="13" spans="1:10" ht="15" customHeight="1" x14ac:dyDescent="0.15">
      <c r="A13" s="156">
        <v>12</v>
      </c>
      <c r="B13" s="156" t="s">
        <v>203</v>
      </c>
      <c r="C13" s="8">
        <v>3.941749095916748</v>
      </c>
      <c r="D13" s="9">
        <v>0.95353305339813232</v>
      </c>
      <c r="E13" s="9">
        <v>0.60000002384185791</v>
      </c>
      <c r="F13" s="9">
        <v>2.9880032539367676</v>
      </c>
      <c r="G13" s="9">
        <v>3.787265857681632E-3</v>
      </c>
      <c r="H13" s="9">
        <v>0.2008029967546463</v>
      </c>
      <c r="I13">
        <v>2.1667699329555035E-3</v>
      </c>
      <c r="J13"/>
    </row>
    <row r="14" spans="1:10" ht="15" customHeight="1" x14ac:dyDescent="0.15">
      <c r="A14" s="157">
        <v>13</v>
      </c>
      <c r="B14" s="157" t="s">
        <v>204</v>
      </c>
      <c r="C14" s="8">
        <v>2.9025976657867432</v>
      </c>
      <c r="D14" s="9">
        <v>11.395037651062012</v>
      </c>
      <c r="E14" s="9">
        <v>2.0499999523162842</v>
      </c>
      <c r="F14" s="9">
        <v>10.210000038146973</v>
      </c>
      <c r="G14" s="9">
        <v>0.96329289674758911</v>
      </c>
      <c r="H14" s="9">
        <v>0.20078353583812714</v>
      </c>
      <c r="I14">
        <v>3.0399998649954796E-5</v>
      </c>
      <c r="J14"/>
    </row>
    <row r="15" spans="1:10" ht="15" customHeight="1" x14ac:dyDescent="0.15">
      <c r="A15" s="158">
        <v>14</v>
      </c>
      <c r="B15" s="158" t="s">
        <v>205</v>
      </c>
      <c r="C15" s="8">
        <v>4.2046222686767578</v>
      </c>
      <c r="D15" s="9">
        <v>0.35499998927116394</v>
      </c>
      <c r="E15" s="9">
        <v>0.74000000953674316</v>
      </c>
      <c r="F15" s="9">
        <v>7.0999999046325684</v>
      </c>
      <c r="G15" s="9">
        <v>0.27475246787071228</v>
      </c>
      <c r="H15" s="9">
        <v>0.10422535240650177</v>
      </c>
      <c r="I15">
        <v>3.005600068718195E-3</v>
      </c>
      <c r="J15"/>
    </row>
    <row r="16" spans="1:10" ht="15" customHeight="1" x14ac:dyDescent="0.15">
      <c r="A16" s="159">
        <v>15</v>
      </c>
      <c r="B16" s="159" t="s">
        <v>206</v>
      </c>
      <c r="C16" s="8">
        <v>4.1787967681884766</v>
      </c>
      <c r="D16" s="9">
        <v>0.11599999666213989</v>
      </c>
      <c r="E16" s="9">
        <v>0.6600000262260437</v>
      </c>
      <c r="F16" s="9">
        <v>7.3000001907348633</v>
      </c>
      <c r="G16" s="9">
        <v>0.84245133399963379</v>
      </c>
      <c r="H16" s="9">
        <v>9.0410962700843811E-2</v>
      </c>
      <c r="I16">
        <v>1.5699999494245276E-5</v>
      </c>
      <c r="J16"/>
    </row>
    <row r="17" spans="1:10" ht="15" customHeight="1" x14ac:dyDescent="0.15">
      <c r="A17" s="160">
        <v>16</v>
      </c>
      <c r="B17" s="160" t="s">
        <v>207</v>
      </c>
      <c r="C17" s="8">
        <v>3.5876302719116211</v>
      </c>
      <c r="D17" s="9">
        <v>1.843000054359436</v>
      </c>
      <c r="E17" s="9">
        <v>1.0499999523162842</v>
      </c>
      <c r="F17" s="9">
        <v>13.609999656677246</v>
      </c>
      <c r="G17" s="9">
        <v>0.70186424255371094</v>
      </c>
      <c r="H17" s="9">
        <v>7.7149152755737305E-2</v>
      </c>
      <c r="I17">
        <v>3.2722498290240765E-3</v>
      </c>
      <c r="J17"/>
    </row>
    <row r="18" spans="1:10" ht="15" customHeight="1" x14ac:dyDescent="0.15">
      <c r="A18" s="161">
        <v>17</v>
      </c>
      <c r="B18" s="161" t="s">
        <v>208</v>
      </c>
      <c r="C18" s="8">
        <v>3.5844852924346924</v>
      </c>
      <c r="D18" s="9">
        <v>3.2969999313354492</v>
      </c>
      <c r="E18" s="9">
        <v>1.7000000476837158</v>
      </c>
      <c r="F18" s="9">
        <v>9.6999998092651367</v>
      </c>
      <c r="G18" s="9">
        <v>0.27503156661987305</v>
      </c>
      <c r="H18" s="9">
        <v>0.17525774240493774</v>
      </c>
      <c r="I18">
        <v>0</v>
      </c>
      <c r="J18"/>
    </row>
    <row r="19" spans="1:10" ht="15" customHeight="1" x14ac:dyDescent="0.15">
      <c r="A19" s="162">
        <v>18</v>
      </c>
      <c r="B19" s="162" t="s">
        <v>209</v>
      </c>
      <c r="C19" s="8">
        <v>3.1345715522766113</v>
      </c>
      <c r="D19" s="9">
        <v>0.17499999701976776</v>
      </c>
      <c r="E19" s="9">
        <v>0.56999999284744263</v>
      </c>
      <c r="F19" s="9">
        <v>5.5999999046325684</v>
      </c>
      <c r="G19" s="9">
        <v>0.7286827564239502</v>
      </c>
      <c r="H19" s="9">
        <v>0.10178571194410324</v>
      </c>
      <c r="I19">
        <v>1.8700000509852543E-5</v>
      </c>
      <c r="J19"/>
    </row>
    <row r="20" spans="1:10" ht="15" customHeight="1" x14ac:dyDescent="0.15">
      <c r="A20" s="163">
        <v>19</v>
      </c>
      <c r="B20" s="163" t="s">
        <v>210</v>
      </c>
      <c r="C20" s="8">
        <v>3.5398120880126953</v>
      </c>
      <c r="D20" s="9">
        <v>0.11100000143051147</v>
      </c>
      <c r="E20" s="9">
        <v>0.44999998807907104</v>
      </c>
      <c r="F20" s="9">
        <v>5</v>
      </c>
      <c r="G20" s="9">
        <v>0.11422386020421982</v>
      </c>
      <c r="H20" s="9">
        <v>8.999999612569809E-2</v>
      </c>
      <c r="I20">
        <v>5.0499998906161636E-5</v>
      </c>
      <c r="J20"/>
    </row>
    <row r="21" spans="1:10" ht="15" customHeight="1" x14ac:dyDescent="0.15">
      <c r="A21" s="164">
        <v>20</v>
      </c>
      <c r="B21" s="164" t="s">
        <v>211</v>
      </c>
      <c r="C21" s="8">
        <v>2.5130252838134766</v>
      </c>
      <c r="D21" s="9">
        <v>0.92000001668930054</v>
      </c>
      <c r="E21" s="9">
        <v>2.0699999332427979</v>
      </c>
      <c r="F21" s="9">
        <v>24</v>
      </c>
      <c r="G21" s="9">
        <v>0.99260413646697998</v>
      </c>
      <c r="H21" s="9">
        <v>8.6249999701976776E-2</v>
      </c>
      <c r="I21">
        <v>0</v>
      </c>
      <c r="J21"/>
    </row>
    <row r="22" spans="1:10" ht="15" customHeight="1" x14ac:dyDescent="0.15">
      <c r="A22" s="165">
        <v>21</v>
      </c>
      <c r="B22" s="165" t="s">
        <v>212</v>
      </c>
      <c r="C22" s="8">
        <v>3.1327855587005615</v>
      </c>
      <c r="D22" s="9">
        <v>5.9749999046325684</v>
      </c>
      <c r="E22" s="9">
        <v>1.1100000143051147</v>
      </c>
      <c r="F22" s="9">
        <v>11.180000305175781</v>
      </c>
      <c r="G22" s="9">
        <v>0.90764856338500977</v>
      </c>
      <c r="H22" s="9">
        <v>9.9284432828426361E-2</v>
      </c>
      <c r="I22">
        <v>2.5025699287652969E-3</v>
      </c>
      <c r="J22"/>
    </row>
    <row r="23" spans="1:10" ht="15" customHeight="1" x14ac:dyDescent="0.15">
      <c r="A23" s="166">
        <v>22</v>
      </c>
      <c r="B23" s="166" t="s">
        <v>213</v>
      </c>
      <c r="C23" s="8">
        <v>3.1687581539154053</v>
      </c>
      <c r="D23" s="9">
        <v>2.5999999046325684</v>
      </c>
      <c r="E23" s="9">
        <v>1.7799999713897705</v>
      </c>
      <c r="F23" s="9">
        <v>12.960000038146973</v>
      </c>
      <c r="G23" s="9">
        <v>0.95837771892547607</v>
      </c>
      <c r="H23" s="9">
        <v>0.13734567165374756</v>
      </c>
      <c r="I23">
        <v>0</v>
      </c>
      <c r="J23"/>
    </row>
    <row r="24" spans="1:10" ht="15" customHeight="1" x14ac:dyDescent="0.15">
      <c r="A24" s="167">
        <v>23</v>
      </c>
      <c r="B24" s="167" t="s">
        <v>214</v>
      </c>
      <c r="C24" s="8">
        <v>3.5213925838470459</v>
      </c>
      <c r="D24" s="9">
        <v>0.34799998998641968</v>
      </c>
      <c r="E24" s="9">
        <v>0.70999997854232788</v>
      </c>
      <c r="F24" s="9">
        <v>9.5500001907348633</v>
      </c>
      <c r="G24" s="9">
        <v>0.56214070320129395</v>
      </c>
      <c r="H24" s="9">
        <v>7.434554398059845E-2</v>
      </c>
      <c r="I24">
        <v>1.0020489804446697E-2</v>
      </c>
      <c r="J24"/>
    </row>
    <row r="25" spans="1:10" ht="15" customHeight="1" x14ac:dyDescent="0.15">
      <c r="A25" s="168">
        <v>24</v>
      </c>
      <c r="B25" s="168" t="s">
        <v>215</v>
      </c>
      <c r="C25" s="8">
        <v>3.4178564548492432</v>
      </c>
      <c r="D25" s="9">
        <v>6.8000003695487976E-2</v>
      </c>
      <c r="E25" s="9">
        <v>0.60000002384185791</v>
      </c>
      <c r="F25" s="9">
        <v>6.4899997711181641</v>
      </c>
      <c r="G25" s="10"/>
      <c r="H25" s="9">
        <v>9.2449933290481567E-2</v>
      </c>
      <c r="I25">
        <v>2.9902600217610598E-3</v>
      </c>
      <c r="J25"/>
    </row>
    <row r="26" spans="1:10" ht="15" customHeight="1" x14ac:dyDescent="0.15">
      <c r="A26" s="169">
        <v>25</v>
      </c>
      <c r="B26" s="169" t="s">
        <v>216</v>
      </c>
      <c r="C26" s="8">
        <v>3.7784557342529297</v>
      </c>
      <c r="D26" s="9">
        <v>0.24300000071525574</v>
      </c>
      <c r="E26" s="9">
        <v>0.41999998688697815</v>
      </c>
      <c r="F26" s="9">
        <v>6.1500000953674316</v>
      </c>
      <c r="G26" s="9">
        <v>0.20194552838802338</v>
      </c>
      <c r="H26" s="9">
        <v>6.8292677402496338E-2</v>
      </c>
      <c r="I26">
        <v>1.5760760754346848E-2</v>
      </c>
      <c r="J26"/>
    </row>
    <row r="27" spans="1:10" ht="15" customHeight="1" x14ac:dyDescent="0.15">
      <c r="A27" s="170">
        <v>26</v>
      </c>
      <c r="B27" s="170" t="s">
        <v>217</v>
      </c>
      <c r="C27" s="8">
        <v>4.486483097076416</v>
      </c>
      <c r="D27" s="9">
        <v>2.0000000949949026E-3</v>
      </c>
      <c r="E27" s="9">
        <v>0.36000001430511475</v>
      </c>
      <c r="F27" s="9">
        <v>4</v>
      </c>
      <c r="G27" s="9">
        <v>1.6388887539505959E-2</v>
      </c>
      <c r="H27" s="9">
        <v>9.0000003576278687E-2</v>
      </c>
      <c r="I27">
        <v>1.1799999811046291E-5</v>
      </c>
      <c r="J27"/>
    </row>
    <row r="28" spans="1:10" ht="15" customHeight="1" x14ac:dyDescent="0.15">
      <c r="A28" s="171">
        <v>27</v>
      </c>
      <c r="B28" s="171" t="s">
        <v>218</v>
      </c>
      <c r="C28" s="8">
        <v>2.4890923500061035</v>
      </c>
      <c r="D28" s="9">
        <v>6.9135293960571289</v>
      </c>
      <c r="E28" s="9">
        <v>0.80000001192092896</v>
      </c>
      <c r="F28" s="9">
        <v>12</v>
      </c>
      <c r="G28" s="9">
        <v>0.92726665735244751</v>
      </c>
      <c r="H28" s="9">
        <v>6.6666670143604279E-2</v>
      </c>
      <c r="I28">
        <v>2.8309999033808708E-3</v>
      </c>
      <c r="J28"/>
    </row>
    <row r="29" spans="1:10" ht="15" customHeight="1" x14ac:dyDescent="0.15">
      <c r="A29" s="172">
        <v>28</v>
      </c>
      <c r="B29" s="172" t="s">
        <v>219</v>
      </c>
      <c r="C29" s="8">
        <v>2.1228394508361816</v>
      </c>
      <c r="D29" s="9">
        <v>11.874723434448242</v>
      </c>
      <c r="E29" s="9">
        <v>3.0999999046325684</v>
      </c>
      <c r="F29" s="9">
        <v>20</v>
      </c>
      <c r="G29" s="9">
        <v>0.91284304857254028</v>
      </c>
      <c r="H29" s="9">
        <v>0.1550000011920929</v>
      </c>
      <c r="I29">
        <v>3.6838501691818237E-3</v>
      </c>
      <c r="J29"/>
    </row>
    <row r="30" spans="1:10" ht="15" customHeight="1" x14ac:dyDescent="0.15">
      <c r="A30" s="173">
        <v>29</v>
      </c>
      <c r="B30" s="173" t="s">
        <v>220</v>
      </c>
      <c r="C30" s="8">
        <v>2.1728396415710449</v>
      </c>
      <c r="D30" s="9">
        <v>166.54489135742188</v>
      </c>
      <c r="E30" s="9">
        <v>2.9000000953674316</v>
      </c>
      <c r="F30" s="9">
        <v>10</v>
      </c>
      <c r="G30" s="9">
        <v>0.72583299875259399</v>
      </c>
      <c r="H30" s="9">
        <v>0.29000002145767212</v>
      </c>
      <c r="I30">
        <v>4.0848000207915902E-4</v>
      </c>
      <c r="J30"/>
    </row>
    <row r="31" spans="1:10" ht="15" customHeight="1" x14ac:dyDescent="0.15">
      <c r="A31" s="174">
        <v>30</v>
      </c>
      <c r="B31" s="174" t="s">
        <v>221</v>
      </c>
      <c r="C31" s="8">
        <v>2.6086804866790771</v>
      </c>
      <c r="D31" s="9">
        <v>7.6182150840759277</v>
      </c>
      <c r="E31" s="9">
        <v>7.570000171661377</v>
      </c>
      <c r="F31" s="9">
        <v>37.900001525878906</v>
      </c>
      <c r="G31" s="9">
        <v>0.96488070487976074</v>
      </c>
      <c r="H31" s="9">
        <v>0.19973614811897278</v>
      </c>
      <c r="I31">
        <v>5.2999998442828655E-3</v>
      </c>
      <c r="J31"/>
    </row>
    <row r="32" spans="1:10" ht="15" customHeight="1" x14ac:dyDescent="0.15">
      <c r="A32" s="202">
        <v>31</v>
      </c>
      <c r="B32" s="202" t="s">
        <v>222</v>
      </c>
      <c r="C32" s="8">
        <v>3.4171311855316162</v>
      </c>
      <c r="D32" s="9">
        <v>1.6097568273544312</v>
      </c>
      <c r="E32" s="9">
        <v>4.5900001525878906</v>
      </c>
      <c r="F32" s="9">
        <v>17.549999237060547</v>
      </c>
      <c r="G32" s="9">
        <v>0.7827533483505249</v>
      </c>
      <c r="H32" s="9">
        <v>0.26153847575187683</v>
      </c>
      <c r="I32">
        <v>2.4279900826513767E-3</v>
      </c>
      <c r="J32"/>
    </row>
    <row r="33" spans="1:10" ht="15" customHeight="1" x14ac:dyDescent="0.15">
      <c r="A33" s="203">
        <v>32</v>
      </c>
      <c r="B33" s="203" t="s">
        <v>223</v>
      </c>
      <c r="C33" s="8">
        <v>2.1111111640930176</v>
      </c>
      <c r="D33" s="9">
        <v>9.1879806518554688</v>
      </c>
      <c r="E33" s="9">
        <v>20</v>
      </c>
      <c r="F33" s="9">
        <v>40</v>
      </c>
      <c r="G33" s="9">
        <v>0.66131854057312012</v>
      </c>
      <c r="H33" s="9">
        <v>0.5</v>
      </c>
      <c r="I33">
        <v>1.2949999654665589E-4</v>
      </c>
      <c r="J33"/>
    </row>
    <row r="34" spans="1:10" ht="15" customHeight="1" x14ac:dyDescent="0.15">
      <c r="A34" s="204">
        <v>33</v>
      </c>
      <c r="B34" s="204" t="s">
        <v>224</v>
      </c>
      <c r="C34" s="8">
        <v>2.1111111640930176</v>
      </c>
      <c r="D34" s="9">
        <v>30</v>
      </c>
      <c r="E34" s="9">
        <v>40</v>
      </c>
      <c r="F34" s="9">
        <v>80</v>
      </c>
      <c r="G34" s="9">
        <v>0.38169348239898682</v>
      </c>
      <c r="H34" s="9">
        <v>0.5</v>
      </c>
      <c r="I34">
        <v>0</v>
      </c>
      <c r="J34"/>
    </row>
    <row r="35" spans="1:10" ht="15" customHeight="1" x14ac:dyDescent="0.15">
      <c r="A35" s="205">
        <v>34</v>
      </c>
      <c r="B35" s="205" t="s">
        <v>225</v>
      </c>
      <c r="C35" s="8">
        <v>1</v>
      </c>
      <c r="D35" s="9">
        <v>35</v>
      </c>
      <c r="E35" s="9">
        <v>240</v>
      </c>
      <c r="F35" s="10"/>
      <c r="G35" s="9">
        <v>0.27057430148124695</v>
      </c>
      <c r="H35" s="10"/>
      <c r="I35">
        <v>0</v>
      </c>
      <c r="J35"/>
    </row>
    <row r="36" spans="1:10" ht="15" customHeight="1" x14ac:dyDescent="0.15">
      <c r="A36" s="206">
        <v>35</v>
      </c>
      <c r="B36" s="206" t="s">
        <v>226</v>
      </c>
      <c r="C36" s="8">
        <v>1</v>
      </c>
      <c r="D36" s="9">
        <v>40</v>
      </c>
      <c r="E36" s="9">
        <v>20</v>
      </c>
      <c r="F36" s="10"/>
      <c r="G36" s="9">
        <v>0.68142175674438477</v>
      </c>
      <c r="H36" s="10"/>
      <c r="I36">
        <v>0</v>
      </c>
      <c r="J36"/>
    </row>
    <row r="37" spans="1:10" ht="15" customHeight="1" x14ac:dyDescent="0.15">
      <c r="A37" s="207">
        <v>36</v>
      </c>
      <c r="B37" s="207" t="s">
        <v>227</v>
      </c>
      <c r="C37" s="8">
        <v>1</v>
      </c>
      <c r="D37" s="9">
        <v>24</v>
      </c>
      <c r="E37" s="9">
        <v>24</v>
      </c>
      <c r="F37" s="10"/>
      <c r="G37" s="9">
        <v>0.965442955493927</v>
      </c>
      <c r="H37" s="10"/>
      <c r="I37">
        <v>0</v>
      </c>
      <c r="J37"/>
    </row>
    <row r="38" spans="1:10" ht="15" customHeight="1" x14ac:dyDescent="0.15">
      <c r="A38" s="208">
        <v>37</v>
      </c>
      <c r="B38" s="208" t="s">
        <v>228</v>
      </c>
      <c r="C38" s="8">
        <v>1</v>
      </c>
      <c r="D38" s="9">
        <v>100</v>
      </c>
      <c r="E38" s="10"/>
      <c r="F38" s="10"/>
      <c r="G38" s="9">
        <v>0.11560586839914322</v>
      </c>
      <c r="H38" s="10"/>
      <c r="I38">
        <v>0</v>
      </c>
      <c r="J38"/>
    </row>
    <row r="39" spans="1:10" ht="15" customHeight="1" x14ac:dyDescent="0.15">
      <c r="A39" s="209">
        <v>38</v>
      </c>
      <c r="B39" s="209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10">
        <v>39</v>
      </c>
      <c r="B40" s="210" t="s">
        <v>230</v>
      </c>
      <c r="C40" s="8">
        <v>4.0232362747192383</v>
      </c>
      <c r="D40" s="10"/>
      <c r="E40" s="10"/>
      <c r="F40" s="10"/>
      <c r="G40" s="10"/>
      <c r="H40" s="10"/>
      <c r="I40">
        <v>3.0261999927461147E-4</v>
      </c>
      <c r="J40"/>
    </row>
    <row r="41" spans="1:10" ht="15" customHeight="1" x14ac:dyDescent="0.15">
      <c r="A41" s="211">
        <v>40</v>
      </c>
      <c r="B41" s="211" t="s">
        <v>231</v>
      </c>
      <c r="C41" s="8">
        <v>4.4559364318847656</v>
      </c>
      <c r="D41" s="10"/>
      <c r="E41" s="10"/>
      <c r="F41" s="10"/>
      <c r="G41" s="10"/>
      <c r="H41" s="10"/>
      <c r="I41">
        <v>9.9139998201280832E-4</v>
      </c>
      <c r="J41"/>
    </row>
    <row r="42" spans="1:10" ht="15" customHeight="1" x14ac:dyDescent="0.15">
      <c r="A42" s="212">
        <v>41</v>
      </c>
      <c r="B42" s="212" t="s">
        <v>232</v>
      </c>
      <c r="C42" s="8">
        <v>3.6271355152130127</v>
      </c>
      <c r="D42" s="10"/>
      <c r="E42" s="10"/>
      <c r="F42" s="10"/>
      <c r="G42" s="10"/>
      <c r="H42" s="10"/>
      <c r="I42">
        <v>6.6370097920298576E-3</v>
      </c>
      <c r="J42"/>
    </row>
    <row r="43" spans="1:10" ht="15" customHeight="1" x14ac:dyDescent="0.15">
      <c r="A43" s="213">
        <v>42</v>
      </c>
      <c r="B43" s="213" t="s">
        <v>233</v>
      </c>
      <c r="C43" s="8">
        <v>4.5594258308410645</v>
      </c>
      <c r="D43" s="10"/>
      <c r="E43" s="10"/>
      <c r="F43" s="10"/>
      <c r="G43" s="10"/>
      <c r="H43" s="10"/>
      <c r="I43">
        <v>7.0958502590656281E-2</v>
      </c>
      <c r="J43"/>
    </row>
    <row r="44" spans="1:10" ht="15" customHeight="1" x14ac:dyDescent="0.15">
      <c r="A44" s="214">
        <v>43</v>
      </c>
      <c r="B44" s="214" t="s">
        <v>234</v>
      </c>
      <c r="C44" s="8">
        <v>4.9101581573486328</v>
      </c>
      <c r="D44" s="10"/>
      <c r="E44" s="10"/>
      <c r="F44" s="10"/>
      <c r="G44" s="10"/>
      <c r="H44" s="10"/>
      <c r="I44">
        <v>4.6360003761947155E-3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0.33000001311302185</v>
      </c>
      <c r="C2">
        <v>0.30029737949371338</v>
      </c>
      <c r="D2" s="11">
        <v>6.6600068748812191E-6</v>
      </c>
      <c r="E2" s="11">
        <v>1.6983016394078732E-4</v>
      </c>
      <c r="F2" s="18">
        <v>4.1914754547178745E-3</v>
      </c>
      <c r="G2" s="215">
        <v>2.2870464250445366E-2</v>
      </c>
      <c r="H2" s="22">
        <v>2.4642024654895067E-3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0.18999999761581421</v>
      </c>
      <c r="C3">
        <v>0.18990261852741241</v>
      </c>
      <c r="D3" s="11">
        <v>9.7382428066339344E-5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0.55000001192092896</v>
      </c>
      <c r="C4">
        <v>0.48917967081069946</v>
      </c>
      <c r="D4" s="11">
        <v>4.1237112213821092E-7</v>
      </c>
      <c r="E4" s="11">
        <v>1.0515463509364054E-4</v>
      </c>
      <c r="F4" s="12">
        <v>1.92051543854177E-3</v>
      </c>
      <c r="G4"/>
      <c r="H4" s="219">
        <v>4.703092947602272E-2</v>
      </c>
      <c r="I4" s="64">
        <v>1.176333986222744E-2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0.44999998807907104</v>
      </c>
      <c r="C5">
        <v>0.35579901933670044</v>
      </c>
      <c r="D5" s="11">
        <v>1.4388489262273652E-6</v>
      </c>
      <c r="E5" s="11">
        <v>7.1942445174499881E-6</v>
      </c>
      <c r="F5"/>
      <c r="G5" s="67">
        <v>4.1639566421508789E-2</v>
      </c>
      <c r="H5"/>
      <c r="I5" s="25">
        <v>1.3983110897243023E-2</v>
      </c>
      <c r="J5"/>
      <c r="K5"/>
      <c r="L5"/>
      <c r="M5"/>
      <c r="N5"/>
      <c r="O5"/>
      <c r="P5"/>
      <c r="Q5" s="227">
        <v>6.669577956199646E-2</v>
      </c>
      <c r="R5" s="22">
        <v>3.2489958684891462E-3</v>
      </c>
      <c r="S5"/>
      <c r="T5" s="231">
        <v>0.20494745671749115</v>
      </c>
      <c r="U5"/>
      <c r="V5"/>
      <c r="W5"/>
      <c r="X5"/>
      <c r="Y5"/>
      <c r="Z5"/>
      <c r="AA5"/>
      <c r="AB5"/>
      <c r="AC5"/>
      <c r="AD5"/>
      <c r="AE5"/>
      <c r="AF5"/>
      <c r="AG5" s="223">
        <v>2.2463236004114151E-2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0.49000000953674316</v>
      </c>
      <c r="C6">
        <v>0.70821493864059448</v>
      </c>
      <c r="D6" s="11">
        <v>1.428571340511553E-5</v>
      </c>
      <c r="E6" s="12">
        <v>1.7126050079241395E-3</v>
      </c>
      <c r="F6" s="11">
        <v>2.2689075649395818E-6</v>
      </c>
      <c r="G6" s="68">
        <v>2.4955462664365768E-2</v>
      </c>
      <c r="H6"/>
      <c r="I6"/>
      <c r="J6"/>
      <c r="K6"/>
      <c r="L6"/>
      <c r="M6"/>
      <c r="N6"/>
      <c r="O6"/>
      <c r="P6"/>
      <c r="Q6" s="108">
        <v>3.2866299152374268E-2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 s="218">
        <v>7.5316518545150757E-2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0.40000000596046448</v>
      </c>
      <c r="C7">
        <v>0.15996269881725311</v>
      </c>
      <c r="D7" s="11">
        <v>2.0377359760459512E-5</v>
      </c>
      <c r="E7" s="11">
        <v>1.7094340000767261E-4</v>
      </c>
      <c r="F7" s="11">
        <v>5.660377837557462E-7</v>
      </c>
      <c r="G7" s="28">
        <v>1.8906038254499435E-2</v>
      </c>
      <c r="H7"/>
      <c r="I7"/>
      <c r="J7"/>
      <c r="K7"/>
      <c r="L7"/>
      <c r="M7"/>
      <c r="N7"/>
      <c r="O7"/>
      <c r="P7"/>
      <c r="Q7" s="143">
        <v>2.4598047137260437E-2</v>
      </c>
      <c r="R7"/>
      <c r="S7"/>
      <c r="T7"/>
      <c r="U7"/>
      <c r="V7" s="238">
        <v>0.1813494861125946</v>
      </c>
      <c r="W7" s="228">
        <v>7.4408918619155884E-2</v>
      </c>
      <c r="X7"/>
      <c r="Y7"/>
      <c r="Z7"/>
      <c r="AA7"/>
      <c r="AB7"/>
      <c r="AC7"/>
      <c r="AD7"/>
      <c r="AE7"/>
      <c r="AF7"/>
      <c r="AG7" s="142">
        <v>1.1782659217715263E-2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0.89999997615814209</v>
      </c>
      <c r="C8">
        <v>5.1972251385450363E-2</v>
      </c>
      <c r="D8" s="11">
        <v>4.1084636137611596E-8</v>
      </c>
      <c r="E8"/>
      <c r="F8" s="11">
        <v>4.1084633473076337E-9</v>
      </c>
      <c r="G8" s="12">
        <v>3.3366063144057989E-3</v>
      </c>
      <c r="H8"/>
      <c r="I8"/>
      <c r="J8"/>
      <c r="K8"/>
      <c r="L8" s="27">
        <v>3.1693894416093826E-2</v>
      </c>
      <c r="M8"/>
      <c r="N8" s="65">
        <v>5.3025152534246445E-2</v>
      </c>
      <c r="O8" s="246">
        <v>0.1029474288225174</v>
      </c>
      <c r="P8" s="73">
        <v>8.4769077599048615E-2</v>
      </c>
      <c r="Q8" s="23">
        <v>5.058622919023037E-3</v>
      </c>
      <c r="R8" s="229">
        <v>8.0450728535652161E-2</v>
      </c>
      <c r="S8" s="245">
        <v>0.10094112902879715</v>
      </c>
      <c r="T8" s="75">
        <v>5.8150790631771088E-2</v>
      </c>
      <c r="U8"/>
      <c r="V8" s="107">
        <v>0.14172293245792389</v>
      </c>
      <c r="W8" s="224">
        <v>4.0506083518266678E-2</v>
      </c>
      <c r="X8"/>
      <c r="Y8"/>
      <c r="Z8"/>
      <c r="AA8"/>
      <c r="AB8"/>
      <c r="AC8"/>
      <c r="AD8"/>
      <c r="AE8" s="248">
        <v>0.13264185190200806</v>
      </c>
      <c r="AF8"/>
      <c r="AG8" s="16">
        <v>1.3469697907567024E-2</v>
      </c>
      <c r="AH8" s="11">
        <v>1.5770371828693897E-4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0.89999997615814209</v>
      </c>
      <c r="C9">
        <v>0.33571776747703552</v>
      </c>
      <c r="D9"/>
      <c r="E9"/>
      <c r="F9"/>
      <c r="G9"/>
      <c r="H9"/>
      <c r="I9"/>
      <c r="J9"/>
      <c r="K9"/>
      <c r="L9"/>
      <c r="M9"/>
      <c r="N9" s="239">
        <v>7.2073034942150116E-2</v>
      </c>
      <c r="O9" s="243">
        <v>0.1882140040397644</v>
      </c>
      <c r="P9" s="217">
        <v>6.4537994563579559E-2</v>
      </c>
      <c r="Q9" s="14">
        <v>1.6376225976273417E-3</v>
      </c>
      <c r="R9"/>
      <c r="S9" s="15">
        <v>8.3917742595076561E-3</v>
      </c>
      <c r="T9"/>
      <c r="U9"/>
      <c r="V9" s="75">
        <v>5.7623032480478287E-2</v>
      </c>
      <c r="W9" s="64">
        <v>2.0265530794858932E-2</v>
      </c>
      <c r="X9"/>
      <c r="Y9"/>
      <c r="Z9"/>
      <c r="AA9"/>
      <c r="AB9"/>
      <c r="AC9"/>
      <c r="AD9" s="218">
        <v>0.13838577270507812</v>
      </c>
      <c r="AE9"/>
      <c r="AF9" s="17">
        <v>1.3153421692550182E-2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0.31999999284744263</v>
      </c>
      <c r="C10">
        <v>1.3688007593154907</v>
      </c>
      <c r="D10"/>
      <c r="E10" s="11">
        <v>4.8275862354785204E-5</v>
      </c>
      <c r="F10"/>
      <c r="G10"/>
      <c r="H10"/>
      <c r="I10"/>
      <c r="J10"/>
      <c r="K10"/>
      <c r="L10"/>
      <c r="M10"/>
      <c r="N10" s="77">
        <v>5.3737219423055649E-2</v>
      </c>
      <c r="O10"/>
      <c r="P10"/>
      <c r="Q10" s="220">
        <v>3.4965042024850845E-2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 s="221">
        <v>5.150957778096199E-2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0.37000000476837158</v>
      </c>
      <c r="C11">
        <v>0.28256967663764954</v>
      </c>
      <c r="D11" s="11">
        <v>6.122449576650979E-6</v>
      </c>
      <c r="E11"/>
      <c r="F11"/>
      <c r="G11" s="143">
        <v>2.2265305742621422E-2</v>
      </c>
      <c r="H11"/>
      <c r="I11"/>
      <c r="J11"/>
      <c r="K11"/>
      <c r="L11"/>
      <c r="M11"/>
      <c r="N11"/>
      <c r="O11"/>
      <c r="P11"/>
      <c r="Q11" s="222">
        <v>3.2518506050109863E-2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 s="222">
        <v>3.2640382647514343E-2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0.60000002384185791</v>
      </c>
      <c r="C12">
        <v>3.6787178367376328E-2</v>
      </c>
      <c r="D12"/>
      <c r="E12"/>
      <c r="F12"/>
      <c r="G12"/>
      <c r="H12"/>
      <c r="I12"/>
      <c r="J12"/>
      <c r="K12" s="23">
        <v>3.4687146544456482E-3</v>
      </c>
      <c r="L12" s="27">
        <v>2.1566377952694893E-2</v>
      </c>
      <c r="M12"/>
      <c r="N12" s="68">
        <v>3.0729345977306366E-2</v>
      </c>
      <c r="O12"/>
      <c r="P12" s="106">
        <v>7.4548333883285522E-2</v>
      </c>
      <c r="Q12" s="16">
        <v>9.2628477141261101E-3</v>
      </c>
      <c r="R12"/>
      <c r="S12"/>
      <c r="T12" s="73">
        <v>5.7009473443031311E-2</v>
      </c>
      <c r="U12"/>
      <c r="V12" s="109">
        <v>0.17750862240791321</v>
      </c>
      <c r="W12" s="235">
        <v>5.8958955109119415E-2</v>
      </c>
      <c r="X12"/>
      <c r="Y12"/>
      <c r="Z12"/>
      <c r="AA12"/>
      <c r="AB12"/>
      <c r="AC12" s="237">
        <v>6.3749641180038452E-2</v>
      </c>
      <c r="AD12"/>
      <c r="AE12" s="226">
        <v>6.0683872550725937E-2</v>
      </c>
      <c r="AF12" s="23">
        <v>3.6026125308126211E-3</v>
      </c>
      <c r="AG12" s="12">
        <v>2.1240848582237959E-3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0.60000002384185791</v>
      </c>
      <c r="C13">
        <v>0.59772765636444092</v>
      </c>
      <c r="D13" s="11">
        <v>6.2923885479904129E-7</v>
      </c>
      <c r="E13" s="11">
        <v>3.56568671122659E-6</v>
      </c>
      <c r="F13" s="11">
        <v>1.2270156730664894E-6</v>
      </c>
      <c r="G13" s="12">
        <v>2.2669376339763403E-3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2.0499999523162842</v>
      </c>
      <c r="C14">
        <v>7.5249560177326202E-2</v>
      </c>
      <c r="D14" s="11">
        <v>8.7757499045437726E-9</v>
      </c>
      <c r="E14"/>
      <c r="F14"/>
      <c r="G14" s="11">
        <v>2.6590521429170622E-6</v>
      </c>
      <c r="H14"/>
      <c r="I14" s="11">
        <v>6.0081099945819005E-5</v>
      </c>
      <c r="J14" s="11">
        <v>3.1156238401308656E-4</v>
      </c>
      <c r="K14" s="21">
        <v>4.1943695396184921E-2</v>
      </c>
      <c r="L14" s="11">
        <v>3.7095186416991055E-4</v>
      </c>
      <c r="M14"/>
      <c r="N14" s="22">
        <v>1.4633261598646641E-2</v>
      </c>
      <c r="O14" s="142">
        <v>6.1571311205625534E-2</v>
      </c>
      <c r="P14" s="12">
        <v>9.4470391049981117E-3</v>
      </c>
      <c r="Q14"/>
      <c r="R14" s="11">
        <v>1.9816098210867494E-4</v>
      </c>
      <c r="S14" s="27">
        <v>7.1299463510513306E-2</v>
      </c>
      <c r="T14" s="219">
        <v>0.17700064182281494</v>
      </c>
      <c r="U14" s="255">
        <v>0.4107111394405365</v>
      </c>
      <c r="V14" s="142">
        <v>5.9397842735052109E-2</v>
      </c>
      <c r="W14" s="18">
        <v>2.2447669878602028E-2</v>
      </c>
      <c r="X14"/>
      <c r="Y14"/>
      <c r="Z14"/>
      <c r="AA14"/>
      <c r="AB14"/>
      <c r="AC14" s="222">
        <v>0.18216803669929504</v>
      </c>
      <c r="AD14"/>
      <c r="AE14"/>
      <c r="AF14" s="11">
        <v>5.0347886281087995E-4</v>
      </c>
      <c r="AG14" s="16">
        <v>3.0150743201375008E-2</v>
      </c>
      <c r="AH14"/>
      <c r="AI14"/>
      <c r="AJ14"/>
      <c r="AK14"/>
      <c r="AL14"/>
      <c r="AM14" s="259">
        <v>0.89253270626068115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0.74000000953674316</v>
      </c>
      <c r="C15">
        <v>0.53668320178985596</v>
      </c>
      <c r="D15" s="11">
        <v>4.4225351302884519E-5</v>
      </c>
      <c r="E15"/>
      <c r="F15"/>
      <c r="G15" s="18">
        <v>8.4222536534070969E-3</v>
      </c>
      <c r="H15"/>
      <c r="I15"/>
      <c r="J15"/>
      <c r="K15" s="15">
        <v>7.1817045100033283E-3</v>
      </c>
      <c r="L15"/>
      <c r="M15"/>
      <c r="N15"/>
      <c r="O15"/>
      <c r="P15"/>
      <c r="Q15" s="25">
        <v>2.366647869348526E-2</v>
      </c>
      <c r="R15" s="12">
        <v>2.5442840997129679E-3</v>
      </c>
      <c r="S15"/>
      <c r="T15"/>
      <c r="U15"/>
      <c r="V15" s="139">
        <v>7.3613651096820831E-2</v>
      </c>
      <c r="W15" s="229">
        <v>6.6805131733417511E-2</v>
      </c>
      <c r="X15"/>
      <c r="Y15"/>
      <c r="Z15"/>
      <c r="AA15"/>
      <c r="AB15"/>
      <c r="AC15"/>
      <c r="AD15"/>
      <c r="AE15"/>
      <c r="AF15"/>
      <c r="AG15" s="24">
        <v>2.1039122715592384E-2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0.6600000262260437</v>
      </c>
      <c r="C16">
        <v>0.10398212075233459</v>
      </c>
      <c r="D16" s="11">
        <v>1.3534483150579035E-4</v>
      </c>
      <c r="E16"/>
      <c r="F16"/>
      <c r="G16"/>
      <c r="H16"/>
      <c r="I16"/>
      <c r="J16"/>
      <c r="K16"/>
      <c r="L16"/>
      <c r="M16"/>
      <c r="N16" s="66">
        <v>4.1723035275936127E-2</v>
      </c>
      <c r="O16"/>
      <c r="P16"/>
      <c r="Q16" s="224">
        <v>2.9970033094286919E-2</v>
      </c>
      <c r="R16"/>
      <c r="S16"/>
      <c r="T16"/>
      <c r="U16"/>
      <c r="V16" s="230">
        <v>0.22494626045227051</v>
      </c>
      <c r="W16" s="76">
        <v>0.14603337645530701</v>
      </c>
      <c r="X16"/>
      <c r="Y16"/>
      <c r="Z16"/>
      <c r="AA16"/>
      <c r="AB16"/>
      <c r="AC16"/>
      <c r="AD16"/>
      <c r="AE16"/>
      <c r="AF16" s="66">
        <v>4.184931144118309E-2</v>
      </c>
      <c r="AG16" s="226">
        <v>6.72931969165802E-2</v>
      </c>
      <c r="AH16" s="23">
        <v>4.0673855692148209E-3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1.0499999523162842</v>
      </c>
      <c r="C17">
        <v>0.31304252147674561</v>
      </c>
      <c r="D17" s="11">
        <v>4.2322299123043194E-6</v>
      </c>
      <c r="E17"/>
      <c r="F17" s="11">
        <v>9.4953878715386963E-7</v>
      </c>
      <c r="G17" s="14">
        <v>1.7703199991956353E-3</v>
      </c>
      <c r="H17"/>
      <c r="I17"/>
      <c r="J17"/>
      <c r="K17"/>
      <c r="L17" s="22">
        <v>7.4540330097079277E-3</v>
      </c>
      <c r="M17"/>
      <c r="N17" s="64">
        <v>2.28302963078022E-2</v>
      </c>
      <c r="O17" s="250">
        <v>0.26970875263214111</v>
      </c>
      <c r="P17" s="222">
        <v>9.2482268810272217E-2</v>
      </c>
      <c r="Q17" s="11">
        <v>1.0217673843726516E-3</v>
      </c>
      <c r="R17" s="14">
        <v>1.3477248139679432E-3</v>
      </c>
      <c r="S17" s="142">
        <v>3.0858492478728294E-2</v>
      </c>
      <c r="T17" s="247">
        <v>0.1470603346824646</v>
      </c>
      <c r="U17"/>
      <c r="V17" s="67">
        <v>9.6420697867870331E-2</v>
      </c>
      <c r="W17" s="64">
        <v>2.2417072206735611E-2</v>
      </c>
      <c r="X17"/>
      <c r="Y17"/>
      <c r="Z17"/>
      <c r="AA17"/>
      <c r="AB17"/>
      <c r="AC17"/>
      <c r="AD17"/>
      <c r="AE17" s="236">
        <v>2.502521313726902E-2</v>
      </c>
      <c r="AF17"/>
      <c r="AG17" s="19">
        <v>1.7831310629844666E-2</v>
      </c>
      <c r="AH17" s="11">
        <v>7.238995167426765E-4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1.7000000476837158</v>
      </c>
      <c r="C18">
        <v>1.2324463129043579</v>
      </c>
      <c r="D18"/>
      <c r="E18"/>
      <c r="F18"/>
      <c r="G18"/>
      <c r="H18"/>
      <c r="I18"/>
      <c r="J18"/>
      <c r="K18"/>
      <c r="L18"/>
      <c r="M18"/>
      <c r="N18" s="142">
        <v>4.8932075500488281E-2</v>
      </c>
      <c r="O18" s="226">
        <v>0.17457035183906555</v>
      </c>
      <c r="P18" s="13">
        <v>6.2580510973930359E-2</v>
      </c>
      <c r="Q18" s="11">
        <v>1.2301924871280789E-3</v>
      </c>
      <c r="R18"/>
      <c r="S18" s="12">
        <v>6.1913821846246719E-3</v>
      </c>
      <c r="T18"/>
      <c r="U18"/>
      <c r="V18" s="21">
        <v>3.3201262354850769E-2</v>
      </c>
      <c r="W18" s="22">
        <v>1.2530987150967121E-2</v>
      </c>
      <c r="X18"/>
      <c r="Y18"/>
      <c r="Z18"/>
      <c r="AA18"/>
      <c r="AB18"/>
      <c r="AC18"/>
      <c r="AD18" s="217">
        <v>0.12251988053321838</v>
      </c>
      <c r="AE18"/>
      <c r="AF18" s="12">
        <v>5.7557662948966026E-3</v>
      </c>
      <c r="AG18"/>
      <c r="AH18" s="11">
        <v>4.1233604861190543E-5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0.56999999284744263</v>
      </c>
      <c r="C19">
        <v>0.15465082228183746</v>
      </c>
      <c r="D19" s="11">
        <v>1.0685715096769854E-4</v>
      </c>
      <c r="E19"/>
      <c r="F19"/>
      <c r="G19"/>
      <c r="H19"/>
      <c r="I19" s="14">
        <v>6.5202522091567516E-4</v>
      </c>
      <c r="J19"/>
      <c r="K19" s="26">
        <v>1.4568600803613663E-2</v>
      </c>
      <c r="L19"/>
      <c r="M19"/>
      <c r="N19" s="233">
        <v>0.17810048162937164</v>
      </c>
      <c r="O19"/>
      <c r="P19"/>
      <c r="Q19" s="65">
        <v>3.3109754323959351E-2</v>
      </c>
      <c r="R19"/>
      <c r="S19"/>
      <c r="T19" s="232">
        <v>0.17173975706100464</v>
      </c>
      <c r="U19"/>
      <c r="V19"/>
      <c r="W19"/>
      <c r="X19"/>
      <c r="Y19"/>
      <c r="Z19"/>
      <c r="AA19"/>
      <c r="AB19"/>
      <c r="AC19"/>
      <c r="AD19"/>
      <c r="AE19"/>
      <c r="AF19"/>
      <c r="AG19" s="142">
        <v>1.7071746289730072E-2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0.44999998807907104</v>
      </c>
      <c r="C20">
        <v>0.39859926700592041</v>
      </c>
      <c r="D20"/>
      <c r="E20"/>
      <c r="F20"/>
      <c r="G20" s="14">
        <v>4.54954948509112E-4</v>
      </c>
      <c r="H20"/>
      <c r="I20"/>
      <c r="J20"/>
      <c r="K20"/>
      <c r="L20"/>
      <c r="M20"/>
      <c r="N20"/>
      <c r="O20"/>
      <c r="P20"/>
      <c r="Q20" s="225">
        <v>3.3930040895938873E-2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 s="25">
        <v>1.406488474458456E-2</v>
      </c>
      <c r="AH20" s="23">
        <v>2.9508564621210098E-3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2.0699999332427979</v>
      </c>
      <c r="C21">
        <v>1.5309437178075314E-2</v>
      </c>
      <c r="D21"/>
      <c r="E21"/>
      <c r="F21"/>
      <c r="G21"/>
      <c r="H21"/>
      <c r="I21"/>
      <c r="J21" s="11">
        <v>1.6883052885532379E-3</v>
      </c>
      <c r="K21"/>
      <c r="L21" s="15">
        <v>2.0675592124462128E-2</v>
      </c>
      <c r="M21" s="249">
        <v>0.41054984927177429</v>
      </c>
      <c r="N21" s="244">
        <v>0.19990772008895874</v>
      </c>
      <c r="O21" s="106">
        <v>0.25593012571334839</v>
      </c>
      <c r="P21" s="20">
        <v>8.7757624685764313E-2</v>
      </c>
      <c r="Q21" s="11">
        <v>1.2596099404618144E-3</v>
      </c>
      <c r="R21"/>
      <c r="S21" s="250">
        <v>0.52986520528793335</v>
      </c>
      <c r="T21" s="18">
        <v>2.2913349792361259E-2</v>
      </c>
      <c r="U21"/>
      <c r="V21" s="108">
        <v>0.13639539480209351</v>
      </c>
      <c r="W21" s="26">
        <v>5.4092817008495331E-2</v>
      </c>
      <c r="X21"/>
      <c r="Y21"/>
      <c r="Z21"/>
      <c r="AA21" s="222">
        <v>0.18278804421424866</v>
      </c>
      <c r="AB21"/>
      <c r="AC21"/>
      <c r="AD21" s="241">
        <v>0.10976848751306534</v>
      </c>
      <c r="AE21"/>
      <c r="AF21" s="23">
        <v>1.0553304105997086E-2</v>
      </c>
      <c r="AG21" s="16">
        <v>3.0545255169272423E-2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1.1100000143051147</v>
      </c>
      <c r="C22">
        <v>0.10251009464263916</v>
      </c>
      <c r="D22" s="11">
        <v>1.3154811313143E-5</v>
      </c>
      <c r="E22" s="11">
        <v>4.5941422285977751E-5</v>
      </c>
      <c r="F22" s="11">
        <v>4.7146445467660669E-6</v>
      </c>
      <c r="G22" s="11">
        <v>3.5502927494235337E-4</v>
      </c>
      <c r="H22"/>
      <c r="I22" s="11">
        <v>9.5676252385601401E-5</v>
      </c>
      <c r="J22" s="11">
        <v>7.216421072371304E-4</v>
      </c>
      <c r="K22" s="11">
        <v>3.8370606489479542E-4</v>
      </c>
      <c r="L22" s="26">
        <v>2.7711329981684685E-2</v>
      </c>
      <c r="M22" s="12">
        <v>4.4891415163874626E-3</v>
      </c>
      <c r="N22" s="242">
        <v>3.7800949066877365E-2</v>
      </c>
      <c r="O22" s="254">
        <v>0.1677340567111969</v>
      </c>
      <c r="P22"/>
      <c r="Q22" s="14">
        <v>3.2001473009586334E-3</v>
      </c>
      <c r="R22" s="11">
        <v>8.8095251703634858E-4</v>
      </c>
      <c r="S22" s="251">
        <v>9.4292633235454559E-2</v>
      </c>
      <c r="T22"/>
      <c r="U22" s="70">
        <v>7.7855847775936127E-2</v>
      </c>
      <c r="V22" s="68">
        <v>5.6748650968074799E-2</v>
      </c>
      <c r="W22" s="18">
        <v>1.3200577348470688E-2</v>
      </c>
      <c r="X22" s="254">
        <v>0.16792121529579163</v>
      </c>
      <c r="Y22"/>
      <c r="Z22" s="12">
        <v>4.1168853640556335E-3</v>
      </c>
      <c r="AA22" s="16">
        <v>1.7834309488534927E-2</v>
      </c>
      <c r="AB22"/>
      <c r="AC22" s="139">
        <v>0.11180456727743149</v>
      </c>
      <c r="AD22"/>
      <c r="AE22" s="68">
        <v>5.5919457226991653E-2</v>
      </c>
      <c r="AF22" s="11">
        <v>5.9088878333568573E-4</v>
      </c>
      <c r="AG22" s="27">
        <v>3.9193358272314072E-2</v>
      </c>
      <c r="AH22" s="11">
        <v>1.5910954971332103E-4</v>
      </c>
      <c r="AI22" s="26">
        <v>2.7769824489951134E-2</v>
      </c>
      <c r="AJ22"/>
      <c r="AK22"/>
      <c r="AL22" s="219">
        <v>9.6646144986152649E-2</v>
      </c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1.7799999713897705</v>
      </c>
      <c r="C23">
        <v>7.4087657034397125E-2</v>
      </c>
      <c r="D23"/>
      <c r="E23"/>
      <c r="F23"/>
      <c r="G23"/>
      <c r="H23"/>
      <c r="I23"/>
      <c r="J23"/>
      <c r="K23"/>
      <c r="L23" s="15">
        <v>1.8289949744939804E-2</v>
      </c>
      <c r="M23"/>
      <c r="N23" s="64">
        <v>3.847077488899231E-2</v>
      </c>
      <c r="O23" s="63">
        <v>9.6374638378620148E-2</v>
      </c>
      <c r="P23" s="110">
        <v>0.34437716007232666</v>
      </c>
      <c r="Q23" s="14">
        <v>2.1728274878114462E-3</v>
      </c>
      <c r="R23"/>
      <c r="S23" s="253">
        <v>0.23436348140239716</v>
      </c>
      <c r="T23"/>
      <c r="U23"/>
      <c r="V23" s="242">
        <v>6.0306567698717117E-2</v>
      </c>
      <c r="W23" s="19">
        <v>3.0296310782432556E-2</v>
      </c>
      <c r="X23"/>
      <c r="Y23" s="256">
        <v>0.61415183544158936</v>
      </c>
      <c r="Z23"/>
      <c r="AA23"/>
      <c r="AB23" s="70">
        <v>0.12738461792469025</v>
      </c>
      <c r="AC23"/>
      <c r="AD23" s="75">
        <v>0.11652348190546036</v>
      </c>
      <c r="AE23" s="15">
        <v>1.7739027738571167E-2</v>
      </c>
      <c r="AF23" s="12">
        <v>5.2618924528360367E-3</v>
      </c>
      <c r="AG23"/>
      <c r="AH23" s="11">
        <v>1.9992231682408601E-4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0.70999997854232788</v>
      </c>
      <c r="C24">
        <v>0.31088009476661682</v>
      </c>
      <c r="D24" s="11">
        <v>4.683908264269121E-5</v>
      </c>
      <c r="E24" s="14">
        <v>1.0181034449487925E-3</v>
      </c>
      <c r="F24" s="11">
        <v>9.7413794719614089E-6</v>
      </c>
      <c r="G24" s="216">
        <v>2.7719827368855476E-2</v>
      </c>
      <c r="H24"/>
      <c r="I24"/>
      <c r="J24"/>
      <c r="K24" s="15">
        <v>7.305423729121685E-3</v>
      </c>
      <c r="L24"/>
      <c r="M24"/>
      <c r="N24" s="66">
        <v>4.478101059794426E-2</v>
      </c>
      <c r="O24"/>
      <c r="P24"/>
      <c r="Q24" s="28">
        <v>3.3716291189193726E-2</v>
      </c>
      <c r="R24" s="14">
        <v>1.2977311853319407E-3</v>
      </c>
      <c r="S24" s="240">
        <v>0.26982682943344116</v>
      </c>
      <c r="T24"/>
      <c r="U24"/>
      <c r="V24" s="68">
        <v>3.6295343190431595E-2</v>
      </c>
      <c r="W24"/>
      <c r="X24"/>
      <c r="Y24"/>
      <c r="Z24"/>
      <c r="AA24" s="64">
        <v>1.5948275104165077E-2</v>
      </c>
      <c r="AB24"/>
      <c r="AC24"/>
      <c r="AD24"/>
      <c r="AE24"/>
      <c r="AF24"/>
      <c r="AG24" s="143">
        <v>4.2924646288156509E-2</v>
      </c>
      <c r="AH24" s="14">
        <v>8.0348167102783918E-4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0.60000002384185791</v>
      </c>
      <c r="C25">
        <v>1.0982428789138794</v>
      </c>
      <c r="D25" s="11">
        <v>4.4117646211816464E-6</v>
      </c>
      <c r="E25"/>
      <c r="F25" s="11">
        <v>8.8235287876159418E-7</v>
      </c>
      <c r="G25" s="217">
        <v>4.3969113379716873E-2</v>
      </c>
      <c r="H25"/>
      <c r="I25"/>
      <c r="J25"/>
      <c r="K25"/>
      <c r="L25"/>
      <c r="M25"/>
      <c r="N25" s="216">
        <v>2.3724859580397606E-2</v>
      </c>
      <c r="O25"/>
      <c r="P25"/>
      <c r="Q25" s="19">
        <v>1.0651114396750927E-2</v>
      </c>
      <c r="R25"/>
      <c r="S25"/>
      <c r="T25"/>
      <c r="U25"/>
      <c r="V25"/>
      <c r="W25" s="234">
        <v>0.49823147058486938</v>
      </c>
      <c r="X25"/>
      <c r="Y25"/>
      <c r="Z25"/>
      <c r="AA25"/>
      <c r="AB25"/>
      <c r="AC25"/>
      <c r="AD25"/>
      <c r="AE25"/>
      <c r="AF25" s="18">
        <v>6.490000057965517E-3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0.41999998688697815</v>
      </c>
      <c r="C26">
        <v>0.33518287539482117</v>
      </c>
      <c r="D26" s="11">
        <v>1.2345679351710714E-5</v>
      </c>
      <c r="E26" s="11">
        <v>3.3827160950750113E-4</v>
      </c>
      <c r="F26" s="11">
        <v>3.5226337786298245E-5</v>
      </c>
      <c r="G26" s="218">
        <v>6.4473249018192291E-2</v>
      </c>
      <c r="H26"/>
      <c r="I26" s="14">
        <v>4.6956547885201871E-4</v>
      </c>
      <c r="J26"/>
      <c r="K26"/>
      <c r="L26"/>
      <c r="M26"/>
      <c r="N26" s="16">
        <v>6.6390554420650005E-3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 s="25">
        <v>1.2849400751292706E-2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0.36000001430511475</v>
      </c>
      <c r="C27">
        <v>0.35410001873970032</v>
      </c>
      <c r="D27"/>
      <c r="E27" s="17">
        <v>4.9999994225800037E-3</v>
      </c>
      <c r="F27" s="14">
        <v>8.9999992633238435E-4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0.80000001192092896</v>
      </c>
      <c r="C28">
        <v>5.8186676353216171E-2</v>
      </c>
      <c r="D28" s="11">
        <v>1.7501914044260047E-5</v>
      </c>
      <c r="E28"/>
      <c r="F28"/>
      <c r="G28" s="11">
        <v>3.9198502781800926E-4</v>
      </c>
      <c r="H28"/>
      <c r="I28"/>
      <c r="J28" s="11">
        <v>1.9257159146945924E-4</v>
      </c>
      <c r="K28"/>
      <c r="L28"/>
      <c r="M28"/>
      <c r="N28"/>
      <c r="O28" s="252">
        <v>8.7035171687602997E-2</v>
      </c>
      <c r="P28" s="216">
        <v>3.1141651794314384E-2</v>
      </c>
      <c r="Q28"/>
      <c r="R28"/>
      <c r="S28" s="12">
        <v>2.9526145663112402E-3</v>
      </c>
      <c r="T28"/>
      <c r="U28" s="144">
        <v>0.28541770577430725</v>
      </c>
      <c r="V28"/>
      <c r="W28"/>
      <c r="X28"/>
      <c r="Y28"/>
      <c r="Z28" s="26">
        <v>2.0451396703720093E-2</v>
      </c>
      <c r="AA28" s="16">
        <v>1.2523271143436432E-2</v>
      </c>
      <c r="AB28"/>
      <c r="AC28" s="255">
        <v>0.16013523936271667</v>
      </c>
      <c r="AD28"/>
      <c r="AE28"/>
      <c r="AF28" s="12">
        <v>2.7448730543255806E-3</v>
      </c>
      <c r="AG28" s="64">
        <v>1.783965528011322E-2</v>
      </c>
      <c r="AH28"/>
      <c r="AI28" s="254">
        <v>0.12096969783306122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3.0999999046325684</v>
      </c>
      <c r="C29">
        <v>0.27018654346466064</v>
      </c>
      <c r="D29" s="11">
        <v>1.7684622832803143E-7</v>
      </c>
      <c r="E29" s="11">
        <v>1.6842497174707205E-8</v>
      </c>
      <c r="F29" s="11">
        <v>6.2447768868878484E-5</v>
      </c>
      <c r="G29" s="11">
        <v>2.4758471408858895E-4</v>
      </c>
      <c r="H29"/>
      <c r="I29" s="14">
        <v>9.0324738994240761E-3</v>
      </c>
      <c r="J29" s="14">
        <v>7.6799630187451839E-3</v>
      </c>
      <c r="K29"/>
      <c r="L29" s="12">
        <v>1.5128599479794502E-2</v>
      </c>
      <c r="M29" s="11">
        <v>1.4751346316188574E-3</v>
      </c>
      <c r="N29" s="14">
        <v>4.4833538122475147E-3</v>
      </c>
      <c r="O29" s="258">
        <v>0.47808259725570679</v>
      </c>
      <c r="P29" s="241">
        <v>0.16393302381038666</v>
      </c>
      <c r="Q29" s="11">
        <v>1.8297919305041432E-3</v>
      </c>
      <c r="R29" s="11">
        <v>8.7471830192953348E-4</v>
      </c>
      <c r="S29" s="14">
        <v>3.0942510347813368E-3</v>
      </c>
      <c r="T29" s="14">
        <v>4.0576532483100891E-3</v>
      </c>
      <c r="U29" s="66">
        <v>0.19549618661403656</v>
      </c>
      <c r="V29"/>
      <c r="W29"/>
      <c r="X29"/>
      <c r="Y29" s="241">
        <v>0.16136406362056732</v>
      </c>
      <c r="Z29" s="15">
        <v>3.0617784708738327E-2</v>
      </c>
      <c r="AA29" s="11">
        <v>2.9444897081702948E-3</v>
      </c>
      <c r="AB29"/>
      <c r="AC29" s="260">
        <v>1.5091867446899414</v>
      </c>
      <c r="AD29" s="241">
        <v>0.16158299148082733</v>
      </c>
      <c r="AE29" s="17">
        <v>4.4815436005592346E-2</v>
      </c>
      <c r="AF29" s="14">
        <v>6.838296540081501E-3</v>
      </c>
      <c r="AG29" s="22">
        <v>2.6951905339956284E-2</v>
      </c>
      <c r="AH29" s="11">
        <v>3.3638272725511342E-5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2.9000000953674316</v>
      </c>
      <c r="C30">
        <v>0.79508435726165771</v>
      </c>
      <c r="D30" s="9">
        <v>1.8013162073060585E-9</v>
      </c>
      <c r="E30"/>
      <c r="F30" s="11">
        <v>3.0130013328744099E-7</v>
      </c>
      <c r="G30" s="11">
        <v>2.1495704913832014E-6</v>
      </c>
      <c r="H30"/>
      <c r="I30" s="11">
        <v>9.6110052254516631E-6</v>
      </c>
      <c r="J30" s="11">
        <v>3.7971202982589602E-4</v>
      </c>
      <c r="K30"/>
      <c r="L30" s="11">
        <v>3.6167365033179522E-4</v>
      </c>
      <c r="M30" s="11">
        <v>7.4281770503148437E-4</v>
      </c>
      <c r="N30" s="11">
        <v>1.4239626470953226E-3</v>
      </c>
      <c r="O30" s="21">
        <v>5.9692401438951492E-2</v>
      </c>
      <c r="P30" s="22">
        <v>2.1006973460316658E-2</v>
      </c>
      <c r="Q30" s="11">
        <v>6.9581321440637112E-5</v>
      </c>
      <c r="R30" s="11">
        <v>2.7116439014207572E-6</v>
      </c>
      <c r="S30" s="11">
        <v>8.5797230713069439E-4</v>
      </c>
      <c r="T30" s="11">
        <v>1.4103977009654045E-3</v>
      </c>
      <c r="U30" s="236">
        <v>6.8997859954833984E-2</v>
      </c>
      <c r="V30" s="11">
        <v>4.4886569958180189E-4</v>
      </c>
      <c r="W30" s="11">
        <v>2.7062100707553327E-4</v>
      </c>
      <c r="X30" s="23">
        <v>1.7048457637429237E-2</v>
      </c>
      <c r="Y30" s="12">
        <v>1.3159892521798611E-2</v>
      </c>
      <c r="Z30" s="11">
        <v>1.8192181596532464E-3</v>
      </c>
      <c r="AA30" s="11">
        <v>8.2311144797131419E-4</v>
      </c>
      <c r="AB30" s="19">
        <v>5.3561057895421982E-2</v>
      </c>
      <c r="AC30" s="242">
        <v>9.5972627401351929E-2</v>
      </c>
      <c r="AD30" s="26">
        <v>7.6199881732463837E-2</v>
      </c>
      <c r="AE30" s="14">
        <v>4.494805820286274E-3</v>
      </c>
      <c r="AF30" s="11">
        <v>1.4627205673605204E-3</v>
      </c>
      <c r="AG30" s="11">
        <v>7.5929902959614992E-4</v>
      </c>
      <c r="AH30"/>
      <c r="AI30" s="143">
        <v>0.17575716972351074</v>
      </c>
      <c r="AJ30" s="23">
        <v>1.4260087162256241E-2</v>
      </c>
      <c r="AK30" s="256">
        <v>0.99999988079071045</v>
      </c>
      <c r="AL30" s="264">
        <v>0.47186771035194397</v>
      </c>
      <c r="AM30" s="22">
        <v>2.2052071988582611E-2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7.570000171661377</v>
      </c>
      <c r="C31">
        <v>0.26585307717323303</v>
      </c>
      <c r="D31"/>
      <c r="E31"/>
      <c r="F31" s="11">
        <v>6.9570099003612995E-4</v>
      </c>
      <c r="G31"/>
      <c r="H31"/>
      <c r="I31" s="11">
        <v>7.5039308285340667E-5</v>
      </c>
      <c r="J31" s="11">
        <v>7.0486008189618587E-3</v>
      </c>
      <c r="K31" s="11">
        <v>1.2717046774923801E-3</v>
      </c>
      <c r="L31" s="11">
        <v>2.4968506768345833E-3</v>
      </c>
      <c r="M31" s="11">
        <v>2.1556248248089105E-4</v>
      </c>
      <c r="N31" s="14">
        <v>9.1060036793351173E-3</v>
      </c>
      <c r="O31" s="242">
        <v>0.2541237473487854</v>
      </c>
      <c r="P31" s="15">
        <v>8.1250496208667755E-2</v>
      </c>
      <c r="Q31" s="11">
        <v>3.8028636481612921E-4</v>
      </c>
      <c r="R31"/>
      <c r="S31" s="14">
        <v>1.6612883657217026E-2</v>
      </c>
      <c r="T31" s="11">
        <v>1.9764923490583897E-3</v>
      </c>
      <c r="U31"/>
      <c r="V31" s="11">
        <v>1.7151553183794022E-3</v>
      </c>
      <c r="W31"/>
      <c r="X31" s="261">
        <v>2.7583129405975342</v>
      </c>
      <c r="Y31" s="262">
        <v>3.413724422454834</v>
      </c>
      <c r="Z31"/>
      <c r="AA31" s="11">
        <v>1.4570341445505619E-3</v>
      </c>
      <c r="AB31"/>
      <c r="AC31" s="14">
        <v>9.0826693922281265E-3</v>
      </c>
      <c r="AD31"/>
      <c r="AE31" s="18">
        <v>8.9880160987377167E-2</v>
      </c>
      <c r="AF31" s="11">
        <v>1.2165212538093328E-3</v>
      </c>
      <c r="AG31" s="11">
        <v>3.8936729542911053E-3</v>
      </c>
      <c r="AH31" s="11">
        <v>1.0486581595614552E-4</v>
      </c>
      <c r="AI31"/>
      <c r="AJ31"/>
      <c r="AK31"/>
      <c r="AL31" s="219">
        <v>0.64950650930404663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4.5900001525878906</v>
      </c>
      <c r="C32">
        <v>0.99716216325759888</v>
      </c>
      <c r="D32" s="11">
        <v>1.2424237638697377E-7</v>
      </c>
      <c r="E32"/>
      <c r="F32" s="11">
        <v>1.1665737110888585E-4</v>
      </c>
      <c r="G32" s="11">
        <v>1.3915145536884665E-3</v>
      </c>
      <c r="H32"/>
      <c r="I32" s="11">
        <v>7.1025096985977143E-5</v>
      </c>
      <c r="J32" s="11">
        <v>6.8920833291485906E-4</v>
      </c>
      <c r="K32" s="14">
        <v>5.0681056454777718E-3</v>
      </c>
      <c r="L32" s="63">
        <v>0.24945752322673798</v>
      </c>
      <c r="M32"/>
      <c r="N32" s="23">
        <v>2.5054877623915672E-2</v>
      </c>
      <c r="O32" s="251">
        <v>0.38914895057678223</v>
      </c>
      <c r="P32" s="13">
        <v>0.16686628758907318</v>
      </c>
      <c r="Q32"/>
      <c r="R32" s="11">
        <v>1.262455596588552E-3</v>
      </c>
      <c r="S32" s="142">
        <v>0.13879519701004028</v>
      </c>
      <c r="T32"/>
      <c r="U32"/>
      <c r="V32" s="24">
        <v>0.12605002522468567</v>
      </c>
      <c r="W32"/>
      <c r="X32" s="25">
        <v>0.14110620319843292</v>
      </c>
      <c r="Y32" s="13">
        <v>0.16757147014141083</v>
      </c>
      <c r="Z32"/>
      <c r="AA32" s="11">
        <v>3.1029528472572565E-3</v>
      </c>
      <c r="AB32"/>
      <c r="AC32" s="257">
        <v>1.8674532175064087</v>
      </c>
      <c r="AD32"/>
      <c r="AE32" s="12">
        <v>1.9835446029901505E-2</v>
      </c>
      <c r="AF32" s="14">
        <v>9.8695149645209312E-3</v>
      </c>
      <c r="AG32" s="236">
        <v>0.10393066704273224</v>
      </c>
      <c r="AH32" s="11">
        <v>4.9628014676272869E-4</v>
      </c>
      <c r="AI32"/>
      <c r="AJ32"/>
      <c r="AK32"/>
      <c r="AL32"/>
      <c r="AM32" s="13">
        <v>0.17549999058246613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20</v>
      </c>
      <c r="C33">
        <v>6.7736291885375977</v>
      </c>
      <c r="D33" s="11">
        <v>5.9860815326828742E-7</v>
      </c>
      <c r="E33"/>
      <c r="F33"/>
      <c r="G33" s="11">
        <v>1.3495892744685989E-5</v>
      </c>
      <c r="H33"/>
      <c r="I33"/>
      <c r="J33"/>
      <c r="K33"/>
      <c r="L33"/>
      <c r="M33"/>
      <c r="N33"/>
      <c r="O33" s="14">
        <v>1.9931716844439507E-2</v>
      </c>
      <c r="P33"/>
      <c r="Q33"/>
      <c r="R33"/>
      <c r="S33" s="14">
        <v>4.1447702795267105E-2</v>
      </c>
      <c r="T33"/>
      <c r="U33" s="13">
        <v>0.75798898935317993</v>
      </c>
      <c r="V33"/>
      <c r="W33"/>
      <c r="X33"/>
      <c r="Y33"/>
      <c r="Z33" s="11">
        <v>5.4959743283689022E-3</v>
      </c>
      <c r="AA33"/>
      <c r="AB33" s="11">
        <v>1.4418838545680046E-2</v>
      </c>
      <c r="AC33" s="220">
        <v>2.1812162399291992</v>
      </c>
      <c r="AD33" s="235">
        <v>1.974753737449646</v>
      </c>
      <c r="AE33" s="14">
        <v>5.5989645421504974E-2</v>
      </c>
      <c r="AF33"/>
      <c r="AG33"/>
      <c r="AH33"/>
      <c r="AI33"/>
      <c r="AJ33" s="75">
        <v>1.2924193143844604</v>
      </c>
      <c r="AK33"/>
      <c r="AL33" s="263">
        <v>6.1139945983886719</v>
      </c>
      <c r="AM33" s="216">
        <v>0.76870071887969971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40</v>
      </c>
      <c r="C34">
        <v>24.732261657714844</v>
      </c>
      <c r="D34"/>
      <c r="E34"/>
      <c r="F34"/>
      <c r="G34"/>
      <c r="H34"/>
      <c r="I34"/>
      <c r="J34"/>
      <c r="K34"/>
      <c r="L34"/>
      <c r="M34"/>
      <c r="N34"/>
      <c r="O34" s="14">
        <v>5.7555846869945526E-2</v>
      </c>
      <c r="P34" s="11">
        <v>2.0632792264223099E-2</v>
      </c>
      <c r="Q34"/>
      <c r="R34"/>
      <c r="S34" s="11">
        <v>7.620849646627903E-3</v>
      </c>
      <c r="T34"/>
      <c r="U34" s="68">
        <v>2.0506258010864258</v>
      </c>
      <c r="V34"/>
      <c r="W34"/>
      <c r="X34"/>
      <c r="Y34"/>
      <c r="Z34" s="11">
        <v>8.752798312343657E-4</v>
      </c>
      <c r="AA34"/>
      <c r="AB34"/>
      <c r="AC34"/>
      <c r="AD34"/>
      <c r="AE34"/>
      <c r="AF34"/>
      <c r="AG34"/>
      <c r="AH34"/>
      <c r="AI34" s="12">
        <v>0.13938792049884796</v>
      </c>
      <c r="AJ34" s="15">
        <v>0.39582410454750061</v>
      </c>
      <c r="AK34" s="215">
        <v>2.7757480144500732</v>
      </c>
      <c r="AL34" s="15">
        <v>0.35897842049598694</v>
      </c>
      <c r="AM34" s="23">
        <v>0.23542691767215729</v>
      </c>
      <c r="AN34" s="25">
        <v>1.2250640392303467</v>
      </c>
      <c r="AO34" s="255">
        <v>8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240</v>
      </c>
      <c r="C35">
        <v>175.06216430664062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11">
        <v>9.617488831281662E-2</v>
      </c>
      <c r="V35"/>
      <c r="W35"/>
      <c r="X35"/>
      <c r="Y35"/>
      <c r="Z35"/>
      <c r="AA35"/>
      <c r="AB35" s="11">
        <v>3.5958860069513321E-2</v>
      </c>
      <c r="AC35"/>
      <c r="AD35"/>
      <c r="AE35"/>
      <c r="AF35"/>
      <c r="AG35"/>
      <c r="AH35"/>
      <c r="AI35" s="14">
        <v>0.47790145874023438</v>
      </c>
      <c r="AJ35" s="23">
        <v>1.5606780052185059</v>
      </c>
      <c r="AK35" s="216">
        <v>9.516850471496582</v>
      </c>
      <c r="AL35"/>
      <c r="AM35"/>
      <c r="AN35" s="64">
        <v>5.250274658203125</v>
      </c>
      <c r="AO35" s="255">
        <v>48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20</v>
      </c>
      <c r="C36">
        <v>6.3715648651123047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17">
        <v>0.26116457581520081</v>
      </c>
      <c r="V36"/>
      <c r="W36"/>
      <c r="X36"/>
      <c r="Y36"/>
      <c r="Z36" s="11">
        <v>1.262422651052475E-3</v>
      </c>
      <c r="AA36"/>
      <c r="AB36"/>
      <c r="AC36" s="22">
        <v>0.14703664183616638</v>
      </c>
      <c r="AD36"/>
      <c r="AE36" s="11">
        <v>4.4347564107738435E-4</v>
      </c>
      <c r="AF36"/>
      <c r="AG36"/>
      <c r="AH36"/>
      <c r="AI36"/>
      <c r="AJ36"/>
      <c r="AK36" s="267">
        <v>12.490867614746094</v>
      </c>
      <c r="AL36" s="13">
        <v>0.72765886783599854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24</v>
      </c>
      <c r="C37">
        <v>0.82936906814575195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11">
        <v>9.6727637574076653E-3</v>
      </c>
      <c r="V37"/>
      <c r="W37"/>
      <c r="X37"/>
      <c r="Y37"/>
      <c r="Z37" s="11">
        <v>4.2080754064954817E-4</v>
      </c>
      <c r="AA37"/>
      <c r="AB37"/>
      <c r="AC37"/>
      <c r="AD37"/>
      <c r="AE37"/>
      <c r="AF37"/>
      <c r="AG37"/>
      <c r="AH37"/>
      <c r="AI37" s="22">
        <v>0.17423491179943085</v>
      </c>
      <c r="AJ37" s="229">
        <v>2.1770327091217041</v>
      </c>
      <c r="AK37" s="266">
        <v>10.409056663513184</v>
      </c>
      <c r="AL37" s="19">
        <v>0.40021237730979919</v>
      </c>
      <c r="AM37"/>
      <c r="AN37"/>
      <c r="AO37" s="265">
        <v>10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0.11560586839914322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s="9">
        <v>12.88411808013916</v>
      </c>
      <c r="V38"/>
      <c r="W38"/>
      <c r="X38"/>
      <c r="Y38"/>
      <c r="Z38" s="9">
        <v>1.00993812084198E-2</v>
      </c>
      <c r="AA38"/>
      <c r="AB38" s="9">
        <v>11.437439918518066</v>
      </c>
      <c r="AC38"/>
      <c r="AD38"/>
      <c r="AE38"/>
      <c r="AF38"/>
      <c r="AG38"/>
      <c r="AH38"/>
      <c r="AI38" s="9">
        <v>27.598814010620117</v>
      </c>
      <c r="AJ38" s="9">
        <v>104.49756622314453</v>
      </c>
      <c r="AK38" s="9">
        <v>333.08975219726562</v>
      </c>
      <c r="AL38" s="9">
        <v>98.961593627929688</v>
      </c>
      <c r="AM38"/>
      <c r="AN38" s="9">
        <v>147.0076904296875</v>
      </c>
      <c r="AO38" s="9">
        <v>240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4" t="s">
        <v>192</v>
      </c>
      <c r="E5">
        <v>4</v>
      </c>
      <c r="F5">
        <v>3.14</v>
      </c>
      <c r="G5">
        <v>4</v>
      </c>
      <c r="H5" s="195" t="s">
        <v>192</v>
      </c>
      <c r="J5" s="56"/>
      <c r="K5" s="57"/>
    </row>
    <row r="6" spans="1:12" ht="14" thickBot="1" x14ac:dyDescent="0.2">
      <c r="A6" s="40" t="s">
        <v>121</v>
      </c>
      <c r="D6" s="194" t="s">
        <v>193</v>
      </c>
      <c r="E6">
        <v>5</v>
      </c>
      <c r="F6">
        <v>3.24</v>
      </c>
      <c r="G6">
        <v>5</v>
      </c>
      <c r="H6" s="195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4" t="s">
        <v>194</v>
      </c>
      <c r="E7">
        <v>6</v>
      </c>
      <c r="F7">
        <v>3.14</v>
      </c>
      <c r="G7">
        <v>6</v>
      </c>
      <c r="H7" s="195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4" t="s">
        <v>195</v>
      </c>
      <c r="E8">
        <v>7</v>
      </c>
      <c r="F8">
        <v>3.24</v>
      </c>
      <c r="G8">
        <v>7</v>
      </c>
      <c r="H8" s="195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4" t="s">
        <v>196</v>
      </c>
      <c r="E9">
        <v>8</v>
      </c>
      <c r="F9">
        <v>3.24</v>
      </c>
      <c r="G9">
        <v>8</v>
      </c>
      <c r="H9" s="195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4" t="s">
        <v>197</v>
      </c>
      <c r="E10">
        <v>9</v>
      </c>
      <c r="F10">
        <v>3.24</v>
      </c>
      <c r="G10">
        <v>9</v>
      </c>
      <c r="H10" s="195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4" t="s">
        <v>198</v>
      </c>
      <c r="E11">
        <v>10</v>
      </c>
      <c r="F11">
        <v>3.24</v>
      </c>
      <c r="G11">
        <v>10</v>
      </c>
      <c r="H11" s="195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4" t="s">
        <v>199</v>
      </c>
      <c r="E12">
        <v>11</v>
      </c>
      <c r="F12">
        <v>3.24</v>
      </c>
      <c r="G12">
        <v>11</v>
      </c>
      <c r="H12" s="195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4" t="s">
        <v>200</v>
      </c>
      <c r="E13">
        <v>12</v>
      </c>
      <c r="F13">
        <v>3.24</v>
      </c>
      <c r="G13">
        <v>12</v>
      </c>
      <c r="H13" s="195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4" t="s">
        <v>201</v>
      </c>
      <c r="E14">
        <v>13</v>
      </c>
      <c r="F14">
        <v>3.24</v>
      </c>
      <c r="G14">
        <v>13</v>
      </c>
      <c r="H14" s="195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4" t="s">
        <v>202</v>
      </c>
      <c r="E15">
        <v>14</v>
      </c>
      <c r="F15">
        <v>3.14</v>
      </c>
      <c r="G15">
        <v>14</v>
      </c>
      <c r="H15" s="195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4" t="s">
        <v>203</v>
      </c>
      <c r="E16">
        <v>15</v>
      </c>
      <c r="F16">
        <v>3.14</v>
      </c>
      <c r="G16">
        <v>15</v>
      </c>
      <c r="H16" s="195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4" t="s">
        <v>204</v>
      </c>
      <c r="E17">
        <v>16</v>
      </c>
      <c r="F17">
        <v>3.14</v>
      </c>
      <c r="G17">
        <v>16</v>
      </c>
      <c r="H17" s="195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4" t="s">
        <v>205</v>
      </c>
      <c r="E18">
        <v>17</v>
      </c>
      <c r="F18">
        <v>3.15</v>
      </c>
      <c r="G18">
        <v>17</v>
      </c>
      <c r="H18" s="195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4" t="s">
        <v>206</v>
      </c>
      <c r="E19">
        <v>18</v>
      </c>
      <c r="F19">
        <v>3.15</v>
      </c>
      <c r="G19">
        <v>18</v>
      </c>
      <c r="H19" s="195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4" t="s">
        <v>207</v>
      </c>
      <c r="E20">
        <v>19</v>
      </c>
      <c r="F20">
        <v>3.24</v>
      </c>
      <c r="G20">
        <v>19</v>
      </c>
      <c r="H20" s="195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4" t="s">
        <v>208</v>
      </c>
      <c r="E21">
        <v>20</v>
      </c>
      <c r="F21">
        <v>3.24</v>
      </c>
      <c r="G21">
        <v>20</v>
      </c>
      <c r="H21" s="195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4" t="s">
        <v>209</v>
      </c>
      <c r="E22">
        <v>21</v>
      </c>
      <c r="F22">
        <v>3.24</v>
      </c>
      <c r="G22">
        <v>21</v>
      </c>
      <c r="H22" s="195" t="s">
        <v>209</v>
      </c>
    </row>
    <row r="23" spans="1:12" x14ac:dyDescent="0.15">
      <c r="A23" s="35" t="s">
        <v>129</v>
      </c>
      <c r="B23" s="43">
        <v>4</v>
      </c>
      <c r="C23" s="37"/>
      <c r="D23" s="194" t="s">
        <v>210</v>
      </c>
      <c r="E23">
        <v>22</v>
      </c>
      <c r="F23">
        <v>3.24</v>
      </c>
      <c r="G23">
        <v>22</v>
      </c>
      <c r="H23" s="195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4" t="s">
        <v>211</v>
      </c>
      <c r="E24">
        <v>23</v>
      </c>
      <c r="F24">
        <v>3.04</v>
      </c>
      <c r="G24">
        <v>23</v>
      </c>
      <c r="H24" s="195" t="s">
        <v>211</v>
      </c>
    </row>
    <row r="25" spans="1:12" x14ac:dyDescent="0.15">
      <c r="A25" s="35" t="s">
        <v>70</v>
      </c>
      <c r="B25" s="43">
        <v>4.2</v>
      </c>
      <c r="C25" s="37"/>
      <c r="D25" s="194" t="s">
        <v>212</v>
      </c>
      <c r="E25">
        <v>24</v>
      </c>
      <c r="F25">
        <v>3.04</v>
      </c>
      <c r="G25">
        <v>24</v>
      </c>
      <c r="H25" s="195" t="s">
        <v>212</v>
      </c>
    </row>
    <row r="26" spans="1:12" x14ac:dyDescent="0.15">
      <c r="A26" s="35" t="s">
        <v>123</v>
      </c>
      <c r="B26" s="43">
        <v>4.3</v>
      </c>
      <c r="C26" s="37"/>
      <c r="D26" s="194" t="s">
        <v>213</v>
      </c>
      <c r="E26">
        <v>25</v>
      </c>
      <c r="F26">
        <v>3.04</v>
      </c>
      <c r="G26">
        <v>25</v>
      </c>
      <c r="H26" s="195" t="s">
        <v>213</v>
      </c>
    </row>
    <row r="27" spans="1:12" x14ac:dyDescent="0.15">
      <c r="A27" s="35" t="s">
        <v>125</v>
      </c>
      <c r="B27" s="43">
        <v>6.1</v>
      </c>
      <c r="D27" s="194" t="s">
        <v>214</v>
      </c>
      <c r="E27">
        <v>26</v>
      </c>
      <c r="F27">
        <v>3.04</v>
      </c>
      <c r="G27">
        <v>26</v>
      </c>
      <c r="H27" s="195" t="s">
        <v>214</v>
      </c>
    </row>
    <row r="28" spans="1:12" x14ac:dyDescent="0.15">
      <c r="A28" s="35" t="s">
        <v>124</v>
      </c>
      <c r="B28" s="43">
        <v>6.2</v>
      </c>
      <c r="D28" s="194" t="s">
        <v>215</v>
      </c>
      <c r="E28">
        <v>27</v>
      </c>
      <c r="F28">
        <v>3.04</v>
      </c>
      <c r="G28">
        <v>27</v>
      </c>
      <c r="H28" s="195" t="s">
        <v>215</v>
      </c>
    </row>
    <row r="29" spans="1:12" x14ac:dyDescent="0.15">
      <c r="A29" s="35" t="s">
        <v>44</v>
      </c>
      <c r="B29" s="43">
        <v>5</v>
      </c>
      <c r="D29" s="194" t="s">
        <v>216</v>
      </c>
      <c r="E29">
        <v>28</v>
      </c>
      <c r="F29">
        <v>3.04</v>
      </c>
      <c r="G29">
        <v>28</v>
      </c>
      <c r="H29" s="195" t="s">
        <v>216</v>
      </c>
    </row>
    <row r="30" spans="1:12" x14ac:dyDescent="0.15">
      <c r="A30" s="35" t="s">
        <v>73</v>
      </c>
      <c r="B30" s="43">
        <v>7</v>
      </c>
      <c r="D30" s="194" t="s">
        <v>217</v>
      </c>
      <c r="E30">
        <v>29</v>
      </c>
      <c r="F30">
        <v>3.04</v>
      </c>
      <c r="G30">
        <v>29</v>
      </c>
      <c r="H30" s="195" t="s">
        <v>217</v>
      </c>
    </row>
    <row r="31" spans="1:12" x14ac:dyDescent="0.15">
      <c r="A31" s="35" t="s">
        <v>169</v>
      </c>
      <c r="B31" s="43">
        <v>3.14</v>
      </c>
      <c r="D31" s="194" t="s">
        <v>218</v>
      </c>
      <c r="E31">
        <v>30</v>
      </c>
      <c r="F31">
        <v>3.21</v>
      </c>
      <c r="G31">
        <v>30</v>
      </c>
      <c r="H31" s="195" t="s">
        <v>218</v>
      </c>
    </row>
    <row r="32" spans="1:12" ht="12" customHeight="1" thickBot="1" x14ac:dyDescent="0.2">
      <c r="A32" s="41" t="s">
        <v>170</v>
      </c>
      <c r="B32" s="44">
        <v>9</v>
      </c>
      <c r="D32" s="194" t="s">
        <v>219</v>
      </c>
      <c r="E32">
        <v>31</v>
      </c>
      <c r="F32">
        <v>3.2</v>
      </c>
      <c r="G32">
        <v>31</v>
      </c>
      <c r="H32" s="195" t="s">
        <v>219</v>
      </c>
    </row>
    <row r="33" spans="4:8" customFormat="1" ht="12" customHeight="1" x14ac:dyDescent="0.15">
      <c r="D33" s="194" t="s">
        <v>220</v>
      </c>
      <c r="E33">
        <v>32</v>
      </c>
      <c r="F33">
        <v>3.21</v>
      </c>
      <c r="G33">
        <v>32</v>
      </c>
      <c r="H33" s="195" t="s">
        <v>220</v>
      </c>
    </row>
    <row r="34" spans="4:8" customFormat="1" ht="12" customHeight="1" x14ac:dyDescent="0.15">
      <c r="D34" s="194" t="s">
        <v>221</v>
      </c>
      <c r="E34">
        <v>33</v>
      </c>
      <c r="F34">
        <v>3.02</v>
      </c>
      <c r="G34">
        <v>33</v>
      </c>
      <c r="H34" s="195" t="s">
        <v>221</v>
      </c>
    </row>
    <row r="35" spans="4:8" customFormat="1" x14ac:dyDescent="0.15">
      <c r="D35" s="194" t="s">
        <v>222</v>
      </c>
      <c r="E35">
        <v>34</v>
      </c>
      <c r="F35">
        <v>3.13</v>
      </c>
      <c r="G35">
        <v>34</v>
      </c>
      <c r="H35" s="195" t="s">
        <v>222</v>
      </c>
    </row>
    <row r="36" spans="4:8" customFormat="1" x14ac:dyDescent="0.15">
      <c r="D36" s="194" t="s">
        <v>223</v>
      </c>
      <c r="E36">
        <v>35</v>
      </c>
      <c r="F36">
        <v>3.11</v>
      </c>
      <c r="G36">
        <v>35</v>
      </c>
      <c r="H36" s="195" t="s">
        <v>223</v>
      </c>
    </row>
    <row r="37" spans="4:8" customFormat="1" ht="12" customHeight="1" x14ac:dyDescent="0.15">
      <c r="D37" s="194" t="s">
        <v>224</v>
      </c>
      <c r="E37">
        <v>36</v>
      </c>
      <c r="F37">
        <v>3.11</v>
      </c>
      <c r="G37">
        <v>36</v>
      </c>
      <c r="H37" s="195" t="s">
        <v>224</v>
      </c>
    </row>
    <row r="38" spans="4:8" customFormat="1" x14ac:dyDescent="0.15">
      <c r="D38" s="194" t="s">
        <v>225</v>
      </c>
      <c r="E38">
        <v>37</v>
      </c>
      <c r="F38">
        <v>2.1</v>
      </c>
      <c r="G38">
        <v>37</v>
      </c>
      <c r="H38" s="195" t="s">
        <v>225</v>
      </c>
    </row>
    <row r="39" spans="4:8" customFormat="1" x14ac:dyDescent="0.15">
      <c r="D39" s="194" t="s">
        <v>226</v>
      </c>
      <c r="E39">
        <v>38</v>
      </c>
      <c r="F39">
        <v>2.2000000000000002</v>
      </c>
      <c r="G39">
        <v>38</v>
      </c>
      <c r="H39" s="195" t="s">
        <v>226</v>
      </c>
    </row>
    <row r="40" spans="4:8" customFormat="1" x14ac:dyDescent="0.15">
      <c r="D40" s="194" t="s">
        <v>227</v>
      </c>
      <c r="E40">
        <v>39</v>
      </c>
      <c r="F40">
        <v>2.21</v>
      </c>
      <c r="G40">
        <v>39</v>
      </c>
      <c r="H40" s="195" t="s">
        <v>227</v>
      </c>
    </row>
    <row r="41" spans="4:8" customFormat="1" x14ac:dyDescent="0.15">
      <c r="D41" s="194" t="s">
        <v>228</v>
      </c>
      <c r="E41">
        <v>40</v>
      </c>
      <c r="F41">
        <v>4.0999999999999996</v>
      </c>
      <c r="G41">
        <v>40</v>
      </c>
      <c r="H41" s="195" t="s">
        <v>228</v>
      </c>
    </row>
    <row r="42" spans="4:8" customFormat="1" x14ac:dyDescent="0.15">
      <c r="D42" s="194" t="s">
        <v>229</v>
      </c>
      <c r="E42">
        <v>41</v>
      </c>
      <c r="F42">
        <v>4.3</v>
      </c>
      <c r="G42">
        <v>41</v>
      </c>
      <c r="H42" s="195" t="s">
        <v>229</v>
      </c>
    </row>
    <row r="43" spans="4:8" customFormat="1" x14ac:dyDescent="0.15">
      <c r="D43" s="194" t="s">
        <v>230</v>
      </c>
      <c r="E43">
        <v>42</v>
      </c>
      <c r="F43">
        <v>5</v>
      </c>
      <c r="G43">
        <v>42</v>
      </c>
      <c r="H43" s="195" t="s">
        <v>230</v>
      </c>
    </row>
    <row r="44" spans="4:8" customFormat="1" x14ac:dyDescent="0.15">
      <c r="D44" s="194" t="s">
        <v>231</v>
      </c>
      <c r="E44">
        <v>43</v>
      </c>
      <c r="F44">
        <v>5</v>
      </c>
      <c r="G44">
        <v>43</v>
      </c>
      <c r="H44" s="195" t="s">
        <v>231</v>
      </c>
    </row>
    <row r="45" spans="4:8" customFormat="1" x14ac:dyDescent="0.15">
      <c r="D45" s="194" t="s">
        <v>232</v>
      </c>
      <c r="E45">
        <v>44</v>
      </c>
      <c r="F45">
        <v>5</v>
      </c>
      <c r="G45">
        <v>44</v>
      </c>
      <c r="H45" s="195" t="s">
        <v>232</v>
      </c>
    </row>
    <row r="46" spans="4:8" customFormat="1" x14ac:dyDescent="0.15">
      <c r="D46" s="194" t="s">
        <v>233</v>
      </c>
      <c r="E46">
        <v>45</v>
      </c>
      <c r="F46">
        <v>5</v>
      </c>
      <c r="G46">
        <v>45</v>
      </c>
      <c r="H46" s="195" t="s">
        <v>233</v>
      </c>
    </row>
    <row r="47" spans="4:8" customFormat="1" x14ac:dyDescent="0.15">
      <c r="D47" s="194" t="s">
        <v>234</v>
      </c>
      <c r="E47">
        <v>46</v>
      </c>
      <c r="F47">
        <v>5</v>
      </c>
      <c r="G47">
        <v>46</v>
      </c>
      <c r="H47" s="195" t="s">
        <v>234</v>
      </c>
    </row>
    <row r="48" spans="4:8" customFormat="1" x14ac:dyDescent="0.15">
      <c r="D48" s="194" t="s">
        <v>138</v>
      </c>
      <c r="E48">
        <v>47</v>
      </c>
      <c r="F48">
        <v>6.1</v>
      </c>
      <c r="G48">
        <v>47</v>
      </c>
      <c r="H48" s="195" t="s">
        <v>138</v>
      </c>
    </row>
    <row r="49" spans="4:8" customFormat="1" x14ac:dyDescent="0.15">
      <c r="D49" s="194" t="s">
        <v>45</v>
      </c>
      <c r="E49">
        <v>48</v>
      </c>
      <c r="F49">
        <v>6.2</v>
      </c>
      <c r="G49">
        <v>48</v>
      </c>
      <c r="H49" s="195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.5" style="83" bestFit="1" customWidth="1"/>
    <col min="2" max="2" width="13.83203125" style="82" customWidth="1"/>
    <col min="3" max="3" width="16.5" style="82" customWidth="1"/>
    <col min="4" max="4" width="5.33203125" style="82" customWidth="1"/>
    <col min="5" max="5" width="13.83203125" style="82" customWidth="1"/>
    <col min="6" max="6" width="21.664062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1" customWidth="1"/>
    <col min="17" max="17" width="2.33203125" style="82" customWidth="1"/>
    <col min="18" max="18" width="2.33203125" style="72" customWidth="1"/>
    <col min="19" max="16384" width="11.5" style="82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4" t="s">
        <v>48</v>
      </c>
      <c r="L1" s="72"/>
      <c r="M1" s="84" t="s">
        <v>119</v>
      </c>
      <c r="N1" s="72"/>
      <c r="O1" s="84" t="s">
        <v>49</v>
      </c>
      <c r="P1" s="74"/>
      <c r="Q1" s="84" t="s">
        <v>50</v>
      </c>
      <c r="R1" s="69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2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2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6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1</v>
      </c>
      <c r="L6" s="82">
        <v>0</v>
      </c>
      <c r="M6" s="82">
        <v>1</v>
      </c>
      <c r="N6" s="82">
        <v>0</v>
      </c>
      <c r="O6" s="82">
        <v>1</v>
      </c>
      <c r="P6" s="71">
        <v>0</v>
      </c>
      <c r="Q6" s="82">
        <v>0</v>
      </c>
      <c r="R6" s="72">
        <v>1</v>
      </c>
      <c r="S6"/>
      <c r="T6"/>
    </row>
    <row r="7" spans="1:23" ht="15" customHeight="1" thickBot="1" x14ac:dyDescent="0.2">
      <c r="F7" s="196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1">
        <v>0</v>
      </c>
      <c r="Q7" s="82">
        <v>0</v>
      </c>
      <c r="R7" s="72">
        <v>1</v>
      </c>
      <c r="S7"/>
      <c r="T7"/>
    </row>
    <row r="8" spans="1:23" ht="15" customHeight="1" x14ac:dyDescent="0.15">
      <c r="A8" s="84" t="s">
        <v>56</v>
      </c>
      <c r="B8" s="91">
        <v>0.85924713584288048</v>
      </c>
      <c r="C8" s="197" t="s">
        <v>225</v>
      </c>
      <c r="D8" s="86" t="s">
        <v>160</v>
      </c>
      <c r="F8" s="196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1">
        <v>0</v>
      </c>
      <c r="Q8" s="82">
        <v>0</v>
      </c>
      <c r="R8" s="72">
        <v>1</v>
      </c>
      <c r="S8"/>
      <c r="T8"/>
      <c r="W8"/>
    </row>
    <row r="9" spans="1:23" ht="15" customHeight="1" x14ac:dyDescent="0.15">
      <c r="A9" s="126" t="s">
        <v>168</v>
      </c>
      <c r="B9" s="93">
        <v>8.1833060556464818E-2</v>
      </c>
      <c r="C9" s="197" t="s">
        <v>226</v>
      </c>
      <c r="D9" s="86" t="s">
        <v>160</v>
      </c>
      <c r="F9" s="196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1">
        <v>0</v>
      </c>
      <c r="Q9" s="82">
        <v>0</v>
      </c>
      <c r="R9" s="72">
        <v>1</v>
      </c>
      <c r="S9"/>
      <c r="T9"/>
      <c r="W9"/>
    </row>
    <row r="10" spans="1:23" ht="15" customHeight="1" x14ac:dyDescent="0.15">
      <c r="B10" s="93">
        <v>5.8919803600654665E-2</v>
      </c>
      <c r="C10" s="197" t="s">
        <v>227</v>
      </c>
      <c r="D10" s="86" t="s">
        <v>160</v>
      </c>
      <c r="F10" s="196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1">
        <v>0</v>
      </c>
      <c r="Q10" s="82">
        <v>0</v>
      </c>
      <c r="R10" s="72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6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1">
        <v>0</v>
      </c>
      <c r="Q11" s="82">
        <v>0</v>
      </c>
      <c r="R11" s="72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6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1">
        <v>0</v>
      </c>
      <c r="Q12" s="82">
        <v>0</v>
      </c>
      <c r="R12" s="72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6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1">
        <v>0</v>
      </c>
      <c r="Q13" s="82">
        <v>0</v>
      </c>
      <c r="R13" s="72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6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1">
        <v>0</v>
      </c>
      <c r="Q14" s="82">
        <v>0</v>
      </c>
      <c r="R14" s="72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6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1">
        <v>0</v>
      </c>
      <c r="Q15" s="82">
        <v>0</v>
      </c>
      <c r="R15" s="72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6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1">
        <v>0</v>
      </c>
      <c r="Q16" s="82">
        <v>0</v>
      </c>
      <c r="R16" s="72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6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1">
        <v>0</v>
      </c>
      <c r="Q17" s="82">
        <v>0</v>
      </c>
      <c r="R17" s="72">
        <v>1</v>
      </c>
      <c r="S17"/>
      <c r="T17"/>
    </row>
    <row r="18" spans="1:20" ht="15" customHeight="1" thickBot="1" x14ac:dyDescent="0.2">
      <c r="B18" s="94"/>
      <c r="F18" s="196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1">
        <v>0</v>
      </c>
      <c r="Q18" s="82">
        <v>0</v>
      </c>
      <c r="R18" s="72">
        <v>1</v>
      </c>
      <c r="S18"/>
      <c r="T18"/>
    </row>
    <row r="19" spans="1:20" ht="15" customHeight="1" x14ac:dyDescent="0.15">
      <c r="A19" s="84" t="s">
        <v>57</v>
      </c>
      <c r="B19" s="91">
        <v>0.85924713584288048</v>
      </c>
      <c r="C19" s="198" t="s">
        <v>225</v>
      </c>
      <c r="D19" s="86" t="s">
        <v>160</v>
      </c>
      <c r="F19" s="196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1">
        <v>0</v>
      </c>
      <c r="Q19" s="82">
        <v>0</v>
      </c>
      <c r="R19" s="72">
        <v>1</v>
      </c>
      <c r="S19"/>
      <c r="T19"/>
    </row>
    <row r="20" spans="1:20" ht="15" customHeight="1" x14ac:dyDescent="0.15">
      <c r="A20" s="126" t="s">
        <v>168</v>
      </c>
      <c r="B20" s="93">
        <v>8.1833060556464818E-2</v>
      </c>
      <c r="C20" s="198" t="s">
        <v>226</v>
      </c>
      <c r="D20" s="86" t="s">
        <v>160</v>
      </c>
      <c r="F20" s="196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1">
        <v>0</v>
      </c>
      <c r="Q20" s="82">
        <v>0</v>
      </c>
      <c r="R20" s="72">
        <v>1</v>
      </c>
      <c r="S20"/>
      <c r="T20"/>
    </row>
    <row r="21" spans="1:20" ht="15" customHeight="1" x14ac:dyDescent="0.15">
      <c r="B21" s="93">
        <v>5.8919803600654665E-2</v>
      </c>
      <c r="C21" s="198" t="s">
        <v>227</v>
      </c>
      <c r="D21" s="86" t="s">
        <v>160</v>
      </c>
      <c r="F21" s="196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1">
        <v>0</v>
      </c>
      <c r="Q21" s="82">
        <v>0</v>
      </c>
      <c r="R21" s="72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6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1">
        <v>0</v>
      </c>
      <c r="Q22" s="82">
        <v>0</v>
      </c>
      <c r="R22" s="72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6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1">
        <v>0</v>
      </c>
      <c r="Q23" s="82">
        <v>0</v>
      </c>
      <c r="R23" s="72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6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1">
        <v>0</v>
      </c>
      <c r="Q24" s="82">
        <v>0</v>
      </c>
      <c r="R24" s="72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6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1">
        <v>0</v>
      </c>
      <c r="Q25" s="82">
        <v>0</v>
      </c>
      <c r="R25" s="72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6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1">
        <v>0</v>
      </c>
      <c r="Q26" s="82">
        <v>0</v>
      </c>
      <c r="R26" s="72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6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1">
        <v>0</v>
      </c>
      <c r="Q27" s="82">
        <v>0</v>
      </c>
      <c r="R27" s="72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6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1">
        <v>0</v>
      </c>
      <c r="Q28" s="82">
        <v>0</v>
      </c>
      <c r="R28" s="72">
        <v>1</v>
      </c>
      <c r="S28"/>
      <c r="T28"/>
    </row>
    <row r="29" spans="1:20" ht="15" customHeight="1" x14ac:dyDescent="0.15">
      <c r="F29" s="196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1">
        <v>0</v>
      </c>
      <c r="Q29" s="82">
        <v>0</v>
      </c>
      <c r="R29" s="72">
        <v>1</v>
      </c>
      <c r="S29"/>
      <c r="T29"/>
    </row>
    <row r="30" spans="1:20" ht="15" customHeight="1" x14ac:dyDescent="0.15">
      <c r="F30" s="196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1">
        <v>0</v>
      </c>
      <c r="Q30" s="82">
        <v>0</v>
      </c>
      <c r="R30" s="72">
        <v>1</v>
      </c>
      <c r="S30"/>
      <c r="T30"/>
    </row>
    <row r="31" spans="1:20" ht="15" customHeight="1" x14ac:dyDescent="0.15">
      <c r="A31" s="127"/>
      <c r="B31" s="136" t="s">
        <v>17</v>
      </c>
      <c r="C31" s="136" t="s">
        <v>1</v>
      </c>
      <c r="D31" s="136" t="s">
        <v>161</v>
      </c>
      <c r="E31" s="137" t="s">
        <v>163</v>
      </c>
      <c r="F31" s="196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1">
        <v>0</v>
      </c>
      <c r="Q31" s="82">
        <v>0</v>
      </c>
      <c r="R31" s="72">
        <v>1</v>
      </c>
      <c r="S31"/>
      <c r="T31"/>
    </row>
    <row r="32" spans="1:20" ht="15" customHeight="1" x14ac:dyDescent="0.15">
      <c r="A32" s="199" t="s">
        <v>225</v>
      </c>
      <c r="B32" s="94">
        <v>35</v>
      </c>
      <c r="C32" s="94">
        <v>240</v>
      </c>
      <c r="D32" s="94">
        <v>8400</v>
      </c>
      <c r="E32" s="128">
        <v>0.85924713584288048</v>
      </c>
      <c r="F32" s="196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1">
        <v>0</v>
      </c>
      <c r="Q32" s="82">
        <v>0</v>
      </c>
      <c r="R32" s="72">
        <v>1</v>
      </c>
      <c r="S32"/>
      <c r="T32"/>
    </row>
    <row r="33" spans="1:20" ht="15" customHeight="1" x14ac:dyDescent="0.15">
      <c r="A33" s="199" t="s">
        <v>226</v>
      </c>
      <c r="B33" s="94">
        <v>40</v>
      </c>
      <c r="C33" s="94">
        <v>20</v>
      </c>
      <c r="D33" s="94">
        <v>800</v>
      </c>
      <c r="E33" s="128">
        <v>8.1833060556464818E-2</v>
      </c>
      <c r="F33" s="196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1">
        <v>0</v>
      </c>
      <c r="Q33" s="82">
        <v>0</v>
      </c>
      <c r="R33" s="72">
        <v>1</v>
      </c>
      <c r="S33"/>
      <c r="T33"/>
    </row>
    <row r="34" spans="1:20" ht="15" customHeight="1" x14ac:dyDescent="0.15">
      <c r="A34" s="199" t="s">
        <v>227</v>
      </c>
      <c r="B34" s="94">
        <v>24</v>
      </c>
      <c r="C34" s="94">
        <v>24</v>
      </c>
      <c r="D34" s="94">
        <v>576</v>
      </c>
      <c r="E34" s="128">
        <v>5.8919803600654665E-2</v>
      </c>
      <c r="F34" s="196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1">
        <v>0</v>
      </c>
      <c r="Q34" s="82">
        <v>0</v>
      </c>
      <c r="R34" s="72">
        <v>1</v>
      </c>
      <c r="S34"/>
      <c r="T34"/>
    </row>
    <row r="35" spans="1:20" ht="15" customHeight="1" x14ac:dyDescent="0.15">
      <c r="A35" s="129"/>
      <c r="B35" s="94"/>
      <c r="C35" s="94"/>
      <c r="D35" s="94"/>
      <c r="E35" s="128"/>
      <c r="F35" s="196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1">
        <v>0</v>
      </c>
      <c r="Q35" s="82">
        <v>0</v>
      </c>
      <c r="R35" s="72">
        <v>1</v>
      </c>
      <c r="S35"/>
      <c r="T35"/>
    </row>
    <row r="36" spans="1:20" ht="15" customHeight="1" x14ac:dyDescent="0.15">
      <c r="A36" s="130"/>
      <c r="B36" s="94"/>
      <c r="C36" s="94"/>
      <c r="D36" s="94"/>
      <c r="E36" s="128"/>
      <c r="F36" s="196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1">
        <v>0</v>
      </c>
      <c r="Q36" s="82">
        <v>0</v>
      </c>
      <c r="R36" s="72">
        <v>1</v>
      </c>
      <c r="S36"/>
      <c r="T36"/>
    </row>
    <row r="37" spans="1:20" ht="15" customHeight="1" x14ac:dyDescent="0.15">
      <c r="A37" s="130"/>
      <c r="B37" s="94"/>
      <c r="C37" s="94"/>
      <c r="D37" s="94"/>
      <c r="E37" s="128"/>
      <c r="F37" s="196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</v>
      </c>
      <c r="L37" s="82">
        <v>0</v>
      </c>
      <c r="M37" s="82">
        <v>1</v>
      </c>
      <c r="N37" s="82">
        <v>0</v>
      </c>
      <c r="O37" s="82">
        <v>1</v>
      </c>
      <c r="P37" s="71">
        <v>0</v>
      </c>
      <c r="Q37" s="82">
        <v>0</v>
      </c>
      <c r="R37" s="72">
        <v>1</v>
      </c>
      <c r="S37"/>
      <c r="T37"/>
    </row>
    <row r="38" spans="1:20" ht="15" customHeight="1" x14ac:dyDescent="0.15">
      <c r="A38" s="131"/>
      <c r="B38" s="94"/>
      <c r="C38" s="94"/>
      <c r="D38" s="94"/>
      <c r="E38" s="128"/>
      <c r="F38" s="196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1">
        <v>0</v>
      </c>
      <c r="Q38" s="82">
        <v>0</v>
      </c>
      <c r="R38" s="72">
        <v>1</v>
      </c>
      <c r="S38"/>
      <c r="T38"/>
    </row>
    <row r="39" spans="1:20" ht="15" customHeight="1" x14ac:dyDescent="0.15">
      <c r="A39" s="131"/>
      <c r="B39" s="94"/>
      <c r="C39" s="94"/>
      <c r="D39" s="94"/>
      <c r="E39" s="128"/>
      <c r="F39" s="196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1</v>
      </c>
      <c r="N39" s="82">
        <v>0</v>
      </c>
      <c r="O39" s="82">
        <v>0</v>
      </c>
      <c r="P39" s="71">
        <v>0</v>
      </c>
      <c r="Q39" s="82">
        <v>0</v>
      </c>
      <c r="R39" s="72">
        <v>1</v>
      </c>
      <c r="S39"/>
      <c r="T39"/>
    </row>
    <row r="40" spans="1:20" ht="15" customHeight="1" x14ac:dyDescent="0.15">
      <c r="A40" s="131"/>
      <c r="B40" s="94"/>
      <c r="C40" s="94"/>
      <c r="D40" s="94"/>
      <c r="E40" s="128"/>
      <c r="F40" s="196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0</v>
      </c>
      <c r="M40" s="82">
        <v>1</v>
      </c>
      <c r="N40" s="82">
        <v>0</v>
      </c>
      <c r="O40" s="82">
        <v>0</v>
      </c>
      <c r="P40" s="71">
        <v>0</v>
      </c>
      <c r="Q40" s="82">
        <v>0</v>
      </c>
      <c r="R40" s="72">
        <v>1</v>
      </c>
      <c r="S40"/>
      <c r="T40"/>
    </row>
    <row r="41" spans="1:20" ht="15" customHeight="1" thickBot="1" x14ac:dyDescent="0.2">
      <c r="A41" s="131"/>
      <c r="B41" s="94"/>
      <c r="C41" s="94"/>
      <c r="D41" s="95"/>
      <c r="E41" s="132"/>
      <c r="F41" s="196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1</v>
      </c>
      <c r="N41" s="82">
        <v>0</v>
      </c>
      <c r="O41" s="82">
        <v>0</v>
      </c>
      <c r="P41" s="71">
        <v>0</v>
      </c>
      <c r="Q41" s="82">
        <v>0</v>
      </c>
      <c r="R41" s="72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9776</v>
      </c>
      <c r="E42" s="135">
        <f>SUM(E32:E41)</f>
        <v>0.99999999999999989</v>
      </c>
      <c r="F42" s="196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1</v>
      </c>
      <c r="M42" s="82">
        <v>0</v>
      </c>
      <c r="N42" s="82">
        <v>1</v>
      </c>
      <c r="O42" s="82">
        <v>0</v>
      </c>
      <c r="P42" s="71">
        <v>1</v>
      </c>
      <c r="Q42" s="82">
        <v>0</v>
      </c>
      <c r="R42" s="72">
        <v>1</v>
      </c>
      <c r="S42"/>
      <c r="T42"/>
    </row>
    <row r="43" spans="1:20" ht="15" customHeight="1" x14ac:dyDescent="0.15">
      <c r="A43" s="82"/>
      <c r="F43" s="196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1</v>
      </c>
      <c r="M43" s="82">
        <v>0</v>
      </c>
      <c r="N43" s="82">
        <v>1</v>
      </c>
      <c r="O43" s="82">
        <v>0</v>
      </c>
      <c r="P43" s="71">
        <v>1</v>
      </c>
      <c r="Q43" s="82">
        <v>0</v>
      </c>
      <c r="R43" s="72">
        <v>1</v>
      </c>
      <c r="S43"/>
      <c r="T43"/>
    </row>
    <row r="44" spans="1:20" ht="15" customHeight="1" x14ac:dyDescent="0.15">
      <c r="A44" s="82"/>
      <c r="F44" s="196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1</v>
      </c>
      <c r="M44" s="82">
        <v>0</v>
      </c>
      <c r="N44" s="82">
        <v>0</v>
      </c>
      <c r="O44" s="82">
        <v>0</v>
      </c>
      <c r="P44" s="71">
        <v>0</v>
      </c>
      <c r="Q44" s="82">
        <v>0</v>
      </c>
      <c r="R44" s="72">
        <v>1</v>
      </c>
    </row>
    <row r="45" spans="1:20" ht="15" customHeight="1" x14ac:dyDescent="0.15">
      <c r="A45" s="82"/>
      <c r="F45" s="196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0</v>
      </c>
      <c r="O45" s="82">
        <v>0</v>
      </c>
      <c r="P45" s="71">
        <v>0</v>
      </c>
      <c r="Q45" s="82">
        <v>0</v>
      </c>
      <c r="R45" s="72">
        <v>1</v>
      </c>
    </row>
    <row r="46" spans="1:20" ht="15" customHeight="1" x14ac:dyDescent="0.15">
      <c r="A46" s="82"/>
      <c r="F46" s="196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1</v>
      </c>
      <c r="M46" s="82">
        <v>0</v>
      </c>
      <c r="N46" s="82">
        <v>0</v>
      </c>
      <c r="O46" s="82">
        <v>0</v>
      </c>
      <c r="P46" s="71">
        <v>0</v>
      </c>
      <c r="Q46" s="82">
        <v>0</v>
      </c>
      <c r="R46" s="72">
        <v>1</v>
      </c>
    </row>
    <row r="47" spans="1:20" ht="15" customHeight="1" x14ac:dyDescent="0.15">
      <c r="A47" s="82"/>
      <c r="F47" s="196" t="s">
        <v>233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1</v>
      </c>
      <c r="M47" s="82">
        <v>0</v>
      </c>
      <c r="N47" s="82">
        <v>0</v>
      </c>
      <c r="O47" s="82">
        <v>0</v>
      </c>
      <c r="P47" s="71">
        <v>0</v>
      </c>
      <c r="Q47" s="82">
        <v>0</v>
      </c>
      <c r="R47" s="72">
        <v>1</v>
      </c>
    </row>
    <row r="48" spans="1:20" ht="15" customHeight="1" x14ac:dyDescent="0.15">
      <c r="A48" s="82"/>
      <c r="F48" s="196" t="s">
        <v>234</v>
      </c>
      <c r="G48" s="82">
        <v>0</v>
      </c>
      <c r="H48" s="82">
        <v>0</v>
      </c>
      <c r="I48" s="82">
        <v>0</v>
      </c>
      <c r="J48" s="82">
        <v>0</v>
      </c>
      <c r="K48" s="82">
        <v>0</v>
      </c>
      <c r="L48" s="82">
        <v>1</v>
      </c>
      <c r="M48" s="82">
        <v>0</v>
      </c>
      <c r="N48" s="82">
        <v>0</v>
      </c>
      <c r="O48" s="82">
        <v>0</v>
      </c>
      <c r="P48" s="71">
        <v>0</v>
      </c>
      <c r="Q48" s="82">
        <v>0</v>
      </c>
      <c r="R48" s="72">
        <v>1</v>
      </c>
    </row>
    <row r="49" spans="6:18" s="8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2" customWidth="1"/>
    <col min="3" max="5" width="7.83203125" style="112" customWidth="1"/>
    <col min="6" max="8" width="8.83203125" style="6"/>
    <col min="9" max="9" width="13.6640625" style="6" customWidth="1"/>
    <col min="10" max="10" width="5.5" style="6" customWidth="1"/>
    <col min="11" max="11" width="9.1640625" style="6" customWidth="1"/>
    <col min="12" max="13" width="11.5" style="6" customWidth="1"/>
    <col min="14" max="14" width="11" style="6" customWidth="1"/>
    <col min="15" max="15" width="14" style="6" customWidth="1"/>
    <col min="16" max="16" width="13.5" style="6" customWidth="1"/>
    <col min="17" max="17" width="11.5" style="6" customWidth="1"/>
    <col min="18" max="18" width="10.6640625" style="6" customWidth="1"/>
    <col min="19" max="19" width="12.1640625" style="6" customWidth="1"/>
    <col min="20" max="20" width="11.83203125" style="6" customWidth="1"/>
    <col min="21" max="21" width="13.1640625" style="6" customWidth="1"/>
    <col min="22" max="23" width="8.5" style="6" customWidth="1"/>
    <col min="24" max="25" width="10.5" style="6" customWidth="1"/>
    <col min="26" max="26" width="12.6640625" style="6" customWidth="1"/>
    <col min="27" max="27" width="10.5" style="6" customWidth="1"/>
    <col min="28" max="28" width="10.6640625" style="6" customWidth="1"/>
    <col min="29" max="30" width="10" style="6" customWidth="1"/>
    <col min="31" max="32" width="10.6640625" style="6" customWidth="1"/>
    <col min="33" max="34" width="9.1640625" style="6" customWidth="1"/>
    <col min="35" max="35" width="14.83203125" style="6" customWidth="1"/>
    <col min="36" max="36" width="12.5" style="6" customWidth="1"/>
    <col min="37" max="37" width="10.83203125" style="6" customWidth="1"/>
    <col min="38" max="38" width="11.33203125" style="6" customWidth="1"/>
    <col min="39" max="39" width="6" customWidth="1"/>
    <col min="40" max="40" width="13.33203125" customWidth="1"/>
    <col min="41" max="41" width="14.1640625" customWidth="1"/>
    <col min="42" max="42" width="15.83203125" customWidth="1"/>
    <col min="43" max="43" width="16.5" customWidth="1"/>
    <col min="44" max="44" width="17" customWidth="1"/>
    <col min="45" max="45" width="7.6640625" customWidth="1"/>
    <col min="46" max="46" width="21.6640625" customWidth="1"/>
    <col min="47" max="47" width="13.5" customWidth="1"/>
    <col min="48" max="48" width="12.83203125" customWidth="1"/>
    <col min="49" max="49" width="6.5" customWidth="1"/>
    <col min="50" max="50" width="11.83203125" customWidth="1"/>
    <col min="51" max="51" width="8.1640625" customWidth="1"/>
    <col min="81" max="81" width="22.1640625" bestFit="1" customWidth="1"/>
  </cols>
  <sheetData>
    <row r="1" spans="1:51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1" t="s">
        <v>192</v>
      </c>
      <c r="J1" s="201" t="s">
        <v>193</v>
      </c>
      <c r="K1" s="201" t="s">
        <v>194</v>
      </c>
      <c r="L1" s="201" t="s">
        <v>195</v>
      </c>
      <c r="M1" s="201" t="s">
        <v>196</v>
      </c>
      <c r="N1" s="201" t="s">
        <v>197</v>
      </c>
      <c r="O1" s="201" t="s">
        <v>198</v>
      </c>
      <c r="P1" s="201" t="s">
        <v>199</v>
      </c>
      <c r="Q1" s="201" t="s">
        <v>200</v>
      </c>
      <c r="R1" s="201" t="s">
        <v>201</v>
      </c>
      <c r="S1" s="201" t="s">
        <v>202</v>
      </c>
      <c r="T1" s="201" t="s">
        <v>203</v>
      </c>
      <c r="U1" s="201" t="s">
        <v>204</v>
      </c>
      <c r="V1" s="201" t="s">
        <v>205</v>
      </c>
      <c r="W1" s="201" t="s">
        <v>206</v>
      </c>
      <c r="X1" s="201" t="s">
        <v>207</v>
      </c>
      <c r="Y1" s="201" t="s">
        <v>208</v>
      </c>
      <c r="Z1" s="201" t="s">
        <v>209</v>
      </c>
      <c r="AA1" s="201" t="s">
        <v>210</v>
      </c>
      <c r="AB1" s="201" t="s">
        <v>211</v>
      </c>
      <c r="AC1" s="201" t="s">
        <v>212</v>
      </c>
      <c r="AD1" s="201" t="s">
        <v>213</v>
      </c>
      <c r="AE1" s="201" t="s">
        <v>214</v>
      </c>
      <c r="AF1" s="201" t="s">
        <v>215</v>
      </c>
      <c r="AG1" s="201" t="s">
        <v>216</v>
      </c>
      <c r="AH1" s="201" t="s">
        <v>217</v>
      </c>
      <c r="AI1" s="201" t="s">
        <v>218</v>
      </c>
      <c r="AJ1" s="201" t="s">
        <v>219</v>
      </c>
      <c r="AK1" s="201" t="s">
        <v>220</v>
      </c>
      <c r="AL1" s="201" t="s">
        <v>221</v>
      </c>
      <c r="AM1" s="201" t="s">
        <v>222</v>
      </c>
      <c r="AN1" s="201" t="s">
        <v>223</v>
      </c>
      <c r="AO1" s="201" t="s">
        <v>224</v>
      </c>
      <c r="AP1" s="201" t="s">
        <v>225</v>
      </c>
      <c r="AQ1" s="201" t="s">
        <v>226</v>
      </c>
      <c r="AR1" s="201" t="s">
        <v>227</v>
      </c>
      <c r="AS1" s="201" t="s">
        <v>228</v>
      </c>
      <c r="AT1" s="201" t="s">
        <v>229</v>
      </c>
      <c r="AU1" s="201" t="s">
        <v>230</v>
      </c>
      <c r="AV1" s="201" t="s">
        <v>231</v>
      </c>
      <c r="AW1" s="201" t="s">
        <v>232</v>
      </c>
      <c r="AX1" s="201" t="s">
        <v>233</v>
      </c>
      <c r="AY1" s="201" t="s">
        <v>234</v>
      </c>
    </row>
    <row r="2" spans="1:51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200" t="s">
        <v>192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200" t="s">
        <v>193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200" t="s">
        <v>194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200" t="s">
        <v>195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200" t="s">
        <v>196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200" t="s">
        <v>197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200" t="s">
        <v>198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200" t="s">
        <v>199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200" t="s">
        <v>200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200" t="s">
        <v>201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200" t="s">
        <v>202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200" t="s">
        <v>203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204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205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206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207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208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209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210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211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212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213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214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215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216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217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218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219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220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221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222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223</v>
      </c>
      <c r="B36" s="112">
        <v>0</v>
      </c>
      <c r="C36"/>
      <c r="D36"/>
    </row>
    <row r="37" spans="1:38" ht="15" customHeight="1" x14ac:dyDescent="0.15">
      <c r="A37" s="200" t="s">
        <v>224</v>
      </c>
      <c r="B37" s="112">
        <v>0</v>
      </c>
      <c r="C37"/>
      <c r="D37"/>
    </row>
    <row r="38" spans="1:38" ht="15" customHeight="1" x14ac:dyDescent="0.15">
      <c r="A38" s="200" t="s">
        <v>225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226</v>
      </c>
      <c r="B39" s="112">
        <v>0</v>
      </c>
      <c r="C39"/>
      <c r="D39"/>
    </row>
    <row r="40" spans="1:38" ht="15" customHeight="1" x14ac:dyDescent="0.15">
      <c r="A40" s="200" t="s">
        <v>227</v>
      </c>
      <c r="B40" s="112">
        <v>0</v>
      </c>
      <c r="C40"/>
      <c r="D40"/>
    </row>
    <row r="41" spans="1:38" ht="15" customHeight="1" x14ac:dyDescent="0.15">
      <c r="A41" s="200" t="s">
        <v>228</v>
      </c>
      <c r="B41" s="112">
        <v>0</v>
      </c>
      <c r="C41"/>
      <c r="D41"/>
    </row>
    <row r="42" spans="1:38" ht="15" customHeight="1" x14ac:dyDescent="0.15">
      <c r="A42" s="200" t="s">
        <v>229</v>
      </c>
      <c r="B42" s="112">
        <v>0</v>
      </c>
    </row>
    <row r="43" spans="1:38" ht="15" customHeight="1" x14ac:dyDescent="0.15">
      <c r="A43" s="200" t="s">
        <v>230</v>
      </c>
      <c r="B43" s="112">
        <v>0</v>
      </c>
    </row>
    <row r="44" spans="1:38" ht="15" customHeight="1" x14ac:dyDescent="0.15">
      <c r="A44" s="200" t="s">
        <v>231</v>
      </c>
      <c r="B44" s="112">
        <v>0</v>
      </c>
    </row>
    <row r="45" spans="1:38" ht="15" customHeight="1" x14ac:dyDescent="0.15">
      <c r="A45" s="200" t="s">
        <v>232</v>
      </c>
      <c r="B45" s="112">
        <v>0</v>
      </c>
    </row>
    <row r="46" spans="1:38" ht="15" customHeight="1" x14ac:dyDescent="0.15">
      <c r="A46" s="200" t="s">
        <v>233</v>
      </c>
      <c r="B46" s="112">
        <v>0</v>
      </c>
    </row>
    <row r="47" spans="1:38" ht="15" customHeight="1" x14ac:dyDescent="0.15">
      <c r="A47" s="200" t="s">
        <v>234</v>
      </c>
      <c r="B47" s="112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2022-10-23T22:03:15Z</dcterms:modified>
</cp:coreProperties>
</file>