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8228C184-485F-B944-A546-0D5F9D961E54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Main!$C$2:$N$41</definedName>
    <definedName name="matDetritus">Detritus!$C$2:$E$41</definedName>
    <definedName name="matDiet">Diets!$B$2:$AL$41</definedName>
    <definedName name="matDiscards">Discards!$C$2:$C$40</definedName>
    <definedName name="matFishery">Fishing!$C$2:$C$40</definedName>
    <definedName name="matFishing">Fishing!#REF!</definedName>
    <definedName name="matMort">Mortalities!$A$1:$AQ$40</definedName>
    <definedName name="matOut">MainOutputs!$A$2:$I$41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<sst xmlns="http://schemas.openxmlformats.org/spreadsheetml/2006/main" count="1121" uniqueCount="236">
  <si>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</si>
  <si>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</si>
  <si>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</si>
  <si>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</si>
  <si>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</si>
  <si>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</si>
  <si>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</si>
  <si>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</si>
  <si>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</si>
  <si>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</si>
  <si>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</si>
  <si>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</si>
  <si>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</si>
  <si>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</si>
  <si>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</si>
  <si>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</si>
  <si>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</si>
  <si>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</si>
  <si>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</si>
  <si>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</si>
  <si>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</si>
  <si>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</si>
  <si>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</si>
  <si>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</si>
  <si>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</si>
  <si>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</si>
  <si>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</si>
  <si>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</si>
  <si>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</si>
  <si>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</si>
  <si>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</si>
  <si>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</si>
  <si>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</si>
  <si>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</si>
  <si>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</si>
  <si>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</si>
  <si>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</si>
  <si>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</si>
  <si>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</si>
  <si>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</si>
  <si>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</si>
  <si>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</si>
  <si>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</si>
  <si>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</si>
  <si>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</si>
  <si>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</si>
  <si>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</si>
  <si>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</si>
  <si>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</si>
  <si>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</si>
  <si>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</si>
  <si>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</si>
  <si>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</si>
  <si>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</si>
  <si>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</si>
  <si>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</si>
  <si>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</si>
  <si>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</si>
  <si>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</si>
  <si>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</si>
  <si>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</si>
  <si>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</si>
  <si>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</si>
  <si>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</si>
  <si>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</si>
  <si>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</si>
  <si>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</si>
  <si>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</si>
  <si>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</si>
  <si>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</si>
  <si>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</si>
  <si>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</si>
  <si>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</si>
  <si>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</si>
  <si>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</si>
  <si>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</si>
  <si>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</si>
  <si>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</si>
  <si>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</si>
  <si>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</si>
  <si>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</si>
  <si>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</si>
  <si>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</si>
  <si>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</si>
  <si>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</si>
  <si>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</si>
  <si>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</si>
  <si>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</si>
  <si>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</si>
  <si>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</si>
  <si>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</si>
  <si>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</si>
  <si>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</si>
  <si>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</si>
  <si>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</si>
  <si>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</si>
  <si>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</si>
  <si>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</si>
  <si>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</si>
  <si>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</si>
  <si>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</si>
  <si>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</si>
  <si>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</si>
  <si>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</si>
  <si>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</si>
  <si>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</si>
  <si>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</si>
  <si>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</si>
  <si>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</si>
  <si>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</si>
  <si>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</si>
  <si>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</si>
  <si>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</si>
  <si>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</si>
  <si>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</si>
  <si>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</si>
  <si>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</si>
  <si>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</si>
  <si>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</si>
  <si>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</si>
  <si>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</si>
  <si>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</si>
  <si>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</si>
  <si>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</si>
  <si>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</si>
  <si>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</si>
  <si>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</si>
  <si>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</si>
  <si>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</si>
  <si>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</si>
  <si>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</si>
  <si>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</si>
  <si>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</si>
  <si>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</si>
  <si>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</si>
  <si>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</si>
  <si>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</si>
  <si>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</si>
  <si>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</si>
  <si>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</si>
  <si>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</si>
  <si>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</si>
  <si>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</si>
  <si>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</si>
  <si>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</si>
  <si>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</si>
  <si>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</si>
  <si>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</si>
  <si>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</si>
  <si>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</si>
  <si>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</si>
  <si>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</si>
  <si>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</si>
  <si>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</si>
  <si>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</si>
  <si>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</si>
  <si>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</si>
  <si>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</si>
  <si>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</si>
  <si>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</si>
  <si>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</si>
  <si>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</si>
  <si>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</si>
  <si>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</si>
  <si>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</si>
  <si>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</si>
  <si>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</si>
  <si>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</si>
  <si>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</si>
  <si>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</si>
  <si>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</si>
  <si>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</si>
  <si>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</si>
  <si>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</si>
  <si>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</si>
  <si>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</si>
  <si>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</si>
  <si>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</si>
  <si>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</si>
  <si>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</si>
  <si>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</si>
  <si>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</si>
  <si>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</si>
  <si>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</si>
  <si>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</si>
  <si>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Mauritania</t>
  </si>
  <si>
    <t>BOX(-20.306967686016 16.020092876409,-14.8135481849691 21.1903700538649)</t>
  </si>
  <si>
    <t>open ocean</t>
  </si>
  <si>
    <t>WetWeight</t>
  </si>
  <si>
    <t>; 09/12/2002 17:20:19; 10/12/2002 17:05:16; 10/12/2002 17:19:15; 10/12/2002 17:56:40; 17/03/2003 9:18:23; 2003-03-20 15:09:55</t>
  </si>
  <si>
    <t>Ould Taleb Ould Sidi M.M.,Guénette S.(2004). Modèle trophique de la ZEE mauritanienne: comparaison de deux périodes (1987 et 1998) West African marine ecosystems: models and fisheries impacts. pp 12-38. In Palomares M.L.D.,Pauly D.</t>
  </si>
  <si>
    <t>orque</t>
  </si>
  <si>
    <t>dauphins</t>
  </si>
  <si>
    <t>oiseaux</t>
  </si>
  <si>
    <t>Selaciens L pred</t>
  </si>
  <si>
    <t>Selaciens L inv</t>
  </si>
  <si>
    <t>raie M</t>
  </si>
  <si>
    <t>thon hauturier</t>
  </si>
  <si>
    <t>thon cotier</t>
  </si>
  <si>
    <t>mesopel pred</t>
  </si>
  <si>
    <t>mesopel inv</t>
  </si>
  <si>
    <t>bathydem S pred</t>
  </si>
  <si>
    <t>bathydem S inv</t>
  </si>
  <si>
    <t>merlu</t>
  </si>
  <si>
    <t>sparides comm</t>
  </si>
  <si>
    <t>dem L pred</t>
  </si>
  <si>
    <t>dem L inv</t>
  </si>
  <si>
    <t>dem M pred</t>
  </si>
  <si>
    <t>dem M inv</t>
  </si>
  <si>
    <t>dem S pred</t>
  </si>
  <si>
    <t>dem S inv</t>
  </si>
  <si>
    <t>mugilides</t>
  </si>
  <si>
    <t>sabres</t>
  </si>
  <si>
    <t>pel L pred</t>
  </si>
  <si>
    <t>pel L inv</t>
  </si>
  <si>
    <t>pel M planc</t>
  </si>
  <si>
    <t>maquereau</t>
  </si>
  <si>
    <t>clupeides</t>
  </si>
  <si>
    <t>chinchards</t>
  </si>
  <si>
    <t>cephalopodes comm</t>
  </si>
  <si>
    <t>cephalopodes non-comm</t>
  </si>
  <si>
    <t>macrobenthos</t>
  </si>
  <si>
    <t>crustaces comm</t>
  </si>
  <si>
    <t>crustaces non-comm</t>
  </si>
  <si>
    <t>macrozooplancton</t>
  </si>
  <si>
    <t>meso zooplancton</t>
  </si>
  <si>
    <t>micro zooplancton</t>
  </si>
  <si>
    <t>producteurs primaires</t>
  </si>
  <si>
    <t>Detritus</t>
  </si>
  <si>
    <t>detritus_TerminalBenthic</t>
  </si>
  <si>
    <t>Fleet2</t>
  </si>
  <si>
    <t>Import</t>
  </si>
  <si>
    <t>export</t>
  </si>
  <si>
    <t>sum</t>
  </si>
  <si>
    <t>TOTAL</t>
  </si>
  <si>
    <t>F Fleet2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</si>
</sst>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58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FFE500"/>
        <bgColor indexed="64"/>
      </patternFill>
    </fill>
    <fill>
      <patternFill patternType="solid">
        <fgColor rgb="FFFF84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CDFF00"/>
        <bgColor indexed="64"/>
      </patternFill>
    </fill>
    <fill>
      <patternFill patternType="solid">
        <fgColor rgb="FFF8FF00"/>
        <bgColor indexed="64"/>
      </patternFill>
    </fill>
    <fill>
      <patternFill patternType="solid">
        <fgColor rgb="FFC9FF00"/>
        <bgColor indexed="64"/>
      </patternFill>
    </fill>
    <fill>
      <patternFill patternType="solid">
        <fgColor rgb="FFB5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DBFF00"/>
        <bgColor indexed="64"/>
      </patternFill>
    </fill>
    <fill>
      <patternFill patternType="solid">
        <fgColor rgb="FFF6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FFEA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FF71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FF39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FFA1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8F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81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1" fillId="0" borderId="0" xfId="0" applyFont="1" applyAlignment="1">
      <alignment horizontal="center"/>
    </xf>
    <xf numFmtId="0" fontId="0" fillId="37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9" borderId="0" xfId="0" applyFill="1"/>
    <xf numFmtId="0" fontId="0" fillId="0" borderId="0" xfId="0" applyFont="1" applyFill="1" applyAlignment="1">
      <alignment horizontal="center"/>
    </xf>
    <xf numFmtId="0" fontId="0" fillId="40" borderId="0" xfId="0" applyFill="1"/>
    <xf numFmtId="0" fontId="0" fillId="41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8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8" borderId="3" xfId="0" applyNumberFormat="1" applyFont="1" applyFill="1" applyBorder="1"/>
    <xf numFmtId="0" fontId="0" fillId="38" borderId="2" xfId="0" applyFont="1" applyFill="1" applyBorder="1"/>
    <xf numFmtId="0" fontId="0" fillId="38" borderId="3" xfId="0" applyFont="1" applyFill="1" applyBorder="1"/>
    <xf numFmtId="0" fontId="0" fillId="38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6" borderId="0" xfId="0" applyFill="1"/>
    <xf numFmtId="0" fontId="0" fillId="47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01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76" t="s">
        <v>171</v>
      </c>
      <c r="C53" s="110">
        <v>651</v>
      </c>
      <c r="D53" s="110"/>
    </row>
    <row r="54" spans="2:4" x14ac:dyDescent="0.15">
      <c r="B54" s="176" t="s">
        <v>172</v>
      </c>
      <c r="C54" s="176" t="s">
        <v>185</v>
      </c>
      <c r="D54" s="110"/>
    </row>
    <row r="55" spans="2:4" x14ac:dyDescent="0.15">
      <c r="B55" s="176" t="s">
        <v>173</v>
      </c>
      <c r="C55" s="176" t="s">
        <v>185</v>
      </c>
      <c r="D55" s="110"/>
    </row>
    <row r="56" spans="2:4" x14ac:dyDescent="0.15">
      <c r="B56" s="176" t="s">
        <v>174</v>
      </c>
      <c r="C56" s="110">
        <v>23400</v>
      </c>
      <c r="D56" s="110"/>
    </row>
    <row r="57" spans="2:4" x14ac:dyDescent="0.15">
      <c r="B57" s="176" t="s">
        <v>175</v>
      </c>
      <c r="C57" s="176" t="s">
        <v>186</v>
      </c>
      <c r="D57" s="110"/>
    </row>
    <row r="58" spans="2:4" x14ac:dyDescent="0.15">
      <c r="B58" s="176" t="s">
        <v>176</v>
      </c>
      <c r="C58" s="176" t="s">
        <v>187</v>
      </c>
      <c r="D58" s="110"/>
    </row>
    <row r="59" spans="2:4" x14ac:dyDescent="0.15">
      <c r="B59" s="176" t="s">
        <v>177</v>
      </c>
      <c r="C59" s="176" t="s">
        <v>188</v>
      </c>
      <c r="D59" s="110"/>
    </row>
    <row r="60" spans="2:4" x14ac:dyDescent="0.15">
      <c r="B60" s="176" t="s">
        <v>178</v>
      </c>
      <c r="C60" s="176" t="s">
        <v>189</v>
      </c>
      <c r="D60" s="110"/>
    </row>
    <row r="61" spans="2:4" x14ac:dyDescent="0.15">
      <c r="B61" s="176" t="s">
        <v>179</v>
      </c>
      <c r="C61" s="110">
        <v>38</v>
      </c>
      <c r="D61" s="110"/>
    </row>
    <row r="62" spans="2:4" x14ac:dyDescent="0.15">
      <c r="B62" s="176" t="s">
        <v>180</v>
      </c>
      <c r="C62" s="110">
        <v>1</v>
      </c>
      <c r="D62" s="110"/>
    </row>
    <row r="63" spans="2:4" x14ac:dyDescent="0.15">
      <c r="B63" s="176" t="s">
        <v>181</v>
      </c>
      <c r="C63" s="110">
        <v>1998</v>
      </c>
      <c r="D63" s="110"/>
    </row>
    <row r="64" spans="2:4" x14ac:dyDescent="0.15">
      <c r="B64" s="176" t="s">
        <v>182</v>
      </c>
      <c r="C64" s="110">
        <v>1</v>
      </c>
      <c r="D64" s="110"/>
    </row>
    <row r="65" spans="2:4" x14ac:dyDescent="0.15">
      <c r="B65" s="176" t="s">
        <v>183</v>
      </c>
      <c r="C65" s="176" t="s">
        <v>190</v>
      </c>
      <c r="D65" s="110"/>
    </row>
    <row r="66" spans="2:4" x14ac:dyDescent="0.15">
      <c r="B66" s="176" t="s">
        <v>184</v>
      </c>
      <c r="D66" s="110"/>
    </row>
    <row r="67" spans="2:4" x14ac:dyDescent="0.15">
      <c r="B67" s="110"/>
      <c r="C67" s="110"/>
      <c r="D67" s="110"/>
    </row>
    <row r="68" spans="2:4" x14ac:dyDescent="0.15">
      <c r="B68" s="110"/>
      <c r="C68" s="110"/>
      <c r="D68" s="110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7" sqref="Q7"/>
    </sheetView>
  </sheetViews>
  <sheetFormatPr baseColWidth="10" defaultColWidth="8.83203125" defaultRowHeight="15" customHeight="1" x14ac:dyDescent="0.15"/>
  <cols>
    <col min="1" max="1" width="22.5" style="82" customWidth="1"/>
    <col min="2" max="3" width="3.33203125" style="82" customWidth="1"/>
    <col min="4" max="4" width="14.33203125" style="82" customWidth="1"/>
    <col min="5" max="5" width="22" style="82" bestFit="1" customWidth="1"/>
    <col min="6" max="6" width="2.33203125" style="82" bestFit="1" customWidth="1"/>
    <col min="7" max="7" width="12.83203125" style="82" bestFit="1" customWidth="1"/>
    <col min="8" max="8" width="5.83203125" style="82" customWidth="1"/>
    <col min="9" max="9" width="10.83203125" style="82" customWidth="1"/>
    <col min="10" max="10" width="11.83203125" style="82" customWidth="1"/>
    <col min="11" max="11" width="12.83203125" style="82" customWidth="1"/>
    <col min="12" max="12" width="2.33203125" style="82" customWidth="1"/>
    <col min="13" max="13" width="4.83203125" style="82" customWidth="1"/>
    <col min="14" max="14" width="2.33203125" style="82" customWidth="1"/>
    <col min="16" max="25" width="8.83203125" style="82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2"/>
  </cols>
  <sheetData>
    <row r="1" spans="1:46" s="99" customFormat="1" ht="15" customHeight="1" x14ac:dyDescent="0.15">
      <c r="A1" s="78" t="s">
        <v>18</v>
      </c>
      <c r="C1" s="79" t="s">
        <v>8</v>
      </c>
      <c r="D1" s="78" t="s">
        <v>23</v>
      </c>
      <c r="E1" s="78" t="s">
        <v>0</v>
      </c>
      <c r="F1" s="78" t="s">
        <v>7</v>
      </c>
      <c r="G1" s="80" t="s">
        <v>13</v>
      </c>
      <c r="H1" s="78" t="s">
        <v>1</v>
      </c>
      <c r="I1" s="78" t="s">
        <v>2</v>
      </c>
      <c r="J1" s="78" t="s">
        <v>14</v>
      </c>
      <c r="K1" s="78" t="s">
        <v>3</v>
      </c>
      <c r="L1" s="78" t="s">
        <v>4</v>
      </c>
      <c r="M1" s="78" t="s">
        <v>5</v>
      </c>
      <c r="N1" s="78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9">
        <v>1</v>
      </c>
      <c r="D2"/>
      <c r="E2" s="177" t="s">
        <v>191</v>
      </c>
      <c r="F2" s="82">
        <v>0</v>
      </c>
      <c r="G2" s="82">
        <v>1E-4</v>
      </c>
      <c r="H2" s="82">
        <v>0.02</v>
      </c>
      <c r="I2" s="6">
        <v>7.58</v>
      </c>
      <c r="J2" s="6">
        <v>0</v>
      </c>
      <c r="K2" s="6">
        <v>2.6385223E-3</v>
      </c>
      <c r="L2" s="6">
        <v>0</v>
      </c>
      <c r="M2" s="82">
        <v>0.2</v>
      </c>
      <c r="N2" s="82">
        <v>0</v>
      </c>
    </row>
    <row r="3" spans="1:46" ht="15" customHeight="1" x14ac:dyDescent="0.15">
      <c r="A3" s="1" t="s">
        <v>9</v>
      </c>
      <c r="B3" s="4">
        <v>37</v>
      </c>
      <c r="C3" s="82">
        <v>2</v>
      </c>
      <c r="D3"/>
      <c r="E3" s="177" t="s">
        <v>192</v>
      </c>
      <c r="F3" s="82">
        <v>0</v>
      </c>
      <c r="G3" s="82">
        <v>3.1E-2</v>
      </c>
      <c r="H3" s="82">
        <v>0.06</v>
      </c>
      <c r="I3" s="82">
        <v>13.42</v>
      </c>
      <c r="J3" s="82">
        <v>0.38332749999999999</v>
      </c>
      <c r="K3" s="82">
        <v>4.4709390000000002E-3</v>
      </c>
      <c r="L3" s="82">
        <v>0</v>
      </c>
      <c r="M3" s="82">
        <v>0.2</v>
      </c>
      <c r="N3" s="82">
        <v>0</v>
      </c>
    </row>
    <row r="4" spans="1:46" ht="15" customHeight="1" x14ac:dyDescent="0.15">
      <c r="A4" s="1" t="s">
        <v>10</v>
      </c>
      <c r="B4" s="4">
        <v>2</v>
      </c>
      <c r="C4" s="82">
        <v>3</v>
      </c>
      <c r="D4"/>
      <c r="E4" s="177" t="s">
        <v>193</v>
      </c>
      <c r="F4" s="82">
        <v>0</v>
      </c>
      <c r="G4" s="82">
        <v>4.1063799999999998E-3</v>
      </c>
      <c r="H4" s="82">
        <v>5.5E-2</v>
      </c>
      <c r="I4" s="82">
        <v>89</v>
      </c>
      <c r="J4" s="82">
        <v>0.54189944300000004</v>
      </c>
      <c r="K4" s="82">
        <v>6.1797749999999998E-4</v>
      </c>
      <c r="L4" s="82">
        <v>0</v>
      </c>
      <c r="M4" s="82">
        <v>0.2</v>
      </c>
      <c r="N4" s="82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82">
        <v>4</v>
      </c>
      <c r="D5"/>
      <c r="E5" s="177" t="s">
        <v>194</v>
      </c>
      <c r="F5" s="82">
        <v>0</v>
      </c>
      <c r="G5" s="82">
        <v>0.13200000000000001</v>
      </c>
      <c r="H5" s="82">
        <v>0.19</v>
      </c>
      <c r="I5" s="82">
        <v>3.09</v>
      </c>
      <c r="J5" s="82">
        <v>0.8468637</v>
      </c>
      <c r="K5" s="82">
        <v>6.1488673100000002E-2</v>
      </c>
      <c r="L5" s="82">
        <v>0</v>
      </c>
      <c r="M5" s="82">
        <v>0.2</v>
      </c>
      <c r="N5" s="82">
        <v>0</v>
      </c>
      <c r="P5" s="72"/>
      <c r="Q5" s="72"/>
      <c r="R5" s="72"/>
    </row>
    <row r="6" spans="1:46" ht="15" customHeight="1" thickBot="1" x14ac:dyDescent="0.2">
      <c r="B6" s="1"/>
      <c r="C6" s="82">
        <v>5</v>
      </c>
      <c r="D6"/>
      <c r="E6" s="177" t="s">
        <v>195</v>
      </c>
      <c r="F6" s="82">
        <v>0</v>
      </c>
      <c r="G6" s="82">
        <v>2.20403466E-2</v>
      </c>
      <c r="H6" s="82">
        <v>0.14000000000000001</v>
      </c>
      <c r="I6" s="82">
        <v>2.4</v>
      </c>
      <c r="J6" s="82">
        <v>0.8</v>
      </c>
      <c r="K6" s="82">
        <v>5.8333330000000003E-2</v>
      </c>
      <c r="L6" s="82">
        <v>0</v>
      </c>
      <c r="M6" s="82">
        <v>0.2</v>
      </c>
      <c r="N6" s="82">
        <v>0</v>
      </c>
      <c r="P6" s="72"/>
      <c r="Q6" s="72"/>
      <c r="R6" s="72"/>
      <c r="W6" s="36" t="s">
        <v>31</v>
      </c>
      <c r="X6" s="52">
        <f>MAX(MainOutputs!G:G)</f>
        <v>0.97809737920761108</v>
      </c>
    </row>
    <row r="7" spans="1:46" ht="15" customHeight="1" x14ac:dyDescent="0.15">
      <c r="A7" s="2" t="s">
        <v>27</v>
      </c>
      <c r="B7" s="82">
        <f ca="1">COUNTIF(OFFSET(cornerDiets,1,1,NumLiving+NumDead+1,NumLiving+NumDead),"&gt;0")+NumLiving+NumDead+1</f>
        <v>378</v>
      </c>
      <c r="C7" s="82">
        <v>6</v>
      </c>
      <c r="D7"/>
      <c r="E7" s="177" t="s">
        <v>196</v>
      </c>
      <c r="F7" s="82">
        <v>0</v>
      </c>
      <c r="G7" s="82">
        <v>1.34999063E-2</v>
      </c>
      <c r="H7" s="82">
        <v>0.51</v>
      </c>
      <c r="I7" s="82">
        <v>6.3</v>
      </c>
      <c r="J7" s="82">
        <v>0.8</v>
      </c>
      <c r="K7" s="82">
        <v>8.0952376100000001E-2</v>
      </c>
      <c r="L7" s="82">
        <v>0</v>
      </c>
      <c r="M7" s="82">
        <v>0.2</v>
      </c>
      <c r="N7" s="82">
        <v>0</v>
      </c>
      <c r="P7" s="72"/>
      <c r="Q7" s="72"/>
      <c r="R7" s="72"/>
    </row>
    <row r="8" spans="1:46" ht="15" customHeight="1" x14ac:dyDescent="0.15">
      <c r="A8" s="2" t="s">
        <v>28</v>
      </c>
      <c r="B8" s="82">
        <f ca="1">COUNTIF(OFFSET(cornerFishing,1,2,NumLiving+NumDead,NumGears),"&gt;0")+NumDead*COUNTIF(OFFSET(cornerDiscards,1,2,NumLiving+NumDead,NumGears),"&gt;0")+NumLiving+NumDead+1</f>
        <v>58</v>
      </c>
      <c r="C8" s="82">
        <v>7</v>
      </c>
      <c r="D8"/>
      <c r="E8" s="177" t="s">
        <v>197</v>
      </c>
      <c r="F8" s="82">
        <v>0</v>
      </c>
      <c r="G8" s="82">
        <v>0.42699999999999999</v>
      </c>
      <c r="H8" s="82">
        <v>0.72</v>
      </c>
      <c r="I8" s="82">
        <v>3.56</v>
      </c>
      <c r="J8" s="82">
        <v>0.332370043</v>
      </c>
      <c r="K8" s="82">
        <v>0.20224719999999999</v>
      </c>
      <c r="L8" s="82">
        <v>0</v>
      </c>
      <c r="M8" s="82">
        <v>0.2</v>
      </c>
      <c r="N8" s="82">
        <v>0</v>
      </c>
      <c r="P8" s="72"/>
      <c r="Q8" s="72"/>
      <c r="R8" s="72"/>
    </row>
    <row r="9" spans="1:46" ht="15" customHeight="1" x14ac:dyDescent="0.15">
      <c r="B9" s="1"/>
      <c r="C9" s="82">
        <v>8</v>
      </c>
      <c r="D9"/>
      <c r="E9" s="177" t="s">
        <v>198</v>
      </c>
      <c r="F9" s="82">
        <v>0</v>
      </c>
      <c r="G9" s="82">
        <v>0.11700000000000001</v>
      </c>
      <c r="H9" s="82">
        <v>0.8</v>
      </c>
      <c r="I9" s="82">
        <v>4.3</v>
      </c>
      <c r="J9" s="82">
        <v>0.68888479999999996</v>
      </c>
      <c r="K9" s="82">
        <v>0.186046511</v>
      </c>
      <c r="L9" s="82">
        <v>0</v>
      </c>
      <c r="M9" s="82">
        <v>0.2</v>
      </c>
      <c r="N9" s="82">
        <v>0</v>
      </c>
      <c r="P9" s="72"/>
      <c r="Q9" s="72"/>
      <c r="R9" s="72"/>
    </row>
    <row r="10" spans="1:46" ht="15" customHeight="1" x14ac:dyDescent="0.15">
      <c r="B10" s="1"/>
      <c r="C10" s="82">
        <v>9</v>
      </c>
      <c r="D10"/>
      <c r="E10" s="177" t="s">
        <v>199</v>
      </c>
      <c r="F10" s="82">
        <v>0</v>
      </c>
      <c r="G10" s="82">
        <v>0.35</v>
      </c>
      <c r="H10" s="82">
        <v>1.3</v>
      </c>
      <c r="I10" s="82">
        <v>8.75</v>
      </c>
      <c r="J10" s="82">
        <v>0.66439760000000003</v>
      </c>
      <c r="K10" s="82">
        <v>0.14857141700000001</v>
      </c>
      <c r="L10" s="82">
        <v>0</v>
      </c>
      <c r="M10" s="82">
        <v>0.2</v>
      </c>
      <c r="N10" s="82">
        <v>0</v>
      </c>
    </row>
    <row r="11" spans="1:46" ht="15" customHeight="1" x14ac:dyDescent="0.15">
      <c r="C11" s="82">
        <v>10</v>
      </c>
      <c r="D11"/>
      <c r="E11" s="177" t="s">
        <v>200</v>
      </c>
      <c r="F11" s="82">
        <v>0</v>
      </c>
      <c r="G11" s="82">
        <v>5</v>
      </c>
      <c r="H11" s="82">
        <v>2.69</v>
      </c>
      <c r="I11" s="82">
        <v>20</v>
      </c>
      <c r="J11" s="82">
        <v>0.187660664</v>
      </c>
      <c r="K11" s="82">
        <v>0.13450000000000001</v>
      </c>
      <c r="L11" s="82">
        <v>0</v>
      </c>
      <c r="M11" s="82">
        <v>0.2</v>
      </c>
      <c r="N11" s="82">
        <v>0</v>
      </c>
    </row>
    <row r="12" spans="1:46" ht="15" customHeight="1" x14ac:dyDescent="0.15">
      <c r="C12" s="82">
        <v>11</v>
      </c>
      <c r="D12"/>
      <c r="E12" s="177" t="s">
        <v>201</v>
      </c>
      <c r="F12" s="82">
        <v>0</v>
      </c>
      <c r="G12" s="82">
        <v>0.126</v>
      </c>
      <c r="H12" s="82">
        <v>0.32</v>
      </c>
      <c r="I12" s="82">
        <v>5.4</v>
      </c>
      <c r="J12" s="82">
        <v>0.35503473899999999</v>
      </c>
      <c r="K12" s="82">
        <v>5.9259260000000001E-2</v>
      </c>
      <c r="L12" s="82">
        <v>0</v>
      </c>
      <c r="M12" s="82">
        <v>0.2</v>
      </c>
      <c r="N12" s="82">
        <v>0</v>
      </c>
    </row>
    <row r="13" spans="1:46" ht="15" customHeight="1" x14ac:dyDescent="0.15">
      <c r="C13" s="82">
        <v>12</v>
      </c>
      <c r="D13"/>
      <c r="E13" s="177" t="s">
        <v>202</v>
      </c>
      <c r="F13" s="82">
        <v>0</v>
      </c>
      <c r="G13" s="82">
        <v>0.2</v>
      </c>
      <c r="H13" s="82">
        <v>1.6</v>
      </c>
      <c r="I13" s="82">
        <v>6.6</v>
      </c>
      <c r="J13" s="82">
        <v>0.94313025500000003</v>
      </c>
      <c r="K13" s="82">
        <v>0.24242425000000001</v>
      </c>
      <c r="L13" s="82">
        <v>0</v>
      </c>
      <c r="M13" s="82">
        <v>0.2</v>
      </c>
      <c r="N13" s="82">
        <v>0</v>
      </c>
    </row>
    <row r="14" spans="1:46" ht="15" customHeight="1" x14ac:dyDescent="0.15">
      <c r="C14" s="82">
        <v>13</v>
      </c>
      <c r="D14"/>
      <c r="E14" s="177" t="s">
        <v>203</v>
      </c>
      <c r="F14" s="82">
        <v>0</v>
      </c>
      <c r="G14" s="82">
        <v>0.2</v>
      </c>
      <c r="H14" s="82">
        <v>0.74</v>
      </c>
      <c r="I14" s="82">
        <v>5.43</v>
      </c>
      <c r="J14" s="82">
        <v>0.97769594199999998</v>
      </c>
      <c r="K14" s="82">
        <v>0.136279926</v>
      </c>
      <c r="L14" s="82">
        <v>0</v>
      </c>
      <c r="M14" s="82">
        <v>0.2</v>
      </c>
      <c r="N14" s="82">
        <v>0</v>
      </c>
    </row>
    <row r="15" spans="1:46" ht="15" customHeight="1" x14ac:dyDescent="0.15">
      <c r="C15" s="82">
        <v>14</v>
      </c>
      <c r="D15"/>
      <c r="E15" s="177" t="s">
        <v>204</v>
      </c>
      <c r="F15" s="82">
        <v>0</v>
      </c>
      <c r="G15" s="82">
        <v>7.0000000000000007E-2</v>
      </c>
      <c r="H15" s="82">
        <v>0.85</v>
      </c>
      <c r="I15" s="82">
        <v>5.2</v>
      </c>
      <c r="J15" s="82">
        <v>0.94198749999999998</v>
      </c>
      <c r="K15" s="82">
        <v>0.16346155100000001</v>
      </c>
      <c r="L15" s="82">
        <v>0</v>
      </c>
      <c r="M15" s="82">
        <v>0.2</v>
      </c>
      <c r="N15" s="82">
        <v>0</v>
      </c>
    </row>
    <row r="16" spans="1:46" ht="15" customHeight="1" x14ac:dyDescent="0.15">
      <c r="C16" s="82">
        <v>15</v>
      </c>
      <c r="D16"/>
      <c r="E16" s="177" t="s">
        <v>205</v>
      </c>
      <c r="F16" s="82">
        <v>0</v>
      </c>
      <c r="G16" s="82">
        <v>0.13500000000000001</v>
      </c>
      <c r="H16" s="82">
        <v>0.64</v>
      </c>
      <c r="I16" s="82">
        <v>4.66</v>
      </c>
      <c r="J16" s="82">
        <v>0.59961056700000004</v>
      </c>
      <c r="K16" s="82">
        <v>0.13733905599999999</v>
      </c>
      <c r="L16" s="82">
        <v>0</v>
      </c>
      <c r="M16" s="82">
        <v>0.2</v>
      </c>
      <c r="N16" s="82">
        <v>0</v>
      </c>
    </row>
    <row r="17" spans="1:22" ht="15" customHeight="1" x14ac:dyDescent="0.15">
      <c r="C17" s="82">
        <v>16</v>
      </c>
      <c r="D17"/>
      <c r="E17" s="177" t="s">
        <v>206</v>
      </c>
      <c r="F17" s="82">
        <v>0</v>
      </c>
      <c r="G17" s="82">
        <v>4.8000000000000001E-2</v>
      </c>
      <c r="H17" s="82">
        <v>0.8</v>
      </c>
      <c r="I17" s="82">
        <v>6.5</v>
      </c>
      <c r="J17" s="82">
        <v>0.87278370000000005</v>
      </c>
      <c r="K17" s="82">
        <v>0.123076923</v>
      </c>
      <c r="L17" s="82">
        <v>0</v>
      </c>
      <c r="M17" s="82">
        <v>0.2</v>
      </c>
      <c r="N17" s="82">
        <v>0</v>
      </c>
      <c r="V17" s="1" t="s">
        <v>30</v>
      </c>
    </row>
    <row r="18" spans="1:22" ht="15" customHeight="1" x14ac:dyDescent="0.15">
      <c r="C18" s="82">
        <v>17</v>
      </c>
      <c r="D18"/>
      <c r="E18" s="177" t="s">
        <v>207</v>
      </c>
      <c r="F18" s="82">
        <v>0</v>
      </c>
      <c r="G18" s="82">
        <v>6.7000000000000004E-2</v>
      </c>
      <c r="H18" s="82">
        <v>0.5</v>
      </c>
      <c r="I18" s="82">
        <v>7.48</v>
      </c>
      <c r="J18" s="82">
        <v>0.88460950000000005</v>
      </c>
      <c r="K18" s="82">
        <v>6.6844920000000002E-2</v>
      </c>
      <c r="L18" s="82">
        <v>0</v>
      </c>
      <c r="M18" s="82">
        <v>0.2</v>
      </c>
      <c r="N18" s="82">
        <v>0</v>
      </c>
      <c r="V18" s="1"/>
    </row>
    <row r="19" spans="1:22" ht="15" customHeight="1" x14ac:dyDescent="0.15">
      <c r="C19" s="82">
        <v>18</v>
      </c>
      <c r="D19"/>
      <c r="E19" s="177" t="s">
        <v>208</v>
      </c>
      <c r="F19" s="82">
        <v>0</v>
      </c>
      <c r="G19" s="82">
        <v>0.45</v>
      </c>
      <c r="H19" s="82">
        <v>0.75</v>
      </c>
      <c r="I19" s="82">
        <v>7.4</v>
      </c>
      <c r="J19" s="82">
        <v>0.9765857</v>
      </c>
      <c r="K19" s="82">
        <v>0.10135135100000001</v>
      </c>
      <c r="L19" s="82">
        <v>0</v>
      </c>
      <c r="M19" s="82">
        <v>0.2</v>
      </c>
      <c r="N19" s="82">
        <v>0</v>
      </c>
    </row>
    <row r="20" spans="1:22" ht="15" customHeight="1" thickBot="1" x14ac:dyDescent="0.2">
      <c r="C20" s="82">
        <v>19</v>
      </c>
      <c r="D20"/>
      <c r="E20" s="177" t="s">
        <v>209</v>
      </c>
      <c r="F20" s="82">
        <v>0</v>
      </c>
      <c r="G20" s="82">
        <v>0.18</v>
      </c>
      <c r="H20" s="82">
        <v>0.94</v>
      </c>
      <c r="I20" s="82">
        <v>7.1</v>
      </c>
      <c r="J20" s="82">
        <v>0.92142869999999999</v>
      </c>
      <c r="K20" s="82">
        <v>0.13239437300000001</v>
      </c>
      <c r="L20" s="82">
        <v>0</v>
      </c>
      <c r="M20" s="82">
        <v>0.2</v>
      </c>
      <c r="N20" s="82">
        <v>0</v>
      </c>
    </row>
    <row r="21" spans="1:22" ht="15" customHeight="1" thickBot="1" x14ac:dyDescent="0.2">
      <c r="A21" s="47" t="s">
        <v>137</v>
      </c>
      <c r="B21" s="100"/>
      <c r="C21" s="82">
        <v>20</v>
      </c>
      <c r="D21"/>
      <c r="E21" s="177" t="s">
        <v>210</v>
      </c>
      <c r="F21" s="82">
        <v>0</v>
      </c>
      <c r="G21" s="82">
        <v>1.5</v>
      </c>
      <c r="H21" s="82">
        <v>1</v>
      </c>
      <c r="I21" s="82">
        <v>9.1</v>
      </c>
      <c r="J21" s="82">
        <v>0.93219220000000003</v>
      </c>
      <c r="K21" s="82">
        <v>0.1098901</v>
      </c>
      <c r="L21" s="82">
        <v>0</v>
      </c>
      <c r="M21" s="82">
        <v>0.2</v>
      </c>
      <c r="N21" s="82">
        <v>0</v>
      </c>
    </row>
    <row r="22" spans="1:22" ht="15" customHeight="1" x14ac:dyDescent="0.15">
      <c r="A22" s="101" t="s">
        <v>58</v>
      </c>
      <c r="B22" s="102">
        <v>0</v>
      </c>
      <c r="C22" s="82">
        <v>21</v>
      </c>
      <c r="D22"/>
      <c r="E22" s="177" t="s">
        <v>211</v>
      </c>
      <c r="F22" s="82">
        <v>0</v>
      </c>
      <c r="G22" s="82">
        <v>0.18356841800000001</v>
      </c>
      <c r="H22" s="82">
        <v>0.92</v>
      </c>
      <c r="I22" s="82">
        <v>8.6999999999999993</v>
      </c>
      <c r="J22" s="82">
        <v>0.95</v>
      </c>
      <c r="K22" s="82">
        <v>0.10574713299999999</v>
      </c>
      <c r="L22" s="82">
        <v>0</v>
      </c>
      <c r="M22" s="82">
        <v>0.2</v>
      </c>
      <c r="N22" s="82">
        <v>0</v>
      </c>
    </row>
    <row r="23" spans="1:22" ht="15" customHeight="1" x14ac:dyDescent="0.15">
      <c r="A23" s="101" t="s">
        <v>59</v>
      </c>
      <c r="B23" s="102">
        <v>1</v>
      </c>
      <c r="C23" s="82">
        <v>22</v>
      </c>
      <c r="D23"/>
      <c r="E23" s="177" t="s">
        <v>212</v>
      </c>
      <c r="F23" s="82">
        <v>0</v>
      </c>
      <c r="G23" s="82">
        <v>0.13900000000000001</v>
      </c>
      <c r="H23" s="82">
        <v>0.56999999999999995</v>
      </c>
      <c r="I23" s="82">
        <v>6.3</v>
      </c>
      <c r="J23" s="82">
        <v>0.92305879999999996</v>
      </c>
      <c r="K23" s="82">
        <v>9.0476185099999995E-2</v>
      </c>
      <c r="L23" s="82">
        <v>0</v>
      </c>
      <c r="M23" s="82">
        <v>0.2</v>
      </c>
      <c r="N23" s="82">
        <v>0</v>
      </c>
    </row>
    <row r="24" spans="1:22" ht="15" customHeight="1" x14ac:dyDescent="0.15">
      <c r="A24" s="101" t="s">
        <v>60</v>
      </c>
      <c r="B24" s="102">
        <v>2</v>
      </c>
      <c r="C24" s="82">
        <v>23</v>
      </c>
      <c r="D24"/>
      <c r="E24" s="177" t="s">
        <v>213</v>
      </c>
      <c r="F24" s="82">
        <v>0</v>
      </c>
      <c r="G24" s="82">
        <v>0.15</v>
      </c>
      <c r="H24" s="82">
        <v>0.66</v>
      </c>
      <c r="I24" s="82">
        <v>3.9</v>
      </c>
      <c r="J24" s="82">
        <v>0.97193549999999995</v>
      </c>
      <c r="K24" s="82">
        <v>0.169230774</v>
      </c>
      <c r="L24" s="82">
        <v>0</v>
      </c>
      <c r="M24" s="82">
        <v>0.25</v>
      </c>
      <c r="N24" s="82">
        <v>0</v>
      </c>
    </row>
    <row r="25" spans="1:22" ht="15" customHeight="1" thickBot="1" x14ac:dyDescent="0.2">
      <c r="A25" s="103" t="s">
        <v>44</v>
      </c>
      <c r="B25" s="104">
        <v>3</v>
      </c>
      <c r="C25" s="82">
        <v>24</v>
      </c>
      <c r="D25"/>
      <c r="E25" s="177" t="s">
        <v>214</v>
      </c>
      <c r="F25" s="82">
        <v>0</v>
      </c>
      <c r="G25" s="82">
        <v>0.20585402799999999</v>
      </c>
      <c r="H25" s="82">
        <v>0.32</v>
      </c>
      <c r="I25" s="82">
        <v>6.5</v>
      </c>
      <c r="J25" s="82">
        <v>0.95</v>
      </c>
      <c r="K25" s="82">
        <v>4.923077E-2</v>
      </c>
      <c r="L25" s="82">
        <v>0</v>
      </c>
      <c r="M25" s="82">
        <v>0.25</v>
      </c>
      <c r="N25" s="82">
        <v>0</v>
      </c>
    </row>
    <row r="26" spans="1:22" ht="15" customHeight="1" x14ac:dyDescent="0.15">
      <c r="A26" s="105" t="s">
        <v>140</v>
      </c>
      <c r="C26" s="82">
        <v>25</v>
      </c>
      <c r="D26"/>
      <c r="E26" s="177" t="s">
        <v>215</v>
      </c>
      <c r="F26" s="82">
        <v>0</v>
      </c>
      <c r="G26" s="82">
        <v>7.4999999999999997E-2</v>
      </c>
      <c r="H26" s="82">
        <v>1</v>
      </c>
      <c r="I26" s="82">
        <v>10</v>
      </c>
      <c r="J26" s="82">
        <v>0.56792473799999998</v>
      </c>
      <c r="K26" s="82">
        <v>0.1</v>
      </c>
      <c r="L26" s="82">
        <v>0</v>
      </c>
      <c r="M26" s="82">
        <v>0.2</v>
      </c>
      <c r="N26" s="82">
        <v>0</v>
      </c>
    </row>
    <row r="27" spans="1:22" ht="15" customHeight="1" x14ac:dyDescent="0.15">
      <c r="C27" s="82">
        <v>26</v>
      </c>
      <c r="D27"/>
      <c r="E27" s="177" t="s">
        <v>216</v>
      </c>
      <c r="F27" s="82">
        <v>0</v>
      </c>
      <c r="G27" s="82">
        <v>0.85599999999999998</v>
      </c>
      <c r="H27" s="82">
        <v>0.7</v>
      </c>
      <c r="I27" s="82">
        <v>6.4</v>
      </c>
      <c r="J27" s="82">
        <v>0.97809740000000001</v>
      </c>
      <c r="K27" s="82">
        <v>0.109375</v>
      </c>
      <c r="L27" s="82">
        <v>0</v>
      </c>
      <c r="M27" s="82">
        <v>0.2</v>
      </c>
      <c r="N27" s="82">
        <v>0</v>
      </c>
    </row>
    <row r="28" spans="1:22" ht="15" customHeight="1" x14ac:dyDescent="0.15">
      <c r="C28" s="82">
        <v>27</v>
      </c>
      <c r="D28"/>
      <c r="E28" s="177" t="s">
        <v>217</v>
      </c>
      <c r="F28" s="82">
        <v>0</v>
      </c>
      <c r="G28" s="82">
        <v>13.907999999999999</v>
      </c>
      <c r="H28" s="82">
        <v>1.3</v>
      </c>
      <c r="I28" s="82">
        <v>9.01</v>
      </c>
      <c r="J28" s="82">
        <v>0.42687752800000001</v>
      </c>
      <c r="K28" s="82">
        <v>0.14428411399999999</v>
      </c>
      <c r="L28" s="82">
        <v>0</v>
      </c>
      <c r="M28" s="82">
        <v>0.25</v>
      </c>
      <c r="N28" s="82">
        <v>0</v>
      </c>
    </row>
    <row r="29" spans="1:22" customFormat="1" ht="15" customHeight="1" x14ac:dyDescent="0.15">
      <c r="C29" s="82">
        <v>28</v>
      </c>
      <c r="E29" s="177" t="s">
        <v>218</v>
      </c>
      <c r="F29" s="82">
        <v>0</v>
      </c>
      <c r="G29" s="82">
        <v>5.5410000000000004</v>
      </c>
      <c r="H29" s="82">
        <v>1.1000000000000001</v>
      </c>
      <c r="I29" s="82">
        <v>7.95</v>
      </c>
      <c r="J29" s="82">
        <v>0.50811689999999998</v>
      </c>
      <c r="K29" s="82">
        <v>0.13836479199999999</v>
      </c>
      <c r="L29" s="82">
        <v>0</v>
      </c>
      <c r="M29" s="82">
        <v>0.2</v>
      </c>
      <c r="N29" s="82">
        <v>0</v>
      </c>
    </row>
    <row r="30" spans="1:22" customFormat="1" ht="15" customHeight="1" x14ac:dyDescent="0.15">
      <c r="C30" s="82">
        <v>29</v>
      </c>
      <c r="E30" s="177" t="s">
        <v>219</v>
      </c>
      <c r="F30" s="82">
        <v>0</v>
      </c>
      <c r="G30" s="82">
        <v>0.33800000000000002</v>
      </c>
      <c r="H30" s="82">
        <v>1.5</v>
      </c>
      <c r="I30" s="82">
        <v>11.7</v>
      </c>
      <c r="J30" s="82">
        <v>0.86755496300000001</v>
      </c>
      <c r="K30" s="82">
        <v>0.128205135</v>
      </c>
      <c r="L30" s="82">
        <v>0</v>
      </c>
      <c r="M30" s="82">
        <v>0.2</v>
      </c>
      <c r="N30" s="82">
        <v>0</v>
      </c>
    </row>
    <row r="31" spans="1:22" customFormat="1" ht="15" customHeight="1" x14ac:dyDescent="0.15">
      <c r="C31" s="82">
        <v>30</v>
      </c>
      <c r="E31" s="177" t="s">
        <v>220</v>
      </c>
      <c r="F31" s="82">
        <v>0</v>
      </c>
      <c r="G31" s="82">
        <v>0.7</v>
      </c>
      <c r="H31" s="82">
        <v>2.5</v>
      </c>
      <c r="I31" s="82">
        <v>11.7</v>
      </c>
      <c r="J31" s="82">
        <v>0.67251930000000004</v>
      </c>
      <c r="K31" s="82">
        <v>0.213675216</v>
      </c>
      <c r="L31" s="82">
        <v>0</v>
      </c>
      <c r="M31" s="82">
        <v>0.2</v>
      </c>
      <c r="N31" s="82">
        <v>0</v>
      </c>
    </row>
    <row r="32" spans="1:22" customFormat="1" ht="15" customHeight="1" x14ac:dyDescent="0.15">
      <c r="C32" s="82">
        <v>31</v>
      </c>
      <c r="E32" s="177" t="s">
        <v>221</v>
      </c>
      <c r="F32" s="82">
        <v>0</v>
      </c>
      <c r="G32" s="82">
        <v>24.04</v>
      </c>
      <c r="H32" s="82">
        <v>2</v>
      </c>
      <c r="I32" s="82">
        <v>16.6666679</v>
      </c>
      <c r="J32" s="82">
        <v>0.77718310000000002</v>
      </c>
      <c r="K32" s="82">
        <v>0.12</v>
      </c>
      <c r="L32" s="82">
        <v>0</v>
      </c>
      <c r="M32" s="82">
        <v>0.2</v>
      </c>
      <c r="N32" s="82">
        <v>0</v>
      </c>
    </row>
    <row r="33" spans="3:14" customFormat="1" ht="15" customHeight="1" x14ac:dyDescent="0.15">
      <c r="C33" s="82">
        <v>32</v>
      </c>
      <c r="E33" s="177" t="s">
        <v>222</v>
      </c>
      <c r="F33" s="82">
        <v>0</v>
      </c>
      <c r="G33" s="82">
        <v>0.8</v>
      </c>
      <c r="H33" s="82">
        <v>1.8</v>
      </c>
      <c r="I33" s="82">
        <v>15</v>
      </c>
      <c r="J33" s="82">
        <v>0.89370240000000001</v>
      </c>
      <c r="K33" s="82">
        <v>0.12</v>
      </c>
      <c r="L33" s="82">
        <v>0</v>
      </c>
      <c r="M33" s="82">
        <v>0.2</v>
      </c>
      <c r="N33" s="82">
        <v>0</v>
      </c>
    </row>
    <row r="34" spans="3:14" customFormat="1" ht="15" customHeight="1" x14ac:dyDescent="0.15">
      <c r="C34" s="82">
        <v>33</v>
      </c>
      <c r="E34" s="177" t="s">
        <v>223</v>
      </c>
      <c r="F34" s="82">
        <v>0</v>
      </c>
      <c r="G34" s="82">
        <v>3.0614514399999999</v>
      </c>
      <c r="H34" s="82">
        <v>2.5</v>
      </c>
      <c r="I34" s="82">
        <v>20.833334000000001</v>
      </c>
      <c r="J34" s="82">
        <v>0.95</v>
      </c>
      <c r="K34" s="82">
        <v>0.12</v>
      </c>
      <c r="L34" s="82">
        <v>0</v>
      </c>
      <c r="M34" s="82">
        <v>0.2</v>
      </c>
      <c r="N34" s="82">
        <v>0</v>
      </c>
    </row>
    <row r="35" spans="3:14" customFormat="1" ht="15" customHeight="1" x14ac:dyDescent="0.15">
      <c r="C35" s="82">
        <v>34</v>
      </c>
      <c r="E35" s="177" t="s">
        <v>224</v>
      </c>
      <c r="F35" s="82">
        <v>0</v>
      </c>
      <c r="G35" s="82">
        <v>1.012</v>
      </c>
      <c r="H35" s="82">
        <v>3</v>
      </c>
      <c r="I35" s="82">
        <v>23</v>
      </c>
      <c r="J35" s="82">
        <v>0.224607632</v>
      </c>
      <c r="K35" s="82">
        <v>0.130434781</v>
      </c>
      <c r="L35" s="82">
        <v>0</v>
      </c>
      <c r="M35" s="82">
        <v>0.2</v>
      </c>
      <c r="N35" s="82">
        <v>0</v>
      </c>
    </row>
    <row r="36" spans="3:14" customFormat="1" ht="15" customHeight="1" x14ac:dyDescent="0.15">
      <c r="C36" s="82">
        <v>35</v>
      </c>
      <c r="E36" s="177" t="s">
        <v>225</v>
      </c>
      <c r="F36" s="82">
        <v>0</v>
      </c>
      <c r="G36" s="82">
        <v>31.484000000000002</v>
      </c>
      <c r="H36" s="82">
        <v>5</v>
      </c>
      <c r="I36" s="82">
        <v>32</v>
      </c>
      <c r="J36" s="82">
        <v>0.82121276899999995</v>
      </c>
      <c r="K36" s="82">
        <v>0.15625</v>
      </c>
      <c r="L36" s="82">
        <v>0</v>
      </c>
      <c r="M36" s="82">
        <v>0.2</v>
      </c>
      <c r="N36" s="82">
        <v>0</v>
      </c>
    </row>
    <row r="37" spans="3:14" customFormat="1" ht="15" customHeight="1" x14ac:dyDescent="0.15">
      <c r="C37" s="82">
        <v>36</v>
      </c>
      <c r="E37" s="177" t="s">
        <v>226</v>
      </c>
      <c r="F37" s="82">
        <v>0</v>
      </c>
      <c r="G37" s="82">
        <v>20.155999999999999</v>
      </c>
      <c r="H37" s="82">
        <v>25</v>
      </c>
      <c r="I37" s="82">
        <v>83.333330000000004</v>
      </c>
      <c r="J37" s="82">
        <v>0.96016943499999996</v>
      </c>
      <c r="K37" s="82">
        <v>0.3</v>
      </c>
      <c r="L37" s="82">
        <v>0</v>
      </c>
      <c r="M37" s="82">
        <v>0.4</v>
      </c>
      <c r="N37" s="82">
        <v>0</v>
      </c>
    </row>
    <row r="38" spans="3:14" customFormat="1" ht="15" customHeight="1" x14ac:dyDescent="0.15">
      <c r="C38" s="82">
        <v>37</v>
      </c>
      <c r="E38" s="177" t="s">
        <v>227</v>
      </c>
      <c r="F38" s="82">
        <v>1</v>
      </c>
      <c r="G38" s="82">
        <v>81.238</v>
      </c>
      <c r="H38" s="82">
        <v>100</v>
      </c>
      <c r="I38" s="82">
        <v>0</v>
      </c>
      <c r="J38" s="82">
        <v>0.259415746</v>
      </c>
      <c r="K38" s="82">
        <v>0</v>
      </c>
      <c r="L38" s="82">
        <v>0</v>
      </c>
      <c r="M38" s="82">
        <v>0</v>
      </c>
      <c r="N38" s="82">
        <v>0</v>
      </c>
    </row>
    <row r="39" spans="3:14" customFormat="1" ht="15" customHeight="1" x14ac:dyDescent="0.15">
      <c r="C39" s="82">
        <v>38</v>
      </c>
      <c r="E39" s="177" t="s">
        <v>228</v>
      </c>
      <c r="F39" s="82">
        <v>2</v>
      </c>
      <c r="G39" s="82">
        <v>560.38499999999999</v>
      </c>
      <c r="H39" s="82">
        <v>0</v>
      </c>
      <c r="I39" s="82">
        <v>0</v>
      </c>
      <c r="J39" s="82">
        <v>0</v>
      </c>
      <c r="K39" s="82">
        <v>0</v>
      </c>
      <c r="L39" s="82">
        <v>0</v>
      </c>
      <c r="M39" s="82">
        <v>0</v>
      </c>
      <c r="N39" s="82">
        <v>0</v>
      </c>
    </row>
    <row r="40" spans="3:14" customFormat="1" ht="15" customHeight="1" x14ac:dyDescent="0.15">
      <c r="C40" s="82">
        <v>39</v>
      </c>
      <c r="E40" s="177" t="s">
        <v>229</v>
      </c>
      <c r="F40" s="82">
        <v>2</v>
      </c>
      <c r="G40" s="82">
        <v>5</v>
      </c>
      <c r="H40" s="82">
        <v>0</v>
      </c>
      <c r="I40" s="82">
        <v>0</v>
      </c>
      <c r="J40" s="82">
        <v>0</v>
      </c>
      <c r="K40" s="82">
        <v>0</v>
      </c>
      <c r="L40" s="82">
        <v>0</v>
      </c>
      <c r="M40" s="82">
        <v>0</v>
      </c>
      <c r="N40" s="82">
        <v>0</v>
      </c>
    </row>
    <row r="41" spans="3:14" customFormat="1" ht="15" customHeight="1" x14ac:dyDescent="0.15">
      <c r="C41" s="82">
        <v>40</v>
      </c>
      <c r="E41" s="177" t="s">
        <v>230</v>
      </c>
      <c r="F41" s="82">
        <v>3</v>
      </c>
      <c r="G41" s="82">
        <v>0</v>
      </c>
      <c r="H41" s="82">
        <v>0</v>
      </c>
      <c r="I41" s="82">
        <v>0</v>
      </c>
      <c r="J41" s="82">
        <v>0</v>
      </c>
      <c r="K41" s="82">
        <v>0</v>
      </c>
      <c r="L41" s="82">
        <v>0</v>
      </c>
      <c r="M41" s="82">
        <v>0</v>
      </c>
      <c r="N41" s="82">
        <v>0</v>
      </c>
    </row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N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2" style="143" bestFit="1" customWidth="1"/>
    <col min="2" max="2" width="13.83203125" style="143" bestFit="1" customWidth="1"/>
    <col min="3" max="3" width="5.83203125" style="143" bestFit="1" customWidth="1"/>
    <col min="4" max="4" width="4.83203125" style="143" bestFit="1" customWidth="1"/>
    <col min="5" max="5" width="15.83203125" style="143" bestFit="1" customWidth="1"/>
    <col min="6" max="8" width="14.83203125" style="143" bestFit="1" customWidth="1"/>
    <col min="9" max="10" width="5.83203125" style="143" bestFit="1" customWidth="1"/>
    <col min="11" max="11" width="4.83203125" style="143" bestFit="1" customWidth="1"/>
    <col min="12" max="14" width="5.83203125" style="143" bestFit="1" customWidth="1"/>
    <col min="15" max="16" width="14.83203125" style="143" bestFit="1" customWidth="1"/>
    <col min="17" max="17" width="5.83203125" style="143" bestFit="1" customWidth="1"/>
    <col min="18" max="18" width="13.83203125" style="143" bestFit="1" customWidth="1"/>
    <col min="19" max="23" width="5.83203125" style="143" bestFit="1" customWidth="1"/>
    <col min="24" max="24" width="4.83203125" style="143" bestFit="1" customWidth="1"/>
    <col min="25" max="25" width="14.83203125" style="143" bestFit="1" customWidth="1"/>
    <col min="26" max="26" width="4.83203125" style="143" bestFit="1" customWidth="1"/>
    <col min="27" max="27" width="5.83203125" style="143" bestFit="1" customWidth="1"/>
    <col min="28" max="28" width="13.83203125" style="143" bestFit="1" customWidth="1"/>
    <col min="29" max="29" width="14.83203125" style="143" bestFit="1" customWidth="1"/>
    <col min="30" max="30" width="14.83203125" style="143" customWidth="1"/>
    <col min="31" max="31" width="5.83203125" style="143" customWidth="1"/>
    <col min="32" max="32" width="14.83203125" style="143" customWidth="1"/>
    <col min="33" max="34" width="4.83203125" style="143" customWidth="1"/>
    <col min="35" max="35" width="3.83203125" style="143" customWidth="1"/>
    <col min="36" max="36" width="4.83203125" style="143" customWidth="1"/>
    <col min="37" max="37" width="3.83203125" style="143" customWidth="1"/>
    <col min="38" max="40" width="2.33203125" style="143" customWidth="1"/>
    <col min="41" max="16384" width="8.83203125" style="143"/>
  </cols>
  <sheetData>
    <row r="1" spans="1:40" x14ac:dyDescent="0.15">
      <c r="A1" s="142" t="s">
        <v>19</v>
      </c>
      <c r="B1" s="179" t="s">
        <v>191</v>
      </c>
      <c r="C1" s="179" t="s">
        <v>192</v>
      </c>
      <c r="D1" s="179" t="s">
        <v>193</v>
      </c>
      <c r="E1" s="179" t="s">
        <v>194</v>
      </c>
      <c r="F1" s="179" t="s">
        <v>195</v>
      </c>
      <c r="G1" s="179" t="s">
        <v>196</v>
      </c>
      <c r="H1" s="179" t="s">
        <v>197</v>
      </c>
      <c r="I1" s="179" t="s">
        <v>198</v>
      </c>
      <c r="J1" s="179" t="s">
        <v>199</v>
      </c>
      <c r="K1" s="179" t="s">
        <v>200</v>
      </c>
      <c r="L1" s="179" t="s">
        <v>201</v>
      </c>
      <c r="M1" s="179" t="s">
        <v>202</v>
      </c>
      <c r="N1" s="179" t="s">
        <v>203</v>
      </c>
      <c r="O1" s="179" t="s">
        <v>204</v>
      </c>
      <c r="P1" s="179" t="s">
        <v>205</v>
      </c>
      <c r="Q1" s="179" t="s">
        <v>206</v>
      </c>
      <c r="R1" s="179" t="s">
        <v>207</v>
      </c>
      <c r="S1" s="179" t="s">
        <v>208</v>
      </c>
      <c r="T1" s="179" t="s">
        <v>209</v>
      </c>
      <c r="U1" s="179" t="s">
        <v>210</v>
      </c>
      <c r="V1" s="179" t="s">
        <v>211</v>
      </c>
      <c r="W1" s="179" t="s">
        <v>212</v>
      </c>
      <c r="X1" s="179" t="s">
        <v>213</v>
      </c>
      <c r="Y1" s="179" t="s">
        <v>214</v>
      </c>
      <c r="Z1" s="179" t="s">
        <v>215</v>
      </c>
      <c r="AA1" s="179" t="s">
        <v>216</v>
      </c>
      <c r="AB1" s="179" t="s">
        <v>217</v>
      </c>
      <c r="AC1" s="179" t="s">
        <v>218</v>
      </c>
      <c r="AD1" s="179" t="s">
        <v>219</v>
      </c>
      <c r="AE1" s="179" t="s">
        <v>220</v>
      </c>
      <c r="AF1" s="179" t="s">
        <v>221</v>
      </c>
      <c r="AG1" s="179" t="s">
        <v>222</v>
      </c>
      <c r="AH1" s="179" t="s">
        <v>223</v>
      </c>
      <c r="AI1" s="179" t="s">
        <v>224</v>
      </c>
      <c r="AJ1" s="179" t="s">
        <v>225</v>
      </c>
      <c r="AK1" s="179" t="s">
        <v>226</v>
      </c>
      <c r="AL1" s="179" t="s">
        <v>227</v>
      </c>
      <c r="AM1" s="179" t="s">
        <v>228</v>
      </c>
      <c r="AN1" s="179" t="s">
        <v>229</v>
      </c>
    </row>
    <row r="2" spans="1:40" customFormat="1" x14ac:dyDescent="0.15">
      <c r="A2" s="178" t="s">
        <v>191</v>
      </c>
      <c r="B2" s="143">
        <v>0</v>
      </c>
      <c r="C2" s="143">
        <v>0</v>
      </c>
      <c r="D2" s="143">
        <v>0</v>
      </c>
      <c r="E2" s="143">
        <v>0</v>
      </c>
      <c r="F2" s="143">
        <v>0</v>
      </c>
      <c r="G2" s="143">
        <v>0</v>
      </c>
      <c r="H2" s="143">
        <v>0</v>
      </c>
      <c r="I2" s="143">
        <v>0</v>
      </c>
      <c r="J2" s="143">
        <v>0</v>
      </c>
      <c r="K2" s="143">
        <v>0</v>
      </c>
      <c r="L2" s="143">
        <v>0</v>
      </c>
      <c r="M2" s="143">
        <v>0</v>
      </c>
      <c r="N2" s="143">
        <v>0</v>
      </c>
      <c r="O2" s="143">
        <v>0</v>
      </c>
      <c r="P2" s="143">
        <v>0</v>
      </c>
      <c r="Q2" s="143">
        <v>0</v>
      </c>
      <c r="R2" s="143">
        <v>0</v>
      </c>
      <c r="S2" s="143">
        <v>0</v>
      </c>
      <c r="T2" s="143">
        <v>0</v>
      </c>
      <c r="U2" s="143">
        <v>0</v>
      </c>
      <c r="V2" s="143">
        <v>0</v>
      </c>
      <c r="W2" s="143">
        <v>0</v>
      </c>
      <c r="X2" s="143">
        <v>0</v>
      </c>
      <c r="Y2" s="143">
        <v>0</v>
      </c>
      <c r="Z2" s="143">
        <v>0</v>
      </c>
      <c r="AA2" s="143">
        <v>0</v>
      </c>
      <c r="AB2" s="143">
        <v>0</v>
      </c>
      <c r="AC2" s="143">
        <v>0</v>
      </c>
      <c r="AD2" s="143">
        <v>0</v>
      </c>
      <c r="AE2" s="143">
        <v>0</v>
      </c>
      <c r="AF2" s="143">
        <v>0</v>
      </c>
      <c r="AG2" s="143">
        <v>0</v>
      </c>
      <c r="AH2" s="143">
        <v>0</v>
      </c>
      <c r="AI2" s="143">
        <v>0</v>
      </c>
      <c r="AJ2" s="143">
        <v>0</v>
      </c>
      <c r="AK2" s="143">
        <v>0</v>
      </c>
      <c r="AL2" s="143">
        <v>0</v>
      </c>
      <c r="AM2" s="143">
        <v>0</v>
      </c>
      <c r="AN2" s="143">
        <v>0</v>
      </c>
    </row>
    <row r="3" spans="1:40" customFormat="1" x14ac:dyDescent="0.15">
      <c r="A3" s="178" t="s">
        <v>192</v>
      </c>
      <c r="B3" s="143">
        <v>1.002291218496563E-2</v>
      </c>
      <c r="C3" s="143">
        <v>1E-3</v>
      </c>
      <c r="D3" s="143">
        <v>0</v>
      </c>
      <c r="E3" s="143">
        <v>5.0009999745649148E-4</v>
      </c>
      <c r="F3" s="143">
        <v>0</v>
      </c>
      <c r="G3" s="143">
        <v>1.0040161555120498E-3</v>
      </c>
      <c r="H3" s="143">
        <v>0</v>
      </c>
      <c r="I3" s="143">
        <v>0</v>
      </c>
      <c r="J3" s="143">
        <v>0</v>
      </c>
      <c r="K3" s="143">
        <v>0</v>
      </c>
      <c r="L3" s="143">
        <v>0</v>
      </c>
      <c r="M3" s="143">
        <v>0</v>
      </c>
      <c r="N3" s="143">
        <v>0</v>
      </c>
      <c r="O3" s="143">
        <v>0</v>
      </c>
      <c r="P3" s="143">
        <v>0</v>
      </c>
      <c r="Q3" s="143">
        <v>0</v>
      </c>
      <c r="R3" s="143">
        <v>0</v>
      </c>
      <c r="S3" s="143">
        <v>0</v>
      </c>
      <c r="T3" s="143">
        <v>0</v>
      </c>
      <c r="U3" s="143">
        <v>0</v>
      </c>
      <c r="V3" s="143">
        <v>0</v>
      </c>
      <c r="W3" s="143">
        <v>0</v>
      </c>
      <c r="X3" s="143">
        <v>0</v>
      </c>
      <c r="Y3" s="143">
        <v>0</v>
      </c>
      <c r="Z3" s="143">
        <v>0</v>
      </c>
      <c r="AA3" s="143">
        <v>0</v>
      </c>
      <c r="AB3" s="143">
        <v>0</v>
      </c>
      <c r="AC3" s="143">
        <v>0</v>
      </c>
      <c r="AD3" s="143">
        <v>0</v>
      </c>
      <c r="AE3" s="143">
        <v>0</v>
      </c>
      <c r="AF3" s="143">
        <v>0</v>
      </c>
      <c r="AG3" s="143">
        <v>0</v>
      </c>
      <c r="AH3" s="143">
        <v>0</v>
      </c>
      <c r="AI3" s="143">
        <v>0</v>
      </c>
      <c r="AJ3" s="143">
        <v>0</v>
      </c>
      <c r="AK3" s="143">
        <v>0</v>
      </c>
      <c r="AL3" s="143">
        <v>0</v>
      </c>
      <c r="AM3" s="143">
        <v>0</v>
      </c>
      <c r="AN3" s="143">
        <v>0</v>
      </c>
    </row>
    <row r="4" spans="1:40" customFormat="1" x14ac:dyDescent="0.15">
      <c r="A4" s="178" t="s">
        <v>193</v>
      </c>
      <c r="B4" s="143">
        <v>0</v>
      </c>
      <c r="C4" s="143">
        <v>0</v>
      </c>
      <c r="D4" s="143">
        <v>0</v>
      </c>
      <c r="E4" s="143">
        <v>3.0006002447389475E-4</v>
      </c>
      <c r="F4" s="143">
        <v>0</v>
      </c>
      <c r="G4" s="143">
        <v>0</v>
      </c>
      <c r="H4" s="143">
        <v>0</v>
      </c>
      <c r="I4" s="143">
        <v>0</v>
      </c>
      <c r="J4" s="143">
        <v>0</v>
      </c>
      <c r="K4" s="143">
        <v>0</v>
      </c>
      <c r="L4" s="143">
        <v>0</v>
      </c>
      <c r="M4" s="143">
        <v>0</v>
      </c>
      <c r="N4" s="143">
        <v>0</v>
      </c>
      <c r="O4" s="143">
        <v>0</v>
      </c>
      <c r="P4" s="143">
        <v>0</v>
      </c>
      <c r="Q4" s="143">
        <v>0</v>
      </c>
      <c r="R4" s="143">
        <v>0</v>
      </c>
      <c r="S4" s="143">
        <v>0</v>
      </c>
      <c r="T4" s="143">
        <v>0</v>
      </c>
      <c r="U4" s="143">
        <v>0</v>
      </c>
      <c r="V4" s="143">
        <v>0</v>
      </c>
      <c r="W4" s="143">
        <v>0</v>
      </c>
      <c r="X4" s="143">
        <v>0</v>
      </c>
      <c r="Y4" s="143">
        <v>0</v>
      </c>
      <c r="Z4" s="143">
        <v>0</v>
      </c>
      <c r="AA4" s="143">
        <v>0</v>
      </c>
      <c r="AB4" s="143">
        <v>0</v>
      </c>
      <c r="AC4" s="143">
        <v>0</v>
      </c>
      <c r="AD4" s="143">
        <v>0</v>
      </c>
      <c r="AE4" s="143">
        <v>0</v>
      </c>
      <c r="AF4" s="143">
        <v>0</v>
      </c>
      <c r="AG4" s="143">
        <v>0</v>
      </c>
      <c r="AH4" s="143">
        <v>0</v>
      </c>
      <c r="AI4" s="143">
        <v>0</v>
      </c>
      <c r="AJ4" s="143">
        <v>0</v>
      </c>
      <c r="AK4" s="143">
        <v>0</v>
      </c>
      <c r="AL4" s="143">
        <v>0</v>
      </c>
      <c r="AM4" s="143">
        <v>0</v>
      </c>
      <c r="AN4" s="143">
        <v>0</v>
      </c>
    </row>
    <row r="5" spans="1:40" customFormat="1" x14ac:dyDescent="0.15">
      <c r="A5" s="178" t="s">
        <v>194</v>
      </c>
      <c r="B5" s="143">
        <v>0</v>
      </c>
      <c r="C5" s="143">
        <v>0</v>
      </c>
      <c r="D5" s="143">
        <v>0</v>
      </c>
      <c r="E5" s="143">
        <v>0</v>
      </c>
      <c r="F5" s="143">
        <v>0</v>
      </c>
      <c r="G5" s="143">
        <v>0</v>
      </c>
      <c r="H5" s="143">
        <v>0</v>
      </c>
      <c r="I5" s="143">
        <v>0</v>
      </c>
      <c r="J5" s="143">
        <v>0</v>
      </c>
      <c r="K5" s="143">
        <v>0</v>
      </c>
      <c r="L5" s="143">
        <v>0</v>
      </c>
      <c r="M5" s="143">
        <v>0</v>
      </c>
      <c r="N5" s="143">
        <v>0</v>
      </c>
      <c r="O5" s="143">
        <v>0</v>
      </c>
      <c r="P5" s="143">
        <v>3.1059198470846833E-2</v>
      </c>
      <c r="Q5" s="143">
        <v>0</v>
      </c>
      <c r="R5" s="143">
        <v>0</v>
      </c>
      <c r="S5" s="143">
        <v>0</v>
      </c>
      <c r="T5" s="143">
        <v>0</v>
      </c>
      <c r="U5" s="143">
        <v>0</v>
      </c>
      <c r="V5" s="143">
        <v>0</v>
      </c>
      <c r="W5" s="143">
        <v>0</v>
      </c>
      <c r="X5" s="143">
        <v>0</v>
      </c>
      <c r="Y5" s="143">
        <v>0</v>
      </c>
      <c r="Z5" s="143">
        <v>0</v>
      </c>
      <c r="AA5" s="143">
        <v>0</v>
      </c>
      <c r="AB5" s="143">
        <v>0</v>
      </c>
      <c r="AC5" s="143">
        <v>0</v>
      </c>
      <c r="AD5" s="143">
        <v>0</v>
      </c>
      <c r="AE5" s="143">
        <v>0</v>
      </c>
      <c r="AF5" s="143">
        <v>0</v>
      </c>
      <c r="AG5" s="143">
        <v>0</v>
      </c>
      <c r="AH5" s="143">
        <v>0</v>
      </c>
      <c r="AI5" s="143">
        <v>0</v>
      </c>
      <c r="AJ5" s="143">
        <v>0</v>
      </c>
      <c r="AK5" s="143">
        <v>0</v>
      </c>
      <c r="AL5" s="143">
        <v>0</v>
      </c>
      <c r="AM5" s="143">
        <v>0</v>
      </c>
      <c r="AN5" s="143">
        <v>0</v>
      </c>
    </row>
    <row r="6" spans="1:40" customFormat="1" x14ac:dyDescent="0.15">
      <c r="A6" s="178" t="s">
        <v>195</v>
      </c>
      <c r="B6" s="143">
        <v>0</v>
      </c>
      <c r="C6" s="143">
        <v>0</v>
      </c>
      <c r="D6" s="143">
        <v>0</v>
      </c>
      <c r="E6" s="143">
        <v>0</v>
      </c>
      <c r="F6" s="143">
        <v>0</v>
      </c>
      <c r="G6" s="143">
        <v>9.0361441396084267E-3</v>
      </c>
      <c r="H6" s="143">
        <v>0</v>
      </c>
      <c r="I6" s="143">
        <v>0</v>
      </c>
      <c r="J6" s="143">
        <v>0</v>
      </c>
      <c r="K6" s="143">
        <v>0</v>
      </c>
      <c r="L6" s="143">
        <v>0</v>
      </c>
      <c r="M6" s="143">
        <v>0</v>
      </c>
      <c r="N6" s="143">
        <v>0</v>
      </c>
      <c r="O6" s="143">
        <v>0</v>
      </c>
      <c r="P6" s="143">
        <v>0</v>
      </c>
      <c r="Q6" s="143">
        <v>0</v>
      </c>
      <c r="R6" s="143">
        <v>0</v>
      </c>
      <c r="S6" s="143">
        <v>0</v>
      </c>
      <c r="T6" s="143">
        <v>0</v>
      </c>
      <c r="U6" s="143">
        <v>0</v>
      </c>
      <c r="V6" s="143">
        <v>0</v>
      </c>
      <c r="W6" s="143">
        <v>0</v>
      </c>
      <c r="X6" s="143">
        <v>0</v>
      </c>
      <c r="Y6" s="143">
        <v>0</v>
      </c>
      <c r="Z6" s="143">
        <v>0</v>
      </c>
      <c r="AA6" s="143">
        <v>0</v>
      </c>
      <c r="AB6" s="143">
        <v>0</v>
      </c>
      <c r="AC6" s="143">
        <v>0</v>
      </c>
      <c r="AD6" s="143">
        <v>0</v>
      </c>
      <c r="AE6" s="143">
        <v>0</v>
      </c>
      <c r="AF6" s="143">
        <v>0</v>
      </c>
      <c r="AG6" s="143">
        <v>0</v>
      </c>
      <c r="AH6" s="143">
        <v>0</v>
      </c>
      <c r="AI6" s="143">
        <v>0</v>
      </c>
      <c r="AJ6" s="143">
        <v>0</v>
      </c>
      <c r="AK6" s="143">
        <v>0</v>
      </c>
      <c r="AL6" s="143">
        <v>0</v>
      </c>
      <c r="AM6" s="143">
        <v>0</v>
      </c>
      <c r="AN6" s="143">
        <v>0</v>
      </c>
    </row>
    <row r="7" spans="1:40" customFormat="1" x14ac:dyDescent="0.15">
      <c r="A7" s="178" t="s">
        <v>196</v>
      </c>
      <c r="B7" s="143">
        <v>0</v>
      </c>
      <c r="C7" s="143">
        <v>0</v>
      </c>
      <c r="D7" s="143">
        <v>0</v>
      </c>
      <c r="E7" s="143">
        <v>1.000199994912983E-3</v>
      </c>
      <c r="F7" s="143">
        <v>0</v>
      </c>
      <c r="G7" s="143">
        <v>0</v>
      </c>
      <c r="H7" s="143">
        <v>0</v>
      </c>
      <c r="I7" s="143">
        <v>0</v>
      </c>
      <c r="J7" s="143">
        <v>0</v>
      </c>
      <c r="K7" s="143">
        <v>0</v>
      </c>
      <c r="L7" s="143">
        <v>0</v>
      </c>
      <c r="M7" s="143">
        <v>0</v>
      </c>
      <c r="N7" s="143">
        <v>0</v>
      </c>
      <c r="O7" s="143">
        <v>0</v>
      </c>
      <c r="P7" s="143">
        <v>0</v>
      </c>
      <c r="Q7" s="143">
        <v>0</v>
      </c>
      <c r="R7" s="143">
        <v>0</v>
      </c>
      <c r="S7" s="143">
        <v>0</v>
      </c>
      <c r="T7" s="143">
        <v>0</v>
      </c>
      <c r="U7" s="143">
        <v>0</v>
      </c>
      <c r="V7" s="143">
        <v>0</v>
      </c>
      <c r="W7" s="143">
        <v>0</v>
      </c>
      <c r="X7" s="143">
        <v>0</v>
      </c>
      <c r="Y7" s="143">
        <v>0</v>
      </c>
      <c r="Z7" s="143">
        <v>0</v>
      </c>
      <c r="AA7" s="143">
        <v>0</v>
      </c>
      <c r="AB7" s="143">
        <v>0</v>
      </c>
      <c r="AC7" s="143">
        <v>0</v>
      </c>
      <c r="AD7" s="143">
        <v>0</v>
      </c>
      <c r="AE7" s="143">
        <v>0</v>
      </c>
      <c r="AF7" s="143">
        <v>0</v>
      </c>
      <c r="AG7" s="143">
        <v>0</v>
      </c>
      <c r="AH7" s="143">
        <v>0</v>
      </c>
      <c r="AI7" s="143">
        <v>0</v>
      </c>
      <c r="AJ7" s="143">
        <v>0</v>
      </c>
      <c r="AK7" s="143">
        <v>0</v>
      </c>
      <c r="AL7" s="143">
        <v>0</v>
      </c>
      <c r="AM7" s="143">
        <v>0</v>
      </c>
      <c r="AN7" s="143">
        <v>0</v>
      </c>
    </row>
    <row r="8" spans="1:40" customFormat="1" x14ac:dyDescent="0.15">
      <c r="A8" s="178" t="s">
        <v>197</v>
      </c>
      <c r="B8" s="143">
        <v>0</v>
      </c>
      <c r="C8" s="143">
        <v>0</v>
      </c>
      <c r="D8" s="143">
        <v>0</v>
      </c>
      <c r="E8" s="143">
        <v>4.400880237617124E-2</v>
      </c>
      <c r="F8" s="143">
        <v>0</v>
      </c>
      <c r="G8" s="143">
        <v>7.32931711323795E-2</v>
      </c>
      <c r="H8" s="143">
        <v>0</v>
      </c>
      <c r="I8" s="143">
        <v>0</v>
      </c>
      <c r="J8" s="143">
        <v>0</v>
      </c>
      <c r="K8" s="143">
        <v>0</v>
      </c>
      <c r="L8" s="143">
        <v>0</v>
      </c>
      <c r="M8" s="143">
        <v>0</v>
      </c>
      <c r="N8" s="143">
        <v>0</v>
      </c>
      <c r="O8" s="143">
        <v>0</v>
      </c>
      <c r="P8" s="143">
        <v>0</v>
      </c>
      <c r="Q8" s="143">
        <v>0</v>
      </c>
      <c r="R8" s="143">
        <v>0</v>
      </c>
      <c r="S8" s="143">
        <v>0</v>
      </c>
      <c r="T8" s="143">
        <v>0</v>
      </c>
      <c r="U8" s="143">
        <v>0</v>
      </c>
      <c r="V8" s="143">
        <v>0</v>
      </c>
      <c r="W8" s="143">
        <v>0</v>
      </c>
      <c r="X8" s="143">
        <v>1.9999999999999997E-2</v>
      </c>
      <c r="Y8" s="143">
        <v>0</v>
      </c>
      <c r="Z8" s="143">
        <v>0</v>
      </c>
      <c r="AA8" s="143">
        <v>0</v>
      </c>
      <c r="AB8" s="143">
        <v>0</v>
      </c>
      <c r="AC8" s="143">
        <v>0</v>
      </c>
      <c r="AD8" s="143">
        <v>0</v>
      </c>
      <c r="AE8" s="143">
        <v>0</v>
      </c>
      <c r="AF8" s="143">
        <v>0</v>
      </c>
      <c r="AG8" s="143">
        <v>0</v>
      </c>
      <c r="AH8" s="143">
        <v>0</v>
      </c>
      <c r="AI8" s="143">
        <v>0</v>
      </c>
      <c r="AJ8" s="143">
        <v>0</v>
      </c>
      <c r="AK8" s="143">
        <v>0</v>
      </c>
      <c r="AL8" s="143">
        <v>0</v>
      </c>
      <c r="AM8" s="143">
        <v>0</v>
      </c>
      <c r="AN8" s="143">
        <v>0</v>
      </c>
    </row>
    <row r="9" spans="1:40" customFormat="1" x14ac:dyDescent="0.15">
      <c r="A9" s="178" t="s">
        <v>198</v>
      </c>
      <c r="B9" s="143">
        <v>0</v>
      </c>
      <c r="C9" s="143">
        <v>0</v>
      </c>
      <c r="D9" s="143">
        <v>0</v>
      </c>
      <c r="E9" s="143">
        <v>1.000199994912983E-2</v>
      </c>
      <c r="F9" s="143">
        <v>0</v>
      </c>
      <c r="G9" s="143">
        <v>0</v>
      </c>
      <c r="H9" s="143">
        <v>0</v>
      </c>
      <c r="I9" s="143">
        <v>0</v>
      </c>
      <c r="J9" s="143">
        <v>0</v>
      </c>
      <c r="K9" s="143">
        <v>0</v>
      </c>
      <c r="L9" s="143">
        <v>0</v>
      </c>
      <c r="M9" s="143">
        <v>0</v>
      </c>
      <c r="N9" s="143">
        <v>0</v>
      </c>
      <c r="O9" s="143">
        <v>0</v>
      </c>
      <c r="P9" s="143">
        <v>0</v>
      </c>
      <c r="Q9" s="143">
        <v>0</v>
      </c>
      <c r="R9" s="143">
        <v>0</v>
      </c>
      <c r="S9" s="143">
        <v>0</v>
      </c>
      <c r="T9" s="143">
        <v>0</v>
      </c>
      <c r="U9" s="143">
        <v>0</v>
      </c>
      <c r="V9" s="143">
        <v>0</v>
      </c>
      <c r="W9" s="143">
        <v>0</v>
      </c>
      <c r="X9" s="143">
        <v>7.9999999999999988E-2</v>
      </c>
      <c r="Y9" s="143">
        <v>0</v>
      </c>
      <c r="Z9" s="143">
        <v>0</v>
      </c>
      <c r="AA9" s="143">
        <v>0</v>
      </c>
      <c r="AB9" s="143">
        <v>0</v>
      </c>
      <c r="AC9" s="143">
        <v>0</v>
      </c>
      <c r="AD9" s="143">
        <v>0</v>
      </c>
      <c r="AE9" s="143">
        <v>0</v>
      </c>
      <c r="AF9" s="143">
        <v>0</v>
      </c>
      <c r="AG9" s="143">
        <v>0</v>
      </c>
      <c r="AH9" s="143">
        <v>0</v>
      </c>
      <c r="AI9" s="143">
        <v>0</v>
      </c>
      <c r="AJ9" s="143">
        <v>0</v>
      </c>
      <c r="AK9" s="143">
        <v>0</v>
      </c>
      <c r="AL9" s="143">
        <v>0</v>
      </c>
      <c r="AM9" s="143">
        <v>0</v>
      </c>
      <c r="AN9" s="143">
        <v>0</v>
      </c>
    </row>
    <row r="10" spans="1:40" customFormat="1" x14ac:dyDescent="0.15">
      <c r="A10" s="178" t="s">
        <v>199</v>
      </c>
      <c r="B10" s="143">
        <v>0</v>
      </c>
      <c r="C10" s="143">
        <v>3.4000000000000002E-2</v>
      </c>
      <c r="D10" s="143">
        <v>0.20000000000000004</v>
      </c>
      <c r="E10" s="143">
        <v>0.11902380639464494</v>
      </c>
      <c r="F10" s="143">
        <v>9.9601590651394404E-3</v>
      </c>
      <c r="G10" s="143">
        <v>0.16064256648192765</v>
      </c>
      <c r="H10" s="143">
        <v>4.0014215544264417E-2</v>
      </c>
      <c r="I10" s="143">
        <v>2.9999999999999992E-2</v>
      </c>
      <c r="J10" s="143">
        <v>0</v>
      </c>
      <c r="K10" s="143">
        <v>0</v>
      </c>
      <c r="L10" s="143">
        <v>1.6E-2</v>
      </c>
      <c r="M10" s="143">
        <v>0</v>
      </c>
      <c r="N10" s="143">
        <v>0</v>
      </c>
      <c r="O10" s="143">
        <v>0</v>
      </c>
      <c r="P10" s="143">
        <v>0</v>
      </c>
      <c r="Q10" s="143">
        <v>0</v>
      </c>
      <c r="R10" s="143">
        <v>0</v>
      </c>
      <c r="S10" s="143">
        <v>0</v>
      </c>
      <c r="T10" s="143">
        <v>0</v>
      </c>
      <c r="U10" s="143">
        <v>0</v>
      </c>
      <c r="V10" s="143">
        <v>0</v>
      </c>
      <c r="W10" s="143">
        <v>0</v>
      </c>
      <c r="X10" s="143">
        <v>0</v>
      </c>
      <c r="Y10" s="143">
        <v>0</v>
      </c>
      <c r="Z10" s="143">
        <v>0</v>
      </c>
      <c r="AA10" s="143">
        <v>0</v>
      </c>
      <c r="AB10" s="143">
        <v>0</v>
      </c>
      <c r="AC10" s="143">
        <v>0</v>
      </c>
      <c r="AD10" s="143">
        <v>0</v>
      </c>
      <c r="AE10" s="143">
        <v>8.0000000000000002E-3</v>
      </c>
      <c r="AF10" s="143">
        <v>0</v>
      </c>
      <c r="AG10" s="143">
        <v>0</v>
      </c>
      <c r="AH10" s="143">
        <v>0</v>
      </c>
      <c r="AI10" s="143">
        <v>0</v>
      </c>
      <c r="AJ10" s="143">
        <v>0</v>
      </c>
      <c r="AK10" s="143">
        <v>0</v>
      </c>
      <c r="AL10" s="143">
        <v>0</v>
      </c>
      <c r="AM10" s="143">
        <v>0</v>
      </c>
      <c r="AN10" s="143">
        <v>0</v>
      </c>
    </row>
    <row r="11" spans="1:40" customFormat="1" x14ac:dyDescent="0.15">
      <c r="A11" s="178" t="s">
        <v>200</v>
      </c>
      <c r="B11" s="143">
        <v>0</v>
      </c>
      <c r="C11" s="143">
        <v>6.5000000000000002E-2</v>
      </c>
      <c r="D11" s="143">
        <v>0.30000000000000004</v>
      </c>
      <c r="E11" s="143">
        <v>0.11902380639464494</v>
      </c>
      <c r="F11" s="143">
        <v>1.8924301623764933E-2</v>
      </c>
      <c r="G11" s="143">
        <v>3.7148595473945799E-2</v>
      </c>
      <c r="H11" s="143">
        <v>0.14805260275377843</v>
      </c>
      <c r="I11" s="143">
        <v>9.7999999999999976E-2</v>
      </c>
      <c r="J11" s="143">
        <v>0.4</v>
      </c>
      <c r="K11" s="143">
        <v>0</v>
      </c>
      <c r="L11" s="143">
        <v>0.11</v>
      </c>
      <c r="M11" s="143">
        <v>6.0000000000000001E-3</v>
      </c>
      <c r="N11" s="143">
        <v>0.09</v>
      </c>
      <c r="O11" s="143">
        <v>0</v>
      </c>
      <c r="P11" s="143">
        <v>0</v>
      </c>
      <c r="Q11" s="143">
        <v>0</v>
      </c>
      <c r="R11" s="143">
        <v>0</v>
      </c>
      <c r="S11" s="143">
        <v>0</v>
      </c>
      <c r="T11" s="143">
        <v>0</v>
      </c>
      <c r="U11" s="143">
        <v>0</v>
      </c>
      <c r="V11" s="143">
        <v>0</v>
      </c>
      <c r="W11" s="143">
        <v>0</v>
      </c>
      <c r="X11" s="143">
        <v>6.9999999999999993E-2</v>
      </c>
      <c r="Y11" s="143">
        <v>0</v>
      </c>
      <c r="Z11" s="143">
        <v>0</v>
      </c>
      <c r="AA11" s="143">
        <v>0</v>
      </c>
      <c r="AB11" s="143">
        <v>0</v>
      </c>
      <c r="AC11" s="143">
        <v>3.0029310154650944E-3</v>
      </c>
      <c r="AD11" s="143">
        <v>1.2006003234077035E-2</v>
      </c>
      <c r="AE11" s="143">
        <v>5.2999999999999999E-2</v>
      </c>
      <c r="AF11" s="143">
        <v>0</v>
      </c>
      <c r="AG11" s="143">
        <v>0</v>
      </c>
      <c r="AH11" s="143">
        <v>0</v>
      </c>
      <c r="AI11" s="143">
        <v>0</v>
      </c>
      <c r="AJ11" s="143">
        <v>0</v>
      </c>
      <c r="AK11" s="143">
        <v>0</v>
      </c>
      <c r="AL11" s="143">
        <v>0</v>
      </c>
      <c r="AM11" s="143">
        <v>0</v>
      </c>
      <c r="AN11" s="143">
        <v>0</v>
      </c>
    </row>
    <row r="12" spans="1:40" customFormat="1" x14ac:dyDescent="0.15">
      <c r="A12" s="178" t="s">
        <v>201</v>
      </c>
      <c r="B12" s="143">
        <v>0</v>
      </c>
      <c r="C12" s="143">
        <v>0</v>
      </c>
      <c r="D12" s="143">
        <v>0</v>
      </c>
      <c r="E12" s="143">
        <v>0</v>
      </c>
      <c r="F12" s="143">
        <v>0</v>
      </c>
      <c r="G12" s="143">
        <v>0</v>
      </c>
      <c r="H12" s="143">
        <v>0</v>
      </c>
      <c r="I12" s="143">
        <v>0</v>
      </c>
      <c r="J12" s="143">
        <v>2E-3</v>
      </c>
      <c r="K12" s="143">
        <v>0</v>
      </c>
      <c r="L12" s="143">
        <v>0</v>
      </c>
      <c r="M12" s="143">
        <v>0</v>
      </c>
      <c r="N12" s="143">
        <v>0</v>
      </c>
      <c r="O12" s="143">
        <v>0</v>
      </c>
      <c r="P12" s="143">
        <v>0</v>
      </c>
      <c r="Q12" s="143">
        <v>0</v>
      </c>
      <c r="R12" s="143">
        <v>0</v>
      </c>
      <c r="S12" s="143">
        <v>0</v>
      </c>
      <c r="T12" s="143">
        <v>0</v>
      </c>
      <c r="U12" s="143">
        <v>0</v>
      </c>
      <c r="V12" s="143">
        <v>0</v>
      </c>
      <c r="W12" s="143">
        <v>0</v>
      </c>
      <c r="X12" s="143">
        <v>0</v>
      </c>
      <c r="Y12" s="143">
        <v>0</v>
      </c>
      <c r="Z12" s="143">
        <v>0</v>
      </c>
      <c r="AA12" s="143">
        <v>0</v>
      </c>
      <c r="AB12" s="143">
        <v>0</v>
      </c>
      <c r="AC12" s="143">
        <v>0</v>
      </c>
      <c r="AD12" s="143">
        <v>0</v>
      </c>
      <c r="AE12" s="143">
        <v>1E-3</v>
      </c>
      <c r="AF12" s="143">
        <v>0</v>
      </c>
      <c r="AG12" s="143">
        <v>0</v>
      </c>
      <c r="AH12" s="143">
        <v>0</v>
      </c>
      <c r="AI12" s="143">
        <v>0</v>
      </c>
      <c r="AJ12" s="143">
        <v>0</v>
      </c>
      <c r="AK12" s="143">
        <v>0</v>
      </c>
      <c r="AL12" s="143">
        <v>0</v>
      </c>
      <c r="AM12" s="143">
        <v>0</v>
      </c>
      <c r="AN12" s="143">
        <v>0</v>
      </c>
    </row>
    <row r="13" spans="1:40" customFormat="1" x14ac:dyDescent="0.15">
      <c r="A13" s="178" t="s">
        <v>202</v>
      </c>
      <c r="B13" s="143">
        <v>0</v>
      </c>
      <c r="C13" s="143">
        <v>0</v>
      </c>
      <c r="D13" s="143">
        <v>0</v>
      </c>
      <c r="E13" s="143">
        <v>0.10002000549129826</v>
      </c>
      <c r="F13" s="143">
        <v>1.8924301623764933E-2</v>
      </c>
      <c r="G13" s="143">
        <v>0</v>
      </c>
      <c r="H13" s="143">
        <v>0</v>
      </c>
      <c r="I13" s="143">
        <v>0</v>
      </c>
      <c r="J13" s="143">
        <v>0.02</v>
      </c>
      <c r="K13" s="143">
        <v>0</v>
      </c>
      <c r="L13" s="143">
        <v>0.1</v>
      </c>
      <c r="M13" s="143">
        <v>0</v>
      </c>
      <c r="N13" s="143">
        <v>5.6000000000000001E-2</v>
      </c>
      <c r="O13" s="143">
        <v>0</v>
      </c>
      <c r="P13" s="143">
        <v>0</v>
      </c>
      <c r="Q13" s="143">
        <v>0</v>
      </c>
      <c r="R13" s="143">
        <v>0</v>
      </c>
      <c r="S13" s="143">
        <v>0</v>
      </c>
      <c r="T13" s="143">
        <v>0</v>
      </c>
      <c r="U13" s="143">
        <v>0</v>
      </c>
      <c r="V13" s="143">
        <v>0</v>
      </c>
      <c r="W13" s="143">
        <v>5.0000000000000001E-3</v>
      </c>
      <c r="X13" s="143">
        <v>0</v>
      </c>
      <c r="Y13" s="143">
        <v>0</v>
      </c>
      <c r="Z13" s="143">
        <v>0</v>
      </c>
      <c r="AA13" s="143">
        <v>0</v>
      </c>
      <c r="AB13" s="143">
        <v>0</v>
      </c>
      <c r="AC13" s="143">
        <v>0</v>
      </c>
      <c r="AD13" s="143">
        <v>0</v>
      </c>
      <c r="AE13" s="143">
        <v>8.0000000000000002E-3</v>
      </c>
      <c r="AF13" s="143">
        <v>0</v>
      </c>
      <c r="AG13" s="143">
        <v>0</v>
      </c>
      <c r="AH13" s="143">
        <v>0</v>
      </c>
      <c r="AI13" s="143">
        <v>0</v>
      </c>
      <c r="AJ13" s="143">
        <v>0</v>
      </c>
      <c r="AK13" s="143">
        <v>0</v>
      </c>
      <c r="AL13" s="143">
        <v>0</v>
      </c>
      <c r="AM13" s="143">
        <v>0</v>
      </c>
      <c r="AN13" s="143">
        <v>0</v>
      </c>
    </row>
    <row r="14" spans="1:40" customFormat="1" x14ac:dyDescent="0.15">
      <c r="A14" s="178" t="s">
        <v>203</v>
      </c>
      <c r="B14" s="143">
        <v>3.2009176851986232E-2</v>
      </c>
      <c r="C14" s="143">
        <v>0</v>
      </c>
      <c r="D14" s="143">
        <v>0</v>
      </c>
      <c r="E14" s="143">
        <v>0</v>
      </c>
      <c r="F14" s="143">
        <v>0</v>
      </c>
      <c r="G14" s="143">
        <v>0</v>
      </c>
      <c r="H14" s="143">
        <v>0</v>
      </c>
      <c r="I14" s="143">
        <v>0</v>
      </c>
      <c r="J14" s="143">
        <v>0</v>
      </c>
      <c r="K14" s="143">
        <v>0</v>
      </c>
      <c r="L14" s="143">
        <v>0.03</v>
      </c>
      <c r="M14" s="143">
        <v>0</v>
      </c>
      <c r="N14" s="143">
        <v>1.0999999999999999E-2</v>
      </c>
      <c r="O14" s="143">
        <v>0</v>
      </c>
      <c r="P14" s="143">
        <v>2.2997834074594142E-2</v>
      </c>
      <c r="Q14" s="143">
        <v>0</v>
      </c>
      <c r="R14" s="143">
        <v>0</v>
      </c>
      <c r="S14" s="143">
        <v>0</v>
      </c>
      <c r="T14" s="143">
        <v>0</v>
      </c>
      <c r="U14" s="143">
        <v>0</v>
      </c>
      <c r="V14" s="143">
        <v>0</v>
      </c>
      <c r="W14" s="143">
        <v>0</v>
      </c>
      <c r="X14" s="143">
        <v>0</v>
      </c>
      <c r="Y14" s="143">
        <v>0</v>
      </c>
      <c r="Z14" s="143">
        <v>0</v>
      </c>
      <c r="AA14" s="143">
        <v>7.0000000000000001E-3</v>
      </c>
      <c r="AB14" s="143">
        <v>0</v>
      </c>
      <c r="AC14" s="143">
        <v>0</v>
      </c>
      <c r="AD14" s="143">
        <v>0</v>
      </c>
      <c r="AE14" s="143">
        <v>0</v>
      </c>
      <c r="AF14" s="143">
        <v>0</v>
      </c>
      <c r="AG14" s="143">
        <v>0</v>
      </c>
      <c r="AH14" s="143">
        <v>0</v>
      </c>
      <c r="AI14" s="143">
        <v>0</v>
      </c>
      <c r="AJ14" s="143">
        <v>0</v>
      </c>
      <c r="AK14" s="143">
        <v>0</v>
      </c>
      <c r="AL14" s="143">
        <v>0</v>
      </c>
      <c r="AM14" s="143">
        <v>0</v>
      </c>
      <c r="AN14" s="143">
        <v>0</v>
      </c>
    </row>
    <row r="15" spans="1:40" customFormat="1" x14ac:dyDescent="0.15">
      <c r="A15" s="178" t="s">
        <v>204</v>
      </c>
      <c r="B15" s="143">
        <v>7.2164969891752528E-2</v>
      </c>
      <c r="C15" s="143">
        <v>0.02</v>
      </c>
      <c r="D15" s="143">
        <v>0</v>
      </c>
      <c r="E15" s="143">
        <v>0</v>
      </c>
      <c r="F15" s="143">
        <v>0</v>
      </c>
      <c r="G15" s="143">
        <v>0</v>
      </c>
      <c r="H15" s="143">
        <v>0</v>
      </c>
      <c r="I15" s="143">
        <v>0</v>
      </c>
      <c r="J15" s="143">
        <v>0</v>
      </c>
      <c r="K15" s="143">
        <v>0</v>
      </c>
      <c r="L15" s="143">
        <v>0</v>
      </c>
      <c r="M15" s="143">
        <v>0</v>
      </c>
      <c r="N15" s="143">
        <v>0.01</v>
      </c>
      <c r="O15" s="143">
        <v>0</v>
      </c>
      <c r="P15" s="143">
        <v>0</v>
      </c>
      <c r="Q15" s="143">
        <v>0</v>
      </c>
      <c r="R15" s="143">
        <v>0</v>
      </c>
      <c r="S15" s="143">
        <v>0</v>
      </c>
      <c r="T15" s="143">
        <v>0</v>
      </c>
      <c r="U15" s="143">
        <v>0</v>
      </c>
      <c r="V15" s="143">
        <v>0</v>
      </c>
      <c r="W15" s="143">
        <v>0</v>
      </c>
      <c r="X15" s="143">
        <v>0</v>
      </c>
      <c r="Y15" s="143">
        <v>0</v>
      </c>
      <c r="Z15" s="143">
        <v>0</v>
      </c>
      <c r="AA15" s="143">
        <v>0</v>
      </c>
      <c r="AB15" s="143">
        <v>0</v>
      </c>
      <c r="AC15" s="143">
        <v>0</v>
      </c>
      <c r="AD15" s="143">
        <v>2.0010005423461725E-3</v>
      </c>
      <c r="AE15" s="143">
        <v>0</v>
      </c>
      <c r="AF15" s="143">
        <v>0</v>
      </c>
      <c r="AG15" s="143">
        <v>0</v>
      </c>
      <c r="AH15" s="143">
        <v>0</v>
      </c>
      <c r="AI15" s="143">
        <v>0</v>
      </c>
      <c r="AJ15" s="143">
        <v>0</v>
      </c>
      <c r="AK15" s="143">
        <v>0</v>
      </c>
      <c r="AL15" s="143">
        <v>0</v>
      </c>
      <c r="AM15" s="143">
        <v>0</v>
      </c>
      <c r="AN15" s="143">
        <v>0</v>
      </c>
    </row>
    <row r="16" spans="1:40" customFormat="1" x14ac:dyDescent="0.15">
      <c r="A16" s="178" t="s">
        <v>205</v>
      </c>
      <c r="B16" s="143">
        <v>0</v>
      </c>
      <c r="C16" s="143">
        <v>0</v>
      </c>
      <c r="D16" s="143">
        <v>0</v>
      </c>
      <c r="E16" s="143">
        <v>7.0014004243908788E-3</v>
      </c>
      <c r="F16" s="143">
        <v>0</v>
      </c>
      <c r="G16" s="143">
        <v>0</v>
      </c>
      <c r="H16" s="143">
        <v>0</v>
      </c>
      <c r="I16" s="143">
        <v>0</v>
      </c>
      <c r="J16" s="143">
        <v>0</v>
      </c>
      <c r="K16" s="143">
        <v>0</v>
      </c>
      <c r="L16" s="143">
        <v>0</v>
      </c>
      <c r="M16" s="143">
        <v>0</v>
      </c>
      <c r="N16" s="143">
        <v>2E-3</v>
      </c>
      <c r="O16" s="143">
        <v>5.0050047572572694E-3</v>
      </c>
      <c r="P16" s="143">
        <v>0</v>
      </c>
      <c r="Q16" s="143">
        <v>0</v>
      </c>
      <c r="R16" s="143">
        <v>0</v>
      </c>
      <c r="S16" s="143">
        <v>0</v>
      </c>
      <c r="T16" s="143">
        <v>0</v>
      </c>
      <c r="U16" s="143">
        <v>0</v>
      </c>
      <c r="V16" s="143">
        <v>0</v>
      </c>
      <c r="W16" s="143">
        <v>0</v>
      </c>
      <c r="X16" s="143">
        <v>0</v>
      </c>
      <c r="Y16" s="143">
        <v>0</v>
      </c>
      <c r="Z16" s="143">
        <v>0</v>
      </c>
      <c r="AA16" s="143">
        <v>2E-3</v>
      </c>
      <c r="AB16" s="143">
        <v>0</v>
      </c>
      <c r="AC16" s="143">
        <v>0</v>
      </c>
      <c r="AD16" s="143">
        <v>0</v>
      </c>
      <c r="AE16" s="143">
        <v>0</v>
      </c>
      <c r="AF16" s="143">
        <v>0</v>
      </c>
      <c r="AG16" s="143">
        <v>0</v>
      </c>
      <c r="AH16" s="143">
        <v>0</v>
      </c>
      <c r="AI16" s="143">
        <v>0</v>
      </c>
      <c r="AJ16" s="143">
        <v>0</v>
      </c>
      <c r="AK16" s="143">
        <v>0</v>
      </c>
      <c r="AL16" s="143">
        <v>0</v>
      </c>
      <c r="AM16" s="143">
        <v>0</v>
      </c>
      <c r="AN16" s="143">
        <v>0</v>
      </c>
    </row>
    <row r="17" spans="1:40" customFormat="1" x14ac:dyDescent="0.15">
      <c r="A17" s="178" t="s">
        <v>206</v>
      </c>
      <c r="B17" s="143">
        <v>0</v>
      </c>
      <c r="C17" s="143">
        <v>0</v>
      </c>
      <c r="D17" s="143">
        <v>0</v>
      </c>
      <c r="E17" s="143">
        <v>2.0003999898259659E-2</v>
      </c>
      <c r="F17" s="143">
        <v>1.6932273410737071E-2</v>
      </c>
      <c r="G17" s="143">
        <v>0</v>
      </c>
      <c r="H17" s="143">
        <v>0</v>
      </c>
      <c r="I17" s="143">
        <v>0</v>
      </c>
      <c r="J17" s="143">
        <v>0</v>
      </c>
      <c r="K17" s="143">
        <v>0</v>
      </c>
      <c r="L17" s="143">
        <v>0</v>
      </c>
      <c r="M17" s="143">
        <v>0</v>
      </c>
      <c r="N17" s="143">
        <v>0.01</v>
      </c>
      <c r="O17" s="143">
        <v>0</v>
      </c>
      <c r="P17" s="143">
        <v>0</v>
      </c>
      <c r="Q17" s="143">
        <v>0</v>
      </c>
      <c r="R17" s="143">
        <v>0</v>
      </c>
      <c r="S17" s="143">
        <v>0</v>
      </c>
      <c r="T17" s="143">
        <v>0</v>
      </c>
      <c r="U17" s="143">
        <v>0</v>
      </c>
      <c r="V17" s="143">
        <v>0</v>
      </c>
      <c r="W17" s="143">
        <v>0</v>
      </c>
      <c r="X17" s="143">
        <v>0</v>
      </c>
      <c r="Y17" s="143">
        <v>0</v>
      </c>
      <c r="Z17" s="143">
        <v>0</v>
      </c>
      <c r="AA17" s="143">
        <v>0</v>
      </c>
      <c r="AB17" s="143">
        <v>0</v>
      </c>
      <c r="AC17" s="143">
        <v>0</v>
      </c>
      <c r="AD17" s="143">
        <v>0</v>
      </c>
      <c r="AE17" s="143">
        <v>0</v>
      </c>
      <c r="AF17" s="143">
        <v>0</v>
      </c>
      <c r="AG17" s="143">
        <v>0</v>
      </c>
      <c r="AH17" s="143">
        <v>0</v>
      </c>
      <c r="AI17" s="143">
        <v>0</v>
      </c>
      <c r="AJ17" s="143">
        <v>0</v>
      </c>
      <c r="AK17" s="143">
        <v>0</v>
      </c>
      <c r="AL17" s="143">
        <v>0</v>
      </c>
      <c r="AM17" s="143">
        <v>0</v>
      </c>
      <c r="AN17" s="143">
        <v>0</v>
      </c>
    </row>
    <row r="18" spans="1:40" customFormat="1" x14ac:dyDescent="0.15">
      <c r="A18" s="178" t="s">
        <v>207</v>
      </c>
      <c r="B18" s="143">
        <v>5.8132889912800655E-2</v>
      </c>
      <c r="C18" s="143">
        <v>0.01</v>
      </c>
      <c r="D18" s="143">
        <v>0</v>
      </c>
      <c r="E18" s="143">
        <v>3.000599984738949E-2</v>
      </c>
      <c r="F18" s="143">
        <v>0</v>
      </c>
      <c r="G18" s="143">
        <v>0</v>
      </c>
      <c r="H18" s="143">
        <v>0</v>
      </c>
      <c r="I18" s="143">
        <v>9.9999999999999985E-3</v>
      </c>
      <c r="J18" s="143">
        <v>0</v>
      </c>
      <c r="K18" s="143">
        <v>0</v>
      </c>
      <c r="L18" s="143">
        <v>0</v>
      </c>
      <c r="M18" s="143">
        <v>0</v>
      </c>
      <c r="N18" s="143">
        <v>0</v>
      </c>
      <c r="O18" s="143">
        <v>0</v>
      </c>
      <c r="P18" s="143">
        <v>6.0114577217768054E-3</v>
      </c>
      <c r="Q18" s="143">
        <v>0</v>
      </c>
      <c r="R18" s="143">
        <v>0</v>
      </c>
      <c r="S18" s="143">
        <v>0</v>
      </c>
      <c r="T18" s="143">
        <v>0</v>
      </c>
      <c r="U18" s="143">
        <v>0</v>
      </c>
      <c r="V18" s="143">
        <v>0</v>
      </c>
      <c r="W18" s="143">
        <v>5.0000000000000001E-3</v>
      </c>
      <c r="X18" s="143">
        <v>0</v>
      </c>
      <c r="Y18" s="143">
        <v>0</v>
      </c>
      <c r="Z18" s="143">
        <v>0</v>
      </c>
      <c r="AA18" s="143">
        <v>0</v>
      </c>
      <c r="AB18" s="143">
        <v>0</v>
      </c>
      <c r="AC18" s="143">
        <v>0</v>
      </c>
      <c r="AD18" s="143">
        <v>0</v>
      </c>
      <c r="AE18" s="143">
        <v>0</v>
      </c>
      <c r="AF18" s="143">
        <v>0</v>
      </c>
      <c r="AG18" s="143">
        <v>0</v>
      </c>
      <c r="AH18" s="143">
        <v>0</v>
      </c>
      <c r="AI18" s="143">
        <v>0</v>
      </c>
      <c r="AJ18" s="143">
        <v>0</v>
      </c>
      <c r="AK18" s="143">
        <v>0</v>
      </c>
      <c r="AL18" s="143">
        <v>0</v>
      </c>
      <c r="AM18" s="143">
        <v>0</v>
      </c>
      <c r="AN18" s="143">
        <v>0</v>
      </c>
    </row>
    <row r="19" spans="1:40" customFormat="1" x14ac:dyDescent="0.15">
      <c r="A19" s="178" t="s">
        <v>208</v>
      </c>
      <c r="B19" s="143">
        <v>5.8132889912800655E-2</v>
      </c>
      <c r="C19" s="143">
        <v>0.03</v>
      </c>
      <c r="D19" s="143">
        <v>0</v>
      </c>
      <c r="E19" s="143">
        <v>8.0015999593038636E-3</v>
      </c>
      <c r="F19" s="143">
        <v>3.7848603247529866E-2</v>
      </c>
      <c r="G19" s="143">
        <v>0</v>
      </c>
      <c r="H19" s="143">
        <v>1.0003553886066104E-2</v>
      </c>
      <c r="I19" s="143">
        <v>6.9999999999999993E-2</v>
      </c>
      <c r="J19" s="143">
        <v>0</v>
      </c>
      <c r="K19" s="143">
        <v>0</v>
      </c>
      <c r="L19" s="143">
        <v>0</v>
      </c>
      <c r="M19" s="143">
        <v>0</v>
      </c>
      <c r="N19" s="143">
        <v>0.03</v>
      </c>
      <c r="O19" s="143">
        <v>0</v>
      </c>
      <c r="P19" s="143">
        <v>9.9990585193887593E-2</v>
      </c>
      <c r="Q19" s="143">
        <v>0</v>
      </c>
      <c r="R19" s="143">
        <v>0.14999819965500411</v>
      </c>
      <c r="S19" s="143">
        <v>0</v>
      </c>
      <c r="T19" s="143">
        <v>0.03</v>
      </c>
      <c r="U19" s="143">
        <v>0</v>
      </c>
      <c r="V19" s="143">
        <v>0</v>
      </c>
      <c r="W19" s="143">
        <v>0.01</v>
      </c>
      <c r="X19" s="143">
        <v>1.9999999999999997E-2</v>
      </c>
      <c r="Y19" s="143">
        <v>0</v>
      </c>
      <c r="Z19" s="143">
        <v>0</v>
      </c>
      <c r="AA19" s="143">
        <v>0</v>
      </c>
      <c r="AB19" s="143">
        <v>0</v>
      </c>
      <c r="AC19" s="143">
        <v>0</v>
      </c>
      <c r="AD19" s="143">
        <v>6.0030016170385175E-3</v>
      </c>
      <c r="AE19" s="143">
        <v>1E-3</v>
      </c>
      <c r="AF19" s="143">
        <v>0</v>
      </c>
      <c r="AG19" s="143">
        <v>0</v>
      </c>
      <c r="AH19" s="143">
        <v>0</v>
      </c>
      <c r="AI19" s="143">
        <v>0</v>
      </c>
      <c r="AJ19" s="143">
        <v>0</v>
      </c>
      <c r="AK19" s="143">
        <v>0</v>
      </c>
      <c r="AL19" s="143">
        <v>0</v>
      </c>
      <c r="AM19" s="143">
        <v>0</v>
      </c>
      <c r="AN19" s="143">
        <v>0</v>
      </c>
    </row>
    <row r="20" spans="1:40" customFormat="1" x14ac:dyDescent="0.15">
      <c r="A20" s="178" t="s">
        <v>209</v>
      </c>
      <c r="B20" s="143">
        <v>0.11726807082409788</v>
      </c>
      <c r="C20" s="143">
        <v>0.06</v>
      </c>
      <c r="D20" s="143">
        <v>8.0000000000000016E-2</v>
      </c>
      <c r="E20" s="143">
        <v>2.0003999898259659E-2</v>
      </c>
      <c r="F20" s="143">
        <v>0</v>
      </c>
      <c r="G20" s="143">
        <v>0</v>
      </c>
      <c r="H20" s="143">
        <v>0</v>
      </c>
      <c r="I20" s="143">
        <v>0</v>
      </c>
      <c r="J20" s="143">
        <v>0</v>
      </c>
      <c r="K20" s="143">
        <v>0</v>
      </c>
      <c r="L20" s="143">
        <v>0</v>
      </c>
      <c r="M20" s="143">
        <v>0</v>
      </c>
      <c r="N20" s="143">
        <v>8.0000000000000002E-3</v>
      </c>
      <c r="O20" s="143">
        <v>0</v>
      </c>
      <c r="P20" s="143">
        <v>0</v>
      </c>
      <c r="Q20" s="143">
        <v>0</v>
      </c>
      <c r="R20" s="143">
        <v>0</v>
      </c>
      <c r="S20" s="143">
        <v>0</v>
      </c>
      <c r="T20" s="143">
        <v>0</v>
      </c>
      <c r="U20" s="143">
        <v>0</v>
      </c>
      <c r="V20" s="143">
        <v>0</v>
      </c>
      <c r="W20" s="143">
        <v>0.03</v>
      </c>
      <c r="X20" s="143">
        <v>2.9999999999999992E-2</v>
      </c>
      <c r="Y20" s="143">
        <v>0</v>
      </c>
      <c r="Z20" s="143">
        <v>0</v>
      </c>
      <c r="AA20" s="143">
        <v>0</v>
      </c>
      <c r="AB20" s="143">
        <v>0</v>
      </c>
      <c r="AC20" s="143">
        <v>0</v>
      </c>
      <c r="AD20" s="143">
        <v>0</v>
      </c>
      <c r="AE20" s="143">
        <v>5.0000000000000001E-3</v>
      </c>
      <c r="AF20" s="143">
        <v>0</v>
      </c>
      <c r="AG20" s="143">
        <v>0</v>
      </c>
      <c r="AH20" s="143">
        <v>0</v>
      </c>
      <c r="AI20" s="143">
        <v>0</v>
      </c>
      <c r="AJ20" s="143">
        <v>0</v>
      </c>
      <c r="AK20" s="143">
        <v>0</v>
      </c>
      <c r="AL20" s="143">
        <v>0</v>
      </c>
      <c r="AM20" s="143">
        <v>0</v>
      </c>
      <c r="AN20" s="143">
        <v>0</v>
      </c>
    </row>
    <row r="21" spans="1:40" customFormat="1" x14ac:dyDescent="0.15">
      <c r="A21" s="178" t="s">
        <v>210</v>
      </c>
      <c r="B21" s="143">
        <v>0.1754009717368985</v>
      </c>
      <c r="C21" s="143">
        <v>0.1</v>
      </c>
      <c r="D21" s="143">
        <v>8.0000000000000016E-2</v>
      </c>
      <c r="E21" s="143">
        <v>1.7003402013520699E-2</v>
      </c>
      <c r="F21" s="143">
        <v>3.7848603247529866E-2</v>
      </c>
      <c r="G21" s="143">
        <v>0</v>
      </c>
      <c r="H21" s="143">
        <v>6.6890041244154777E-2</v>
      </c>
      <c r="I21" s="143">
        <v>7.2999999999999982E-2</v>
      </c>
      <c r="J21" s="143">
        <v>0</v>
      </c>
      <c r="K21" s="143">
        <v>0</v>
      </c>
      <c r="L21" s="143">
        <v>0</v>
      </c>
      <c r="M21" s="143">
        <v>0</v>
      </c>
      <c r="N21" s="143">
        <v>0.08</v>
      </c>
      <c r="O21" s="143">
        <v>0</v>
      </c>
      <c r="P21" s="143">
        <v>0.24146022188303506</v>
      </c>
      <c r="Q21" s="143">
        <v>0.114</v>
      </c>
      <c r="R21" s="143">
        <v>0.39420685109332415</v>
      </c>
      <c r="S21" s="143">
        <v>0</v>
      </c>
      <c r="T21" s="143">
        <v>0.1</v>
      </c>
      <c r="U21" s="143">
        <v>0</v>
      </c>
      <c r="V21" s="143">
        <v>0</v>
      </c>
      <c r="W21" s="143">
        <v>0.05</v>
      </c>
      <c r="X21" s="143">
        <v>5.9999999999999984E-2</v>
      </c>
      <c r="Y21" s="143">
        <v>0</v>
      </c>
      <c r="Z21" s="143">
        <v>0</v>
      </c>
      <c r="AA21" s="143">
        <v>1.7999999999999999E-2</v>
      </c>
      <c r="AB21" s="143">
        <v>0</v>
      </c>
      <c r="AC21" s="143">
        <v>4.999879775749381E-3</v>
      </c>
      <c r="AD21" s="143">
        <v>2.5012505854327169E-2</v>
      </c>
      <c r="AE21" s="143">
        <v>0.01</v>
      </c>
      <c r="AF21" s="143">
        <v>0</v>
      </c>
      <c r="AG21" s="143">
        <v>0</v>
      </c>
      <c r="AH21" s="143">
        <v>0</v>
      </c>
      <c r="AI21" s="143">
        <v>0</v>
      </c>
      <c r="AJ21" s="143">
        <v>0</v>
      </c>
      <c r="AK21" s="143">
        <v>0</v>
      </c>
      <c r="AL21" s="143">
        <v>0</v>
      </c>
      <c r="AM21" s="143">
        <v>0</v>
      </c>
      <c r="AN21" s="143">
        <v>0</v>
      </c>
    </row>
    <row r="22" spans="1:40" customFormat="1" x14ac:dyDescent="0.15">
      <c r="A22" s="178" t="s">
        <v>211</v>
      </c>
      <c r="B22" s="143">
        <v>0.13130015080304977</v>
      </c>
      <c r="C22" s="143">
        <v>0.08</v>
      </c>
      <c r="D22" s="143">
        <v>8.0000000000000016E-2</v>
      </c>
      <c r="E22" s="143">
        <v>1.000199994912983E-2</v>
      </c>
      <c r="F22" s="143">
        <v>0</v>
      </c>
      <c r="G22" s="143">
        <v>0</v>
      </c>
      <c r="H22" s="143">
        <v>1.0003553886066104E-2</v>
      </c>
      <c r="I22" s="143">
        <v>1.9999999999999997E-2</v>
      </c>
      <c r="J22" s="143">
        <v>0</v>
      </c>
      <c r="K22" s="143">
        <v>0</v>
      </c>
      <c r="L22" s="143">
        <v>0</v>
      </c>
      <c r="M22" s="143">
        <v>0</v>
      </c>
      <c r="N22" s="143">
        <v>0.02</v>
      </c>
      <c r="O22" s="143">
        <v>0</v>
      </c>
      <c r="P22" s="143">
        <v>4.9995292596943797E-2</v>
      </c>
      <c r="Q22" s="143">
        <v>0</v>
      </c>
      <c r="R22" s="143">
        <v>0</v>
      </c>
      <c r="S22" s="143">
        <v>0</v>
      </c>
      <c r="T22" s="143">
        <v>0</v>
      </c>
      <c r="U22" s="143">
        <v>0</v>
      </c>
      <c r="V22" s="143">
        <v>0</v>
      </c>
      <c r="W22" s="143">
        <v>0</v>
      </c>
      <c r="X22" s="143">
        <v>0</v>
      </c>
      <c r="Y22" s="143">
        <v>0</v>
      </c>
      <c r="Z22" s="143">
        <v>0</v>
      </c>
      <c r="AA22" s="143">
        <v>0</v>
      </c>
      <c r="AB22" s="143">
        <v>0</v>
      </c>
      <c r="AC22" s="143">
        <v>0</v>
      </c>
      <c r="AD22" s="143">
        <v>0</v>
      </c>
      <c r="AE22" s="143">
        <v>0</v>
      </c>
      <c r="AF22" s="143">
        <v>0</v>
      </c>
      <c r="AG22" s="143">
        <v>0</v>
      </c>
      <c r="AH22" s="143">
        <v>0</v>
      </c>
      <c r="AI22" s="143">
        <v>0</v>
      </c>
      <c r="AJ22" s="143">
        <v>0</v>
      </c>
      <c r="AK22" s="143">
        <v>0</v>
      </c>
      <c r="AL22" s="143">
        <v>0</v>
      </c>
      <c r="AM22" s="143">
        <v>0</v>
      </c>
      <c r="AN22" s="143">
        <v>0</v>
      </c>
    </row>
    <row r="23" spans="1:40" customFormat="1" x14ac:dyDescent="0.15">
      <c r="A23" s="178" t="s">
        <v>212</v>
      </c>
      <c r="B23" s="143">
        <v>1.5034368277448446E-2</v>
      </c>
      <c r="C23" s="143">
        <v>0</v>
      </c>
      <c r="D23" s="143">
        <v>0</v>
      </c>
      <c r="E23" s="143">
        <v>2.0003999898259659E-3</v>
      </c>
      <c r="F23" s="143">
        <v>1.6932273410737071E-2</v>
      </c>
      <c r="G23" s="143">
        <v>0</v>
      </c>
      <c r="H23" s="143">
        <v>3.9934353742778978E-3</v>
      </c>
      <c r="I23" s="143">
        <v>0</v>
      </c>
      <c r="J23" s="143">
        <v>0</v>
      </c>
      <c r="K23" s="143">
        <v>0</v>
      </c>
      <c r="L23" s="143">
        <v>0</v>
      </c>
      <c r="M23" s="143">
        <v>0</v>
      </c>
      <c r="N23" s="143">
        <v>1E-3</v>
      </c>
      <c r="O23" s="143">
        <v>0</v>
      </c>
      <c r="P23" s="143">
        <v>4.8091660574214434E-2</v>
      </c>
      <c r="Q23" s="143">
        <v>0</v>
      </c>
      <c r="R23" s="143">
        <v>0</v>
      </c>
      <c r="S23" s="143">
        <v>0</v>
      </c>
      <c r="T23" s="143">
        <v>0</v>
      </c>
      <c r="U23" s="143">
        <v>0</v>
      </c>
      <c r="V23" s="143">
        <v>0</v>
      </c>
      <c r="W23" s="143">
        <v>0</v>
      </c>
      <c r="X23" s="143">
        <v>0</v>
      </c>
      <c r="Y23" s="143">
        <v>0</v>
      </c>
      <c r="Z23" s="143">
        <v>0</v>
      </c>
      <c r="AA23" s="143">
        <v>0</v>
      </c>
      <c r="AB23" s="143">
        <v>0</v>
      </c>
      <c r="AC23" s="143">
        <v>0</v>
      </c>
      <c r="AD23" s="143">
        <v>0</v>
      </c>
      <c r="AE23" s="143">
        <v>0</v>
      </c>
      <c r="AF23" s="143">
        <v>0</v>
      </c>
      <c r="AG23" s="143">
        <v>0</v>
      </c>
      <c r="AH23" s="143">
        <v>0</v>
      </c>
      <c r="AI23" s="143">
        <v>0</v>
      </c>
      <c r="AJ23" s="143">
        <v>0</v>
      </c>
      <c r="AK23" s="143">
        <v>0</v>
      </c>
      <c r="AL23" s="143">
        <v>0</v>
      </c>
      <c r="AM23" s="143">
        <v>0</v>
      </c>
      <c r="AN23" s="143">
        <v>0</v>
      </c>
    </row>
    <row r="24" spans="1:40" customFormat="1" x14ac:dyDescent="0.15">
      <c r="A24" s="178" t="s">
        <v>213</v>
      </c>
      <c r="B24" s="143">
        <v>0</v>
      </c>
      <c r="C24" s="143">
        <v>0</v>
      </c>
      <c r="D24" s="143">
        <v>0</v>
      </c>
      <c r="E24" s="143">
        <v>0.16603319915555517</v>
      </c>
      <c r="F24" s="143">
        <v>0</v>
      </c>
      <c r="G24" s="143">
        <v>0</v>
      </c>
      <c r="H24" s="143">
        <v>0</v>
      </c>
      <c r="I24" s="143">
        <v>0</v>
      </c>
      <c r="J24" s="143">
        <v>0</v>
      </c>
      <c r="K24" s="143">
        <v>0</v>
      </c>
      <c r="L24" s="143">
        <v>0</v>
      </c>
      <c r="M24" s="143">
        <v>0</v>
      </c>
      <c r="N24" s="143">
        <v>0</v>
      </c>
      <c r="O24" s="143">
        <v>0</v>
      </c>
      <c r="P24" s="143">
        <v>0</v>
      </c>
      <c r="Q24" s="143">
        <v>0</v>
      </c>
      <c r="R24" s="143">
        <v>0</v>
      </c>
      <c r="S24" s="143">
        <v>0</v>
      </c>
      <c r="T24" s="143">
        <v>0</v>
      </c>
      <c r="U24" s="143">
        <v>0</v>
      </c>
      <c r="V24" s="143">
        <v>0</v>
      </c>
      <c r="W24" s="143">
        <v>0</v>
      </c>
      <c r="X24" s="143">
        <v>3.9999999999999994E-2</v>
      </c>
      <c r="Y24" s="143">
        <v>0</v>
      </c>
      <c r="Z24" s="143">
        <v>0</v>
      </c>
      <c r="AA24" s="143">
        <v>0</v>
      </c>
      <c r="AB24" s="143">
        <v>0</v>
      </c>
      <c r="AC24" s="143">
        <v>0</v>
      </c>
      <c r="AD24" s="143">
        <v>0</v>
      </c>
      <c r="AE24" s="143">
        <v>0</v>
      </c>
      <c r="AF24" s="143">
        <v>0</v>
      </c>
      <c r="AG24" s="143">
        <v>0</v>
      </c>
      <c r="AH24" s="143">
        <v>0</v>
      </c>
      <c r="AI24" s="143">
        <v>0</v>
      </c>
      <c r="AJ24" s="143">
        <v>0</v>
      </c>
      <c r="AK24" s="143">
        <v>0</v>
      </c>
      <c r="AL24" s="143">
        <v>0</v>
      </c>
      <c r="AM24" s="143">
        <v>0</v>
      </c>
      <c r="AN24" s="143">
        <v>0</v>
      </c>
    </row>
    <row r="25" spans="1:40" customFormat="1" x14ac:dyDescent="0.15">
      <c r="A25" s="178" t="s">
        <v>214</v>
      </c>
      <c r="B25" s="143">
        <v>0</v>
      </c>
      <c r="C25" s="143">
        <v>0</v>
      </c>
      <c r="D25" s="143">
        <v>0</v>
      </c>
      <c r="E25" s="143">
        <v>1.000199994912983E-2</v>
      </c>
      <c r="F25" s="143">
        <v>0</v>
      </c>
      <c r="G25" s="143">
        <v>0</v>
      </c>
      <c r="H25" s="143">
        <v>0</v>
      </c>
      <c r="I25" s="143">
        <v>0</v>
      </c>
      <c r="J25" s="143">
        <v>0</v>
      </c>
      <c r="K25" s="143">
        <v>0</v>
      </c>
      <c r="L25" s="143">
        <v>0</v>
      </c>
      <c r="M25" s="143">
        <v>0</v>
      </c>
      <c r="N25" s="143">
        <v>0</v>
      </c>
      <c r="O25" s="143">
        <v>0</v>
      </c>
      <c r="P25" s="143">
        <v>0</v>
      </c>
      <c r="Q25" s="143">
        <v>0</v>
      </c>
      <c r="R25" s="143">
        <v>0</v>
      </c>
      <c r="S25" s="143">
        <v>0</v>
      </c>
      <c r="T25" s="143">
        <v>0</v>
      </c>
      <c r="U25" s="143">
        <v>0</v>
      </c>
      <c r="V25" s="143">
        <v>0</v>
      </c>
      <c r="W25" s="143">
        <v>0</v>
      </c>
      <c r="X25" s="143">
        <v>9.9999999999999978E-2</v>
      </c>
      <c r="Y25" s="143">
        <v>0</v>
      </c>
      <c r="Z25" s="143">
        <v>0</v>
      </c>
      <c r="AA25" s="143">
        <v>0</v>
      </c>
      <c r="AB25" s="143">
        <v>0</v>
      </c>
      <c r="AC25" s="143">
        <v>0</v>
      </c>
      <c r="AD25" s="143">
        <v>0</v>
      </c>
      <c r="AE25" s="143">
        <v>0</v>
      </c>
      <c r="AF25" s="143">
        <v>0</v>
      </c>
      <c r="AG25" s="143">
        <v>0</v>
      </c>
      <c r="AH25" s="143">
        <v>0</v>
      </c>
      <c r="AI25" s="143">
        <v>0</v>
      </c>
      <c r="AJ25" s="143">
        <v>0</v>
      </c>
      <c r="AK25" s="143">
        <v>0</v>
      </c>
      <c r="AL25" s="143">
        <v>0</v>
      </c>
      <c r="AM25" s="143">
        <v>0</v>
      </c>
      <c r="AN25" s="143">
        <v>0</v>
      </c>
    </row>
    <row r="26" spans="1:40" customFormat="1" x14ac:dyDescent="0.15">
      <c r="A26" s="178" t="s">
        <v>215</v>
      </c>
      <c r="B26" s="143">
        <v>1.5034368277448446E-2</v>
      </c>
      <c r="C26" s="143">
        <v>0.01</v>
      </c>
      <c r="D26" s="143">
        <v>0</v>
      </c>
      <c r="E26" s="143">
        <v>1.000199994912983E-2</v>
      </c>
      <c r="F26" s="143">
        <v>9.9601590651394404E-3</v>
      </c>
      <c r="G26" s="143">
        <v>0</v>
      </c>
      <c r="H26" s="143">
        <v>1.0003553886066104E-2</v>
      </c>
      <c r="I26" s="143">
        <v>1.9999999999999997E-2</v>
      </c>
      <c r="J26" s="143">
        <v>0</v>
      </c>
      <c r="K26" s="143">
        <v>0</v>
      </c>
      <c r="L26" s="143">
        <v>0</v>
      </c>
      <c r="M26" s="143">
        <v>0</v>
      </c>
      <c r="N26" s="143">
        <v>0</v>
      </c>
      <c r="O26" s="143">
        <v>0</v>
      </c>
      <c r="P26" s="143">
        <v>0</v>
      </c>
      <c r="Q26" s="143">
        <v>0</v>
      </c>
      <c r="R26" s="143">
        <v>0</v>
      </c>
      <c r="S26" s="143">
        <v>0</v>
      </c>
      <c r="T26" s="143">
        <v>0</v>
      </c>
      <c r="U26" s="143">
        <v>0</v>
      </c>
      <c r="V26" s="143">
        <v>0</v>
      </c>
      <c r="W26" s="143">
        <v>0</v>
      </c>
      <c r="X26" s="143">
        <v>9.9999999999999985E-3</v>
      </c>
      <c r="Y26" s="143">
        <v>2.0161292039314509E-3</v>
      </c>
      <c r="Z26" s="143">
        <v>0</v>
      </c>
      <c r="AA26" s="143">
        <v>0</v>
      </c>
      <c r="AB26" s="143">
        <v>0</v>
      </c>
      <c r="AC26" s="143">
        <v>0</v>
      </c>
      <c r="AD26" s="143">
        <v>0</v>
      </c>
      <c r="AE26" s="143">
        <v>0</v>
      </c>
      <c r="AF26" s="143">
        <v>0</v>
      </c>
      <c r="AG26" s="143">
        <v>0</v>
      </c>
      <c r="AH26" s="143">
        <v>0</v>
      </c>
      <c r="AI26" s="143">
        <v>0</v>
      </c>
      <c r="AJ26" s="143">
        <v>0</v>
      </c>
      <c r="AK26" s="143">
        <v>0</v>
      </c>
      <c r="AL26" s="143">
        <v>0</v>
      </c>
      <c r="AM26" s="143">
        <v>0</v>
      </c>
      <c r="AN26" s="143">
        <v>0</v>
      </c>
    </row>
    <row r="27" spans="1:40" customFormat="1" x14ac:dyDescent="0.15">
      <c r="A27" s="178" t="s">
        <v>216</v>
      </c>
      <c r="B27" s="143">
        <v>1.5034368277448446E-2</v>
      </c>
      <c r="C27" s="143">
        <v>0.01</v>
      </c>
      <c r="D27" s="143">
        <v>0</v>
      </c>
      <c r="E27" s="143">
        <v>1.4002800828781756E-2</v>
      </c>
      <c r="F27" s="143">
        <v>2.9880476795418318E-3</v>
      </c>
      <c r="G27" s="143">
        <v>0</v>
      </c>
      <c r="H27" s="143">
        <v>3.3011727614018133E-2</v>
      </c>
      <c r="I27" s="143">
        <v>9.9999999999999985E-3</v>
      </c>
      <c r="J27" s="143">
        <v>0</v>
      </c>
      <c r="K27" s="143">
        <v>0</v>
      </c>
      <c r="L27" s="143">
        <v>0</v>
      </c>
      <c r="M27" s="143">
        <v>0</v>
      </c>
      <c r="N27" s="143">
        <v>0.05</v>
      </c>
      <c r="O27" s="143">
        <v>0</v>
      </c>
      <c r="P27" s="143">
        <v>4.9995292596943797E-2</v>
      </c>
      <c r="Q27" s="143">
        <v>0</v>
      </c>
      <c r="R27" s="143">
        <v>0</v>
      </c>
      <c r="S27" s="143">
        <v>0</v>
      </c>
      <c r="T27" s="143">
        <v>0</v>
      </c>
      <c r="U27" s="143">
        <v>0</v>
      </c>
      <c r="V27" s="143">
        <v>0</v>
      </c>
      <c r="W27" s="143">
        <v>0.1</v>
      </c>
      <c r="X27" s="143">
        <v>9.9999999999999978E-2</v>
      </c>
      <c r="Y27" s="143">
        <v>0</v>
      </c>
      <c r="Z27" s="143">
        <v>0</v>
      </c>
      <c r="AA27" s="143">
        <v>0</v>
      </c>
      <c r="AB27" s="143">
        <v>0</v>
      </c>
      <c r="AC27" s="143">
        <v>0</v>
      </c>
      <c r="AD27" s="143">
        <v>0</v>
      </c>
      <c r="AE27" s="143">
        <v>0</v>
      </c>
      <c r="AF27" s="143">
        <v>0</v>
      </c>
      <c r="AG27" s="143">
        <v>0</v>
      </c>
      <c r="AH27" s="143">
        <v>0</v>
      </c>
      <c r="AI27" s="143">
        <v>0</v>
      </c>
      <c r="AJ27" s="143">
        <v>0</v>
      </c>
      <c r="AK27" s="143">
        <v>0</v>
      </c>
      <c r="AL27" s="143">
        <v>0</v>
      </c>
      <c r="AM27" s="143">
        <v>0</v>
      </c>
      <c r="AN27" s="143">
        <v>0</v>
      </c>
    </row>
    <row r="28" spans="1:40" customFormat="1" x14ac:dyDescent="0.15">
      <c r="A28" s="178" t="s">
        <v>217</v>
      </c>
      <c r="B28" s="143">
        <v>0.11103182283345225</v>
      </c>
      <c r="C28" s="143">
        <v>0.33</v>
      </c>
      <c r="D28" s="143">
        <v>2.0000000000000004E-2</v>
      </c>
      <c r="E28" s="143">
        <v>4.6009199765997218E-2</v>
      </c>
      <c r="F28" s="143">
        <v>2.191235014330677E-2</v>
      </c>
      <c r="G28" s="143">
        <v>0</v>
      </c>
      <c r="H28" s="143">
        <v>0.26109275685632527</v>
      </c>
      <c r="I28" s="143">
        <v>0.24099999999999994</v>
      </c>
      <c r="J28" s="143">
        <v>0</v>
      </c>
      <c r="K28" s="143">
        <v>0</v>
      </c>
      <c r="L28" s="143">
        <v>0.11</v>
      </c>
      <c r="M28" s="143">
        <v>0</v>
      </c>
      <c r="N28" s="143">
        <v>0.27800000000000002</v>
      </c>
      <c r="O28" s="143">
        <v>0</v>
      </c>
      <c r="P28" s="143">
        <v>0.11998869643266505</v>
      </c>
      <c r="Q28" s="143">
        <v>0</v>
      </c>
      <c r="R28" s="143">
        <v>0</v>
      </c>
      <c r="S28" s="143">
        <v>0</v>
      </c>
      <c r="T28" s="143">
        <v>0.3</v>
      </c>
      <c r="U28" s="143">
        <v>0</v>
      </c>
      <c r="V28" s="143">
        <v>0</v>
      </c>
      <c r="W28" s="143">
        <v>0.1</v>
      </c>
      <c r="X28" s="143">
        <v>0.24999999999999994</v>
      </c>
      <c r="Y28" s="143">
        <v>0.21169353936280241</v>
      </c>
      <c r="Z28" s="143">
        <v>0</v>
      </c>
      <c r="AA28" s="143">
        <v>0.1</v>
      </c>
      <c r="AB28" s="143">
        <v>0</v>
      </c>
      <c r="AC28" s="143">
        <v>2.2999448818447163E-2</v>
      </c>
      <c r="AD28" s="143">
        <v>3.0015008085192587E-3</v>
      </c>
      <c r="AE28" s="143">
        <v>0.2</v>
      </c>
      <c r="AF28" s="143">
        <v>0</v>
      </c>
      <c r="AG28" s="143">
        <v>0</v>
      </c>
      <c r="AH28" s="143">
        <v>0</v>
      </c>
      <c r="AI28" s="143">
        <v>0</v>
      </c>
      <c r="AJ28" s="143">
        <v>0</v>
      </c>
      <c r="AK28" s="143">
        <v>0</v>
      </c>
      <c r="AL28" s="143">
        <v>0</v>
      </c>
      <c r="AM28" s="143">
        <v>0</v>
      </c>
      <c r="AN28" s="143">
        <v>0</v>
      </c>
    </row>
    <row r="29" spans="1:40" customFormat="1" x14ac:dyDescent="0.15">
      <c r="A29" s="178" t="s">
        <v>218</v>
      </c>
      <c r="B29" s="143">
        <v>4.3098524135352208E-2</v>
      </c>
      <c r="C29" s="143">
        <v>0.04</v>
      </c>
      <c r="D29" s="143">
        <v>0</v>
      </c>
      <c r="E29" s="143">
        <v>2.6005200867737551E-2</v>
      </c>
      <c r="F29" s="143">
        <v>0</v>
      </c>
      <c r="G29" s="143">
        <v>1.6064258548192795E-2</v>
      </c>
      <c r="H29" s="143">
        <v>0.28009950520985083</v>
      </c>
      <c r="I29" s="143">
        <v>0.10799999999999997</v>
      </c>
      <c r="J29" s="143">
        <v>0</v>
      </c>
      <c r="K29" s="143">
        <v>0</v>
      </c>
      <c r="L29" s="143">
        <v>0</v>
      </c>
      <c r="M29" s="143">
        <v>0</v>
      </c>
      <c r="N29" s="143">
        <v>0.35099999999999998</v>
      </c>
      <c r="O29" s="143">
        <v>0</v>
      </c>
      <c r="P29" s="143">
        <v>3.3063017194772427E-2</v>
      </c>
      <c r="Q29" s="143">
        <v>0</v>
      </c>
      <c r="R29" s="143">
        <v>0</v>
      </c>
      <c r="S29" s="143">
        <v>0</v>
      </c>
      <c r="T29" s="143">
        <v>0</v>
      </c>
      <c r="U29" s="143">
        <v>0</v>
      </c>
      <c r="V29" s="143">
        <v>0</v>
      </c>
      <c r="W29" s="143">
        <v>0.57999999999999996</v>
      </c>
      <c r="X29" s="143">
        <v>6.9999999999999993E-2</v>
      </c>
      <c r="Y29" s="143">
        <v>0.15120968154485884</v>
      </c>
      <c r="Z29" s="143">
        <v>0</v>
      </c>
      <c r="AA29" s="143">
        <v>0.03</v>
      </c>
      <c r="AB29" s="143">
        <v>0</v>
      </c>
      <c r="AC29" s="143">
        <v>2.0019540103100629E-3</v>
      </c>
      <c r="AD29" s="143">
        <v>1.5007503092596308E-2</v>
      </c>
      <c r="AE29" s="143">
        <v>0.04</v>
      </c>
      <c r="AF29" s="143">
        <v>0</v>
      </c>
      <c r="AG29" s="143">
        <v>0</v>
      </c>
      <c r="AH29" s="143">
        <v>0</v>
      </c>
      <c r="AI29" s="143">
        <v>0</v>
      </c>
      <c r="AJ29" s="143">
        <v>0</v>
      </c>
      <c r="AK29" s="143">
        <v>0</v>
      </c>
      <c r="AL29" s="143">
        <v>0</v>
      </c>
      <c r="AM29" s="143">
        <v>0</v>
      </c>
      <c r="AN29" s="143">
        <v>0</v>
      </c>
    </row>
    <row r="30" spans="1:40" customFormat="1" x14ac:dyDescent="0.15">
      <c r="A30" s="178" t="s">
        <v>219</v>
      </c>
      <c r="B30" s="143">
        <v>2.9066445256400328E-2</v>
      </c>
      <c r="C30" s="143">
        <v>0.09</v>
      </c>
      <c r="D30" s="143">
        <v>2.0000000000000004E-2</v>
      </c>
      <c r="E30" s="143">
        <v>0.17103421613011999</v>
      </c>
      <c r="F30" s="143">
        <v>4.5816730299641416E-2</v>
      </c>
      <c r="G30" s="143">
        <v>0</v>
      </c>
      <c r="H30" s="143">
        <v>2.0007107772132209E-2</v>
      </c>
      <c r="I30" s="143">
        <v>4.9999999999999989E-2</v>
      </c>
      <c r="J30" s="143">
        <v>0</v>
      </c>
      <c r="K30" s="143">
        <v>0</v>
      </c>
      <c r="L30" s="143">
        <v>0.02</v>
      </c>
      <c r="M30" s="143">
        <v>0</v>
      </c>
      <c r="N30" s="143">
        <v>0</v>
      </c>
      <c r="O30" s="143">
        <v>0</v>
      </c>
      <c r="P30" s="143">
        <v>4.5085933638326053E-2</v>
      </c>
      <c r="Q30" s="143">
        <v>0</v>
      </c>
      <c r="R30" s="143">
        <v>3.5927709917366261E-2</v>
      </c>
      <c r="S30" s="143">
        <v>0</v>
      </c>
      <c r="T30" s="143">
        <v>0</v>
      </c>
      <c r="U30" s="143">
        <v>1E-3</v>
      </c>
      <c r="V30" s="143">
        <v>0</v>
      </c>
      <c r="W30" s="143">
        <v>0.02</v>
      </c>
      <c r="X30" s="143">
        <v>0</v>
      </c>
      <c r="Y30" s="143">
        <v>0</v>
      </c>
      <c r="Z30" s="143">
        <v>0</v>
      </c>
      <c r="AA30" s="143">
        <v>0</v>
      </c>
      <c r="AB30" s="143">
        <v>0</v>
      </c>
      <c r="AC30" s="143">
        <v>0</v>
      </c>
      <c r="AD30" s="143">
        <v>5.0025009308654377E-3</v>
      </c>
      <c r="AE30" s="143">
        <v>0</v>
      </c>
      <c r="AF30" s="143">
        <v>0</v>
      </c>
      <c r="AG30" s="143">
        <v>0</v>
      </c>
      <c r="AH30" s="143">
        <v>0</v>
      </c>
      <c r="AI30" s="143">
        <v>0</v>
      </c>
      <c r="AJ30" s="143">
        <v>0</v>
      </c>
      <c r="AK30" s="143">
        <v>0</v>
      </c>
      <c r="AL30" s="143">
        <v>0</v>
      </c>
      <c r="AM30" s="143">
        <v>0</v>
      </c>
      <c r="AN30" s="143">
        <v>0</v>
      </c>
    </row>
    <row r="31" spans="1:40" customFormat="1" x14ac:dyDescent="0.15">
      <c r="A31" s="178" t="s">
        <v>220</v>
      </c>
      <c r="B31" s="143">
        <v>0.11726807082409788</v>
      </c>
      <c r="C31" s="143">
        <v>0.1</v>
      </c>
      <c r="D31" s="143">
        <v>0.22000000000000003</v>
      </c>
      <c r="E31" s="143">
        <v>0</v>
      </c>
      <c r="F31" s="143">
        <v>0</v>
      </c>
      <c r="G31" s="143">
        <v>0.36345380561536134</v>
      </c>
      <c r="H31" s="143">
        <v>1.0003553886066104E-2</v>
      </c>
      <c r="I31" s="143">
        <v>0.14499999999999996</v>
      </c>
      <c r="J31" s="143">
        <v>0</v>
      </c>
      <c r="K31" s="143">
        <v>0</v>
      </c>
      <c r="L31" s="143">
        <v>0</v>
      </c>
      <c r="M31" s="143">
        <v>0</v>
      </c>
      <c r="N31" s="143">
        <v>0</v>
      </c>
      <c r="O31" s="143">
        <v>0</v>
      </c>
      <c r="P31" s="143">
        <v>0</v>
      </c>
      <c r="Q31" s="143">
        <v>0</v>
      </c>
      <c r="R31" s="143">
        <v>0</v>
      </c>
      <c r="S31" s="143">
        <v>0</v>
      </c>
      <c r="T31" s="143">
        <v>0</v>
      </c>
      <c r="U31" s="143">
        <v>1E-3</v>
      </c>
      <c r="V31" s="143">
        <v>0</v>
      </c>
      <c r="W31" s="143">
        <v>0.03</v>
      </c>
      <c r="X31" s="143">
        <v>0</v>
      </c>
      <c r="Y31" s="143">
        <v>0.15120968154485884</v>
      </c>
      <c r="Z31" s="143">
        <v>0</v>
      </c>
      <c r="AA31" s="143">
        <v>7.2999999999999995E-2</v>
      </c>
      <c r="AB31" s="143">
        <v>0</v>
      </c>
      <c r="AC31" s="143">
        <v>0</v>
      </c>
      <c r="AD31" s="143">
        <v>5.3526762160260144E-2</v>
      </c>
      <c r="AE31" s="143">
        <v>0.01</v>
      </c>
      <c r="AF31" s="143">
        <v>0</v>
      </c>
      <c r="AG31" s="143">
        <v>0</v>
      </c>
      <c r="AH31" s="143">
        <v>0</v>
      </c>
      <c r="AI31" s="143">
        <v>0</v>
      </c>
      <c r="AJ31" s="143">
        <v>0</v>
      </c>
      <c r="AK31" s="143">
        <v>0</v>
      </c>
      <c r="AL31" s="143">
        <v>0</v>
      </c>
      <c r="AM31" s="143">
        <v>0</v>
      </c>
      <c r="AN31" s="143">
        <v>0</v>
      </c>
    </row>
    <row r="32" spans="1:40" customFormat="1" x14ac:dyDescent="0.15">
      <c r="A32" s="178" t="s">
        <v>221</v>
      </c>
      <c r="B32" s="143">
        <v>0</v>
      </c>
      <c r="C32" s="143">
        <v>0.01</v>
      </c>
      <c r="D32" s="143">
        <v>0</v>
      </c>
      <c r="E32" s="143">
        <v>4.0007999796519318E-3</v>
      </c>
      <c r="F32" s="143">
        <v>0.22310757745912355</v>
      </c>
      <c r="G32" s="143">
        <v>0.13554217109412653</v>
      </c>
      <c r="H32" s="143">
        <v>3.8935990724209425E-2</v>
      </c>
      <c r="I32" s="143">
        <v>4.299999999999999E-2</v>
      </c>
      <c r="J32" s="143">
        <v>0</v>
      </c>
      <c r="K32" s="143">
        <v>0</v>
      </c>
      <c r="L32" s="143">
        <v>0.35099999999999998</v>
      </c>
      <c r="M32" s="143">
        <v>0.33300000000000002</v>
      </c>
      <c r="N32" s="143">
        <v>0</v>
      </c>
      <c r="O32" s="143">
        <v>0.40640638028929055</v>
      </c>
      <c r="P32" s="143">
        <v>0.10998964431327636</v>
      </c>
      <c r="Q32" s="143">
        <v>0.54500000000000004</v>
      </c>
      <c r="R32" s="143">
        <v>0.32299613925710879</v>
      </c>
      <c r="S32" s="143">
        <v>0.96899999999999997</v>
      </c>
      <c r="T32" s="143">
        <v>0.443</v>
      </c>
      <c r="U32" s="143">
        <v>0.7</v>
      </c>
      <c r="V32" s="143">
        <v>9.2000000000000012E-2</v>
      </c>
      <c r="W32" s="143">
        <v>0</v>
      </c>
      <c r="X32" s="143">
        <v>0</v>
      </c>
      <c r="Y32" s="143">
        <v>0</v>
      </c>
      <c r="Z32" s="143">
        <v>0</v>
      </c>
      <c r="AA32" s="143">
        <v>3.0000000000000001E-3</v>
      </c>
      <c r="AB32" s="143">
        <v>0</v>
      </c>
      <c r="AC32" s="143">
        <v>5.0998773662643687E-2</v>
      </c>
      <c r="AD32" s="143">
        <v>0.35017507816058041</v>
      </c>
      <c r="AE32" s="143">
        <v>0.214</v>
      </c>
      <c r="AF32" s="143">
        <v>9.9016758917746823E-3</v>
      </c>
      <c r="AG32" s="143">
        <v>0.3</v>
      </c>
      <c r="AH32" s="143">
        <v>0.15</v>
      </c>
      <c r="AI32" s="143">
        <v>0</v>
      </c>
      <c r="AJ32" s="143">
        <v>0</v>
      </c>
      <c r="AK32" s="143">
        <v>0</v>
      </c>
      <c r="AL32" s="143">
        <v>0</v>
      </c>
      <c r="AM32" s="143">
        <v>0</v>
      </c>
      <c r="AN32" s="143">
        <v>0</v>
      </c>
    </row>
    <row r="33" spans="1:40" customFormat="1" x14ac:dyDescent="0.15">
      <c r="A33" s="178" t="s">
        <v>222</v>
      </c>
      <c r="B33" s="143">
        <v>0</v>
      </c>
      <c r="C33" s="143">
        <v>5.0000000000000001E-3</v>
      </c>
      <c r="D33" s="143">
        <v>0</v>
      </c>
      <c r="E33" s="143">
        <v>3.0005999847389489E-3</v>
      </c>
      <c r="F33" s="143">
        <v>1.5936257404223123E-2</v>
      </c>
      <c r="G33" s="143">
        <v>0.16365462752846399</v>
      </c>
      <c r="H33" s="143">
        <v>3.9934353742778978E-3</v>
      </c>
      <c r="I33" s="143">
        <v>0</v>
      </c>
      <c r="J33" s="143">
        <v>0</v>
      </c>
      <c r="K33" s="143">
        <v>0</v>
      </c>
      <c r="L33" s="143">
        <v>6.3E-2</v>
      </c>
      <c r="M33" s="143">
        <v>4.2000000000000003E-2</v>
      </c>
      <c r="N33" s="143">
        <v>3.0000000000000001E-3</v>
      </c>
      <c r="O33" s="143">
        <v>4.304304141241249E-2</v>
      </c>
      <c r="P33" s="143">
        <v>7.0133680837396158E-3</v>
      </c>
      <c r="Q33" s="143">
        <v>3.1E-2</v>
      </c>
      <c r="R33" s="143">
        <v>0</v>
      </c>
      <c r="S33" s="143">
        <v>1E-3</v>
      </c>
      <c r="T33" s="143">
        <v>8.0000000000000002E-3</v>
      </c>
      <c r="U33" s="143">
        <v>3.4000000000000002E-2</v>
      </c>
      <c r="V33" s="143">
        <v>0</v>
      </c>
      <c r="W33" s="143">
        <v>0.03</v>
      </c>
      <c r="X33" s="143">
        <v>0</v>
      </c>
      <c r="Y33" s="143">
        <v>0.15120968154485884</v>
      </c>
      <c r="Z33" s="143">
        <v>0</v>
      </c>
      <c r="AA33" s="143">
        <v>0</v>
      </c>
      <c r="AB33" s="143">
        <v>0</v>
      </c>
      <c r="AC33" s="143">
        <v>0</v>
      </c>
      <c r="AD33" s="143">
        <v>5.0025011608654336E-2</v>
      </c>
      <c r="AE33" s="143">
        <v>0.01</v>
      </c>
      <c r="AF33" s="143">
        <v>0</v>
      </c>
      <c r="AG33" s="143">
        <v>0.01</v>
      </c>
      <c r="AH33" s="143">
        <v>0</v>
      </c>
      <c r="AI33" s="143">
        <v>0</v>
      </c>
      <c r="AJ33" s="143">
        <v>0</v>
      </c>
      <c r="AK33" s="143">
        <v>0</v>
      </c>
      <c r="AL33" s="143">
        <v>0</v>
      </c>
      <c r="AM33" s="143">
        <v>0</v>
      </c>
      <c r="AN33" s="143">
        <v>0</v>
      </c>
    </row>
    <row r="34" spans="1:40" customFormat="1" x14ac:dyDescent="0.15">
      <c r="A34" s="178" t="s">
        <v>223</v>
      </c>
      <c r="B34" s="143">
        <v>0</v>
      </c>
      <c r="C34" s="143">
        <v>5.0000000000000001E-3</v>
      </c>
      <c r="D34" s="143">
        <v>0</v>
      </c>
      <c r="E34" s="143">
        <v>2.6005200867737551E-2</v>
      </c>
      <c r="F34" s="143">
        <v>0.13944223591195221</v>
      </c>
      <c r="G34" s="143">
        <v>3.7148595473945799E-2</v>
      </c>
      <c r="H34" s="143">
        <v>3.1947482994223182E-2</v>
      </c>
      <c r="I34" s="143">
        <v>2.1999999999999995E-2</v>
      </c>
      <c r="J34" s="143">
        <v>0.01</v>
      </c>
      <c r="K34" s="143">
        <v>0</v>
      </c>
      <c r="L34" s="143">
        <v>0</v>
      </c>
      <c r="M34" s="143">
        <v>0.377</v>
      </c>
      <c r="N34" s="143">
        <v>0</v>
      </c>
      <c r="O34" s="143">
        <v>0.54554557354103961</v>
      </c>
      <c r="P34" s="143">
        <v>0.13425588760301529</v>
      </c>
      <c r="Q34" s="143">
        <v>0.27800000000000002</v>
      </c>
      <c r="R34" s="143">
        <v>6.3871495253095559E-2</v>
      </c>
      <c r="S34" s="143">
        <v>8.0000000000000002E-3</v>
      </c>
      <c r="T34" s="143">
        <v>7.4999999999999997E-2</v>
      </c>
      <c r="U34" s="143">
        <v>0.10299999999999999</v>
      </c>
      <c r="V34" s="143">
        <v>0</v>
      </c>
      <c r="W34" s="143">
        <v>0.04</v>
      </c>
      <c r="X34" s="143">
        <v>0</v>
      </c>
      <c r="Y34" s="143">
        <v>0.25201612624143138</v>
      </c>
      <c r="Z34" s="143">
        <v>0</v>
      </c>
      <c r="AA34" s="143">
        <v>1.4999999999999999E-2</v>
      </c>
      <c r="AB34" s="143">
        <v>1.0040160067269072E-2</v>
      </c>
      <c r="AC34" s="143">
        <v>1.9999519102997524E-2</v>
      </c>
      <c r="AD34" s="143">
        <v>0.10005002361730866</v>
      </c>
      <c r="AE34" s="143">
        <v>0.1</v>
      </c>
      <c r="AF34" s="143">
        <v>2.0001386081384847E-3</v>
      </c>
      <c r="AG34" s="143">
        <v>0.01</v>
      </c>
      <c r="AH34" s="143">
        <v>0</v>
      </c>
      <c r="AI34" s="143">
        <v>0</v>
      </c>
      <c r="AJ34" s="143">
        <v>0</v>
      </c>
      <c r="AK34" s="143">
        <v>0</v>
      </c>
      <c r="AL34" s="143">
        <v>0</v>
      </c>
      <c r="AM34" s="143">
        <v>0</v>
      </c>
      <c r="AN34" s="143">
        <v>0</v>
      </c>
    </row>
    <row r="35" spans="1:40" customFormat="1" x14ac:dyDescent="0.15">
      <c r="A35" s="178" t="s">
        <v>224</v>
      </c>
      <c r="B35" s="143">
        <v>0</v>
      </c>
      <c r="C35" s="143">
        <v>0</v>
      </c>
      <c r="D35" s="143">
        <v>0</v>
      </c>
      <c r="E35" s="143">
        <v>0</v>
      </c>
      <c r="F35" s="143">
        <v>0</v>
      </c>
      <c r="G35" s="143">
        <v>0</v>
      </c>
      <c r="H35" s="143">
        <v>0</v>
      </c>
      <c r="I35" s="143">
        <v>9.9999999999999985E-3</v>
      </c>
      <c r="J35" s="143">
        <v>2.8000000000000001E-2</v>
      </c>
      <c r="K35" s="143">
        <v>0</v>
      </c>
      <c r="L35" s="143">
        <v>0</v>
      </c>
      <c r="M35" s="143">
        <v>0</v>
      </c>
      <c r="N35" s="143">
        <v>0</v>
      </c>
      <c r="O35" s="143">
        <v>0</v>
      </c>
      <c r="P35" s="143">
        <v>0</v>
      </c>
      <c r="Q35" s="143">
        <v>0</v>
      </c>
      <c r="R35" s="143">
        <v>0</v>
      </c>
      <c r="S35" s="143">
        <v>0</v>
      </c>
      <c r="T35" s="143">
        <v>0.01</v>
      </c>
      <c r="U35" s="143">
        <v>0.01</v>
      </c>
      <c r="V35" s="143">
        <v>0</v>
      </c>
      <c r="W35" s="143">
        <v>0</v>
      </c>
      <c r="X35" s="143">
        <v>0</v>
      </c>
      <c r="Y35" s="143">
        <v>1.0080645969657253E-3</v>
      </c>
      <c r="Z35" s="143">
        <v>0</v>
      </c>
      <c r="AA35" s="143">
        <v>0</v>
      </c>
      <c r="AB35" s="143">
        <v>0</v>
      </c>
      <c r="AC35" s="143">
        <v>9.999759551498762E-3</v>
      </c>
      <c r="AD35" s="143">
        <v>0</v>
      </c>
      <c r="AE35" s="143">
        <v>0</v>
      </c>
      <c r="AF35" s="143">
        <v>0</v>
      </c>
      <c r="AG35" s="143">
        <v>0</v>
      </c>
      <c r="AH35" s="143">
        <v>0</v>
      </c>
      <c r="AI35" s="143">
        <v>0</v>
      </c>
      <c r="AJ35" s="143">
        <v>0</v>
      </c>
      <c r="AK35" s="143">
        <v>0</v>
      </c>
      <c r="AL35" s="143">
        <v>0</v>
      </c>
      <c r="AM35" s="143">
        <v>0</v>
      </c>
      <c r="AN35" s="143">
        <v>0</v>
      </c>
    </row>
    <row r="36" spans="1:40" customFormat="1" x14ac:dyDescent="0.15">
      <c r="A36" s="178" t="s">
        <v>225</v>
      </c>
      <c r="B36" s="143">
        <v>0</v>
      </c>
      <c r="C36" s="143">
        <v>0</v>
      </c>
      <c r="D36" s="143">
        <v>0</v>
      </c>
      <c r="E36" s="143">
        <v>1.6003199918607727E-2</v>
      </c>
      <c r="F36" s="143">
        <v>0.23107569051123503</v>
      </c>
      <c r="G36" s="143">
        <v>3.0120483565361472E-3</v>
      </c>
      <c r="H36" s="143">
        <v>3.1947482994223182E-2</v>
      </c>
      <c r="I36" s="143">
        <v>4.9999999999999989E-2</v>
      </c>
      <c r="J36" s="143">
        <v>0.5</v>
      </c>
      <c r="K36" s="143">
        <v>0.03</v>
      </c>
      <c r="L36" s="143">
        <v>0</v>
      </c>
      <c r="M36" s="143">
        <v>0.159</v>
      </c>
      <c r="N36" s="143">
        <v>0</v>
      </c>
      <c r="O36" s="143">
        <v>0</v>
      </c>
      <c r="P36" s="143">
        <v>1.001909621962801E-3</v>
      </c>
      <c r="Q36" s="143">
        <v>3.2000000000000001E-2</v>
      </c>
      <c r="R36" s="143">
        <v>3.29996048241009E-2</v>
      </c>
      <c r="S36" s="143">
        <v>0</v>
      </c>
      <c r="T36" s="143">
        <v>3.4000000000000002E-2</v>
      </c>
      <c r="U36" s="143">
        <v>0.03</v>
      </c>
      <c r="V36" s="143">
        <v>0</v>
      </c>
      <c r="W36" s="143">
        <v>0</v>
      </c>
      <c r="X36" s="143">
        <v>4.9999999999999989E-2</v>
      </c>
      <c r="Y36" s="143">
        <v>5.0403226048286273E-2</v>
      </c>
      <c r="Z36" s="143">
        <v>0.25</v>
      </c>
      <c r="AA36" s="143">
        <v>0.21299999999999999</v>
      </c>
      <c r="AB36" s="143">
        <v>0.35140562335441766</v>
      </c>
      <c r="AC36" s="143">
        <v>0.70998293565641202</v>
      </c>
      <c r="AD36" s="143">
        <v>0.33016509543711836</v>
      </c>
      <c r="AE36" s="143">
        <v>0.15</v>
      </c>
      <c r="AF36" s="143">
        <v>5.000346475346213E-2</v>
      </c>
      <c r="AG36" s="143">
        <v>0.15</v>
      </c>
      <c r="AH36" s="143">
        <v>0.2</v>
      </c>
      <c r="AI36" s="143">
        <v>0</v>
      </c>
      <c r="AJ36" s="143">
        <v>0.01</v>
      </c>
      <c r="AK36" s="143">
        <v>0</v>
      </c>
      <c r="AL36" s="143">
        <v>0</v>
      </c>
      <c r="AM36" s="143">
        <v>0</v>
      </c>
      <c r="AN36" s="143">
        <v>0</v>
      </c>
    </row>
    <row r="37" spans="1:40" customFormat="1" x14ac:dyDescent="0.15">
      <c r="A37" s="178" t="s">
        <v>226</v>
      </c>
      <c r="B37" s="143">
        <v>0</v>
      </c>
      <c r="C37" s="143">
        <v>0</v>
      </c>
      <c r="D37" s="143">
        <v>0</v>
      </c>
      <c r="E37" s="143">
        <v>0</v>
      </c>
      <c r="F37" s="143">
        <v>0.11254980073607571</v>
      </c>
      <c r="G37" s="143">
        <v>0</v>
      </c>
      <c r="H37" s="143">
        <v>0</v>
      </c>
      <c r="I37" s="143">
        <v>0</v>
      </c>
      <c r="J37" s="143">
        <v>0.01</v>
      </c>
      <c r="K37" s="143">
        <v>0.97</v>
      </c>
      <c r="L37" s="143">
        <v>0</v>
      </c>
      <c r="M37" s="143">
        <v>8.3000000000000004E-2</v>
      </c>
      <c r="N37" s="143">
        <v>0</v>
      </c>
      <c r="O37" s="143">
        <v>0</v>
      </c>
      <c r="P37" s="143">
        <v>0</v>
      </c>
      <c r="Q37" s="143">
        <v>0</v>
      </c>
      <c r="R37" s="143">
        <v>0</v>
      </c>
      <c r="S37" s="143">
        <v>0</v>
      </c>
      <c r="T37" s="143">
        <v>0</v>
      </c>
      <c r="U37" s="143">
        <v>0.111</v>
      </c>
      <c r="V37" s="143">
        <v>0</v>
      </c>
      <c r="W37" s="143">
        <v>0</v>
      </c>
      <c r="X37" s="143">
        <v>9.9999999999999978E-2</v>
      </c>
      <c r="Y37" s="143">
        <v>2.9233869912006043E-2</v>
      </c>
      <c r="Z37" s="143">
        <v>0.75</v>
      </c>
      <c r="AA37" s="143">
        <v>0.24</v>
      </c>
      <c r="AB37" s="143">
        <v>0.42168674182530114</v>
      </c>
      <c r="AC37" s="143">
        <v>0.15699623580853062</v>
      </c>
      <c r="AD37" s="143">
        <v>4.802401293630814E-2</v>
      </c>
      <c r="AE37" s="143">
        <v>0.19</v>
      </c>
      <c r="AF37" s="143">
        <v>0.10000692990692425</v>
      </c>
      <c r="AG37" s="143">
        <v>0.13</v>
      </c>
      <c r="AH37" s="143">
        <v>0.15</v>
      </c>
      <c r="AI37" s="143">
        <v>0.8</v>
      </c>
      <c r="AJ37" s="143">
        <v>0.25</v>
      </c>
      <c r="AK37" s="143">
        <v>0</v>
      </c>
      <c r="AL37" s="143">
        <v>0</v>
      </c>
      <c r="AM37" s="143">
        <v>0</v>
      </c>
      <c r="AN37" s="143">
        <v>0</v>
      </c>
    </row>
    <row r="38" spans="1:40" customFormat="1" x14ac:dyDescent="0.15">
      <c r="A38" s="178" t="s">
        <v>227</v>
      </c>
      <c r="B38" s="143">
        <v>0</v>
      </c>
      <c r="C38" s="143">
        <v>0</v>
      </c>
      <c r="D38" s="143">
        <v>0</v>
      </c>
      <c r="E38" s="143">
        <v>0</v>
      </c>
      <c r="F38" s="143">
        <v>3.9840635160557754E-2</v>
      </c>
      <c r="G38" s="143">
        <v>0</v>
      </c>
      <c r="H38" s="143">
        <v>0</v>
      </c>
      <c r="I38" s="143">
        <v>0</v>
      </c>
      <c r="J38" s="143">
        <v>0</v>
      </c>
      <c r="K38" s="143">
        <v>0</v>
      </c>
      <c r="L38" s="143">
        <v>0</v>
      </c>
      <c r="M38" s="143">
        <v>0</v>
      </c>
      <c r="N38" s="143">
        <v>0</v>
      </c>
      <c r="O38" s="143">
        <v>0</v>
      </c>
      <c r="P38" s="143">
        <v>0</v>
      </c>
      <c r="Q38" s="143">
        <v>0</v>
      </c>
      <c r="R38" s="143">
        <v>0</v>
      </c>
      <c r="S38" s="143">
        <v>2.1999999999999999E-2</v>
      </c>
      <c r="T38" s="143">
        <v>0</v>
      </c>
      <c r="U38" s="143">
        <v>0</v>
      </c>
      <c r="V38" s="143">
        <v>0.82900000000000007</v>
      </c>
      <c r="W38" s="143">
        <v>0</v>
      </c>
      <c r="X38" s="143">
        <v>0</v>
      </c>
      <c r="Y38" s="143">
        <v>0</v>
      </c>
      <c r="Z38" s="143">
        <v>0</v>
      </c>
      <c r="AA38" s="143">
        <v>0</v>
      </c>
      <c r="AB38" s="143">
        <v>0.15662650904939762</v>
      </c>
      <c r="AC38" s="143">
        <v>0</v>
      </c>
      <c r="AD38" s="143">
        <v>0</v>
      </c>
      <c r="AE38" s="143">
        <v>0</v>
      </c>
      <c r="AF38" s="143">
        <v>0.29705029675324024</v>
      </c>
      <c r="AG38" s="143">
        <v>0</v>
      </c>
      <c r="AH38" s="143">
        <v>0</v>
      </c>
      <c r="AI38" s="143">
        <v>0.1</v>
      </c>
      <c r="AJ38" s="143">
        <v>0.45</v>
      </c>
      <c r="AK38" s="143">
        <v>0.9</v>
      </c>
      <c r="AL38" s="143">
        <v>0</v>
      </c>
      <c r="AM38" s="143">
        <v>0</v>
      </c>
      <c r="AN38" s="143">
        <v>0</v>
      </c>
    </row>
    <row r="39" spans="1:40" x14ac:dyDescent="0.15">
      <c r="A39" s="178" t="s">
        <v>228</v>
      </c>
      <c r="B39" s="143">
        <v>0</v>
      </c>
      <c r="C39" s="143">
        <v>0</v>
      </c>
      <c r="D39" s="143">
        <v>0</v>
      </c>
      <c r="E39" s="143">
        <v>0</v>
      </c>
      <c r="F39" s="143">
        <v>0</v>
      </c>
      <c r="G39" s="143">
        <v>0</v>
      </c>
      <c r="H39" s="143">
        <v>0</v>
      </c>
      <c r="I39" s="143">
        <v>0</v>
      </c>
      <c r="J39" s="143">
        <v>0.03</v>
      </c>
      <c r="K39" s="143">
        <v>0</v>
      </c>
      <c r="L39" s="143">
        <v>0.2</v>
      </c>
      <c r="M39" s="143">
        <v>0</v>
      </c>
      <c r="N39" s="143">
        <v>0</v>
      </c>
      <c r="O39" s="143">
        <v>0</v>
      </c>
      <c r="P39" s="143">
        <v>0</v>
      </c>
      <c r="Q39" s="143">
        <v>0</v>
      </c>
      <c r="R39" s="143">
        <v>0</v>
      </c>
      <c r="S39" s="143">
        <v>0</v>
      </c>
      <c r="T39" s="143">
        <v>0</v>
      </c>
      <c r="U39" s="143">
        <v>0.01</v>
      </c>
      <c r="V39" s="143">
        <v>7.9000000000000015E-2</v>
      </c>
      <c r="W39" s="143">
        <v>0</v>
      </c>
      <c r="X39" s="143">
        <v>0</v>
      </c>
      <c r="Y39" s="143">
        <v>0</v>
      </c>
      <c r="Z39" s="143">
        <v>0</v>
      </c>
      <c r="AA39" s="143">
        <v>0.29899999999999999</v>
      </c>
      <c r="AB39" s="143">
        <v>6.0240965703614466E-2</v>
      </c>
      <c r="AC39" s="143">
        <v>1.9018562597945595E-2</v>
      </c>
      <c r="AD39" s="143">
        <v>0</v>
      </c>
      <c r="AE39" s="143">
        <v>0</v>
      </c>
      <c r="AF39" s="143">
        <v>0.54103749408646018</v>
      </c>
      <c r="AG39" s="143">
        <v>0.4</v>
      </c>
      <c r="AH39" s="143">
        <v>0.5</v>
      </c>
      <c r="AI39" s="143">
        <v>0.1</v>
      </c>
      <c r="AJ39" s="143">
        <v>0.28999999999999998</v>
      </c>
      <c r="AK39" s="143">
        <v>0.1</v>
      </c>
      <c r="AL39" s="143">
        <v>0</v>
      </c>
      <c r="AM39" s="143">
        <v>0</v>
      </c>
      <c r="AN39" s="143">
        <v>0</v>
      </c>
    </row>
    <row r="40" spans="1:40" x14ac:dyDescent="0.15">
      <c r="A40" s="178" t="s">
        <v>229</v>
      </c>
      <c r="B40" s="143">
        <v>0</v>
      </c>
      <c r="C40" s="143">
        <v>0</v>
      </c>
      <c r="D40" s="143">
        <v>0</v>
      </c>
      <c r="E40" s="143">
        <v>0</v>
      </c>
      <c r="F40" s="143">
        <v>0</v>
      </c>
      <c r="G40" s="143">
        <v>0</v>
      </c>
      <c r="H40" s="143">
        <v>0</v>
      </c>
      <c r="I40" s="143">
        <v>0</v>
      </c>
      <c r="J40" s="143">
        <v>0</v>
      </c>
      <c r="K40" s="143">
        <v>0</v>
      </c>
      <c r="L40" s="143">
        <v>0</v>
      </c>
      <c r="M40" s="143">
        <v>0</v>
      </c>
      <c r="N40" s="143">
        <v>0</v>
      </c>
      <c r="O40" s="143">
        <v>0</v>
      </c>
      <c r="P40" s="143">
        <v>0</v>
      </c>
      <c r="Q40" s="143">
        <v>0</v>
      </c>
      <c r="R40" s="143">
        <v>0</v>
      </c>
      <c r="S40" s="143">
        <v>0</v>
      </c>
      <c r="T40" s="143">
        <v>0</v>
      </c>
      <c r="U40" s="143">
        <v>0</v>
      </c>
      <c r="V40" s="143">
        <v>0</v>
      </c>
      <c r="W40" s="143">
        <v>0</v>
      </c>
      <c r="X40" s="143">
        <v>0</v>
      </c>
      <c r="Y40" s="143">
        <v>0</v>
      </c>
      <c r="Z40" s="143">
        <v>0</v>
      </c>
      <c r="AA40" s="143">
        <v>0</v>
      </c>
      <c r="AB40" s="143">
        <v>0</v>
      </c>
      <c r="AC40" s="143">
        <v>0</v>
      </c>
      <c r="AD40" s="143">
        <v>0</v>
      </c>
      <c r="AE40" s="143">
        <v>0</v>
      </c>
      <c r="AF40" s="143">
        <v>0</v>
      </c>
      <c r="AG40" s="143">
        <v>0</v>
      </c>
      <c r="AH40" s="143">
        <v>0</v>
      </c>
      <c r="AI40" s="143">
        <v>0</v>
      </c>
      <c r="AJ40" s="143">
        <v>0</v>
      </c>
      <c r="AK40" s="143">
        <v>0</v>
      </c>
      <c r="AL40" s="143">
        <v>0</v>
      </c>
      <c r="AM40" s="143">
        <v>0</v>
      </c>
      <c r="AN40" s="143">
        <v>0</v>
      </c>
    </row>
    <row r="41" spans="1:40" x14ac:dyDescent="0.15">
      <c r="A41" s="178" t="s">
        <v>231</v>
      </c>
      <c r="B41" s="143">
        <v>0</v>
      </c>
      <c r="C41" s="143">
        <v>0</v>
      </c>
      <c r="D41" s="143">
        <v>0</v>
      </c>
      <c r="E41" s="143">
        <v>0</v>
      </c>
      <c r="F41" s="143">
        <v>0</v>
      </c>
      <c r="G41" s="143">
        <v>0</v>
      </c>
      <c r="H41" s="143">
        <v>0</v>
      </c>
      <c r="I41" s="143">
        <v>0</v>
      </c>
      <c r="J41" s="143">
        <v>0</v>
      </c>
      <c r="K41" s="143">
        <v>0</v>
      </c>
      <c r="L41" s="143">
        <v>0</v>
      </c>
      <c r="M41" s="143">
        <v>0</v>
      </c>
      <c r="N41" s="143">
        <v>0</v>
      </c>
      <c r="O41" s="143">
        <v>0</v>
      </c>
      <c r="P41" s="143">
        <v>0</v>
      </c>
      <c r="Q41" s="143">
        <v>0</v>
      </c>
      <c r="R41" s="143">
        <v>0</v>
      </c>
      <c r="S41" s="143">
        <v>0</v>
      </c>
      <c r="T41" s="143">
        <v>0</v>
      </c>
      <c r="U41" s="143">
        <v>0</v>
      </c>
      <c r="V41" s="143">
        <v>0</v>
      </c>
      <c r="W41" s="143">
        <v>0</v>
      </c>
      <c r="X41" s="143">
        <v>0</v>
      </c>
      <c r="Y41" s="143">
        <v>0</v>
      </c>
      <c r="Z41" s="143">
        <v>0</v>
      </c>
      <c r="AA41" s="143">
        <v>0</v>
      </c>
      <c r="AB41" s="143">
        <v>0</v>
      </c>
      <c r="AC41" s="143">
        <v>0</v>
      </c>
      <c r="AD41" s="143">
        <v>0</v>
      </c>
      <c r="AE41" s="143">
        <v>0</v>
      </c>
      <c r="AF41" s="143">
        <v>0</v>
      </c>
      <c r="AG41" s="143">
        <v>0</v>
      </c>
      <c r="AH41" s="143">
        <v>0</v>
      </c>
      <c r="AI41" s="143">
        <v>0</v>
      </c>
      <c r="AJ41" s="143">
        <v>0</v>
      </c>
      <c r="AK41" s="143">
        <v>0</v>
      </c>
      <c r="AL41" s="143">
        <v>0</v>
      </c>
      <c r="AM41" s="143">
        <v>0</v>
      </c>
      <c r="AN41" s="143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2" customWidth="1"/>
    <col min="3" max="4" width="2.33203125" style="112" customWidth="1"/>
    <col min="5" max="6" width="2.33203125" style="111" bestFit="1" customWidth="1"/>
    <col min="7" max="8" width="8.83203125" style="112"/>
  </cols>
  <sheetData>
    <row r="1" spans="1:8" ht="70" x14ac:dyDescent="0.15">
      <c r="A1" s="5" t="s">
        <v>20</v>
      </c>
      <c r="B1" s="1" t="s">
        <v>0</v>
      </c>
      <c r="C1" s="181" t="s">
        <v>228</v>
      </c>
      <c r="D1" s="181" t="s">
        <v>229</v>
      </c>
      <c r="E1" s="181" t="s">
        <v>232</v>
      </c>
      <c r="F1" s="181" t="s">
        <v>233</v>
      </c>
      <c r="G1"/>
      <c r="H1"/>
    </row>
    <row r="2" spans="1:8" x14ac:dyDescent="0.15">
      <c r="A2">
        <v>1</v>
      </c>
      <c r="B2" s="180" t="s">
        <v>191</v>
      </c>
      <c r="C2" s="112">
        <v>0</v>
      </c>
      <c r="D2" s="112">
        <v>0</v>
      </c>
      <c r="E2" s="111">
        <v>1</v>
      </c>
      <c r="F2" s="111">
        <v>1</v>
      </c>
      <c r="G2"/>
      <c r="H2"/>
    </row>
    <row r="3" spans="1:8" x14ac:dyDescent="0.15">
      <c r="A3">
        <v>2</v>
      </c>
      <c r="B3" s="180" t="s">
        <v>192</v>
      </c>
      <c r="C3" s="112">
        <v>1</v>
      </c>
      <c r="D3" s="112">
        <v>0</v>
      </c>
      <c r="E3" s="111">
        <v>0</v>
      </c>
      <c r="F3" s="111">
        <v>1</v>
      </c>
      <c r="G3"/>
      <c r="H3"/>
    </row>
    <row r="4" spans="1:8" x14ac:dyDescent="0.15">
      <c r="A4">
        <v>3</v>
      </c>
      <c r="B4" s="180" t="s">
        <v>193</v>
      </c>
      <c r="C4" s="112">
        <v>1</v>
      </c>
      <c r="D4" s="112">
        <v>0</v>
      </c>
      <c r="E4" s="111">
        <v>0</v>
      </c>
      <c r="F4" s="111">
        <v>1</v>
      </c>
      <c r="G4"/>
      <c r="H4"/>
    </row>
    <row r="5" spans="1:8" x14ac:dyDescent="0.15">
      <c r="A5">
        <v>4</v>
      </c>
      <c r="B5" s="180" t="s">
        <v>194</v>
      </c>
      <c r="C5" s="112">
        <v>1</v>
      </c>
      <c r="D5" s="112">
        <v>0</v>
      </c>
      <c r="E5" s="111">
        <v>0</v>
      </c>
      <c r="F5" s="111">
        <v>1</v>
      </c>
      <c r="G5"/>
      <c r="H5"/>
    </row>
    <row r="6" spans="1:8" x14ac:dyDescent="0.15">
      <c r="A6">
        <v>5</v>
      </c>
      <c r="B6" s="180" t="s">
        <v>195</v>
      </c>
      <c r="C6" s="112">
        <v>1</v>
      </c>
      <c r="D6" s="112">
        <v>0</v>
      </c>
      <c r="E6" s="111">
        <v>0</v>
      </c>
      <c r="F6" s="111">
        <v>1</v>
      </c>
      <c r="G6"/>
      <c r="H6"/>
    </row>
    <row r="7" spans="1:8" x14ac:dyDescent="0.15">
      <c r="A7">
        <v>6</v>
      </c>
      <c r="B7" s="180" t="s">
        <v>196</v>
      </c>
      <c r="C7" s="112">
        <v>1</v>
      </c>
      <c r="D7" s="112">
        <v>0</v>
      </c>
      <c r="E7" s="111">
        <v>0</v>
      </c>
      <c r="F7" s="111">
        <v>1</v>
      </c>
      <c r="G7"/>
      <c r="H7"/>
    </row>
    <row r="8" spans="1:8" x14ac:dyDescent="0.15">
      <c r="A8">
        <v>7</v>
      </c>
      <c r="B8" s="180" t="s">
        <v>197</v>
      </c>
      <c r="C8" s="112">
        <v>1</v>
      </c>
      <c r="D8" s="112">
        <v>0</v>
      </c>
      <c r="E8" s="111">
        <v>0</v>
      </c>
      <c r="F8" s="111">
        <v>1</v>
      </c>
      <c r="G8"/>
      <c r="H8"/>
    </row>
    <row r="9" spans="1:8" x14ac:dyDescent="0.15">
      <c r="A9">
        <v>8</v>
      </c>
      <c r="B9" s="180" t="s">
        <v>198</v>
      </c>
      <c r="C9" s="112">
        <v>1</v>
      </c>
      <c r="D9" s="112">
        <v>0</v>
      </c>
      <c r="E9" s="111">
        <v>0</v>
      </c>
      <c r="F9" s="111">
        <v>1</v>
      </c>
      <c r="G9"/>
      <c r="H9"/>
    </row>
    <row r="10" spans="1:8" x14ac:dyDescent="0.15">
      <c r="A10">
        <v>9</v>
      </c>
      <c r="B10" s="180" t="s">
        <v>199</v>
      </c>
      <c r="C10" s="112">
        <v>1</v>
      </c>
      <c r="D10" s="112">
        <v>0</v>
      </c>
      <c r="E10" s="111">
        <v>0</v>
      </c>
      <c r="F10" s="111">
        <v>1</v>
      </c>
      <c r="G10"/>
      <c r="H10"/>
    </row>
    <row r="11" spans="1:8" x14ac:dyDescent="0.15">
      <c r="A11">
        <v>10</v>
      </c>
      <c r="B11" s="180" t="s">
        <v>200</v>
      </c>
      <c r="C11" s="112">
        <v>1</v>
      </c>
      <c r="D11" s="112">
        <v>0</v>
      </c>
      <c r="E11" s="111">
        <v>0</v>
      </c>
      <c r="F11" s="111">
        <v>1</v>
      </c>
      <c r="G11"/>
      <c r="H11"/>
    </row>
    <row r="12" spans="1:8" x14ac:dyDescent="0.15">
      <c r="A12">
        <v>11</v>
      </c>
      <c r="B12" s="180" t="s">
        <v>201</v>
      </c>
      <c r="C12" s="112">
        <v>1</v>
      </c>
      <c r="D12" s="112">
        <v>0</v>
      </c>
      <c r="E12" s="111">
        <v>0</v>
      </c>
      <c r="F12" s="111">
        <v>1</v>
      </c>
      <c r="G12"/>
      <c r="H12"/>
    </row>
    <row r="13" spans="1:8" x14ac:dyDescent="0.15">
      <c r="A13">
        <v>12</v>
      </c>
      <c r="B13" s="180" t="s">
        <v>202</v>
      </c>
      <c r="C13" s="112">
        <v>1</v>
      </c>
      <c r="D13" s="112">
        <v>0</v>
      </c>
      <c r="E13" s="111">
        <v>0</v>
      </c>
      <c r="F13" s="111">
        <v>1</v>
      </c>
      <c r="G13"/>
      <c r="H13"/>
    </row>
    <row r="14" spans="1:8" x14ac:dyDescent="0.15">
      <c r="A14">
        <v>13</v>
      </c>
      <c r="B14" s="180" t="s">
        <v>203</v>
      </c>
      <c r="C14" s="112">
        <v>1</v>
      </c>
      <c r="D14" s="112">
        <v>0</v>
      </c>
      <c r="E14" s="111">
        <v>0</v>
      </c>
      <c r="F14" s="111">
        <v>1</v>
      </c>
      <c r="G14"/>
      <c r="H14"/>
    </row>
    <row r="15" spans="1:8" x14ac:dyDescent="0.15">
      <c r="A15">
        <v>14</v>
      </c>
      <c r="B15" s="180" t="s">
        <v>204</v>
      </c>
      <c r="C15" s="112">
        <v>1</v>
      </c>
      <c r="D15" s="112">
        <v>0</v>
      </c>
      <c r="E15" s="111">
        <v>0</v>
      </c>
      <c r="F15" s="111">
        <v>1</v>
      </c>
      <c r="G15"/>
      <c r="H15"/>
    </row>
    <row r="16" spans="1:8" x14ac:dyDescent="0.15">
      <c r="A16">
        <v>15</v>
      </c>
      <c r="B16" s="180" t="s">
        <v>205</v>
      </c>
      <c r="C16" s="112">
        <v>1</v>
      </c>
      <c r="D16" s="112">
        <v>0</v>
      </c>
      <c r="E16" s="111">
        <v>0</v>
      </c>
      <c r="F16" s="111">
        <v>1</v>
      </c>
      <c r="G16"/>
      <c r="H16"/>
    </row>
    <row r="17" spans="1:8" ht="15" customHeight="1" x14ac:dyDescent="0.15">
      <c r="A17">
        <v>16</v>
      </c>
      <c r="B17" s="180" t="s">
        <v>206</v>
      </c>
      <c r="C17" s="112">
        <v>1</v>
      </c>
      <c r="D17" s="112">
        <v>0</v>
      </c>
      <c r="E17" s="111">
        <v>0</v>
      </c>
      <c r="F17" s="111">
        <v>1</v>
      </c>
      <c r="G17"/>
      <c r="H17"/>
    </row>
    <row r="18" spans="1:8" ht="15" customHeight="1" x14ac:dyDescent="0.15">
      <c r="A18">
        <v>17</v>
      </c>
      <c r="B18" s="180" t="s">
        <v>207</v>
      </c>
      <c r="C18" s="112">
        <v>1</v>
      </c>
      <c r="D18" s="112">
        <v>0</v>
      </c>
      <c r="E18" s="111">
        <v>0</v>
      </c>
      <c r="F18" s="111">
        <v>1</v>
      </c>
      <c r="G18"/>
      <c r="H18"/>
    </row>
    <row r="19" spans="1:8" ht="15" customHeight="1" x14ac:dyDescent="0.15">
      <c r="A19">
        <v>18</v>
      </c>
      <c r="B19" s="180" t="s">
        <v>208</v>
      </c>
      <c r="C19" s="112">
        <v>1</v>
      </c>
      <c r="D19" s="112">
        <v>0</v>
      </c>
      <c r="E19" s="111">
        <v>0</v>
      </c>
      <c r="F19" s="111">
        <v>1</v>
      </c>
      <c r="G19"/>
      <c r="H19"/>
    </row>
    <row r="20" spans="1:8" ht="15" customHeight="1" x14ac:dyDescent="0.15">
      <c r="A20">
        <v>19</v>
      </c>
      <c r="B20" s="180" t="s">
        <v>209</v>
      </c>
      <c r="C20" s="112">
        <v>1</v>
      </c>
      <c r="D20" s="112">
        <v>0</v>
      </c>
      <c r="E20" s="111">
        <v>0</v>
      </c>
      <c r="F20" s="111">
        <v>1</v>
      </c>
      <c r="G20"/>
      <c r="H20"/>
    </row>
    <row r="21" spans="1:8" ht="15" customHeight="1" x14ac:dyDescent="0.15">
      <c r="A21">
        <v>20</v>
      </c>
      <c r="B21" s="180" t="s">
        <v>210</v>
      </c>
      <c r="C21" s="112">
        <v>1</v>
      </c>
      <c r="D21" s="112">
        <v>0</v>
      </c>
      <c r="E21" s="111">
        <v>0</v>
      </c>
      <c r="F21" s="111">
        <v>1</v>
      </c>
      <c r="G21"/>
      <c r="H21"/>
    </row>
    <row r="22" spans="1:8" ht="15" customHeight="1" x14ac:dyDescent="0.15">
      <c r="A22">
        <v>21</v>
      </c>
      <c r="B22" s="180" t="s">
        <v>211</v>
      </c>
      <c r="C22" s="112">
        <v>1</v>
      </c>
      <c r="D22" s="112">
        <v>0</v>
      </c>
      <c r="E22" s="111">
        <v>0</v>
      </c>
      <c r="F22" s="111">
        <v>1</v>
      </c>
      <c r="G22"/>
      <c r="H22"/>
    </row>
    <row r="23" spans="1:8" ht="15" customHeight="1" x14ac:dyDescent="0.15">
      <c r="A23">
        <v>22</v>
      </c>
      <c r="B23" s="180" t="s">
        <v>212</v>
      </c>
      <c r="C23" s="112">
        <v>1</v>
      </c>
      <c r="D23" s="112">
        <v>0</v>
      </c>
      <c r="E23" s="111">
        <v>0</v>
      </c>
      <c r="F23" s="111">
        <v>1</v>
      </c>
      <c r="G23"/>
      <c r="H23"/>
    </row>
    <row r="24" spans="1:8" ht="15" customHeight="1" x14ac:dyDescent="0.15">
      <c r="A24">
        <v>23</v>
      </c>
      <c r="B24" s="180" t="s">
        <v>213</v>
      </c>
      <c r="C24" s="112">
        <v>1</v>
      </c>
      <c r="D24" s="112">
        <v>0</v>
      </c>
      <c r="E24" s="111">
        <v>0</v>
      </c>
      <c r="F24" s="111">
        <v>1</v>
      </c>
      <c r="G24"/>
      <c r="H24"/>
    </row>
    <row r="25" spans="1:8" ht="15" customHeight="1" x14ac:dyDescent="0.15">
      <c r="A25">
        <v>24</v>
      </c>
      <c r="B25" s="180" t="s">
        <v>214</v>
      </c>
      <c r="C25" s="112">
        <v>1</v>
      </c>
      <c r="D25" s="112">
        <v>0</v>
      </c>
      <c r="E25" s="111">
        <v>0</v>
      </c>
      <c r="F25" s="111">
        <v>1</v>
      </c>
      <c r="G25"/>
      <c r="H25"/>
    </row>
    <row r="26" spans="1:8" ht="15" customHeight="1" x14ac:dyDescent="0.15">
      <c r="A26">
        <v>25</v>
      </c>
      <c r="B26" s="180" t="s">
        <v>215</v>
      </c>
      <c r="C26" s="112">
        <v>1</v>
      </c>
      <c r="D26" s="112">
        <v>0</v>
      </c>
      <c r="E26" s="111">
        <v>0</v>
      </c>
      <c r="F26" s="111">
        <v>1</v>
      </c>
      <c r="G26"/>
      <c r="H26"/>
    </row>
    <row r="27" spans="1:8" ht="15" customHeight="1" x14ac:dyDescent="0.15">
      <c r="A27">
        <v>26</v>
      </c>
      <c r="B27" s="180" t="s">
        <v>216</v>
      </c>
      <c r="C27" s="112">
        <v>1</v>
      </c>
      <c r="D27" s="112">
        <v>0</v>
      </c>
      <c r="E27" s="111">
        <v>0</v>
      </c>
      <c r="F27" s="111">
        <v>1</v>
      </c>
      <c r="G27"/>
      <c r="H27"/>
    </row>
    <row r="28" spans="1:8" ht="15" customHeight="1" x14ac:dyDescent="0.15">
      <c r="A28">
        <v>27</v>
      </c>
      <c r="B28" s="180" t="s">
        <v>217</v>
      </c>
      <c r="C28" s="112">
        <v>1</v>
      </c>
      <c r="D28" s="112">
        <v>0</v>
      </c>
      <c r="E28" s="111">
        <v>0</v>
      </c>
      <c r="F28" s="111">
        <v>1</v>
      </c>
      <c r="G28"/>
      <c r="H28"/>
    </row>
    <row r="29" spans="1:8" ht="15" customHeight="1" x14ac:dyDescent="0.15">
      <c r="A29">
        <v>28</v>
      </c>
      <c r="B29" s="180" t="s">
        <v>218</v>
      </c>
      <c r="C29" s="112">
        <v>1</v>
      </c>
      <c r="D29" s="112">
        <v>0</v>
      </c>
      <c r="E29" s="111">
        <v>0</v>
      </c>
      <c r="F29" s="111">
        <v>1</v>
      </c>
      <c r="G29"/>
      <c r="H29"/>
    </row>
    <row r="30" spans="1:8" ht="15" customHeight="1" x14ac:dyDescent="0.15">
      <c r="A30">
        <v>29</v>
      </c>
      <c r="B30" s="180" t="s">
        <v>219</v>
      </c>
      <c r="C30" s="112">
        <v>1</v>
      </c>
      <c r="D30" s="112">
        <v>0</v>
      </c>
      <c r="E30" s="111">
        <v>0</v>
      </c>
      <c r="F30" s="111">
        <v>1</v>
      </c>
      <c r="G30"/>
      <c r="H30"/>
    </row>
    <row r="31" spans="1:8" ht="15" customHeight="1" x14ac:dyDescent="0.15">
      <c r="A31">
        <v>30</v>
      </c>
      <c r="B31" s="180" t="s">
        <v>220</v>
      </c>
      <c r="C31" s="112">
        <v>0</v>
      </c>
      <c r="D31" s="112">
        <v>0</v>
      </c>
      <c r="E31" s="111">
        <v>1</v>
      </c>
      <c r="F31" s="111">
        <v>1</v>
      </c>
      <c r="G31"/>
      <c r="H31"/>
    </row>
    <row r="32" spans="1:8" ht="15" customHeight="1" x14ac:dyDescent="0.15">
      <c r="A32">
        <v>31</v>
      </c>
      <c r="B32" s="180" t="s">
        <v>221</v>
      </c>
      <c r="C32" s="112">
        <v>1</v>
      </c>
      <c r="D32" s="112">
        <v>0</v>
      </c>
      <c r="E32" s="111">
        <v>0</v>
      </c>
      <c r="F32" s="111">
        <v>1</v>
      </c>
    </row>
    <row r="33" spans="1:8" ht="15" customHeight="1" x14ac:dyDescent="0.15">
      <c r="A33">
        <v>32</v>
      </c>
      <c r="B33" s="180" t="s">
        <v>222</v>
      </c>
      <c r="C33" s="112">
        <v>0</v>
      </c>
      <c r="D33" s="112">
        <v>0</v>
      </c>
      <c r="E33" s="111">
        <v>1</v>
      </c>
      <c r="F33" s="111">
        <v>1</v>
      </c>
    </row>
    <row r="34" spans="1:8" ht="15" customHeight="1" x14ac:dyDescent="0.15">
      <c r="A34">
        <v>33</v>
      </c>
      <c r="B34" s="180" t="s">
        <v>223</v>
      </c>
      <c r="C34" s="112">
        <v>1</v>
      </c>
      <c r="D34" s="112">
        <v>0</v>
      </c>
      <c r="E34" s="111">
        <v>0</v>
      </c>
      <c r="F34" s="111">
        <v>1</v>
      </c>
    </row>
    <row r="35" spans="1:8" ht="15" customHeight="1" x14ac:dyDescent="0.15">
      <c r="A35">
        <v>34</v>
      </c>
      <c r="B35" s="180" t="s">
        <v>224</v>
      </c>
      <c r="C35" s="112">
        <v>1</v>
      </c>
      <c r="D35" s="112">
        <v>0</v>
      </c>
      <c r="E35" s="111">
        <v>0</v>
      </c>
      <c r="F35" s="111">
        <v>1</v>
      </c>
    </row>
    <row r="36" spans="1:8" ht="15" customHeight="1" x14ac:dyDescent="0.15">
      <c r="A36">
        <v>35</v>
      </c>
      <c r="B36" s="180" t="s">
        <v>225</v>
      </c>
      <c r="C36" s="112">
        <v>1</v>
      </c>
      <c r="D36" s="112">
        <v>0</v>
      </c>
      <c r="E36" s="112">
        <v>0</v>
      </c>
      <c r="F36" s="112">
        <v>1</v>
      </c>
      <c r="G36"/>
      <c r="H36"/>
    </row>
    <row r="37" spans="1:8" ht="15" customHeight="1" x14ac:dyDescent="0.15">
      <c r="A37">
        <v>36</v>
      </c>
      <c r="B37" s="180" t="s">
        <v>226</v>
      </c>
      <c r="C37" s="112">
        <v>1</v>
      </c>
      <c r="D37" s="112">
        <v>0</v>
      </c>
      <c r="E37" s="112">
        <v>0</v>
      </c>
      <c r="F37" s="112">
        <v>1</v>
      </c>
      <c r="G37"/>
      <c r="H37"/>
    </row>
    <row r="38" spans="1:8" ht="15" customHeight="1" x14ac:dyDescent="0.15">
      <c r="A38">
        <v>37</v>
      </c>
      <c r="B38" s="180" t="s">
        <v>227</v>
      </c>
      <c r="C38" s="112">
        <v>1</v>
      </c>
      <c r="D38" s="112">
        <v>0</v>
      </c>
      <c r="E38" s="112">
        <v>0</v>
      </c>
      <c r="F38" s="112">
        <v>1</v>
      </c>
      <c r="G38"/>
      <c r="H38"/>
    </row>
    <row r="39" spans="1:8" ht="15" customHeight="1" x14ac:dyDescent="0.15">
      <c r="A39">
        <v>38</v>
      </c>
      <c r="B39" s="180" t="s">
        <v>228</v>
      </c>
      <c r="C39" s="112">
        <v>0</v>
      </c>
      <c r="D39" s="112">
        <v>1</v>
      </c>
      <c r="E39" s="112">
        <v>0</v>
      </c>
      <c r="F39" s="112">
        <v>1</v>
      </c>
      <c r="G39"/>
      <c r="H39"/>
    </row>
    <row r="40" spans="1:8" ht="15" customHeight="1" x14ac:dyDescent="0.15">
      <c r="A40">
        <v>39</v>
      </c>
      <c r="B40" s="180" t="s">
        <v>229</v>
      </c>
      <c r="C40" s="112">
        <v>0</v>
      </c>
      <c r="D40" s="112">
        <v>0</v>
      </c>
      <c r="E40" s="112">
        <v>1</v>
      </c>
      <c r="F40" s="112">
        <v>1</v>
      </c>
      <c r="G40"/>
      <c r="H40"/>
    </row>
    <row r="41" spans="1:8" ht="15" customHeight="1" x14ac:dyDescent="0.15">
      <c r="A41">
        <v>40</v>
      </c>
      <c r="B41" s="180" t="s">
        <v>230</v>
      </c>
      <c r="C41" s="112">
        <v>0</v>
      </c>
      <c r="D41" s="112">
        <v>1</v>
      </c>
      <c r="E41" s="112">
        <v>0</v>
      </c>
      <c r="F41" s="112">
        <v>1</v>
      </c>
      <c r="G41"/>
      <c r="H41"/>
    </row>
    <row r="42" spans="1:8" ht="15" customHeight="1" x14ac:dyDescent="0.15">
      <c r="C42"/>
      <c r="D42"/>
      <c r="E42" s="112"/>
      <c r="F42" s="112"/>
      <c r="G42"/>
      <c r="H42"/>
    </row>
    <row r="43" spans="1:8" ht="15" customHeight="1" x14ac:dyDescent="0.15">
      <c r="C43"/>
      <c r="D43"/>
      <c r="E43" s="112"/>
      <c r="F43" s="112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12"/>
      <c r="F46" s="112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2" bestFit="1" customWidth="1"/>
    <col min="3" max="4" width="6.83203125" bestFit="1" customWidth="1"/>
    <col min="5" max="5" width="12.1640625" bestFit="1" customWidth="1"/>
  </cols>
  <sheetData>
    <row r="1" spans="1:5" s="113" customFormat="1" ht="112" x14ac:dyDescent="0.15">
      <c r="A1" s="5" t="s">
        <v>21</v>
      </c>
      <c r="B1" s="3" t="s">
        <v>0</v>
      </c>
      <c r="C1" s="183" t="s">
        <v>230</v>
      </c>
      <c r="D1" s="183" t="s">
        <v>234</v>
      </c>
      <c r="E1"/>
    </row>
    <row r="2" spans="1:5" ht="15" customHeight="1" x14ac:dyDescent="0.15">
      <c r="A2">
        <v>1</v>
      </c>
      <c r="B2" s="182" t="s">
        <v>191</v>
      </c>
      <c r="C2">
        <v>0</v>
      </c>
      <c r="D2">
        <v>0</v>
      </c>
    </row>
    <row r="3" spans="1:5" ht="15" customHeight="1" x14ac:dyDescent="0.15">
      <c r="A3">
        <v>2</v>
      </c>
      <c r="B3" s="182" t="s">
        <v>192</v>
      </c>
      <c r="C3">
        <v>0</v>
      </c>
      <c r="D3">
        <v>0</v>
      </c>
    </row>
    <row r="4" spans="1:5" ht="15" customHeight="1" x14ac:dyDescent="0.15">
      <c r="A4">
        <v>3</v>
      </c>
      <c r="B4" s="182" t="s">
        <v>193</v>
      </c>
      <c r="C4">
        <v>0</v>
      </c>
      <c r="D4">
        <v>0</v>
      </c>
    </row>
    <row r="5" spans="1:5" ht="15" customHeight="1" x14ac:dyDescent="0.15">
      <c r="A5">
        <v>4</v>
      </c>
      <c r="B5" s="182" t="s">
        <v>194</v>
      </c>
      <c r="C5">
        <v>1.6999999999999999E-3</v>
      </c>
      <c r="D5">
        <v>1.6999999999999999E-3</v>
      </c>
    </row>
    <row r="6" spans="1:5" ht="15" customHeight="1" x14ac:dyDescent="0.15">
      <c r="A6">
        <v>5</v>
      </c>
      <c r="B6" s="182" t="s">
        <v>195</v>
      </c>
      <c r="C6">
        <v>1.6999999999999999E-3</v>
      </c>
      <c r="D6">
        <v>1.6999999999999999E-3</v>
      </c>
    </row>
    <row r="7" spans="1:5" ht="15" customHeight="1" x14ac:dyDescent="0.15">
      <c r="A7">
        <v>6</v>
      </c>
      <c r="B7" s="182" t="s">
        <v>196</v>
      </c>
      <c r="C7">
        <v>5.1000000000000004E-3</v>
      </c>
      <c r="D7">
        <v>5.1000000000000004E-3</v>
      </c>
    </row>
    <row r="8" spans="1:5" ht="15" customHeight="1" x14ac:dyDescent="0.15">
      <c r="A8">
        <v>7</v>
      </c>
      <c r="B8" s="182" t="s">
        <v>197</v>
      </c>
      <c r="C8">
        <v>6.6299999999999998E-2</v>
      </c>
      <c r="D8">
        <v>6.6299999999999998E-2</v>
      </c>
    </row>
    <row r="9" spans="1:5" ht="15" customHeight="1" x14ac:dyDescent="0.15">
      <c r="A9">
        <v>8</v>
      </c>
      <c r="B9" s="182" t="s">
        <v>198</v>
      </c>
      <c r="C9">
        <v>1.3599999999999999E-2</v>
      </c>
      <c r="D9">
        <v>1.3599999999999999E-2</v>
      </c>
    </row>
    <row r="10" spans="1:5" ht="15" customHeight="1" x14ac:dyDescent="0.15">
      <c r="A10">
        <v>9</v>
      </c>
      <c r="B10" s="182" t="s">
        <v>199</v>
      </c>
      <c r="C10">
        <v>0</v>
      </c>
      <c r="D10">
        <v>0</v>
      </c>
    </row>
    <row r="11" spans="1:5" ht="15" customHeight="1" x14ac:dyDescent="0.15">
      <c r="A11">
        <v>10</v>
      </c>
      <c r="B11" s="182" t="s">
        <v>200</v>
      </c>
      <c r="C11">
        <v>0</v>
      </c>
      <c r="D11">
        <v>0</v>
      </c>
    </row>
    <row r="12" spans="1:5" ht="15" customHeight="1" x14ac:dyDescent="0.15">
      <c r="A12">
        <v>11</v>
      </c>
      <c r="B12" s="182" t="s">
        <v>201</v>
      </c>
      <c r="C12">
        <v>0</v>
      </c>
      <c r="D12">
        <v>0</v>
      </c>
    </row>
    <row r="13" spans="1:5" ht="15" customHeight="1" x14ac:dyDescent="0.15">
      <c r="A13">
        <v>12</v>
      </c>
      <c r="B13" s="182" t="s">
        <v>202</v>
      </c>
      <c r="C13">
        <v>0</v>
      </c>
      <c r="D13">
        <v>0</v>
      </c>
    </row>
    <row r="14" spans="1:5" ht="15" customHeight="1" x14ac:dyDescent="0.15">
      <c r="A14">
        <v>13</v>
      </c>
      <c r="B14" s="182" t="s">
        <v>203</v>
      </c>
      <c r="C14">
        <v>5.9499999999999997E-2</v>
      </c>
      <c r="D14">
        <v>5.9499999999999997E-2</v>
      </c>
    </row>
    <row r="15" spans="1:5" ht="15" customHeight="1" x14ac:dyDescent="0.15">
      <c r="A15">
        <v>14</v>
      </c>
      <c r="B15" s="182" t="s">
        <v>204</v>
      </c>
      <c r="C15">
        <v>2.8899999999999999E-2</v>
      </c>
      <c r="D15">
        <v>2.8899999999999999E-2</v>
      </c>
    </row>
    <row r="16" spans="1:5" ht="15" customHeight="1" x14ac:dyDescent="0.15">
      <c r="A16">
        <v>15</v>
      </c>
      <c r="B16" s="182" t="s">
        <v>205</v>
      </c>
      <c r="C16">
        <v>3.4000000000000002E-2</v>
      </c>
      <c r="D16">
        <v>3.4000000000000002E-2</v>
      </c>
    </row>
    <row r="17" spans="1:4" ht="15" customHeight="1" x14ac:dyDescent="0.15">
      <c r="A17">
        <v>16</v>
      </c>
      <c r="B17" s="182" t="s">
        <v>206</v>
      </c>
      <c r="C17">
        <v>1.3599999999999999E-2</v>
      </c>
      <c r="D17">
        <v>1.3599999999999999E-2</v>
      </c>
    </row>
    <row r="18" spans="1:4" ht="15" customHeight="1" x14ac:dyDescent="0.15">
      <c r="A18">
        <v>17</v>
      </c>
      <c r="B18" s="182" t="s">
        <v>207</v>
      </c>
      <c r="C18">
        <v>0</v>
      </c>
      <c r="D18">
        <v>0</v>
      </c>
    </row>
    <row r="19" spans="1:4" ht="15" customHeight="1" x14ac:dyDescent="0.15">
      <c r="A19">
        <v>18</v>
      </c>
      <c r="B19" s="182" t="s">
        <v>208</v>
      </c>
      <c r="C19">
        <v>0</v>
      </c>
      <c r="D19">
        <v>0</v>
      </c>
    </row>
    <row r="20" spans="1:4" ht="15" customHeight="1" x14ac:dyDescent="0.15">
      <c r="A20">
        <v>19</v>
      </c>
      <c r="B20" s="182" t="s">
        <v>209</v>
      </c>
      <c r="C20">
        <v>0</v>
      </c>
      <c r="D20">
        <v>0</v>
      </c>
    </row>
    <row r="21" spans="1:4" ht="15" customHeight="1" x14ac:dyDescent="0.15">
      <c r="A21">
        <v>20</v>
      </c>
      <c r="B21" s="182" t="s">
        <v>210</v>
      </c>
      <c r="C21">
        <v>1.6999999999999999E-3</v>
      </c>
      <c r="D21">
        <v>1.6999999999999999E-3</v>
      </c>
    </row>
    <row r="22" spans="1:4" ht="15" customHeight="1" x14ac:dyDescent="0.15">
      <c r="A22">
        <v>21</v>
      </c>
      <c r="B22" s="182" t="s">
        <v>211</v>
      </c>
      <c r="C22">
        <v>1.5299999999999999E-2</v>
      </c>
      <c r="D22">
        <v>1.5299999999999999E-2</v>
      </c>
    </row>
    <row r="23" spans="1:4" ht="15" customHeight="1" x14ac:dyDescent="0.15">
      <c r="A23">
        <v>22</v>
      </c>
      <c r="B23" s="182" t="s">
        <v>212</v>
      </c>
      <c r="C23">
        <v>3.4000000000000002E-2</v>
      </c>
      <c r="D23">
        <v>3.4000000000000002E-2</v>
      </c>
    </row>
    <row r="24" spans="1:4" ht="15" customHeight="1" x14ac:dyDescent="0.15">
      <c r="A24">
        <v>23</v>
      </c>
      <c r="B24" s="182" t="s">
        <v>213</v>
      </c>
      <c r="C24">
        <v>5.1000000000000004E-3</v>
      </c>
      <c r="D24">
        <v>5.1000000000000004E-3</v>
      </c>
    </row>
    <row r="25" spans="1:4" ht="15" customHeight="1" x14ac:dyDescent="0.15">
      <c r="A25">
        <v>24</v>
      </c>
      <c r="B25" s="182" t="s">
        <v>214</v>
      </c>
      <c r="C25">
        <v>0</v>
      </c>
      <c r="D25">
        <v>0</v>
      </c>
    </row>
    <row r="26" spans="1:4" ht="15" customHeight="1" x14ac:dyDescent="0.15">
      <c r="A26">
        <v>25</v>
      </c>
      <c r="B26" s="182" t="s">
        <v>215</v>
      </c>
      <c r="C26">
        <v>0</v>
      </c>
      <c r="D26">
        <v>0</v>
      </c>
    </row>
    <row r="27" spans="1:4" ht="15" customHeight="1" x14ac:dyDescent="0.15">
      <c r="A27">
        <v>26</v>
      </c>
      <c r="B27" s="182" t="s">
        <v>216</v>
      </c>
      <c r="C27">
        <v>0.28899999999999998</v>
      </c>
      <c r="D27">
        <v>0.28899999999999998</v>
      </c>
    </row>
    <row r="28" spans="1:4" ht="15" customHeight="1" x14ac:dyDescent="0.15">
      <c r="A28">
        <v>27</v>
      </c>
      <c r="B28" s="182" t="s">
        <v>217</v>
      </c>
      <c r="C28">
        <v>2.4718</v>
      </c>
      <c r="D28">
        <v>2.4718</v>
      </c>
    </row>
    <row r="29" spans="1:4" ht="15" customHeight="1" x14ac:dyDescent="0.15">
      <c r="A29">
        <v>28</v>
      </c>
      <c r="B29" s="182" t="s">
        <v>218</v>
      </c>
      <c r="C29">
        <v>0.79559999999999997</v>
      </c>
      <c r="D29">
        <v>0.79559999999999997</v>
      </c>
    </row>
    <row r="30" spans="1:4" ht="15" customHeight="1" x14ac:dyDescent="0.15">
      <c r="A30">
        <v>29</v>
      </c>
      <c r="B30" s="182" t="s">
        <v>219</v>
      </c>
      <c r="C30">
        <v>0.15640000000000001</v>
      </c>
      <c r="D30">
        <v>0.15640000000000001</v>
      </c>
    </row>
    <row r="31" spans="1:4" ht="15" customHeight="1" x14ac:dyDescent="0.15">
      <c r="A31">
        <v>30</v>
      </c>
      <c r="B31" s="182" t="s">
        <v>220</v>
      </c>
      <c r="C31">
        <v>0</v>
      </c>
      <c r="D31">
        <v>0</v>
      </c>
    </row>
    <row r="32" spans="1:4" ht="15" customHeight="1" x14ac:dyDescent="0.15">
      <c r="A32">
        <v>31</v>
      </c>
      <c r="B32" s="182" t="s">
        <v>221</v>
      </c>
      <c r="C32">
        <v>0</v>
      </c>
      <c r="D32">
        <v>0</v>
      </c>
    </row>
    <row r="33" spans="1:4" ht="15" customHeight="1" x14ac:dyDescent="0.15">
      <c r="A33">
        <v>32</v>
      </c>
      <c r="B33" s="182" t="s">
        <v>222</v>
      </c>
      <c r="C33">
        <v>2.5499999999999998E-2</v>
      </c>
      <c r="D33">
        <v>2.5499999999999998E-2</v>
      </c>
    </row>
    <row r="34" spans="1:4" ht="15" customHeight="1" x14ac:dyDescent="0.15">
      <c r="A34">
        <v>33</v>
      </c>
      <c r="B34" s="182" t="s">
        <v>223</v>
      </c>
      <c r="C34">
        <v>0</v>
      </c>
      <c r="D34">
        <v>0</v>
      </c>
    </row>
    <row r="35" spans="1:4" ht="15" customHeight="1" x14ac:dyDescent="0.15">
      <c r="A35">
        <v>34</v>
      </c>
      <c r="B35" s="182" t="s">
        <v>224</v>
      </c>
      <c r="C35">
        <v>0</v>
      </c>
      <c r="D35">
        <v>0</v>
      </c>
    </row>
    <row r="36" spans="1:4" ht="15" customHeight="1" x14ac:dyDescent="0.15">
      <c r="A36">
        <v>35</v>
      </c>
      <c r="B36" s="182" t="s">
        <v>225</v>
      </c>
      <c r="C36">
        <v>0</v>
      </c>
      <c r="D36">
        <v>0</v>
      </c>
    </row>
    <row r="37" spans="1:4" ht="15" customHeight="1" x14ac:dyDescent="0.15">
      <c r="A37">
        <v>36</v>
      </c>
      <c r="B37" s="182" t="s">
        <v>226</v>
      </c>
      <c r="C37">
        <v>0</v>
      </c>
      <c r="D37">
        <v>0</v>
      </c>
    </row>
    <row r="38" spans="1:4" ht="15" customHeight="1" x14ac:dyDescent="0.15">
      <c r="A38">
        <v>37</v>
      </c>
      <c r="B38" s="182" t="s">
        <v>227</v>
      </c>
      <c r="C38">
        <v>0</v>
      </c>
      <c r="D38">
        <v>0</v>
      </c>
    </row>
    <row r="39" spans="1:4" ht="15" customHeight="1" x14ac:dyDescent="0.15">
      <c r="A39">
        <v>38</v>
      </c>
      <c r="B39" s="182" t="s">
        <v>228</v>
      </c>
      <c r="C39">
        <v>0</v>
      </c>
      <c r="D39">
        <v>0</v>
      </c>
    </row>
    <row r="40" spans="1:4" ht="15" customHeight="1" x14ac:dyDescent="0.15">
      <c r="A40">
        <v>39</v>
      </c>
      <c r="B40" s="182" t="s">
        <v>229</v>
      </c>
      <c r="C40">
        <v>0</v>
      </c>
      <c r="D40">
        <v>0</v>
      </c>
    </row>
    <row r="41" spans="1:4" ht="15" customHeight="1" x14ac:dyDescent="0.15"/>
    <row r="42" spans="1:4" ht="15" customHeight="1" x14ac:dyDescent="0.15"/>
    <row r="43" spans="1:4" ht="15" customHeight="1" x14ac:dyDescent="0.15"/>
    <row r="44" spans="1:4" ht="15" customHeight="1" x14ac:dyDescent="0.15"/>
    <row r="45" spans="1:4" ht="15" customHeight="1" x14ac:dyDescent="0.15"/>
    <row r="46" spans="1:4" ht="15" customHeight="1" x14ac:dyDescent="0.15"/>
    <row r="47" spans="1:4" ht="15" customHeight="1" x14ac:dyDescent="0.15"/>
    <row r="48" spans="1:4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4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2" bestFit="1" customWidth="1"/>
    <col min="3" max="4" width="2.33203125" bestFit="1" customWidth="1"/>
    <col min="5" max="5" width="12.1640625" bestFit="1" customWidth="1"/>
  </cols>
  <sheetData>
    <row r="1" spans="1:4" s="113" customFormat="1" ht="112" x14ac:dyDescent="0.15">
      <c r="A1" s="5" t="s">
        <v>22</v>
      </c>
      <c r="B1" s="3" t="s">
        <v>0</v>
      </c>
      <c r="C1" s="185" t="s">
        <v>230</v>
      </c>
      <c r="D1" s="185" t="s">
        <v>234</v>
      </c>
    </row>
    <row r="2" spans="1:4" x14ac:dyDescent="0.15">
      <c r="A2">
        <v>1</v>
      </c>
      <c r="B2" s="184" t="s">
        <v>191</v>
      </c>
      <c r="C2">
        <v>0</v>
      </c>
      <c r="D2">
        <v>0</v>
      </c>
    </row>
    <row r="3" spans="1:4" x14ac:dyDescent="0.15">
      <c r="A3">
        <v>2</v>
      </c>
      <c r="B3" s="184" t="s">
        <v>192</v>
      </c>
      <c r="C3">
        <v>0</v>
      </c>
      <c r="D3">
        <v>0</v>
      </c>
    </row>
    <row r="4" spans="1:4" x14ac:dyDescent="0.15">
      <c r="A4">
        <v>3</v>
      </c>
      <c r="B4" s="184" t="s">
        <v>193</v>
      </c>
      <c r="C4">
        <v>0</v>
      </c>
      <c r="D4">
        <v>0</v>
      </c>
    </row>
    <row r="5" spans="1:4" x14ac:dyDescent="0.15">
      <c r="A5">
        <v>4</v>
      </c>
      <c r="B5" s="184" t="s">
        <v>194</v>
      </c>
      <c r="C5">
        <v>0</v>
      </c>
      <c r="D5">
        <v>0</v>
      </c>
    </row>
    <row r="6" spans="1:4" x14ac:dyDescent="0.15">
      <c r="A6">
        <v>5</v>
      </c>
      <c r="B6" s="184" t="s">
        <v>195</v>
      </c>
      <c r="C6">
        <v>0</v>
      </c>
      <c r="D6">
        <v>0</v>
      </c>
    </row>
    <row r="7" spans="1:4" x14ac:dyDescent="0.15">
      <c r="A7">
        <v>6</v>
      </c>
      <c r="B7" s="184" t="s">
        <v>196</v>
      </c>
      <c r="C7">
        <v>0</v>
      </c>
      <c r="D7">
        <v>0</v>
      </c>
    </row>
    <row r="8" spans="1:4" x14ac:dyDescent="0.15">
      <c r="A8">
        <v>7</v>
      </c>
      <c r="B8" s="184" t="s">
        <v>197</v>
      </c>
      <c r="C8">
        <v>0</v>
      </c>
      <c r="D8">
        <v>0</v>
      </c>
    </row>
    <row r="9" spans="1:4" x14ac:dyDescent="0.15">
      <c r="A9">
        <v>8</v>
      </c>
      <c r="B9" s="184" t="s">
        <v>198</v>
      </c>
      <c r="C9">
        <v>0</v>
      </c>
      <c r="D9">
        <v>0</v>
      </c>
    </row>
    <row r="10" spans="1:4" x14ac:dyDescent="0.15">
      <c r="A10">
        <v>9</v>
      </c>
      <c r="B10" s="184" t="s">
        <v>199</v>
      </c>
      <c r="C10">
        <v>0</v>
      </c>
      <c r="D10">
        <v>0</v>
      </c>
    </row>
    <row r="11" spans="1:4" x14ac:dyDescent="0.15">
      <c r="A11">
        <v>10</v>
      </c>
      <c r="B11" s="184" t="s">
        <v>200</v>
      </c>
      <c r="C11">
        <v>0</v>
      </c>
      <c r="D11">
        <v>0</v>
      </c>
    </row>
    <row r="12" spans="1:4" x14ac:dyDescent="0.15">
      <c r="A12">
        <v>11</v>
      </c>
      <c r="B12" s="184" t="s">
        <v>201</v>
      </c>
      <c r="C12">
        <v>0</v>
      </c>
      <c r="D12">
        <v>0</v>
      </c>
    </row>
    <row r="13" spans="1:4" x14ac:dyDescent="0.15">
      <c r="A13">
        <v>12</v>
      </c>
      <c r="B13" s="184" t="s">
        <v>202</v>
      </c>
      <c r="C13">
        <v>0</v>
      </c>
      <c r="D13">
        <v>0</v>
      </c>
    </row>
    <row r="14" spans="1:4" x14ac:dyDescent="0.15">
      <c r="A14">
        <v>13</v>
      </c>
      <c r="B14" s="184" t="s">
        <v>203</v>
      </c>
      <c r="C14">
        <v>0</v>
      </c>
      <c r="D14">
        <v>0</v>
      </c>
    </row>
    <row r="15" spans="1:4" x14ac:dyDescent="0.15">
      <c r="A15">
        <v>14</v>
      </c>
      <c r="B15" s="184" t="s">
        <v>204</v>
      </c>
      <c r="C15">
        <v>0</v>
      </c>
      <c r="D15">
        <v>0</v>
      </c>
    </row>
    <row r="16" spans="1:4" x14ac:dyDescent="0.15">
      <c r="A16">
        <v>15</v>
      </c>
      <c r="B16" s="184" t="s">
        <v>205</v>
      </c>
      <c r="C16">
        <v>0</v>
      </c>
      <c r="D16">
        <v>0</v>
      </c>
    </row>
    <row r="17" spans="1:4" x14ac:dyDescent="0.15">
      <c r="A17">
        <v>16</v>
      </c>
      <c r="B17" s="184" t="s">
        <v>206</v>
      </c>
      <c r="C17">
        <v>0</v>
      </c>
      <c r="D17">
        <v>0</v>
      </c>
    </row>
    <row r="18" spans="1:4" x14ac:dyDescent="0.15">
      <c r="A18">
        <v>17</v>
      </c>
      <c r="B18" s="184" t="s">
        <v>207</v>
      </c>
      <c r="C18">
        <v>0</v>
      </c>
      <c r="D18">
        <v>0</v>
      </c>
    </row>
    <row r="19" spans="1:4" x14ac:dyDescent="0.15">
      <c r="A19">
        <v>18</v>
      </c>
      <c r="B19" s="184" t="s">
        <v>208</v>
      </c>
      <c r="C19">
        <v>0</v>
      </c>
      <c r="D19">
        <v>0</v>
      </c>
    </row>
    <row r="20" spans="1:4" x14ac:dyDescent="0.15">
      <c r="A20">
        <v>19</v>
      </c>
      <c r="B20" s="184" t="s">
        <v>209</v>
      </c>
      <c r="C20">
        <v>0</v>
      </c>
      <c r="D20">
        <v>0</v>
      </c>
    </row>
    <row r="21" spans="1:4" x14ac:dyDescent="0.15">
      <c r="A21">
        <v>20</v>
      </c>
      <c r="B21" s="184" t="s">
        <v>210</v>
      </c>
      <c r="C21">
        <v>0</v>
      </c>
      <c r="D21">
        <v>0</v>
      </c>
    </row>
    <row r="22" spans="1:4" x14ac:dyDescent="0.15">
      <c r="A22">
        <v>21</v>
      </c>
      <c r="B22" s="184" t="s">
        <v>211</v>
      </c>
      <c r="C22">
        <v>0</v>
      </c>
      <c r="D22">
        <v>0</v>
      </c>
    </row>
    <row r="23" spans="1:4" x14ac:dyDescent="0.15">
      <c r="A23">
        <v>22</v>
      </c>
      <c r="B23" s="184" t="s">
        <v>212</v>
      </c>
      <c r="C23">
        <v>0</v>
      </c>
      <c r="D23">
        <v>0</v>
      </c>
    </row>
    <row r="24" spans="1:4" x14ac:dyDescent="0.15">
      <c r="A24">
        <v>23</v>
      </c>
      <c r="B24" s="184" t="s">
        <v>213</v>
      </c>
      <c r="C24">
        <v>0</v>
      </c>
      <c r="D24">
        <v>0</v>
      </c>
    </row>
    <row r="25" spans="1:4" x14ac:dyDescent="0.15">
      <c r="A25">
        <v>24</v>
      </c>
      <c r="B25" s="184" t="s">
        <v>214</v>
      </c>
      <c r="C25">
        <v>0</v>
      </c>
      <c r="D25">
        <v>0</v>
      </c>
    </row>
    <row r="26" spans="1:4" x14ac:dyDescent="0.15">
      <c r="A26">
        <v>25</v>
      </c>
      <c r="B26" s="184" t="s">
        <v>215</v>
      </c>
      <c r="C26">
        <v>0</v>
      </c>
      <c r="D26">
        <v>0</v>
      </c>
    </row>
    <row r="27" spans="1:4" x14ac:dyDescent="0.15">
      <c r="A27">
        <v>26</v>
      </c>
      <c r="B27" s="184" t="s">
        <v>216</v>
      </c>
      <c r="C27">
        <v>0</v>
      </c>
      <c r="D27">
        <v>0</v>
      </c>
    </row>
    <row r="28" spans="1:4" x14ac:dyDescent="0.15">
      <c r="A28">
        <v>27</v>
      </c>
      <c r="B28" s="184" t="s">
        <v>217</v>
      </c>
      <c r="C28">
        <v>0</v>
      </c>
      <c r="D28">
        <v>0</v>
      </c>
    </row>
    <row r="29" spans="1:4" x14ac:dyDescent="0.15">
      <c r="A29">
        <v>28</v>
      </c>
      <c r="B29" s="184" t="s">
        <v>218</v>
      </c>
      <c r="C29">
        <v>0</v>
      </c>
      <c r="D29">
        <v>0</v>
      </c>
    </row>
    <row r="30" spans="1:4" x14ac:dyDescent="0.15">
      <c r="A30">
        <v>29</v>
      </c>
      <c r="B30" s="184" t="s">
        <v>219</v>
      </c>
      <c r="C30">
        <v>0</v>
      </c>
      <c r="D30">
        <v>0</v>
      </c>
    </row>
    <row r="31" spans="1:4" x14ac:dyDescent="0.15">
      <c r="A31">
        <v>30</v>
      </c>
      <c r="B31" s="184" t="s">
        <v>220</v>
      </c>
      <c r="C31">
        <v>0</v>
      </c>
      <c r="D31">
        <v>0</v>
      </c>
    </row>
    <row r="32" spans="1:4" x14ac:dyDescent="0.15">
      <c r="A32">
        <v>31</v>
      </c>
      <c r="B32" s="184" t="s">
        <v>221</v>
      </c>
      <c r="C32">
        <v>0</v>
      </c>
      <c r="D32">
        <v>0</v>
      </c>
    </row>
    <row r="33" spans="1:4" x14ac:dyDescent="0.15">
      <c r="A33">
        <v>32</v>
      </c>
      <c r="B33" s="184" t="s">
        <v>222</v>
      </c>
      <c r="C33">
        <v>0</v>
      </c>
      <c r="D33">
        <v>0</v>
      </c>
    </row>
    <row r="34" spans="1:4" x14ac:dyDescent="0.15">
      <c r="A34">
        <v>33</v>
      </c>
      <c r="B34" s="184" t="s">
        <v>223</v>
      </c>
      <c r="C34">
        <v>0</v>
      </c>
      <c r="D34">
        <v>0</v>
      </c>
    </row>
    <row r="35" spans="1:4" x14ac:dyDescent="0.15">
      <c r="A35">
        <v>34</v>
      </c>
      <c r="B35" s="184" t="s">
        <v>224</v>
      </c>
      <c r="C35">
        <v>0</v>
      </c>
      <c r="D35">
        <v>0</v>
      </c>
    </row>
    <row r="36" spans="1:4" x14ac:dyDescent="0.15">
      <c r="A36">
        <v>35</v>
      </c>
      <c r="B36" s="184" t="s">
        <v>225</v>
      </c>
      <c r="C36">
        <v>0</v>
      </c>
      <c r="D36">
        <v>0</v>
      </c>
    </row>
    <row r="37" spans="1:4" x14ac:dyDescent="0.15">
      <c r="A37">
        <v>36</v>
      </c>
      <c r="B37" s="184" t="s">
        <v>226</v>
      </c>
      <c r="C37">
        <v>0</v>
      </c>
      <c r="D37">
        <v>0</v>
      </c>
    </row>
    <row r="38" spans="1:4" x14ac:dyDescent="0.15">
      <c r="A38">
        <v>37</v>
      </c>
      <c r="B38" s="184" t="s">
        <v>227</v>
      </c>
      <c r="C38">
        <v>0</v>
      </c>
      <c r="D38">
        <v>0</v>
      </c>
    </row>
    <row r="39" spans="1:4" x14ac:dyDescent="0.15">
      <c r="A39">
        <v>38</v>
      </c>
      <c r="B39" s="184" t="s">
        <v>228</v>
      </c>
      <c r="C39">
        <v>0</v>
      </c>
      <c r="D39">
        <v>0</v>
      </c>
    </row>
    <row r="40" spans="1:4" x14ac:dyDescent="0.15">
      <c r="A40">
        <v>39</v>
      </c>
      <c r="B40" s="184" t="s">
        <v>229</v>
      </c>
      <c r="C40">
        <v>0</v>
      </c>
      <c r="D40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2" bestFit="1" customWidth="1"/>
    <col min="6" max="6" width="4.83203125" bestFit="1" customWidth="1"/>
    <col min="7" max="9" width="3.83203125" bestFit="1" customWidth="1"/>
    <col min="10" max="11" width="4.83203125" style="112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4" customFormat="1" ht="14" thickBot="1" x14ac:dyDescent="0.2">
      <c r="D1" s="115" t="s">
        <v>8</v>
      </c>
      <c r="E1" s="115" t="s">
        <v>0</v>
      </c>
      <c r="F1" s="116" t="s">
        <v>99</v>
      </c>
      <c r="G1" s="117" t="s">
        <v>84</v>
      </c>
      <c r="H1" s="117" t="s">
        <v>85</v>
      </c>
      <c r="I1" s="117" t="s">
        <v>86</v>
      </c>
      <c r="J1" s="117" t="s">
        <v>87</v>
      </c>
      <c r="K1" s="117" t="s">
        <v>88</v>
      </c>
      <c r="L1" s="118" t="s">
        <v>89</v>
      </c>
      <c r="M1" s="118" t="s">
        <v>93</v>
      </c>
      <c r="N1" s="118" t="s">
        <v>92</v>
      </c>
      <c r="O1" s="118" t="s">
        <v>90</v>
      </c>
      <c r="P1" s="118" t="s">
        <v>91</v>
      </c>
      <c r="Q1" s="119" t="s">
        <v>94</v>
      </c>
      <c r="R1" s="119" t="s">
        <v>95</v>
      </c>
      <c r="S1" s="119" t="s">
        <v>96</v>
      </c>
      <c r="T1" s="119" t="s">
        <v>97</v>
      </c>
      <c r="U1" s="119" t="s">
        <v>98</v>
      </c>
      <c r="V1" s="117" t="s">
        <v>100</v>
      </c>
      <c r="W1" s="117" t="s">
        <v>101</v>
      </c>
      <c r="X1" s="117" t="s">
        <v>102</v>
      </c>
      <c r="Y1" s="117" t="s">
        <v>134</v>
      </c>
      <c r="Z1" s="118" t="s">
        <v>103</v>
      </c>
      <c r="AA1" s="118" t="s">
        <v>104</v>
      </c>
      <c r="AB1" s="118" t="s">
        <v>105</v>
      </c>
      <c r="AC1" s="120" t="s">
        <v>135</v>
      </c>
      <c r="AD1" s="119" t="s">
        <v>106</v>
      </c>
      <c r="AE1" s="119" t="s">
        <v>107</v>
      </c>
      <c r="AF1" s="119" t="s">
        <v>108</v>
      </c>
      <c r="AG1" s="119" t="s">
        <v>136</v>
      </c>
      <c r="AH1" s="117" t="s">
        <v>109</v>
      </c>
      <c r="AI1" s="117" t="s">
        <v>111</v>
      </c>
      <c r="AJ1" s="117" t="s">
        <v>110</v>
      </c>
      <c r="AK1" s="118" t="s">
        <v>115</v>
      </c>
      <c r="AL1" s="118" t="s">
        <v>116</v>
      </c>
      <c r="AM1" s="118" t="s">
        <v>117</v>
      </c>
      <c r="AN1" s="119" t="s">
        <v>112</v>
      </c>
      <c r="AO1" s="119" t="s">
        <v>113</v>
      </c>
      <c r="AP1" s="119" t="s">
        <v>114</v>
      </c>
    </row>
    <row r="2" spans="1:42" x14ac:dyDescent="0.15">
      <c r="A2" s="121" t="s">
        <v>74</v>
      </c>
      <c r="B2" s="122">
        <v>1</v>
      </c>
      <c r="D2">
        <v>1</v>
      </c>
      <c r="E2" s="186" t="s">
        <v>191</v>
      </c>
      <c r="F2">
        <v>0.98</v>
      </c>
      <c r="G2">
        <v>0.8</v>
      </c>
      <c r="H2">
        <v>0.8</v>
      </c>
      <c r="I2">
        <v>0.8</v>
      </c>
      <c r="J2" s="112">
        <v>0.25</v>
      </c>
      <c r="K2" s="112">
        <v>0.05</v>
      </c>
    </row>
    <row r="3" spans="1:42" x14ac:dyDescent="0.15">
      <c r="A3" s="121" t="s">
        <v>75</v>
      </c>
      <c r="B3" s="123">
        <v>1</v>
      </c>
      <c r="D3">
        <v>2</v>
      </c>
      <c r="E3" s="186" t="s">
        <v>192</v>
      </c>
      <c r="F3">
        <v>0.98</v>
      </c>
      <c r="G3">
        <v>0.8</v>
      </c>
      <c r="H3">
        <v>0.8</v>
      </c>
      <c r="I3">
        <v>0.8</v>
      </c>
      <c r="J3" s="112">
        <v>0.25</v>
      </c>
      <c r="K3" s="112">
        <v>0.05</v>
      </c>
    </row>
    <row r="4" spans="1:42" x14ac:dyDescent="0.15">
      <c r="A4" s="121" t="s">
        <v>76</v>
      </c>
      <c r="B4" s="123">
        <v>1</v>
      </c>
      <c r="D4">
        <v>3</v>
      </c>
      <c r="E4" s="186" t="s">
        <v>193</v>
      </c>
      <c r="F4">
        <v>0.98</v>
      </c>
      <c r="G4">
        <v>0.8</v>
      </c>
      <c r="H4">
        <v>0.8</v>
      </c>
      <c r="I4">
        <v>0.8</v>
      </c>
      <c r="J4" s="112">
        <v>0.25</v>
      </c>
      <c r="K4" s="112">
        <v>0.05</v>
      </c>
    </row>
    <row r="5" spans="1:42" x14ac:dyDescent="0.15">
      <c r="A5" s="121" t="s">
        <v>77</v>
      </c>
      <c r="B5" s="123">
        <v>1</v>
      </c>
      <c r="D5">
        <v>4</v>
      </c>
      <c r="E5" s="186" t="s">
        <v>194</v>
      </c>
      <c r="F5">
        <v>0.98</v>
      </c>
      <c r="G5">
        <v>0.8</v>
      </c>
      <c r="H5">
        <v>0.8</v>
      </c>
      <c r="I5">
        <v>0.8</v>
      </c>
      <c r="J5" s="112">
        <v>0.25</v>
      </c>
      <c r="K5" s="112">
        <v>0.05</v>
      </c>
    </row>
    <row r="6" spans="1:42" x14ac:dyDescent="0.15">
      <c r="A6" s="121" t="s">
        <v>78</v>
      </c>
      <c r="B6" s="123">
        <v>1</v>
      </c>
      <c r="D6">
        <v>5</v>
      </c>
      <c r="E6" s="186" t="s">
        <v>195</v>
      </c>
      <c r="F6">
        <v>0.98</v>
      </c>
      <c r="G6">
        <v>0.8</v>
      </c>
      <c r="H6">
        <v>0.8</v>
      </c>
      <c r="I6">
        <v>0.8</v>
      </c>
      <c r="J6" s="112">
        <v>0.25</v>
      </c>
      <c r="K6" s="112">
        <v>0.05</v>
      </c>
    </row>
    <row r="7" spans="1:42" x14ac:dyDescent="0.15">
      <c r="A7" s="121" t="s">
        <v>79</v>
      </c>
      <c r="B7" s="123">
        <v>1</v>
      </c>
      <c r="D7">
        <v>6</v>
      </c>
      <c r="E7" s="186" t="s">
        <v>196</v>
      </c>
      <c r="F7">
        <v>0.98</v>
      </c>
      <c r="G7">
        <v>0.8</v>
      </c>
      <c r="H7">
        <v>0.8</v>
      </c>
      <c r="I7">
        <v>0.8</v>
      </c>
      <c r="J7" s="112">
        <v>0.25</v>
      </c>
      <c r="K7" s="112">
        <v>0.05</v>
      </c>
    </row>
    <row r="8" spans="1:42" x14ac:dyDescent="0.15">
      <c r="A8" s="121" t="s">
        <v>80</v>
      </c>
      <c r="B8" s="123">
        <v>1</v>
      </c>
      <c r="D8">
        <v>7</v>
      </c>
      <c r="E8" s="186" t="s">
        <v>197</v>
      </c>
      <c r="F8">
        <v>0.98</v>
      </c>
      <c r="G8">
        <v>0.8</v>
      </c>
      <c r="H8">
        <v>0.8</v>
      </c>
      <c r="I8">
        <v>0.8</v>
      </c>
      <c r="J8" s="112">
        <v>0.25</v>
      </c>
      <c r="K8" s="112">
        <v>0.05</v>
      </c>
    </row>
    <row r="9" spans="1:42" x14ac:dyDescent="0.15">
      <c r="A9" s="121" t="s">
        <v>81</v>
      </c>
      <c r="B9" s="123">
        <v>0.1</v>
      </c>
      <c r="C9" s="61" t="s">
        <v>150</v>
      </c>
      <c r="D9">
        <v>8</v>
      </c>
      <c r="E9" s="186" t="s">
        <v>198</v>
      </c>
      <c r="F9">
        <v>0.98</v>
      </c>
      <c r="G9">
        <v>0.8</v>
      </c>
      <c r="H9">
        <v>0.8</v>
      </c>
      <c r="I9">
        <v>0.8</v>
      </c>
      <c r="J9" s="112">
        <v>0.25</v>
      </c>
      <c r="K9" s="112">
        <v>0.05</v>
      </c>
    </row>
    <row r="10" spans="1:42" ht="14" thickBot="1" x14ac:dyDescent="0.2">
      <c r="A10" s="121" t="s">
        <v>149</v>
      </c>
      <c r="B10" s="124">
        <f>1/3</f>
        <v>0.33333333333333331</v>
      </c>
      <c r="C10" s="61" t="s">
        <v>150</v>
      </c>
      <c r="D10">
        <v>9</v>
      </c>
      <c r="E10" s="186" t="s">
        <v>199</v>
      </c>
      <c r="F10">
        <v>0.98</v>
      </c>
      <c r="G10">
        <v>0.8</v>
      </c>
      <c r="H10">
        <v>0.8</v>
      </c>
      <c r="I10">
        <v>0.8</v>
      </c>
      <c r="J10" s="112">
        <v>0.25</v>
      </c>
      <c r="K10" s="112">
        <v>0.05</v>
      </c>
    </row>
    <row r="11" spans="1:42" x14ac:dyDescent="0.15">
      <c r="D11">
        <v>10</v>
      </c>
      <c r="E11" s="186" t="s">
        <v>200</v>
      </c>
      <c r="F11">
        <v>0.98</v>
      </c>
      <c r="G11">
        <v>0.8</v>
      </c>
      <c r="H11">
        <v>0.8</v>
      </c>
      <c r="I11">
        <v>0.8</v>
      </c>
      <c r="J11" s="112">
        <v>0.25</v>
      </c>
      <c r="K11" s="112">
        <v>0.05</v>
      </c>
    </row>
    <row r="12" spans="1:42" x14ac:dyDescent="0.15">
      <c r="D12">
        <v>11</v>
      </c>
      <c r="E12" s="186" t="s">
        <v>201</v>
      </c>
      <c r="F12">
        <v>0.98</v>
      </c>
      <c r="G12">
        <v>0.8</v>
      </c>
      <c r="H12">
        <v>0.8</v>
      </c>
      <c r="I12">
        <v>0.8</v>
      </c>
      <c r="J12" s="112">
        <v>0.25</v>
      </c>
      <c r="K12" s="112">
        <v>0.05</v>
      </c>
    </row>
    <row r="13" spans="1:42" x14ac:dyDescent="0.15">
      <c r="D13">
        <v>12</v>
      </c>
      <c r="E13" s="186" t="s">
        <v>202</v>
      </c>
      <c r="F13">
        <v>0.98</v>
      </c>
      <c r="G13">
        <v>0.8</v>
      </c>
      <c r="H13">
        <v>0.8</v>
      </c>
      <c r="I13">
        <v>0.8</v>
      </c>
      <c r="J13" s="112">
        <v>0.25</v>
      </c>
      <c r="K13" s="112">
        <v>0.05</v>
      </c>
    </row>
    <row r="14" spans="1:42" x14ac:dyDescent="0.15">
      <c r="D14">
        <v>13</v>
      </c>
      <c r="E14" s="186" t="s">
        <v>203</v>
      </c>
      <c r="F14">
        <v>0.98</v>
      </c>
      <c r="G14">
        <v>0.8</v>
      </c>
      <c r="H14">
        <v>0.8</v>
      </c>
      <c r="I14">
        <v>0.8</v>
      </c>
      <c r="J14" s="112">
        <v>0.25</v>
      </c>
      <c r="K14" s="112">
        <v>0.05</v>
      </c>
    </row>
    <row r="15" spans="1:42" x14ac:dyDescent="0.15">
      <c r="D15">
        <v>14</v>
      </c>
      <c r="E15" s="186" t="s">
        <v>204</v>
      </c>
      <c r="F15">
        <v>0.98</v>
      </c>
      <c r="G15">
        <v>0.8</v>
      </c>
      <c r="H15">
        <v>0.8</v>
      </c>
      <c r="I15">
        <v>0.8</v>
      </c>
      <c r="J15" s="112">
        <v>0.25</v>
      </c>
      <c r="K15" s="112">
        <v>0.05</v>
      </c>
    </row>
    <row r="16" spans="1:42" x14ac:dyDescent="0.15">
      <c r="D16">
        <v>15</v>
      </c>
      <c r="E16" s="186" t="s">
        <v>205</v>
      </c>
      <c r="F16">
        <v>0.98</v>
      </c>
      <c r="G16">
        <v>0.8</v>
      </c>
      <c r="H16">
        <v>0.8</v>
      </c>
      <c r="I16">
        <v>0.8</v>
      </c>
      <c r="J16" s="112">
        <v>0.25</v>
      </c>
      <c r="K16" s="112">
        <v>0.05</v>
      </c>
    </row>
    <row r="17" spans="4:33" ht="15" customHeight="1" x14ac:dyDescent="0.15">
      <c r="D17">
        <v>16</v>
      </c>
      <c r="E17" s="186" t="s">
        <v>206</v>
      </c>
      <c r="F17">
        <v>0.98</v>
      </c>
      <c r="G17">
        <v>0.8</v>
      </c>
      <c r="H17">
        <v>0.8</v>
      </c>
      <c r="I17">
        <v>0.8</v>
      </c>
      <c r="J17" s="112">
        <v>0.25</v>
      </c>
      <c r="K17" s="112">
        <v>0.05</v>
      </c>
    </row>
    <row r="18" spans="4:33" ht="15" customHeight="1" x14ac:dyDescent="0.15">
      <c r="D18">
        <v>17</v>
      </c>
      <c r="E18" s="186" t="s">
        <v>207</v>
      </c>
      <c r="F18">
        <v>0.98</v>
      </c>
      <c r="G18">
        <v>0.8</v>
      </c>
      <c r="H18">
        <v>0.8</v>
      </c>
      <c r="I18">
        <v>0.8</v>
      </c>
      <c r="J18" s="112">
        <v>0.25</v>
      </c>
      <c r="K18" s="112">
        <v>0.05</v>
      </c>
    </row>
    <row r="19" spans="4:33" ht="15" customHeight="1" x14ac:dyDescent="0.15">
      <c r="D19">
        <v>18</v>
      </c>
      <c r="E19" s="186" t="s">
        <v>208</v>
      </c>
      <c r="F19">
        <v>0.98</v>
      </c>
      <c r="G19">
        <v>0.8</v>
      </c>
      <c r="H19">
        <v>0.8</v>
      </c>
      <c r="I19">
        <v>0.8</v>
      </c>
      <c r="J19" s="112">
        <v>0.25</v>
      </c>
      <c r="K19" s="112">
        <v>0.05</v>
      </c>
    </row>
    <row r="20" spans="4:33" ht="15" customHeight="1" x14ac:dyDescent="0.15">
      <c r="D20">
        <v>19</v>
      </c>
      <c r="E20" s="186" t="s">
        <v>209</v>
      </c>
      <c r="F20">
        <v>0.98</v>
      </c>
      <c r="G20">
        <v>0.8</v>
      </c>
      <c r="H20">
        <v>0.8</v>
      </c>
      <c r="I20">
        <v>0.8</v>
      </c>
      <c r="J20" s="112">
        <v>0.25</v>
      </c>
      <c r="K20" s="112">
        <v>0.05</v>
      </c>
    </row>
    <row r="21" spans="4:33" ht="15" customHeight="1" x14ac:dyDescent="0.15">
      <c r="D21">
        <v>20</v>
      </c>
      <c r="E21" s="186" t="s">
        <v>210</v>
      </c>
      <c r="F21">
        <v>0.98</v>
      </c>
      <c r="G21">
        <v>0.8</v>
      </c>
      <c r="H21">
        <v>0.8</v>
      </c>
      <c r="I21">
        <v>0.8</v>
      </c>
      <c r="J21" s="112">
        <v>0.25</v>
      </c>
      <c r="K21" s="112">
        <v>0.05</v>
      </c>
    </row>
    <row r="22" spans="4:33" ht="15" customHeight="1" x14ac:dyDescent="0.15">
      <c r="D22">
        <v>21</v>
      </c>
      <c r="E22" s="186" t="s">
        <v>211</v>
      </c>
      <c r="F22">
        <v>0.98</v>
      </c>
      <c r="G22">
        <v>0.8</v>
      </c>
      <c r="H22">
        <v>0.8</v>
      </c>
      <c r="I22">
        <v>0.8</v>
      </c>
      <c r="J22" s="112">
        <v>0.25</v>
      </c>
      <c r="K22" s="112">
        <v>0.05</v>
      </c>
    </row>
    <row r="23" spans="4:33" ht="15" customHeight="1" x14ac:dyDescent="0.15">
      <c r="D23">
        <v>22</v>
      </c>
      <c r="E23" s="186" t="s">
        <v>212</v>
      </c>
      <c r="F23">
        <v>0.98</v>
      </c>
      <c r="G23">
        <v>0.8</v>
      </c>
      <c r="H23">
        <v>0.8</v>
      </c>
      <c r="I23">
        <v>0.8</v>
      </c>
      <c r="J23" s="112">
        <v>0.25</v>
      </c>
      <c r="K23" s="112">
        <v>0.05</v>
      </c>
    </row>
    <row r="24" spans="4:33" ht="15" customHeight="1" x14ac:dyDescent="0.15">
      <c r="D24">
        <v>23</v>
      </c>
      <c r="E24" s="186" t="s">
        <v>213</v>
      </c>
      <c r="F24">
        <v>0.98</v>
      </c>
      <c r="G24">
        <v>0.8</v>
      </c>
      <c r="H24">
        <v>0.8</v>
      </c>
      <c r="I24">
        <v>0.8</v>
      </c>
      <c r="J24" s="112">
        <v>0.25</v>
      </c>
      <c r="K24" s="112">
        <v>0.05</v>
      </c>
    </row>
    <row r="25" spans="4:33" ht="15" customHeight="1" x14ac:dyDescent="0.15">
      <c r="D25">
        <v>24</v>
      </c>
      <c r="E25" s="186" t="s">
        <v>214</v>
      </c>
      <c r="F25">
        <v>0.98</v>
      </c>
      <c r="G25">
        <v>0.8</v>
      </c>
      <c r="H25">
        <v>0.8</v>
      </c>
      <c r="I25">
        <v>0.8</v>
      </c>
      <c r="J25" s="112">
        <v>0.25</v>
      </c>
      <c r="K25" s="112">
        <v>0.05</v>
      </c>
    </row>
    <row r="26" spans="4:33" ht="15" customHeight="1" x14ac:dyDescent="0.15">
      <c r="D26">
        <v>25</v>
      </c>
      <c r="E26" s="186" t="s">
        <v>215</v>
      </c>
      <c r="F26">
        <v>0.98</v>
      </c>
      <c r="G26">
        <v>0.8</v>
      </c>
      <c r="H26">
        <v>0.8</v>
      </c>
      <c r="I26">
        <v>0.8</v>
      </c>
      <c r="J26" s="112">
        <v>0.25</v>
      </c>
      <c r="K26" s="112">
        <v>0.05</v>
      </c>
    </row>
    <row r="27" spans="4:33" ht="15" customHeight="1" x14ac:dyDescent="0.15">
      <c r="D27">
        <v>26</v>
      </c>
      <c r="E27" s="186" t="s">
        <v>216</v>
      </c>
      <c r="F27">
        <v>0.98</v>
      </c>
      <c r="G27">
        <v>0.8</v>
      </c>
      <c r="H27">
        <v>0.8</v>
      </c>
      <c r="I27">
        <v>0.8</v>
      </c>
      <c r="J27" s="112">
        <v>0.25</v>
      </c>
      <c r="K27" s="112">
        <v>0.05</v>
      </c>
    </row>
    <row r="28" spans="4:33" ht="15" customHeight="1" x14ac:dyDescent="0.15">
      <c r="D28">
        <v>27</v>
      </c>
      <c r="E28" s="186" t="s">
        <v>217</v>
      </c>
      <c r="F28">
        <v>0.98</v>
      </c>
      <c r="G28">
        <v>0.8</v>
      </c>
      <c r="H28">
        <v>0.8</v>
      </c>
      <c r="I28">
        <v>0.8</v>
      </c>
      <c r="J28" s="112">
        <v>0.25</v>
      </c>
      <c r="K28" s="112">
        <v>0.05</v>
      </c>
    </row>
    <row r="29" spans="4:33" ht="15" customHeight="1" x14ac:dyDescent="0.15">
      <c r="D29">
        <v>28</v>
      </c>
      <c r="E29" s="186" t="s">
        <v>218</v>
      </c>
      <c r="F29">
        <v>0.98</v>
      </c>
      <c r="G29">
        <v>0.8</v>
      </c>
      <c r="H29">
        <v>0.8</v>
      </c>
      <c r="I29">
        <v>0.8</v>
      </c>
      <c r="J29" s="112">
        <v>0.25</v>
      </c>
      <c r="K29" s="112">
        <v>0.05</v>
      </c>
      <c r="Y29"/>
      <c r="AC29"/>
      <c r="AG29"/>
    </row>
    <row r="30" spans="4:33" ht="15" customHeight="1" x14ac:dyDescent="0.15">
      <c r="D30">
        <v>29</v>
      </c>
      <c r="E30" s="186" t="s">
        <v>219</v>
      </c>
      <c r="F30">
        <v>0.98</v>
      </c>
      <c r="G30">
        <v>0.8</v>
      </c>
      <c r="H30">
        <v>0.8</v>
      </c>
      <c r="I30">
        <v>0.8</v>
      </c>
      <c r="J30" s="112">
        <v>0.25</v>
      </c>
      <c r="K30" s="112">
        <v>0.05</v>
      </c>
      <c r="Y30"/>
      <c r="AC30"/>
      <c r="AG30"/>
    </row>
    <row r="31" spans="4:33" ht="15" customHeight="1" x14ac:dyDescent="0.15">
      <c r="D31">
        <v>30</v>
      </c>
      <c r="E31" s="186" t="s">
        <v>220</v>
      </c>
      <c r="F31">
        <v>0.98</v>
      </c>
      <c r="G31">
        <v>0.8</v>
      </c>
      <c r="H31">
        <v>0.8</v>
      </c>
      <c r="I31">
        <v>0.8</v>
      </c>
      <c r="J31" s="112">
        <v>0.25</v>
      </c>
      <c r="K31" s="112">
        <v>0.05</v>
      </c>
      <c r="Y31"/>
      <c r="AC31"/>
      <c r="AG31"/>
    </row>
    <row r="32" spans="4:33" ht="15" customHeight="1" x14ac:dyDescent="0.15">
      <c r="D32">
        <v>31</v>
      </c>
      <c r="E32" s="186" t="s">
        <v>221</v>
      </c>
      <c r="F32">
        <v>0.98</v>
      </c>
      <c r="G32">
        <v>0.8</v>
      </c>
      <c r="H32">
        <v>0.8</v>
      </c>
      <c r="I32">
        <v>0.8</v>
      </c>
      <c r="J32" s="112">
        <v>0.25</v>
      </c>
      <c r="K32" s="112">
        <v>0.05</v>
      </c>
      <c r="Y32"/>
      <c r="AC32"/>
      <c r="AG32"/>
    </row>
    <row r="33" spans="4:33" ht="15" customHeight="1" x14ac:dyDescent="0.15">
      <c r="D33">
        <v>32</v>
      </c>
      <c r="E33" s="186" t="s">
        <v>222</v>
      </c>
      <c r="F33">
        <v>0.98</v>
      </c>
      <c r="G33">
        <v>0.8</v>
      </c>
      <c r="H33">
        <v>0.8</v>
      </c>
      <c r="I33">
        <v>0.8</v>
      </c>
      <c r="J33" s="112">
        <v>0.25</v>
      </c>
      <c r="K33" s="112">
        <v>0.05</v>
      </c>
      <c r="Y33"/>
      <c r="AC33"/>
      <c r="AG33"/>
    </row>
    <row r="34" spans="4:33" ht="15" customHeight="1" x14ac:dyDescent="0.15">
      <c r="D34">
        <v>33</v>
      </c>
      <c r="E34" s="186" t="s">
        <v>223</v>
      </c>
      <c r="F34">
        <v>0.98</v>
      </c>
      <c r="G34">
        <v>0.8</v>
      </c>
      <c r="H34">
        <v>0.8</v>
      </c>
      <c r="I34">
        <v>0.8</v>
      </c>
      <c r="J34" s="112">
        <v>0.25</v>
      </c>
      <c r="K34" s="112">
        <v>0.05</v>
      </c>
      <c r="Y34"/>
      <c r="AC34"/>
      <c r="AG34"/>
    </row>
    <row r="35" spans="4:33" ht="15" customHeight="1" x14ac:dyDescent="0.15">
      <c r="D35">
        <v>34</v>
      </c>
      <c r="E35" s="186" t="s">
        <v>224</v>
      </c>
      <c r="F35">
        <v>0.98</v>
      </c>
      <c r="G35">
        <v>0.8</v>
      </c>
      <c r="H35">
        <v>0.8</v>
      </c>
      <c r="I35">
        <v>0.8</v>
      </c>
      <c r="J35" s="112">
        <v>0.25</v>
      </c>
      <c r="K35" s="112">
        <v>0.05</v>
      </c>
      <c r="Y35"/>
      <c r="AC35"/>
      <c r="AG35"/>
    </row>
    <row r="36" spans="4:33" ht="15" customHeight="1" x14ac:dyDescent="0.15">
      <c r="D36">
        <v>35</v>
      </c>
      <c r="E36" s="186" t="s">
        <v>225</v>
      </c>
      <c r="F36">
        <v>0.98</v>
      </c>
      <c r="G36">
        <v>0.8</v>
      </c>
      <c r="H36">
        <v>0.8</v>
      </c>
      <c r="I36">
        <v>0.8</v>
      </c>
      <c r="J36" s="112">
        <v>0.25</v>
      </c>
      <c r="K36" s="112">
        <v>0.05</v>
      </c>
      <c r="Y36"/>
      <c r="AC36"/>
      <c r="AG36"/>
    </row>
    <row r="37" spans="4:33" ht="15" customHeight="1" x14ac:dyDescent="0.15">
      <c r="D37">
        <v>36</v>
      </c>
      <c r="E37" s="186" t="s">
        <v>226</v>
      </c>
      <c r="F37">
        <v>0.98</v>
      </c>
      <c r="G37">
        <v>0.8</v>
      </c>
      <c r="H37">
        <v>0.8</v>
      </c>
      <c r="I37">
        <v>0.8</v>
      </c>
      <c r="J37" s="112">
        <v>0.25</v>
      </c>
      <c r="K37" s="112">
        <v>0.05</v>
      </c>
      <c r="Y37"/>
      <c r="AC37"/>
      <c r="AG37"/>
    </row>
    <row r="38" spans="4:33" ht="15" customHeight="1" x14ac:dyDescent="0.15">
      <c r="D38">
        <v>37</v>
      </c>
      <c r="E38" s="186" t="s">
        <v>227</v>
      </c>
      <c r="F38">
        <v>0.98</v>
      </c>
      <c r="G38">
        <v>0.8</v>
      </c>
      <c r="H38">
        <v>0.8</v>
      </c>
      <c r="I38">
        <v>0</v>
      </c>
      <c r="J38" s="112">
        <v>0</v>
      </c>
      <c r="K38" s="112">
        <v>0</v>
      </c>
      <c r="Y38"/>
      <c r="AC38"/>
      <c r="AG38"/>
    </row>
    <row r="39" spans="4:33" ht="15" customHeight="1" x14ac:dyDescent="0.15">
      <c r="D39">
        <v>38</v>
      </c>
      <c r="E39" s="186" t="s">
        <v>228</v>
      </c>
      <c r="F39">
        <v>0.98</v>
      </c>
      <c r="G39">
        <v>0.8</v>
      </c>
      <c r="H39">
        <v>0</v>
      </c>
      <c r="I39">
        <v>0</v>
      </c>
      <c r="J39" s="112">
        <v>0</v>
      </c>
      <c r="K39" s="112">
        <v>0</v>
      </c>
    </row>
    <row r="40" spans="4:33" ht="15" customHeight="1" x14ac:dyDescent="0.15">
      <c r="D40">
        <v>39</v>
      </c>
      <c r="E40" s="186" t="s">
        <v>229</v>
      </c>
      <c r="F40">
        <v>0.98</v>
      </c>
      <c r="G40">
        <v>0.8</v>
      </c>
      <c r="H40">
        <v>0</v>
      </c>
      <c r="I40">
        <v>0</v>
      </c>
      <c r="J40" s="112">
        <v>0</v>
      </c>
      <c r="K40" s="112">
        <v>0</v>
      </c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N41"/>
  <sheetViews>
    <sheetView workbookViewId="0">
      <selection activeCell="A3" sqref="A3"/>
    </sheetView>
  </sheetViews>
  <sheetFormatPr baseColWidth="10" defaultRowHeight="13" x14ac:dyDescent="0.15"/>
  <cols>
    <col min="1" max="1" width="22" style="110" bestFit="1" customWidth="1"/>
    <col min="2" max="37" width="3.83203125" style="110" customWidth="1"/>
    <col min="38" max="40" width="2.33203125" style="110" customWidth="1"/>
    <col min="41" max="16384" width="10.83203125" style="110"/>
  </cols>
  <sheetData>
    <row r="1" spans="1:40" x14ac:dyDescent="0.15">
      <c r="A1" s="63" t="s">
        <v>118</v>
      </c>
      <c r="B1" s="188" t="s">
        <v>191</v>
      </c>
      <c r="C1" s="188" t="s">
        <v>192</v>
      </c>
      <c r="D1" s="188" t="s">
        <v>193</v>
      </c>
      <c r="E1" s="188" t="s">
        <v>194</v>
      </c>
      <c r="F1" s="188" t="s">
        <v>195</v>
      </c>
      <c r="G1" s="188" t="s">
        <v>196</v>
      </c>
      <c r="H1" s="188" t="s">
        <v>197</v>
      </c>
      <c r="I1" s="188" t="s">
        <v>198</v>
      </c>
      <c r="J1" s="188" t="s">
        <v>199</v>
      </c>
      <c r="K1" s="188" t="s">
        <v>200</v>
      </c>
      <c r="L1" s="188" t="s">
        <v>201</v>
      </c>
      <c r="M1" s="188" t="s">
        <v>202</v>
      </c>
      <c r="N1" s="188" t="s">
        <v>203</v>
      </c>
      <c r="O1" s="188" t="s">
        <v>204</v>
      </c>
      <c r="P1" s="188" t="s">
        <v>205</v>
      </c>
      <c r="Q1" s="188" t="s">
        <v>206</v>
      </c>
      <c r="R1" s="188" t="s">
        <v>207</v>
      </c>
      <c r="S1" s="188" t="s">
        <v>208</v>
      </c>
      <c r="T1" s="188" t="s">
        <v>209</v>
      </c>
      <c r="U1" s="188" t="s">
        <v>210</v>
      </c>
      <c r="V1" s="188" t="s">
        <v>211</v>
      </c>
      <c r="W1" s="188" t="s">
        <v>212</v>
      </c>
      <c r="X1" s="188" t="s">
        <v>213</v>
      </c>
      <c r="Y1" s="188" t="s">
        <v>214</v>
      </c>
      <c r="Z1" s="188" t="s">
        <v>215</v>
      </c>
      <c r="AA1" s="188" t="s">
        <v>216</v>
      </c>
      <c r="AB1" s="188" t="s">
        <v>217</v>
      </c>
      <c r="AC1" s="188" t="s">
        <v>218</v>
      </c>
      <c r="AD1" s="188" t="s">
        <v>219</v>
      </c>
      <c r="AE1" s="188" t="s">
        <v>220</v>
      </c>
      <c r="AF1" s="188" t="s">
        <v>221</v>
      </c>
      <c r="AG1" s="188" t="s">
        <v>222</v>
      </c>
      <c r="AH1" s="188" t="s">
        <v>223</v>
      </c>
      <c r="AI1" s="188" t="s">
        <v>224</v>
      </c>
      <c r="AJ1" s="188" t="s">
        <v>225</v>
      </c>
      <c r="AK1" s="188" t="s">
        <v>226</v>
      </c>
      <c r="AL1" s="188" t="s">
        <v>227</v>
      </c>
      <c r="AM1" s="188" t="s">
        <v>228</v>
      </c>
      <c r="AN1" s="188" t="s">
        <v>229</v>
      </c>
    </row>
    <row r="2" spans="1:40" customFormat="1" x14ac:dyDescent="0.15">
      <c r="A2" s="187" t="s">
        <v>191</v>
      </c>
      <c r="B2" s="110">
        <v>0</v>
      </c>
      <c r="C2" s="110">
        <v>0</v>
      </c>
      <c r="D2" s="110">
        <v>0</v>
      </c>
      <c r="E2" s="110">
        <v>0</v>
      </c>
      <c r="F2" s="110">
        <v>0</v>
      </c>
      <c r="G2" s="110">
        <v>0</v>
      </c>
      <c r="H2" s="110">
        <v>0</v>
      </c>
      <c r="I2" s="110">
        <v>0</v>
      </c>
      <c r="J2" s="110">
        <v>0</v>
      </c>
      <c r="K2" s="110">
        <v>0</v>
      </c>
      <c r="L2" s="110">
        <v>0</v>
      </c>
      <c r="M2" s="110">
        <v>0</v>
      </c>
      <c r="N2" s="110">
        <v>0</v>
      </c>
      <c r="O2" s="110">
        <v>0</v>
      </c>
      <c r="P2" s="110">
        <v>0</v>
      </c>
      <c r="Q2" s="110">
        <v>0</v>
      </c>
      <c r="R2" s="110">
        <v>0</v>
      </c>
      <c r="S2" s="110">
        <v>0</v>
      </c>
      <c r="T2" s="110">
        <v>0</v>
      </c>
      <c r="U2" s="110">
        <v>0</v>
      </c>
      <c r="V2" s="110">
        <v>0</v>
      </c>
      <c r="W2" s="110">
        <v>0</v>
      </c>
      <c r="X2" s="110">
        <v>0</v>
      </c>
      <c r="Y2" s="110">
        <v>0</v>
      </c>
      <c r="Z2" s="110">
        <v>0</v>
      </c>
      <c r="AA2" s="110">
        <v>0</v>
      </c>
      <c r="AB2" s="110">
        <v>0</v>
      </c>
      <c r="AC2" s="110">
        <v>0</v>
      </c>
      <c r="AD2" s="110">
        <v>0</v>
      </c>
      <c r="AE2" s="110">
        <v>0</v>
      </c>
      <c r="AF2" s="110">
        <v>0</v>
      </c>
      <c r="AG2" s="110">
        <v>0</v>
      </c>
      <c r="AH2" s="110">
        <v>0</v>
      </c>
      <c r="AI2" s="110">
        <v>0</v>
      </c>
      <c r="AJ2" s="110">
        <v>0</v>
      </c>
      <c r="AK2" s="110">
        <v>0</v>
      </c>
      <c r="AL2" s="110">
        <v>0</v>
      </c>
      <c r="AM2" s="110">
        <v>0</v>
      </c>
      <c r="AN2" s="110">
        <v>0</v>
      </c>
    </row>
    <row r="3" spans="1:40" customFormat="1" x14ac:dyDescent="0.15">
      <c r="A3" s="187" t="s">
        <v>192</v>
      </c>
      <c r="B3" s="110">
        <v>0.8</v>
      </c>
      <c r="C3" s="110">
        <v>0.8</v>
      </c>
      <c r="D3" s="110">
        <v>0</v>
      </c>
      <c r="E3" s="110">
        <v>0.8</v>
      </c>
      <c r="F3" s="110">
        <v>0</v>
      </c>
      <c r="G3" s="110">
        <v>0.8</v>
      </c>
      <c r="H3" s="110">
        <v>0</v>
      </c>
      <c r="I3" s="110">
        <v>0</v>
      </c>
      <c r="J3" s="110">
        <v>0</v>
      </c>
      <c r="K3" s="110">
        <v>0</v>
      </c>
      <c r="L3" s="110">
        <v>0</v>
      </c>
      <c r="M3" s="110">
        <v>0</v>
      </c>
      <c r="N3" s="110">
        <v>0</v>
      </c>
      <c r="O3" s="110">
        <v>0</v>
      </c>
      <c r="P3" s="110">
        <v>0</v>
      </c>
      <c r="Q3" s="110">
        <v>0</v>
      </c>
      <c r="R3" s="110">
        <v>0</v>
      </c>
      <c r="S3" s="110">
        <v>0</v>
      </c>
      <c r="T3" s="110">
        <v>0</v>
      </c>
      <c r="U3" s="110">
        <v>0</v>
      </c>
      <c r="V3" s="110">
        <v>0</v>
      </c>
      <c r="W3" s="110">
        <v>0</v>
      </c>
      <c r="X3" s="110">
        <v>0</v>
      </c>
      <c r="Y3" s="110">
        <v>0</v>
      </c>
      <c r="Z3" s="110">
        <v>0</v>
      </c>
      <c r="AA3" s="110">
        <v>0</v>
      </c>
      <c r="AB3" s="110">
        <v>0</v>
      </c>
      <c r="AC3" s="110">
        <v>0</v>
      </c>
      <c r="AD3" s="110">
        <v>0</v>
      </c>
      <c r="AE3" s="110">
        <v>0</v>
      </c>
      <c r="AF3" s="110">
        <v>0</v>
      </c>
      <c r="AG3" s="110">
        <v>0</v>
      </c>
      <c r="AH3" s="110">
        <v>0</v>
      </c>
      <c r="AI3" s="110">
        <v>0</v>
      </c>
      <c r="AJ3" s="110">
        <v>0</v>
      </c>
      <c r="AK3" s="110">
        <v>0</v>
      </c>
      <c r="AL3" s="110">
        <v>0</v>
      </c>
      <c r="AM3" s="110">
        <v>0</v>
      </c>
      <c r="AN3" s="110">
        <v>0</v>
      </c>
    </row>
    <row r="4" spans="1:40" customFormat="1" x14ac:dyDescent="0.15">
      <c r="A4" s="187" t="s">
        <v>193</v>
      </c>
      <c r="B4" s="110">
        <v>0</v>
      </c>
      <c r="C4" s="110">
        <v>0</v>
      </c>
      <c r="D4" s="110">
        <v>0</v>
      </c>
      <c r="E4" s="110">
        <v>0.8</v>
      </c>
      <c r="F4" s="110">
        <v>0</v>
      </c>
      <c r="G4" s="110">
        <v>0</v>
      </c>
      <c r="H4" s="110">
        <v>0</v>
      </c>
      <c r="I4" s="110">
        <v>0</v>
      </c>
      <c r="J4" s="110">
        <v>0</v>
      </c>
      <c r="K4" s="110">
        <v>0</v>
      </c>
      <c r="L4" s="110">
        <v>0</v>
      </c>
      <c r="M4" s="110">
        <v>0</v>
      </c>
      <c r="N4" s="110">
        <v>0</v>
      </c>
      <c r="O4" s="110">
        <v>0</v>
      </c>
      <c r="P4" s="110">
        <v>0</v>
      </c>
      <c r="Q4" s="110">
        <v>0</v>
      </c>
      <c r="R4" s="110">
        <v>0</v>
      </c>
      <c r="S4" s="110">
        <v>0</v>
      </c>
      <c r="T4" s="110">
        <v>0</v>
      </c>
      <c r="U4" s="110">
        <v>0</v>
      </c>
      <c r="V4" s="110">
        <v>0</v>
      </c>
      <c r="W4" s="110">
        <v>0</v>
      </c>
      <c r="X4" s="110">
        <v>0</v>
      </c>
      <c r="Y4" s="110">
        <v>0</v>
      </c>
      <c r="Z4" s="110">
        <v>0</v>
      </c>
      <c r="AA4" s="110">
        <v>0</v>
      </c>
      <c r="AB4" s="110">
        <v>0</v>
      </c>
      <c r="AC4" s="110">
        <v>0</v>
      </c>
      <c r="AD4" s="110">
        <v>0</v>
      </c>
      <c r="AE4" s="110">
        <v>0</v>
      </c>
      <c r="AF4" s="110">
        <v>0</v>
      </c>
      <c r="AG4" s="110">
        <v>0</v>
      </c>
      <c r="AH4" s="110">
        <v>0</v>
      </c>
      <c r="AI4" s="110">
        <v>0</v>
      </c>
      <c r="AJ4" s="110">
        <v>0</v>
      </c>
      <c r="AK4" s="110">
        <v>0</v>
      </c>
      <c r="AL4" s="110">
        <v>0</v>
      </c>
      <c r="AM4" s="110">
        <v>0</v>
      </c>
      <c r="AN4" s="110">
        <v>0</v>
      </c>
    </row>
    <row r="5" spans="1:40" customFormat="1" x14ac:dyDescent="0.15">
      <c r="A5" s="187" t="s">
        <v>194</v>
      </c>
      <c r="B5" s="110">
        <v>0</v>
      </c>
      <c r="C5" s="110">
        <v>0</v>
      </c>
      <c r="D5" s="110">
        <v>0</v>
      </c>
      <c r="E5" s="110">
        <v>0</v>
      </c>
      <c r="F5" s="110">
        <v>0</v>
      </c>
      <c r="G5" s="110">
        <v>0</v>
      </c>
      <c r="H5" s="110">
        <v>0</v>
      </c>
      <c r="I5" s="110">
        <v>0</v>
      </c>
      <c r="J5" s="110">
        <v>0</v>
      </c>
      <c r="K5" s="110">
        <v>0</v>
      </c>
      <c r="L5" s="110">
        <v>0</v>
      </c>
      <c r="M5" s="110">
        <v>0</v>
      </c>
      <c r="N5" s="110">
        <v>0</v>
      </c>
      <c r="O5" s="110">
        <v>0</v>
      </c>
      <c r="P5" s="110">
        <v>0.8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</row>
    <row r="6" spans="1:40" customFormat="1" x14ac:dyDescent="0.15">
      <c r="A6" s="187" t="s">
        <v>195</v>
      </c>
      <c r="B6" s="110">
        <v>0</v>
      </c>
      <c r="C6" s="110">
        <v>0</v>
      </c>
      <c r="D6" s="110">
        <v>0</v>
      </c>
      <c r="E6" s="110">
        <v>0</v>
      </c>
      <c r="F6" s="110">
        <v>0</v>
      </c>
      <c r="G6" s="110">
        <v>0.8</v>
      </c>
      <c r="H6" s="110">
        <v>0</v>
      </c>
      <c r="I6" s="110">
        <v>0</v>
      </c>
      <c r="J6" s="110">
        <v>0</v>
      </c>
      <c r="K6" s="110">
        <v>0</v>
      </c>
      <c r="L6" s="110">
        <v>0</v>
      </c>
      <c r="M6" s="110">
        <v>0</v>
      </c>
      <c r="N6" s="110">
        <v>0</v>
      </c>
      <c r="O6" s="110">
        <v>0</v>
      </c>
      <c r="P6" s="110">
        <v>0</v>
      </c>
      <c r="Q6" s="110">
        <v>0</v>
      </c>
      <c r="R6" s="110">
        <v>0</v>
      </c>
      <c r="S6" s="110">
        <v>0</v>
      </c>
      <c r="T6" s="110">
        <v>0</v>
      </c>
      <c r="U6" s="110">
        <v>0</v>
      </c>
      <c r="V6" s="110">
        <v>0</v>
      </c>
      <c r="W6" s="110">
        <v>0</v>
      </c>
      <c r="X6" s="110">
        <v>0</v>
      </c>
      <c r="Y6" s="110">
        <v>0</v>
      </c>
      <c r="Z6" s="110">
        <v>0</v>
      </c>
      <c r="AA6" s="110">
        <v>0</v>
      </c>
      <c r="AB6" s="110">
        <v>0</v>
      </c>
      <c r="AC6" s="110">
        <v>0</v>
      </c>
      <c r="AD6" s="110">
        <v>0</v>
      </c>
      <c r="AE6" s="110">
        <v>0</v>
      </c>
      <c r="AF6" s="110">
        <v>0</v>
      </c>
      <c r="AG6" s="110">
        <v>0</v>
      </c>
      <c r="AH6" s="110">
        <v>0</v>
      </c>
      <c r="AI6" s="110">
        <v>0</v>
      </c>
      <c r="AJ6" s="110">
        <v>0</v>
      </c>
      <c r="AK6" s="110">
        <v>0</v>
      </c>
      <c r="AL6" s="110">
        <v>0</v>
      </c>
      <c r="AM6" s="110">
        <v>0</v>
      </c>
      <c r="AN6" s="110">
        <v>0</v>
      </c>
    </row>
    <row r="7" spans="1:40" customFormat="1" x14ac:dyDescent="0.15">
      <c r="A7" s="187" t="s">
        <v>196</v>
      </c>
      <c r="B7" s="110">
        <v>0</v>
      </c>
      <c r="C7" s="110">
        <v>0</v>
      </c>
      <c r="D7" s="110">
        <v>0</v>
      </c>
      <c r="E7" s="110">
        <v>0.8</v>
      </c>
      <c r="F7" s="110">
        <v>0</v>
      </c>
      <c r="G7" s="110">
        <v>0</v>
      </c>
      <c r="H7" s="110">
        <v>0</v>
      </c>
      <c r="I7" s="110">
        <v>0</v>
      </c>
      <c r="J7" s="110">
        <v>0</v>
      </c>
      <c r="K7" s="110">
        <v>0</v>
      </c>
      <c r="L7" s="110">
        <v>0</v>
      </c>
      <c r="M7" s="110">
        <v>0</v>
      </c>
      <c r="N7" s="110">
        <v>0</v>
      </c>
      <c r="O7" s="110">
        <v>0</v>
      </c>
      <c r="P7" s="110">
        <v>0</v>
      </c>
      <c r="Q7" s="110">
        <v>0</v>
      </c>
      <c r="R7" s="110">
        <v>0</v>
      </c>
      <c r="S7" s="110">
        <v>0</v>
      </c>
      <c r="T7" s="110">
        <v>0</v>
      </c>
      <c r="U7" s="110">
        <v>0</v>
      </c>
      <c r="V7" s="110">
        <v>0</v>
      </c>
      <c r="W7" s="110">
        <v>0</v>
      </c>
      <c r="X7" s="110">
        <v>0</v>
      </c>
      <c r="Y7" s="110">
        <v>0</v>
      </c>
      <c r="Z7" s="110">
        <v>0</v>
      </c>
      <c r="AA7" s="110">
        <v>0</v>
      </c>
      <c r="AB7" s="110">
        <v>0</v>
      </c>
      <c r="AC7" s="110">
        <v>0</v>
      </c>
      <c r="AD7" s="110">
        <v>0</v>
      </c>
      <c r="AE7" s="110">
        <v>0</v>
      </c>
      <c r="AF7" s="110">
        <v>0</v>
      </c>
      <c r="AG7" s="110">
        <v>0</v>
      </c>
      <c r="AH7" s="110">
        <v>0</v>
      </c>
      <c r="AI7" s="110">
        <v>0</v>
      </c>
      <c r="AJ7" s="110">
        <v>0</v>
      </c>
      <c r="AK7" s="110">
        <v>0</v>
      </c>
      <c r="AL7" s="110">
        <v>0</v>
      </c>
      <c r="AM7" s="110">
        <v>0</v>
      </c>
      <c r="AN7" s="110">
        <v>0</v>
      </c>
    </row>
    <row r="8" spans="1:40" customFormat="1" x14ac:dyDescent="0.15">
      <c r="A8" s="187" t="s">
        <v>197</v>
      </c>
      <c r="B8" s="110">
        <v>0</v>
      </c>
      <c r="C8" s="110">
        <v>0</v>
      </c>
      <c r="D8" s="110">
        <v>0</v>
      </c>
      <c r="E8" s="110">
        <v>0.8</v>
      </c>
      <c r="F8" s="110">
        <v>0</v>
      </c>
      <c r="G8" s="110">
        <v>0.8</v>
      </c>
      <c r="H8" s="110">
        <v>0</v>
      </c>
      <c r="I8" s="110">
        <v>0</v>
      </c>
      <c r="J8" s="110">
        <v>0</v>
      </c>
      <c r="K8" s="110">
        <v>0</v>
      </c>
      <c r="L8" s="110">
        <v>0</v>
      </c>
      <c r="M8" s="110">
        <v>0</v>
      </c>
      <c r="N8" s="110">
        <v>0</v>
      </c>
      <c r="O8" s="110">
        <v>0</v>
      </c>
      <c r="P8" s="110">
        <v>0</v>
      </c>
      <c r="Q8" s="110">
        <v>0</v>
      </c>
      <c r="R8" s="110">
        <v>0</v>
      </c>
      <c r="S8" s="110">
        <v>0</v>
      </c>
      <c r="T8" s="110">
        <v>0</v>
      </c>
      <c r="U8" s="110">
        <v>0</v>
      </c>
      <c r="V8" s="110">
        <v>0</v>
      </c>
      <c r="W8" s="110">
        <v>0</v>
      </c>
      <c r="X8" s="110">
        <v>0.8</v>
      </c>
      <c r="Y8" s="110">
        <v>0</v>
      </c>
      <c r="Z8" s="110">
        <v>0</v>
      </c>
      <c r="AA8" s="110">
        <v>0</v>
      </c>
      <c r="AB8" s="110">
        <v>0</v>
      </c>
      <c r="AC8" s="110">
        <v>0</v>
      </c>
      <c r="AD8" s="110">
        <v>0</v>
      </c>
      <c r="AE8" s="110">
        <v>0</v>
      </c>
      <c r="AF8" s="110">
        <v>0</v>
      </c>
      <c r="AG8" s="110">
        <v>0</v>
      </c>
      <c r="AH8" s="110">
        <v>0</v>
      </c>
      <c r="AI8" s="110">
        <v>0</v>
      </c>
      <c r="AJ8" s="110">
        <v>0</v>
      </c>
      <c r="AK8" s="110">
        <v>0</v>
      </c>
      <c r="AL8" s="110">
        <v>0</v>
      </c>
      <c r="AM8" s="110">
        <v>0</v>
      </c>
      <c r="AN8" s="110">
        <v>0</v>
      </c>
    </row>
    <row r="9" spans="1:40" customFormat="1" x14ac:dyDescent="0.15">
      <c r="A9" s="187" t="s">
        <v>198</v>
      </c>
      <c r="B9" s="110">
        <v>0</v>
      </c>
      <c r="C9" s="110">
        <v>0</v>
      </c>
      <c r="D9" s="110">
        <v>0</v>
      </c>
      <c r="E9" s="110">
        <v>0.8</v>
      </c>
      <c r="F9" s="110">
        <v>0</v>
      </c>
      <c r="G9" s="110">
        <v>0</v>
      </c>
      <c r="H9" s="110">
        <v>0</v>
      </c>
      <c r="I9" s="110">
        <v>0</v>
      </c>
      <c r="J9" s="110">
        <v>0</v>
      </c>
      <c r="K9" s="110">
        <v>0</v>
      </c>
      <c r="L9" s="110">
        <v>0</v>
      </c>
      <c r="M9" s="110">
        <v>0</v>
      </c>
      <c r="N9" s="110">
        <v>0</v>
      </c>
      <c r="O9" s="110">
        <v>0</v>
      </c>
      <c r="P9" s="110">
        <v>0</v>
      </c>
      <c r="Q9" s="110">
        <v>0</v>
      </c>
      <c r="R9" s="110">
        <v>0</v>
      </c>
      <c r="S9" s="110">
        <v>0</v>
      </c>
      <c r="T9" s="110">
        <v>0</v>
      </c>
      <c r="U9" s="110">
        <v>0</v>
      </c>
      <c r="V9" s="110">
        <v>0</v>
      </c>
      <c r="W9" s="110">
        <v>0</v>
      </c>
      <c r="X9" s="110">
        <v>0.8</v>
      </c>
      <c r="Y9" s="110">
        <v>0</v>
      </c>
      <c r="Z9" s="110">
        <v>0</v>
      </c>
      <c r="AA9" s="110">
        <v>0</v>
      </c>
      <c r="AB9" s="110">
        <v>0</v>
      </c>
      <c r="AC9" s="110">
        <v>0</v>
      </c>
      <c r="AD9" s="110">
        <v>0</v>
      </c>
      <c r="AE9" s="110">
        <v>0</v>
      </c>
      <c r="AF9" s="110">
        <v>0</v>
      </c>
      <c r="AG9" s="110">
        <v>0</v>
      </c>
      <c r="AH9" s="110">
        <v>0</v>
      </c>
      <c r="AI9" s="110">
        <v>0</v>
      </c>
      <c r="AJ9" s="110">
        <v>0</v>
      </c>
      <c r="AK9" s="110">
        <v>0</v>
      </c>
      <c r="AL9" s="110">
        <v>0</v>
      </c>
      <c r="AM9" s="110">
        <v>0</v>
      </c>
      <c r="AN9" s="110">
        <v>0</v>
      </c>
    </row>
    <row r="10" spans="1:40" customFormat="1" x14ac:dyDescent="0.15">
      <c r="A10" s="187" t="s">
        <v>199</v>
      </c>
      <c r="B10" s="110">
        <v>0</v>
      </c>
      <c r="C10" s="110">
        <v>0.8</v>
      </c>
      <c r="D10" s="110">
        <v>0.8</v>
      </c>
      <c r="E10" s="110">
        <v>0.8</v>
      </c>
      <c r="F10" s="110">
        <v>0.8</v>
      </c>
      <c r="G10" s="110">
        <v>0.8</v>
      </c>
      <c r="H10" s="110">
        <v>0.8</v>
      </c>
      <c r="I10" s="110">
        <v>0.8</v>
      </c>
      <c r="J10" s="110">
        <v>0</v>
      </c>
      <c r="K10" s="110">
        <v>0</v>
      </c>
      <c r="L10" s="110">
        <v>0.8</v>
      </c>
      <c r="M10" s="110">
        <v>0</v>
      </c>
      <c r="N10" s="110">
        <v>0</v>
      </c>
      <c r="O10" s="110">
        <v>0</v>
      </c>
      <c r="P10" s="110">
        <v>0</v>
      </c>
      <c r="Q10" s="110">
        <v>0</v>
      </c>
      <c r="R10" s="110">
        <v>0</v>
      </c>
      <c r="S10" s="110">
        <v>0</v>
      </c>
      <c r="T10" s="110">
        <v>0</v>
      </c>
      <c r="U10" s="110">
        <v>0</v>
      </c>
      <c r="V10" s="110">
        <v>0</v>
      </c>
      <c r="W10" s="110">
        <v>0</v>
      </c>
      <c r="X10" s="110">
        <v>0</v>
      </c>
      <c r="Y10" s="110">
        <v>0</v>
      </c>
      <c r="Z10" s="110">
        <v>0</v>
      </c>
      <c r="AA10" s="110">
        <v>0</v>
      </c>
      <c r="AB10" s="110">
        <v>0</v>
      </c>
      <c r="AC10" s="110">
        <v>0</v>
      </c>
      <c r="AD10" s="110">
        <v>0</v>
      </c>
      <c r="AE10" s="110">
        <v>0.8</v>
      </c>
      <c r="AF10" s="110">
        <v>0</v>
      </c>
      <c r="AG10" s="110">
        <v>0</v>
      </c>
      <c r="AH10" s="110">
        <v>0</v>
      </c>
      <c r="AI10" s="110">
        <v>0</v>
      </c>
      <c r="AJ10" s="110">
        <v>0</v>
      </c>
      <c r="AK10" s="110">
        <v>0</v>
      </c>
      <c r="AL10" s="110">
        <v>0</v>
      </c>
      <c r="AM10" s="110">
        <v>0</v>
      </c>
      <c r="AN10" s="110">
        <v>0</v>
      </c>
    </row>
    <row r="11" spans="1:40" customFormat="1" x14ac:dyDescent="0.15">
      <c r="A11" s="187" t="s">
        <v>200</v>
      </c>
      <c r="B11" s="110">
        <v>0</v>
      </c>
      <c r="C11" s="110">
        <v>0.8</v>
      </c>
      <c r="D11" s="110">
        <v>0.8</v>
      </c>
      <c r="E11" s="110">
        <v>0.8</v>
      </c>
      <c r="F11" s="110">
        <v>0.8</v>
      </c>
      <c r="G11" s="110">
        <v>0.8</v>
      </c>
      <c r="H11" s="110">
        <v>0.8</v>
      </c>
      <c r="I11" s="110">
        <v>0.8</v>
      </c>
      <c r="J11" s="110">
        <v>0.8</v>
      </c>
      <c r="K11" s="110">
        <v>0</v>
      </c>
      <c r="L11" s="110">
        <v>0.8</v>
      </c>
      <c r="M11" s="110">
        <v>0.8</v>
      </c>
      <c r="N11" s="110">
        <v>0.8</v>
      </c>
      <c r="O11" s="110">
        <v>0</v>
      </c>
      <c r="P11" s="110">
        <v>0</v>
      </c>
      <c r="Q11" s="110">
        <v>0</v>
      </c>
      <c r="R11" s="110">
        <v>0</v>
      </c>
      <c r="S11" s="110">
        <v>0</v>
      </c>
      <c r="T11" s="110">
        <v>0</v>
      </c>
      <c r="U11" s="110">
        <v>0</v>
      </c>
      <c r="V11" s="110">
        <v>0</v>
      </c>
      <c r="W11" s="110">
        <v>0</v>
      </c>
      <c r="X11" s="110">
        <v>0.8</v>
      </c>
      <c r="Y11" s="110">
        <v>0</v>
      </c>
      <c r="Z11" s="110">
        <v>0</v>
      </c>
      <c r="AA11" s="110">
        <v>0</v>
      </c>
      <c r="AB11" s="110">
        <v>0</v>
      </c>
      <c r="AC11" s="110">
        <v>0.8</v>
      </c>
      <c r="AD11" s="110">
        <v>0.8</v>
      </c>
      <c r="AE11" s="110">
        <v>0.8</v>
      </c>
      <c r="AF11" s="110">
        <v>0</v>
      </c>
      <c r="AG11" s="110">
        <v>0</v>
      </c>
      <c r="AH11" s="110">
        <v>0</v>
      </c>
      <c r="AI11" s="110">
        <v>0</v>
      </c>
      <c r="AJ11" s="110">
        <v>0</v>
      </c>
      <c r="AK11" s="110">
        <v>0</v>
      </c>
      <c r="AL11" s="110">
        <v>0</v>
      </c>
      <c r="AM11" s="110">
        <v>0</v>
      </c>
      <c r="AN11" s="110">
        <v>0</v>
      </c>
    </row>
    <row r="12" spans="1:40" customFormat="1" x14ac:dyDescent="0.15">
      <c r="A12" s="187" t="s">
        <v>201</v>
      </c>
      <c r="B12" s="110">
        <v>0</v>
      </c>
      <c r="C12" s="110">
        <v>0</v>
      </c>
      <c r="D12" s="110">
        <v>0</v>
      </c>
      <c r="E12" s="110">
        <v>0</v>
      </c>
      <c r="F12" s="110">
        <v>0</v>
      </c>
      <c r="G12" s="110">
        <v>0</v>
      </c>
      <c r="H12" s="110">
        <v>0</v>
      </c>
      <c r="I12" s="110">
        <v>0</v>
      </c>
      <c r="J12" s="110">
        <v>0.8</v>
      </c>
      <c r="K12" s="110">
        <v>0</v>
      </c>
      <c r="L12" s="110">
        <v>0</v>
      </c>
      <c r="M12" s="110">
        <v>0</v>
      </c>
      <c r="N12" s="110">
        <v>0</v>
      </c>
      <c r="O12" s="110">
        <v>0</v>
      </c>
      <c r="P12" s="110">
        <v>0</v>
      </c>
      <c r="Q12" s="110">
        <v>0</v>
      </c>
      <c r="R12" s="110">
        <v>0</v>
      </c>
      <c r="S12" s="110">
        <v>0</v>
      </c>
      <c r="T12" s="110">
        <v>0</v>
      </c>
      <c r="U12" s="110">
        <v>0</v>
      </c>
      <c r="V12" s="110">
        <v>0</v>
      </c>
      <c r="W12" s="110">
        <v>0</v>
      </c>
      <c r="X12" s="110">
        <v>0</v>
      </c>
      <c r="Y12" s="110">
        <v>0</v>
      </c>
      <c r="Z12" s="110">
        <v>0</v>
      </c>
      <c r="AA12" s="110">
        <v>0</v>
      </c>
      <c r="AB12" s="110">
        <v>0</v>
      </c>
      <c r="AC12" s="110">
        <v>0</v>
      </c>
      <c r="AD12" s="110">
        <v>0</v>
      </c>
      <c r="AE12" s="110">
        <v>0.8</v>
      </c>
      <c r="AF12" s="110">
        <v>0</v>
      </c>
      <c r="AG12" s="110">
        <v>0</v>
      </c>
      <c r="AH12" s="110">
        <v>0</v>
      </c>
      <c r="AI12" s="110">
        <v>0</v>
      </c>
      <c r="AJ12" s="110">
        <v>0</v>
      </c>
      <c r="AK12" s="110">
        <v>0</v>
      </c>
      <c r="AL12" s="110">
        <v>0</v>
      </c>
      <c r="AM12" s="110">
        <v>0</v>
      </c>
      <c r="AN12" s="110">
        <v>0</v>
      </c>
    </row>
    <row r="13" spans="1:40" customFormat="1" x14ac:dyDescent="0.15">
      <c r="A13" s="187" t="s">
        <v>202</v>
      </c>
      <c r="B13" s="110">
        <v>0</v>
      </c>
      <c r="C13" s="110">
        <v>0</v>
      </c>
      <c r="D13" s="110">
        <v>0</v>
      </c>
      <c r="E13" s="110">
        <v>0.8</v>
      </c>
      <c r="F13" s="110">
        <v>0.8</v>
      </c>
      <c r="G13" s="110">
        <v>0</v>
      </c>
      <c r="H13" s="110">
        <v>0</v>
      </c>
      <c r="I13" s="110">
        <v>0</v>
      </c>
      <c r="J13" s="110">
        <v>0.8</v>
      </c>
      <c r="K13" s="110">
        <v>0</v>
      </c>
      <c r="L13" s="110">
        <v>0.8</v>
      </c>
      <c r="M13" s="110">
        <v>0</v>
      </c>
      <c r="N13" s="110">
        <v>0.8</v>
      </c>
      <c r="O13" s="110">
        <v>0</v>
      </c>
      <c r="P13" s="110">
        <v>0</v>
      </c>
      <c r="Q13" s="110">
        <v>0</v>
      </c>
      <c r="R13" s="110">
        <v>0</v>
      </c>
      <c r="S13" s="110">
        <v>0</v>
      </c>
      <c r="T13" s="110">
        <v>0</v>
      </c>
      <c r="U13" s="110">
        <v>0</v>
      </c>
      <c r="V13" s="110">
        <v>0</v>
      </c>
      <c r="W13" s="110">
        <v>0.8</v>
      </c>
      <c r="X13" s="110">
        <v>0</v>
      </c>
      <c r="Y13" s="110">
        <v>0</v>
      </c>
      <c r="Z13" s="110">
        <v>0</v>
      </c>
      <c r="AA13" s="110">
        <v>0</v>
      </c>
      <c r="AB13" s="110">
        <v>0</v>
      </c>
      <c r="AC13" s="110">
        <v>0</v>
      </c>
      <c r="AD13" s="110">
        <v>0</v>
      </c>
      <c r="AE13" s="110">
        <v>0.8</v>
      </c>
      <c r="AF13" s="110">
        <v>0</v>
      </c>
      <c r="AG13" s="110">
        <v>0</v>
      </c>
      <c r="AH13" s="110">
        <v>0</v>
      </c>
      <c r="AI13" s="110">
        <v>0</v>
      </c>
      <c r="AJ13" s="110">
        <v>0</v>
      </c>
      <c r="AK13" s="110">
        <v>0</v>
      </c>
      <c r="AL13" s="110">
        <v>0</v>
      </c>
      <c r="AM13" s="110">
        <v>0</v>
      </c>
      <c r="AN13" s="110">
        <v>0</v>
      </c>
    </row>
    <row r="14" spans="1:40" customFormat="1" x14ac:dyDescent="0.15">
      <c r="A14" s="187" t="s">
        <v>203</v>
      </c>
      <c r="B14" s="110">
        <v>0.8</v>
      </c>
      <c r="C14" s="110">
        <v>0</v>
      </c>
      <c r="D14" s="110">
        <v>0</v>
      </c>
      <c r="E14" s="110">
        <v>0</v>
      </c>
      <c r="F14" s="110">
        <v>0</v>
      </c>
      <c r="G14" s="110">
        <v>0</v>
      </c>
      <c r="H14" s="110">
        <v>0</v>
      </c>
      <c r="I14" s="110">
        <v>0</v>
      </c>
      <c r="J14" s="110">
        <v>0</v>
      </c>
      <c r="K14" s="110">
        <v>0</v>
      </c>
      <c r="L14" s="110">
        <v>0.8</v>
      </c>
      <c r="M14" s="110">
        <v>0</v>
      </c>
      <c r="N14" s="110">
        <v>0.8</v>
      </c>
      <c r="O14" s="110">
        <v>0</v>
      </c>
      <c r="P14" s="110">
        <v>0.8</v>
      </c>
      <c r="Q14" s="110">
        <v>0</v>
      </c>
      <c r="R14" s="110">
        <v>0</v>
      </c>
      <c r="S14" s="110">
        <v>0</v>
      </c>
      <c r="T14" s="110">
        <v>0</v>
      </c>
      <c r="U14" s="110">
        <v>0</v>
      </c>
      <c r="V14" s="110">
        <v>0</v>
      </c>
      <c r="W14" s="110">
        <v>0</v>
      </c>
      <c r="X14" s="110">
        <v>0</v>
      </c>
      <c r="Y14" s="110">
        <v>0</v>
      </c>
      <c r="Z14" s="110">
        <v>0</v>
      </c>
      <c r="AA14" s="110">
        <v>0.8</v>
      </c>
      <c r="AB14" s="110">
        <v>0</v>
      </c>
      <c r="AC14" s="110">
        <v>0</v>
      </c>
      <c r="AD14" s="110">
        <v>0</v>
      </c>
      <c r="AE14" s="110">
        <v>0</v>
      </c>
      <c r="AF14" s="110">
        <v>0</v>
      </c>
      <c r="AG14" s="110">
        <v>0</v>
      </c>
      <c r="AH14" s="110">
        <v>0</v>
      </c>
      <c r="AI14" s="110">
        <v>0</v>
      </c>
      <c r="AJ14" s="110">
        <v>0</v>
      </c>
      <c r="AK14" s="110">
        <v>0</v>
      </c>
      <c r="AL14" s="110">
        <v>0</v>
      </c>
      <c r="AM14" s="110">
        <v>0</v>
      </c>
      <c r="AN14" s="110">
        <v>0</v>
      </c>
    </row>
    <row r="15" spans="1:40" customFormat="1" x14ac:dyDescent="0.15">
      <c r="A15" s="187" t="s">
        <v>204</v>
      </c>
      <c r="B15" s="110">
        <v>0.8</v>
      </c>
      <c r="C15" s="110">
        <v>0.8</v>
      </c>
      <c r="D15" s="110">
        <v>0</v>
      </c>
      <c r="E15" s="110">
        <v>0</v>
      </c>
      <c r="F15" s="110">
        <v>0</v>
      </c>
      <c r="G15" s="110">
        <v>0</v>
      </c>
      <c r="H15" s="110">
        <v>0</v>
      </c>
      <c r="I15" s="110">
        <v>0</v>
      </c>
      <c r="J15" s="110">
        <v>0</v>
      </c>
      <c r="K15" s="110">
        <v>0</v>
      </c>
      <c r="L15" s="110">
        <v>0</v>
      </c>
      <c r="M15" s="110">
        <v>0</v>
      </c>
      <c r="N15" s="110">
        <v>0.8</v>
      </c>
      <c r="O15" s="110">
        <v>0</v>
      </c>
      <c r="P15" s="110">
        <v>0</v>
      </c>
      <c r="Q15" s="110">
        <v>0</v>
      </c>
      <c r="R15" s="110">
        <v>0</v>
      </c>
      <c r="S15" s="110">
        <v>0</v>
      </c>
      <c r="T15" s="110">
        <v>0</v>
      </c>
      <c r="U15" s="110">
        <v>0</v>
      </c>
      <c r="V15" s="110">
        <v>0</v>
      </c>
      <c r="W15" s="110">
        <v>0</v>
      </c>
      <c r="X15" s="110">
        <v>0</v>
      </c>
      <c r="Y15" s="110">
        <v>0</v>
      </c>
      <c r="Z15" s="110">
        <v>0</v>
      </c>
      <c r="AA15" s="110">
        <v>0</v>
      </c>
      <c r="AB15" s="110">
        <v>0</v>
      </c>
      <c r="AC15" s="110">
        <v>0</v>
      </c>
      <c r="AD15" s="110">
        <v>0.8</v>
      </c>
      <c r="AE15" s="110">
        <v>0</v>
      </c>
      <c r="AF15" s="110">
        <v>0</v>
      </c>
      <c r="AG15" s="110">
        <v>0</v>
      </c>
      <c r="AH15" s="110">
        <v>0</v>
      </c>
      <c r="AI15" s="110">
        <v>0</v>
      </c>
      <c r="AJ15" s="110">
        <v>0</v>
      </c>
      <c r="AK15" s="110">
        <v>0</v>
      </c>
      <c r="AL15" s="110">
        <v>0</v>
      </c>
      <c r="AM15" s="110">
        <v>0</v>
      </c>
      <c r="AN15" s="110">
        <v>0</v>
      </c>
    </row>
    <row r="16" spans="1:40" customFormat="1" x14ac:dyDescent="0.15">
      <c r="A16" s="187" t="s">
        <v>205</v>
      </c>
      <c r="B16" s="110">
        <v>0</v>
      </c>
      <c r="C16" s="110">
        <v>0</v>
      </c>
      <c r="D16" s="110">
        <v>0</v>
      </c>
      <c r="E16" s="110">
        <v>0.8</v>
      </c>
      <c r="F16" s="110">
        <v>0</v>
      </c>
      <c r="G16" s="110">
        <v>0</v>
      </c>
      <c r="H16" s="110">
        <v>0</v>
      </c>
      <c r="I16" s="110">
        <v>0</v>
      </c>
      <c r="J16" s="110">
        <v>0</v>
      </c>
      <c r="K16" s="110">
        <v>0</v>
      </c>
      <c r="L16" s="110">
        <v>0</v>
      </c>
      <c r="M16" s="110">
        <v>0</v>
      </c>
      <c r="N16" s="110">
        <v>0.8</v>
      </c>
      <c r="O16" s="110">
        <v>0.8</v>
      </c>
      <c r="P16" s="110">
        <v>0</v>
      </c>
      <c r="Q16" s="110">
        <v>0</v>
      </c>
      <c r="R16" s="110">
        <v>0</v>
      </c>
      <c r="S16" s="110">
        <v>0</v>
      </c>
      <c r="T16" s="110">
        <v>0</v>
      </c>
      <c r="U16" s="110">
        <v>0</v>
      </c>
      <c r="V16" s="110">
        <v>0</v>
      </c>
      <c r="W16" s="110">
        <v>0</v>
      </c>
      <c r="X16" s="110">
        <v>0</v>
      </c>
      <c r="Y16" s="110">
        <v>0</v>
      </c>
      <c r="Z16" s="110">
        <v>0</v>
      </c>
      <c r="AA16" s="110">
        <v>0.8</v>
      </c>
      <c r="AB16" s="110">
        <v>0</v>
      </c>
      <c r="AC16" s="110">
        <v>0</v>
      </c>
      <c r="AD16" s="110">
        <v>0</v>
      </c>
      <c r="AE16" s="110">
        <v>0</v>
      </c>
      <c r="AF16" s="110">
        <v>0</v>
      </c>
      <c r="AG16" s="110">
        <v>0</v>
      </c>
      <c r="AH16" s="110">
        <v>0</v>
      </c>
      <c r="AI16" s="110">
        <v>0</v>
      </c>
      <c r="AJ16" s="110">
        <v>0</v>
      </c>
      <c r="AK16" s="110">
        <v>0</v>
      </c>
      <c r="AL16" s="110">
        <v>0</v>
      </c>
      <c r="AM16" s="110">
        <v>0</v>
      </c>
      <c r="AN16" s="110">
        <v>0</v>
      </c>
    </row>
    <row r="17" spans="1:40" customFormat="1" x14ac:dyDescent="0.15">
      <c r="A17" s="187" t="s">
        <v>206</v>
      </c>
      <c r="B17" s="110">
        <v>0</v>
      </c>
      <c r="C17" s="110">
        <v>0</v>
      </c>
      <c r="D17" s="110">
        <v>0</v>
      </c>
      <c r="E17" s="110">
        <v>0.8</v>
      </c>
      <c r="F17" s="110">
        <v>0.8</v>
      </c>
      <c r="G17" s="110">
        <v>0</v>
      </c>
      <c r="H17" s="110">
        <v>0</v>
      </c>
      <c r="I17" s="110">
        <v>0</v>
      </c>
      <c r="J17" s="110">
        <v>0</v>
      </c>
      <c r="K17" s="110">
        <v>0</v>
      </c>
      <c r="L17" s="110">
        <v>0</v>
      </c>
      <c r="M17" s="110">
        <v>0</v>
      </c>
      <c r="N17" s="110">
        <v>0.8</v>
      </c>
      <c r="O17" s="110">
        <v>0</v>
      </c>
      <c r="P17" s="110">
        <v>0</v>
      </c>
      <c r="Q17" s="110">
        <v>0</v>
      </c>
      <c r="R17" s="110">
        <v>0</v>
      </c>
      <c r="S17" s="110">
        <v>0</v>
      </c>
      <c r="T17" s="110">
        <v>0</v>
      </c>
      <c r="U17" s="110">
        <v>0</v>
      </c>
      <c r="V17" s="110">
        <v>0</v>
      </c>
      <c r="W17" s="110">
        <v>0</v>
      </c>
      <c r="X17" s="110">
        <v>0</v>
      </c>
      <c r="Y17" s="110">
        <v>0</v>
      </c>
      <c r="Z17" s="110">
        <v>0</v>
      </c>
      <c r="AA17" s="110">
        <v>0</v>
      </c>
      <c r="AB17" s="110">
        <v>0</v>
      </c>
      <c r="AC17" s="110">
        <v>0</v>
      </c>
      <c r="AD17" s="110">
        <v>0</v>
      </c>
      <c r="AE17" s="110">
        <v>0</v>
      </c>
      <c r="AF17" s="110">
        <v>0</v>
      </c>
      <c r="AG17" s="110">
        <v>0</v>
      </c>
      <c r="AH17" s="110">
        <v>0</v>
      </c>
      <c r="AI17" s="110">
        <v>0</v>
      </c>
      <c r="AJ17" s="110">
        <v>0</v>
      </c>
      <c r="AK17" s="110">
        <v>0</v>
      </c>
      <c r="AL17" s="110">
        <v>0</v>
      </c>
      <c r="AM17" s="110">
        <v>0</v>
      </c>
      <c r="AN17" s="110">
        <v>0</v>
      </c>
    </row>
    <row r="18" spans="1:40" customFormat="1" x14ac:dyDescent="0.15">
      <c r="A18" s="187" t="s">
        <v>207</v>
      </c>
      <c r="B18" s="110">
        <v>0.8</v>
      </c>
      <c r="C18" s="110">
        <v>0.8</v>
      </c>
      <c r="D18" s="110">
        <v>0</v>
      </c>
      <c r="E18" s="110">
        <v>0.8</v>
      </c>
      <c r="F18" s="110">
        <v>0</v>
      </c>
      <c r="G18" s="110">
        <v>0</v>
      </c>
      <c r="H18" s="110">
        <v>0</v>
      </c>
      <c r="I18" s="110">
        <v>0.8</v>
      </c>
      <c r="J18" s="110">
        <v>0</v>
      </c>
      <c r="K18" s="110">
        <v>0</v>
      </c>
      <c r="L18" s="110">
        <v>0</v>
      </c>
      <c r="M18" s="110">
        <v>0</v>
      </c>
      <c r="N18" s="110">
        <v>0</v>
      </c>
      <c r="O18" s="110">
        <v>0</v>
      </c>
      <c r="P18" s="110">
        <v>0.8</v>
      </c>
      <c r="Q18" s="110">
        <v>0</v>
      </c>
      <c r="R18" s="110">
        <v>0</v>
      </c>
      <c r="S18" s="110">
        <v>0</v>
      </c>
      <c r="T18" s="110">
        <v>0</v>
      </c>
      <c r="U18" s="110">
        <v>0</v>
      </c>
      <c r="V18" s="110">
        <v>0</v>
      </c>
      <c r="W18" s="110">
        <v>0.8</v>
      </c>
      <c r="X18" s="110">
        <v>0</v>
      </c>
      <c r="Y18" s="110">
        <v>0</v>
      </c>
      <c r="Z18" s="110">
        <v>0</v>
      </c>
      <c r="AA18" s="110">
        <v>0</v>
      </c>
      <c r="AB18" s="110">
        <v>0</v>
      </c>
      <c r="AC18" s="110">
        <v>0</v>
      </c>
      <c r="AD18" s="110">
        <v>0</v>
      </c>
      <c r="AE18" s="110">
        <v>0</v>
      </c>
      <c r="AF18" s="110">
        <v>0</v>
      </c>
      <c r="AG18" s="110">
        <v>0</v>
      </c>
      <c r="AH18" s="110">
        <v>0</v>
      </c>
      <c r="AI18" s="110">
        <v>0</v>
      </c>
      <c r="AJ18" s="110">
        <v>0</v>
      </c>
      <c r="AK18" s="110">
        <v>0</v>
      </c>
      <c r="AL18" s="110">
        <v>0</v>
      </c>
      <c r="AM18" s="110">
        <v>0</v>
      </c>
      <c r="AN18" s="110">
        <v>0</v>
      </c>
    </row>
    <row r="19" spans="1:40" customFormat="1" x14ac:dyDescent="0.15">
      <c r="A19" s="187" t="s">
        <v>208</v>
      </c>
      <c r="B19" s="110">
        <v>0.8</v>
      </c>
      <c r="C19" s="110">
        <v>0.8</v>
      </c>
      <c r="D19" s="110">
        <v>0</v>
      </c>
      <c r="E19" s="110">
        <v>0.8</v>
      </c>
      <c r="F19" s="110">
        <v>0.8</v>
      </c>
      <c r="G19" s="110">
        <v>0</v>
      </c>
      <c r="H19" s="110">
        <v>0.8</v>
      </c>
      <c r="I19" s="110">
        <v>0.8</v>
      </c>
      <c r="J19" s="110">
        <v>0</v>
      </c>
      <c r="K19" s="110">
        <v>0</v>
      </c>
      <c r="L19" s="110">
        <v>0</v>
      </c>
      <c r="M19" s="110">
        <v>0</v>
      </c>
      <c r="N19" s="110">
        <v>0.8</v>
      </c>
      <c r="O19" s="110">
        <v>0</v>
      </c>
      <c r="P19" s="110">
        <v>0.8</v>
      </c>
      <c r="Q19" s="110">
        <v>0</v>
      </c>
      <c r="R19" s="110">
        <v>0.8</v>
      </c>
      <c r="S19" s="110">
        <v>0</v>
      </c>
      <c r="T19" s="110">
        <v>0.8</v>
      </c>
      <c r="U19" s="110">
        <v>0</v>
      </c>
      <c r="V19" s="110">
        <v>0</v>
      </c>
      <c r="W19" s="110">
        <v>0.8</v>
      </c>
      <c r="X19" s="110">
        <v>0.8</v>
      </c>
      <c r="Y19" s="110">
        <v>0</v>
      </c>
      <c r="Z19" s="110">
        <v>0</v>
      </c>
      <c r="AA19" s="110">
        <v>0</v>
      </c>
      <c r="AB19" s="110">
        <v>0</v>
      </c>
      <c r="AC19" s="110">
        <v>0</v>
      </c>
      <c r="AD19" s="110">
        <v>0.8</v>
      </c>
      <c r="AE19" s="110">
        <v>0.8</v>
      </c>
      <c r="AF19" s="110">
        <v>0</v>
      </c>
      <c r="AG19" s="110">
        <v>0</v>
      </c>
      <c r="AH19" s="110">
        <v>0</v>
      </c>
      <c r="AI19" s="110">
        <v>0</v>
      </c>
      <c r="AJ19" s="110">
        <v>0</v>
      </c>
      <c r="AK19" s="110">
        <v>0</v>
      </c>
      <c r="AL19" s="110">
        <v>0</v>
      </c>
      <c r="AM19" s="110">
        <v>0</v>
      </c>
      <c r="AN19" s="110">
        <v>0</v>
      </c>
    </row>
    <row r="20" spans="1:40" customFormat="1" x14ac:dyDescent="0.15">
      <c r="A20" s="187" t="s">
        <v>209</v>
      </c>
      <c r="B20" s="110">
        <v>0.8</v>
      </c>
      <c r="C20" s="110">
        <v>0.8</v>
      </c>
      <c r="D20" s="110">
        <v>0.8</v>
      </c>
      <c r="E20" s="110">
        <v>0.8</v>
      </c>
      <c r="F20" s="110">
        <v>0</v>
      </c>
      <c r="G20" s="110">
        <v>0</v>
      </c>
      <c r="H20" s="110">
        <v>0</v>
      </c>
      <c r="I20" s="110">
        <v>0</v>
      </c>
      <c r="J20" s="110">
        <v>0</v>
      </c>
      <c r="K20" s="110">
        <v>0</v>
      </c>
      <c r="L20" s="110">
        <v>0</v>
      </c>
      <c r="M20" s="110">
        <v>0</v>
      </c>
      <c r="N20" s="110">
        <v>0.8</v>
      </c>
      <c r="O20" s="110">
        <v>0</v>
      </c>
      <c r="P20" s="110">
        <v>0</v>
      </c>
      <c r="Q20" s="110">
        <v>0</v>
      </c>
      <c r="R20" s="110">
        <v>0</v>
      </c>
      <c r="S20" s="110">
        <v>0</v>
      </c>
      <c r="T20" s="110">
        <v>0</v>
      </c>
      <c r="U20" s="110">
        <v>0</v>
      </c>
      <c r="V20" s="110">
        <v>0</v>
      </c>
      <c r="W20" s="110">
        <v>0.8</v>
      </c>
      <c r="X20" s="110">
        <v>0.8</v>
      </c>
      <c r="Y20" s="110">
        <v>0</v>
      </c>
      <c r="Z20" s="110">
        <v>0</v>
      </c>
      <c r="AA20" s="110">
        <v>0</v>
      </c>
      <c r="AB20" s="110">
        <v>0</v>
      </c>
      <c r="AC20" s="110">
        <v>0</v>
      </c>
      <c r="AD20" s="110">
        <v>0</v>
      </c>
      <c r="AE20" s="110">
        <v>0.8</v>
      </c>
      <c r="AF20" s="110">
        <v>0</v>
      </c>
      <c r="AG20" s="110">
        <v>0</v>
      </c>
      <c r="AH20" s="110">
        <v>0</v>
      </c>
      <c r="AI20" s="110">
        <v>0</v>
      </c>
      <c r="AJ20" s="110">
        <v>0</v>
      </c>
      <c r="AK20" s="110">
        <v>0</v>
      </c>
      <c r="AL20" s="110">
        <v>0</v>
      </c>
      <c r="AM20" s="110">
        <v>0</v>
      </c>
      <c r="AN20" s="110">
        <v>0</v>
      </c>
    </row>
    <row r="21" spans="1:40" customFormat="1" x14ac:dyDescent="0.15">
      <c r="A21" s="187" t="s">
        <v>210</v>
      </c>
      <c r="B21" s="110">
        <v>0.8</v>
      </c>
      <c r="C21" s="110">
        <v>0.8</v>
      </c>
      <c r="D21" s="110">
        <v>0.8</v>
      </c>
      <c r="E21" s="110">
        <v>0.8</v>
      </c>
      <c r="F21" s="110">
        <v>0.8</v>
      </c>
      <c r="G21" s="110">
        <v>0</v>
      </c>
      <c r="H21" s="110">
        <v>0.8</v>
      </c>
      <c r="I21" s="110">
        <v>0.8</v>
      </c>
      <c r="J21" s="110">
        <v>0</v>
      </c>
      <c r="K21" s="110">
        <v>0</v>
      </c>
      <c r="L21" s="110">
        <v>0</v>
      </c>
      <c r="M21" s="110">
        <v>0</v>
      </c>
      <c r="N21" s="110">
        <v>0.8</v>
      </c>
      <c r="O21" s="110">
        <v>0</v>
      </c>
      <c r="P21" s="110">
        <v>0.8</v>
      </c>
      <c r="Q21" s="110">
        <v>0.8</v>
      </c>
      <c r="R21" s="110">
        <v>0.8</v>
      </c>
      <c r="S21" s="110">
        <v>0</v>
      </c>
      <c r="T21" s="110">
        <v>0.8</v>
      </c>
      <c r="U21" s="110">
        <v>0</v>
      </c>
      <c r="V21" s="110">
        <v>0</v>
      </c>
      <c r="W21" s="110">
        <v>0.8</v>
      </c>
      <c r="X21" s="110">
        <v>0.8</v>
      </c>
      <c r="Y21" s="110">
        <v>0</v>
      </c>
      <c r="Z21" s="110">
        <v>0</v>
      </c>
      <c r="AA21" s="110">
        <v>0.8</v>
      </c>
      <c r="AB21" s="110">
        <v>0</v>
      </c>
      <c r="AC21" s="110">
        <v>0.8</v>
      </c>
      <c r="AD21" s="110">
        <v>0.8</v>
      </c>
      <c r="AE21" s="110">
        <v>0.8</v>
      </c>
      <c r="AF21" s="110">
        <v>0</v>
      </c>
      <c r="AG21" s="110">
        <v>0</v>
      </c>
      <c r="AH21" s="110">
        <v>0</v>
      </c>
      <c r="AI21" s="110">
        <v>0</v>
      </c>
      <c r="AJ21" s="110">
        <v>0</v>
      </c>
      <c r="AK21" s="110">
        <v>0</v>
      </c>
      <c r="AL21" s="110">
        <v>0</v>
      </c>
      <c r="AM21" s="110">
        <v>0</v>
      </c>
      <c r="AN21" s="110">
        <v>0</v>
      </c>
    </row>
    <row r="22" spans="1:40" customFormat="1" x14ac:dyDescent="0.15">
      <c r="A22" s="187" t="s">
        <v>211</v>
      </c>
      <c r="B22" s="110">
        <v>0.8</v>
      </c>
      <c r="C22" s="110">
        <v>0.8</v>
      </c>
      <c r="D22" s="110">
        <v>0.8</v>
      </c>
      <c r="E22" s="110">
        <v>0.8</v>
      </c>
      <c r="F22" s="110">
        <v>0</v>
      </c>
      <c r="G22" s="110">
        <v>0</v>
      </c>
      <c r="H22" s="110">
        <v>0.8</v>
      </c>
      <c r="I22" s="110">
        <v>0.8</v>
      </c>
      <c r="J22" s="110">
        <v>0</v>
      </c>
      <c r="K22" s="110">
        <v>0</v>
      </c>
      <c r="L22" s="110">
        <v>0</v>
      </c>
      <c r="M22" s="110">
        <v>0</v>
      </c>
      <c r="N22" s="110">
        <v>0.8</v>
      </c>
      <c r="O22" s="110">
        <v>0</v>
      </c>
      <c r="P22" s="110">
        <v>0.8</v>
      </c>
      <c r="Q22" s="110">
        <v>0</v>
      </c>
      <c r="R22" s="110">
        <v>0</v>
      </c>
      <c r="S22" s="110">
        <v>0</v>
      </c>
      <c r="T22" s="110">
        <v>0</v>
      </c>
      <c r="U22" s="110">
        <v>0</v>
      </c>
      <c r="V22" s="110">
        <v>0</v>
      </c>
      <c r="W22" s="110">
        <v>0</v>
      </c>
      <c r="X22" s="110">
        <v>0</v>
      </c>
      <c r="Y22" s="110">
        <v>0</v>
      </c>
      <c r="Z22" s="110">
        <v>0</v>
      </c>
      <c r="AA22" s="110">
        <v>0</v>
      </c>
      <c r="AB22" s="110">
        <v>0</v>
      </c>
      <c r="AC22" s="110">
        <v>0</v>
      </c>
      <c r="AD22" s="110">
        <v>0</v>
      </c>
      <c r="AE22" s="110">
        <v>0</v>
      </c>
      <c r="AF22" s="110">
        <v>0</v>
      </c>
      <c r="AG22" s="110">
        <v>0</v>
      </c>
      <c r="AH22" s="110">
        <v>0</v>
      </c>
      <c r="AI22" s="110">
        <v>0</v>
      </c>
      <c r="AJ22" s="110">
        <v>0</v>
      </c>
      <c r="AK22" s="110">
        <v>0</v>
      </c>
      <c r="AL22" s="110">
        <v>0</v>
      </c>
      <c r="AM22" s="110">
        <v>0</v>
      </c>
      <c r="AN22" s="110">
        <v>0</v>
      </c>
    </row>
    <row r="23" spans="1:40" customFormat="1" x14ac:dyDescent="0.15">
      <c r="A23" s="187" t="s">
        <v>212</v>
      </c>
      <c r="B23" s="110">
        <v>0.8</v>
      </c>
      <c r="C23" s="110">
        <v>0</v>
      </c>
      <c r="D23" s="110">
        <v>0</v>
      </c>
      <c r="E23" s="110">
        <v>0.8</v>
      </c>
      <c r="F23" s="110">
        <v>0.8</v>
      </c>
      <c r="G23" s="110">
        <v>0</v>
      </c>
      <c r="H23" s="110">
        <v>0.8</v>
      </c>
      <c r="I23" s="110">
        <v>0</v>
      </c>
      <c r="J23" s="110">
        <v>0</v>
      </c>
      <c r="K23" s="110">
        <v>0</v>
      </c>
      <c r="L23" s="110">
        <v>0</v>
      </c>
      <c r="M23" s="110">
        <v>0</v>
      </c>
      <c r="N23" s="110">
        <v>0.8</v>
      </c>
      <c r="O23" s="110">
        <v>0</v>
      </c>
      <c r="P23" s="110">
        <v>0.8</v>
      </c>
      <c r="Q23" s="110">
        <v>0</v>
      </c>
      <c r="R23" s="110">
        <v>0</v>
      </c>
      <c r="S23" s="110">
        <v>0</v>
      </c>
      <c r="T23" s="110">
        <v>0</v>
      </c>
      <c r="U23" s="110">
        <v>0</v>
      </c>
      <c r="V23" s="110">
        <v>0</v>
      </c>
      <c r="W23" s="110">
        <v>0</v>
      </c>
      <c r="X23" s="110">
        <v>0</v>
      </c>
      <c r="Y23" s="110">
        <v>0</v>
      </c>
      <c r="Z23" s="110">
        <v>0</v>
      </c>
      <c r="AA23" s="110">
        <v>0</v>
      </c>
      <c r="AB23" s="110">
        <v>0</v>
      </c>
      <c r="AC23" s="110">
        <v>0</v>
      </c>
      <c r="AD23" s="110">
        <v>0</v>
      </c>
      <c r="AE23" s="110">
        <v>0</v>
      </c>
      <c r="AF23" s="110">
        <v>0</v>
      </c>
      <c r="AG23" s="110">
        <v>0</v>
      </c>
      <c r="AH23" s="110">
        <v>0</v>
      </c>
      <c r="AI23" s="110">
        <v>0</v>
      </c>
      <c r="AJ23" s="110">
        <v>0</v>
      </c>
      <c r="AK23" s="110">
        <v>0</v>
      </c>
      <c r="AL23" s="110">
        <v>0</v>
      </c>
      <c r="AM23" s="110">
        <v>0</v>
      </c>
      <c r="AN23" s="110">
        <v>0</v>
      </c>
    </row>
    <row r="24" spans="1:40" customFormat="1" x14ac:dyDescent="0.15">
      <c r="A24" s="187" t="s">
        <v>213</v>
      </c>
      <c r="B24" s="110">
        <v>0</v>
      </c>
      <c r="C24" s="110">
        <v>0</v>
      </c>
      <c r="D24" s="110">
        <v>0</v>
      </c>
      <c r="E24" s="110">
        <v>0.8</v>
      </c>
      <c r="F24" s="110">
        <v>0</v>
      </c>
      <c r="G24" s="110">
        <v>0</v>
      </c>
      <c r="H24" s="110">
        <v>0</v>
      </c>
      <c r="I24" s="110">
        <v>0</v>
      </c>
      <c r="J24" s="110">
        <v>0</v>
      </c>
      <c r="K24" s="110">
        <v>0</v>
      </c>
      <c r="L24" s="110">
        <v>0</v>
      </c>
      <c r="M24" s="110">
        <v>0</v>
      </c>
      <c r="N24" s="110">
        <v>0</v>
      </c>
      <c r="O24" s="110">
        <v>0</v>
      </c>
      <c r="P24" s="110">
        <v>0</v>
      </c>
      <c r="Q24" s="110">
        <v>0</v>
      </c>
      <c r="R24" s="110">
        <v>0</v>
      </c>
      <c r="S24" s="110">
        <v>0</v>
      </c>
      <c r="T24" s="110">
        <v>0</v>
      </c>
      <c r="U24" s="110">
        <v>0</v>
      </c>
      <c r="V24" s="110">
        <v>0</v>
      </c>
      <c r="W24" s="110">
        <v>0</v>
      </c>
      <c r="X24" s="110">
        <v>0.8</v>
      </c>
      <c r="Y24" s="110">
        <v>0</v>
      </c>
      <c r="Z24" s="110">
        <v>0</v>
      </c>
      <c r="AA24" s="110">
        <v>0</v>
      </c>
      <c r="AB24" s="110">
        <v>0</v>
      </c>
      <c r="AC24" s="110">
        <v>0</v>
      </c>
      <c r="AD24" s="110">
        <v>0</v>
      </c>
      <c r="AE24" s="110">
        <v>0</v>
      </c>
      <c r="AF24" s="110">
        <v>0</v>
      </c>
      <c r="AG24" s="110">
        <v>0</v>
      </c>
      <c r="AH24" s="110">
        <v>0</v>
      </c>
      <c r="AI24" s="110">
        <v>0</v>
      </c>
      <c r="AJ24" s="110">
        <v>0</v>
      </c>
      <c r="AK24" s="110">
        <v>0</v>
      </c>
      <c r="AL24" s="110">
        <v>0</v>
      </c>
      <c r="AM24" s="110">
        <v>0</v>
      </c>
      <c r="AN24" s="110">
        <v>0</v>
      </c>
    </row>
    <row r="25" spans="1:40" customFormat="1" x14ac:dyDescent="0.15">
      <c r="A25" s="187" t="s">
        <v>214</v>
      </c>
      <c r="B25" s="110">
        <v>0</v>
      </c>
      <c r="C25" s="110">
        <v>0</v>
      </c>
      <c r="D25" s="110">
        <v>0</v>
      </c>
      <c r="E25" s="110">
        <v>0.8</v>
      </c>
      <c r="F25" s="110">
        <v>0</v>
      </c>
      <c r="G25" s="110">
        <v>0</v>
      </c>
      <c r="H25" s="110">
        <v>0</v>
      </c>
      <c r="I25" s="110">
        <v>0</v>
      </c>
      <c r="J25" s="110">
        <v>0</v>
      </c>
      <c r="K25" s="110">
        <v>0</v>
      </c>
      <c r="L25" s="110">
        <v>0</v>
      </c>
      <c r="M25" s="110">
        <v>0</v>
      </c>
      <c r="N25" s="110">
        <v>0</v>
      </c>
      <c r="O25" s="110">
        <v>0</v>
      </c>
      <c r="P25" s="110">
        <v>0</v>
      </c>
      <c r="Q25" s="110">
        <v>0</v>
      </c>
      <c r="R25" s="110">
        <v>0</v>
      </c>
      <c r="S25" s="110">
        <v>0</v>
      </c>
      <c r="T25" s="110">
        <v>0</v>
      </c>
      <c r="U25" s="110">
        <v>0</v>
      </c>
      <c r="V25" s="110">
        <v>0</v>
      </c>
      <c r="W25" s="110">
        <v>0</v>
      </c>
      <c r="X25" s="110">
        <v>0.8</v>
      </c>
      <c r="Y25" s="110">
        <v>0</v>
      </c>
      <c r="Z25" s="110">
        <v>0</v>
      </c>
      <c r="AA25" s="110">
        <v>0</v>
      </c>
      <c r="AB25" s="110">
        <v>0</v>
      </c>
      <c r="AC25" s="110">
        <v>0</v>
      </c>
      <c r="AD25" s="110">
        <v>0</v>
      </c>
      <c r="AE25" s="110">
        <v>0</v>
      </c>
      <c r="AF25" s="110">
        <v>0</v>
      </c>
      <c r="AG25" s="110">
        <v>0</v>
      </c>
      <c r="AH25" s="110">
        <v>0</v>
      </c>
      <c r="AI25" s="110">
        <v>0</v>
      </c>
      <c r="AJ25" s="110">
        <v>0</v>
      </c>
      <c r="AK25" s="110">
        <v>0</v>
      </c>
      <c r="AL25" s="110">
        <v>0</v>
      </c>
      <c r="AM25" s="110">
        <v>0</v>
      </c>
      <c r="AN25" s="110">
        <v>0</v>
      </c>
    </row>
    <row r="26" spans="1:40" customFormat="1" x14ac:dyDescent="0.15">
      <c r="A26" s="187" t="s">
        <v>215</v>
      </c>
      <c r="B26" s="110">
        <v>0.8</v>
      </c>
      <c r="C26" s="110">
        <v>0.8</v>
      </c>
      <c r="D26" s="110">
        <v>0</v>
      </c>
      <c r="E26" s="110">
        <v>0.8</v>
      </c>
      <c r="F26" s="110">
        <v>0.8</v>
      </c>
      <c r="G26" s="110">
        <v>0</v>
      </c>
      <c r="H26" s="110">
        <v>0.8</v>
      </c>
      <c r="I26" s="110">
        <v>0.8</v>
      </c>
      <c r="J26" s="110">
        <v>0</v>
      </c>
      <c r="K26" s="110">
        <v>0</v>
      </c>
      <c r="L26" s="110">
        <v>0</v>
      </c>
      <c r="M26" s="110">
        <v>0</v>
      </c>
      <c r="N26" s="110">
        <v>0</v>
      </c>
      <c r="O26" s="110">
        <v>0</v>
      </c>
      <c r="P26" s="110">
        <v>0</v>
      </c>
      <c r="Q26" s="110">
        <v>0</v>
      </c>
      <c r="R26" s="110">
        <v>0</v>
      </c>
      <c r="S26" s="110">
        <v>0</v>
      </c>
      <c r="T26" s="110">
        <v>0</v>
      </c>
      <c r="U26" s="110">
        <v>0</v>
      </c>
      <c r="V26" s="110">
        <v>0</v>
      </c>
      <c r="W26" s="110">
        <v>0</v>
      </c>
      <c r="X26" s="110">
        <v>0.8</v>
      </c>
      <c r="Y26" s="110">
        <v>0.8</v>
      </c>
      <c r="Z26" s="110">
        <v>0</v>
      </c>
      <c r="AA26" s="110">
        <v>0</v>
      </c>
      <c r="AB26" s="110">
        <v>0</v>
      </c>
      <c r="AC26" s="110">
        <v>0</v>
      </c>
      <c r="AD26" s="110">
        <v>0</v>
      </c>
      <c r="AE26" s="110">
        <v>0</v>
      </c>
      <c r="AF26" s="110">
        <v>0</v>
      </c>
      <c r="AG26" s="110">
        <v>0</v>
      </c>
      <c r="AH26" s="110">
        <v>0</v>
      </c>
      <c r="AI26" s="110">
        <v>0</v>
      </c>
      <c r="AJ26" s="110">
        <v>0</v>
      </c>
      <c r="AK26" s="110">
        <v>0</v>
      </c>
      <c r="AL26" s="110">
        <v>0</v>
      </c>
      <c r="AM26" s="110">
        <v>0</v>
      </c>
      <c r="AN26" s="110">
        <v>0</v>
      </c>
    </row>
    <row r="27" spans="1:40" customFormat="1" x14ac:dyDescent="0.15">
      <c r="A27" s="187" t="s">
        <v>216</v>
      </c>
      <c r="B27" s="110">
        <v>0.8</v>
      </c>
      <c r="C27" s="110">
        <v>0.8</v>
      </c>
      <c r="D27" s="110">
        <v>0</v>
      </c>
      <c r="E27" s="110">
        <v>0.8</v>
      </c>
      <c r="F27" s="110">
        <v>0.8</v>
      </c>
      <c r="G27" s="110">
        <v>0</v>
      </c>
      <c r="H27" s="110">
        <v>0.8</v>
      </c>
      <c r="I27" s="110">
        <v>0.8</v>
      </c>
      <c r="J27" s="110">
        <v>0</v>
      </c>
      <c r="K27" s="110">
        <v>0</v>
      </c>
      <c r="L27" s="110">
        <v>0</v>
      </c>
      <c r="M27" s="110">
        <v>0</v>
      </c>
      <c r="N27" s="110">
        <v>0.8</v>
      </c>
      <c r="O27" s="110">
        <v>0</v>
      </c>
      <c r="P27" s="110">
        <v>0.8</v>
      </c>
      <c r="Q27" s="110">
        <v>0</v>
      </c>
      <c r="R27" s="110">
        <v>0</v>
      </c>
      <c r="S27" s="110">
        <v>0</v>
      </c>
      <c r="T27" s="110">
        <v>0</v>
      </c>
      <c r="U27" s="110">
        <v>0</v>
      </c>
      <c r="V27" s="110">
        <v>0</v>
      </c>
      <c r="W27" s="110">
        <v>0.8</v>
      </c>
      <c r="X27" s="110">
        <v>0.8</v>
      </c>
      <c r="Y27" s="110">
        <v>0</v>
      </c>
      <c r="Z27" s="110">
        <v>0</v>
      </c>
      <c r="AA27" s="110">
        <v>0</v>
      </c>
      <c r="AB27" s="110">
        <v>0</v>
      </c>
      <c r="AC27" s="110">
        <v>0</v>
      </c>
      <c r="AD27" s="110">
        <v>0</v>
      </c>
      <c r="AE27" s="110">
        <v>0</v>
      </c>
      <c r="AF27" s="110">
        <v>0</v>
      </c>
      <c r="AG27" s="110">
        <v>0</v>
      </c>
      <c r="AH27" s="110">
        <v>0</v>
      </c>
      <c r="AI27" s="110">
        <v>0</v>
      </c>
      <c r="AJ27" s="110">
        <v>0</v>
      </c>
      <c r="AK27" s="110">
        <v>0</v>
      </c>
      <c r="AL27" s="110">
        <v>0</v>
      </c>
      <c r="AM27" s="110">
        <v>0</v>
      </c>
      <c r="AN27" s="110">
        <v>0</v>
      </c>
    </row>
    <row r="28" spans="1:40" customFormat="1" x14ac:dyDescent="0.15">
      <c r="A28" s="187" t="s">
        <v>217</v>
      </c>
      <c r="B28" s="110">
        <v>0.8</v>
      </c>
      <c r="C28" s="110">
        <v>0.8</v>
      </c>
      <c r="D28" s="110">
        <v>0.8</v>
      </c>
      <c r="E28" s="110">
        <v>0.8</v>
      </c>
      <c r="F28" s="110">
        <v>0.8</v>
      </c>
      <c r="G28" s="110">
        <v>0</v>
      </c>
      <c r="H28" s="110">
        <v>0.8</v>
      </c>
      <c r="I28" s="110">
        <v>0.8</v>
      </c>
      <c r="J28" s="110">
        <v>0</v>
      </c>
      <c r="K28" s="110">
        <v>0</v>
      </c>
      <c r="L28" s="110">
        <v>0.8</v>
      </c>
      <c r="M28" s="110">
        <v>0</v>
      </c>
      <c r="N28" s="110">
        <v>0.8</v>
      </c>
      <c r="O28" s="110">
        <v>0</v>
      </c>
      <c r="P28" s="110">
        <v>0.8</v>
      </c>
      <c r="Q28" s="110">
        <v>0</v>
      </c>
      <c r="R28" s="110">
        <v>0</v>
      </c>
      <c r="S28" s="110">
        <v>0</v>
      </c>
      <c r="T28" s="110">
        <v>0.8</v>
      </c>
      <c r="U28" s="110">
        <v>0</v>
      </c>
      <c r="V28" s="110">
        <v>0</v>
      </c>
      <c r="W28" s="110">
        <v>0.8</v>
      </c>
      <c r="X28" s="110">
        <v>0.8</v>
      </c>
      <c r="Y28" s="110">
        <v>0.8</v>
      </c>
      <c r="Z28" s="110">
        <v>0</v>
      </c>
      <c r="AA28" s="110">
        <v>0.8</v>
      </c>
      <c r="AB28" s="110">
        <v>0</v>
      </c>
      <c r="AC28" s="110">
        <v>0.8</v>
      </c>
      <c r="AD28" s="110">
        <v>0.8</v>
      </c>
      <c r="AE28" s="110">
        <v>0.8</v>
      </c>
      <c r="AF28" s="110">
        <v>0</v>
      </c>
      <c r="AG28" s="110">
        <v>0</v>
      </c>
      <c r="AH28" s="110">
        <v>0</v>
      </c>
      <c r="AI28" s="110">
        <v>0</v>
      </c>
      <c r="AJ28" s="110">
        <v>0</v>
      </c>
      <c r="AK28" s="110">
        <v>0</v>
      </c>
      <c r="AL28" s="110">
        <v>0</v>
      </c>
      <c r="AM28" s="110">
        <v>0</v>
      </c>
      <c r="AN28" s="110">
        <v>0</v>
      </c>
    </row>
    <row r="29" spans="1:40" customFormat="1" x14ac:dyDescent="0.15">
      <c r="A29" s="187" t="s">
        <v>218</v>
      </c>
      <c r="B29" s="110">
        <v>0.8</v>
      </c>
      <c r="C29" s="110">
        <v>0.8</v>
      </c>
      <c r="D29" s="110">
        <v>0</v>
      </c>
      <c r="E29" s="110">
        <v>0.8</v>
      </c>
      <c r="F29" s="110">
        <v>0</v>
      </c>
      <c r="G29" s="110">
        <v>0.8</v>
      </c>
      <c r="H29" s="110">
        <v>0.8</v>
      </c>
      <c r="I29" s="110">
        <v>0.8</v>
      </c>
      <c r="J29" s="110">
        <v>0</v>
      </c>
      <c r="K29" s="110">
        <v>0</v>
      </c>
      <c r="L29" s="110">
        <v>0</v>
      </c>
      <c r="M29" s="110">
        <v>0</v>
      </c>
      <c r="N29" s="110">
        <v>0.8</v>
      </c>
      <c r="O29" s="110">
        <v>0</v>
      </c>
      <c r="P29" s="110">
        <v>0.8</v>
      </c>
      <c r="Q29" s="110">
        <v>0</v>
      </c>
      <c r="R29" s="110">
        <v>0</v>
      </c>
      <c r="S29" s="110">
        <v>0</v>
      </c>
      <c r="T29" s="110">
        <v>0</v>
      </c>
      <c r="U29" s="110">
        <v>0</v>
      </c>
      <c r="V29" s="110">
        <v>0</v>
      </c>
      <c r="W29" s="110">
        <v>0.8</v>
      </c>
      <c r="X29" s="110">
        <v>0.8</v>
      </c>
      <c r="Y29" s="110">
        <v>0.8</v>
      </c>
      <c r="Z29" s="110">
        <v>0</v>
      </c>
      <c r="AA29" s="110">
        <v>0.8</v>
      </c>
      <c r="AB29" s="110">
        <v>0</v>
      </c>
      <c r="AC29" s="110">
        <v>0.8</v>
      </c>
      <c r="AD29" s="110">
        <v>0.8</v>
      </c>
      <c r="AE29" s="110">
        <v>0.8</v>
      </c>
      <c r="AF29" s="110">
        <v>0</v>
      </c>
      <c r="AG29" s="110">
        <v>0</v>
      </c>
      <c r="AH29" s="110">
        <v>0</v>
      </c>
      <c r="AI29" s="110">
        <v>0</v>
      </c>
      <c r="AJ29" s="110">
        <v>0</v>
      </c>
      <c r="AK29" s="110">
        <v>0</v>
      </c>
      <c r="AL29" s="110">
        <v>0</v>
      </c>
      <c r="AM29" s="110">
        <v>0</v>
      </c>
      <c r="AN29" s="110">
        <v>0</v>
      </c>
    </row>
    <row r="30" spans="1:40" customFormat="1" x14ac:dyDescent="0.15">
      <c r="A30" s="187" t="s">
        <v>219</v>
      </c>
      <c r="B30" s="110">
        <v>0.8</v>
      </c>
      <c r="C30" s="110">
        <v>0.8</v>
      </c>
      <c r="D30" s="110">
        <v>0.8</v>
      </c>
      <c r="E30" s="110">
        <v>0.8</v>
      </c>
      <c r="F30" s="110">
        <v>0.8</v>
      </c>
      <c r="G30" s="110">
        <v>0</v>
      </c>
      <c r="H30" s="110">
        <v>0.8</v>
      </c>
      <c r="I30" s="110">
        <v>0.8</v>
      </c>
      <c r="J30" s="110">
        <v>0</v>
      </c>
      <c r="K30" s="110">
        <v>0</v>
      </c>
      <c r="L30" s="110">
        <v>0.8</v>
      </c>
      <c r="M30" s="110">
        <v>0</v>
      </c>
      <c r="N30" s="110">
        <v>0</v>
      </c>
      <c r="O30" s="110">
        <v>0</v>
      </c>
      <c r="P30" s="110">
        <v>0.8</v>
      </c>
      <c r="Q30" s="110">
        <v>0</v>
      </c>
      <c r="R30" s="110">
        <v>0.8</v>
      </c>
      <c r="S30" s="110">
        <v>0</v>
      </c>
      <c r="T30" s="110">
        <v>0</v>
      </c>
      <c r="U30" s="110">
        <v>0.8</v>
      </c>
      <c r="V30" s="110">
        <v>0</v>
      </c>
      <c r="W30" s="110">
        <v>0.8</v>
      </c>
      <c r="X30" s="110">
        <v>0</v>
      </c>
      <c r="Y30" s="110">
        <v>0</v>
      </c>
      <c r="Z30" s="110">
        <v>0</v>
      </c>
      <c r="AA30" s="110">
        <v>0</v>
      </c>
      <c r="AB30" s="110">
        <v>0</v>
      </c>
      <c r="AC30" s="110">
        <v>0</v>
      </c>
      <c r="AD30" s="110">
        <v>0.8</v>
      </c>
      <c r="AE30" s="110">
        <v>0</v>
      </c>
      <c r="AF30" s="110">
        <v>0</v>
      </c>
      <c r="AG30" s="110">
        <v>0</v>
      </c>
      <c r="AH30" s="110">
        <v>0</v>
      </c>
      <c r="AI30" s="110">
        <v>0</v>
      </c>
      <c r="AJ30" s="110">
        <v>0</v>
      </c>
      <c r="AK30" s="110">
        <v>0</v>
      </c>
      <c r="AL30" s="110">
        <v>0</v>
      </c>
      <c r="AM30" s="110">
        <v>0</v>
      </c>
      <c r="AN30" s="110">
        <v>0</v>
      </c>
    </row>
    <row r="31" spans="1:40" customFormat="1" x14ac:dyDescent="0.15">
      <c r="A31" s="187" t="s">
        <v>220</v>
      </c>
      <c r="B31" s="110">
        <v>0.8</v>
      </c>
      <c r="C31" s="110">
        <v>0.8</v>
      </c>
      <c r="D31" s="110">
        <v>0.8</v>
      </c>
      <c r="E31" s="110">
        <v>0</v>
      </c>
      <c r="F31" s="110">
        <v>0</v>
      </c>
      <c r="G31" s="110">
        <v>0.8</v>
      </c>
      <c r="H31" s="110">
        <v>0.8</v>
      </c>
      <c r="I31" s="110">
        <v>0.8</v>
      </c>
      <c r="J31" s="110">
        <v>0</v>
      </c>
      <c r="K31" s="110">
        <v>0</v>
      </c>
      <c r="L31" s="110">
        <v>0</v>
      </c>
      <c r="M31" s="110">
        <v>0</v>
      </c>
      <c r="N31" s="110">
        <v>0</v>
      </c>
      <c r="O31" s="110">
        <v>0</v>
      </c>
      <c r="P31" s="110">
        <v>0</v>
      </c>
      <c r="Q31" s="110">
        <v>0</v>
      </c>
      <c r="R31" s="110">
        <v>0</v>
      </c>
      <c r="S31" s="110">
        <v>0</v>
      </c>
      <c r="T31" s="110">
        <v>0</v>
      </c>
      <c r="U31" s="110">
        <v>0.8</v>
      </c>
      <c r="V31" s="110">
        <v>0</v>
      </c>
      <c r="W31" s="110">
        <v>0.8</v>
      </c>
      <c r="X31" s="110">
        <v>0</v>
      </c>
      <c r="Y31" s="110">
        <v>0.8</v>
      </c>
      <c r="Z31" s="110">
        <v>0</v>
      </c>
      <c r="AA31" s="110">
        <v>0.8</v>
      </c>
      <c r="AB31" s="110">
        <v>0</v>
      </c>
      <c r="AC31" s="110">
        <v>0</v>
      </c>
      <c r="AD31" s="110">
        <v>0.8</v>
      </c>
      <c r="AE31" s="110">
        <v>0.8</v>
      </c>
      <c r="AF31" s="110">
        <v>0</v>
      </c>
      <c r="AG31" s="110">
        <v>0</v>
      </c>
      <c r="AH31" s="110">
        <v>0</v>
      </c>
      <c r="AI31" s="110">
        <v>0</v>
      </c>
      <c r="AJ31" s="110">
        <v>0</v>
      </c>
      <c r="AK31" s="110">
        <v>0</v>
      </c>
      <c r="AL31" s="110">
        <v>0</v>
      </c>
      <c r="AM31" s="110">
        <v>0</v>
      </c>
      <c r="AN31" s="110">
        <v>0</v>
      </c>
    </row>
    <row r="32" spans="1:40" customFormat="1" x14ac:dyDescent="0.15">
      <c r="A32" s="187" t="s">
        <v>221</v>
      </c>
      <c r="B32" s="110">
        <v>0</v>
      </c>
      <c r="C32" s="110">
        <v>0.8</v>
      </c>
      <c r="D32" s="110">
        <v>0</v>
      </c>
      <c r="E32" s="110">
        <v>0.8</v>
      </c>
      <c r="F32" s="110">
        <v>0.8</v>
      </c>
      <c r="G32" s="110">
        <v>0.8</v>
      </c>
      <c r="H32" s="110">
        <v>0.8</v>
      </c>
      <c r="I32" s="110">
        <v>0.8</v>
      </c>
      <c r="J32" s="110">
        <v>0</v>
      </c>
      <c r="K32" s="110">
        <v>0</v>
      </c>
      <c r="L32" s="110">
        <v>0.8</v>
      </c>
      <c r="M32" s="110">
        <v>0.8</v>
      </c>
      <c r="N32" s="110">
        <v>0</v>
      </c>
      <c r="O32" s="110">
        <v>0.8</v>
      </c>
      <c r="P32" s="110">
        <v>0.8</v>
      </c>
      <c r="Q32" s="110">
        <v>0.8</v>
      </c>
      <c r="R32" s="110">
        <v>0.8</v>
      </c>
      <c r="S32" s="110">
        <v>0.8</v>
      </c>
      <c r="T32" s="110">
        <v>0.8</v>
      </c>
      <c r="U32" s="110">
        <v>0.8</v>
      </c>
      <c r="V32" s="110">
        <v>0.8</v>
      </c>
      <c r="W32" s="110">
        <v>0</v>
      </c>
      <c r="X32" s="110">
        <v>0</v>
      </c>
      <c r="Y32" s="110">
        <v>0</v>
      </c>
      <c r="Z32" s="110">
        <v>0</v>
      </c>
      <c r="AA32" s="110">
        <v>0.8</v>
      </c>
      <c r="AB32" s="110">
        <v>0</v>
      </c>
      <c r="AC32" s="110">
        <v>0.8</v>
      </c>
      <c r="AD32" s="110">
        <v>0.8</v>
      </c>
      <c r="AE32" s="110">
        <v>0.8</v>
      </c>
      <c r="AF32" s="110">
        <v>0.8</v>
      </c>
      <c r="AG32" s="110">
        <v>0.8</v>
      </c>
      <c r="AH32" s="110">
        <v>0.8</v>
      </c>
      <c r="AI32" s="110">
        <v>0</v>
      </c>
      <c r="AJ32" s="110">
        <v>0</v>
      </c>
      <c r="AK32" s="110">
        <v>0</v>
      </c>
      <c r="AL32" s="110">
        <v>0</v>
      </c>
      <c r="AM32" s="110">
        <v>0</v>
      </c>
      <c r="AN32" s="110">
        <v>0</v>
      </c>
    </row>
    <row r="33" spans="1:40" x14ac:dyDescent="0.15">
      <c r="A33" s="187" t="s">
        <v>222</v>
      </c>
      <c r="B33" s="110">
        <v>0</v>
      </c>
      <c r="C33" s="110">
        <v>0.8</v>
      </c>
      <c r="D33" s="110">
        <v>0</v>
      </c>
      <c r="E33" s="110">
        <v>0.8</v>
      </c>
      <c r="F33" s="110">
        <v>0.8</v>
      </c>
      <c r="G33" s="110">
        <v>0.8</v>
      </c>
      <c r="H33" s="110">
        <v>0.8</v>
      </c>
      <c r="I33" s="110">
        <v>0</v>
      </c>
      <c r="J33" s="110">
        <v>0</v>
      </c>
      <c r="K33" s="110">
        <v>0</v>
      </c>
      <c r="L33" s="110">
        <v>0.8</v>
      </c>
      <c r="M33" s="110">
        <v>0.8</v>
      </c>
      <c r="N33" s="110">
        <v>0.8</v>
      </c>
      <c r="O33" s="110">
        <v>0.8</v>
      </c>
      <c r="P33" s="110">
        <v>0.8</v>
      </c>
      <c r="Q33" s="110">
        <v>0.8</v>
      </c>
      <c r="R33" s="110">
        <v>0</v>
      </c>
      <c r="S33" s="110">
        <v>0.8</v>
      </c>
      <c r="T33" s="110">
        <v>0.8</v>
      </c>
      <c r="U33" s="110">
        <v>0.8</v>
      </c>
      <c r="V33" s="110">
        <v>0</v>
      </c>
      <c r="W33" s="110">
        <v>0.8</v>
      </c>
      <c r="X33" s="110">
        <v>0</v>
      </c>
      <c r="Y33" s="110">
        <v>0.8</v>
      </c>
      <c r="Z33" s="110">
        <v>0</v>
      </c>
      <c r="AA33" s="110">
        <v>0</v>
      </c>
      <c r="AB33" s="110">
        <v>0</v>
      </c>
      <c r="AC33" s="110">
        <v>0</v>
      </c>
      <c r="AD33" s="110">
        <v>0.8</v>
      </c>
      <c r="AE33" s="110">
        <v>0.8</v>
      </c>
      <c r="AF33" s="110">
        <v>0</v>
      </c>
      <c r="AG33" s="110">
        <v>0.8</v>
      </c>
      <c r="AH33" s="110">
        <v>0</v>
      </c>
      <c r="AI33" s="110">
        <v>0</v>
      </c>
      <c r="AJ33" s="110">
        <v>0</v>
      </c>
      <c r="AK33" s="110">
        <v>0</v>
      </c>
      <c r="AL33" s="110">
        <v>0</v>
      </c>
      <c r="AM33" s="110">
        <v>0</v>
      </c>
      <c r="AN33" s="110">
        <v>0</v>
      </c>
    </row>
    <row r="34" spans="1:40" x14ac:dyDescent="0.15">
      <c r="A34" s="187" t="s">
        <v>223</v>
      </c>
      <c r="B34" s="110">
        <v>0</v>
      </c>
      <c r="C34" s="110">
        <v>0.8</v>
      </c>
      <c r="D34" s="110">
        <v>0</v>
      </c>
      <c r="E34" s="110">
        <v>0.8</v>
      </c>
      <c r="F34" s="110">
        <v>0.8</v>
      </c>
      <c r="G34" s="110">
        <v>0.8</v>
      </c>
      <c r="H34" s="110">
        <v>0.8</v>
      </c>
      <c r="I34" s="110">
        <v>0.8</v>
      </c>
      <c r="J34" s="110">
        <v>0.8</v>
      </c>
      <c r="K34" s="110">
        <v>0</v>
      </c>
      <c r="L34" s="110">
        <v>0</v>
      </c>
      <c r="M34" s="110">
        <v>0.8</v>
      </c>
      <c r="N34" s="110">
        <v>0</v>
      </c>
      <c r="O34" s="110">
        <v>0.8</v>
      </c>
      <c r="P34" s="110">
        <v>0.8</v>
      </c>
      <c r="Q34" s="110">
        <v>0.8</v>
      </c>
      <c r="R34" s="110">
        <v>0.8</v>
      </c>
      <c r="S34" s="110">
        <v>0.8</v>
      </c>
      <c r="T34" s="110">
        <v>0.8</v>
      </c>
      <c r="U34" s="110">
        <v>0.8</v>
      </c>
      <c r="V34" s="110">
        <v>0</v>
      </c>
      <c r="W34" s="110">
        <v>0.8</v>
      </c>
      <c r="X34" s="110">
        <v>0</v>
      </c>
      <c r="Y34" s="110">
        <v>0.8</v>
      </c>
      <c r="Z34" s="110">
        <v>0</v>
      </c>
      <c r="AA34" s="110">
        <v>0.8</v>
      </c>
      <c r="AB34" s="110">
        <v>0.8</v>
      </c>
      <c r="AC34" s="110">
        <v>0.8</v>
      </c>
      <c r="AD34" s="110">
        <v>0.8</v>
      </c>
      <c r="AE34" s="110">
        <v>0.8</v>
      </c>
      <c r="AF34" s="110">
        <v>0.8</v>
      </c>
      <c r="AG34" s="110">
        <v>0.8</v>
      </c>
      <c r="AH34" s="110">
        <v>0</v>
      </c>
      <c r="AI34" s="110">
        <v>0</v>
      </c>
      <c r="AJ34" s="110">
        <v>0</v>
      </c>
      <c r="AK34" s="110">
        <v>0</v>
      </c>
      <c r="AL34" s="110">
        <v>0</v>
      </c>
      <c r="AM34" s="110">
        <v>0</v>
      </c>
      <c r="AN34" s="110">
        <v>0</v>
      </c>
    </row>
    <row r="35" spans="1:40" x14ac:dyDescent="0.15">
      <c r="A35" s="187" t="s">
        <v>224</v>
      </c>
      <c r="B35" s="110">
        <v>0</v>
      </c>
      <c r="C35" s="110">
        <v>0</v>
      </c>
      <c r="D35" s="110">
        <v>0</v>
      </c>
      <c r="E35" s="110">
        <v>0</v>
      </c>
      <c r="F35" s="110">
        <v>0</v>
      </c>
      <c r="G35" s="110">
        <v>0</v>
      </c>
      <c r="H35" s="110">
        <v>0</v>
      </c>
      <c r="I35" s="110">
        <v>0.8</v>
      </c>
      <c r="J35" s="110">
        <v>0.8</v>
      </c>
      <c r="K35" s="110">
        <v>0</v>
      </c>
      <c r="L35" s="110">
        <v>0</v>
      </c>
      <c r="M35" s="110">
        <v>0</v>
      </c>
      <c r="N35" s="110">
        <v>0</v>
      </c>
      <c r="O35" s="110">
        <v>0</v>
      </c>
      <c r="P35" s="110">
        <v>0</v>
      </c>
      <c r="Q35" s="110">
        <v>0</v>
      </c>
      <c r="R35" s="110">
        <v>0</v>
      </c>
      <c r="S35" s="110">
        <v>0</v>
      </c>
      <c r="T35" s="110">
        <v>0.8</v>
      </c>
      <c r="U35" s="110">
        <v>0.8</v>
      </c>
      <c r="V35" s="110">
        <v>0</v>
      </c>
      <c r="W35" s="110">
        <v>0</v>
      </c>
      <c r="X35" s="110">
        <v>0</v>
      </c>
      <c r="Y35" s="110">
        <v>0.8</v>
      </c>
      <c r="Z35" s="110">
        <v>0</v>
      </c>
      <c r="AA35" s="110">
        <v>0</v>
      </c>
      <c r="AB35" s="110">
        <v>0</v>
      </c>
      <c r="AC35" s="110">
        <v>0.8</v>
      </c>
      <c r="AD35" s="110">
        <v>0</v>
      </c>
      <c r="AE35" s="110">
        <v>0</v>
      </c>
      <c r="AF35" s="110">
        <v>0</v>
      </c>
      <c r="AG35" s="110">
        <v>0</v>
      </c>
      <c r="AH35" s="110">
        <v>0</v>
      </c>
      <c r="AI35" s="110">
        <v>0</v>
      </c>
      <c r="AJ35" s="110">
        <v>0</v>
      </c>
      <c r="AK35" s="110">
        <v>0</v>
      </c>
      <c r="AL35" s="110">
        <v>0</v>
      </c>
      <c r="AM35" s="110">
        <v>0</v>
      </c>
      <c r="AN35" s="110">
        <v>0</v>
      </c>
    </row>
    <row r="36" spans="1:40" x14ac:dyDescent="0.15">
      <c r="A36" s="187" t="s">
        <v>225</v>
      </c>
      <c r="B36" s="110">
        <v>0</v>
      </c>
      <c r="C36" s="110">
        <v>0</v>
      </c>
      <c r="D36" s="110">
        <v>0</v>
      </c>
      <c r="E36" s="110">
        <v>0.8</v>
      </c>
      <c r="F36" s="110">
        <v>0.8</v>
      </c>
      <c r="G36" s="110">
        <v>0.8</v>
      </c>
      <c r="H36" s="110">
        <v>0.8</v>
      </c>
      <c r="I36" s="110">
        <v>0.8</v>
      </c>
      <c r="J36" s="110">
        <v>0.8</v>
      </c>
      <c r="K36" s="110">
        <v>0.8</v>
      </c>
      <c r="L36" s="110">
        <v>0</v>
      </c>
      <c r="M36" s="110">
        <v>0.8</v>
      </c>
      <c r="N36" s="110">
        <v>0</v>
      </c>
      <c r="O36" s="110">
        <v>0</v>
      </c>
      <c r="P36" s="110">
        <v>0.8</v>
      </c>
      <c r="Q36" s="110">
        <v>0.8</v>
      </c>
      <c r="R36" s="110">
        <v>0.8</v>
      </c>
      <c r="S36" s="110">
        <v>0</v>
      </c>
      <c r="T36" s="110">
        <v>0.8</v>
      </c>
      <c r="U36" s="110">
        <v>0.8</v>
      </c>
      <c r="V36" s="110">
        <v>0</v>
      </c>
      <c r="W36" s="110">
        <v>0</v>
      </c>
      <c r="X36" s="110">
        <v>0.8</v>
      </c>
      <c r="Y36" s="110">
        <v>0.8</v>
      </c>
      <c r="Z36" s="110">
        <v>0.8</v>
      </c>
      <c r="AA36" s="110">
        <v>0.8</v>
      </c>
      <c r="AB36" s="110">
        <v>0.8</v>
      </c>
      <c r="AC36" s="110">
        <v>0.8</v>
      </c>
      <c r="AD36" s="110">
        <v>0.8</v>
      </c>
      <c r="AE36" s="110">
        <v>0.8</v>
      </c>
      <c r="AF36" s="110">
        <v>0.8</v>
      </c>
      <c r="AG36" s="110">
        <v>0.8</v>
      </c>
      <c r="AH36" s="110">
        <v>0.8</v>
      </c>
      <c r="AI36" s="110">
        <v>0</v>
      </c>
      <c r="AJ36" s="110">
        <v>0.8</v>
      </c>
      <c r="AK36" s="110">
        <v>0</v>
      </c>
      <c r="AL36" s="110">
        <v>0</v>
      </c>
      <c r="AM36" s="110">
        <v>0</v>
      </c>
      <c r="AN36" s="110">
        <v>0</v>
      </c>
    </row>
    <row r="37" spans="1:40" x14ac:dyDescent="0.15">
      <c r="A37" s="187" t="s">
        <v>226</v>
      </c>
      <c r="B37" s="110">
        <v>0</v>
      </c>
      <c r="C37" s="110">
        <v>0</v>
      </c>
      <c r="D37" s="110">
        <v>0</v>
      </c>
      <c r="E37" s="110">
        <v>0</v>
      </c>
      <c r="F37" s="110">
        <v>0.8</v>
      </c>
      <c r="G37" s="110">
        <v>0</v>
      </c>
      <c r="H37" s="110">
        <v>0</v>
      </c>
      <c r="I37" s="110">
        <v>0</v>
      </c>
      <c r="J37" s="110">
        <v>0.8</v>
      </c>
      <c r="K37" s="110">
        <v>0.8</v>
      </c>
      <c r="L37" s="110">
        <v>0</v>
      </c>
      <c r="M37" s="110">
        <v>0.8</v>
      </c>
      <c r="N37" s="110">
        <v>0</v>
      </c>
      <c r="O37" s="110">
        <v>0</v>
      </c>
      <c r="P37" s="110">
        <v>0</v>
      </c>
      <c r="Q37" s="110">
        <v>0</v>
      </c>
      <c r="R37" s="110">
        <v>0</v>
      </c>
      <c r="S37" s="110">
        <v>0</v>
      </c>
      <c r="T37" s="110">
        <v>0</v>
      </c>
      <c r="U37" s="110">
        <v>0.8</v>
      </c>
      <c r="V37" s="110">
        <v>0</v>
      </c>
      <c r="W37" s="110">
        <v>0</v>
      </c>
      <c r="X37" s="110">
        <v>0.8</v>
      </c>
      <c r="Y37" s="110">
        <v>0.8</v>
      </c>
      <c r="Z37" s="110">
        <v>0.8</v>
      </c>
      <c r="AA37" s="110">
        <v>0.8</v>
      </c>
      <c r="AB37" s="110">
        <v>0.8</v>
      </c>
      <c r="AC37" s="110">
        <v>0.8</v>
      </c>
      <c r="AD37" s="110">
        <v>0.8</v>
      </c>
      <c r="AE37" s="110">
        <v>0.8</v>
      </c>
      <c r="AF37" s="110">
        <v>0.8</v>
      </c>
      <c r="AG37" s="110">
        <v>0.8</v>
      </c>
      <c r="AH37" s="110">
        <v>0.8</v>
      </c>
      <c r="AI37" s="110">
        <v>0.8</v>
      </c>
      <c r="AJ37" s="110">
        <v>0.8</v>
      </c>
      <c r="AK37" s="110">
        <v>0</v>
      </c>
      <c r="AL37" s="110">
        <v>0</v>
      </c>
      <c r="AM37" s="110">
        <v>0</v>
      </c>
      <c r="AN37" s="110">
        <v>0</v>
      </c>
    </row>
    <row r="38" spans="1:40" x14ac:dyDescent="0.15">
      <c r="A38" s="187" t="s">
        <v>227</v>
      </c>
      <c r="B38" s="110">
        <v>0</v>
      </c>
      <c r="C38" s="110">
        <v>0</v>
      </c>
      <c r="D38" s="110">
        <v>0</v>
      </c>
      <c r="E38" s="110">
        <v>0</v>
      </c>
      <c r="F38" s="110">
        <v>0.8</v>
      </c>
      <c r="G38" s="110">
        <v>0</v>
      </c>
      <c r="H38" s="110">
        <v>0</v>
      </c>
      <c r="I38" s="110">
        <v>0</v>
      </c>
      <c r="J38" s="110">
        <v>0</v>
      </c>
      <c r="K38" s="110">
        <v>0</v>
      </c>
      <c r="L38" s="110">
        <v>0</v>
      </c>
      <c r="M38" s="110">
        <v>0</v>
      </c>
      <c r="N38" s="110">
        <v>0</v>
      </c>
      <c r="O38" s="110">
        <v>0</v>
      </c>
      <c r="P38" s="110">
        <v>0</v>
      </c>
      <c r="Q38" s="110">
        <v>0</v>
      </c>
      <c r="R38" s="110">
        <v>0</v>
      </c>
      <c r="S38" s="110">
        <v>0.8</v>
      </c>
      <c r="T38" s="110">
        <v>0</v>
      </c>
      <c r="U38" s="110">
        <v>0</v>
      </c>
      <c r="V38" s="110">
        <v>0.8</v>
      </c>
      <c r="W38" s="110">
        <v>0</v>
      </c>
      <c r="X38" s="110">
        <v>0</v>
      </c>
      <c r="Y38" s="110">
        <v>0</v>
      </c>
      <c r="Z38" s="110">
        <v>0</v>
      </c>
      <c r="AA38" s="110">
        <v>0</v>
      </c>
      <c r="AB38" s="110">
        <v>0.8</v>
      </c>
      <c r="AC38" s="110">
        <v>0</v>
      </c>
      <c r="AD38" s="110">
        <v>0</v>
      </c>
      <c r="AE38" s="110">
        <v>0</v>
      </c>
      <c r="AF38" s="110">
        <v>0.8</v>
      </c>
      <c r="AG38" s="110">
        <v>0</v>
      </c>
      <c r="AH38" s="110">
        <v>0</v>
      </c>
      <c r="AI38" s="110">
        <v>0.8</v>
      </c>
      <c r="AJ38" s="110">
        <v>0.8</v>
      </c>
      <c r="AK38" s="110">
        <v>0.8</v>
      </c>
      <c r="AL38" s="110">
        <v>0</v>
      </c>
      <c r="AM38" s="110">
        <v>0</v>
      </c>
      <c r="AN38" s="110">
        <v>0</v>
      </c>
    </row>
    <row r="39" spans="1:40" x14ac:dyDescent="0.15">
      <c r="A39" s="187" t="s">
        <v>228</v>
      </c>
      <c r="B39" s="110">
        <v>0</v>
      </c>
      <c r="C39" s="110">
        <v>0</v>
      </c>
      <c r="D39" s="110">
        <v>0</v>
      </c>
      <c r="E39" s="110">
        <v>0</v>
      </c>
      <c r="F39" s="110">
        <v>0</v>
      </c>
      <c r="G39" s="110">
        <v>0</v>
      </c>
      <c r="H39" s="110">
        <v>0</v>
      </c>
      <c r="I39" s="110">
        <v>0</v>
      </c>
      <c r="J39" s="110">
        <v>0.8</v>
      </c>
      <c r="K39" s="110">
        <v>0</v>
      </c>
      <c r="L39" s="110">
        <v>0.8</v>
      </c>
      <c r="M39" s="110">
        <v>0</v>
      </c>
      <c r="N39" s="110">
        <v>0</v>
      </c>
      <c r="O39" s="110">
        <v>0</v>
      </c>
      <c r="P39" s="110">
        <v>0</v>
      </c>
      <c r="Q39" s="110">
        <v>0</v>
      </c>
      <c r="R39" s="110">
        <v>0</v>
      </c>
      <c r="S39" s="110">
        <v>0</v>
      </c>
      <c r="T39" s="110">
        <v>0</v>
      </c>
      <c r="U39" s="110">
        <v>0.8</v>
      </c>
      <c r="V39" s="110">
        <v>0.8</v>
      </c>
      <c r="W39" s="110">
        <v>0</v>
      </c>
      <c r="X39" s="110">
        <v>0</v>
      </c>
      <c r="Y39" s="110">
        <v>0</v>
      </c>
      <c r="Z39" s="110">
        <v>0</v>
      </c>
      <c r="AA39" s="110">
        <v>0.8</v>
      </c>
      <c r="AB39" s="110">
        <v>0.8</v>
      </c>
      <c r="AC39" s="110">
        <v>0.8</v>
      </c>
      <c r="AD39" s="110">
        <v>0</v>
      </c>
      <c r="AE39" s="110">
        <v>0</v>
      </c>
      <c r="AF39" s="110">
        <v>0.8</v>
      </c>
      <c r="AG39" s="110">
        <v>0.8</v>
      </c>
      <c r="AH39" s="110">
        <v>0.8</v>
      </c>
      <c r="AI39" s="110">
        <v>0.8</v>
      </c>
      <c r="AJ39" s="110">
        <v>0.8</v>
      </c>
      <c r="AK39" s="110">
        <v>0.8</v>
      </c>
      <c r="AL39" s="110">
        <v>0</v>
      </c>
      <c r="AM39" s="110">
        <v>0</v>
      </c>
      <c r="AN39" s="110">
        <v>0</v>
      </c>
    </row>
    <row r="40" spans="1:40" x14ac:dyDescent="0.15">
      <c r="A40" s="187" t="s">
        <v>229</v>
      </c>
      <c r="B40" s="110">
        <v>0</v>
      </c>
      <c r="C40" s="110">
        <v>0</v>
      </c>
      <c r="D40" s="110">
        <v>0</v>
      </c>
      <c r="E40" s="110">
        <v>0</v>
      </c>
      <c r="F40" s="110">
        <v>0</v>
      </c>
      <c r="G40" s="110">
        <v>0</v>
      </c>
      <c r="H40" s="110">
        <v>0</v>
      </c>
      <c r="I40" s="110">
        <v>0</v>
      </c>
      <c r="J40" s="110">
        <v>0</v>
      </c>
      <c r="K40" s="110">
        <v>0</v>
      </c>
      <c r="L40" s="110">
        <v>0</v>
      </c>
      <c r="M40" s="110">
        <v>0</v>
      </c>
      <c r="N40" s="110">
        <v>0</v>
      </c>
      <c r="O40" s="110">
        <v>0</v>
      </c>
      <c r="P40" s="110">
        <v>0</v>
      </c>
      <c r="Q40" s="110">
        <v>0</v>
      </c>
      <c r="R40" s="110">
        <v>0</v>
      </c>
      <c r="S40" s="110">
        <v>0</v>
      </c>
      <c r="T40" s="110">
        <v>0</v>
      </c>
      <c r="U40" s="110">
        <v>0</v>
      </c>
      <c r="V40" s="110">
        <v>0</v>
      </c>
      <c r="W40" s="110">
        <v>0</v>
      </c>
      <c r="X40" s="110">
        <v>0</v>
      </c>
      <c r="Y40" s="110">
        <v>0</v>
      </c>
      <c r="Z40" s="110">
        <v>0</v>
      </c>
      <c r="AA40" s="110">
        <v>0</v>
      </c>
      <c r="AB40" s="110">
        <v>0</v>
      </c>
      <c r="AC40" s="110">
        <v>0</v>
      </c>
      <c r="AD40" s="110">
        <v>0</v>
      </c>
      <c r="AE40" s="110">
        <v>0</v>
      </c>
      <c r="AF40" s="110">
        <v>0</v>
      </c>
      <c r="AG40" s="110">
        <v>0</v>
      </c>
      <c r="AH40" s="110">
        <v>0</v>
      </c>
      <c r="AI40" s="110">
        <v>0</v>
      </c>
      <c r="AJ40" s="110">
        <v>0</v>
      </c>
      <c r="AK40" s="110">
        <v>0</v>
      </c>
      <c r="AL40" s="110">
        <v>0</v>
      </c>
      <c r="AM40" s="110">
        <v>0</v>
      </c>
      <c r="AN40" s="110">
        <v>0</v>
      </c>
    </row>
    <row r="41" spans="1:40" x14ac:dyDescent="0.15">
      <c r="A41" s="187" t="s">
        <v>231</v>
      </c>
      <c r="B41" s="110">
        <v>0</v>
      </c>
      <c r="C41" s="110">
        <v>0</v>
      </c>
      <c r="D41" s="110">
        <v>0</v>
      </c>
      <c r="E41" s="110">
        <v>0</v>
      </c>
      <c r="F41" s="110">
        <v>0</v>
      </c>
      <c r="G41" s="110">
        <v>0</v>
      </c>
      <c r="H41" s="110">
        <v>0</v>
      </c>
      <c r="I41" s="110">
        <v>0</v>
      </c>
      <c r="J41" s="110">
        <v>0</v>
      </c>
      <c r="K41" s="110">
        <v>0</v>
      </c>
      <c r="L41" s="110">
        <v>0</v>
      </c>
      <c r="M41" s="110">
        <v>0</v>
      </c>
      <c r="N41" s="110">
        <v>0</v>
      </c>
      <c r="O41" s="110">
        <v>0</v>
      </c>
      <c r="P41" s="110">
        <v>0</v>
      </c>
      <c r="Q41" s="110">
        <v>0</v>
      </c>
      <c r="R41" s="110">
        <v>0</v>
      </c>
      <c r="S41" s="110">
        <v>0</v>
      </c>
      <c r="T41" s="110">
        <v>0</v>
      </c>
      <c r="U41" s="110">
        <v>0</v>
      </c>
      <c r="V41" s="110">
        <v>0</v>
      </c>
      <c r="W41" s="110">
        <v>0</v>
      </c>
      <c r="X41" s="110">
        <v>0</v>
      </c>
      <c r="Y41" s="110">
        <v>0</v>
      </c>
      <c r="Z41" s="110">
        <v>0</v>
      </c>
      <c r="AA41" s="110">
        <v>0</v>
      </c>
      <c r="AB41" s="110">
        <v>0</v>
      </c>
      <c r="AC41" s="110">
        <v>0</v>
      </c>
      <c r="AD41" s="110">
        <v>0</v>
      </c>
      <c r="AE41" s="110">
        <v>0</v>
      </c>
      <c r="AF41" s="110">
        <v>0</v>
      </c>
      <c r="AG41" s="110">
        <v>0</v>
      </c>
      <c r="AH41" s="110">
        <v>0</v>
      </c>
      <c r="AI41" s="110">
        <v>0</v>
      </c>
      <c r="AJ41" s="110">
        <v>0</v>
      </c>
      <c r="AK41" s="110">
        <v>0</v>
      </c>
      <c r="AL41" s="110">
        <v>0</v>
      </c>
      <c r="AM41" s="110">
        <v>0</v>
      </c>
      <c r="AN41" s="11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N41"/>
  <sheetViews>
    <sheetView workbookViewId="0">
      <selection activeCell="A3" sqref="A3"/>
    </sheetView>
  </sheetViews>
  <sheetFormatPr baseColWidth="10" defaultRowHeight="13" x14ac:dyDescent="0.15"/>
  <cols>
    <col min="1" max="1" width="22" style="110" bestFit="1" customWidth="1"/>
    <col min="2" max="40" width="2.33203125" style="110" customWidth="1"/>
    <col min="41" max="16384" width="10.83203125" style="110"/>
  </cols>
  <sheetData>
    <row r="1" spans="1:40" x14ac:dyDescent="0.15">
      <c r="A1" s="63" t="s">
        <v>139</v>
      </c>
      <c r="B1" s="190" t="s">
        <v>191</v>
      </c>
      <c r="C1" s="190" t="s">
        <v>192</v>
      </c>
      <c r="D1" s="190" t="s">
        <v>193</v>
      </c>
      <c r="E1" s="190" t="s">
        <v>194</v>
      </c>
      <c r="F1" s="190" t="s">
        <v>195</v>
      </c>
      <c r="G1" s="190" t="s">
        <v>196</v>
      </c>
      <c r="H1" s="190" t="s">
        <v>197</v>
      </c>
      <c r="I1" s="190" t="s">
        <v>198</v>
      </c>
      <c r="J1" s="190" t="s">
        <v>199</v>
      </c>
      <c r="K1" s="190" t="s">
        <v>200</v>
      </c>
      <c r="L1" s="190" t="s">
        <v>201</v>
      </c>
      <c r="M1" s="190" t="s">
        <v>202</v>
      </c>
      <c r="N1" s="190" t="s">
        <v>203</v>
      </c>
      <c r="O1" s="190" t="s">
        <v>204</v>
      </c>
      <c r="P1" s="190" t="s">
        <v>205</v>
      </c>
      <c r="Q1" s="190" t="s">
        <v>206</v>
      </c>
      <c r="R1" s="190" t="s">
        <v>207</v>
      </c>
      <c r="S1" s="190" t="s">
        <v>208</v>
      </c>
      <c r="T1" s="190" t="s">
        <v>209</v>
      </c>
      <c r="U1" s="190" t="s">
        <v>210</v>
      </c>
      <c r="V1" s="190" t="s">
        <v>211</v>
      </c>
      <c r="W1" s="190" t="s">
        <v>212</v>
      </c>
      <c r="X1" s="190" t="s">
        <v>213</v>
      </c>
      <c r="Y1" s="190" t="s">
        <v>214</v>
      </c>
      <c r="Z1" s="190" t="s">
        <v>215</v>
      </c>
      <c r="AA1" s="190" t="s">
        <v>216</v>
      </c>
      <c r="AB1" s="190" t="s">
        <v>217</v>
      </c>
      <c r="AC1" s="190" t="s">
        <v>218</v>
      </c>
      <c r="AD1" s="190" t="s">
        <v>219</v>
      </c>
      <c r="AE1" s="190" t="s">
        <v>220</v>
      </c>
      <c r="AF1" s="190" t="s">
        <v>221</v>
      </c>
      <c r="AG1" s="190" t="s">
        <v>222</v>
      </c>
      <c r="AH1" s="190" t="s">
        <v>223</v>
      </c>
      <c r="AI1" s="190" t="s">
        <v>224</v>
      </c>
      <c r="AJ1" s="190" t="s">
        <v>225</v>
      </c>
      <c r="AK1" s="190" t="s">
        <v>226</v>
      </c>
      <c r="AL1" s="190" t="s">
        <v>227</v>
      </c>
      <c r="AM1" s="190" t="s">
        <v>228</v>
      </c>
      <c r="AN1" s="190" t="s">
        <v>229</v>
      </c>
    </row>
    <row r="2" spans="1:40" customFormat="1" x14ac:dyDescent="0.15">
      <c r="A2" s="189" t="s">
        <v>191</v>
      </c>
      <c r="B2" s="110">
        <v>0</v>
      </c>
      <c r="C2" s="110">
        <v>0</v>
      </c>
      <c r="D2" s="110">
        <v>0</v>
      </c>
      <c r="E2" s="110">
        <v>0</v>
      </c>
      <c r="F2" s="110">
        <v>0</v>
      </c>
      <c r="G2" s="110">
        <v>0</v>
      </c>
      <c r="H2" s="110">
        <v>0</v>
      </c>
      <c r="I2" s="110">
        <v>0</v>
      </c>
      <c r="J2" s="110">
        <v>0</v>
      </c>
      <c r="K2" s="110">
        <v>0</v>
      </c>
      <c r="L2" s="110">
        <v>0</v>
      </c>
      <c r="M2" s="110">
        <v>0</v>
      </c>
      <c r="N2" s="110">
        <v>0</v>
      </c>
      <c r="O2" s="110">
        <v>0</v>
      </c>
      <c r="P2" s="110">
        <v>0</v>
      </c>
      <c r="Q2" s="110">
        <v>0</v>
      </c>
      <c r="R2" s="110">
        <v>0</v>
      </c>
      <c r="S2" s="110">
        <v>0</v>
      </c>
      <c r="T2" s="110">
        <v>0</v>
      </c>
      <c r="U2" s="110">
        <v>0</v>
      </c>
      <c r="V2" s="110">
        <v>0</v>
      </c>
      <c r="W2" s="110">
        <v>0</v>
      </c>
      <c r="X2" s="110">
        <v>0</v>
      </c>
      <c r="Y2" s="110">
        <v>0</v>
      </c>
      <c r="Z2" s="110">
        <v>0</v>
      </c>
      <c r="AA2" s="110">
        <v>0</v>
      </c>
      <c r="AB2" s="110">
        <v>0</v>
      </c>
      <c r="AC2" s="110">
        <v>0</v>
      </c>
      <c r="AD2" s="110">
        <v>0</v>
      </c>
      <c r="AE2" s="110">
        <v>0</v>
      </c>
      <c r="AF2" s="110">
        <v>0</v>
      </c>
      <c r="AG2" s="110">
        <v>0</v>
      </c>
      <c r="AH2" s="110">
        <v>0</v>
      </c>
      <c r="AI2" s="110">
        <v>0</v>
      </c>
      <c r="AJ2" s="110">
        <v>0</v>
      </c>
      <c r="AK2" s="110">
        <v>0</v>
      </c>
      <c r="AL2" s="110">
        <v>0</v>
      </c>
      <c r="AM2" s="110">
        <v>0</v>
      </c>
      <c r="AN2" s="110">
        <v>0</v>
      </c>
    </row>
    <row r="3" spans="1:40" customFormat="1" x14ac:dyDescent="0.15">
      <c r="A3" s="189" t="s">
        <v>192</v>
      </c>
      <c r="B3" s="110">
        <v>1</v>
      </c>
      <c r="C3" s="110">
        <v>1</v>
      </c>
      <c r="D3" s="110">
        <v>0</v>
      </c>
      <c r="E3" s="110">
        <v>1</v>
      </c>
      <c r="F3" s="110">
        <v>0</v>
      </c>
      <c r="G3" s="110">
        <v>1</v>
      </c>
      <c r="H3" s="110">
        <v>0</v>
      </c>
      <c r="I3" s="110">
        <v>0</v>
      </c>
      <c r="J3" s="110">
        <v>0</v>
      </c>
      <c r="K3" s="110">
        <v>0</v>
      </c>
      <c r="L3" s="110">
        <v>0</v>
      </c>
      <c r="M3" s="110">
        <v>0</v>
      </c>
      <c r="N3" s="110">
        <v>0</v>
      </c>
      <c r="O3" s="110">
        <v>0</v>
      </c>
      <c r="P3" s="110">
        <v>0</v>
      </c>
      <c r="Q3" s="110">
        <v>0</v>
      </c>
      <c r="R3" s="110">
        <v>0</v>
      </c>
      <c r="S3" s="110">
        <v>0</v>
      </c>
      <c r="T3" s="110">
        <v>0</v>
      </c>
      <c r="U3" s="110">
        <v>0</v>
      </c>
      <c r="V3" s="110">
        <v>0</v>
      </c>
      <c r="W3" s="110">
        <v>0</v>
      </c>
      <c r="X3" s="110">
        <v>0</v>
      </c>
      <c r="Y3" s="110">
        <v>0</v>
      </c>
      <c r="Z3" s="110">
        <v>0</v>
      </c>
      <c r="AA3" s="110">
        <v>0</v>
      </c>
      <c r="AB3" s="110">
        <v>0</v>
      </c>
      <c r="AC3" s="110">
        <v>0</v>
      </c>
      <c r="AD3" s="110">
        <v>0</v>
      </c>
      <c r="AE3" s="110">
        <v>0</v>
      </c>
      <c r="AF3" s="110">
        <v>0</v>
      </c>
      <c r="AG3" s="110">
        <v>0</v>
      </c>
      <c r="AH3" s="110">
        <v>0</v>
      </c>
      <c r="AI3" s="110">
        <v>0</v>
      </c>
      <c r="AJ3" s="110">
        <v>0</v>
      </c>
      <c r="AK3" s="110">
        <v>0</v>
      </c>
      <c r="AL3" s="110">
        <v>0</v>
      </c>
      <c r="AM3" s="110">
        <v>0</v>
      </c>
      <c r="AN3" s="110">
        <v>0</v>
      </c>
    </row>
    <row r="4" spans="1:40" customFormat="1" x14ac:dyDescent="0.15">
      <c r="A4" s="189" t="s">
        <v>193</v>
      </c>
      <c r="B4" s="110">
        <v>0</v>
      </c>
      <c r="C4" s="110">
        <v>0</v>
      </c>
      <c r="D4" s="110">
        <v>0</v>
      </c>
      <c r="E4" s="110">
        <v>1</v>
      </c>
      <c r="F4" s="110">
        <v>0</v>
      </c>
      <c r="G4" s="110">
        <v>0</v>
      </c>
      <c r="H4" s="110">
        <v>0</v>
      </c>
      <c r="I4" s="110">
        <v>0</v>
      </c>
      <c r="J4" s="110">
        <v>0</v>
      </c>
      <c r="K4" s="110">
        <v>0</v>
      </c>
      <c r="L4" s="110">
        <v>0</v>
      </c>
      <c r="M4" s="110">
        <v>0</v>
      </c>
      <c r="N4" s="110">
        <v>0</v>
      </c>
      <c r="O4" s="110">
        <v>0</v>
      </c>
      <c r="P4" s="110">
        <v>0</v>
      </c>
      <c r="Q4" s="110">
        <v>0</v>
      </c>
      <c r="R4" s="110">
        <v>0</v>
      </c>
      <c r="S4" s="110">
        <v>0</v>
      </c>
      <c r="T4" s="110">
        <v>0</v>
      </c>
      <c r="U4" s="110">
        <v>0</v>
      </c>
      <c r="V4" s="110">
        <v>0</v>
      </c>
      <c r="W4" s="110">
        <v>0</v>
      </c>
      <c r="X4" s="110">
        <v>0</v>
      </c>
      <c r="Y4" s="110">
        <v>0</v>
      </c>
      <c r="Z4" s="110">
        <v>0</v>
      </c>
      <c r="AA4" s="110">
        <v>0</v>
      </c>
      <c r="AB4" s="110">
        <v>0</v>
      </c>
      <c r="AC4" s="110">
        <v>0</v>
      </c>
      <c r="AD4" s="110">
        <v>0</v>
      </c>
      <c r="AE4" s="110">
        <v>0</v>
      </c>
      <c r="AF4" s="110">
        <v>0</v>
      </c>
      <c r="AG4" s="110">
        <v>0</v>
      </c>
      <c r="AH4" s="110">
        <v>0</v>
      </c>
      <c r="AI4" s="110">
        <v>0</v>
      </c>
      <c r="AJ4" s="110">
        <v>0</v>
      </c>
      <c r="AK4" s="110">
        <v>0</v>
      </c>
      <c r="AL4" s="110">
        <v>0</v>
      </c>
      <c r="AM4" s="110">
        <v>0</v>
      </c>
      <c r="AN4" s="110">
        <v>0</v>
      </c>
    </row>
    <row r="5" spans="1:40" customFormat="1" x14ac:dyDescent="0.15">
      <c r="A5" s="189" t="s">
        <v>194</v>
      </c>
      <c r="B5" s="110">
        <v>0</v>
      </c>
      <c r="C5" s="110">
        <v>0</v>
      </c>
      <c r="D5" s="110">
        <v>0</v>
      </c>
      <c r="E5" s="110">
        <v>0</v>
      </c>
      <c r="F5" s="110">
        <v>0</v>
      </c>
      <c r="G5" s="110">
        <v>0</v>
      </c>
      <c r="H5" s="110">
        <v>0</v>
      </c>
      <c r="I5" s="110">
        <v>0</v>
      </c>
      <c r="J5" s="110">
        <v>0</v>
      </c>
      <c r="K5" s="110">
        <v>0</v>
      </c>
      <c r="L5" s="110">
        <v>0</v>
      </c>
      <c r="M5" s="110">
        <v>0</v>
      </c>
      <c r="N5" s="110">
        <v>0</v>
      </c>
      <c r="O5" s="110">
        <v>0</v>
      </c>
      <c r="P5" s="110">
        <v>1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</row>
    <row r="6" spans="1:40" customFormat="1" x14ac:dyDescent="0.15">
      <c r="A6" s="189" t="s">
        <v>195</v>
      </c>
      <c r="B6" s="110">
        <v>0</v>
      </c>
      <c r="C6" s="110">
        <v>0</v>
      </c>
      <c r="D6" s="110">
        <v>0</v>
      </c>
      <c r="E6" s="110">
        <v>0</v>
      </c>
      <c r="F6" s="110">
        <v>0</v>
      </c>
      <c r="G6" s="110">
        <v>1</v>
      </c>
      <c r="H6" s="110">
        <v>0</v>
      </c>
      <c r="I6" s="110">
        <v>0</v>
      </c>
      <c r="J6" s="110">
        <v>0</v>
      </c>
      <c r="K6" s="110">
        <v>0</v>
      </c>
      <c r="L6" s="110">
        <v>0</v>
      </c>
      <c r="M6" s="110">
        <v>0</v>
      </c>
      <c r="N6" s="110">
        <v>0</v>
      </c>
      <c r="O6" s="110">
        <v>0</v>
      </c>
      <c r="P6" s="110">
        <v>0</v>
      </c>
      <c r="Q6" s="110">
        <v>0</v>
      </c>
      <c r="R6" s="110">
        <v>0</v>
      </c>
      <c r="S6" s="110">
        <v>0</v>
      </c>
      <c r="T6" s="110">
        <v>0</v>
      </c>
      <c r="U6" s="110">
        <v>0</v>
      </c>
      <c r="V6" s="110">
        <v>0</v>
      </c>
      <c r="W6" s="110">
        <v>0</v>
      </c>
      <c r="X6" s="110">
        <v>0</v>
      </c>
      <c r="Y6" s="110">
        <v>0</v>
      </c>
      <c r="Z6" s="110">
        <v>0</v>
      </c>
      <c r="AA6" s="110">
        <v>0</v>
      </c>
      <c r="AB6" s="110">
        <v>0</v>
      </c>
      <c r="AC6" s="110">
        <v>0</v>
      </c>
      <c r="AD6" s="110">
        <v>0</v>
      </c>
      <c r="AE6" s="110">
        <v>0</v>
      </c>
      <c r="AF6" s="110">
        <v>0</v>
      </c>
      <c r="AG6" s="110">
        <v>0</v>
      </c>
      <c r="AH6" s="110">
        <v>0</v>
      </c>
      <c r="AI6" s="110">
        <v>0</v>
      </c>
      <c r="AJ6" s="110">
        <v>0</v>
      </c>
      <c r="AK6" s="110">
        <v>0</v>
      </c>
      <c r="AL6" s="110">
        <v>0</v>
      </c>
      <c r="AM6" s="110">
        <v>0</v>
      </c>
      <c r="AN6" s="110">
        <v>0</v>
      </c>
    </row>
    <row r="7" spans="1:40" customFormat="1" x14ac:dyDescent="0.15">
      <c r="A7" s="189" t="s">
        <v>196</v>
      </c>
      <c r="B7" s="110">
        <v>0</v>
      </c>
      <c r="C7" s="110">
        <v>0</v>
      </c>
      <c r="D7" s="110">
        <v>0</v>
      </c>
      <c r="E7" s="110">
        <v>1</v>
      </c>
      <c r="F7" s="110">
        <v>0</v>
      </c>
      <c r="G7" s="110">
        <v>0</v>
      </c>
      <c r="H7" s="110">
        <v>0</v>
      </c>
      <c r="I7" s="110">
        <v>0</v>
      </c>
      <c r="J7" s="110">
        <v>0</v>
      </c>
      <c r="K7" s="110">
        <v>0</v>
      </c>
      <c r="L7" s="110">
        <v>0</v>
      </c>
      <c r="M7" s="110">
        <v>0</v>
      </c>
      <c r="N7" s="110">
        <v>0</v>
      </c>
      <c r="O7" s="110">
        <v>0</v>
      </c>
      <c r="P7" s="110">
        <v>0</v>
      </c>
      <c r="Q7" s="110">
        <v>0</v>
      </c>
      <c r="R7" s="110">
        <v>0</v>
      </c>
      <c r="S7" s="110">
        <v>0</v>
      </c>
      <c r="T7" s="110">
        <v>0</v>
      </c>
      <c r="U7" s="110">
        <v>0</v>
      </c>
      <c r="V7" s="110">
        <v>0</v>
      </c>
      <c r="W7" s="110">
        <v>0</v>
      </c>
      <c r="X7" s="110">
        <v>0</v>
      </c>
      <c r="Y7" s="110">
        <v>0</v>
      </c>
      <c r="Z7" s="110">
        <v>0</v>
      </c>
      <c r="AA7" s="110">
        <v>0</v>
      </c>
      <c r="AB7" s="110">
        <v>0</v>
      </c>
      <c r="AC7" s="110">
        <v>0</v>
      </c>
      <c r="AD7" s="110">
        <v>0</v>
      </c>
      <c r="AE7" s="110">
        <v>0</v>
      </c>
      <c r="AF7" s="110">
        <v>0</v>
      </c>
      <c r="AG7" s="110">
        <v>0</v>
      </c>
      <c r="AH7" s="110">
        <v>0</v>
      </c>
      <c r="AI7" s="110">
        <v>0</v>
      </c>
      <c r="AJ7" s="110">
        <v>0</v>
      </c>
      <c r="AK7" s="110">
        <v>0</v>
      </c>
      <c r="AL7" s="110">
        <v>0</v>
      </c>
      <c r="AM7" s="110">
        <v>0</v>
      </c>
      <c r="AN7" s="110">
        <v>0</v>
      </c>
    </row>
    <row r="8" spans="1:40" customFormat="1" x14ac:dyDescent="0.15">
      <c r="A8" s="189" t="s">
        <v>197</v>
      </c>
      <c r="B8" s="110">
        <v>0</v>
      </c>
      <c r="C8" s="110">
        <v>0</v>
      </c>
      <c r="D8" s="110">
        <v>0</v>
      </c>
      <c r="E8" s="110">
        <v>1</v>
      </c>
      <c r="F8" s="110">
        <v>0</v>
      </c>
      <c r="G8" s="110">
        <v>1</v>
      </c>
      <c r="H8" s="110">
        <v>0</v>
      </c>
      <c r="I8" s="110">
        <v>0</v>
      </c>
      <c r="J8" s="110">
        <v>0</v>
      </c>
      <c r="K8" s="110">
        <v>0</v>
      </c>
      <c r="L8" s="110">
        <v>0</v>
      </c>
      <c r="M8" s="110">
        <v>0</v>
      </c>
      <c r="N8" s="110">
        <v>0</v>
      </c>
      <c r="O8" s="110">
        <v>0</v>
      </c>
      <c r="P8" s="110">
        <v>0</v>
      </c>
      <c r="Q8" s="110">
        <v>0</v>
      </c>
      <c r="R8" s="110">
        <v>0</v>
      </c>
      <c r="S8" s="110">
        <v>0</v>
      </c>
      <c r="T8" s="110">
        <v>0</v>
      </c>
      <c r="U8" s="110">
        <v>0</v>
      </c>
      <c r="V8" s="110">
        <v>0</v>
      </c>
      <c r="W8" s="110">
        <v>0</v>
      </c>
      <c r="X8" s="110">
        <v>1</v>
      </c>
      <c r="Y8" s="110">
        <v>0</v>
      </c>
      <c r="Z8" s="110">
        <v>0</v>
      </c>
      <c r="AA8" s="110">
        <v>0</v>
      </c>
      <c r="AB8" s="110">
        <v>0</v>
      </c>
      <c r="AC8" s="110">
        <v>0</v>
      </c>
      <c r="AD8" s="110">
        <v>0</v>
      </c>
      <c r="AE8" s="110">
        <v>0</v>
      </c>
      <c r="AF8" s="110">
        <v>0</v>
      </c>
      <c r="AG8" s="110">
        <v>0</v>
      </c>
      <c r="AH8" s="110">
        <v>0</v>
      </c>
      <c r="AI8" s="110">
        <v>0</v>
      </c>
      <c r="AJ8" s="110">
        <v>0</v>
      </c>
      <c r="AK8" s="110">
        <v>0</v>
      </c>
      <c r="AL8" s="110">
        <v>0</v>
      </c>
      <c r="AM8" s="110">
        <v>0</v>
      </c>
      <c r="AN8" s="110">
        <v>0</v>
      </c>
    </row>
    <row r="9" spans="1:40" customFormat="1" x14ac:dyDescent="0.15">
      <c r="A9" s="189" t="s">
        <v>198</v>
      </c>
      <c r="B9" s="110">
        <v>0</v>
      </c>
      <c r="C9" s="110">
        <v>0</v>
      </c>
      <c r="D9" s="110">
        <v>0</v>
      </c>
      <c r="E9" s="110">
        <v>1</v>
      </c>
      <c r="F9" s="110">
        <v>0</v>
      </c>
      <c r="G9" s="110">
        <v>0</v>
      </c>
      <c r="H9" s="110">
        <v>0</v>
      </c>
      <c r="I9" s="110">
        <v>0</v>
      </c>
      <c r="J9" s="110">
        <v>0</v>
      </c>
      <c r="K9" s="110">
        <v>0</v>
      </c>
      <c r="L9" s="110">
        <v>0</v>
      </c>
      <c r="M9" s="110">
        <v>0</v>
      </c>
      <c r="N9" s="110">
        <v>0</v>
      </c>
      <c r="O9" s="110">
        <v>0</v>
      </c>
      <c r="P9" s="110">
        <v>0</v>
      </c>
      <c r="Q9" s="110">
        <v>0</v>
      </c>
      <c r="R9" s="110">
        <v>0</v>
      </c>
      <c r="S9" s="110">
        <v>0</v>
      </c>
      <c r="T9" s="110">
        <v>0</v>
      </c>
      <c r="U9" s="110">
        <v>0</v>
      </c>
      <c r="V9" s="110">
        <v>0</v>
      </c>
      <c r="W9" s="110">
        <v>0</v>
      </c>
      <c r="X9" s="110">
        <v>1</v>
      </c>
      <c r="Y9" s="110">
        <v>0</v>
      </c>
      <c r="Z9" s="110">
        <v>0</v>
      </c>
      <c r="AA9" s="110">
        <v>0</v>
      </c>
      <c r="AB9" s="110">
        <v>0</v>
      </c>
      <c r="AC9" s="110">
        <v>0</v>
      </c>
      <c r="AD9" s="110">
        <v>0</v>
      </c>
      <c r="AE9" s="110">
        <v>0</v>
      </c>
      <c r="AF9" s="110">
        <v>0</v>
      </c>
      <c r="AG9" s="110">
        <v>0</v>
      </c>
      <c r="AH9" s="110">
        <v>0</v>
      </c>
      <c r="AI9" s="110">
        <v>0</v>
      </c>
      <c r="AJ9" s="110">
        <v>0</v>
      </c>
      <c r="AK9" s="110">
        <v>0</v>
      </c>
      <c r="AL9" s="110">
        <v>0</v>
      </c>
      <c r="AM9" s="110">
        <v>0</v>
      </c>
      <c r="AN9" s="110">
        <v>0</v>
      </c>
    </row>
    <row r="10" spans="1:40" customFormat="1" x14ac:dyDescent="0.15">
      <c r="A10" s="189" t="s">
        <v>199</v>
      </c>
      <c r="B10" s="110">
        <v>0</v>
      </c>
      <c r="C10" s="110">
        <v>1</v>
      </c>
      <c r="D10" s="110">
        <v>1</v>
      </c>
      <c r="E10" s="110">
        <v>1</v>
      </c>
      <c r="F10" s="110">
        <v>1</v>
      </c>
      <c r="G10" s="110">
        <v>1</v>
      </c>
      <c r="H10" s="110">
        <v>1</v>
      </c>
      <c r="I10" s="110">
        <v>1</v>
      </c>
      <c r="J10" s="110">
        <v>0</v>
      </c>
      <c r="K10" s="110">
        <v>0</v>
      </c>
      <c r="L10" s="110">
        <v>1</v>
      </c>
      <c r="M10" s="110">
        <v>0</v>
      </c>
      <c r="N10" s="110">
        <v>0</v>
      </c>
      <c r="O10" s="110">
        <v>0</v>
      </c>
      <c r="P10" s="110">
        <v>0</v>
      </c>
      <c r="Q10" s="110">
        <v>0</v>
      </c>
      <c r="R10" s="110">
        <v>0</v>
      </c>
      <c r="S10" s="110">
        <v>0</v>
      </c>
      <c r="T10" s="110">
        <v>0</v>
      </c>
      <c r="U10" s="110">
        <v>0</v>
      </c>
      <c r="V10" s="110">
        <v>0</v>
      </c>
      <c r="W10" s="110">
        <v>0</v>
      </c>
      <c r="X10" s="110">
        <v>0</v>
      </c>
      <c r="Y10" s="110">
        <v>0</v>
      </c>
      <c r="Z10" s="110">
        <v>0</v>
      </c>
      <c r="AA10" s="110">
        <v>0</v>
      </c>
      <c r="AB10" s="110">
        <v>0</v>
      </c>
      <c r="AC10" s="110">
        <v>0</v>
      </c>
      <c r="AD10" s="110">
        <v>0</v>
      </c>
      <c r="AE10" s="110">
        <v>1</v>
      </c>
      <c r="AF10" s="110">
        <v>0</v>
      </c>
      <c r="AG10" s="110">
        <v>0</v>
      </c>
      <c r="AH10" s="110">
        <v>0</v>
      </c>
      <c r="AI10" s="110">
        <v>0</v>
      </c>
      <c r="AJ10" s="110">
        <v>0</v>
      </c>
      <c r="AK10" s="110">
        <v>0</v>
      </c>
      <c r="AL10" s="110">
        <v>0</v>
      </c>
      <c r="AM10" s="110">
        <v>0</v>
      </c>
      <c r="AN10" s="110">
        <v>0</v>
      </c>
    </row>
    <row r="11" spans="1:40" customFormat="1" x14ac:dyDescent="0.15">
      <c r="A11" s="189" t="s">
        <v>200</v>
      </c>
      <c r="B11" s="110">
        <v>0</v>
      </c>
      <c r="C11" s="110">
        <v>1</v>
      </c>
      <c r="D11" s="110">
        <v>1</v>
      </c>
      <c r="E11" s="110">
        <v>1</v>
      </c>
      <c r="F11" s="110">
        <v>1</v>
      </c>
      <c r="G11" s="110">
        <v>1</v>
      </c>
      <c r="H11" s="110">
        <v>1</v>
      </c>
      <c r="I11" s="110">
        <v>1</v>
      </c>
      <c r="J11" s="110">
        <v>1</v>
      </c>
      <c r="K11" s="110">
        <v>0</v>
      </c>
      <c r="L11" s="110">
        <v>1</v>
      </c>
      <c r="M11" s="110">
        <v>1</v>
      </c>
      <c r="N11" s="110">
        <v>1</v>
      </c>
      <c r="O11" s="110">
        <v>0</v>
      </c>
      <c r="P11" s="110">
        <v>0</v>
      </c>
      <c r="Q11" s="110">
        <v>0</v>
      </c>
      <c r="R11" s="110">
        <v>0</v>
      </c>
      <c r="S11" s="110">
        <v>0</v>
      </c>
      <c r="T11" s="110">
        <v>0</v>
      </c>
      <c r="U11" s="110">
        <v>0</v>
      </c>
      <c r="V11" s="110">
        <v>0</v>
      </c>
      <c r="W11" s="110">
        <v>0</v>
      </c>
      <c r="X11" s="110">
        <v>1</v>
      </c>
      <c r="Y11" s="110">
        <v>0</v>
      </c>
      <c r="Z11" s="110">
        <v>0</v>
      </c>
      <c r="AA11" s="110">
        <v>0</v>
      </c>
      <c r="AB11" s="110">
        <v>0</v>
      </c>
      <c r="AC11" s="110">
        <v>1</v>
      </c>
      <c r="AD11" s="110">
        <v>1</v>
      </c>
      <c r="AE11" s="110">
        <v>1</v>
      </c>
      <c r="AF11" s="110">
        <v>0</v>
      </c>
      <c r="AG11" s="110">
        <v>0</v>
      </c>
      <c r="AH11" s="110">
        <v>0</v>
      </c>
      <c r="AI11" s="110">
        <v>0</v>
      </c>
      <c r="AJ11" s="110">
        <v>0</v>
      </c>
      <c r="AK11" s="110">
        <v>0</v>
      </c>
      <c r="AL11" s="110">
        <v>0</v>
      </c>
      <c r="AM11" s="110">
        <v>0</v>
      </c>
      <c r="AN11" s="110">
        <v>0</v>
      </c>
    </row>
    <row r="12" spans="1:40" customFormat="1" x14ac:dyDescent="0.15">
      <c r="A12" s="189" t="s">
        <v>201</v>
      </c>
      <c r="B12" s="110">
        <v>0</v>
      </c>
      <c r="C12" s="110">
        <v>0</v>
      </c>
      <c r="D12" s="110">
        <v>0</v>
      </c>
      <c r="E12" s="110">
        <v>0</v>
      </c>
      <c r="F12" s="110">
        <v>0</v>
      </c>
      <c r="G12" s="110">
        <v>0</v>
      </c>
      <c r="H12" s="110">
        <v>0</v>
      </c>
      <c r="I12" s="110">
        <v>0</v>
      </c>
      <c r="J12" s="110">
        <v>1</v>
      </c>
      <c r="K12" s="110">
        <v>0</v>
      </c>
      <c r="L12" s="110">
        <v>0</v>
      </c>
      <c r="M12" s="110">
        <v>0</v>
      </c>
      <c r="N12" s="110">
        <v>0</v>
      </c>
      <c r="O12" s="110">
        <v>0</v>
      </c>
      <c r="P12" s="110">
        <v>0</v>
      </c>
      <c r="Q12" s="110">
        <v>0</v>
      </c>
      <c r="R12" s="110">
        <v>0</v>
      </c>
      <c r="S12" s="110">
        <v>0</v>
      </c>
      <c r="T12" s="110">
        <v>0</v>
      </c>
      <c r="U12" s="110">
        <v>0</v>
      </c>
      <c r="V12" s="110">
        <v>0</v>
      </c>
      <c r="W12" s="110">
        <v>0</v>
      </c>
      <c r="X12" s="110">
        <v>0</v>
      </c>
      <c r="Y12" s="110">
        <v>0</v>
      </c>
      <c r="Z12" s="110">
        <v>0</v>
      </c>
      <c r="AA12" s="110">
        <v>0</v>
      </c>
      <c r="AB12" s="110">
        <v>0</v>
      </c>
      <c r="AC12" s="110">
        <v>0</v>
      </c>
      <c r="AD12" s="110">
        <v>0</v>
      </c>
      <c r="AE12" s="110">
        <v>1</v>
      </c>
      <c r="AF12" s="110">
        <v>0</v>
      </c>
      <c r="AG12" s="110">
        <v>0</v>
      </c>
      <c r="AH12" s="110">
        <v>0</v>
      </c>
      <c r="AI12" s="110">
        <v>0</v>
      </c>
      <c r="AJ12" s="110">
        <v>0</v>
      </c>
      <c r="AK12" s="110">
        <v>0</v>
      </c>
      <c r="AL12" s="110">
        <v>0</v>
      </c>
      <c r="AM12" s="110">
        <v>0</v>
      </c>
      <c r="AN12" s="110">
        <v>0</v>
      </c>
    </row>
    <row r="13" spans="1:40" customFormat="1" x14ac:dyDescent="0.15">
      <c r="A13" s="189" t="s">
        <v>202</v>
      </c>
      <c r="B13" s="110">
        <v>0</v>
      </c>
      <c r="C13" s="110">
        <v>0</v>
      </c>
      <c r="D13" s="110">
        <v>0</v>
      </c>
      <c r="E13" s="110">
        <v>1</v>
      </c>
      <c r="F13" s="110">
        <v>1</v>
      </c>
      <c r="G13" s="110">
        <v>0</v>
      </c>
      <c r="H13" s="110">
        <v>0</v>
      </c>
      <c r="I13" s="110">
        <v>0</v>
      </c>
      <c r="J13" s="110">
        <v>1</v>
      </c>
      <c r="K13" s="110">
        <v>0</v>
      </c>
      <c r="L13" s="110">
        <v>1</v>
      </c>
      <c r="M13" s="110">
        <v>0</v>
      </c>
      <c r="N13" s="110">
        <v>1</v>
      </c>
      <c r="O13" s="110">
        <v>0</v>
      </c>
      <c r="P13" s="110">
        <v>0</v>
      </c>
      <c r="Q13" s="110">
        <v>0</v>
      </c>
      <c r="R13" s="110">
        <v>0</v>
      </c>
      <c r="S13" s="110">
        <v>0</v>
      </c>
      <c r="T13" s="110">
        <v>0</v>
      </c>
      <c r="U13" s="110">
        <v>0</v>
      </c>
      <c r="V13" s="110">
        <v>0</v>
      </c>
      <c r="W13" s="110">
        <v>1</v>
      </c>
      <c r="X13" s="110">
        <v>0</v>
      </c>
      <c r="Y13" s="110">
        <v>0</v>
      </c>
      <c r="Z13" s="110">
        <v>0</v>
      </c>
      <c r="AA13" s="110">
        <v>0</v>
      </c>
      <c r="AB13" s="110">
        <v>0</v>
      </c>
      <c r="AC13" s="110">
        <v>0</v>
      </c>
      <c r="AD13" s="110">
        <v>0</v>
      </c>
      <c r="AE13" s="110">
        <v>1</v>
      </c>
      <c r="AF13" s="110">
        <v>0</v>
      </c>
      <c r="AG13" s="110">
        <v>0</v>
      </c>
      <c r="AH13" s="110">
        <v>0</v>
      </c>
      <c r="AI13" s="110">
        <v>0</v>
      </c>
      <c r="AJ13" s="110">
        <v>0</v>
      </c>
      <c r="AK13" s="110">
        <v>0</v>
      </c>
      <c r="AL13" s="110">
        <v>0</v>
      </c>
      <c r="AM13" s="110">
        <v>0</v>
      </c>
      <c r="AN13" s="110">
        <v>0</v>
      </c>
    </row>
    <row r="14" spans="1:40" customFormat="1" x14ac:dyDescent="0.15">
      <c r="A14" s="189" t="s">
        <v>203</v>
      </c>
      <c r="B14" s="110">
        <v>1</v>
      </c>
      <c r="C14" s="110">
        <v>0</v>
      </c>
      <c r="D14" s="110">
        <v>0</v>
      </c>
      <c r="E14" s="110">
        <v>0</v>
      </c>
      <c r="F14" s="110">
        <v>0</v>
      </c>
      <c r="G14" s="110">
        <v>0</v>
      </c>
      <c r="H14" s="110">
        <v>0</v>
      </c>
      <c r="I14" s="110">
        <v>0</v>
      </c>
      <c r="J14" s="110">
        <v>0</v>
      </c>
      <c r="K14" s="110">
        <v>0</v>
      </c>
      <c r="L14" s="110">
        <v>1</v>
      </c>
      <c r="M14" s="110">
        <v>0</v>
      </c>
      <c r="N14" s="110">
        <v>1</v>
      </c>
      <c r="O14" s="110">
        <v>0</v>
      </c>
      <c r="P14" s="110">
        <v>1</v>
      </c>
      <c r="Q14" s="110">
        <v>0</v>
      </c>
      <c r="R14" s="110">
        <v>0</v>
      </c>
      <c r="S14" s="110">
        <v>0</v>
      </c>
      <c r="T14" s="110">
        <v>0</v>
      </c>
      <c r="U14" s="110">
        <v>0</v>
      </c>
      <c r="V14" s="110">
        <v>0</v>
      </c>
      <c r="W14" s="110">
        <v>0</v>
      </c>
      <c r="X14" s="110">
        <v>0</v>
      </c>
      <c r="Y14" s="110">
        <v>0</v>
      </c>
      <c r="Z14" s="110">
        <v>0</v>
      </c>
      <c r="AA14" s="110">
        <v>1</v>
      </c>
      <c r="AB14" s="110">
        <v>0</v>
      </c>
      <c r="AC14" s="110">
        <v>0</v>
      </c>
      <c r="AD14" s="110">
        <v>0</v>
      </c>
      <c r="AE14" s="110">
        <v>0</v>
      </c>
      <c r="AF14" s="110">
        <v>0</v>
      </c>
      <c r="AG14" s="110">
        <v>0</v>
      </c>
      <c r="AH14" s="110">
        <v>0</v>
      </c>
      <c r="AI14" s="110">
        <v>0</v>
      </c>
      <c r="AJ14" s="110">
        <v>0</v>
      </c>
      <c r="AK14" s="110">
        <v>0</v>
      </c>
      <c r="AL14" s="110">
        <v>0</v>
      </c>
      <c r="AM14" s="110">
        <v>0</v>
      </c>
      <c r="AN14" s="110">
        <v>0</v>
      </c>
    </row>
    <row r="15" spans="1:40" customFormat="1" x14ac:dyDescent="0.15">
      <c r="A15" s="189" t="s">
        <v>204</v>
      </c>
      <c r="B15" s="110">
        <v>1</v>
      </c>
      <c r="C15" s="110">
        <v>1</v>
      </c>
      <c r="D15" s="110">
        <v>0</v>
      </c>
      <c r="E15" s="110">
        <v>0</v>
      </c>
      <c r="F15" s="110">
        <v>0</v>
      </c>
      <c r="G15" s="110">
        <v>0</v>
      </c>
      <c r="H15" s="110">
        <v>0</v>
      </c>
      <c r="I15" s="110">
        <v>0</v>
      </c>
      <c r="J15" s="110">
        <v>0</v>
      </c>
      <c r="K15" s="110">
        <v>0</v>
      </c>
      <c r="L15" s="110">
        <v>0</v>
      </c>
      <c r="M15" s="110">
        <v>0</v>
      </c>
      <c r="N15" s="110">
        <v>1</v>
      </c>
      <c r="O15" s="110">
        <v>0</v>
      </c>
      <c r="P15" s="110">
        <v>0</v>
      </c>
      <c r="Q15" s="110">
        <v>0</v>
      </c>
      <c r="R15" s="110">
        <v>0</v>
      </c>
      <c r="S15" s="110">
        <v>0</v>
      </c>
      <c r="T15" s="110">
        <v>0</v>
      </c>
      <c r="U15" s="110">
        <v>0</v>
      </c>
      <c r="V15" s="110">
        <v>0</v>
      </c>
      <c r="W15" s="110">
        <v>0</v>
      </c>
      <c r="X15" s="110">
        <v>0</v>
      </c>
      <c r="Y15" s="110">
        <v>0</v>
      </c>
      <c r="Z15" s="110">
        <v>0</v>
      </c>
      <c r="AA15" s="110">
        <v>0</v>
      </c>
      <c r="AB15" s="110">
        <v>0</v>
      </c>
      <c r="AC15" s="110">
        <v>0</v>
      </c>
      <c r="AD15" s="110">
        <v>1</v>
      </c>
      <c r="AE15" s="110">
        <v>0</v>
      </c>
      <c r="AF15" s="110">
        <v>0</v>
      </c>
      <c r="AG15" s="110">
        <v>0</v>
      </c>
      <c r="AH15" s="110">
        <v>0</v>
      </c>
      <c r="AI15" s="110">
        <v>0</v>
      </c>
      <c r="AJ15" s="110">
        <v>0</v>
      </c>
      <c r="AK15" s="110">
        <v>0</v>
      </c>
      <c r="AL15" s="110">
        <v>0</v>
      </c>
      <c r="AM15" s="110">
        <v>0</v>
      </c>
      <c r="AN15" s="110">
        <v>0</v>
      </c>
    </row>
    <row r="16" spans="1:40" customFormat="1" x14ac:dyDescent="0.15">
      <c r="A16" s="189" t="s">
        <v>205</v>
      </c>
      <c r="B16" s="110">
        <v>0</v>
      </c>
      <c r="C16" s="110">
        <v>0</v>
      </c>
      <c r="D16" s="110">
        <v>0</v>
      </c>
      <c r="E16" s="110">
        <v>1</v>
      </c>
      <c r="F16" s="110">
        <v>0</v>
      </c>
      <c r="G16" s="110">
        <v>0</v>
      </c>
      <c r="H16" s="110">
        <v>0</v>
      </c>
      <c r="I16" s="110">
        <v>0</v>
      </c>
      <c r="J16" s="110">
        <v>0</v>
      </c>
      <c r="K16" s="110">
        <v>0</v>
      </c>
      <c r="L16" s="110">
        <v>0</v>
      </c>
      <c r="M16" s="110">
        <v>0</v>
      </c>
      <c r="N16" s="110">
        <v>1</v>
      </c>
      <c r="O16" s="110">
        <v>1</v>
      </c>
      <c r="P16" s="110">
        <v>0</v>
      </c>
      <c r="Q16" s="110">
        <v>0</v>
      </c>
      <c r="R16" s="110">
        <v>0</v>
      </c>
      <c r="S16" s="110">
        <v>0</v>
      </c>
      <c r="T16" s="110">
        <v>0</v>
      </c>
      <c r="U16" s="110">
        <v>0</v>
      </c>
      <c r="V16" s="110">
        <v>0</v>
      </c>
      <c r="W16" s="110">
        <v>0</v>
      </c>
      <c r="X16" s="110">
        <v>0</v>
      </c>
      <c r="Y16" s="110">
        <v>0</v>
      </c>
      <c r="Z16" s="110">
        <v>0</v>
      </c>
      <c r="AA16" s="110">
        <v>1</v>
      </c>
      <c r="AB16" s="110">
        <v>0</v>
      </c>
      <c r="AC16" s="110">
        <v>0</v>
      </c>
      <c r="AD16" s="110">
        <v>0</v>
      </c>
      <c r="AE16" s="110">
        <v>0</v>
      </c>
      <c r="AF16" s="110">
        <v>0</v>
      </c>
      <c r="AG16" s="110">
        <v>0</v>
      </c>
      <c r="AH16" s="110">
        <v>0</v>
      </c>
      <c r="AI16" s="110">
        <v>0</v>
      </c>
      <c r="AJ16" s="110">
        <v>0</v>
      </c>
      <c r="AK16" s="110">
        <v>0</v>
      </c>
      <c r="AL16" s="110">
        <v>0</v>
      </c>
      <c r="AM16" s="110">
        <v>0</v>
      </c>
      <c r="AN16" s="110">
        <v>0</v>
      </c>
    </row>
    <row r="17" spans="1:40" customFormat="1" x14ac:dyDescent="0.15">
      <c r="A17" s="189" t="s">
        <v>206</v>
      </c>
      <c r="B17" s="110">
        <v>0</v>
      </c>
      <c r="C17" s="110">
        <v>0</v>
      </c>
      <c r="D17" s="110">
        <v>0</v>
      </c>
      <c r="E17" s="110">
        <v>1</v>
      </c>
      <c r="F17" s="110">
        <v>1</v>
      </c>
      <c r="G17" s="110">
        <v>0</v>
      </c>
      <c r="H17" s="110">
        <v>0</v>
      </c>
      <c r="I17" s="110">
        <v>0</v>
      </c>
      <c r="J17" s="110">
        <v>0</v>
      </c>
      <c r="K17" s="110">
        <v>0</v>
      </c>
      <c r="L17" s="110">
        <v>0</v>
      </c>
      <c r="M17" s="110">
        <v>0</v>
      </c>
      <c r="N17" s="110">
        <v>1</v>
      </c>
      <c r="O17" s="110">
        <v>0</v>
      </c>
      <c r="P17" s="110">
        <v>0</v>
      </c>
      <c r="Q17" s="110">
        <v>0</v>
      </c>
      <c r="R17" s="110">
        <v>0</v>
      </c>
      <c r="S17" s="110">
        <v>0</v>
      </c>
      <c r="T17" s="110">
        <v>0</v>
      </c>
      <c r="U17" s="110">
        <v>0</v>
      </c>
      <c r="V17" s="110">
        <v>0</v>
      </c>
      <c r="W17" s="110">
        <v>0</v>
      </c>
      <c r="X17" s="110">
        <v>0</v>
      </c>
      <c r="Y17" s="110">
        <v>0</v>
      </c>
      <c r="Z17" s="110">
        <v>0</v>
      </c>
      <c r="AA17" s="110">
        <v>0</v>
      </c>
      <c r="AB17" s="110">
        <v>0</v>
      </c>
      <c r="AC17" s="110">
        <v>0</v>
      </c>
      <c r="AD17" s="110">
        <v>0</v>
      </c>
      <c r="AE17" s="110">
        <v>0</v>
      </c>
      <c r="AF17" s="110">
        <v>0</v>
      </c>
      <c r="AG17" s="110">
        <v>0</v>
      </c>
      <c r="AH17" s="110">
        <v>0</v>
      </c>
      <c r="AI17" s="110">
        <v>0</v>
      </c>
      <c r="AJ17" s="110">
        <v>0</v>
      </c>
      <c r="AK17" s="110">
        <v>0</v>
      </c>
      <c r="AL17" s="110">
        <v>0</v>
      </c>
      <c r="AM17" s="110">
        <v>0</v>
      </c>
      <c r="AN17" s="110">
        <v>0</v>
      </c>
    </row>
    <row r="18" spans="1:40" customFormat="1" x14ac:dyDescent="0.15">
      <c r="A18" s="189" t="s">
        <v>207</v>
      </c>
      <c r="B18" s="110">
        <v>1</v>
      </c>
      <c r="C18" s="110">
        <v>1</v>
      </c>
      <c r="D18" s="110">
        <v>0</v>
      </c>
      <c r="E18" s="110">
        <v>1</v>
      </c>
      <c r="F18" s="110">
        <v>0</v>
      </c>
      <c r="G18" s="110">
        <v>0</v>
      </c>
      <c r="H18" s="110">
        <v>0</v>
      </c>
      <c r="I18" s="110">
        <v>1</v>
      </c>
      <c r="J18" s="110">
        <v>0</v>
      </c>
      <c r="K18" s="110">
        <v>0</v>
      </c>
      <c r="L18" s="110">
        <v>0</v>
      </c>
      <c r="M18" s="110">
        <v>0</v>
      </c>
      <c r="N18" s="110">
        <v>0</v>
      </c>
      <c r="O18" s="110">
        <v>0</v>
      </c>
      <c r="P18" s="110">
        <v>1</v>
      </c>
      <c r="Q18" s="110">
        <v>0</v>
      </c>
      <c r="R18" s="110">
        <v>0</v>
      </c>
      <c r="S18" s="110">
        <v>0</v>
      </c>
      <c r="T18" s="110">
        <v>0</v>
      </c>
      <c r="U18" s="110">
        <v>0</v>
      </c>
      <c r="V18" s="110">
        <v>0</v>
      </c>
      <c r="W18" s="110">
        <v>1</v>
      </c>
      <c r="X18" s="110">
        <v>0</v>
      </c>
      <c r="Y18" s="110">
        <v>0</v>
      </c>
      <c r="Z18" s="110">
        <v>0</v>
      </c>
      <c r="AA18" s="110">
        <v>0</v>
      </c>
      <c r="AB18" s="110">
        <v>0</v>
      </c>
      <c r="AC18" s="110">
        <v>0</v>
      </c>
      <c r="AD18" s="110">
        <v>0</v>
      </c>
      <c r="AE18" s="110">
        <v>0</v>
      </c>
      <c r="AF18" s="110">
        <v>0</v>
      </c>
      <c r="AG18" s="110">
        <v>0</v>
      </c>
      <c r="AH18" s="110">
        <v>0</v>
      </c>
      <c r="AI18" s="110">
        <v>0</v>
      </c>
      <c r="AJ18" s="110">
        <v>0</v>
      </c>
      <c r="AK18" s="110">
        <v>0</v>
      </c>
      <c r="AL18" s="110">
        <v>0</v>
      </c>
      <c r="AM18" s="110">
        <v>0</v>
      </c>
      <c r="AN18" s="110">
        <v>0</v>
      </c>
    </row>
    <row r="19" spans="1:40" customFormat="1" x14ac:dyDescent="0.15">
      <c r="A19" s="189" t="s">
        <v>208</v>
      </c>
      <c r="B19" s="110">
        <v>1</v>
      </c>
      <c r="C19" s="110">
        <v>1</v>
      </c>
      <c r="D19" s="110">
        <v>0</v>
      </c>
      <c r="E19" s="110">
        <v>1</v>
      </c>
      <c r="F19" s="110">
        <v>1</v>
      </c>
      <c r="G19" s="110">
        <v>0</v>
      </c>
      <c r="H19" s="110">
        <v>1</v>
      </c>
      <c r="I19" s="110">
        <v>1</v>
      </c>
      <c r="J19" s="110">
        <v>0</v>
      </c>
      <c r="K19" s="110">
        <v>0</v>
      </c>
      <c r="L19" s="110">
        <v>0</v>
      </c>
      <c r="M19" s="110">
        <v>0</v>
      </c>
      <c r="N19" s="110">
        <v>1</v>
      </c>
      <c r="O19" s="110">
        <v>0</v>
      </c>
      <c r="P19" s="110">
        <v>1</v>
      </c>
      <c r="Q19" s="110">
        <v>0</v>
      </c>
      <c r="R19" s="110">
        <v>1</v>
      </c>
      <c r="S19" s="110">
        <v>0</v>
      </c>
      <c r="T19" s="110">
        <v>1</v>
      </c>
      <c r="U19" s="110">
        <v>0</v>
      </c>
      <c r="V19" s="110">
        <v>0</v>
      </c>
      <c r="W19" s="110">
        <v>1</v>
      </c>
      <c r="X19" s="110">
        <v>1</v>
      </c>
      <c r="Y19" s="110">
        <v>0</v>
      </c>
      <c r="Z19" s="110">
        <v>0</v>
      </c>
      <c r="AA19" s="110">
        <v>0</v>
      </c>
      <c r="AB19" s="110">
        <v>0</v>
      </c>
      <c r="AC19" s="110">
        <v>0</v>
      </c>
      <c r="AD19" s="110">
        <v>1</v>
      </c>
      <c r="AE19" s="110">
        <v>1</v>
      </c>
      <c r="AF19" s="110">
        <v>0</v>
      </c>
      <c r="AG19" s="110">
        <v>0</v>
      </c>
      <c r="AH19" s="110">
        <v>0</v>
      </c>
      <c r="AI19" s="110">
        <v>0</v>
      </c>
      <c r="AJ19" s="110">
        <v>0</v>
      </c>
      <c r="AK19" s="110">
        <v>0</v>
      </c>
      <c r="AL19" s="110">
        <v>0</v>
      </c>
      <c r="AM19" s="110">
        <v>0</v>
      </c>
      <c r="AN19" s="110">
        <v>0</v>
      </c>
    </row>
    <row r="20" spans="1:40" customFormat="1" x14ac:dyDescent="0.15">
      <c r="A20" s="189" t="s">
        <v>209</v>
      </c>
      <c r="B20" s="110">
        <v>1</v>
      </c>
      <c r="C20" s="110">
        <v>1</v>
      </c>
      <c r="D20" s="110">
        <v>1</v>
      </c>
      <c r="E20" s="110">
        <v>1</v>
      </c>
      <c r="F20" s="110">
        <v>0</v>
      </c>
      <c r="G20" s="110">
        <v>0</v>
      </c>
      <c r="H20" s="110">
        <v>0</v>
      </c>
      <c r="I20" s="110">
        <v>0</v>
      </c>
      <c r="J20" s="110">
        <v>0</v>
      </c>
      <c r="K20" s="110">
        <v>0</v>
      </c>
      <c r="L20" s="110">
        <v>0</v>
      </c>
      <c r="M20" s="110">
        <v>0</v>
      </c>
      <c r="N20" s="110">
        <v>1</v>
      </c>
      <c r="O20" s="110">
        <v>0</v>
      </c>
      <c r="P20" s="110">
        <v>0</v>
      </c>
      <c r="Q20" s="110">
        <v>0</v>
      </c>
      <c r="R20" s="110">
        <v>0</v>
      </c>
      <c r="S20" s="110">
        <v>0</v>
      </c>
      <c r="T20" s="110">
        <v>0</v>
      </c>
      <c r="U20" s="110">
        <v>0</v>
      </c>
      <c r="V20" s="110">
        <v>0</v>
      </c>
      <c r="W20" s="110">
        <v>1</v>
      </c>
      <c r="X20" s="110">
        <v>1</v>
      </c>
      <c r="Y20" s="110">
        <v>0</v>
      </c>
      <c r="Z20" s="110">
        <v>0</v>
      </c>
      <c r="AA20" s="110">
        <v>0</v>
      </c>
      <c r="AB20" s="110">
        <v>0</v>
      </c>
      <c r="AC20" s="110">
        <v>0</v>
      </c>
      <c r="AD20" s="110">
        <v>0</v>
      </c>
      <c r="AE20" s="110">
        <v>1</v>
      </c>
      <c r="AF20" s="110">
        <v>0</v>
      </c>
      <c r="AG20" s="110">
        <v>0</v>
      </c>
      <c r="AH20" s="110">
        <v>0</v>
      </c>
      <c r="AI20" s="110">
        <v>0</v>
      </c>
      <c r="AJ20" s="110">
        <v>0</v>
      </c>
      <c r="AK20" s="110">
        <v>0</v>
      </c>
      <c r="AL20" s="110">
        <v>0</v>
      </c>
      <c r="AM20" s="110">
        <v>0</v>
      </c>
      <c r="AN20" s="110">
        <v>0</v>
      </c>
    </row>
    <row r="21" spans="1:40" customFormat="1" x14ac:dyDescent="0.15">
      <c r="A21" s="189" t="s">
        <v>210</v>
      </c>
      <c r="B21" s="110">
        <v>1</v>
      </c>
      <c r="C21" s="110">
        <v>1</v>
      </c>
      <c r="D21" s="110">
        <v>1</v>
      </c>
      <c r="E21" s="110">
        <v>1</v>
      </c>
      <c r="F21" s="110">
        <v>1</v>
      </c>
      <c r="G21" s="110">
        <v>0</v>
      </c>
      <c r="H21" s="110">
        <v>1</v>
      </c>
      <c r="I21" s="110">
        <v>1</v>
      </c>
      <c r="J21" s="110">
        <v>0</v>
      </c>
      <c r="K21" s="110">
        <v>0</v>
      </c>
      <c r="L21" s="110">
        <v>0</v>
      </c>
      <c r="M21" s="110">
        <v>0</v>
      </c>
      <c r="N21" s="110">
        <v>1</v>
      </c>
      <c r="O21" s="110">
        <v>0</v>
      </c>
      <c r="P21" s="110">
        <v>1</v>
      </c>
      <c r="Q21" s="110">
        <v>1</v>
      </c>
      <c r="R21" s="110">
        <v>1</v>
      </c>
      <c r="S21" s="110">
        <v>0</v>
      </c>
      <c r="T21" s="110">
        <v>1</v>
      </c>
      <c r="U21" s="110">
        <v>0</v>
      </c>
      <c r="V21" s="110">
        <v>0</v>
      </c>
      <c r="W21" s="110">
        <v>1</v>
      </c>
      <c r="X21" s="110">
        <v>1</v>
      </c>
      <c r="Y21" s="110">
        <v>0</v>
      </c>
      <c r="Z21" s="110">
        <v>0</v>
      </c>
      <c r="AA21" s="110">
        <v>1</v>
      </c>
      <c r="AB21" s="110">
        <v>0</v>
      </c>
      <c r="AC21" s="110">
        <v>1</v>
      </c>
      <c r="AD21" s="110">
        <v>1</v>
      </c>
      <c r="AE21" s="110">
        <v>1</v>
      </c>
      <c r="AF21" s="110">
        <v>0</v>
      </c>
      <c r="AG21" s="110">
        <v>0</v>
      </c>
      <c r="AH21" s="110">
        <v>0</v>
      </c>
      <c r="AI21" s="110">
        <v>0</v>
      </c>
      <c r="AJ21" s="110">
        <v>0</v>
      </c>
      <c r="AK21" s="110">
        <v>0</v>
      </c>
      <c r="AL21" s="110">
        <v>0</v>
      </c>
      <c r="AM21" s="110">
        <v>0</v>
      </c>
      <c r="AN21" s="110">
        <v>0</v>
      </c>
    </row>
    <row r="22" spans="1:40" customFormat="1" x14ac:dyDescent="0.15">
      <c r="A22" s="189" t="s">
        <v>211</v>
      </c>
      <c r="B22" s="110">
        <v>1</v>
      </c>
      <c r="C22" s="110">
        <v>1</v>
      </c>
      <c r="D22" s="110">
        <v>1</v>
      </c>
      <c r="E22" s="110">
        <v>1</v>
      </c>
      <c r="F22" s="110">
        <v>0</v>
      </c>
      <c r="G22" s="110">
        <v>0</v>
      </c>
      <c r="H22" s="110">
        <v>1</v>
      </c>
      <c r="I22" s="110">
        <v>1</v>
      </c>
      <c r="J22" s="110">
        <v>0</v>
      </c>
      <c r="K22" s="110">
        <v>0</v>
      </c>
      <c r="L22" s="110">
        <v>0</v>
      </c>
      <c r="M22" s="110">
        <v>0</v>
      </c>
      <c r="N22" s="110">
        <v>1</v>
      </c>
      <c r="O22" s="110">
        <v>0</v>
      </c>
      <c r="P22" s="110">
        <v>1</v>
      </c>
      <c r="Q22" s="110">
        <v>0</v>
      </c>
      <c r="R22" s="110">
        <v>0</v>
      </c>
      <c r="S22" s="110">
        <v>0</v>
      </c>
      <c r="T22" s="110">
        <v>0</v>
      </c>
      <c r="U22" s="110">
        <v>0</v>
      </c>
      <c r="V22" s="110">
        <v>0</v>
      </c>
      <c r="W22" s="110">
        <v>0</v>
      </c>
      <c r="X22" s="110">
        <v>0</v>
      </c>
      <c r="Y22" s="110">
        <v>0</v>
      </c>
      <c r="Z22" s="110">
        <v>0</v>
      </c>
      <c r="AA22" s="110">
        <v>0</v>
      </c>
      <c r="AB22" s="110">
        <v>0</v>
      </c>
      <c r="AC22" s="110">
        <v>0</v>
      </c>
      <c r="AD22" s="110">
        <v>0</v>
      </c>
      <c r="AE22" s="110">
        <v>0</v>
      </c>
      <c r="AF22" s="110">
        <v>0</v>
      </c>
      <c r="AG22" s="110">
        <v>0</v>
      </c>
      <c r="AH22" s="110">
        <v>0</v>
      </c>
      <c r="AI22" s="110">
        <v>0</v>
      </c>
      <c r="AJ22" s="110">
        <v>0</v>
      </c>
      <c r="AK22" s="110">
        <v>0</v>
      </c>
      <c r="AL22" s="110">
        <v>0</v>
      </c>
      <c r="AM22" s="110">
        <v>0</v>
      </c>
      <c r="AN22" s="110">
        <v>0</v>
      </c>
    </row>
    <row r="23" spans="1:40" customFormat="1" x14ac:dyDescent="0.15">
      <c r="A23" s="189" t="s">
        <v>212</v>
      </c>
      <c r="B23" s="110">
        <v>1</v>
      </c>
      <c r="C23" s="110">
        <v>0</v>
      </c>
      <c r="D23" s="110">
        <v>0</v>
      </c>
      <c r="E23" s="110">
        <v>1</v>
      </c>
      <c r="F23" s="110">
        <v>1</v>
      </c>
      <c r="G23" s="110">
        <v>0</v>
      </c>
      <c r="H23" s="110">
        <v>1</v>
      </c>
      <c r="I23" s="110">
        <v>0</v>
      </c>
      <c r="J23" s="110">
        <v>0</v>
      </c>
      <c r="K23" s="110">
        <v>0</v>
      </c>
      <c r="L23" s="110">
        <v>0</v>
      </c>
      <c r="M23" s="110">
        <v>0</v>
      </c>
      <c r="N23" s="110">
        <v>1</v>
      </c>
      <c r="O23" s="110">
        <v>0</v>
      </c>
      <c r="P23" s="110">
        <v>1</v>
      </c>
      <c r="Q23" s="110">
        <v>0</v>
      </c>
      <c r="R23" s="110">
        <v>0</v>
      </c>
      <c r="S23" s="110">
        <v>0</v>
      </c>
      <c r="T23" s="110">
        <v>0</v>
      </c>
      <c r="U23" s="110">
        <v>0</v>
      </c>
      <c r="V23" s="110">
        <v>0</v>
      </c>
      <c r="W23" s="110">
        <v>0</v>
      </c>
      <c r="X23" s="110">
        <v>0</v>
      </c>
      <c r="Y23" s="110">
        <v>0</v>
      </c>
      <c r="Z23" s="110">
        <v>0</v>
      </c>
      <c r="AA23" s="110">
        <v>0</v>
      </c>
      <c r="AB23" s="110">
        <v>0</v>
      </c>
      <c r="AC23" s="110">
        <v>0</v>
      </c>
      <c r="AD23" s="110">
        <v>0</v>
      </c>
      <c r="AE23" s="110">
        <v>0</v>
      </c>
      <c r="AF23" s="110">
        <v>0</v>
      </c>
      <c r="AG23" s="110">
        <v>0</v>
      </c>
      <c r="AH23" s="110">
        <v>0</v>
      </c>
      <c r="AI23" s="110">
        <v>0</v>
      </c>
      <c r="AJ23" s="110">
        <v>0</v>
      </c>
      <c r="AK23" s="110">
        <v>0</v>
      </c>
      <c r="AL23" s="110">
        <v>0</v>
      </c>
      <c r="AM23" s="110">
        <v>0</v>
      </c>
      <c r="AN23" s="110">
        <v>0</v>
      </c>
    </row>
    <row r="24" spans="1:40" customFormat="1" x14ac:dyDescent="0.15">
      <c r="A24" s="189" t="s">
        <v>213</v>
      </c>
      <c r="B24" s="110">
        <v>0</v>
      </c>
      <c r="C24" s="110">
        <v>0</v>
      </c>
      <c r="D24" s="110">
        <v>0</v>
      </c>
      <c r="E24" s="110">
        <v>1</v>
      </c>
      <c r="F24" s="110">
        <v>0</v>
      </c>
      <c r="G24" s="110">
        <v>0</v>
      </c>
      <c r="H24" s="110">
        <v>0</v>
      </c>
      <c r="I24" s="110">
        <v>0</v>
      </c>
      <c r="J24" s="110">
        <v>0</v>
      </c>
      <c r="K24" s="110">
        <v>0</v>
      </c>
      <c r="L24" s="110">
        <v>0</v>
      </c>
      <c r="M24" s="110">
        <v>0</v>
      </c>
      <c r="N24" s="110">
        <v>0</v>
      </c>
      <c r="O24" s="110">
        <v>0</v>
      </c>
      <c r="P24" s="110">
        <v>0</v>
      </c>
      <c r="Q24" s="110">
        <v>0</v>
      </c>
      <c r="R24" s="110">
        <v>0</v>
      </c>
      <c r="S24" s="110">
        <v>0</v>
      </c>
      <c r="T24" s="110">
        <v>0</v>
      </c>
      <c r="U24" s="110">
        <v>0</v>
      </c>
      <c r="V24" s="110">
        <v>0</v>
      </c>
      <c r="W24" s="110">
        <v>0</v>
      </c>
      <c r="X24" s="110">
        <v>1</v>
      </c>
      <c r="Y24" s="110">
        <v>0</v>
      </c>
      <c r="Z24" s="110">
        <v>0</v>
      </c>
      <c r="AA24" s="110">
        <v>0</v>
      </c>
      <c r="AB24" s="110">
        <v>0</v>
      </c>
      <c r="AC24" s="110">
        <v>0</v>
      </c>
      <c r="AD24" s="110">
        <v>0</v>
      </c>
      <c r="AE24" s="110">
        <v>0</v>
      </c>
      <c r="AF24" s="110">
        <v>0</v>
      </c>
      <c r="AG24" s="110">
        <v>0</v>
      </c>
      <c r="AH24" s="110">
        <v>0</v>
      </c>
      <c r="AI24" s="110">
        <v>0</v>
      </c>
      <c r="AJ24" s="110">
        <v>0</v>
      </c>
      <c r="AK24" s="110">
        <v>0</v>
      </c>
      <c r="AL24" s="110">
        <v>0</v>
      </c>
      <c r="AM24" s="110">
        <v>0</v>
      </c>
      <c r="AN24" s="110">
        <v>0</v>
      </c>
    </row>
    <row r="25" spans="1:40" customFormat="1" x14ac:dyDescent="0.15">
      <c r="A25" s="189" t="s">
        <v>214</v>
      </c>
      <c r="B25" s="110">
        <v>0</v>
      </c>
      <c r="C25" s="110">
        <v>0</v>
      </c>
      <c r="D25" s="110">
        <v>0</v>
      </c>
      <c r="E25" s="110">
        <v>1</v>
      </c>
      <c r="F25" s="110">
        <v>0</v>
      </c>
      <c r="G25" s="110">
        <v>0</v>
      </c>
      <c r="H25" s="110">
        <v>0</v>
      </c>
      <c r="I25" s="110">
        <v>0</v>
      </c>
      <c r="J25" s="110">
        <v>0</v>
      </c>
      <c r="K25" s="110">
        <v>0</v>
      </c>
      <c r="L25" s="110">
        <v>0</v>
      </c>
      <c r="M25" s="110">
        <v>0</v>
      </c>
      <c r="N25" s="110">
        <v>0</v>
      </c>
      <c r="O25" s="110">
        <v>0</v>
      </c>
      <c r="P25" s="110">
        <v>0</v>
      </c>
      <c r="Q25" s="110">
        <v>0</v>
      </c>
      <c r="R25" s="110">
        <v>0</v>
      </c>
      <c r="S25" s="110">
        <v>0</v>
      </c>
      <c r="T25" s="110">
        <v>0</v>
      </c>
      <c r="U25" s="110">
        <v>0</v>
      </c>
      <c r="V25" s="110">
        <v>0</v>
      </c>
      <c r="W25" s="110">
        <v>0</v>
      </c>
      <c r="X25" s="110">
        <v>1</v>
      </c>
      <c r="Y25" s="110">
        <v>0</v>
      </c>
      <c r="Z25" s="110">
        <v>0</v>
      </c>
      <c r="AA25" s="110">
        <v>0</v>
      </c>
      <c r="AB25" s="110">
        <v>0</v>
      </c>
      <c r="AC25" s="110">
        <v>0</v>
      </c>
      <c r="AD25" s="110">
        <v>0</v>
      </c>
      <c r="AE25" s="110">
        <v>0</v>
      </c>
      <c r="AF25" s="110">
        <v>0</v>
      </c>
      <c r="AG25" s="110">
        <v>0</v>
      </c>
      <c r="AH25" s="110">
        <v>0</v>
      </c>
      <c r="AI25" s="110">
        <v>0</v>
      </c>
      <c r="AJ25" s="110">
        <v>0</v>
      </c>
      <c r="AK25" s="110">
        <v>0</v>
      </c>
      <c r="AL25" s="110">
        <v>0</v>
      </c>
      <c r="AM25" s="110">
        <v>0</v>
      </c>
      <c r="AN25" s="110">
        <v>0</v>
      </c>
    </row>
    <row r="26" spans="1:40" customFormat="1" x14ac:dyDescent="0.15">
      <c r="A26" s="189" t="s">
        <v>215</v>
      </c>
      <c r="B26" s="110">
        <v>1</v>
      </c>
      <c r="C26" s="110">
        <v>1</v>
      </c>
      <c r="D26" s="110">
        <v>0</v>
      </c>
      <c r="E26" s="110">
        <v>1</v>
      </c>
      <c r="F26" s="110">
        <v>1</v>
      </c>
      <c r="G26" s="110">
        <v>0</v>
      </c>
      <c r="H26" s="110">
        <v>1</v>
      </c>
      <c r="I26" s="110">
        <v>1</v>
      </c>
      <c r="J26" s="110">
        <v>0</v>
      </c>
      <c r="K26" s="110">
        <v>0</v>
      </c>
      <c r="L26" s="110">
        <v>0</v>
      </c>
      <c r="M26" s="110">
        <v>0</v>
      </c>
      <c r="N26" s="110">
        <v>0</v>
      </c>
      <c r="O26" s="110">
        <v>0</v>
      </c>
      <c r="P26" s="110">
        <v>0</v>
      </c>
      <c r="Q26" s="110">
        <v>0</v>
      </c>
      <c r="R26" s="110">
        <v>0</v>
      </c>
      <c r="S26" s="110">
        <v>0</v>
      </c>
      <c r="T26" s="110">
        <v>0</v>
      </c>
      <c r="U26" s="110">
        <v>0</v>
      </c>
      <c r="V26" s="110">
        <v>0</v>
      </c>
      <c r="W26" s="110">
        <v>0</v>
      </c>
      <c r="X26" s="110">
        <v>1</v>
      </c>
      <c r="Y26" s="110">
        <v>1</v>
      </c>
      <c r="Z26" s="110">
        <v>0</v>
      </c>
      <c r="AA26" s="110">
        <v>0</v>
      </c>
      <c r="AB26" s="110">
        <v>0</v>
      </c>
      <c r="AC26" s="110">
        <v>0</v>
      </c>
      <c r="AD26" s="110">
        <v>0</v>
      </c>
      <c r="AE26" s="110">
        <v>0</v>
      </c>
      <c r="AF26" s="110">
        <v>0</v>
      </c>
      <c r="AG26" s="110">
        <v>0</v>
      </c>
      <c r="AH26" s="110">
        <v>0</v>
      </c>
      <c r="AI26" s="110">
        <v>0</v>
      </c>
      <c r="AJ26" s="110">
        <v>0</v>
      </c>
      <c r="AK26" s="110">
        <v>0</v>
      </c>
      <c r="AL26" s="110">
        <v>0</v>
      </c>
      <c r="AM26" s="110">
        <v>0</v>
      </c>
      <c r="AN26" s="110">
        <v>0</v>
      </c>
    </row>
    <row r="27" spans="1:40" customFormat="1" x14ac:dyDescent="0.15">
      <c r="A27" s="189" t="s">
        <v>216</v>
      </c>
      <c r="B27" s="110">
        <v>1</v>
      </c>
      <c r="C27" s="110">
        <v>1</v>
      </c>
      <c r="D27" s="110">
        <v>0</v>
      </c>
      <c r="E27" s="110">
        <v>1</v>
      </c>
      <c r="F27" s="110">
        <v>1</v>
      </c>
      <c r="G27" s="110">
        <v>0</v>
      </c>
      <c r="H27" s="110">
        <v>1</v>
      </c>
      <c r="I27" s="110">
        <v>1</v>
      </c>
      <c r="J27" s="110">
        <v>0</v>
      </c>
      <c r="K27" s="110">
        <v>0</v>
      </c>
      <c r="L27" s="110">
        <v>0</v>
      </c>
      <c r="M27" s="110">
        <v>0</v>
      </c>
      <c r="N27" s="110">
        <v>1</v>
      </c>
      <c r="O27" s="110">
        <v>0</v>
      </c>
      <c r="P27" s="110">
        <v>1</v>
      </c>
      <c r="Q27" s="110">
        <v>0</v>
      </c>
      <c r="R27" s="110">
        <v>0</v>
      </c>
      <c r="S27" s="110">
        <v>0</v>
      </c>
      <c r="T27" s="110">
        <v>0</v>
      </c>
      <c r="U27" s="110">
        <v>0</v>
      </c>
      <c r="V27" s="110">
        <v>0</v>
      </c>
      <c r="W27" s="110">
        <v>1</v>
      </c>
      <c r="X27" s="110">
        <v>1</v>
      </c>
      <c r="Y27" s="110">
        <v>0</v>
      </c>
      <c r="Z27" s="110">
        <v>0</v>
      </c>
      <c r="AA27" s="110">
        <v>0</v>
      </c>
      <c r="AB27" s="110">
        <v>0</v>
      </c>
      <c r="AC27" s="110">
        <v>0</v>
      </c>
      <c r="AD27" s="110">
        <v>0</v>
      </c>
      <c r="AE27" s="110">
        <v>0</v>
      </c>
      <c r="AF27" s="110">
        <v>0</v>
      </c>
      <c r="AG27" s="110">
        <v>0</v>
      </c>
      <c r="AH27" s="110">
        <v>0</v>
      </c>
      <c r="AI27" s="110">
        <v>0</v>
      </c>
      <c r="AJ27" s="110">
        <v>0</v>
      </c>
      <c r="AK27" s="110">
        <v>0</v>
      </c>
      <c r="AL27" s="110">
        <v>0</v>
      </c>
      <c r="AM27" s="110">
        <v>0</v>
      </c>
      <c r="AN27" s="110">
        <v>0</v>
      </c>
    </row>
    <row r="28" spans="1:40" customFormat="1" x14ac:dyDescent="0.15">
      <c r="A28" s="189" t="s">
        <v>217</v>
      </c>
      <c r="B28" s="110">
        <v>1</v>
      </c>
      <c r="C28" s="110">
        <v>1</v>
      </c>
      <c r="D28" s="110">
        <v>1</v>
      </c>
      <c r="E28" s="110">
        <v>1</v>
      </c>
      <c r="F28" s="110">
        <v>1</v>
      </c>
      <c r="G28" s="110">
        <v>0</v>
      </c>
      <c r="H28" s="110">
        <v>1</v>
      </c>
      <c r="I28" s="110">
        <v>1</v>
      </c>
      <c r="J28" s="110">
        <v>0</v>
      </c>
      <c r="K28" s="110">
        <v>0</v>
      </c>
      <c r="L28" s="110">
        <v>1</v>
      </c>
      <c r="M28" s="110">
        <v>0</v>
      </c>
      <c r="N28" s="110">
        <v>1</v>
      </c>
      <c r="O28" s="110">
        <v>0</v>
      </c>
      <c r="P28" s="110">
        <v>1</v>
      </c>
      <c r="Q28" s="110">
        <v>0</v>
      </c>
      <c r="R28" s="110">
        <v>0</v>
      </c>
      <c r="S28" s="110">
        <v>0</v>
      </c>
      <c r="T28" s="110">
        <v>1</v>
      </c>
      <c r="U28" s="110">
        <v>0</v>
      </c>
      <c r="V28" s="110">
        <v>0</v>
      </c>
      <c r="W28" s="110">
        <v>1</v>
      </c>
      <c r="X28" s="110">
        <v>1</v>
      </c>
      <c r="Y28" s="110">
        <v>1</v>
      </c>
      <c r="Z28" s="110">
        <v>0</v>
      </c>
      <c r="AA28" s="110">
        <v>1</v>
      </c>
      <c r="AB28" s="110">
        <v>0</v>
      </c>
      <c r="AC28" s="110">
        <v>1</v>
      </c>
      <c r="AD28" s="110">
        <v>1</v>
      </c>
      <c r="AE28" s="110">
        <v>1</v>
      </c>
      <c r="AF28" s="110">
        <v>0</v>
      </c>
      <c r="AG28" s="110">
        <v>0</v>
      </c>
      <c r="AH28" s="110">
        <v>0</v>
      </c>
      <c r="AI28" s="110">
        <v>0</v>
      </c>
      <c r="AJ28" s="110">
        <v>0</v>
      </c>
      <c r="AK28" s="110">
        <v>0</v>
      </c>
      <c r="AL28" s="110">
        <v>0</v>
      </c>
      <c r="AM28" s="110">
        <v>0</v>
      </c>
      <c r="AN28" s="110">
        <v>0</v>
      </c>
    </row>
    <row r="29" spans="1:40" customFormat="1" x14ac:dyDescent="0.15">
      <c r="A29" s="189" t="s">
        <v>218</v>
      </c>
      <c r="B29" s="110">
        <v>1</v>
      </c>
      <c r="C29" s="110">
        <v>1</v>
      </c>
      <c r="D29" s="110">
        <v>0</v>
      </c>
      <c r="E29" s="110">
        <v>1</v>
      </c>
      <c r="F29" s="110">
        <v>0</v>
      </c>
      <c r="G29" s="110">
        <v>1</v>
      </c>
      <c r="H29" s="110">
        <v>1</v>
      </c>
      <c r="I29" s="110">
        <v>1</v>
      </c>
      <c r="J29" s="110">
        <v>0</v>
      </c>
      <c r="K29" s="110">
        <v>0</v>
      </c>
      <c r="L29" s="110">
        <v>0</v>
      </c>
      <c r="M29" s="110">
        <v>0</v>
      </c>
      <c r="N29" s="110">
        <v>1</v>
      </c>
      <c r="O29" s="110">
        <v>0</v>
      </c>
      <c r="P29" s="110">
        <v>1</v>
      </c>
      <c r="Q29" s="110">
        <v>0</v>
      </c>
      <c r="R29" s="110">
        <v>0</v>
      </c>
      <c r="S29" s="110">
        <v>0</v>
      </c>
      <c r="T29" s="110">
        <v>0</v>
      </c>
      <c r="U29" s="110">
        <v>0</v>
      </c>
      <c r="V29" s="110">
        <v>0</v>
      </c>
      <c r="W29" s="110">
        <v>1</v>
      </c>
      <c r="X29" s="110">
        <v>1</v>
      </c>
      <c r="Y29" s="110">
        <v>1</v>
      </c>
      <c r="Z29" s="110">
        <v>0</v>
      </c>
      <c r="AA29" s="110">
        <v>1</v>
      </c>
      <c r="AB29" s="110">
        <v>0</v>
      </c>
      <c r="AC29" s="110">
        <v>1</v>
      </c>
      <c r="AD29" s="110">
        <v>1</v>
      </c>
      <c r="AE29" s="110">
        <v>1</v>
      </c>
      <c r="AF29" s="110">
        <v>0</v>
      </c>
      <c r="AG29" s="110">
        <v>0</v>
      </c>
      <c r="AH29" s="110">
        <v>0</v>
      </c>
      <c r="AI29" s="110">
        <v>0</v>
      </c>
      <c r="AJ29" s="110">
        <v>0</v>
      </c>
      <c r="AK29" s="110">
        <v>0</v>
      </c>
      <c r="AL29" s="110">
        <v>0</v>
      </c>
      <c r="AM29" s="110">
        <v>0</v>
      </c>
      <c r="AN29" s="110">
        <v>0</v>
      </c>
    </row>
    <row r="30" spans="1:40" customFormat="1" x14ac:dyDescent="0.15">
      <c r="A30" s="189" t="s">
        <v>219</v>
      </c>
      <c r="B30" s="110">
        <v>1</v>
      </c>
      <c r="C30" s="110">
        <v>1</v>
      </c>
      <c r="D30" s="110">
        <v>1</v>
      </c>
      <c r="E30" s="110">
        <v>1</v>
      </c>
      <c r="F30" s="110">
        <v>1</v>
      </c>
      <c r="G30" s="110">
        <v>0</v>
      </c>
      <c r="H30" s="110">
        <v>1</v>
      </c>
      <c r="I30" s="110">
        <v>1</v>
      </c>
      <c r="J30" s="110">
        <v>0</v>
      </c>
      <c r="K30" s="110">
        <v>0</v>
      </c>
      <c r="L30" s="110">
        <v>1</v>
      </c>
      <c r="M30" s="110">
        <v>0</v>
      </c>
      <c r="N30" s="110">
        <v>0</v>
      </c>
      <c r="O30" s="110">
        <v>0</v>
      </c>
      <c r="P30" s="110">
        <v>1</v>
      </c>
      <c r="Q30" s="110">
        <v>0</v>
      </c>
      <c r="R30" s="110">
        <v>1</v>
      </c>
      <c r="S30" s="110">
        <v>0</v>
      </c>
      <c r="T30" s="110">
        <v>0</v>
      </c>
      <c r="U30" s="110">
        <v>1</v>
      </c>
      <c r="V30" s="110">
        <v>0</v>
      </c>
      <c r="W30" s="110">
        <v>1</v>
      </c>
      <c r="X30" s="110">
        <v>0</v>
      </c>
      <c r="Y30" s="110">
        <v>0</v>
      </c>
      <c r="Z30" s="110">
        <v>0</v>
      </c>
      <c r="AA30" s="110">
        <v>0</v>
      </c>
      <c r="AB30" s="110">
        <v>0</v>
      </c>
      <c r="AC30" s="110">
        <v>0</v>
      </c>
      <c r="AD30" s="110">
        <v>1</v>
      </c>
      <c r="AE30" s="110">
        <v>0</v>
      </c>
      <c r="AF30" s="110">
        <v>0</v>
      </c>
      <c r="AG30" s="110">
        <v>0</v>
      </c>
      <c r="AH30" s="110">
        <v>0</v>
      </c>
      <c r="AI30" s="110">
        <v>0</v>
      </c>
      <c r="AJ30" s="110">
        <v>0</v>
      </c>
      <c r="AK30" s="110">
        <v>0</v>
      </c>
      <c r="AL30" s="110">
        <v>0</v>
      </c>
      <c r="AM30" s="110">
        <v>0</v>
      </c>
      <c r="AN30" s="110">
        <v>0</v>
      </c>
    </row>
    <row r="31" spans="1:40" customFormat="1" x14ac:dyDescent="0.15">
      <c r="A31" s="189" t="s">
        <v>220</v>
      </c>
      <c r="B31" s="110">
        <v>1</v>
      </c>
      <c r="C31" s="110">
        <v>1</v>
      </c>
      <c r="D31" s="110">
        <v>1</v>
      </c>
      <c r="E31" s="110">
        <v>0</v>
      </c>
      <c r="F31" s="110">
        <v>0</v>
      </c>
      <c r="G31" s="110">
        <v>1</v>
      </c>
      <c r="H31" s="110">
        <v>1</v>
      </c>
      <c r="I31" s="110">
        <v>1</v>
      </c>
      <c r="J31" s="110">
        <v>0</v>
      </c>
      <c r="K31" s="110">
        <v>0</v>
      </c>
      <c r="L31" s="110">
        <v>0</v>
      </c>
      <c r="M31" s="110">
        <v>0</v>
      </c>
      <c r="N31" s="110">
        <v>0</v>
      </c>
      <c r="O31" s="110">
        <v>0</v>
      </c>
      <c r="P31" s="110">
        <v>0</v>
      </c>
      <c r="Q31" s="110">
        <v>0</v>
      </c>
      <c r="R31" s="110">
        <v>0</v>
      </c>
      <c r="S31" s="110">
        <v>0</v>
      </c>
      <c r="T31" s="110">
        <v>0</v>
      </c>
      <c r="U31" s="110">
        <v>1</v>
      </c>
      <c r="V31" s="110">
        <v>0</v>
      </c>
      <c r="W31" s="110">
        <v>1</v>
      </c>
      <c r="X31" s="110">
        <v>0</v>
      </c>
      <c r="Y31" s="110">
        <v>1</v>
      </c>
      <c r="Z31" s="110">
        <v>0</v>
      </c>
      <c r="AA31" s="110">
        <v>1</v>
      </c>
      <c r="AB31" s="110">
        <v>0</v>
      </c>
      <c r="AC31" s="110">
        <v>0</v>
      </c>
      <c r="AD31" s="110">
        <v>1</v>
      </c>
      <c r="AE31" s="110">
        <v>1</v>
      </c>
      <c r="AF31" s="110">
        <v>0</v>
      </c>
      <c r="AG31" s="110">
        <v>0</v>
      </c>
      <c r="AH31" s="110">
        <v>0</v>
      </c>
      <c r="AI31" s="110">
        <v>0</v>
      </c>
      <c r="AJ31" s="110">
        <v>0</v>
      </c>
      <c r="AK31" s="110">
        <v>0</v>
      </c>
      <c r="AL31" s="110">
        <v>0</v>
      </c>
      <c r="AM31" s="110">
        <v>0</v>
      </c>
      <c r="AN31" s="110">
        <v>0</v>
      </c>
    </row>
    <row r="32" spans="1:40" x14ac:dyDescent="0.15">
      <c r="A32" s="189" t="s">
        <v>221</v>
      </c>
      <c r="B32" s="110">
        <v>0</v>
      </c>
      <c r="C32" s="110">
        <v>1</v>
      </c>
      <c r="D32" s="110">
        <v>0</v>
      </c>
      <c r="E32" s="110">
        <v>1</v>
      </c>
      <c r="F32" s="110">
        <v>1</v>
      </c>
      <c r="G32" s="110">
        <v>1</v>
      </c>
      <c r="H32" s="110">
        <v>1</v>
      </c>
      <c r="I32" s="110">
        <v>1</v>
      </c>
      <c r="J32" s="110">
        <v>0</v>
      </c>
      <c r="K32" s="110">
        <v>0</v>
      </c>
      <c r="L32" s="110">
        <v>1</v>
      </c>
      <c r="M32" s="110">
        <v>1</v>
      </c>
      <c r="N32" s="110">
        <v>0</v>
      </c>
      <c r="O32" s="110">
        <v>1</v>
      </c>
      <c r="P32" s="110">
        <v>1</v>
      </c>
      <c r="Q32" s="110">
        <v>1</v>
      </c>
      <c r="R32" s="110">
        <v>1</v>
      </c>
      <c r="S32" s="110">
        <v>1</v>
      </c>
      <c r="T32" s="110">
        <v>1</v>
      </c>
      <c r="U32" s="110">
        <v>1</v>
      </c>
      <c r="V32" s="110">
        <v>1</v>
      </c>
      <c r="W32" s="110">
        <v>0</v>
      </c>
      <c r="X32" s="110">
        <v>0</v>
      </c>
      <c r="Y32" s="110">
        <v>0</v>
      </c>
      <c r="Z32" s="110">
        <v>0</v>
      </c>
      <c r="AA32" s="110">
        <v>1</v>
      </c>
      <c r="AB32" s="110">
        <v>0</v>
      </c>
      <c r="AC32" s="110">
        <v>1</v>
      </c>
      <c r="AD32" s="110">
        <v>1</v>
      </c>
      <c r="AE32" s="110">
        <v>1</v>
      </c>
      <c r="AF32" s="110">
        <v>1</v>
      </c>
      <c r="AG32" s="110">
        <v>1</v>
      </c>
      <c r="AH32" s="110">
        <v>1</v>
      </c>
      <c r="AI32" s="110">
        <v>0</v>
      </c>
      <c r="AJ32" s="110">
        <v>0</v>
      </c>
      <c r="AK32" s="110">
        <v>0</v>
      </c>
      <c r="AL32" s="110">
        <v>0</v>
      </c>
      <c r="AM32" s="110">
        <v>0</v>
      </c>
      <c r="AN32" s="110">
        <v>0</v>
      </c>
    </row>
    <row r="33" spans="1:40" x14ac:dyDescent="0.15">
      <c r="A33" s="189" t="s">
        <v>222</v>
      </c>
      <c r="B33" s="110">
        <v>0</v>
      </c>
      <c r="C33" s="110">
        <v>1</v>
      </c>
      <c r="D33" s="110">
        <v>0</v>
      </c>
      <c r="E33" s="110">
        <v>1</v>
      </c>
      <c r="F33" s="110">
        <v>1</v>
      </c>
      <c r="G33" s="110">
        <v>1</v>
      </c>
      <c r="H33" s="110">
        <v>1</v>
      </c>
      <c r="I33" s="110">
        <v>0</v>
      </c>
      <c r="J33" s="110">
        <v>0</v>
      </c>
      <c r="K33" s="110">
        <v>0</v>
      </c>
      <c r="L33" s="110">
        <v>1</v>
      </c>
      <c r="M33" s="110">
        <v>1</v>
      </c>
      <c r="N33" s="110">
        <v>1</v>
      </c>
      <c r="O33" s="110">
        <v>1</v>
      </c>
      <c r="P33" s="110">
        <v>1</v>
      </c>
      <c r="Q33" s="110">
        <v>1</v>
      </c>
      <c r="R33" s="110">
        <v>0</v>
      </c>
      <c r="S33" s="110">
        <v>1</v>
      </c>
      <c r="T33" s="110">
        <v>1</v>
      </c>
      <c r="U33" s="110">
        <v>1</v>
      </c>
      <c r="V33" s="110">
        <v>0</v>
      </c>
      <c r="W33" s="110">
        <v>1</v>
      </c>
      <c r="X33" s="110">
        <v>0</v>
      </c>
      <c r="Y33" s="110">
        <v>1</v>
      </c>
      <c r="Z33" s="110">
        <v>0</v>
      </c>
      <c r="AA33" s="110">
        <v>0</v>
      </c>
      <c r="AB33" s="110">
        <v>0</v>
      </c>
      <c r="AC33" s="110">
        <v>0</v>
      </c>
      <c r="AD33" s="110">
        <v>1</v>
      </c>
      <c r="AE33" s="110">
        <v>1</v>
      </c>
      <c r="AF33" s="110">
        <v>0</v>
      </c>
      <c r="AG33" s="110">
        <v>1</v>
      </c>
      <c r="AH33" s="110">
        <v>0</v>
      </c>
      <c r="AI33" s="110">
        <v>0</v>
      </c>
      <c r="AJ33" s="110">
        <v>0</v>
      </c>
      <c r="AK33" s="110">
        <v>0</v>
      </c>
      <c r="AL33" s="110">
        <v>0</v>
      </c>
      <c r="AM33" s="110">
        <v>0</v>
      </c>
      <c r="AN33" s="110">
        <v>0</v>
      </c>
    </row>
    <row r="34" spans="1:40" x14ac:dyDescent="0.15">
      <c r="A34" s="189" t="s">
        <v>223</v>
      </c>
      <c r="B34" s="110">
        <v>0</v>
      </c>
      <c r="C34" s="110">
        <v>1</v>
      </c>
      <c r="D34" s="110">
        <v>0</v>
      </c>
      <c r="E34" s="110">
        <v>1</v>
      </c>
      <c r="F34" s="110">
        <v>1</v>
      </c>
      <c r="G34" s="110">
        <v>1</v>
      </c>
      <c r="H34" s="110">
        <v>1</v>
      </c>
      <c r="I34" s="110">
        <v>1</v>
      </c>
      <c r="J34" s="110">
        <v>1</v>
      </c>
      <c r="K34" s="110">
        <v>0</v>
      </c>
      <c r="L34" s="110">
        <v>0</v>
      </c>
      <c r="M34" s="110">
        <v>1</v>
      </c>
      <c r="N34" s="110">
        <v>0</v>
      </c>
      <c r="O34" s="110">
        <v>1</v>
      </c>
      <c r="P34" s="110">
        <v>1</v>
      </c>
      <c r="Q34" s="110">
        <v>1</v>
      </c>
      <c r="R34" s="110">
        <v>1</v>
      </c>
      <c r="S34" s="110">
        <v>1</v>
      </c>
      <c r="T34" s="110">
        <v>1</v>
      </c>
      <c r="U34" s="110">
        <v>1</v>
      </c>
      <c r="V34" s="110">
        <v>0</v>
      </c>
      <c r="W34" s="110">
        <v>1</v>
      </c>
      <c r="X34" s="110">
        <v>0</v>
      </c>
      <c r="Y34" s="110">
        <v>1</v>
      </c>
      <c r="Z34" s="110">
        <v>0</v>
      </c>
      <c r="AA34" s="110">
        <v>1</v>
      </c>
      <c r="AB34" s="110">
        <v>1</v>
      </c>
      <c r="AC34" s="110">
        <v>1</v>
      </c>
      <c r="AD34" s="110">
        <v>1</v>
      </c>
      <c r="AE34" s="110">
        <v>1</v>
      </c>
      <c r="AF34" s="110">
        <v>1</v>
      </c>
      <c r="AG34" s="110">
        <v>1</v>
      </c>
      <c r="AH34" s="110">
        <v>0</v>
      </c>
      <c r="AI34" s="110">
        <v>0</v>
      </c>
      <c r="AJ34" s="110">
        <v>0</v>
      </c>
      <c r="AK34" s="110">
        <v>0</v>
      </c>
      <c r="AL34" s="110">
        <v>0</v>
      </c>
      <c r="AM34" s="110">
        <v>0</v>
      </c>
      <c r="AN34" s="110">
        <v>0</v>
      </c>
    </row>
    <row r="35" spans="1:40" x14ac:dyDescent="0.15">
      <c r="A35" s="189" t="s">
        <v>224</v>
      </c>
      <c r="B35" s="110">
        <v>0</v>
      </c>
      <c r="C35" s="110">
        <v>0</v>
      </c>
      <c r="D35" s="110">
        <v>0</v>
      </c>
      <c r="E35" s="110">
        <v>0</v>
      </c>
      <c r="F35" s="110">
        <v>0</v>
      </c>
      <c r="G35" s="110">
        <v>0</v>
      </c>
      <c r="H35" s="110">
        <v>0</v>
      </c>
      <c r="I35" s="110">
        <v>1</v>
      </c>
      <c r="J35" s="110">
        <v>1</v>
      </c>
      <c r="K35" s="110">
        <v>0</v>
      </c>
      <c r="L35" s="110">
        <v>0</v>
      </c>
      <c r="M35" s="110">
        <v>0</v>
      </c>
      <c r="N35" s="110">
        <v>0</v>
      </c>
      <c r="O35" s="110">
        <v>0</v>
      </c>
      <c r="P35" s="110">
        <v>0</v>
      </c>
      <c r="Q35" s="110">
        <v>0</v>
      </c>
      <c r="R35" s="110">
        <v>0</v>
      </c>
      <c r="S35" s="110">
        <v>0</v>
      </c>
      <c r="T35" s="110">
        <v>1</v>
      </c>
      <c r="U35" s="110">
        <v>1</v>
      </c>
      <c r="V35" s="110">
        <v>0</v>
      </c>
      <c r="W35" s="110">
        <v>0</v>
      </c>
      <c r="X35" s="110">
        <v>0</v>
      </c>
      <c r="Y35" s="110">
        <v>1</v>
      </c>
      <c r="Z35" s="110">
        <v>0</v>
      </c>
      <c r="AA35" s="110">
        <v>0</v>
      </c>
      <c r="AB35" s="110">
        <v>0</v>
      </c>
      <c r="AC35" s="110">
        <v>1</v>
      </c>
      <c r="AD35" s="110">
        <v>0</v>
      </c>
      <c r="AE35" s="110">
        <v>0</v>
      </c>
      <c r="AF35" s="110">
        <v>0</v>
      </c>
      <c r="AG35" s="110">
        <v>0</v>
      </c>
      <c r="AH35" s="110">
        <v>0</v>
      </c>
      <c r="AI35" s="110">
        <v>0</v>
      </c>
      <c r="AJ35" s="110">
        <v>0</v>
      </c>
      <c r="AK35" s="110">
        <v>0</v>
      </c>
      <c r="AL35" s="110">
        <v>0</v>
      </c>
      <c r="AM35" s="110">
        <v>0</v>
      </c>
      <c r="AN35" s="110">
        <v>0</v>
      </c>
    </row>
    <row r="36" spans="1:40" x14ac:dyDescent="0.15">
      <c r="A36" s="189" t="s">
        <v>225</v>
      </c>
      <c r="B36" s="110">
        <v>0</v>
      </c>
      <c r="C36" s="110">
        <v>0</v>
      </c>
      <c r="D36" s="110">
        <v>0</v>
      </c>
      <c r="E36" s="110">
        <v>1</v>
      </c>
      <c r="F36" s="110">
        <v>1</v>
      </c>
      <c r="G36" s="110">
        <v>1</v>
      </c>
      <c r="H36" s="110">
        <v>1</v>
      </c>
      <c r="I36" s="110">
        <v>1</v>
      </c>
      <c r="J36" s="110">
        <v>1</v>
      </c>
      <c r="K36" s="110">
        <v>1</v>
      </c>
      <c r="L36" s="110">
        <v>0</v>
      </c>
      <c r="M36" s="110">
        <v>1</v>
      </c>
      <c r="N36" s="110">
        <v>0</v>
      </c>
      <c r="O36" s="110">
        <v>0</v>
      </c>
      <c r="P36" s="110">
        <v>1</v>
      </c>
      <c r="Q36" s="110">
        <v>1</v>
      </c>
      <c r="R36" s="110">
        <v>1</v>
      </c>
      <c r="S36" s="110">
        <v>0</v>
      </c>
      <c r="T36" s="110">
        <v>1</v>
      </c>
      <c r="U36" s="110">
        <v>1</v>
      </c>
      <c r="V36" s="110">
        <v>0</v>
      </c>
      <c r="W36" s="110">
        <v>0</v>
      </c>
      <c r="X36" s="110">
        <v>1</v>
      </c>
      <c r="Y36" s="110">
        <v>1</v>
      </c>
      <c r="Z36" s="110">
        <v>1</v>
      </c>
      <c r="AA36" s="110">
        <v>1</v>
      </c>
      <c r="AB36" s="110">
        <v>1</v>
      </c>
      <c r="AC36" s="110">
        <v>1</v>
      </c>
      <c r="AD36" s="110">
        <v>1</v>
      </c>
      <c r="AE36" s="110">
        <v>1</v>
      </c>
      <c r="AF36" s="110">
        <v>1</v>
      </c>
      <c r="AG36" s="110">
        <v>1</v>
      </c>
      <c r="AH36" s="110">
        <v>1</v>
      </c>
      <c r="AI36" s="110">
        <v>0</v>
      </c>
      <c r="AJ36" s="110">
        <v>1</v>
      </c>
      <c r="AK36" s="110">
        <v>0</v>
      </c>
      <c r="AL36" s="110">
        <v>0</v>
      </c>
      <c r="AM36" s="110">
        <v>0</v>
      </c>
      <c r="AN36" s="110">
        <v>0</v>
      </c>
    </row>
    <row r="37" spans="1:40" x14ac:dyDescent="0.15">
      <c r="A37" s="189" t="s">
        <v>226</v>
      </c>
      <c r="B37" s="110">
        <v>0</v>
      </c>
      <c r="C37" s="110">
        <v>0</v>
      </c>
      <c r="D37" s="110">
        <v>0</v>
      </c>
      <c r="E37" s="110">
        <v>0</v>
      </c>
      <c r="F37" s="110">
        <v>1</v>
      </c>
      <c r="G37" s="110">
        <v>0</v>
      </c>
      <c r="H37" s="110">
        <v>0</v>
      </c>
      <c r="I37" s="110">
        <v>0</v>
      </c>
      <c r="J37" s="110">
        <v>1</v>
      </c>
      <c r="K37" s="110">
        <v>1</v>
      </c>
      <c r="L37" s="110">
        <v>0</v>
      </c>
      <c r="M37" s="110">
        <v>1</v>
      </c>
      <c r="N37" s="110">
        <v>0</v>
      </c>
      <c r="O37" s="110">
        <v>0</v>
      </c>
      <c r="P37" s="110">
        <v>0</v>
      </c>
      <c r="Q37" s="110">
        <v>0</v>
      </c>
      <c r="R37" s="110">
        <v>0</v>
      </c>
      <c r="S37" s="110">
        <v>0</v>
      </c>
      <c r="T37" s="110">
        <v>0</v>
      </c>
      <c r="U37" s="110">
        <v>1</v>
      </c>
      <c r="V37" s="110">
        <v>0</v>
      </c>
      <c r="W37" s="110">
        <v>0</v>
      </c>
      <c r="X37" s="110">
        <v>1</v>
      </c>
      <c r="Y37" s="110">
        <v>1</v>
      </c>
      <c r="Z37" s="110">
        <v>1</v>
      </c>
      <c r="AA37" s="110">
        <v>1</v>
      </c>
      <c r="AB37" s="110">
        <v>1</v>
      </c>
      <c r="AC37" s="110">
        <v>1</v>
      </c>
      <c r="AD37" s="110">
        <v>1</v>
      </c>
      <c r="AE37" s="110">
        <v>1</v>
      </c>
      <c r="AF37" s="110">
        <v>1</v>
      </c>
      <c r="AG37" s="110">
        <v>1</v>
      </c>
      <c r="AH37" s="110">
        <v>1</v>
      </c>
      <c r="AI37" s="110">
        <v>1</v>
      </c>
      <c r="AJ37" s="110">
        <v>1</v>
      </c>
      <c r="AK37" s="110">
        <v>0</v>
      </c>
      <c r="AL37" s="110">
        <v>0</v>
      </c>
      <c r="AM37" s="110">
        <v>0</v>
      </c>
      <c r="AN37" s="110">
        <v>0</v>
      </c>
    </row>
    <row r="38" spans="1:40" x14ac:dyDescent="0.15">
      <c r="A38" s="189" t="s">
        <v>227</v>
      </c>
      <c r="B38" s="110">
        <v>0</v>
      </c>
      <c r="C38" s="110">
        <v>0</v>
      </c>
      <c r="D38" s="110">
        <v>0</v>
      </c>
      <c r="E38" s="110">
        <v>0</v>
      </c>
      <c r="F38" s="110">
        <v>1</v>
      </c>
      <c r="G38" s="110">
        <v>0</v>
      </c>
      <c r="H38" s="110">
        <v>0</v>
      </c>
      <c r="I38" s="110">
        <v>0</v>
      </c>
      <c r="J38" s="110">
        <v>0</v>
      </c>
      <c r="K38" s="110">
        <v>0</v>
      </c>
      <c r="L38" s="110">
        <v>0</v>
      </c>
      <c r="M38" s="110">
        <v>0</v>
      </c>
      <c r="N38" s="110">
        <v>0</v>
      </c>
      <c r="O38" s="110">
        <v>0</v>
      </c>
      <c r="P38" s="110">
        <v>0</v>
      </c>
      <c r="Q38" s="110">
        <v>0</v>
      </c>
      <c r="R38" s="110">
        <v>0</v>
      </c>
      <c r="S38" s="110">
        <v>1</v>
      </c>
      <c r="T38" s="110">
        <v>0</v>
      </c>
      <c r="U38" s="110">
        <v>0</v>
      </c>
      <c r="V38" s="110">
        <v>1</v>
      </c>
      <c r="W38" s="110">
        <v>0</v>
      </c>
      <c r="X38" s="110">
        <v>0</v>
      </c>
      <c r="Y38" s="110">
        <v>0</v>
      </c>
      <c r="Z38" s="110">
        <v>0</v>
      </c>
      <c r="AA38" s="110">
        <v>0</v>
      </c>
      <c r="AB38" s="110">
        <v>1</v>
      </c>
      <c r="AC38" s="110">
        <v>0</v>
      </c>
      <c r="AD38" s="110">
        <v>0</v>
      </c>
      <c r="AE38" s="110">
        <v>0</v>
      </c>
      <c r="AF38" s="110">
        <v>1</v>
      </c>
      <c r="AG38" s="110">
        <v>0</v>
      </c>
      <c r="AH38" s="110">
        <v>0</v>
      </c>
      <c r="AI38" s="110">
        <v>1</v>
      </c>
      <c r="AJ38" s="110">
        <v>1</v>
      </c>
      <c r="AK38" s="110">
        <v>1</v>
      </c>
      <c r="AL38" s="110">
        <v>0</v>
      </c>
      <c r="AM38" s="110">
        <v>0</v>
      </c>
      <c r="AN38" s="110">
        <v>0</v>
      </c>
    </row>
    <row r="39" spans="1:40" x14ac:dyDescent="0.15">
      <c r="A39" s="189" t="s">
        <v>228</v>
      </c>
      <c r="B39" s="110">
        <v>0</v>
      </c>
      <c r="C39" s="110">
        <v>0</v>
      </c>
      <c r="D39" s="110">
        <v>0</v>
      </c>
      <c r="E39" s="110">
        <v>0</v>
      </c>
      <c r="F39" s="110">
        <v>0</v>
      </c>
      <c r="G39" s="110">
        <v>0</v>
      </c>
      <c r="H39" s="110">
        <v>0</v>
      </c>
      <c r="I39" s="110">
        <v>0</v>
      </c>
      <c r="J39" s="110">
        <v>1</v>
      </c>
      <c r="K39" s="110">
        <v>0</v>
      </c>
      <c r="L39" s="110">
        <v>1</v>
      </c>
      <c r="M39" s="110">
        <v>0</v>
      </c>
      <c r="N39" s="110">
        <v>0</v>
      </c>
      <c r="O39" s="110">
        <v>0</v>
      </c>
      <c r="P39" s="110">
        <v>0</v>
      </c>
      <c r="Q39" s="110">
        <v>0</v>
      </c>
      <c r="R39" s="110">
        <v>0</v>
      </c>
      <c r="S39" s="110">
        <v>0</v>
      </c>
      <c r="T39" s="110">
        <v>0</v>
      </c>
      <c r="U39" s="110">
        <v>1</v>
      </c>
      <c r="V39" s="110">
        <v>1</v>
      </c>
      <c r="W39" s="110">
        <v>0</v>
      </c>
      <c r="X39" s="110">
        <v>0</v>
      </c>
      <c r="Y39" s="110">
        <v>0</v>
      </c>
      <c r="Z39" s="110">
        <v>0</v>
      </c>
      <c r="AA39" s="110">
        <v>1</v>
      </c>
      <c r="AB39" s="110">
        <v>1</v>
      </c>
      <c r="AC39" s="110">
        <v>1</v>
      </c>
      <c r="AD39" s="110">
        <v>0</v>
      </c>
      <c r="AE39" s="110">
        <v>0</v>
      </c>
      <c r="AF39" s="110">
        <v>1</v>
      </c>
      <c r="AG39" s="110">
        <v>1</v>
      </c>
      <c r="AH39" s="110">
        <v>1</v>
      </c>
      <c r="AI39" s="110">
        <v>1</v>
      </c>
      <c r="AJ39" s="110">
        <v>1</v>
      </c>
      <c r="AK39" s="110">
        <v>1</v>
      </c>
      <c r="AL39" s="110">
        <v>0</v>
      </c>
      <c r="AM39" s="110">
        <v>0</v>
      </c>
      <c r="AN39" s="110">
        <v>0</v>
      </c>
    </row>
    <row r="40" spans="1:40" x14ac:dyDescent="0.15">
      <c r="A40" s="189" t="s">
        <v>229</v>
      </c>
      <c r="B40" s="110">
        <v>0</v>
      </c>
      <c r="C40" s="110">
        <v>0</v>
      </c>
      <c r="D40" s="110">
        <v>0</v>
      </c>
      <c r="E40" s="110">
        <v>0</v>
      </c>
      <c r="F40" s="110">
        <v>0</v>
      </c>
      <c r="G40" s="110">
        <v>0</v>
      </c>
      <c r="H40" s="110">
        <v>0</v>
      </c>
      <c r="I40" s="110">
        <v>0</v>
      </c>
      <c r="J40" s="110">
        <v>0</v>
      </c>
      <c r="K40" s="110">
        <v>0</v>
      </c>
      <c r="L40" s="110">
        <v>0</v>
      </c>
      <c r="M40" s="110">
        <v>0</v>
      </c>
      <c r="N40" s="110">
        <v>0</v>
      </c>
      <c r="O40" s="110">
        <v>0</v>
      </c>
      <c r="P40" s="110">
        <v>0</v>
      </c>
      <c r="Q40" s="110">
        <v>0</v>
      </c>
      <c r="R40" s="110">
        <v>0</v>
      </c>
      <c r="S40" s="110">
        <v>0</v>
      </c>
      <c r="T40" s="110">
        <v>0</v>
      </c>
      <c r="U40" s="110">
        <v>0</v>
      </c>
      <c r="V40" s="110">
        <v>0</v>
      </c>
      <c r="W40" s="110">
        <v>0</v>
      </c>
      <c r="X40" s="110">
        <v>0</v>
      </c>
      <c r="Y40" s="110">
        <v>0</v>
      </c>
      <c r="Z40" s="110">
        <v>0</v>
      </c>
      <c r="AA40" s="110">
        <v>0</v>
      </c>
      <c r="AB40" s="110">
        <v>0</v>
      </c>
      <c r="AC40" s="110">
        <v>0</v>
      </c>
      <c r="AD40" s="110">
        <v>0</v>
      </c>
      <c r="AE40" s="110">
        <v>0</v>
      </c>
      <c r="AF40" s="110">
        <v>0</v>
      </c>
      <c r="AG40" s="110">
        <v>0</v>
      </c>
      <c r="AH40" s="110">
        <v>0</v>
      </c>
      <c r="AI40" s="110">
        <v>0</v>
      </c>
      <c r="AJ40" s="110">
        <v>0</v>
      </c>
      <c r="AK40" s="110">
        <v>0</v>
      </c>
      <c r="AL40" s="110">
        <v>0</v>
      </c>
      <c r="AM40" s="110">
        <v>0</v>
      </c>
      <c r="AN40" s="110">
        <v>0</v>
      </c>
    </row>
    <row r="41" spans="1:40" x14ac:dyDescent="0.15">
      <c r="A41" s="189" t="s">
        <v>231</v>
      </c>
      <c r="B41" s="110">
        <v>0</v>
      </c>
      <c r="C41" s="110">
        <v>0</v>
      </c>
      <c r="D41" s="110">
        <v>0</v>
      </c>
      <c r="E41" s="110">
        <v>0</v>
      </c>
      <c r="F41" s="110">
        <v>0</v>
      </c>
      <c r="G41" s="110">
        <v>0</v>
      </c>
      <c r="H41" s="110">
        <v>0</v>
      </c>
      <c r="I41" s="110">
        <v>0</v>
      </c>
      <c r="J41" s="110">
        <v>0</v>
      </c>
      <c r="K41" s="110">
        <v>0</v>
      </c>
      <c r="L41" s="110">
        <v>0</v>
      </c>
      <c r="M41" s="110">
        <v>0</v>
      </c>
      <c r="N41" s="110">
        <v>0</v>
      </c>
      <c r="O41" s="110">
        <v>0</v>
      </c>
      <c r="P41" s="110">
        <v>0</v>
      </c>
      <c r="Q41" s="110">
        <v>0</v>
      </c>
      <c r="R41" s="110">
        <v>0</v>
      </c>
      <c r="S41" s="110">
        <v>0</v>
      </c>
      <c r="T41" s="110">
        <v>0</v>
      </c>
      <c r="U41" s="110">
        <v>0</v>
      </c>
      <c r="V41" s="110">
        <v>0</v>
      </c>
      <c r="W41" s="110">
        <v>0</v>
      </c>
      <c r="X41" s="110">
        <v>0</v>
      </c>
      <c r="Y41" s="110">
        <v>0</v>
      </c>
      <c r="Z41" s="110">
        <v>0</v>
      </c>
      <c r="AA41" s="110">
        <v>0</v>
      </c>
      <c r="AB41" s="110">
        <v>0</v>
      </c>
      <c r="AC41" s="110">
        <v>0</v>
      </c>
      <c r="AD41" s="110">
        <v>0</v>
      </c>
      <c r="AE41" s="110">
        <v>0</v>
      </c>
      <c r="AF41" s="110">
        <v>0</v>
      </c>
      <c r="AG41" s="110">
        <v>0</v>
      </c>
      <c r="AH41" s="110">
        <v>0</v>
      </c>
      <c r="AI41" s="110">
        <v>0</v>
      </c>
      <c r="AJ41" s="110">
        <v>0</v>
      </c>
      <c r="AK41" s="110">
        <v>0</v>
      </c>
      <c r="AL41" s="110">
        <v>0</v>
      </c>
      <c r="AM41" s="110">
        <v>0</v>
      </c>
      <c r="AN41" s="11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2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92" t="s">
        <v>230</v>
      </c>
    </row>
    <row r="2" spans="1:3" x14ac:dyDescent="0.15">
      <c r="A2">
        <v>1</v>
      </c>
      <c r="B2" s="191" t="s">
        <v>191</v>
      </c>
      <c r="C2">
        <v>0</v>
      </c>
    </row>
    <row r="3" spans="1:3" x14ac:dyDescent="0.15">
      <c r="A3">
        <v>2</v>
      </c>
      <c r="B3" s="191" t="s">
        <v>192</v>
      </c>
      <c r="C3">
        <v>0</v>
      </c>
    </row>
    <row r="4" spans="1:3" x14ac:dyDescent="0.15">
      <c r="A4">
        <v>3</v>
      </c>
      <c r="B4" s="191" t="s">
        <v>193</v>
      </c>
      <c r="C4">
        <v>0</v>
      </c>
    </row>
    <row r="5" spans="1:3" x14ac:dyDescent="0.15">
      <c r="A5">
        <v>4</v>
      </c>
      <c r="B5" s="191" t="s">
        <v>194</v>
      </c>
      <c r="C5">
        <v>0.8</v>
      </c>
    </row>
    <row r="6" spans="1:3" x14ac:dyDescent="0.15">
      <c r="A6">
        <v>5</v>
      </c>
      <c r="B6" s="191" t="s">
        <v>195</v>
      </c>
      <c r="C6">
        <v>0.8</v>
      </c>
    </row>
    <row r="7" spans="1:3" x14ac:dyDescent="0.15">
      <c r="A7">
        <v>6</v>
      </c>
      <c r="B7" s="191" t="s">
        <v>196</v>
      </c>
      <c r="C7">
        <v>0.8</v>
      </c>
    </row>
    <row r="8" spans="1:3" x14ac:dyDescent="0.15">
      <c r="A8">
        <v>7</v>
      </c>
      <c r="B8" s="191" t="s">
        <v>197</v>
      </c>
      <c r="C8">
        <v>0.8</v>
      </c>
    </row>
    <row r="9" spans="1:3" x14ac:dyDescent="0.15">
      <c r="A9">
        <v>8</v>
      </c>
      <c r="B9" s="191" t="s">
        <v>198</v>
      </c>
      <c r="C9">
        <v>0.8</v>
      </c>
    </row>
    <row r="10" spans="1:3" x14ac:dyDescent="0.15">
      <c r="A10">
        <v>9</v>
      </c>
      <c r="B10" s="191" t="s">
        <v>199</v>
      </c>
      <c r="C10">
        <v>0</v>
      </c>
    </row>
    <row r="11" spans="1:3" x14ac:dyDescent="0.15">
      <c r="A11">
        <v>10</v>
      </c>
      <c r="B11" s="191" t="s">
        <v>200</v>
      </c>
      <c r="C11">
        <v>0</v>
      </c>
    </row>
    <row r="12" spans="1:3" x14ac:dyDescent="0.15">
      <c r="A12">
        <v>11</v>
      </c>
      <c r="B12" s="191" t="s">
        <v>201</v>
      </c>
      <c r="C12">
        <v>0</v>
      </c>
    </row>
    <row r="13" spans="1:3" x14ac:dyDescent="0.15">
      <c r="A13">
        <v>12</v>
      </c>
      <c r="B13" s="191" t="s">
        <v>202</v>
      </c>
      <c r="C13">
        <v>0</v>
      </c>
    </row>
    <row r="14" spans="1:3" x14ac:dyDescent="0.15">
      <c r="A14">
        <v>13</v>
      </c>
      <c r="B14" s="191" t="s">
        <v>203</v>
      </c>
      <c r="C14">
        <v>0.8</v>
      </c>
    </row>
    <row r="15" spans="1:3" x14ac:dyDescent="0.15">
      <c r="A15">
        <v>14</v>
      </c>
      <c r="B15" s="191" t="s">
        <v>204</v>
      </c>
      <c r="C15">
        <v>0.8</v>
      </c>
    </row>
    <row r="16" spans="1:3" x14ac:dyDescent="0.15">
      <c r="A16">
        <v>15</v>
      </c>
      <c r="B16" s="191" t="s">
        <v>205</v>
      </c>
      <c r="C16">
        <v>0.8</v>
      </c>
    </row>
    <row r="17" spans="1:3" x14ac:dyDescent="0.15">
      <c r="A17">
        <v>16</v>
      </c>
      <c r="B17" s="191" t="s">
        <v>206</v>
      </c>
      <c r="C17">
        <v>0.8</v>
      </c>
    </row>
    <row r="18" spans="1:3" x14ac:dyDescent="0.15">
      <c r="A18">
        <v>17</v>
      </c>
      <c r="B18" s="191" t="s">
        <v>207</v>
      </c>
      <c r="C18">
        <v>0</v>
      </c>
    </row>
    <row r="19" spans="1:3" x14ac:dyDescent="0.15">
      <c r="A19">
        <v>18</v>
      </c>
      <c r="B19" s="191" t="s">
        <v>208</v>
      </c>
      <c r="C19">
        <v>0</v>
      </c>
    </row>
    <row r="20" spans="1:3" x14ac:dyDescent="0.15">
      <c r="A20">
        <v>19</v>
      </c>
      <c r="B20" s="191" t="s">
        <v>209</v>
      </c>
      <c r="C20">
        <v>0</v>
      </c>
    </row>
    <row r="21" spans="1:3" x14ac:dyDescent="0.15">
      <c r="A21">
        <v>20</v>
      </c>
      <c r="B21" s="191" t="s">
        <v>210</v>
      </c>
      <c r="C21">
        <v>0.8</v>
      </c>
    </row>
    <row r="22" spans="1:3" x14ac:dyDescent="0.15">
      <c r="A22">
        <v>21</v>
      </c>
      <c r="B22" s="191" t="s">
        <v>211</v>
      </c>
      <c r="C22">
        <v>0.8</v>
      </c>
    </row>
    <row r="23" spans="1:3" x14ac:dyDescent="0.15">
      <c r="A23">
        <v>22</v>
      </c>
      <c r="B23" s="191" t="s">
        <v>212</v>
      </c>
      <c r="C23">
        <v>0.8</v>
      </c>
    </row>
    <row r="24" spans="1:3" x14ac:dyDescent="0.15">
      <c r="A24">
        <v>23</v>
      </c>
      <c r="B24" s="191" t="s">
        <v>213</v>
      </c>
      <c r="C24">
        <v>0.8</v>
      </c>
    </row>
    <row r="25" spans="1:3" x14ac:dyDescent="0.15">
      <c r="A25">
        <v>24</v>
      </c>
      <c r="B25" s="191" t="s">
        <v>214</v>
      </c>
      <c r="C25">
        <v>0</v>
      </c>
    </row>
    <row r="26" spans="1:3" x14ac:dyDescent="0.15">
      <c r="A26">
        <v>25</v>
      </c>
      <c r="B26" s="191" t="s">
        <v>215</v>
      </c>
      <c r="C26">
        <v>0</v>
      </c>
    </row>
    <row r="27" spans="1:3" x14ac:dyDescent="0.15">
      <c r="A27">
        <v>26</v>
      </c>
      <c r="B27" s="191" t="s">
        <v>216</v>
      </c>
      <c r="C27">
        <v>0.8</v>
      </c>
    </row>
    <row r="28" spans="1:3" x14ac:dyDescent="0.15">
      <c r="A28">
        <v>27</v>
      </c>
      <c r="B28" s="191" t="s">
        <v>217</v>
      </c>
      <c r="C28">
        <v>0.8</v>
      </c>
    </row>
    <row r="29" spans="1:3" x14ac:dyDescent="0.15">
      <c r="A29">
        <v>28</v>
      </c>
      <c r="B29" s="191" t="s">
        <v>218</v>
      </c>
      <c r="C29">
        <v>0.8</v>
      </c>
    </row>
    <row r="30" spans="1:3" x14ac:dyDescent="0.15">
      <c r="A30">
        <v>29</v>
      </c>
      <c r="B30" s="191" t="s">
        <v>219</v>
      </c>
      <c r="C30">
        <v>0.8</v>
      </c>
    </row>
    <row r="31" spans="1:3" x14ac:dyDescent="0.15">
      <c r="A31">
        <v>30</v>
      </c>
      <c r="B31" s="191" t="s">
        <v>220</v>
      </c>
      <c r="C31">
        <v>0</v>
      </c>
    </row>
    <row r="32" spans="1:3" x14ac:dyDescent="0.15">
      <c r="A32">
        <v>31</v>
      </c>
      <c r="B32" s="191" t="s">
        <v>221</v>
      </c>
      <c r="C32">
        <v>0</v>
      </c>
    </row>
    <row r="33" spans="1:3" x14ac:dyDescent="0.15">
      <c r="A33">
        <v>32</v>
      </c>
      <c r="B33" s="191" t="s">
        <v>222</v>
      </c>
      <c r="C33">
        <v>0.8</v>
      </c>
    </row>
    <row r="34" spans="1:3" x14ac:dyDescent="0.15">
      <c r="A34">
        <v>33</v>
      </c>
      <c r="B34" s="191" t="s">
        <v>223</v>
      </c>
      <c r="C34">
        <v>0</v>
      </c>
    </row>
    <row r="35" spans="1:3" x14ac:dyDescent="0.15">
      <c r="A35">
        <v>34</v>
      </c>
      <c r="B35" s="191" t="s">
        <v>224</v>
      </c>
      <c r="C35">
        <v>0</v>
      </c>
    </row>
    <row r="36" spans="1:3" x14ac:dyDescent="0.15">
      <c r="A36">
        <v>35</v>
      </c>
      <c r="B36" s="191" t="s">
        <v>225</v>
      </c>
      <c r="C36">
        <v>0</v>
      </c>
    </row>
    <row r="37" spans="1:3" x14ac:dyDescent="0.15">
      <c r="A37">
        <v>36</v>
      </c>
      <c r="B37" s="191" t="s">
        <v>226</v>
      </c>
      <c r="C37">
        <v>0</v>
      </c>
    </row>
    <row r="38" spans="1:3" x14ac:dyDescent="0.15">
      <c r="A38">
        <v>37</v>
      </c>
      <c r="B38" s="191" t="s">
        <v>227</v>
      </c>
      <c r="C38">
        <v>0</v>
      </c>
    </row>
    <row r="39" spans="1:3" x14ac:dyDescent="0.15">
      <c r="A39">
        <v>38</v>
      </c>
      <c r="B39" s="191" t="s">
        <v>228</v>
      </c>
      <c r="C39">
        <v>0</v>
      </c>
    </row>
    <row r="40" spans="1:3" x14ac:dyDescent="0.15">
      <c r="A40">
        <v>39</v>
      </c>
      <c r="B40" s="191" t="s">
        <v>229</v>
      </c>
      <c r="C40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40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2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94" t="s">
        <v>230</v>
      </c>
    </row>
    <row r="2" spans="1:3" x14ac:dyDescent="0.15">
      <c r="A2">
        <v>1</v>
      </c>
      <c r="B2" s="193" t="s">
        <v>191</v>
      </c>
      <c r="C2">
        <v>0</v>
      </c>
    </row>
    <row r="3" spans="1:3" x14ac:dyDescent="0.15">
      <c r="A3">
        <v>2</v>
      </c>
      <c r="B3" s="193" t="s">
        <v>192</v>
      </c>
      <c r="C3">
        <v>0</v>
      </c>
    </row>
    <row r="4" spans="1:3" x14ac:dyDescent="0.15">
      <c r="A4">
        <v>3</v>
      </c>
      <c r="B4" s="193" t="s">
        <v>193</v>
      </c>
      <c r="C4">
        <v>0</v>
      </c>
    </row>
    <row r="5" spans="1:3" x14ac:dyDescent="0.15">
      <c r="A5">
        <v>4</v>
      </c>
      <c r="B5" s="193" t="s">
        <v>194</v>
      </c>
      <c r="C5">
        <v>0.8</v>
      </c>
    </row>
    <row r="6" spans="1:3" x14ac:dyDescent="0.15">
      <c r="A6">
        <v>5</v>
      </c>
      <c r="B6" s="193" t="s">
        <v>195</v>
      </c>
      <c r="C6">
        <v>0.8</v>
      </c>
    </row>
    <row r="7" spans="1:3" x14ac:dyDescent="0.15">
      <c r="A7">
        <v>6</v>
      </c>
      <c r="B7" s="193" t="s">
        <v>196</v>
      </c>
      <c r="C7">
        <v>0.8</v>
      </c>
    </row>
    <row r="8" spans="1:3" x14ac:dyDescent="0.15">
      <c r="A8">
        <v>7</v>
      </c>
      <c r="B8" s="193" t="s">
        <v>197</v>
      </c>
      <c r="C8">
        <v>0.8</v>
      </c>
    </row>
    <row r="9" spans="1:3" x14ac:dyDescent="0.15">
      <c r="A9">
        <v>8</v>
      </c>
      <c r="B9" s="193" t="s">
        <v>198</v>
      </c>
      <c r="C9">
        <v>0.8</v>
      </c>
    </row>
    <row r="10" spans="1:3" x14ac:dyDescent="0.15">
      <c r="A10">
        <v>9</v>
      </c>
      <c r="B10" s="193" t="s">
        <v>199</v>
      </c>
      <c r="C10">
        <v>0</v>
      </c>
    </row>
    <row r="11" spans="1:3" x14ac:dyDescent="0.15">
      <c r="A11">
        <v>10</v>
      </c>
      <c r="B11" s="193" t="s">
        <v>200</v>
      </c>
      <c r="C11">
        <v>0</v>
      </c>
    </row>
    <row r="12" spans="1:3" x14ac:dyDescent="0.15">
      <c r="A12">
        <v>11</v>
      </c>
      <c r="B12" s="193" t="s">
        <v>201</v>
      </c>
      <c r="C12">
        <v>0</v>
      </c>
    </row>
    <row r="13" spans="1:3" x14ac:dyDescent="0.15">
      <c r="A13">
        <v>12</v>
      </c>
      <c r="B13" s="193" t="s">
        <v>202</v>
      </c>
      <c r="C13">
        <v>0</v>
      </c>
    </row>
    <row r="14" spans="1:3" x14ac:dyDescent="0.15">
      <c r="A14">
        <v>13</v>
      </c>
      <c r="B14" s="193" t="s">
        <v>203</v>
      </c>
      <c r="C14">
        <v>0.8</v>
      </c>
    </row>
    <row r="15" spans="1:3" x14ac:dyDescent="0.15">
      <c r="A15">
        <v>14</v>
      </c>
      <c r="B15" s="193" t="s">
        <v>204</v>
      </c>
      <c r="C15">
        <v>0.8</v>
      </c>
    </row>
    <row r="16" spans="1:3" x14ac:dyDescent="0.15">
      <c r="A16">
        <v>15</v>
      </c>
      <c r="B16" s="193" t="s">
        <v>205</v>
      </c>
      <c r="C16">
        <v>0.8</v>
      </c>
    </row>
    <row r="17" spans="1:3" x14ac:dyDescent="0.15">
      <c r="A17">
        <v>16</v>
      </c>
      <c r="B17" s="193" t="s">
        <v>206</v>
      </c>
      <c r="C17">
        <v>0.8</v>
      </c>
    </row>
    <row r="18" spans="1:3" x14ac:dyDescent="0.15">
      <c r="A18">
        <v>17</v>
      </c>
      <c r="B18" s="193" t="s">
        <v>207</v>
      </c>
      <c r="C18">
        <v>0</v>
      </c>
    </row>
    <row r="19" spans="1:3" x14ac:dyDescent="0.15">
      <c r="A19">
        <v>18</v>
      </c>
      <c r="B19" s="193" t="s">
        <v>208</v>
      </c>
      <c r="C19">
        <v>0</v>
      </c>
    </row>
    <row r="20" spans="1:3" x14ac:dyDescent="0.15">
      <c r="A20">
        <v>19</v>
      </c>
      <c r="B20" s="193" t="s">
        <v>209</v>
      </c>
      <c r="C20">
        <v>0</v>
      </c>
    </row>
    <row r="21" spans="1:3" x14ac:dyDescent="0.15">
      <c r="A21">
        <v>20</v>
      </c>
      <c r="B21" s="193" t="s">
        <v>210</v>
      </c>
      <c r="C21">
        <v>0.8</v>
      </c>
    </row>
    <row r="22" spans="1:3" x14ac:dyDescent="0.15">
      <c r="A22">
        <v>21</v>
      </c>
      <c r="B22" s="193" t="s">
        <v>211</v>
      </c>
      <c r="C22">
        <v>0.8</v>
      </c>
    </row>
    <row r="23" spans="1:3" x14ac:dyDescent="0.15">
      <c r="A23">
        <v>22</v>
      </c>
      <c r="B23" s="193" t="s">
        <v>212</v>
      </c>
      <c r="C23">
        <v>0.8</v>
      </c>
    </row>
    <row r="24" spans="1:3" x14ac:dyDescent="0.15">
      <c r="A24">
        <v>23</v>
      </c>
      <c r="B24" s="193" t="s">
        <v>213</v>
      </c>
      <c r="C24">
        <v>0.8</v>
      </c>
    </row>
    <row r="25" spans="1:3" x14ac:dyDescent="0.15">
      <c r="A25">
        <v>24</v>
      </c>
      <c r="B25" s="193" t="s">
        <v>214</v>
      </c>
      <c r="C25">
        <v>0</v>
      </c>
    </row>
    <row r="26" spans="1:3" x14ac:dyDescent="0.15">
      <c r="A26">
        <v>25</v>
      </c>
      <c r="B26" s="193" t="s">
        <v>215</v>
      </c>
      <c r="C26">
        <v>0</v>
      </c>
    </row>
    <row r="27" spans="1:3" x14ac:dyDescent="0.15">
      <c r="A27">
        <v>26</v>
      </c>
      <c r="B27" s="193" t="s">
        <v>216</v>
      </c>
      <c r="C27">
        <v>0.8</v>
      </c>
    </row>
    <row r="28" spans="1:3" x14ac:dyDescent="0.15">
      <c r="A28">
        <v>27</v>
      </c>
      <c r="B28" s="193" t="s">
        <v>217</v>
      </c>
      <c r="C28">
        <v>0.8</v>
      </c>
    </row>
    <row r="29" spans="1:3" x14ac:dyDescent="0.15">
      <c r="A29">
        <v>28</v>
      </c>
      <c r="B29" s="193" t="s">
        <v>218</v>
      </c>
      <c r="C29">
        <v>0.8</v>
      </c>
    </row>
    <row r="30" spans="1:3" x14ac:dyDescent="0.15">
      <c r="A30">
        <v>29</v>
      </c>
      <c r="B30" s="193" t="s">
        <v>219</v>
      </c>
      <c r="C30">
        <v>0.8</v>
      </c>
    </row>
    <row r="31" spans="1:3" x14ac:dyDescent="0.15">
      <c r="A31">
        <v>30</v>
      </c>
      <c r="B31" s="193" t="s">
        <v>220</v>
      </c>
      <c r="C31">
        <v>0</v>
      </c>
    </row>
    <row r="32" spans="1:3" x14ac:dyDescent="0.15">
      <c r="A32">
        <v>31</v>
      </c>
      <c r="B32" s="193" t="s">
        <v>221</v>
      </c>
      <c r="C32">
        <v>0</v>
      </c>
    </row>
    <row r="33" spans="1:3" x14ac:dyDescent="0.15">
      <c r="A33">
        <v>32</v>
      </c>
      <c r="B33" s="193" t="s">
        <v>222</v>
      </c>
      <c r="C33">
        <v>0.8</v>
      </c>
    </row>
    <row r="34" spans="1:3" x14ac:dyDescent="0.15">
      <c r="A34">
        <v>33</v>
      </c>
      <c r="B34" s="193" t="s">
        <v>223</v>
      </c>
      <c r="C34">
        <v>0</v>
      </c>
    </row>
    <row r="35" spans="1:3" x14ac:dyDescent="0.15">
      <c r="A35">
        <v>34</v>
      </c>
      <c r="B35" s="193" t="s">
        <v>224</v>
      </c>
      <c r="C35">
        <v>0</v>
      </c>
    </row>
    <row r="36" spans="1:3" x14ac:dyDescent="0.15">
      <c r="A36">
        <v>35</v>
      </c>
      <c r="B36" s="193" t="s">
        <v>225</v>
      </c>
      <c r="C36">
        <v>0</v>
      </c>
    </row>
    <row r="37" spans="1:3" x14ac:dyDescent="0.15">
      <c r="A37">
        <v>36</v>
      </c>
      <c r="B37" s="193" t="s">
        <v>226</v>
      </c>
      <c r="C37">
        <v>0</v>
      </c>
    </row>
    <row r="38" spans="1:3" x14ac:dyDescent="0.15">
      <c r="A38">
        <v>37</v>
      </c>
      <c r="B38" s="193" t="s">
        <v>227</v>
      </c>
      <c r="C38">
        <v>0</v>
      </c>
    </row>
    <row r="39" spans="1:3" x14ac:dyDescent="0.15">
      <c r="A39">
        <v>38</v>
      </c>
      <c r="B39" s="193" t="s">
        <v>228</v>
      </c>
      <c r="C39">
        <v>0</v>
      </c>
    </row>
    <row r="40" spans="1:3" x14ac:dyDescent="0.15">
      <c r="A40">
        <v>39</v>
      </c>
      <c r="B40" s="193" t="s">
        <v>229</v>
      </c>
      <c r="C4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6" sqref="L6"/>
    </sheetView>
  </sheetViews>
  <sheetFormatPr baseColWidth="10" defaultColWidth="8.83203125" defaultRowHeight="15" customHeight="1" x14ac:dyDescent="0.15"/>
  <cols>
    <col min="1" max="1" width="8.83203125" style="82"/>
    <col min="2" max="2" width="41.83203125" style="82" bestFit="1" customWidth="1"/>
    <col min="3" max="3" width="9.33203125" style="82" bestFit="1" customWidth="1"/>
    <col min="4" max="4" width="13" style="82" bestFit="1" customWidth="1"/>
    <col min="5" max="6" width="9.33203125" style="82" bestFit="1" customWidth="1"/>
    <col min="7" max="7" width="9.33203125" style="98" bestFit="1" customWidth="1"/>
    <col min="8" max="8" width="9.33203125" style="82" bestFit="1" customWidth="1"/>
    <col min="9" max="9" width="11" style="82" customWidth="1"/>
    <col min="10" max="10" width="8.83203125" style="82"/>
    <col min="15" max="16384" width="8.83203125" style="82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46">
        <v>1</v>
      </c>
      <c r="B2" s="146" t="s">
        <v>191</v>
      </c>
      <c r="C2" s="8">
        <v>4.2039909362792969</v>
      </c>
      <c r="D2" s="9">
        <v>9.9999997473787516E-5</v>
      </c>
      <c r="E2" s="9">
        <v>1.9999999552965164E-2</v>
      </c>
      <c r="F2" s="9">
        <v>7.5799999237060547</v>
      </c>
      <c r="G2" s="7">
        <v>0</v>
      </c>
      <c r="H2" s="9">
        <v>2.6385223027318716E-3</v>
      </c>
      <c r="I2">
        <v>0</v>
      </c>
      <c r="J2"/>
    </row>
    <row r="3" spans="1:10" ht="15" customHeight="1" x14ac:dyDescent="0.15">
      <c r="A3" s="147">
        <v>2</v>
      </c>
      <c r="B3" s="147" t="s">
        <v>192</v>
      </c>
      <c r="C3" s="8">
        <v>4.0698866844177246</v>
      </c>
      <c r="D3" s="9">
        <v>3.0999999493360519E-2</v>
      </c>
      <c r="E3" s="9">
        <v>5.9999998658895493E-2</v>
      </c>
      <c r="F3" s="9">
        <v>13.420000076293945</v>
      </c>
      <c r="G3" s="9">
        <v>0.38332751393318176</v>
      </c>
      <c r="H3" s="9">
        <v>4.4709388166666031E-3</v>
      </c>
      <c r="I3">
        <v>0</v>
      </c>
      <c r="J3"/>
    </row>
    <row r="4" spans="1:10" ht="15" customHeight="1" x14ac:dyDescent="0.15">
      <c r="A4" s="148">
        <v>3</v>
      </c>
      <c r="B4" s="148" t="s">
        <v>193</v>
      </c>
      <c r="C4" s="8">
        <v>4.2178263664245605</v>
      </c>
      <c r="D4" s="9">
        <v>4.1063800454139709E-3</v>
      </c>
      <c r="E4" s="9">
        <v>5.4999999701976776E-2</v>
      </c>
      <c r="F4" s="9">
        <v>89</v>
      </c>
      <c r="G4" s="9">
        <v>0.54189944267272949</v>
      </c>
      <c r="H4" s="9">
        <v>6.1797752277925611E-4</v>
      </c>
      <c r="I4">
        <v>0</v>
      </c>
      <c r="J4"/>
    </row>
    <row r="5" spans="1:10" ht="15" customHeight="1" x14ac:dyDescent="0.15">
      <c r="A5" s="149">
        <v>4</v>
      </c>
      <c r="B5" s="149" t="s">
        <v>194</v>
      </c>
      <c r="C5" s="8">
        <v>4.4485082626342773</v>
      </c>
      <c r="D5" s="9">
        <v>0.13199999928474426</v>
      </c>
      <c r="E5" s="9">
        <v>0.18999999761581421</v>
      </c>
      <c r="F5" s="9">
        <v>3.0899999141693115</v>
      </c>
      <c r="G5" s="9">
        <v>0.84686380624771118</v>
      </c>
      <c r="H5" s="9">
        <v>6.1488673090934753E-2</v>
      </c>
      <c r="I5">
        <v>1.7000000225380063E-3</v>
      </c>
      <c r="J5"/>
    </row>
    <row r="6" spans="1:10" ht="15" customHeight="1" x14ac:dyDescent="0.15">
      <c r="A6" s="150">
        <v>5</v>
      </c>
      <c r="B6" s="150" t="s">
        <v>195</v>
      </c>
      <c r="C6" s="8">
        <v>3.4605927467346191</v>
      </c>
      <c r="D6" s="9">
        <v>2.2040346637368202E-2</v>
      </c>
      <c r="E6" s="9">
        <v>0.14000000059604645</v>
      </c>
      <c r="F6" s="9">
        <v>2.4000000953674316</v>
      </c>
      <c r="G6" s="9">
        <v>0.80000001192092896</v>
      </c>
      <c r="H6" s="9">
        <v>5.8333329856395721E-2</v>
      </c>
      <c r="I6">
        <v>1.7000000225380063E-3</v>
      </c>
      <c r="J6"/>
    </row>
    <row r="7" spans="1:10" ht="15" customHeight="1" x14ac:dyDescent="0.15">
      <c r="A7" s="151">
        <v>6</v>
      </c>
      <c r="B7" s="151" t="s">
        <v>196</v>
      </c>
      <c r="C7" s="8">
        <v>4.1714997291564941</v>
      </c>
      <c r="D7" s="9">
        <v>1.3499906286597252E-2</v>
      </c>
      <c r="E7" s="9">
        <v>0.50999999046325684</v>
      </c>
      <c r="F7" s="9">
        <v>6.3000001907348633</v>
      </c>
      <c r="G7" s="9">
        <v>0.80000001192092896</v>
      </c>
      <c r="H7" s="9">
        <v>8.0952376127243042E-2</v>
      </c>
      <c r="I7">
        <v>5.1000001840293407E-3</v>
      </c>
      <c r="J7"/>
    </row>
    <row r="8" spans="1:10" ht="15" customHeight="1" x14ac:dyDescent="0.15">
      <c r="A8" s="152">
        <v>7</v>
      </c>
      <c r="B8" s="152" t="s">
        <v>197</v>
      </c>
      <c r="C8" s="8">
        <v>4.0129399299621582</v>
      </c>
      <c r="D8" s="9">
        <v>0.42699998617172241</v>
      </c>
      <c r="E8" s="9">
        <v>0.72000002861022949</v>
      </c>
      <c r="F8" s="9">
        <v>3.559999942779541</v>
      </c>
      <c r="G8" s="9">
        <v>0.33237004280090332</v>
      </c>
      <c r="H8" s="9">
        <v>0.20224720239639282</v>
      </c>
      <c r="I8">
        <v>6.6299997270107269E-2</v>
      </c>
      <c r="J8"/>
    </row>
    <row r="9" spans="1:10" ht="15" customHeight="1" x14ac:dyDescent="0.15">
      <c r="A9" s="153">
        <v>8</v>
      </c>
      <c r="B9" s="153" t="s">
        <v>198</v>
      </c>
      <c r="C9" s="8">
        <v>4.0388402938842773</v>
      </c>
      <c r="D9" s="9">
        <v>0.11699999868869781</v>
      </c>
      <c r="E9" s="9">
        <v>0.80000001192092896</v>
      </c>
      <c r="F9" s="9">
        <v>4.3000001907348633</v>
      </c>
      <c r="G9" s="9">
        <v>0.68888479471206665</v>
      </c>
      <c r="H9" s="9">
        <v>0.18604651093482971</v>
      </c>
      <c r="I9">
        <v>1.360000018030405E-2</v>
      </c>
      <c r="J9"/>
    </row>
    <row r="10" spans="1:10" ht="15" customHeight="1" x14ac:dyDescent="0.15">
      <c r="A10" s="154">
        <v>9</v>
      </c>
      <c r="B10" s="154" t="s">
        <v>199</v>
      </c>
      <c r="C10" s="8">
        <v>3.562490701675415</v>
      </c>
      <c r="D10" s="9">
        <v>0.34999999403953552</v>
      </c>
      <c r="E10" s="9">
        <v>1.2999999523162842</v>
      </c>
      <c r="F10" s="9">
        <v>8.75</v>
      </c>
      <c r="G10" s="9">
        <v>0.66439759731292725</v>
      </c>
      <c r="H10" s="9">
        <v>0.14857141673564911</v>
      </c>
      <c r="I10">
        <v>0</v>
      </c>
      <c r="J10"/>
    </row>
    <row r="11" spans="1:10" ht="15" customHeight="1" x14ac:dyDescent="0.15">
      <c r="A11" s="155">
        <v>10</v>
      </c>
      <c r="B11" s="155" t="s">
        <v>200</v>
      </c>
      <c r="C11" s="8">
        <v>3.0078787803649902</v>
      </c>
      <c r="D11" s="9">
        <v>5</v>
      </c>
      <c r="E11" s="9">
        <v>2.690000057220459</v>
      </c>
      <c r="F11" s="9">
        <v>20</v>
      </c>
      <c r="G11" s="9">
        <v>0.18766066431999207</v>
      </c>
      <c r="H11" s="9">
        <v>0.13449999690055847</v>
      </c>
      <c r="I11">
        <v>0</v>
      </c>
      <c r="J11"/>
    </row>
    <row r="12" spans="1:10" ht="15" customHeight="1" x14ac:dyDescent="0.15">
      <c r="A12" s="156">
        <v>11</v>
      </c>
      <c r="B12" s="156" t="s">
        <v>201</v>
      </c>
      <c r="C12" s="8">
        <v>3.3663094043731689</v>
      </c>
      <c r="D12" s="9">
        <v>0.12600000202655792</v>
      </c>
      <c r="E12" s="9">
        <v>0.31999999284744263</v>
      </c>
      <c r="F12" s="9">
        <v>5.4000000953674316</v>
      </c>
      <c r="G12" s="9">
        <v>0.35503473877906799</v>
      </c>
      <c r="H12" s="9">
        <v>5.9259258210659027E-2</v>
      </c>
      <c r="I12">
        <v>0</v>
      </c>
      <c r="J12"/>
    </row>
    <row r="13" spans="1:10" ht="15" customHeight="1" x14ac:dyDescent="0.15">
      <c r="A13" s="157">
        <v>12</v>
      </c>
      <c r="B13" s="157" t="s">
        <v>202</v>
      </c>
      <c r="C13" s="8">
        <v>3.3550701141357422</v>
      </c>
      <c r="D13" s="9">
        <v>0.20000000298023224</v>
      </c>
      <c r="E13" s="9">
        <v>1.6000000238418579</v>
      </c>
      <c r="F13" s="9">
        <v>6.5999999046325684</v>
      </c>
      <c r="G13" s="9">
        <v>0.9431302547454834</v>
      </c>
      <c r="H13" s="9">
        <v>0.24242424964904785</v>
      </c>
      <c r="I13">
        <v>0</v>
      </c>
      <c r="J13"/>
    </row>
    <row r="14" spans="1:10" ht="15" customHeight="1" x14ac:dyDescent="0.15">
      <c r="A14" s="158">
        <v>13</v>
      </c>
      <c r="B14" s="158" t="s">
        <v>203</v>
      </c>
      <c r="C14" s="8">
        <v>4.1012873649597168</v>
      </c>
      <c r="D14" s="9">
        <v>0.20000000298023224</v>
      </c>
      <c r="E14" s="9">
        <v>0.74000000953674316</v>
      </c>
      <c r="F14" s="9">
        <v>5.429999828338623</v>
      </c>
      <c r="G14" s="9">
        <v>0.97769594192504883</v>
      </c>
      <c r="H14" s="9">
        <v>0.13627992570400238</v>
      </c>
      <c r="I14">
        <v>5.950000137090683E-2</v>
      </c>
      <c r="J14"/>
    </row>
    <row r="15" spans="1:10" ht="15" customHeight="1" x14ac:dyDescent="0.15">
      <c r="A15" s="159">
        <v>14</v>
      </c>
      <c r="B15" s="159" t="s">
        <v>204</v>
      </c>
      <c r="C15" s="8">
        <v>3.4287891387939453</v>
      </c>
      <c r="D15" s="9">
        <v>7.0000000298023224E-2</v>
      </c>
      <c r="E15" s="9">
        <v>0.85000002384185791</v>
      </c>
      <c r="F15" s="9">
        <v>5.1999998092651367</v>
      </c>
      <c r="G15" s="9">
        <v>0.94198751449584961</v>
      </c>
      <c r="H15" s="9">
        <v>0.16346155107021332</v>
      </c>
      <c r="I15">
        <v>2.8899999335408211E-2</v>
      </c>
      <c r="J15"/>
    </row>
    <row r="16" spans="1:10" ht="15" customHeight="1" x14ac:dyDescent="0.15">
      <c r="A16" s="160">
        <v>15</v>
      </c>
      <c r="B16" s="160" t="s">
        <v>205</v>
      </c>
      <c r="C16" s="8">
        <v>4.0178694725036621</v>
      </c>
      <c r="D16" s="9">
        <v>0.13500000536441803</v>
      </c>
      <c r="E16" s="9">
        <v>0.63999998569488525</v>
      </c>
      <c r="F16" s="9">
        <v>4.6599998474121094</v>
      </c>
      <c r="G16" s="9">
        <v>0.59961056709289551</v>
      </c>
      <c r="H16" s="9">
        <v>0.13733905553817749</v>
      </c>
      <c r="I16">
        <v>3.4000001847743988E-2</v>
      </c>
      <c r="J16"/>
    </row>
    <row r="17" spans="1:10" ht="15" customHeight="1" x14ac:dyDescent="0.15">
      <c r="A17" s="161">
        <v>16</v>
      </c>
      <c r="B17" s="161" t="s">
        <v>206</v>
      </c>
      <c r="C17" s="8">
        <v>3.4270298480987549</v>
      </c>
      <c r="D17" s="9">
        <v>4.8000000417232513E-2</v>
      </c>
      <c r="E17" s="9">
        <v>0.80000001192092896</v>
      </c>
      <c r="F17" s="9">
        <v>6.5</v>
      </c>
      <c r="G17" s="9">
        <v>0.87278372049331665</v>
      </c>
      <c r="H17" s="9">
        <v>0.12307692319154739</v>
      </c>
      <c r="I17">
        <v>1.360000018030405E-2</v>
      </c>
      <c r="J17"/>
    </row>
    <row r="18" spans="1:10" ht="15" customHeight="1" x14ac:dyDescent="0.15">
      <c r="A18" s="162">
        <v>17</v>
      </c>
      <c r="B18" s="162" t="s">
        <v>207</v>
      </c>
      <c r="C18" s="8">
        <v>3.8066279888153076</v>
      </c>
      <c r="D18" s="9">
        <v>6.7000001668930054E-2</v>
      </c>
      <c r="E18" s="9">
        <v>0.5</v>
      </c>
      <c r="F18" s="9">
        <v>7.4800000190734863</v>
      </c>
      <c r="G18" s="9">
        <v>0.88460958003997803</v>
      </c>
      <c r="H18" s="9">
        <v>6.6844917833805084E-2</v>
      </c>
      <c r="I18">
        <v>0</v>
      </c>
      <c r="J18"/>
    </row>
    <row r="19" spans="1:10" ht="15" customHeight="1" x14ac:dyDescent="0.15">
      <c r="A19" s="163">
        <v>18</v>
      </c>
      <c r="B19" s="163" t="s">
        <v>208</v>
      </c>
      <c r="C19" s="8">
        <v>3.1557879447937012</v>
      </c>
      <c r="D19" s="9">
        <v>0.44999998807907104</v>
      </c>
      <c r="E19" s="9">
        <v>0.75</v>
      </c>
      <c r="F19" s="9">
        <v>7.4000000953674316</v>
      </c>
      <c r="G19" s="9">
        <v>0.97658568620681763</v>
      </c>
      <c r="H19" s="9">
        <v>0.10135135054588318</v>
      </c>
      <c r="I19">
        <v>0</v>
      </c>
      <c r="J19"/>
    </row>
    <row r="20" spans="1:10" ht="15" customHeight="1" x14ac:dyDescent="0.15">
      <c r="A20" s="164">
        <v>19</v>
      </c>
      <c r="B20" s="164" t="s">
        <v>209</v>
      </c>
      <c r="C20" s="8">
        <v>3.5655980110168457</v>
      </c>
      <c r="D20" s="9">
        <v>0.18000000715255737</v>
      </c>
      <c r="E20" s="9">
        <v>0.93999999761581421</v>
      </c>
      <c r="F20" s="9">
        <v>7.0999999046325684</v>
      </c>
      <c r="G20" s="9">
        <v>0.92142868041992188</v>
      </c>
      <c r="H20" s="9">
        <v>0.13239437341690063</v>
      </c>
      <c r="I20">
        <v>0</v>
      </c>
      <c r="J20"/>
    </row>
    <row r="21" spans="1:10" ht="15" customHeight="1" x14ac:dyDescent="0.15">
      <c r="A21" s="165">
        <v>20</v>
      </c>
      <c r="B21" s="165" t="s">
        <v>210</v>
      </c>
      <c r="C21" s="8">
        <v>3.2169897556304932</v>
      </c>
      <c r="D21" s="9">
        <v>1.5</v>
      </c>
      <c r="E21" s="9">
        <v>1</v>
      </c>
      <c r="F21" s="9">
        <v>9.1000003814697266</v>
      </c>
      <c r="G21" s="9">
        <v>0.93219232559204102</v>
      </c>
      <c r="H21" s="9">
        <v>0.10989010334014893</v>
      </c>
      <c r="I21">
        <v>1.7000000225380063E-3</v>
      </c>
      <c r="J21"/>
    </row>
    <row r="22" spans="1:10" ht="15" customHeight="1" x14ac:dyDescent="0.15">
      <c r="A22" s="166">
        <v>21</v>
      </c>
      <c r="B22" s="166" t="s">
        <v>211</v>
      </c>
      <c r="C22" s="8">
        <v>2.1083729267120361</v>
      </c>
      <c r="D22" s="9">
        <v>0.18356841802597046</v>
      </c>
      <c r="E22" s="9">
        <v>0.92000001668930054</v>
      </c>
      <c r="F22" s="9">
        <v>8.6999998092651367</v>
      </c>
      <c r="G22" s="9">
        <v>0.9500001072883606</v>
      </c>
      <c r="H22" s="9">
        <v>0.10574713349342346</v>
      </c>
      <c r="I22">
        <v>1.5300000086426735E-2</v>
      </c>
      <c r="J22"/>
    </row>
    <row r="23" spans="1:10" ht="15" customHeight="1" x14ac:dyDescent="0.15">
      <c r="A23" s="167">
        <v>22</v>
      </c>
      <c r="B23" s="167" t="s">
        <v>212</v>
      </c>
      <c r="C23" s="8">
        <v>4.156343936920166</v>
      </c>
      <c r="D23" s="9">
        <v>0.13899999856948853</v>
      </c>
      <c r="E23" s="9">
        <v>0.56999999284744263</v>
      </c>
      <c r="F23" s="9">
        <v>6.3000001907348633</v>
      </c>
      <c r="G23" s="9">
        <v>0.92305886745452881</v>
      </c>
      <c r="H23" s="9">
        <v>9.0476185083389282E-2</v>
      </c>
      <c r="I23">
        <v>3.4000001847743988E-2</v>
      </c>
      <c r="J23"/>
    </row>
    <row r="24" spans="1:10" ht="15" customHeight="1" x14ac:dyDescent="0.15">
      <c r="A24" s="168">
        <v>23</v>
      </c>
      <c r="B24" s="168" t="s">
        <v>213</v>
      </c>
      <c r="C24" s="8">
        <v>4.1224851608276367</v>
      </c>
      <c r="D24" s="9">
        <v>0.15000000596046448</v>
      </c>
      <c r="E24" s="9">
        <v>0.6600000262260437</v>
      </c>
      <c r="F24" s="9">
        <v>3.9000000953674316</v>
      </c>
      <c r="G24" s="9">
        <v>0.97193551063537598</v>
      </c>
      <c r="H24" s="9">
        <v>0.16923077404499054</v>
      </c>
      <c r="I24">
        <v>5.1000001840293407E-3</v>
      </c>
      <c r="J24"/>
    </row>
    <row r="25" spans="1:10" ht="15" customHeight="1" x14ac:dyDescent="0.15">
      <c r="A25" s="169">
        <v>24</v>
      </c>
      <c r="B25" s="169" t="s">
        <v>214</v>
      </c>
      <c r="C25" s="8">
        <v>3.8651719093322754</v>
      </c>
      <c r="D25" s="9">
        <v>0.20585402846336365</v>
      </c>
      <c r="E25" s="9">
        <v>0.31999999284744263</v>
      </c>
      <c r="F25" s="9">
        <v>6.5</v>
      </c>
      <c r="G25" s="9">
        <v>0.94999992847442627</v>
      </c>
      <c r="H25" s="9">
        <v>4.9230769276618958E-2</v>
      </c>
      <c r="I25">
        <v>0</v>
      </c>
      <c r="J25"/>
    </row>
    <row r="26" spans="1:10" ht="15" customHeight="1" x14ac:dyDescent="0.15">
      <c r="A26" s="170">
        <v>25</v>
      </c>
      <c r="B26" s="170" t="s">
        <v>215</v>
      </c>
      <c r="C26" s="8">
        <v>3.0656566619873047</v>
      </c>
      <c r="D26" s="9">
        <v>7.5000002980232239E-2</v>
      </c>
      <c r="E26" s="9">
        <v>1</v>
      </c>
      <c r="F26" s="9">
        <v>10</v>
      </c>
      <c r="G26" s="9">
        <v>0.56792473793029785</v>
      </c>
      <c r="H26" s="9">
        <v>0.10000000149011612</v>
      </c>
      <c r="I26">
        <v>0</v>
      </c>
      <c r="J26"/>
    </row>
    <row r="27" spans="1:10" ht="15" customHeight="1" x14ac:dyDescent="0.15">
      <c r="A27" s="171">
        <v>26</v>
      </c>
      <c r="B27" s="171" t="s">
        <v>216</v>
      </c>
      <c r="C27" s="8">
        <v>3.0399537086486816</v>
      </c>
      <c r="D27" s="9">
        <v>0.85600000619888306</v>
      </c>
      <c r="E27" s="9">
        <v>0.69999998807907104</v>
      </c>
      <c r="F27" s="9">
        <v>6.4000000953674316</v>
      </c>
      <c r="G27" s="9">
        <v>0.97809737920761108</v>
      </c>
      <c r="H27" s="9">
        <v>0.109375</v>
      </c>
      <c r="I27">
        <v>0.289000004529953</v>
      </c>
      <c r="J27"/>
    </row>
    <row r="28" spans="1:10" ht="15" customHeight="1" x14ac:dyDescent="0.15">
      <c r="A28" s="172">
        <v>27</v>
      </c>
      <c r="B28" s="172" t="s">
        <v>217</v>
      </c>
      <c r="C28" s="8">
        <v>2.8812363147735596</v>
      </c>
      <c r="D28" s="9">
        <v>13.907999992370605</v>
      </c>
      <c r="E28" s="9">
        <v>1.2999999523162842</v>
      </c>
      <c r="F28" s="9">
        <v>9.0100002288818359</v>
      </c>
      <c r="G28" s="9">
        <v>0.42687752842903137</v>
      </c>
      <c r="H28" s="9">
        <v>0.14428411424160004</v>
      </c>
      <c r="I28">
        <v>2.4718000888824463</v>
      </c>
      <c r="J28"/>
    </row>
    <row r="29" spans="1:10" ht="15" customHeight="1" x14ac:dyDescent="0.15">
      <c r="A29" s="173">
        <v>28</v>
      </c>
      <c r="B29" s="173" t="s">
        <v>218</v>
      </c>
      <c r="C29" s="8">
        <v>3.2279388904571533</v>
      </c>
      <c r="D29" s="9">
        <v>5.5409998893737793</v>
      </c>
      <c r="E29" s="9">
        <v>1.1000000238418579</v>
      </c>
      <c r="F29" s="9">
        <v>7.9499998092651367</v>
      </c>
      <c r="G29" s="9">
        <v>0.50811690092086792</v>
      </c>
      <c r="H29" s="9">
        <v>0.13836479187011719</v>
      </c>
      <c r="I29">
        <v>0.79559999704360962</v>
      </c>
      <c r="J29"/>
    </row>
    <row r="30" spans="1:10" ht="15" customHeight="1" x14ac:dyDescent="0.15">
      <c r="A30" s="174">
        <v>29</v>
      </c>
      <c r="B30" s="174" t="s">
        <v>219</v>
      </c>
      <c r="C30" s="8">
        <v>3.4020266532897949</v>
      </c>
      <c r="D30" s="9">
        <v>0.33799999952316284</v>
      </c>
      <c r="E30" s="9">
        <v>1.5</v>
      </c>
      <c r="F30" s="9">
        <v>11.699999809265137</v>
      </c>
      <c r="G30" s="9">
        <v>0.86755496263504028</v>
      </c>
      <c r="H30" s="9">
        <v>0.12820513546466827</v>
      </c>
      <c r="I30">
        <v>0.15639999508857727</v>
      </c>
      <c r="J30"/>
    </row>
    <row r="31" spans="1:10" ht="15" customHeight="1" x14ac:dyDescent="0.15">
      <c r="A31" s="175">
        <v>30</v>
      </c>
      <c r="B31" s="175" t="s">
        <v>220</v>
      </c>
      <c r="C31" s="8">
        <v>3.4819188117980957</v>
      </c>
      <c r="D31" s="9">
        <v>0.69999998807907104</v>
      </c>
      <c r="E31" s="9">
        <v>2.5</v>
      </c>
      <c r="F31" s="9">
        <v>11.699999809265137</v>
      </c>
      <c r="G31" s="9">
        <v>0.67251932621002197</v>
      </c>
      <c r="H31" s="9">
        <v>0.21367521584033966</v>
      </c>
      <c r="I31">
        <v>0</v>
      </c>
      <c r="J31"/>
    </row>
    <row r="32" spans="1:10" ht="15" customHeight="1" x14ac:dyDescent="0.15">
      <c r="A32" s="203">
        <v>31</v>
      </c>
      <c r="B32" s="203" t="s">
        <v>221</v>
      </c>
      <c r="C32" s="8">
        <v>2.1779654026031494</v>
      </c>
      <c r="D32" s="9">
        <v>24.040000915527344</v>
      </c>
      <c r="E32" s="9">
        <v>2</v>
      </c>
      <c r="F32" s="9">
        <v>16.666667938232422</v>
      </c>
      <c r="G32" s="9">
        <v>0.77718311548233032</v>
      </c>
      <c r="H32" s="9">
        <v>0.11999998986721039</v>
      </c>
      <c r="I32">
        <v>0</v>
      </c>
      <c r="J32"/>
    </row>
    <row r="33" spans="1:10" ht="15" customHeight="1" x14ac:dyDescent="0.15">
      <c r="A33" s="204">
        <v>32</v>
      </c>
      <c r="B33" s="204" t="s">
        <v>222</v>
      </c>
      <c r="C33" s="8">
        <v>2.7056319713592529</v>
      </c>
      <c r="D33" s="9">
        <v>0.80000001192092896</v>
      </c>
      <c r="E33" s="9">
        <v>1.7999999523162842</v>
      </c>
      <c r="F33" s="9">
        <v>15</v>
      </c>
      <c r="G33" s="9">
        <v>0.89370238780975342</v>
      </c>
      <c r="H33" s="9">
        <v>0.11999999731779099</v>
      </c>
      <c r="I33">
        <v>2.5499999523162842E-2</v>
      </c>
      <c r="J33"/>
    </row>
    <row r="34" spans="1:10" ht="15" customHeight="1" x14ac:dyDescent="0.15">
      <c r="A34" s="205">
        <v>33</v>
      </c>
      <c r="B34" s="205" t="s">
        <v>223</v>
      </c>
      <c r="C34" s="8">
        <v>2.5792200565338135</v>
      </c>
      <c r="D34" s="9">
        <v>3.0614514350891113</v>
      </c>
      <c r="E34" s="9">
        <v>2.5</v>
      </c>
      <c r="F34" s="9">
        <v>20.833333969116211</v>
      </c>
      <c r="G34" s="9">
        <v>0.94999992847442627</v>
      </c>
      <c r="H34" s="9">
        <v>0.11999999731779099</v>
      </c>
      <c r="I34">
        <v>0</v>
      </c>
      <c r="J34"/>
    </row>
    <row r="35" spans="1:10" ht="15" customHeight="1" x14ac:dyDescent="0.15">
      <c r="A35" s="206">
        <v>34</v>
      </c>
      <c r="B35" s="206" t="s">
        <v>224</v>
      </c>
      <c r="C35" s="8">
        <v>2.8000001907348633</v>
      </c>
      <c r="D35" s="9">
        <v>1.0119999647140503</v>
      </c>
      <c r="E35" s="9">
        <v>3</v>
      </c>
      <c r="F35" s="9">
        <v>23</v>
      </c>
      <c r="G35" s="9">
        <v>0.22460763156414032</v>
      </c>
      <c r="H35" s="9">
        <v>0.1304347813129425</v>
      </c>
      <c r="I35">
        <v>0</v>
      </c>
      <c r="J35"/>
    </row>
    <row r="36" spans="1:10" ht="15" customHeight="1" x14ac:dyDescent="0.15">
      <c r="A36" s="207">
        <v>35</v>
      </c>
      <c r="B36" s="207" t="s">
        <v>225</v>
      </c>
      <c r="C36" s="8">
        <v>2.2626261711120605</v>
      </c>
      <c r="D36" s="9">
        <v>31.483999252319336</v>
      </c>
      <c r="E36" s="9">
        <v>5</v>
      </c>
      <c r="F36" s="9">
        <v>32</v>
      </c>
      <c r="G36" s="9">
        <v>0.8212127685546875</v>
      </c>
      <c r="H36" s="9">
        <v>0.15625</v>
      </c>
      <c r="I36">
        <v>0</v>
      </c>
      <c r="J36"/>
    </row>
    <row r="37" spans="1:10" ht="15" customHeight="1" x14ac:dyDescent="0.15">
      <c r="A37" s="208">
        <v>36</v>
      </c>
      <c r="B37" s="208" t="s">
        <v>226</v>
      </c>
      <c r="C37" s="8">
        <v>2</v>
      </c>
      <c r="D37" s="9">
        <v>20.156000137329102</v>
      </c>
      <c r="E37" s="9">
        <v>25</v>
      </c>
      <c r="F37" s="9">
        <v>83.333328247070312</v>
      </c>
      <c r="G37" s="9">
        <v>0.96016943454742432</v>
      </c>
      <c r="H37" s="9">
        <v>0.30000001192092896</v>
      </c>
      <c r="I37">
        <v>0</v>
      </c>
      <c r="J37"/>
    </row>
    <row r="38" spans="1:10" ht="15" customHeight="1" x14ac:dyDescent="0.15">
      <c r="A38" s="209">
        <v>37</v>
      </c>
      <c r="B38" s="209" t="s">
        <v>227</v>
      </c>
      <c r="C38" s="8">
        <v>1</v>
      </c>
      <c r="D38" s="9">
        <v>81.237998962402344</v>
      </c>
      <c r="E38" s="9">
        <v>100</v>
      </c>
      <c r="F38" s="10"/>
      <c r="G38" s="9">
        <v>0.25941574573516846</v>
      </c>
      <c r="H38" s="10"/>
      <c r="I38">
        <v>0</v>
      </c>
      <c r="J38"/>
    </row>
    <row r="39" spans="1:10" ht="15" customHeight="1" x14ac:dyDescent="0.15">
      <c r="A39" s="210">
        <v>38</v>
      </c>
      <c r="B39" s="210" t="s">
        <v>228</v>
      </c>
      <c r="C39" s="8">
        <v>1</v>
      </c>
      <c r="D39" s="9">
        <v>560.385009765625</v>
      </c>
      <c r="E39" s="10"/>
      <c r="F39" s="10"/>
      <c r="G39" s="7">
        <v>0.10170016437768936</v>
      </c>
      <c r="H39" s="10"/>
      <c r="I39">
        <v>0</v>
      </c>
      <c r="J39"/>
    </row>
    <row r="40" spans="1:10" ht="15" customHeight="1" x14ac:dyDescent="0.15">
      <c r="A40" s="211">
        <v>39</v>
      </c>
      <c r="B40" s="211" t="s">
        <v>229</v>
      </c>
      <c r="C40" s="8">
        <v>1</v>
      </c>
      <c r="D40" s="9">
        <v>5</v>
      </c>
      <c r="E40" s="10"/>
      <c r="F40" s="10"/>
      <c r="G40" s="7">
        <v>0</v>
      </c>
      <c r="H40" s="10"/>
      <c r="I40">
        <v>0</v>
      </c>
      <c r="J40"/>
    </row>
    <row r="41" spans="1:10" ht="15" customHeight="1" x14ac:dyDescent="0.15">
      <c r="A41" s="212">
        <v>40</v>
      </c>
      <c r="B41" s="212" t="s">
        <v>230</v>
      </c>
      <c r="C41" s="8">
        <v>4.0485997200012207</v>
      </c>
      <c r="D41" s="10"/>
      <c r="E41" s="10"/>
      <c r="F41" s="10"/>
      <c r="G41" s="10"/>
      <c r="H41" s="10"/>
      <c r="I41">
        <v>4.0187997817993164</v>
      </c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2" bestFit="1" customWidth="1"/>
    <col min="2" max="4" width="9.5" style="82" bestFit="1" customWidth="1"/>
    <col min="5" max="7" width="9" style="82" bestFit="1" customWidth="1"/>
    <col min="8" max="16" width="12.6640625" style="82" bestFit="1" customWidth="1"/>
    <col min="17" max="17" width="12.33203125" style="82" bestFit="1" customWidth="1"/>
    <col min="18" max="18" width="8.83203125" style="82"/>
    <col min="19" max="21" width="9.33203125" style="82" bestFit="1" customWidth="1"/>
    <col min="22" max="23" width="8.83203125" style="82"/>
    <col min="24" max="24" width="9.33203125" style="82" bestFit="1" customWidth="1"/>
    <col min="25" max="27" width="8.83203125" style="82"/>
    <col min="28" max="58" width="9" style="82" bestFit="1" customWidth="1"/>
    <col min="59" max="59" width="12.33203125" style="82" bestFit="1" customWidth="1"/>
    <col min="60" max="60" width="9" style="82" bestFit="1" customWidth="1"/>
    <col min="61" max="61" width="11.33203125" style="82" bestFit="1" customWidth="1"/>
    <col min="62" max="77" width="9" style="82" bestFit="1" customWidth="1"/>
    <col min="78" max="78" width="12.33203125" style="82" bestFit="1" customWidth="1"/>
    <col min="79" max="79" width="9" style="82" bestFit="1" customWidth="1"/>
    <col min="80" max="80" width="12.33203125" style="82" bestFit="1" customWidth="1"/>
    <col min="81" max="107" width="9" style="82" bestFit="1" customWidth="1"/>
    <col min="108" max="108" width="11.33203125" style="82" bestFit="1" customWidth="1"/>
    <col min="109" max="124" width="9" style="82" bestFit="1" customWidth="1"/>
    <col min="125" max="125" width="10.33203125" style="82" bestFit="1" customWidth="1"/>
    <col min="126" max="129" width="9.33203125" style="82" bestFit="1" customWidth="1"/>
    <col min="130" max="130" width="9" style="82" bestFit="1" customWidth="1"/>
    <col min="131" max="134" width="9.33203125" style="82" bestFit="1" customWidth="1"/>
    <col min="135" max="165" width="9" style="82" bestFit="1" customWidth="1"/>
    <col min="166" max="166" width="12.33203125" style="82" bestFit="1" customWidth="1"/>
    <col min="167" max="170" width="9" style="82" bestFit="1" customWidth="1"/>
    <col min="171" max="176" width="8.83203125" style="82"/>
    <col min="177" max="177" width="13.83203125" style="82" bestFit="1" customWidth="1"/>
    <col min="178" max="16384" width="8.83203125" style="82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235</v>
      </c>
      <c r="E1" t="s">
        <v>191</v>
      </c>
      <c r="F1" t="s">
        <v>192</v>
      </c>
      <c r="G1" t="s">
        <v>193</v>
      </c>
      <c r="H1" t="s">
        <v>194</v>
      </c>
      <c r="I1" t="s">
        <v>195</v>
      </c>
      <c r="J1" t="s">
        <v>196</v>
      </c>
      <c r="K1" t="s">
        <v>197</v>
      </c>
      <c r="L1" t="s">
        <v>198</v>
      </c>
      <c r="M1" t="s">
        <v>199</v>
      </c>
      <c r="N1" t="s">
        <v>200</v>
      </c>
      <c r="O1" t="s">
        <v>201</v>
      </c>
      <c r="P1" t="s">
        <v>202</v>
      </c>
      <c r="Q1" t="s">
        <v>203</v>
      </c>
      <c r="R1" t="s">
        <v>204</v>
      </c>
      <c r="S1" t="s">
        <v>205</v>
      </c>
      <c r="T1" t="s">
        <v>206</v>
      </c>
      <c r="U1" t="s">
        <v>207</v>
      </c>
      <c r="V1" t="s">
        <v>208</v>
      </c>
      <c r="W1" t="s">
        <v>209</v>
      </c>
      <c r="X1" t="s">
        <v>210</v>
      </c>
      <c r="Y1" t="s">
        <v>211</v>
      </c>
      <c r="Z1" t="s">
        <v>212</v>
      </c>
      <c r="AA1" t="s">
        <v>213</v>
      </c>
      <c r="AB1" t="s">
        <v>214</v>
      </c>
      <c r="AC1" t="s">
        <v>215</v>
      </c>
      <c r="AD1" t="s">
        <v>216</v>
      </c>
      <c r="AE1" t="s">
        <v>217</v>
      </c>
      <c r="AF1" t="s">
        <v>218</v>
      </c>
      <c r="AG1" t="s">
        <v>219</v>
      </c>
      <c r="AH1" t="s">
        <v>220</v>
      </c>
      <c r="AI1" t="s">
        <v>221</v>
      </c>
      <c r="AJ1" t="s">
        <v>222</v>
      </c>
      <c r="AK1" t="s">
        <v>223</v>
      </c>
      <c r="AL1" t="s">
        <v>224</v>
      </c>
      <c r="AM1" t="s">
        <v>225</v>
      </c>
      <c r="AN1" t="s">
        <v>226</v>
      </c>
      <c r="AO1" t="s">
        <v>227</v>
      </c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191</v>
      </c>
      <c r="B2">
        <v>1.9999999552965164E-2</v>
      </c>
      <c r="C2">
        <v>1.9999999552965164E-2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192</v>
      </c>
      <c r="B3">
        <v>5.9999998658895493E-2</v>
      </c>
      <c r="C3">
        <v>3.7000346928834915E-2</v>
      </c>
      <c r="D3"/>
      <c r="E3" s="12">
        <v>2.450763713568449E-4</v>
      </c>
      <c r="F3" s="230">
        <v>1.3420000672340393E-2</v>
      </c>
      <c r="G3"/>
      <c r="H3" s="229">
        <v>6.5800254233181477E-3</v>
      </c>
      <c r="I3"/>
      <c r="J3" s="227">
        <v>2.7545483317226171E-3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193</v>
      </c>
      <c r="B4">
        <v>5.4999999701976776E-2</v>
      </c>
      <c r="C4">
        <v>2.51955296844244E-2</v>
      </c>
      <c r="D4"/>
      <c r="E4"/>
      <c r="F4"/>
      <c r="G4"/>
      <c r="H4" s="228">
        <v>2.9804468154907227E-2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194</v>
      </c>
      <c r="B5">
        <v>0.18999999761581421</v>
      </c>
      <c r="C5">
        <v>2.9095876961946487E-2</v>
      </c>
      <c r="D5" s="213">
        <v>1.2878787703812122E-2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 s="248">
        <v>0.14802533388137817</v>
      </c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195</v>
      </c>
      <c r="B6">
        <v>0.14000000059604645</v>
      </c>
      <c r="C6">
        <v>2.79999990016222E-2</v>
      </c>
      <c r="D6" s="214">
        <v>7.7131271362304688E-2</v>
      </c>
      <c r="E6"/>
      <c r="F6"/>
      <c r="G6"/>
      <c r="H6"/>
      <c r="I6"/>
      <c r="J6" s="231">
        <v>3.4868728369474411E-2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196</v>
      </c>
      <c r="B7">
        <v>0.50999999046325684</v>
      </c>
      <c r="C7">
        <v>0.10199999064207077</v>
      </c>
      <c r="D7" s="215">
        <v>0.37778040766716003</v>
      </c>
      <c r="E7"/>
      <c r="F7"/>
      <c r="G7"/>
      <c r="H7" s="67">
        <v>3.0219586566090584E-2</v>
      </c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197</v>
      </c>
      <c r="B8">
        <v>0.72000002861022949</v>
      </c>
      <c r="C8">
        <v>0.48069357872009277</v>
      </c>
      <c r="D8" s="141">
        <v>0.1552693247795105</v>
      </c>
      <c r="E8"/>
      <c r="F8"/>
      <c r="G8"/>
      <c r="H8" s="67">
        <v>4.2038198560476303E-2</v>
      </c>
      <c r="I8"/>
      <c r="J8" s="21">
        <v>1.4598459005355835E-2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 s="13">
        <v>2.7400471270084381E-2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198</v>
      </c>
      <c r="B9">
        <v>0.80000001192092896</v>
      </c>
      <c r="C9">
        <v>0.2488921731710434</v>
      </c>
      <c r="D9" s="216">
        <v>0.11623931676149368</v>
      </c>
      <c r="E9"/>
      <c r="F9"/>
      <c r="G9"/>
      <c r="H9" s="20">
        <v>3.48685123026371E-2</v>
      </c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 s="262">
        <v>0.40000003576278687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199</v>
      </c>
      <c r="B10">
        <v>1.2999999523162842</v>
      </c>
      <c r="C10">
        <v>0.43628311157226562</v>
      </c>
      <c r="D10"/>
      <c r="E10"/>
      <c r="F10" s="25">
        <v>4.0413372218608856E-2</v>
      </c>
      <c r="G10" s="270">
        <v>0.2088388055562973</v>
      </c>
      <c r="H10" s="263">
        <v>0.13870693743228912</v>
      </c>
      <c r="I10" s="14">
        <v>1.505316817201674E-3</v>
      </c>
      <c r="J10" s="144">
        <v>3.9035879075527191E-2</v>
      </c>
      <c r="K10" s="236">
        <v>0.17378973960876465</v>
      </c>
      <c r="L10" s="233">
        <v>4.3122857809066772E-2</v>
      </c>
      <c r="M10"/>
      <c r="N10"/>
      <c r="O10" s="232">
        <v>3.1104004010558128E-2</v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 s="268">
        <v>0.18720000982284546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200</v>
      </c>
      <c r="B11">
        <v>2.690000057220459</v>
      </c>
      <c r="C11">
        <v>2.1851928234100342</v>
      </c>
      <c r="D11"/>
      <c r="E11"/>
      <c r="F11" s="14">
        <v>5.4082600399851799E-3</v>
      </c>
      <c r="G11" s="22">
        <v>2.1928071975708008E-2</v>
      </c>
      <c r="H11" s="12">
        <v>9.7094858065247536E-3</v>
      </c>
      <c r="I11" s="11">
        <v>2.0020714146085083E-4</v>
      </c>
      <c r="J11" s="11">
        <v>6.3189328648149967E-4</v>
      </c>
      <c r="K11" s="19">
        <v>4.5011542737483978E-2</v>
      </c>
      <c r="L11" s="12">
        <v>9.8607596009969711E-3</v>
      </c>
      <c r="M11" s="221">
        <v>0.24500000476837158</v>
      </c>
      <c r="N11"/>
      <c r="O11" s="23">
        <v>1.4968800358474255E-2</v>
      </c>
      <c r="P11" s="11">
        <v>1.5839999541640282E-3</v>
      </c>
      <c r="Q11" s="22">
        <v>1.9548000767827034E-2</v>
      </c>
      <c r="R11"/>
      <c r="S11"/>
      <c r="T11"/>
      <c r="U11"/>
      <c r="V11"/>
      <c r="W11"/>
      <c r="X11"/>
      <c r="Y11"/>
      <c r="Z11"/>
      <c r="AA11" s="12">
        <v>8.1900004297494888E-3</v>
      </c>
      <c r="AB11"/>
      <c r="AC11"/>
      <c r="AD11"/>
      <c r="AE11"/>
      <c r="AF11" s="15">
        <v>2.645639143884182E-2</v>
      </c>
      <c r="AG11" s="12">
        <v>9.4957873225212097E-3</v>
      </c>
      <c r="AH11" s="25">
        <v>8.6814001202583313E-2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201</v>
      </c>
      <c r="B12">
        <v>0.31999999284744263</v>
      </c>
      <c r="C12">
        <v>0.20638887584209442</v>
      </c>
      <c r="D12"/>
      <c r="E12"/>
      <c r="F12"/>
      <c r="G12"/>
      <c r="H12"/>
      <c r="I12"/>
      <c r="J12"/>
      <c r="K12"/>
      <c r="L12"/>
      <c r="M12" s="235">
        <v>4.86111119389534E-2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 s="239">
        <v>6.5000005066394806E-2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202</v>
      </c>
      <c r="B13">
        <v>1.6000000238418579</v>
      </c>
      <c r="C13">
        <v>9.0991593897342682E-2</v>
      </c>
      <c r="D13"/>
      <c r="E13"/>
      <c r="F13"/>
      <c r="G13"/>
      <c r="H13" s="242">
        <v>0.20398078858852386</v>
      </c>
      <c r="I13" s="12">
        <v>5.0051785074174404E-3</v>
      </c>
      <c r="J13"/>
      <c r="K13"/>
      <c r="L13"/>
      <c r="M13" s="267">
        <v>0.30624997615814209</v>
      </c>
      <c r="N13"/>
      <c r="O13" s="237">
        <v>0.3402000367641449</v>
      </c>
      <c r="P13"/>
      <c r="Q13" s="266">
        <v>0.30408000946044922</v>
      </c>
      <c r="R13"/>
      <c r="S13"/>
      <c r="T13"/>
      <c r="U13"/>
      <c r="V13"/>
      <c r="W13"/>
      <c r="X13"/>
      <c r="Y13"/>
      <c r="Z13" s="17">
        <v>2.1892501041293144E-2</v>
      </c>
      <c r="AA13"/>
      <c r="AB13"/>
      <c r="AC13"/>
      <c r="AD13"/>
      <c r="AE13"/>
      <c r="AF13"/>
      <c r="AG13"/>
      <c r="AH13" s="239">
        <v>0.32760000228881836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203</v>
      </c>
      <c r="B14">
        <v>0.74000000953674316</v>
      </c>
      <c r="C14">
        <v>1.6505002975463867E-2</v>
      </c>
      <c r="D14" s="217">
        <v>0.29750001430511475</v>
      </c>
      <c r="E14" s="11">
        <v>1.2131477706134319E-4</v>
      </c>
      <c r="F14"/>
      <c r="G14"/>
      <c r="H14"/>
      <c r="I14"/>
      <c r="J14"/>
      <c r="K14"/>
      <c r="L14"/>
      <c r="M14"/>
      <c r="N14"/>
      <c r="O14" s="224">
        <v>0.10205999761819839</v>
      </c>
      <c r="P14"/>
      <c r="Q14" s="243">
        <v>5.9730000793933868E-2</v>
      </c>
      <c r="R14"/>
      <c r="S14" s="245">
        <v>7.233969122171402E-2</v>
      </c>
      <c r="T14"/>
      <c r="U14"/>
      <c r="V14"/>
      <c r="W14"/>
      <c r="X14"/>
      <c r="Y14"/>
      <c r="Z14"/>
      <c r="AA14"/>
      <c r="AB14"/>
      <c r="AC14"/>
      <c r="AD14" s="260">
        <v>0.19174399971961975</v>
      </c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204</v>
      </c>
      <c r="B15">
        <v>0.85000002384185791</v>
      </c>
      <c r="C15">
        <v>4.9310613423585892E-2</v>
      </c>
      <c r="D15" s="218">
        <v>0.41285714507102966</v>
      </c>
      <c r="E15" s="11">
        <v>7.8144343569874763E-4</v>
      </c>
      <c r="F15" s="240">
        <v>0.11886285245418549</v>
      </c>
      <c r="G15"/>
      <c r="H15"/>
      <c r="I15"/>
      <c r="J15"/>
      <c r="K15"/>
      <c r="L15"/>
      <c r="M15"/>
      <c r="N15"/>
      <c r="O15"/>
      <c r="P15"/>
      <c r="Q15" s="109">
        <v>0.15514285862445831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 s="236">
        <v>0.11304508894681931</v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205</v>
      </c>
      <c r="B16">
        <v>0.63999998569488525</v>
      </c>
      <c r="C16">
        <v>0.25624921917915344</v>
      </c>
      <c r="D16" s="219">
        <v>0.25185185670852661</v>
      </c>
      <c r="E16"/>
      <c r="F16"/>
      <c r="G16"/>
      <c r="H16" s="233">
        <v>2.1153563633561134E-2</v>
      </c>
      <c r="I16"/>
      <c r="J16"/>
      <c r="K16"/>
      <c r="L16"/>
      <c r="M16"/>
      <c r="N16"/>
      <c r="O16"/>
      <c r="P16"/>
      <c r="Q16" s="26">
        <v>1.6088888049125671E-2</v>
      </c>
      <c r="R16" s="65">
        <v>1.3494974933564663E-2</v>
      </c>
      <c r="S16"/>
      <c r="T16"/>
      <c r="U16"/>
      <c r="V16"/>
      <c r="W16"/>
      <c r="X16"/>
      <c r="Y16"/>
      <c r="Z16"/>
      <c r="AA16"/>
      <c r="AB16"/>
      <c r="AC16"/>
      <c r="AD16" s="242">
        <v>8.1161484122276306E-2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206</v>
      </c>
      <c r="B17">
        <v>0.80000001192092896</v>
      </c>
      <c r="C17">
        <v>0.10177302360534668</v>
      </c>
      <c r="D17" s="220">
        <v>0.28333333134651184</v>
      </c>
      <c r="E17"/>
      <c r="F17"/>
      <c r="G17"/>
      <c r="H17" s="237">
        <v>0.16998398303985596</v>
      </c>
      <c r="I17" s="232">
        <v>1.865965873003006E-2</v>
      </c>
      <c r="J17"/>
      <c r="K17"/>
      <c r="L17"/>
      <c r="M17"/>
      <c r="N17"/>
      <c r="O17"/>
      <c r="P17"/>
      <c r="Q17" s="241">
        <v>0.22624999284744263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207</v>
      </c>
      <c r="B18">
        <v>0.5</v>
      </c>
      <c r="C18">
        <v>5.7695209980010986E-2</v>
      </c>
      <c r="D18"/>
      <c r="E18" s="14">
        <v>6.5768253989517689E-4</v>
      </c>
      <c r="F18" s="106">
        <v>6.2092531472444534E-2</v>
      </c>
      <c r="G18"/>
      <c r="H18" s="244">
        <v>0.18266935646533966</v>
      </c>
      <c r="I18"/>
      <c r="J18"/>
      <c r="K18"/>
      <c r="L18" s="235">
        <v>7.5089551508426666E-2</v>
      </c>
      <c r="M18"/>
      <c r="N18"/>
      <c r="O18"/>
      <c r="P18"/>
      <c r="Q18"/>
      <c r="R18"/>
      <c r="S18" s="234">
        <v>5.6444898247718811E-2</v>
      </c>
      <c r="T18"/>
      <c r="U18"/>
      <c r="V18"/>
      <c r="W18"/>
      <c r="X18"/>
      <c r="Y18"/>
      <c r="Z18" s="225">
        <v>6.5350748598575592E-2</v>
      </c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208</v>
      </c>
      <c r="B19">
        <v>0.75</v>
      </c>
      <c r="C19">
        <v>1.756073534488678E-2</v>
      </c>
      <c r="D19"/>
      <c r="E19" s="11">
        <v>9.7921627457253635E-5</v>
      </c>
      <c r="F19" s="13">
        <v>2.7734667062759399E-2</v>
      </c>
      <c r="G19"/>
      <c r="H19" s="15">
        <v>7.2526503354310989E-3</v>
      </c>
      <c r="I19" s="23">
        <v>4.449047613888979E-3</v>
      </c>
      <c r="J19"/>
      <c r="K19" s="227">
        <v>3.3792447298765182E-2</v>
      </c>
      <c r="L19" s="247">
        <v>7.826000452041626E-2</v>
      </c>
      <c r="M19"/>
      <c r="N19"/>
      <c r="O19"/>
      <c r="P19"/>
      <c r="Q19" s="257">
        <v>7.2400003671646118E-2</v>
      </c>
      <c r="R19"/>
      <c r="S19" s="256">
        <v>0.13978685438632965</v>
      </c>
      <c r="T19"/>
      <c r="U19" s="230">
        <v>0.16705134510993958</v>
      </c>
      <c r="V19"/>
      <c r="W19" s="234">
        <v>8.5199996829032898E-2</v>
      </c>
      <c r="X19"/>
      <c r="Y19"/>
      <c r="Z19" s="26">
        <v>1.9460001960396767E-2</v>
      </c>
      <c r="AA19" s="28">
        <v>2.6000002399086952E-2</v>
      </c>
      <c r="AB19"/>
      <c r="AC19"/>
      <c r="AD19"/>
      <c r="AE19"/>
      <c r="AF19"/>
      <c r="AG19" s="71">
        <v>5.2754376083612442E-2</v>
      </c>
      <c r="AH19" s="232">
        <v>1.8200000748038292E-2</v>
      </c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209</v>
      </c>
      <c r="B20">
        <v>0.93999999761581421</v>
      </c>
      <c r="C20">
        <v>7.3857039213180542E-2</v>
      </c>
      <c r="D20"/>
      <c r="E20" s="11">
        <v>4.9382884753867984E-4</v>
      </c>
      <c r="F20" s="251">
        <v>0.1386733204126358</v>
      </c>
      <c r="G20" s="108">
        <v>0.16243015229701996</v>
      </c>
      <c r="H20" s="238">
        <v>4.5329060405492783E-2</v>
      </c>
      <c r="I20"/>
      <c r="J20"/>
      <c r="K20"/>
      <c r="L20"/>
      <c r="M20"/>
      <c r="N20"/>
      <c r="O20"/>
      <c r="P20"/>
      <c r="Q20" s="69">
        <v>4.8266664147377014E-2</v>
      </c>
      <c r="R20"/>
      <c r="S20"/>
      <c r="T20"/>
      <c r="U20"/>
      <c r="V20"/>
      <c r="W20"/>
      <c r="X20"/>
      <c r="Y20"/>
      <c r="Z20" s="252">
        <v>0.14595000445842743</v>
      </c>
      <c r="AA20" s="247">
        <v>9.750000387430191E-2</v>
      </c>
      <c r="AB20"/>
      <c r="AC20"/>
      <c r="AD20"/>
      <c r="AE20"/>
      <c r="AF20"/>
      <c r="AG20"/>
      <c r="AH20" s="261">
        <v>0.22749997675418854</v>
      </c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210</v>
      </c>
      <c r="B21">
        <v>1</v>
      </c>
      <c r="C21">
        <v>6.7807674407958984E-2</v>
      </c>
      <c r="D21" s="14">
        <v>1.1333333095535636E-3</v>
      </c>
      <c r="E21" s="11">
        <v>8.8635955762583762E-5</v>
      </c>
      <c r="F21" s="24">
        <v>2.7734667062759399E-2</v>
      </c>
      <c r="G21" s="21">
        <v>1.9491618499159813E-2</v>
      </c>
      <c r="H21" s="12">
        <v>4.6235648915171623E-3</v>
      </c>
      <c r="I21" s="14">
        <v>1.334714237600565E-3</v>
      </c>
      <c r="J21"/>
      <c r="K21" s="213">
        <v>6.7787252366542816E-2</v>
      </c>
      <c r="L21" s="232">
        <v>2.4484200403094292E-2</v>
      </c>
      <c r="M21"/>
      <c r="N21"/>
      <c r="O21"/>
      <c r="P21"/>
      <c r="Q21" s="67">
        <v>5.7919997721910477E-2</v>
      </c>
      <c r="R21"/>
      <c r="S21" s="272">
        <v>0.10126841813325882</v>
      </c>
      <c r="T21" s="232">
        <v>2.3711999878287315E-2</v>
      </c>
      <c r="U21" s="225">
        <v>0.13170714676380157</v>
      </c>
      <c r="V21"/>
      <c r="W21" s="264">
        <v>8.5200004279613495E-2</v>
      </c>
      <c r="X21"/>
      <c r="Y21"/>
      <c r="Z21" s="144">
        <v>2.9190003871917725E-2</v>
      </c>
      <c r="AA21" s="232">
        <v>2.3400001227855682E-2</v>
      </c>
      <c r="AB21"/>
      <c r="AC21"/>
      <c r="AD21" s="107">
        <v>6.5740801393985748E-2</v>
      </c>
      <c r="AE21"/>
      <c r="AF21" s="251">
        <v>0.14683295786380768</v>
      </c>
      <c r="AG21" s="107">
        <v>6.5942965447902679E-2</v>
      </c>
      <c r="AH21" s="64">
        <v>5.4599996656179428E-2</v>
      </c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211</v>
      </c>
      <c r="B22">
        <v>0.92000001668930054</v>
      </c>
      <c r="C22">
        <v>4.5999903231859207E-2</v>
      </c>
      <c r="D22" s="221">
        <v>8.334767073392868E-2</v>
      </c>
      <c r="E22" s="11">
        <v>5.4217118304222822E-4</v>
      </c>
      <c r="F22" s="258">
        <v>0.18130350112915039</v>
      </c>
      <c r="G22" s="108">
        <v>0.15927265584468842</v>
      </c>
      <c r="H22" s="232">
        <v>2.2223951295018196E-2</v>
      </c>
      <c r="I22"/>
      <c r="J22"/>
      <c r="K22" s="221">
        <v>8.2838878035545349E-2</v>
      </c>
      <c r="L22" s="67">
        <v>5.481334775686264E-2</v>
      </c>
      <c r="M22"/>
      <c r="N22"/>
      <c r="O22"/>
      <c r="P22"/>
      <c r="Q22" s="140">
        <v>0.1183210015296936</v>
      </c>
      <c r="R22"/>
      <c r="S22" s="256">
        <v>0.17133688926696777</v>
      </c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212</v>
      </c>
      <c r="B23">
        <v>0.56999999284744263</v>
      </c>
      <c r="C23">
        <v>4.3856445699930191E-2</v>
      </c>
      <c r="D23" s="222">
        <v>0.24460433423519135</v>
      </c>
      <c r="E23" s="11">
        <v>8.1985977885778993E-5</v>
      </c>
      <c r="F23"/>
      <c r="G23"/>
      <c r="H23" s="15">
        <v>5.8699506334960461E-3</v>
      </c>
      <c r="I23" s="18">
        <v>6.4436234533786774E-3</v>
      </c>
      <c r="J23"/>
      <c r="K23" s="27">
        <v>4.3672665953636169E-2</v>
      </c>
      <c r="L23"/>
      <c r="M23"/>
      <c r="N23"/>
      <c r="O23"/>
      <c r="P23"/>
      <c r="Q23" s="17">
        <v>7.8129498288035393E-3</v>
      </c>
      <c r="R23"/>
      <c r="S23" s="254">
        <v>0.21765802800655365</v>
      </c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213</v>
      </c>
      <c r="B24">
        <v>0.6600000262260437</v>
      </c>
      <c r="C24">
        <v>1.8522564321756363E-2</v>
      </c>
      <c r="D24" s="69">
        <v>3.399999812245369E-2</v>
      </c>
      <c r="E24"/>
      <c r="F24"/>
      <c r="G24"/>
      <c r="H24" s="269">
        <v>0.45147743821144104</v>
      </c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 s="250">
        <v>0.15600000321865082</v>
      </c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214</v>
      </c>
      <c r="B25">
        <v>0.31999999284744263</v>
      </c>
      <c r="C25">
        <v>1.6000023111701012E-2</v>
      </c>
      <c r="D25"/>
      <c r="E25"/>
      <c r="F25"/>
      <c r="G25"/>
      <c r="H25" s="68">
        <v>1.9818002358078957E-2</v>
      </c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 s="265">
        <v>0.28418198227882385</v>
      </c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215</v>
      </c>
      <c r="B26">
        <v>1</v>
      </c>
      <c r="C26">
        <v>0.43207526206970215</v>
      </c>
      <c r="D26"/>
      <c r="E26" s="11">
        <v>1.5194732986856252E-4</v>
      </c>
      <c r="F26" s="64">
        <v>5.5469326674938202E-2</v>
      </c>
      <c r="G26"/>
      <c r="H26" s="64">
        <v>5.4394874721765518E-2</v>
      </c>
      <c r="I26" s="22">
        <v>7.0248115807771683E-3</v>
      </c>
      <c r="J26"/>
      <c r="K26" s="246">
        <v>0.2027546763420105</v>
      </c>
      <c r="L26" s="236">
        <v>0.13415999710559845</v>
      </c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 s="74">
        <v>7.8000001609325409E-2</v>
      </c>
      <c r="AB26" s="28">
        <v>3.5969119518995285E-2</v>
      </c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216</v>
      </c>
      <c r="B27">
        <v>0.69999998807907104</v>
      </c>
      <c r="C27">
        <v>1.5331834554672241E-2</v>
      </c>
      <c r="D27" s="223">
        <v>0.33761683106422424</v>
      </c>
      <c r="E27" s="11">
        <v>1.3313143426785246E-5</v>
      </c>
      <c r="F27" s="22">
        <v>4.8600463196635246E-3</v>
      </c>
      <c r="G27"/>
      <c r="H27" s="15">
        <v>6.6722691990435123E-3</v>
      </c>
      <c r="I27" s="11">
        <v>1.8464750610291958E-4</v>
      </c>
      <c r="J27"/>
      <c r="K27" s="264">
        <v>5.8623578399419785E-2</v>
      </c>
      <c r="L27" s="22">
        <v>5.8773364871740341E-3</v>
      </c>
      <c r="M27"/>
      <c r="N27"/>
      <c r="O27"/>
      <c r="P27"/>
      <c r="Q27" s="221">
        <v>6.3434578478336334E-2</v>
      </c>
      <c r="R27"/>
      <c r="S27" s="255">
        <v>3.6743037402629852E-2</v>
      </c>
      <c r="T27"/>
      <c r="U27"/>
      <c r="V27"/>
      <c r="W27"/>
      <c r="X27"/>
      <c r="Y27"/>
      <c r="Z27" s="251">
        <v>0.10230141133069992</v>
      </c>
      <c r="AA27" s="245">
        <v>6.8341121077537537E-2</v>
      </c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217</v>
      </c>
      <c r="B28">
        <v>1.2999999523162842</v>
      </c>
      <c r="C28">
        <v>0.74505919218063354</v>
      </c>
      <c r="D28" s="224">
        <v>0.17772506177425385</v>
      </c>
      <c r="E28" s="11">
        <v>6.0513461903610732E-6</v>
      </c>
      <c r="F28" s="22">
        <v>9.8710525780916214E-3</v>
      </c>
      <c r="G28" s="11">
        <v>5.2555056754499674E-4</v>
      </c>
      <c r="H28" s="14">
        <v>1.3493120204657316E-3</v>
      </c>
      <c r="I28" s="11">
        <v>8.3340084529481828E-5</v>
      </c>
      <c r="J28"/>
      <c r="K28" s="65">
        <v>2.8536979109048843E-2</v>
      </c>
      <c r="L28" s="23">
        <v>8.7177958339452744E-3</v>
      </c>
      <c r="M28"/>
      <c r="N28"/>
      <c r="O28" s="12">
        <v>5.3813634440302849E-3</v>
      </c>
      <c r="P28"/>
      <c r="Q28" s="19">
        <v>2.1707504987716675E-2</v>
      </c>
      <c r="R28"/>
      <c r="S28" s="12">
        <v>5.4274443536996841E-3</v>
      </c>
      <c r="T28"/>
      <c r="U28"/>
      <c r="V28"/>
      <c r="W28" s="65">
        <v>2.7566868811845779E-2</v>
      </c>
      <c r="X28"/>
      <c r="Y28"/>
      <c r="Z28" s="12">
        <v>6.2963771633803844E-3</v>
      </c>
      <c r="AA28" s="22">
        <v>1.0515531525015831E-2</v>
      </c>
      <c r="AB28" s="16">
        <v>2.0366465672850609E-2</v>
      </c>
      <c r="AC28"/>
      <c r="AD28" s="144">
        <v>3.9390277117490768E-2</v>
      </c>
      <c r="AE28"/>
      <c r="AF28" s="253">
        <v>7.2846382856369019E-2</v>
      </c>
      <c r="AG28" s="11">
        <v>8.5344654507935047E-4</v>
      </c>
      <c r="AH28" s="221">
        <v>0.11777394264936447</v>
      </c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218</v>
      </c>
      <c r="B29">
        <v>1.1000000238418579</v>
      </c>
      <c r="C29">
        <v>0.54107141494750977</v>
      </c>
      <c r="D29" s="225">
        <v>0.14358419179916382</v>
      </c>
      <c r="E29" s="11">
        <v>5.8958094086847268E-6</v>
      </c>
      <c r="F29" s="14">
        <v>3.0032123904675245E-3</v>
      </c>
      <c r="G29"/>
      <c r="H29" s="14">
        <v>1.9142756937071681E-3</v>
      </c>
      <c r="I29"/>
      <c r="J29" s="11">
        <v>2.4657207541167736E-4</v>
      </c>
      <c r="K29" s="71">
        <v>7.6842606067657471E-2</v>
      </c>
      <c r="L29" s="15">
        <v>9.8059568554162979E-3</v>
      </c>
      <c r="M29"/>
      <c r="N29"/>
      <c r="O29"/>
      <c r="P29"/>
      <c r="Q29" s="68">
        <v>6.8793721497058868E-2</v>
      </c>
      <c r="R29"/>
      <c r="S29" s="12">
        <v>3.7538253236562014E-3</v>
      </c>
      <c r="T29"/>
      <c r="U29"/>
      <c r="V29"/>
      <c r="W29"/>
      <c r="X29"/>
      <c r="Y29"/>
      <c r="Z29" s="271">
        <v>9.1663241386413574E-2</v>
      </c>
      <c r="AA29" s="23">
        <v>7.3903636075556278E-3</v>
      </c>
      <c r="AB29" s="233">
        <v>3.6514401435852051E-2</v>
      </c>
      <c r="AC29"/>
      <c r="AD29" s="24">
        <v>2.9661072418093681E-2</v>
      </c>
      <c r="AE29"/>
      <c r="AF29" s="17">
        <v>1.5915533527731895E-2</v>
      </c>
      <c r="AG29" s="15">
        <v>1.0710823349654675E-2</v>
      </c>
      <c r="AH29" s="255">
        <v>5.9122897684574127E-2</v>
      </c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219</v>
      </c>
      <c r="B30">
        <v>1.5</v>
      </c>
      <c r="C30">
        <v>0.19866755604743958</v>
      </c>
      <c r="D30" s="226">
        <v>0.46272188425064087</v>
      </c>
      <c r="E30" s="11">
        <v>6.5184511186089367E-5</v>
      </c>
      <c r="F30" s="259">
        <v>0.11077456176280975</v>
      </c>
      <c r="G30" s="17">
        <v>2.1625317633152008E-2</v>
      </c>
      <c r="H30" s="224">
        <v>0.20639477670192719</v>
      </c>
      <c r="I30" s="12">
        <v>7.1702958084642887E-3</v>
      </c>
      <c r="J30"/>
      <c r="K30" s="145">
        <v>8.9979887008666992E-2</v>
      </c>
      <c r="L30" s="238">
        <v>7.4423074722290039E-2</v>
      </c>
      <c r="M30"/>
      <c r="N30"/>
      <c r="O30" s="24">
        <v>4.0260355919599533E-2</v>
      </c>
      <c r="P30"/>
      <c r="Q30"/>
      <c r="R30"/>
      <c r="S30" s="253">
        <v>8.3915866911411285E-2</v>
      </c>
      <c r="T30"/>
      <c r="U30" s="28">
        <v>5.3270801901817322E-2</v>
      </c>
      <c r="V30"/>
      <c r="W30"/>
      <c r="X30" s="24">
        <v>4.0384624153375626E-2</v>
      </c>
      <c r="Y30"/>
      <c r="Z30" s="28">
        <v>5.181657150387764E-2</v>
      </c>
      <c r="AA30"/>
      <c r="AB30"/>
      <c r="AC30"/>
      <c r="AD30"/>
      <c r="AE30"/>
      <c r="AF30"/>
      <c r="AG30" s="249">
        <v>5.8529257774353027E-2</v>
      </c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220</v>
      </c>
      <c r="B31">
        <v>2.5</v>
      </c>
      <c r="C31">
        <v>0.81870168447494507</v>
      </c>
      <c r="D31"/>
      <c r="E31" s="11">
        <v>1.2698456703219563E-4</v>
      </c>
      <c r="F31" s="232">
        <v>5.9431429952383041E-2</v>
      </c>
      <c r="G31" s="227">
        <v>0.11486133188009262</v>
      </c>
      <c r="H31"/>
      <c r="I31"/>
      <c r="J31" s="19">
        <v>4.4159337878227234E-2</v>
      </c>
      <c r="K31" s="22">
        <v>2.1723717451095581E-2</v>
      </c>
      <c r="L31" s="66">
        <v>0.10421357303857803</v>
      </c>
      <c r="M31"/>
      <c r="N31"/>
      <c r="O31"/>
      <c r="P31"/>
      <c r="Q31"/>
      <c r="R31"/>
      <c r="S31"/>
      <c r="T31"/>
      <c r="U31"/>
      <c r="V31"/>
      <c r="W31"/>
      <c r="X31" s="22">
        <v>1.9500004127621651E-2</v>
      </c>
      <c r="Y31"/>
      <c r="Z31" s="16">
        <v>3.7530004978179932E-2</v>
      </c>
      <c r="AA31"/>
      <c r="AB31" s="273">
        <v>0.28903758525848389</v>
      </c>
      <c r="AC31"/>
      <c r="AD31" s="275">
        <v>0.5713188648223877</v>
      </c>
      <c r="AE31"/>
      <c r="AF31"/>
      <c r="AG31" s="274">
        <v>0.30239561200141907</v>
      </c>
      <c r="AH31" s="29">
        <v>0.11699999123811722</v>
      </c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221</v>
      </c>
      <c r="B32">
        <v>2</v>
      </c>
      <c r="C32">
        <v>0.44563376903533936</v>
      </c>
      <c r="D32"/>
      <c r="E32"/>
      <c r="F32" s="11">
        <v>1.730532239889726E-4</v>
      </c>
      <c r="G32"/>
      <c r="H32" s="11">
        <v>6.7880457208957523E-5</v>
      </c>
      <c r="I32" s="11">
        <v>4.9091863911598921E-4</v>
      </c>
      <c r="J32" s="11">
        <v>4.795250715687871E-4</v>
      </c>
      <c r="K32" s="14">
        <v>2.4620369076728821E-3</v>
      </c>
      <c r="L32" s="11">
        <v>8.9988770196214318E-4</v>
      </c>
      <c r="M32"/>
      <c r="N32"/>
      <c r="O32" s="23">
        <v>9.9342931061983109E-3</v>
      </c>
      <c r="P32" s="15">
        <v>1.8284525722265244E-2</v>
      </c>
      <c r="Q32"/>
      <c r="R32" s="12">
        <v>6.1535737477242947E-3</v>
      </c>
      <c r="S32" s="14">
        <v>2.8783064335584641E-3</v>
      </c>
      <c r="T32" s="12">
        <v>7.0732114836573601E-3</v>
      </c>
      <c r="U32" s="12">
        <v>6.733474787324667E-3</v>
      </c>
      <c r="V32" s="107">
        <v>0.13422504067420959</v>
      </c>
      <c r="W32" s="18">
        <v>2.3550499230623245E-2</v>
      </c>
      <c r="X32" s="258">
        <v>0.39746260643005371</v>
      </c>
      <c r="Y32" s="12">
        <v>6.1118202283978462E-3</v>
      </c>
      <c r="Z32"/>
      <c r="AA32"/>
      <c r="AB32"/>
      <c r="AC32"/>
      <c r="AD32" s="11">
        <v>6.8366056075319648E-4</v>
      </c>
      <c r="AE32"/>
      <c r="AF32" s="29">
        <v>9.3450263142585754E-2</v>
      </c>
      <c r="AG32" s="144">
        <v>5.7604089379310608E-2</v>
      </c>
      <c r="AH32" s="13">
        <v>7.2905987501144409E-2</v>
      </c>
      <c r="AI32" s="271">
        <v>0.16502794623374939</v>
      </c>
      <c r="AJ32" s="259">
        <v>0.14975041151046753</v>
      </c>
      <c r="AK32" s="258">
        <v>0.39796322584152222</v>
      </c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222</v>
      </c>
      <c r="B33">
        <v>1.7999999523162842</v>
      </c>
      <c r="C33">
        <v>0.19133569300174713</v>
      </c>
      <c r="D33" s="19">
        <v>3.1874999403953552E-2</v>
      </c>
      <c r="E33"/>
      <c r="F33" s="14">
        <v>2.60012480430305E-3</v>
      </c>
      <c r="G33"/>
      <c r="H33" s="11">
        <v>1.5298558864742517E-3</v>
      </c>
      <c r="I33" s="11">
        <v>1.0537218768149614E-3</v>
      </c>
      <c r="J33" s="15">
        <v>1.7398413270711899E-2</v>
      </c>
      <c r="K33" s="12">
        <v>7.5881257653236389E-3</v>
      </c>
      <c r="L33"/>
      <c r="M33"/>
      <c r="N33"/>
      <c r="O33" s="144">
        <v>5.3581502288579941E-2</v>
      </c>
      <c r="P33" s="249">
        <v>6.9299995899200439E-2</v>
      </c>
      <c r="Q33" s="14">
        <v>4.0724999271333218E-3</v>
      </c>
      <c r="R33" s="18">
        <v>1.9584581255912781E-2</v>
      </c>
      <c r="S33" s="12">
        <v>5.5151372216641903E-3</v>
      </c>
      <c r="T33" s="23">
        <v>1.2090000323951244E-2</v>
      </c>
      <c r="U33"/>
      <c r="V33" s="14">
        <v>4.1625001467764378E-3</v>
      </c>
      <c r="W33" s="22">
        <v>1.2780000455677509E-2</v>
      </c>
      <c r="X33" s="276">
        <v>0.58012509346008301</v>
      </c>
      <c r="Y33"/>
      <c r="Z33" s="19">
        <v>3.2838750630617142E-2</v>
      </c>
      <c r="AA33"/>
      <c r="AB33" s="77">
        <v>0.25290787220001221</v>
      </c>
      <c r="AC33"/>
      <c r="AD33"/>
      <c r="AE33"/>
      <c r="AF33"/>
      <c r="AG33" s="224">
        <v>0.2472861111164093</v>
      </c>
      <c r="AH33" s="253">
        <v>0.10237499326467514</v>
      </c>
      <c r="AI33"/>
      <c r="AJ33" s="271">
        <v>0.14999999105930328</v>
      </c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223</v>
      </c>
      <c r="B34">
        <v>2.5</v>
      </c>
      <c r="C34">
        <v>0.12500017881393433</v>
      </c>
      <c r="D34"/>
      <c r="E34"/>
      <c r="F34" s="11">
        <v>6.7944894544780254E-4</v>
      </c>
      <c r="G34"/>
      <c r="H34" s="14">
        <v>3.464696928858757E-3</v>
      </c>
      <c r="I34" s="11">
        <v>2.4093319661915302E-3</v>
      </c>
      <c r="J34" s="11">
        <v>1.032015890814364E-3</v>
      </c>
      <c r="K34" s="23">
        <v>1.5863066539168358E-2</v>
      </c>
      <c r="L34" s="14">
        <v>3.615344176068902E-3</v>
      </c>
      <c r="M34" s="12">
        <v>1.0003424249589443E-2</v>
      </c>
      <c r="N34"/>
      <c r="O34"/>
      <c r="P34" s="76">
        <v>0.16255035996437073</v>
      </c>
      <c r="Q34"/>
      <c r="R34" s="26">
        <v>6.4864195883274078E-2</v>
      </c>
      <c r="S34" s="18">
        <v>2.7588346973061562E-2</v>
      </c>
      <c r="T34" s="18">
        <v>2.8331659734249115E-2</v>
      </c>
      <c r="U34" s="12">
        <v>1.0455772280693054E-2</v>
      </c>
      <c r="V34" s="12">
        <v>8.701755665242672E-3</v>
      </c>
      <c r="W34" s="18">
        <v>3.1308680772781372E-2</v>
      </c>
      <c r="X34" s="279">
        <v>0.4592430591583252</v>
      </c>
      <c r="Y34"/>
      <c r="Z34" s="12">
        <v>1.1441633105278015E-2</v>
      </c>
      <c r="AA34"/>
      <c r="AB34" s="20">
        <v>0.11014726012945175</v>
      </c>
      <c r="AC34"/>
      <c r="AD34" s="15">
        <v>2.6842169463634491E-2</v>
      </c>
      <c r="AE34" s="278">
        <v>0.41096299886703491</v>
      </c>
      <c r="AF34" s="273">
        <v>0.28777128458023071</v>
      </c>
      <c r="AG34" s="69">
        <v>0.12923862040042877</v>
      </c>
      <c r="AH34" s="277">
        <v>0.26752015948295593</v>
      </c>
      <c r="AI34" s="247">
        <v>0.26176765561103821</v>
      </c>
      <c r="AJ34" s="16">
        <v>3.9197094738483429E-2</v>
      </c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224</v>
      </c>
      <c r="B35">
        <v>3</v>
      </c>
      <c r="C35">
        <v>2.3261771202087402</v>
      </c>
      <c r="D35"/>
      <c r="E35"/>
      <c r="F35"/>
      <c r="G35"/>
      <c r="H35"/>
      <c r="I35"/>
      <c r="J35"/>
      <c r="K35"/>
      <c r="L35" s="14">
        <v>4.9713440239429474E-3</v>
      </c>
      <c r="M35" s="24">
        <v>8.4733203053474426E-2</v>
      </c>
      <c r="N35"/>
      <c r="O35"/>
      <c r="P35"/>
      <c r="Q35"/>
      <c r="R35"/>
      <c r="S35"/>
      <c r="T35"/>
      <c r="U35"/>
      <c r="V35"/>
      <c r="W35" s="12">
        <v>1.2628459371626377E-2</v>
      </c>
      <c r="X35" s="227">
        <v>0.13488143682479858</v>
      </c>
      <c r="Y35"/>
      <c r="Z35"/>
      <c r="AA35"/>
      <c r="AB35" s="11">
        <v>1.3328478671610355E-3</v>
      </c>
      <c r="AC35"/>
      <c r="AD35"/>
      <c r="AE35"/>
      <c r="AF35" s="216">
        <v>0.43527558445930481</v>
      </c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225</v>
      </c>
      <c r="B36">
        <v>5</v>
      </c>
      <c r="C36">
        <v>0.8939361572265625</v>
      </c>
      <c r="D36"/>
      <c r="E36"/>
      <c r="F36"/>
      <c r="G36"/>
      <c r="H36" s="11">
        <v>2.073238865705207E-4</v>
      </c>
      <c r="I36" s="11">
        <v>3.8823441718704998E-4</v>
      </c>
      <c r="J36" s="11">
        <v>8.136607902997639E-6</v>
      </c>
      <c r="K36" s="11">
        <v>1.5424980083480477E-3</v>
      </c>
      <c r="L36" s="11">
        <v>7.9897727118805051E-4</v>
      </c>
      <c r="M36" s="15">
        <v>4.8635814338922501E-2</v>
      </c>
      <c r="N36" s="21">
        <v>9.5286495983600616E-2</v>
      </c>
      <c r="O36"/>
      <c r="P36" s="14">
        <v>6.6662430763244629E-3</v>
      </c>
      <c r="Q36"/>
      <c r="R36"/>
      <c r="S36" s="11">
        <v>2.0019737348775379E-5</v>
      </c>
      <c r="T36" s="11">
        <v>3.171134740114212E-4</v>
      </c>
      <c r="U36" s="11">
        <v>5.2528531523421407E-4</v>
      </c>
      <c r="V36"/>
      <c r="W36" s="11">
        <v>1.3801297172904015E-3</v>
      </c>
      <c r="X36" s="14">
        <v>1.3006608933210373E-2</v>
      </c>
      <c r="Y36"/>
      <c r="Z36"/>
      <c r="AA36" s="11">
        <v>9.2904339544475079E-4</v>
      </c>
      <c r="AB36" s="11">
        <v>2.1421071141958237E-3</v>
      </c>
      <c r="AC36" s="14">
        <v>5.9554059989750385E-3</v>
      </c>
      <c r="AD36" s="22">
        <v>3.7063244730234146E-2</v>
      </c>
      <c r="AE36" s="280">
        <v>1.3986475467681885</v>
      </c>
      <c r="AF36" s="258">
        <v>0.99337512254714966</v>
      </c>
      <c r="AG36" s="22">
        <v>4.1470933705568314E-2</v>
      </c>
      <c r="AH36" s="22">
        <v>3.9019819349050522E-2</v>
      </c>
      <c r="AI36" s="242">
        <v>0.63634622097015381</v>
      </c>
      <c r="AJ36" s="18">
        <v>5.7171899825334549E-2</v>
      </c>
      <c r="AK36" s="243">
        <v>0.40515971183776855</v>
      </c>
      <c r="AL36"/>
      <c r="AM36" s="76">
        <v>0.31999999284744263</v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226</v>
      </c>
      <c r="B37">
        <v>25</v>
      </c>
      <c r="C37">
        <v>0.99576413631439209</v>
      </c>
      <c r="D37"/>
      <c r="E37"/>
      <c r="F37"/>
      <c r="G37"/>
      <c r="H37"/>
      <c r="I37" s="11">
        <v>2.9537250520661473E-4</v>
      </c>
      <c r="J37"/>
      <c r="K37"/>
      <c r="L37"/>
      <c r="M37" s="11">
        <v>1.5193986473605037E-3</v>
      </c>
      <c r="N37" s="267">
        <v>4.8124628067016602</v>
      </c>
      <c r="O37"/>
      <c r="P37" s="11">
        <v>5.4356022737920284E-3</v>
      </c>
      <c r="Q37"/>
      <c r="R37"/>
      <c r="S37"/>
      <c r="T37"/>
      <c r="U37"/>
      <c r="V37"/>
      <c r="W37"/>
      <c r="X37" s="12">
        <v>7.5171180069446564E-2</v>
      </c>
      <c r="Y37"/>
      <c r="Z37"/>
      <c r="AA37" s="11">
        <v>2.9023617971688509E-3</v>
      </c>
      <c r="AB37" s="11">
        <v>1.9406832288950682E-3</v>
      </c>
      <c r="AC37" s="14">
        <v>2.7907323092222214E-2</v>
      </c>
      <c r="AD37" s="14">
        <v>6.5231986343860626E-2</v>
      </c>
      <c r="AE37" s="247">
        <v>2.6216521263122559</v>
      </c>
      <c r="AF37" s="17">
        <v>0.34311535954475403</v>
      </c>
      <c r="AG37" s="11">
        <v>9.4222929328680038E-3</v>
      </c>
      <c r="AH37" s="12">
        <v>7.720281183719635E-2</v>
      </c>
      <c r="AI37" s="243">
        <v>1.9879661798477173</v>
      </c>
      <c r="AJ37" s="12">
        <v>7.7396303415298462E-2</v>
      </c>
      <c r="AK37" s="21">
        <v>0.47464954853057861</v>
      </c>
      <c r="AL37" s="13">
        <v>0.92383408546447754</v>
      </c>
      <c r="AM37" s="262">
        <v>12.496129989624023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227</v>
      </c>
      <c r="B38">
        <v>100</v>
      </c>
      <c r="C38">
        <v>74.058425903320312</v>
      </c>
      <c r="D38"/>
      <c r="E38"/>
      <c r="F38"/>
      <c r="G38"/>
      <c r="H38"/>
      <c r="I38" s="11">
        <v>2.5941597414202988E-5</v>
      </c>
      <c r="J38"/>
      <c r="K38"/>
      <c r="L38"/>
      <c r="M38"/>
      <c r="N38"/>
      <c r="O38"/>
      <c r="P38"/>
      <c r="Q38"/>
      <c r="R38"/>
      <c r="S38"/>
      <c r="T38"/>
      <c r="U38"/>
      <c r="V38" s="11">
        <v>9.0179475955665112E-4</v>
      </c>
      <c r="W38"/>
      <c r="X38"/>
      <c r="Y38" s="11">
        <v>1.6297182068228722E-2</v>
      </c>
      <c r="Z38"/>
      <c r="AA38"/>
      <c r="AB38"/>
      <c r="AC38"/>
      <c r="AD38"/>
      <c r="AE38" s="14">
        <v>0.24159921705722809</v>
      </c>
      <c r="AF38"/>
      <c r="AG38"/>
      <c r="AH38"/>
      <c r="AI38" s="17">
        <v>1.4650553464889526</v>
      </c>
      <c r="AJ38"/>
      <c r="AK38"/>
      <c r="AL38" s="11">
        <v>2.8651617467403412E-2</v>
      </c>
      <c r="AM38" s="64">
        <v>5.5807576179504395</v>
      </c>
      <c r="AN38" s="256">
        <v>18.608283996582031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228</v>
      </c>
      <c r="B39"/>
      <c r="C39">
        <v>0.10170016437768936</v>
      </c>
      <c r="D39"/>
      <c r="E39"/>
      <c r="F39"/>
      <c r="G39"/>
      <c r="H39"/>
      <c r="I39"/>
      <c r="J39"/>
      <c r="K39"/>
      <c r="L39"/>
      <c r="M39" s="9">
        <v>9.1874994337558746E-2</v>
      </c>
      <c r="N39"/>
      <c r="O39" s="9">
        <v>0.13608001172542572</v>
      </c>
      <c r="P39"/>
      <c r="Q39"/>
      <c r="R39"/>
      <c r="S39"/>
      <c r="T39"/>
      <c r="U39"/>
      <c r="V39"/>
      <c r="W39"/>
      <c r="X39" s="9">
        <v>0.13650001585483551</v>
      </c>
      <c r="Y39" s="9">
        <v>0.12616658210754395</v>
      </c>
      <c r="Z39"/>
      <c r="AA39"/>
      <c r="AB39"/>
      <c r="AC39"/>
      <c r="AD39" s="9">
        <v>1.638041615486145</v>
      </c>
      <c r="AE39" s="9">
        <v>7.5488605499267578</v>
      </c>
      <c r="AF39" s="9">
        <v>0.83778572082519531</v>
      </c>
      <c r="AG39"/>
      <c r="AH39"/>
      <c r="AI39" s="9">
        <v>216.77571105957031</v>
      </c>
      <c r="AJ39" s="9">
        <v>4.8000001907348633</v>
      </c>
      <c r="AK39" s="9">
        <v>31.890119552612305</v>
      </c>
      <c r="AL39" s="9">
        <v>2.3276000022888184</v>
      </c>
      <c r="AM39" s="9">
        <v>292.1715087890625</v>
      </c>
      <c r="AN39" s="9">
        <v>167.96665954589844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229</v>
      </c>
      <c r="B40"/>
      <c r="C40">
        <v>0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2" bestFit="1" customWidth="1"/>
    <col min="5" max="5" width="3.33203125" bestFit="1" customWidth="1"/>
    <col min="6" max="6" width="5.83203125" bestFit="1" customWidth="1"/>
    <col min="7" max="7" width="3.33203125" bestFit="1" customWidth="1"/>
    <col min="8" max="8" width="22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5" t="s">
        <v>191</v>
      </c>
      <c r="E5">
        <v>4</v>
      </c>
      <c r="F5">
        <v>3.16</v>
      </c>
      <c r="G5">
        <v>4</v>
      </c>
      <c r="H5" s="196" t="s">
        <v>191</v>
      </c>
      <c r="J5" s="57"/>
      <c r="K5" s="58"/>
    </row>
    <row r="6" spans="1:12" ht="14" thickBot="1" x14ac:dyDescent="0.2">
      <c r="A6" s="41" t="s">
        <v>121</v>
      </c>
      <c r="D6" s="195" t="s">
        <v>192</v>
      </c>
      <c r="E6">
        <v>5</v>
      </c>
      <c r="F6">
        <v>3.16</v>
      </c>
      <c r="G6">
        <v>5</v>
      </c>
      <c r="H6" s="196" t="s">
        <v>192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5" t="s">
        <v>193</v>
      </c>
      <c r="E7">
        <v>6</v>
      </c>
      <c r="F7">
        <v>3.16</v>
      </c>
      <c r="G7">
        <v>6</v>
      </c>
      <c r="H7" s="196" t="s">
        <v>193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5" t="s">
        <v>194</v>
      </c>
      <c r="E8">
        <v>7</v>
      </c>
      <c r="F8">
        <v>3.14</v>
      </c>
      <c r="G8">
        <v>7</v>
      </c>
      <c r="H8" s="196" t="s">
        <v>194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5" t="s">
        <v>195</v>
      </c>
      <c r="E9">
        <v>8</v>
      </c>
      <c r="F9">
        <v>3.14</v>
      </c>
      <c r="G9">
        <v>8</v>
      </c>
      <c r="H9" s="196" t="s">
        <v>195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5" t="s">
        <v>196</v>
      </c>
      <c r="E10">
        <v>9</v>
      </c>
      <c r="F10">
        <v>3.24</v>
      </c>
      <c r="G10">
        <v>9</v>
      </c>
      <c r="H10" s="196" t="s">
        <v>196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5" t="s">
        <v>197</v>
      </c>
      <c r="E11">
        <v>10</v>
      </c>
      <c r="F11">
        <v>3.14</v>
      </c>
      <c r="G11">
        <v>10</v>
      </c>
      <c r="H11" s="196" t="s">
        <v>197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5" t="s">
        <v>198</v>
      </c>
      <c r="E12">
        <v>11</v>
      </c>
      <c r="F12">
        <v>3.14</v>
      </c>
      <c r="G12">
        <v>11</v>
      </c>
      <c r="H12" s="196" t="s">
        <v>198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5" t="s">
        <v>199</v>
      </c>
      <c r="E13">
        <v>12</v>
      </c>
      <c r="F13">
        <v>3.14</v>
      </c>
      <c r="G13">
        <v>12</v>
      </c>
      <c r="H13" s="196" t="s">
        <v>199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5" t="s">
        <v>200</v>
      </c>
      <c r="E14">
        <v>13</v>
      </c>
      <c r="F14">
        <v>3.1</v>
      </c>
      <c r="G14">
        <v>13</v>
      </c>
      <c r="H14" s="196" t="s">
        <v>200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5" t="s">
        <v>201</v>
      </c>
      <c r="E15">
        <v>14</v>
      </c>
      <c r="F15">
        <v>3.24</v>
      </c>
      <c r="G15">
        <v>14</v>
      </c>
      <c r="H15" s="196" t="s">
        <v>201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5" t="s">
        <v>202</v>
      </c>
      <c r="E16">
        <v>15</v>
      </c>
      <c r="F16">
        <v>3.21</v>
      </c>
      <c r="G16">
        <v>15</v>
      </c>
      <c r="H16" s="196" t="s">
        <v>202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5" t="s">
        <v>203</v>
      </c>
      <c r="E17">
        <v>16</v>
      </c>
      <c r="F17">
        <v>3.14</v>
      </c>
      <c r="G17">
        <v>16</v>
      </c>
      <c r="H17" s="196" t="s">
        <v>203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5" t="s">
        <v>204</v>
      </c>
      <c r="E18">
        <v>17</v>
      </c>
      <c r="F18">
        <v>3.24</v>
      </c>
      <c r="G18">
        <v>17</v>
      </c>
      <c r="H18" s="196" t="s">
        <v>204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5" t="s">
        <v>205</v>
      </c>
      <c r="E19">
        <v>18</v>
      </c>
      <c r="F19">
        <v>3.24</v>
      </c>
      <c r="G19">
        <v>18</v>
      </c>
      <c r="H19" s="196" t="s">
        <v>205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5" t="s">
        <v>206</v>
      </c>
      <c r="E20">
        <v>19</v>
      </c>
      <c r="F20">
        <v>3.21</v>
      </c>
      <c r="G20">
        <v>19</v>
      </c>
      <c r="H20" s="196" t="s">
        <v>206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5" t="s">
        <v>207</v>
      </c>
      <c r="E21">
        <v>20</v>
      </c>
      <c r="F21">
        <v>3.24</v>
      </c>
      <c r="G21">
        <v>20</v>
      </c>
      <c r="H21" s="196" t="s">
        <v>207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5" t="s">
        <v>208</v>
      </c>
      <c r="E22">
        <v>21</v>
      </c>
      <c r="F22">
        <v>3.21</v>
      </c>
      <c r="G22">
        <v>21</v>
      </c>
      <c r="H22" s="196" t="s">
        <v>208</v>
      </c>
    </row>
    <row r="23" spans="1:12" x14ac:dyDescent="0.15">
      <c r="A23" s="36" t="s">
        <v>129</v>
      </c>
      <c r="B23" s="44">
        <v>4</v>
      </c>
      <c r="C23" s="38"/>
      <c r="D23" s="195" t="s">
        <v>209</v>
      </c>
      <c r="E23">
        <v>22</v>
      </c>
      <c r="F23">
        <v>3.24</v>
      </c>
      <c r="G23">
        <v>22</v>
      </c>
      <c r="H23" s="196" t="s">
        <v>209</v>
      </c>
    </row>
    <row r="24" spans="1:12" x14ac:dyDescent="0.15">
      <c r="A24" s="36" t="s">
        <v>122</v>
      </c>
      <c r="B24" s="44">
        <v>4.0999999999999996</v>
      </c>
      <c r="C24" s="38"/>
      <c r="D24" s="195" t="s">
        <v>210</v>
      </c>
      <c r="E24">
        <v>23</v>
      </c>
      <c r="F24">
        <v>3.21</v>
      </c>
      <c r="G24">
        <v>23</v>
      </c>
      <c r="H24" s="196" t="s">
        <v>210</v>
      </c>
    </row>
    <row r="25" spans="1:12" x14ac:dyDescent="0.15">
      <c r="A25" s="36" t="s">
        <v>70</v>
      </c>
      <c r="B25" s="44">
        <v>4.2</v>
      </c>
      <c r="C25" s="38"/>
      <c r="D25" s="195" t="s">
        <v>211</v>
      </c>
      <c r="E25">
        <v>24</v>
      </c>
      <c r="F25">
        <v>3.14</v>
      </c>
      <c r="G25">
        <v>24</v>
      </c>
      <c r="H25" s="196" t="s">
        <v>211</v>
      </c>
    </row>
    <row r="26" spans="1:12" x14ac:dyDescent="0.15">
      <c r="A26" s="36" t="s">
        <v>123</v>
      </c>
      <c r="B26" s="44">
        <v>4.3</v>
      </c>
      <c r="C26" s="38"/>
      <c r="D26" s="195" t="s">
        <v>212</v>
      </c>
      <c r="E26">
        <v>25</v>
      </c>
      <c r="F26">
        <v>3.24</v>
      </c>
      <c r="G26">
        <v>25</v>
      </c>
      <c r="H26" s="196" t="s">
        <v>212</v>
      </c>
    </row>
    <row r="27" spans="1:12" x14ac:dyDescent="0.15">
      <c r="A27" s="36" t="s">
        <v>125</v>
      </c>
      <c r="B27" s="44">
        <v>6.1</v>
      </c>
      <c r="D27" s="195" t="s">
        <v>213</v>
      </c>
      <c r="E27">
        <v>26</v>
      </c>
      <c r="F27">
        <v>3.1</v>
      </c>
      <c r="G27">
        <v>26</v>
      </c>
      <c r="H27" s="196" t="s">
        <v>213</v>
      </c>
    </row>
    <row r="28" spans="1:12" x14ac:dyDescent="0.15">
      <c r="A28" s="36" t="s">
        <v>124</v>
      </c>
      <c r="B28" s="44">
        <v>6.2</v>
      </c>
      <c r="D28" s="195" t="s">
        <v>214</v>
      </c>
      <c r="E28">
        <v>27</v>
      </c>
      <c r="F28">
        <v>3.1</v>
      </c>
      <c r="G28">
        <v>27</v>
      </c>
      <c r="H28" s="196" t="s">
        <v>214</v>
      </c>
    </row>
    <row r="29" spans="1:12" x14ac:dyDescent="0.15">
      <c r="A29" s="36" t="s">
        <v>44</v>
      </c>
      <c r="B29" s="44">
        <v>5</v>
      </c>
      <c r="D29" s="195" t="s">
        <v>215</v>
      </c>
      <c r="E29">
        <v>28</v>
      </c>
      <c r="F29">
        <v>3.1</v>
      </c>
      <c r="G29">
        <v>28</v>
      </c>
      <c r="H29" s="196" t="s">
        <v>215</v>
      </c>
    </row>
    <row r="30" spans="1:12" x14ac:dyDescent="0.15">
      <c r="A30" s="36" t="s">
        <v>73</v>
      </c>
      <c r="B30" s="44">
        <v>7</v>
      </c>
      <c r="D30" s="195" t="s">
        <v>216</v>
      </c>
      <c r="E30">
        <v>29</v>
      </c>
      <c r="F30">
        <v>3.14</v>
      </c>
      <c r="G30">
        <v>29</v>
      </c>
      <c r="H30" s="196" t="s">
        <v>216</v>
      </c>
    </row>
    <row r="31" spans="1:12" x14ac:dyDescent="0.15">
      <c r="A31" s="36" t="s">
        <v>169</v>
      </c>
      <c r="B31" s="44">
        <v>3.14</v>
      </c>
      <c r="D31" s="195" t="s">
        <v>217</v>
      </c>
      <c r="E31">
        <v>30</v>
      </c>
      <c r="F31">
        <v>3.14</v>
      </c>
      <c r="G31">
        <v>30</v>
      </c>
      <c r="H31" s="196" t="s">
        <v>217</v>
      </c>
    </row>
    <row r="32" spans="1:12" ht="12" customHeight="1" thickBot="1" x14ac:dyDescent="0.2">
      <c r="A32" s="42" t="s">
        <v>170</v>
      </c>
      <c r="B32" s="45">
        <v>9</v>
      </c>
      <c r="D32" s="195" t="s">
        <v>218</v>
      </c>
      <c r="E32">
        <v>31</v>
      </c>
      <c r="F32">
        <v>3.14</v>
      </c>
      <c r="G32">
        <v>31</v>
      </c>
      <c r="H32" s="196" t="s">
        <v>218</v>
      </c>
    </row>
    <row r="33" spans="4:8" customFormat="1" ht="12" customHeight="1" x14ac:dyDescent="0.15">
      <c r="D33" s="195" t="s">
        <v>219</v>
      </c>
      <c r="E33">
        <v>32</v>
      </c>
      <c r="F33">
        <v>3.13</v>
      </c>
      <c r="G33">
        <v>32</v>
      </c>
      <c r="H33" s="196" t="s">
        <v>219</v>
      </c>
    </row>
    <row r="34" spans="4:8" customFormat="1" ht="12" customHeight="1" x14ac:dyDescent="0.15">
      <c r="D34" s="195" t="s">
        <v>220</v>
      </c>
      <c r="E34">
        <v>33</v>
      </c>
      <c r="F34">
        <v>3.13</v>
      </c>
      <c r="G34">
        <v>33</v>
      </c>
      <c r="H34" s="196" t="s">
        <v>220</v>
      </c>
    </row>
    <row r="35" spans="4:8" customFormat="1" x14ac:dyDescent="0.15">
      <c r="D35" s="195" t="s">
        <v>221</v>
      </c>
      <c r="E35">
        <v>34</v>
      </c>
      <c r="F35">
        <v>3.21</v>
      </c>
      <c r="G35">
        <v>34</v>
      </c>
      <c r="H35" s="196" t="s">
        <v>221</v>
      </c>
    </row>
    <row r="36" spans="4:8" customFormat="1" x14ac:dyDescent="0.15">
      <c r="D36" s="195" t="s">
        <v>222</v>
      </c>
      <c r="E36">
        <v>35</v>
      </c>
      <c r="F36">
        <v>3.01</v>
      </c>
      <c r="G36">
        <v>35</v>
      </c>
      <c r="H36" s="196" t="s">
        <v>222</v>
      </c>
    </row>
    <row r="37" spans="4:8" customFormat="1" ht="12" customHeight="1" x14ac:dyDescent="0.15">
      <c r="D37" s="195" t="s">
        <v>223</v>
      </c>
      <c r="E37">
        <v>36</v>
      </c>
      <c r="F37">
        <v>3.01</v>
      </c>
      <c r="G37">
        <v>36</v>
      </c>
      <c r="H37" s="196" t="s">
        <v>223</v>
      </c>
    </row>
    <row r="38" spans="4:8" customFormat="1" x14ac:dyDescent="0.15">
      <c r="D38" s="195" t="s">
        <v>224</v>
      </c>
      <c r="E38">
        <v>37</v>
      </c>
      <c r="F38">
        <v>3.11</v>
      </c>
      <c r="G38">
        <v>37</v>
      </c>
      <c r="H38" s="196" t="s">
        <v>224</v>
      </c>
    </row>
    <row r="39" spans="4:8" customFormat="1" x14ac:dyDescent="0.15">
      <c r="D39" s="195" t="s">
        <v>225</v>
      </c>
      <c r="E39">
        <v>38</v>
      </c>
      <c r="F39">
        <v>3.11</v>
      </c>
      <c r="G39">
        <v>38</v>
      </c>
      <c r="H39" s="196" t="s">
        <v>225</v>
      </c>
    </row>
    <row r="40" spans="4:8" customFormat="1" x14ac:dyDescent="0.15">
      <c r="D40" s="195" t="s">
        <v>226</v>
      </c>
      <c r="E40">
        <v>39</v>
      </c>
      <c r="F40">
        <v>3.1110000000000002</v>
      </c>
      <c r="G40">
        <v>39</v>
      </c>
      <c r="H40" s="196" t="s">
        <v>226</v>
      </c>
    </row>
    <row r="41" spans="4:8" customFormat="1" x14ac:dyDescent="0.15">
      <c r="D41" s="195" t="s">
        <v>227</v>
      </c>
      <c r="E41">
        <v>40</v>
      </c>
      <c r="F41">
        <v>2</v>
      </c>
      <c r="G41">
        <v>40</v>
      </c>
      <c r="H41" s="196" t="s">
        <v>227</v>
      </c>
    </row>
    <row r="42" spans="4:8" customFormat="1" x14ac:dyDescent="0.15">
      <c r="D42" s="195" t="s">
        <v>228</v>
      </c>
      <c r="E42">
        <v>41</v>
      </c>
      <c r="F42">
        <v>4.0999999999999996</v>
      </c>
      <c r="G42">
        <v>41</v>
      </c>
      <c r="H42" s="196" t="s">
        <v>228</v>
      </c>
    </row>
    <row r="43" spans="4:8" customFormat="1" x14ac:dyDescent="0.15">
      <c r="D43" s="195" t="s">
        <v>229</v>
      </c>
      <c r="E43">
        <v>42</v>
      </c>
      <c r="F43">
        <v>4.3</v>
      </c>
      <c r="G43">
        <v>42</v>
      </c>
      <c r="H43" s="196" t="s">
        <v>229</v>
      </c>
    </row>
    <row r="44" spans="4:8" customFormat="1" x14ac:dyDescent="0.15">
      <c r="D44" s="195" t="s">
        <v>230</v>
      </c>
      <c r="E44">
        <v>43</v>
      </c>
      <c r="F44">
        <v>5</v>
      </c>
      <c r="G44">
        <v>43</v>
      </c>
      <c r="H44" s="196" t="s">
        <v>230</v>
      </c>
    </row>
    <row r="45" spans="4:8" customFormat="1" x14ac:dyDescent="0.15">
      <c r="D45" s="195" t="s">
        <v>138</v>
      </c>
      <c r="E45">
        <v>44</v>
      </c>
      <c r="F45">
        <v>6.1</v>
      </c>
      <c r="G45">
        <v>44</v>
      </c>
      <c r="H45" s="196" t="s">
        <v>138</v>
      </c>
    </row>
    <row r="46" spans="4:8" customFormat="1" x14ac:dyDescent="0.15">
      <c r="D46" s="195" t="s">
        <v>45</v>
      </c>
      <c r="E46">
        <v>45</v>
      </c>
      <c r="F46">
        <v>6.2</v>
      </c>
      <c r="G46">
        <v>45</v>
      </c>
      <c r="H46" s="196" t="s">
        <v>45</v>
      </c>
    </row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3" bestFit="1" customWidth="1"/>
    <col min="2" max="2" width="6.83203125" style="82" customWidth="1"/>
    <col min="3" max="3" width="19.1640625" style="82" customWidth="1"/>
    <col min="4" max="4" width="39.6640625" style="82" customWidth="1"/>
    <col min="5" max="5" width="8.1640625" style="82" customWidth="1"/>
    <col min="6" max="6" width="22" style="82" bestFit="1" customWidth="1"/>
    <col min="7" max="9" width="2.33203125" style="82" customWidth="1"/>
    <col min="10" max="10" width="2.33203125" style="82" bestFit="1" customWidth="1"/>
    <col min="11" max="15" width="2.33203125" style="82" customWidth="1"/>
    <col min="16" max="16" width="2.33203125" style="72" customWidth="1"/>
    <col min="17" max="17" width="2.33203125" style="82" customWidth="1"/>
    <col min="18" max="18" width="2.33203125" style="73" customWidth="1"/>
    <col min="19" max="16384" width="11.5" style="82"/>
  </cols>
  <sheetData>
    <row r="1" spans="1:23" ht="15" customHeight="1" thickBot="1" x14ac:dyDescent="0.2">
      <c r="F1" s="1"/>
      <c r="G1" s="70" t="s">
        <v>46</v>
      </c>
      <c r="H1" s="70" t="s">
        <v>47</v>
      </c>
      <c r="I1" s="70" t="s">
        <v>120</v>
      </c>
      <c r="J1" s="70" t="s">
        <v>132</v>
      </c>
      <c r="K1" s="84" t="s">
        <v>48</v>
      </c>
      <c r="L1" s="73"/>
      <c r="M1" s="84" t="s">
        <v>119</v>
      </c>
      <c r="N1" s="73"/>
      <c r="O1" s="84" t="s">
        <v>49</v>
      </c>
      <c r="P1" s="75"/>
      <c r="Q1" s="84" t="s">
        <v>50</v>
      </c>
      <c r="R1" s="70" t="s">
        <v>154</v>
      </c>
    </row>
    <row r="2" spans="1:23" ht="15" customHeight="1" x14ac:dyDescent="0.15">
      <c r="A2" s="84" t="s">
        <v>51</v>
      </c>
      <c r="B2" s="85">
        <v>0.5</v>
      </c>
      <c r="C2" s="83" t="s">
        <v>52</v>
      </c>
      <c r="D2" s="86"/>
      <c r="F2" s="1"/>
      <c r="G2" s="87"/>
      <c r="H2" s="87"/>
      <c r="I2" s="87" t="s">
        <v>133</v>
      </c>
      <c r="J2" s="87" t="s">
        <v>133</v>
      </c>
      <c r="K2" s="87" t="s">
        <v>52</v>
      </c>
      <c r="L2" s="87" t="s">
        <v>53</v>
      </c>
      <c r="M2" s="87" t="s">
        <v>52</v>
      </c>
      <c r="N2" s="87" t="s">
        <v>53</v>
      </c>
      <c r="O2" s="87" t="s">
        <v>52</v>
      </c>
      <c r="P2" s="88" t="s">
        <v>53</v>
      </c>
      <c r="Q2" s="87"/>
      <c r="R2" s="89" t="s">
        <v>155</v>
      </c>
    </row>
    <row r="3" spans="1:23" ht="15" customHeight="1" thickBot="1" x14ac:dyDescent="0.2">
      <c r="A3" s="84" t="s">
        <v>54</v>
      </c>
      <c r="B3" s="90">
        <v>0.5</v>
      </c>
      <c r="C3" s="83" t="s">
        <v>53</v>
      </c>
      <c r="D3" s="86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9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9">
        <v>0</v>
      </c>
      <c r="R4" s="111">
        <v>0</v>
      </c>
    </row>
    <row r="5" spans="1:23" ht="15" customHeight="1" x14ac:dyDescent="0.15">
      <c r="A5" s="84" t="s">
        <v>55</v>
      </c>
      <c r="B5" s="91">
        <v>0.5</v>
      </c>
      <c r="C5" s="83" t="s">
        <v>52</v>
      </c>
      <c r="D5" s="86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9">
        <v>0</v>
      </c>
      <c r="R5" s="111">
        <v>0</v>
      </c>
    </row>
    <row r="6" spans="1:23" ht="15" customHeight="1" thickBot="1" x14ac:dyDescent="0.2">
      <c r="A6" s="84"/>
      <c r="B6" s="92">
        <v>0.5</v>
      </c>
      <c r="C6" s="83" t="s">
        <v>53</v>
      </c>
      <c r="D6" s="86"/>
      <c r="F6" s="197" t="s">
        <v>191</v>
      </c>
      <c r="G6" s="82">
        <v>0</v>
      </c>
      <c r="H6" s="82">
        <v>0</v>
      </c>
      <c r="I6" s="82">
        <v>0</v>
      </c>
      <c r="J6" s="82">
        <v>0</v>
      </c>
      <c r="K6" s="82">
        <v>0</v>
      </c>
      <c r="L6" s="82">
        <v>1</v>
      </c>
      <c r="M6" s="82">
        <v>0</v>
      </c>
      <c r="N6" s="82">
        <v>1</v>
      </c>
      <c r="O6" s="82">
        <v>0</v>
      </c>
      <c r="P6" s="72">
        <v>1</v>
      </c>
      <c r="Q6" s="82">
        <v>0</v>
      </c>
      <c r="R6" s="73">
        <v>1</v>
      </c>
      <c r="S6"/>
      <c r="T6"/>
    </row>
    <row r="7" spans="1:23" ht="15" customHeight="1" thickBot="1" x14ac:dyDescent="0.2">
      <c r="F7" s="197" t="s">
        <v>192</v>
      </c>
      <c r="G7" s="82">
        <v>0</v>
      </c>
      <c r="H7" s="82">
        <v>0</v>
      </c>
      <c r="I7" s="82">
        <v>0</v>
      </c>
      <c r="J7" s="82">
        <v>0</v>
      </c>
      <c r="K7" s="82">
        <v>1</v>
      </c>
      <c r="L7" s="82">
        <v>0</v>
      </c>
      <c r="M7" s="82">
        <v>1</v>
      </c>
      <c r="N7" s="82">
        <v>0</v>
      </c>
      <c r="O7" s="82">
        <v>1</v>
      </c>
      <c r="P7" s="72">
        <v>0</v>
      </c>
      <c r="Q7" s="82">
        <v>0</v>
      </c>
      <c r="R7" s="73">
        <v>1</v>
      </c>
      <c r="S7"/>
      <c r="T7"/>
    </row>
    <row r="8" spans="1:23" ht="15" customHeight="1" x14ac:dyDescent="0.15">
      <c r="A8" s="84" t="s">
        <v>56</v>
      </c>
      <c r="B8" s="91">
        <v>1</v>
      </c>
      <c r="C8" s="198" t="s">
        <v>227</v>
      </c>
      <c r="D8" s="86" t="s">
        <v>160</v>
      </c>
      <c r="F8" s="197" t="s">
        <v>193</v>
      </c>
      <c r="G8" s="82">
        <v>0</v>
      </c>
      <c r="H8" s="82">
        <v>0</v>
      </c>
      <c r="I8" s="82">
        <v>0</v>
      </c>
      <c r="J8" s="82">
        <v>0</v>
      </c>
      <c r="K8" s="82">
        <v>1</v>
      </c>
      <c r="L8" s="82">
        <v>0</v>
      </c>
      <c r="M8" s="82">
        <v>1</v>
      </c>
      <c r="N8" s="82">
        <v>0</v>
      </c>
      <c r="O8" s="82">
        <v>1</v>
      </c>
      <c r="P8" s="72">
        <v>0</v>
      </c>
      <c r="Q8" s="82">
        <v>0</v>
      </c>
      <c r="R8" s="73">
        <v>1</v>
      </c>
      <c r="S8"/>
      <c r="T8"/>
      <c r="W8"/>
    </row>
    <row r="9" spans="1:23" ht="15" customHeight="1" x14ac:dyDescent="0.15">
      <c r="A9" s="125" t="s">
        <v>168</v>
      </c>
      <c r="B9" s="93"/>
      <c r="C9" s="81"/>
      <c r="D9" s="86" t="s">
        <v>160</v>
      </c>
      <c r="F9" s="197" t="s">
        <v>194</v>
      </c>
      <c r="G9" s="82">
        <v>0</v>
      </c>
      <c r="H9" s="82">
        <v>0</v>
      </c>
      <c r="I9" s="82">
        <v>0</v>
      </c>
      <c r="J9" s="82">
        <v>0</v>
      </c>
      <c r="K9" s="82">
        <v>1</v>
      </c>
      <c r="L9" s="82">
        <v>0</v>
      </c>
      <c r="M9" s="82">
        <v>1</v>
      </c>
      <c r="N9" s="82">
        <v>0</v>
      </c>
      <c r="O9" s="82">
        <v>1</v>
      </c>
      <c r="P9" s="72">
        <v>0</v>
      </c>
      <c r="Q9" s="82">
        <v>0</v>
      </c>
      <c r="R9" s="73">
        <v>1</v>
      </c>
      <c r="S9"/>
      <c r="T9"/>
      <c r="W9"/>
    </row>
    <row r="10" spans="1:23" ht="15" customHeight="1" x14ac:dyDescent="0.15">
      <c r="B10" s="93"/>
      <c r="C10" s="81"/>
      <c r="D10" s="86" t="s">
        <v>160</v>
      </c>
      <c r="F10" s="197" t="s">
        <v>195</v>
      </c>
      <c r="G10" s="82">
        <v>0</v>
      </c>
      <c r="H10" s="82">
        <v>0</v>
      </c>
      <c r="I10" s="82">
        <v>0</v>
      </c>
      <c r="J10" s="82">
        <v>0</v>
      </c>
      <c r="K10" s="82">
        <v>1</v>
      </c>
      <c r="L10" s="82">
        <v>0</v>
      </c>
      <c r="M10" s="82">
        <v>1</v>
      </c>
      <c r="N10" s="82">
        <v>0</v>
      </c>
      <c r="O10" s="82">
        <v>1</v>
      </c>
      <c r="P10" s="72">
        <v>0</v>
      </c>
      <c r="Q10" s="82">
        <v>0</v>
      </c>
      <c r="R10" s="73">
        <v>1</v>
      </c>
      <c r="S10"/>
      <c r="T10"/>
      <c r="W10"/>
    </row>
    <row r="11" spans="1:23" ht="15" customHeight="1" x14ac:dyDescent="0.15">
      <c r="A11" s="84"/>
      <c r="B11" s="93"/>
      <c r="C11" s="96"/>
      <c r="D11" s="86" t="s">
        <v>160</v>
      </c>
      <c r="F11" s="197" t="s">
        <v>196</v>
      </c>
      <c r="G11" s="82">
        <v>0</v>
      </c>
      <c r="H11" s="82">
        <v>0</v>
      </c>
      <c r="I11" s="82">
        <v>0</v>
      </c>
      <c r="J11" s="82">
        <v>0</v>
      </c>
      <c r="K11" s="82">
        <v>1</v>
      </c>
      <c r="L11" s="82">
        <v>0</v>
      </c>
      <c r="M11" s="82">
        <v>1</v>
      </c>
      <c r="N11" s="82">
        <v>0</v>
      </c>
      <c r="O11" s="82">
        <v>1</v>
      </c>
      <c r="P11" s="72">
        <v>0</v>
      </c>
      <c r="Q11" s="82">
        <v>0</v>
      </c>
      <c r="R11" s="73">
        <v>1</v>
      </c>
      <c r="S11"/>
      <c r="T11"/>
      <c r="W11"/>
    </row>
    <row r="12" spans="1:23" ht="15" customHeight="1" x14ac:dyDescent="0.15">
      <c r="B12" s="93"/>
      <c r="C12" s="97"/>
      <c r="D12" s="86" t="s">
        <v>160</v>
      </c>
      <c r="F12" s="197" t="s">
        <v>197</v>
      </c>
      <c r="G12" s="82">
        <v>0</v>
      </c>
      <c r="H12" s="82">
        <v>0</v>
      </c>
      <c r="I12" s="82">
        <v>0</v>
      </c>
      <c r="J12" s="82">
        <v>0</v>
      </c>
      <c r="K12" s="82">
        <v>1</v>
      </c>
      <c r="L12" s="82">
        <v>0</v>
      </c>
      <c r="M12" s="82">
        <v>1</v>
      </c>
      <c r="N12" s="82">
        <v>0</v>
      </c>
      <c r="O12" s="82">
        <v>1</v>
      </c>
      <c r="P12" s="72">
        <v>0</v>
      </c>
      <c r="Q12" s="82">
        <v>0</v>
      </c>
      <c r="R12" s="73">
        <v>1</v>
      </c>
      <c r="S12"/>
      <c r="T12"/>
      <c r="W12"/>
    </row>
    <row r="13" spans="1:23" ht="15" customHeight="1" x14ac:dyDescent="0.15">
      <c r="B13" s="93"/>
      <c r="C13" s="97"/>
      <c r="D13" s="86" t="s">
        <v>160</v>
      </c>
      <c r="F13" s="197" t="s">
        <v>198</v>
      </c>
      <c r="G13" s="82">
        <v>0</v>
      </c>
      <c r="H13" s="82">
        <v>0</v>
      </c>
      <c r="I13" s="82">
        <v>0</v>
      </c>
      <c r="J13" s="82">
        <v>0</v>
      </c>
      <c r="K13" s="82">
        <v>1</v>
      </c>
      <c r="L13" s="82">
        <v>0</v>
      </c>
      <c r="M13" s="82">
        <v>1</v>
      </c>
      <c r="N13" s="82">
        <v>0</v>
      </c>
      <c r="O13" s="82">
        <v>1</v>
      </c>
      <c r="P13" s="72">
        <v>0</v>
      </c>
      <c r="Q13" s="82">
        <v>0</v>
      </c>
      <c r="R13" s="73">
        <v>1</v>
      </c>
      <c r="S13"/>
      <c r="T13"/>
      <c r="W13"/>
    </row>
    <row r="14" spans="1:23" ht="15" customHeight="1" x14ac:dyDescent="0.15">
      <c r="B14" s="93"/>
      <c r="C14" s="81"/>
      <c r="D14" s="86" t="s">
        <v>160</v>
      </c>
      <c r="F14" s="197" t="s">
        <v>199</v>
      </c>
      <c r="G14" s="82">
        <v>0</v>
      </c>
      <c r="H14" s="82">
        <v>0</v>
      </c>
      <c r="I14" s="82">
        <v>0</v>
      </c>
      <c r="J14" s="82">
        <v>0</v>
      </c>
      <c r="K14" s="82">
        <v>1</v>
      </c>
      <c r="L14" s="82">
        <v>0</v>
      </c>
      <c r="M14" s="82">
        <v>1</v>
      </c>
      <c r="N14" s="82">
        <v>0</v>
      </c>
      <c r="O14" s="82">
        <v>1</v>
      </c>
      <c r="P14" s="72">
        <v>0</v>
      </c>
      <c r="Q14" s="82">
        <v>0</v>
      </c>
      <c r="R14" s="73">
        <v>1</v>
      </c>
      <c r="S14"/>
      <c r="T14"/>
      <c r="W14"/>
    </row>
    <row r="15" spans="1:23" ht="15" customHeight="1" x14ac:dyDescent="0.15">
      <c r="B15" s="93"/>
      <c r="C15" s="81"/>
      <c r="D15" s="86" t="s">
        <v>160</v>
      </c>
      <c r="F15" s="197" t="s">
        <v>200</v>
      </c>
      <c r="G15" s="82">
        <v>0</v>
      </c>
      <c r="H15" s="82">
        <v>0</v>
      </c>
      <c r="I15" s="82">
        <v>0</v>
      </c>
      <c r="J15" s="82">
        <v>0</v>
      </c>
      <c r="K15" s="82">
        <v>1</v>
      </c>
      <c r="L15" s="82">
        <v>0</v>
      </c>
      <c r="M15" s="82">
        <v>1</v>
      </c>
      <c r="N15" s="82">
        <v>0</v>
      </c>
      <c r="O15" s="82">
        <v>1</v>
      </c>
      <c r="P15" s="72">
        <v>0</v>
      </c>
      <c r="Q15" s="82">
        <v>0</v>
      </c>
      <c r="R15" s="73">
        <v>1</v>
      </c>
      <c r="S15"/>
      <c r="T15"/>
      <c r="W15"/>
    </row>
    <row r="16" spans="1:23" ht="15" customHeight="1" x14ac:dyDescent="0.15">
      <c r="B16" s="93"/>
      <c r="C16" s="81"/>
      <c r="D16" s="86" t="s">
        <v>160</v>
      </c>
      <c r="F16" s="197" t="s">
        <v>201</v>
      </c>
      <c r="G16" s="82">
        <v>0</v>
      </c>
      <c r="H16" s="82">
        <v>0</v>
      </c>
      <c r="I16" s="82">
        <v>0</v>
      </c>
      <c r="J16" s="82">
        <v>0</v>
      </c>
      <c r="K16" s="82">
        <v>1</v>
      </c>
      <c r="L16" s="82">
        <v>0</v>
      </c>
      <c r="M16" s="82">
        <v>1</v>
      </c>
      <c r="N16" s="82">
        <v>0</v>
      </c>
      <c r="O16" s="82">
        <v>1</v>
      </c>
      <c r="P16" s="72">
        <v>0</v>
      </c>
      <c r="Q16" s="82">
        <v>0</v>
      </c>
      <c r="R16" s="73">
        <v>1</v>
      </c>
      <c r="S16"/>
      <c r="T16"/>
    </row>
    <row r="17" spans="1:20" ht="15" customHeight="1" thickBot="1" x14ac:dyDescent="0.2">
      <c r="B17" s="92"/>
      <c r="C17" s="81"/>
      <c r="D17" s="86" t="s">
        <v>160</v>
      </c>
      <c r="F17" s="197" t="s">
        <v>202</v>
      </c>
      <c r="G17" s="82">
        <v>0</v>
      </c>
      <c r="H17" s="82">
        <v>0</v>
      </c>
      <c r="I17" s="82">
        <v>0</v>
      </c>
      <c r="J17" s="82">
        <v>0</v>
      </c>
      <c r="K17" s="82">
        <v>1</v>
      </c>
      <c r="L17" s="82">
        <v>0</v>
      </c>
      <c r="M17" s="82">
        <v>1</v>
      </c>
      <c r="N17" s="82">
        <v>0</v>
      </c>
      <c r="O17" s="82">
        <v>1</v>
      </c>
      <c r="P17" s="72">
        <v>0</v>
      </c>
      <c r="Q17" s="82">
        <v>0</v>
      </c>
      <c r="R17" s="73">
        <v>1</v>
      </c>
      <c r="S17"/>
      <c r="T17"/>
    </row>
    <row r="18" spans="1:20" ht="15" customHeight="1" thickBot="1" x14ac:dyDescent="0.2">
      <c r="B18" s="94"/>
      <c r="F18" s="197" t="s">
        <v>203</v>
      </c>
      <c r="G18" s="82">
        <v>0</v>
      </c>
      <c r="H18" s="82">
        <v>0</v>
      </c>
      <c r="I18" s="82">
        <v>0</v>
      </c>
      <c r="J18" s="82">
        <v>0</v>
      </c>
      <c r="K18" s="82">
        <v>1</v>
      </c>
      <c r="L18" s="82">
        <v>0</v>
      </c>
      <c r="M18" s="82">
        <v>1</v>
      </c>
      <c r="N18" s="82">
        <v>0</v>
      </c>
      <c r="O18" s="82">
        <v>1</v>
      </c>
      <c r="P18" s="72">
        <v>0</v>
      </c>
      <c r="Q18" s="82">
        <v>0</v>
      </c>
      <c r="R18" s="73">
        <v>1</v>
      </c>
      <c r="S18"/>
      <c r="T18"/>
    </row>
    <row r="19" spans="1:20" ht="15" customHeight="1" x14ac:dyDescent="0.15">
      <c r="A19" s="84" t="s">
        <v>57</v>
      </c>
      <c r="B19" s="91">
        <v>1</v>
      </c>
      <c r="C19" s="199" t="s">
        <v>227</v>
      </c>
      <c r="D19" s="86" t="s">
        <v>160</v>
      </c>
      <c r="F19" s="197" t="s">
        <v>204</v>
      </c>
      <c r="G19" s="82">
        <v>0</v>
      </c>
      <c r="H19" s="82">
        <v>0</v>
      </c>
      <c r="I19" s="82">
        <v>0</v>
      </c>
      <c r="J19" s="82">
        <v>0</v>
      </c>
      <c r="K19" s="82">
        <v>1</v>
      </c>
      <c r="L19" s="82">
        <v>0</v>
      </c>
      <c r="M19" s="82">
        <v>1</v>
      </c>
      <c r="N19" s="82">
        <v>0</v>
      </c>
      <c r="O19" s="82">
        <v>1</v>
      </c>
      <c r="P19" s="72">
        <v>0</v>
      </c>
      <c r="Q19" s="82">
        <v>0</v>
      </c>
      <c r="R19" s="73">
        <v>1</v>
      </c>
      <c r="S19"/>
      <c r="T19"/>
    </row>
    <row r="20" spans="1:20" ht="15" customHeight="1" x14ac:dyDescent="0.15">
      <c r="A20" s="125" t="s">
        <v>168</v>
      </c>
      <c r="B20" s="93"/>
      <c r="C20" s="81"/>
      <c r="D20" s="86" t="s">
        <v>160</v>
      </c>
      <c r="F20" s="197" t="s">
        <v>205</v>
      </c>
      <c r="G20" s="82">
        <v>0</v>
      </c>
      <c r="H20" s="82">
        <v>0</v>
      </c>
      <c r="I20" s="82">
        <v>0</v>
      </c>
      <c r="J20" s="82">
        <v>0</v>
      </c>
      <c r="K20" s="82">
        <v>1</v>
      </c>
      <c r="L20" s="82">
        <v>0</v>
      </c>
      <c r="M20" s="82">
        <v>1</v>
      </c>
      <c r="N20" s="82">
        <v>0</v>
      </c>
      <c r="O20" s="82">
        <v>1</v>
      </c>
      <c r="P20" s="72">
        <v>0</v>
      </c>
      <c r="Q20" s="82">
        <v>0</v>
      </c>
      <c r="R20" s="73">
        <v>1</v>
      </c>
      <c r="S20"/>
      <c r="T20"/>
    </row>
    <row r="21" spans="1:20" ht="15" customHeight="1" x14ac:dyDescent="0.15">
      <c r="B21" s="93"/>
      <c r="C21" s="81"/>
      <c r="D21" s="86" t="s">
        <v>160</v>
      </c>
      <c r="F21" s="197" t="s">
        <v>206</v>
      </c>
      <c r="G21" s="82">
        <v>0</v>
      </c>
      <c r="H21" s="82">
        <v>0</v>
      </c>
      <c r="I21" s="82">
        <v>0</v>
      </c>
      <c r="J21" s="82">
        <v>0</v>
      </c>
      <c r="K21" s="82">
        <v>1</v>
      </c>
      <c r="L21" s="82">
        <v>0</v>
      </c>
      <c r="M21" s="82">
        <v>1</v>
      </c>
      <c r="N21" s="82">
        <v>0</v>
      </c>
      <c r="O21" s="82">
        <v>1</v>
      </c>
      <c r="P21" s="72">
        <v>0</v>
      </c>
      <c r="Q21" s="82">
        <v>0</v>
      </c>
      <c r="R21" s="73">
        <v>1</v>
      </c>
      <c r="S21"/>
      <c r="T21"/>
    </row>
    <row r="22" spans="1:20" ht="15" customHeight="1" x14ac:dyDescent="0.15">
      <c r="A22" s="82"/>
      <c r="B22" s="93"/>
      <c r="C22" s="96"/>
      <c r="D22" s="86" t="s">
        <v>160</v>
      </c>
      <c r="F22" s="197" t="s">
        <v>207</v>
      </c>
      <c r="G22" s="82">
        <v>0</v>
      </c>
      <c r="H22" s="82">
        <v>0</v>
      </c>
      <c r="I22" s="82">
        <v>0</v>
      </c>
      <c r="J22" s="82">
        <v>0</v>
      </c>
      <c r="K22" s="82">
        <v>1</v>
      </c>
      <c r="L22" s="82">
        <v>0</v>
      </c>
      <c r="M22" s="82">
        <v>1</v>
      </c>
      <c r="N22" s="82">
        <v>0</v>
      </c>
      <c r="O22" s="82">
        <v>1</v>
      </c>
      <c r="P22" s="72">
        <v>0</v>
      </c>
      <c r="Q22" s="82">
        <v>0</v>
      </c>
      <c r="R22" s="73">
        <v>1</v>
      </c>
      <c r="S22"/>
      <c r="T22"/>
    </row>
    <row r="23" spans="1:20" ht="15" customHeight="1" x14ac:dyDescent="0.15">
      <c r="A23" s="82"/>
      <c r="B23" s="93"/>
      <c r="C23" s="97"/>
      <c r="D23" s="86" t="s">
        <v>160</v>
      </c>
      <c r="F23" s="197" t="s">
        <v>208</v>
      </c>
      <c r="G23" s="82">
        <v>0</v>
      </c>
      <c r="H23" s="82">
        <v>0</v>
      </c>
      <c r="I23" s="82">
        <v>0</v>
      </c>
      <c r="J23" s="82">
        <v>0</v>
      </c>
      <c r="K23" s="82">
        <v>1</v>
      </c>
      <c r="L23" s="82">
        <v>0</v>
      </c>
      <c r="M23" s="82">
        <v>1</v>
      </c>
      <c r="N23" s="82">
        <v>0</v>
      </c>
      <c r="O23" s="82">
        <v>1</v>
      </c>
      <c r="P23" s="72">
        <v>0</v>
      </c>
      <c r="Q23" s="82">
        <v>0</v>
      </c>
      <c r="R23" s="73">
        <v>1</v>
      </c>
      <c r="S23"/>
      <c r="T23"/>
    </row>
    <row r="24" spans="1:20" ht="15" customHeight="1" x14ac:dyDescent="0.15">
      <c r="A24" s="82"/>
      <c r="B24" s="93"/>
      <c r="C24" s="97"/>
      <c r="D24" s="86" t="s">
        <v>160</v>
      </c>
      <c r="F24" s="197" t="s">
        <v>209</v>
      </c>
      <c r="G24" s="82">
        <v>0</v>
      </c>
      <c r="H24" s="82">
        <v>0</v>
      </c>
      <c r="I24" s="82">
        <v>0</v>
      </c>
      <c r="J24" s="82">
        <v>0</v>
      </c>
      <c r="K24" s="82">
        <v>1</v>
      </c>
      <c r="L24" s="82">
        <v>0</v>
      </c>
      <c r="M24" s="82">
        <v>1</v>
      </c>
      <c r="N24" s="82">
        <v>0</v>
      </c>
      <c r="O24" s="82">
        <v>1</v>
      </c>
      <c r="P24" s="72">
        <v>0</v>
      </c>
      <c r="Q24" s="82">
        <v>0</v>
      </c>
      <c r="R24" s="73">
        <v>1</v>
      </c>
      <c r="S24"/>
      <c r="T24"/>
    </row>
    <row r="25" spans="1:20" ht="15" customHeight="1" x14ac:dyDescent="0.15">
      <c r="A25" s="82"/>
      <c r="B25" s="93"/>
      <c r="C25" s="81"/>
      <c r="D25" s="86" t="s">
        <v>160</v>
      </c>
      <c r="F25" s="197" t="s">
        <v>210</v>
      </c>
      <c r="G25" s="82">
        <v>0</v>
      </c>
      <c r="H25" s="82">
        <v>0</v>
      </c>
      <c r="I25" s="82">
        <v>0</v>
      </c>
      <c r="J25" s="82">
        <v>0</v>
      </c>
      <c r="K25" s="82">
        <v>1</v>
      </c>
      <c r="L25" s="82">
        <v>0</v>
      </c>
      <c r="M25" s="82">
        <v>1</v>
      </c>
      <c r="N25" s="82">
        <v>0</v>
      </c>
      <c r="O25" s="82">
        <v>1</v>
      </c>
      <c r="P25" s="72">
        <v>0</v>
      </c>
      <c r="Q25" s="82">
        <v>0</v>
      </c>
      <c r="R25" s="73">
        <v>1</v>
      </c>
      <c r="S25"/>
      <c r="T25"/>
    </row>
    <row r="26" spans="1:20" ht="15" customHeight="1" x14ac:dyDescent="0.15">
      <c r="B26" s="93"/>
      <c r="C26" s="81"/>
      <c r="D26" s="86" t="s">
        <v>160</v>
      </c>
      <c r="F26" s="197" t="s">
        <v>211</v>
      </c>
      <c r="G26" s="82">
        <v>0</v>
      </c>
      <c r="H26" s="82">
        <v>0</v>
      </c>
      <c r="I26" s="82">
        <v>0</v>
      </c>
      <c r="J26" s="82">
        <v>0</v>
      </c>
      <c r="K26" s="82">
        <v>1</v>
      </c>
      <c r="L26" s="82">
        <v>0</v>
      </c>
      <c r="M26" s="82">
        <v>1</v>
      </c>
      <c r="N26" s="82">
        <v>0</v>
      </c>
      <c r="O26" s="82">
        <v>1</v>
      </c>
      <c r="P26" s="72">
        <v>0</v>
      </c>
      <c r="Q26" s="82">
        <v>0</v>
      </c>
      <c r="R26" s="73">
        <v>1</v>
      </c>
      <c r="S26"/>
      <c r="T26"/>
    </row>
    <row r="27" spans="1:20" ht="15" customHeight="1" x14ac:dyDescent="0.15">
      <c r="B27" s="93"/>
      <c r="C27" s="81"/>
      <c r="D27" s="86" t="s">
        <v>160</v>
      </c>
      <c r="F27" s="197" t="s">
        <v>212</v>
      </c>
      <c r="G27" s="82">
        <v>0</v>
      </c>
      <c r="H27" s="82">
        <v>0</v>
      </c>
      <c r="I27" s="82">
        <v>0</v>
      </c>
      <c r="J27" s="82">
        <v>0</v>
      </c>
      <c r="K27" s="82">
        <v>1</v>
      </c>
      <c r="L27" s="82">
        <v>0</v>
      </c>
      <c r="M27" s="82">
        <v>1</v>
      </c>
      <c r="N27" s="82">
        <v>0</v>
      </c>
      <c r="O27" s="82">
        <v>1</v>
      </c>
      <c r="P27" s="72">
        <v>0</v>
      </c>
      <c r="Q27" s="82">
        <v>0</v>
      </c>
      <c r="R27" s="73">
        <v>1</v>
      </c>
      <c r="S27"/>
      <c r="T27"/>
    </row>
    <row r="28" spans="1:20" ht="15" customHeight="1" thickBot="1" x14ac:dyDescent="0.2">
      <c r="B28" s="92"/>
      <c r="C28" s="81"/>
      <c r="D28" s="86" t="s">
        <v>160</v>
      </c>
      <c r="F28" s="197" t="s">
        <v>213</v>
      </c>
      <c r="G28" s="82">
        <v>0</v>
      </c>
      <c r="H28" s="82">
        <v>0</v>
      </c>
      <c r="I28" s="82">
        <v>0</v>
      </c>
      <c r="J28" s="82">
        <v>0</v>
      </c>
      <c r="K28" s="82">
        <v>1</v>
      </c>
      <c r="L28" s="82">
        <v>0</v>
      </c>
      <c r="M28" s="82">
        <v>1</v>
      </c>
      <c r="N28" s="82">
        <v>0</v>
      </c>
      <c r="O28" s="82">
        <v>1</v>
      </c>
      <c r="P28" s="72">
        <v>0</v>
      </c>
      <c r="Q28" s="82">
        <v>0</v>
      </c>
      <c r="R28" s="73">
        <v>1</v>
      </c>
      <c r="S28"/>
      <c r="T28"/>
    </row>
    <row r="29" spans="1:20" ht="15" customHeight="1" x14ac:dyDescent="0.15">
      <c r="F29" s="197" t="s">
        <v>214</v>
      </c>
      <c r="G29" s="82">
        <v>0</v>
      </c>
      <c r="H29" s="82">
        <v>0</v>
      </c>
      <c r="I29" s="82">
        <v>0</v>
      </c>
      <c r="J29" s="82">
        <v>0</v>
      </c>
      <c r="K29" s="82">
        <v>1</v>
      </c>
      <c r="L29" s="82">
        <v>0</v>
      </c>
      <c r="M29" s="82">
        <v>1</v>
      </c>
      <c r="N29" s="82">
        <v>0</v>
      </c>
      <c r="O29" s="82">
        <v>1</v>
      </c>
      <c r="P29" s="72">
        <v>0</v>
      </c>
      <c r="Q29" s="82">
        <v>0</v>
      </c>
      <c r="R29" s="73">
        <v>1</v>
      </c>
      <c r="S29"/>
      <c r="T29"/>
    </row>
    <row r="30" spans="1:20" ht="15" customHeight="1" x14ac:dyDescent="0.15">
      <c r="F30" s="197" t="s">
        <v>215</v>
      </c>
      <c r="G30" s="82">
        <v>0</v>
      </c>
      <c r="H30" s="82">
        <v>0</v>
      </c>
      <c r="I30" s="82">
        <v>0</v>
      </c>
      <c r="J30" s="82">
        <v>0</v>
      </c>
      <c r="K30" s="82">
        <v>1</v>
      </c>
      <c r="L30" s="82">
        <v>0</v>
      </c>
      <c r="M30" s="82">
        <v>1</v>
      </c>
      <c r="N30" s="82">
        <v>0</v>
      </c>
      <c r="O30" s="82">
        <v>1</v>
      </c>
      <c r="P30" s="72">
        <v>0</v>
      </c>
      <c r="Q30" s="82">
        <v>0</v>
      </c>
      <c r="R30" s="73">
        <v>1</v>
      </c>
      <c r="S30"/>
      <c r="T30"/>
    </row>
    <row r="31" spans="1:20" ht="15" customHeight="1" x14ac:dyDescent="0.15">
      <c r="A31" s="126"/>
      <c r="B31" s="137" t="s">
        <v>17</v>
      </c>
      <c r="C31" s="137" t="s">
        <v>1</v>
      </c>
      <c r="D31" s="137" t="s">
        <v>161</v>
      </c>
      <c r="E31" s="138" t="s">
        <v>163</v>
      </c>
      <c r="F31" s="197" t="s">
        <v>216</v>
      </c>
      <c r="G31" s="82">
        <v>0</v>
      </c>
      <c r="H31" s="82">
        <v>0</v>
      </c>
      <c r="I31" s="82">
        <v>0</v>
      </c>
      <c r="J31" s="82">
        <v>0</v>
      </c>
      <c r="K31" s="82">
        <v>1</v>
      </c>
      <c r="L31" s="82">
        <v>0</v>
      </c>
      <c r="M31" s="82">
        <v>1</v>
      </c>
      <c r="N31" s="82">
        <v>0</v>
      </c>
      <c r="O31" s="82">
        <v>1</v>
      </c>
      <c r="P31" s="72">
        <v>0</v>
      </c>
      <c r="Q31" s="82">
        <v>0</v>
      </c>
      <c r="R31" s="73">
        <v>1</v>
      </c>
      <c r="S31"/>
      <c r="T31"/>
    </row>
    <row r="32" spans="1:20" ht="15" customHeight="1" x14ac:dyDescent="0.15">
      <c r="A32" s="200" t="s">
        <v>227</v>
      </c>
      <c r="B32" s="94">
        <v>81.238</v>
      </c>
      <c r="C32" s="94">
        <v>100</v>
      </c>
      <c r="D32" s="94">
        <v>8123.8</v>
      </c>
      <c r="E32" s="128">
        <v>1</v>
      </c>
      <c r="F32" s="197" t="s">
        <v>217</v>
      </c>
      <c r="G32" s="82">
        <v>0</v>
      </c>
      <c r="H32" s="82">
        <v>0</v>
      </c>
      <c r="I32" s="82">
        <v>0</v>
      </c>
      <c r="J32" s="82">
        <v>0</v>
      </c>
      <c r="K32" s="82">
        <v>1</v>
      </c>
      <c r="L32" s="82">
        <v>0</v>
      </c>
      <c r="M32" s="82">
        <v>1</v>
      </c>
      <c r="N32" s="82">
        <v>0</v>
      </c>
      <c r="O32" s="82">
        <v>1</v>
      </c>
      <c r="P32" s="72">
        <v>0</v>
      </c>
      <c r="Q32" s="82">
        <v>0</v>
      </c>
      <c r="R32" s="73">
        <v>1</v>
      </c>
      <c r="S32"/>
      <c r="T32"/>
    </row>
    <row r="33" spans="1:20" ht="15" customHeight="1" x14ac:dyDescent="0.15">
      <c r="A33" s="127"/>
      <c r="B33" s="94"/>
      <c r="C33" s="94"/>
      <c r="D33" s="94"/>
      <c r="E33" s="128"/>
      <c r="F33" s="197" t="s">
        <v>218</v>
      </c>
      <c r="G33" s="82">
        <v>0</v>
      </c>
      <c r="H33" s="82">
        <v>0</v>
      </c>
      <c r="I33" s="82">
        <v>0</v>
      </c>
      <c r="J33" s="82">
        <v>0</v>
      </c>
      <c r="K33" s="82">
        <v>1</v>
      </c>
      <c r="L33" s="82">
        <v>0</v>
      </c>
      <c r="M33" s="82">
        <v>1</v>
      </c>
      <c r="N33" s="82">
        <v>0</v>
      </c>
      <c r="O33" s="82">
        <v>1</v>
      </c>
      <c r="P33" s="72">
        <v>0</v>
      </c>
      <c r="Q33" s="82">
        <v>0</v>
      </c>
      <c r="R33" s="73">
        <v>1</v>
      </c>
      <c r="S33"/>
      <c r="T33"/>
    </row>
    <row r="34" spans="1:20" ht="15" customHeight="1" x14ac:dyDescent="0.15">
      <c r="A34" s="129"/>
      <c r="B34" s="94"/>
      <c r="C34" s="94"/>
      <c r="D34" s="94"/>
      <c r="E34" s="128"/>
      <c r="F34" s="197" t="s">
        <v>219</v>
      </c>
      <c r="G34" s="82">
        <v>0</v>
      </c>
      <c r="H34" s="82">
        <v>0</v>
      </c>
      <c r="I34" s="82">
        <v>0</v>
      </c>
      <c r="J34" s="82">
        <v>0</v>
      </c>
      <c r="K34" s="82">
        <v>1</v>
      </c>
      <c r="L34" s="82">
        <v>0</v>
      </c>
      <c r="M34" s="82">
        <v>1</v>
      </c>
      <c r="N34" s="82">
        <v>0</v>
      </c>
      <c r="O34" s="82">
        <v>1</v>
      </c>
      <c r="P34" s="72">
        <v>0</v>
      </c>
      <c r="Q34" s="82">
        <v>0</v>
      </c>
      <c r="R34" s="73">
        <v>1</v>
      </c>
      <c r="S34"/>
      <c r="T34"/>
    </row>
    <row r="35" spans="1:20" ht="15" customHeight="1" x14ac:dyDescent="0.15">
      <c r="A35" s="130"/>
      <c r="B35" s="94"/>
      <c r="C35" s="94"/>
      <c r="D35" s="94"/>
      <c r="E35" s="128"/>
      <c r="F35" s="197" t="s">
        <v>220</v>
      </c>
      <c r="G35" s="82">
        <v>0</v>
      </c>
      <c r="H35" s="82">
        <v>0</v>
      </c>
      <c r="I35" s="82">
        <v>0</v>
      </c>
      <c r="J35" s="82">
        <v>0</v>
      </c>
      <c r="K35" s="82">
        <v>0</v>
      </c>
      <c r="L35" s="82">
        <v>1</v>
      </c>
      <c r="M35" s="82">
        <v>0</v>
      </c>
      <c r="N35" s="82">
        <v>1</v>
      </c>
      <c r="O35" s="82">
        <v>0</v>
      </c>
      <c r="P35" s="72">
        <v>1</v>
      </c>
      <c r="Q35" s="82">
        <v>0</v>
      </c>
      <c r="R35" s="73">
        <v>1</v>
      </c>
      <c r="S35"/>
      <c r="T35"/>
    </row>
    <row r="36" spans="1:20" ht="15" customHeight="1" x14ac:dyDescent="0.15">
      <c r="A36" s="131"/>
      <c r="B36" s="94"/>
      <c r="C36" s="94"/>
      <c r="D36" s="94"/>
      <c r="E36" s="128"/>
      <c r="F36" s="197" t="s">
        <v>221</v>
      </c>
      <c r="G36" s="82">
        <v>0</v>
      </c>
      <c r="H36" s="82">
        <v>0</v>
      </c>
      <c r="I36" s="82">
        <v>0</v>
      </c>
      <c r="J36" s="82">
        <v>0</v>
      </c>
      <c r="K36" s="82">
        <v>1</v>
      </c>
      <c r="L36" s="82">
        <v>0</v>
      </c>
      <c r="M36" s="82">
        <v>1</v>
      </c>
      <c r="N36" s="82">
        <v>0</v>
      </c>
      <c r="O36" s="82">
        <v>1</v>
      </c>
      <c r="P36" s="72">
        <v>0</v>
      </c>
      <c r="Q36" s="82">
        <v>0</v>
      </c>
      <c r="R36" s="73">
        <v>1</v>
      </c>
      <c r="S36"/>
      <c r="T36"/>
    </row>
    <row r="37" spans="1:20" ht="15" customHeight="1" x14ac:dyDescent="0.15">
      <c r="A37" s="131"/>
      <c r="B37" s="94"/>
      <c r="C37" s="94"/>
      <c r="D37" s="94"/>
      <c r="E37" s="128"/>
      <c r="F37" s="197" t="s">
        <v>222</v>
      </c>
      <c r="G37" s="82">
        <v>0</v>
      </c>
      <c r="H37" s="82">
        <v>0</v>
      </c>
      <c r="I37" s="82">
        <v>0</v>
      </c>
      <c r="J37" s="82">
        <v>0</v>
      </c>
      <c r="K37" s="82">
        <v>0</v>
      </c>
      <c r="L37" s="82">
        <v>1</v>
      </c>
      <c r="M37" s="82">
        <v>0</v>
      </c>
      <c r="N37" s="82">
        <v>1</v>
      </c>
      <c r="O37" s="82">
        <v>0</v>
      </c>
      <c r="P37" s="72">
        <v>1</v>
      </c>
      <c r="Q37" s="82">
        <v>0</v>
      </c>
      <c r="R37" s="73">
        <v>1</v>
      </c>
      <c r="S37"/>
      <c r="T37"/>
    </row>
    <row r="38" spans="1:20" ht="15" customHeight="1" x14ac:dyDescent="0.15">
      <c r="A38" s="132"/>
      <c r="B38" s="94"/>
      <c r="C38" s="94"/>
      <c r="D38" s="94"/>
      <c r="E38" s="128"/>
      <c r="F38" s="197" t="s">
        <v>223</v>
      </c>
      <c r="G38" s="82">
        <v>0</v>
      </c>
      <c r="H38" s="82">
        <v>0</v>
      </c>
      <c r="I38" s="82">
        <v>0</v>
      </c>
      <c r="J38" s="82">
        <v>0</v>
      </c>
      <c r="K38" s="82">
        <v>1</v>
      </c>
      <c r="L38" s="82">
        <v>0</v>
      </c>
      <c r="M38" s="82">
        <v>1</v>
      </c>
      <c r="N38" s="82">
        <v>0</v>
      </c>
      <c r="O38" s="82">
        <v>1</v>
      </c>
      <c r="P38" s="72">
        <v>0</v>
      </c>
      <c r="Q38" s="82">
        <v>0</v>
      </c>
      <c r="R38" s="73">
        <v>1</v>
      </c>
      <c r="S38"/>
      <c r="T38"/>
    </row>
    <row r="39" spans="1:20" ht="15" customHeight="1" x14ac:dyDescent="0.15">
      <c r="A39" s="132"/>
      <c r="B39" s="94"/>
      <c r="C39" s="94"/>
      <c r="D39" s="94"/>
      <c r="E39" s="128"/>
      <c r="F39" s="197" t="s">
        <v>224</v>
      </c>
      <c r="G39" s="82">
        <v>0</v>
      </c>
      <c r="H39" s="82">
        <v>0</v>
      </c>
      <c r="I39" s="82">
        <v>0</v>
      </c>
      <c r="J39" s="82">
        <v>0</v>
      </c>
      <c r="K39" s="82">
        <v>1</v>
      </c>
      <c r="L39" s="82">
        <v>0</v>
      </c>
      <c r="M39" s="82">
        <v>1</v>
      </c>
      <c r="N39" s="82">
        <v>0</v>
      </c>
      <c r="O39" s="82">
        <v>1</v>
      </c>
      <c r="P39" s="72">
        <v>0</v>
      </c>
      <c r="Q39" s="82">
        <v>0</v>
      </c>
      <c r="R39" s="73">
        <v>1</v>
      </c>
      <c r="S39"/>
      <c r="T39"/>
    </row>
    <row r="40" spans="1:20" ht="15" customHeight="1" x14ac:dyDescent="0.15">
      <c r="A40" s="132"/>
      <c r="B40" s="94"/>
      <c r="C40" s="94"/>
      <c r="D40" s="94"/>
      <c r="E40" s="128"/>
      <c r="F40" s="197" t="s">
        <v>225</v>
      </c>
      <c r="G40" s="82">
        <v>0</v>
      </c>
      <c r="H40" s="82">
        <v>0</v>
      </c>
      <c r="I40" s="82">
        <v>0</v>
      </c>
      <c r="J40" s="82">
        <v>0</v>
      </c>
      <c r="K40" s="82">
        <v>1</v>
      </c>
      <c r="L40" s="82">
        <v>0</v>
      </c>
      <c r="M40" s="82">
        <v>1</v>
      </c>
      <c r="N40" s="82">
        <v>0</v>
      </c>
      <c r="O40" s="82">
        <v>1</v>
      </c>
      <c r="P40" s="72">
        <v>0</v>
      </c>
      <c r="Q40" s="82">
        <v>0</v>
      </c>
      <c r="R40" s="73">
        <v>1</v>
      </c>
      <c r="S40"/>
      <c r="T40"/>
    </row>
    <row r="41" spans="1:20" ht="15" customHeight="1" thickBot="1" x14ac:dyDescent="0.2">
      <c r="A41" s="132"/>
      <c r="B41" s="94"/>
      <c r="C41" s="94"/>
      <c r="D41" s="95"/>
      <c r="E41" s="133"/>
      <c r="F41" s="197" t="s">
        <v>226</v>
      </c>
      <c r="G41" s="82">
        <v>0</v>
      </c>
      <c r="H41" s="82">
        <v>0</v>
      </c>
      <c r="I41" s="82">
        <v>0</v>
      </c>
      <c r="J41" s="82">
        <v>0</v>
      </c>
      <c r="K41" s="82">
        <v>1</v>
      </c>
      <c r="L41" s="82">
        <v>0</v>
      </c>
      <c r="M41" s="82">
        <v>1</v>
      </c>
      <c r="N41" s="82">
        <v>0</v>
      </c>
      <c r="O41" s="82">
        <v>1</v>
      </c>
      <c r="P41" s="72">
        <v>0</v>
      </c>
      <c r="Q41" s="82">
        <v>0</v>
      </c>
      <c r="R41" s="73">
        <v>1</v>
      </c>
      <c r="S41"/>
      <c r="T41"/>
    </row>
    <row r="42" spans="1:20" ht="15" customHeight="1" x14ac:dyDescent="0.15">
      <c r="A42" s="134"/>
      <c r="B42" s="135"/>
      <c r="C42" s="135" t="s">
        <v>162</v>
      </c>
      <c r="D42" s="135">
        <f>SUM(D32:D41)</f>
        <v>8123.8</v>
      </c>
      <c r="E42" s="136">
        <f>SUM(E32:E41)</f>
        <v>1</v>
      </c>
      <c r="F42" s="197" t="s">
        <v>227</v>
      </c>
      <c r="G42" s="82">
        <v>0</v>
      </c>
      <c r="H42" s="82">
        <v>0</v>
      </c>
      <c r="I42" s="82">
        <v>0</v>
      </c>
      <c r="J42" s="82">
        <v>0</v>
      </c>
      <c r="K42" s="82">
        <v>0</v>
      </c>
      <c r="L42" s="82">
        <v>0</v>
      </c>
      <c r="M42" s="82">
        <v>1</v>
      </c>
      <c r="N42" s="82">
        <v>0</v>
      </c>
      <c r="O42" s="82">
        <v>0</v>
      </c>
      <c r="P42" s="72">
        <v>0</v>
      </c>
      <c r="Q42" s="82">
        <v>0</v>
      </c>
      <c r="R42" s="73">
        <v>1</v>
      </c>
      <c r="S42"/>
      <c r="T42"/>
    </row>
    <row r="43" spans="1:20" ht="15" customHeight="1" x14ac:dyDescent="0.15">
      <c r="A43" s="82"/>
      <c r="F43" s="197" t="s">
        <v>228</v>
      </c>
      <c r="G43" s="82">
        <v>0</v>
      </c>
      <c r="H43" s="82">
        <v>0</v>
      </c>
      <c r="I43" s="82">
        <v>0</v>
      </c>
      <c r="J43" s="82">
        <v>0</v>
      </c>
      <c r="K43" s="82">
        <v>0</v>
      </c>
      <c r="L43" s="82">
        <v>1</v>
      </c>
      <c r="M43" s="82">
        <v>0</v>
      </c>
      <c r="N43" s="82">
        <v>1</v>
      </c>
      <c r="O43" s="82">
        <v>0</v>
      </c>
      <c r="P43" s="72">
        <v>1</v>
      </c>
      <c r="Q43" s="82">
        <v>0</v>
      </c>
      <c r="R43" s="73">
        <v>1</v>
      </c>
      <c r="S43"/>
      <c r="T43"/>
    </row>
    <row r="44" spans="1:20" ht="15" customHeight="1" x14ac:dyDescent="0.15">
      <c r="A44" s="82"/>
      <c r="F44" s="197" t="s">
        <v>229</v>
      </c>
      <c r="G44" s="82">
        <v>0</v>
      </c>
      <c r="H44" s="82">
        <v>0</v>
      </c>
      <c r="I44" s="82">
        <v>0</v>
      </c>
      <c r="J44" s="82">
        <v>0</v>
      </c>
      <c r="K44" s="82">
        <v>0</v>
      </c>
      <c r="L44" s="82">
        <v>1</v>
      </c>
      <c r="M44" s="82">
        <v>0</v>
      </c>
      <c r="N44" s="82">
        <v>1</v>
      </c>
      <c r="O44" s="82">
        <v>0</v>
      </c>
      <c r="P44" s="72">
        <v>1</v>
      </c>
      <c r="Q44" s="82">
        <v>0</v>
      </c>
      <c r="R44" s="73">
        <v>1</v>
      </c>
    </row>
    <row r="45" spans="1:20" ht="15" customHeight="1" x14ac:dyDescent="0.15">
      <c r="A45" s="82"/>
      <c r="F45" s="197" t="s">
        <v>230</v>
      </c>
      <c r="G45" s="82">
        <v>0</v>
      </c>
      <c r="H45" s="82">
        <v>0</v>
      </c>
      <c r="I45" s="82">
        <v>0</v>
      </c>
      <c r="J45" s="82">
        <v>0</v>
      </c>
      <c r="K45" s="82">
        <v>0</v>
      </c>
      <c r="L45" s="82">
        <v>1</v>
      </c>
      <c r="M45" s="82">
        <v>0</v>
      </c>
      <c r="N45" s="82">
        <v>0</v>
      </c>
      <c r="O45" s="82">
        <v>0</v>
      </c>
      <c r="P45" s="72">
        <v>0</v>
      </c>
      <c r="Q45" s="82">
        <v>0</v>
      </c>
      <c r="R45" s="73">
        <v>1</v>
      </c>
    </row>
    <row r="46" spans="1:20" ht="15" customHeight="1" x14ac:dyDescent="0.15">
      <c r="A46" s="82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82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2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2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2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2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2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2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2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2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2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2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2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2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2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2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2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2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2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2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2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2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2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2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2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2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2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2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2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2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2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2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2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2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2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2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2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2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2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2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2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2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2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2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2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2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2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2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2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2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2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2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2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2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2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2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2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2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2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2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2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2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2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2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2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2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2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2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2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2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2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2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2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2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2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2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2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2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2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2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2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2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2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2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2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2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2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2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2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2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2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2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2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2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2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2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2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2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2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2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2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2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2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2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2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2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2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2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2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2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2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2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2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2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2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2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2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2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2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2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2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2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2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V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2" bestFit="1" customWidth="1"/>
    <col min="2" max="2" width="2.33203125" style="111" customWidth="1"/>
    <col min="3" max="5" width="7.83203125" style="111" customWidth="1"/>
    <col min="6" max="8" width="8.83203125" style="6"/>
    <col min="9" max="9" width="5.83203125" style="6" customWidth="1"/>
    <col min="10" max="10" width="8.6640625" style="6" customWidth="1"/>
    <col min="11" max="11" width="7.6640625" style="6" customWidth="1"/>
    <col min="12" max="12" width="15.1640625" style="6" customWidth="1"/>
    <col min="13" max="13" width="13.6640625" style="6" customWidth="1"/>
    <col min="14" max="14" width="6.5" style="6" customWidth="1"/>
    <col min="15" max="15" width="12.5" style="6" customWidth="1"/>
    <col min="16" max="16" width="10" style="6" customWidth="1"/>
    <col min="17" max="17" width="12.5" style="6" customWidth="1"/>
    <col min="18" max="18" width="11" style="6" customWidth="1"/>
    <col min="19" max="19" width="15.5" style="6" customWidth="1"/>
    <col min="20" max="20" width="14" style="6" customWidth="1"/>
    <col min="21" max="21" width="5.83203125" style="6" customWidth="1"/>
    <col min="22" max="22" width="14" style="6" customWidth="1"/>
    <col min="23" max="23" width="10.5" style="6" customWidth="1"/>
    <col min="24" max="24" width="9.1640625" style="6" customWidth="1"/>
    <col min="25" max="25" width="11.1640625" style="6" customWidth="1"/>
    <col min="26" max="26" width="9.6640625" style="6" customWidth="1"/>
    <col min="27" max="27" width="10.83203125" style="6" customWidth="1"/>
    <col min="28" max="28" width="9.5" style="6" customWidth="1"/>
    <col min="29" max="29" width="9.1640625" style="6" customWidth="1"/>
    <col min="30" max="30" width="6.83203125" style="6" customWidth="1"/>
    <col min="31" max="31" width="9.5" style="6" customWidth="1"/>
    <col min="32" max="32" width="8" style="6" customWidth="1"/>
    <col min="33" max="33" width="10.83203125" style="6" customWidth="1"/>
    <col min="34" max="34" width="10.5" style="6" customWidth="1"/>
    <col min="35" max="35" width="9.1640625" style="6" customWidth="1"/>
    <col min="36" max="36" width="10.33203125" style="6" customWidth="1"/>
    <col min="37" max="37" width="18.5" style="6" customWidth="1"/>
    <col min="38" max="38" width="22" style="6" customWidth="1"/>
    <col min="39" max="39" width="13" customWidth="1"/>
    <col min="40" max="40" width="15.1640625" customWidth="1"/>
    <col min="41" max="41" width="18.6640625" customWidth="1"/>
    <col min="42" max="44" width="16.5" customWidth="1"/>
    <col min="45" max="45" width="19.1640625" customWidth="1"/>
    <col min="46" max="46" width="7.6640625" customWidth="1"/>
    <col min="47" max="47" width="21.6640625" customWidth="1"/>
    <col min="48" max="48" width="6.5" customWidth="1"/>
    <col min="81" max="81" width="22.1640625" bestFit="1" customWidth="1"/>
  </cols>
  <sheetData>
    <row r="1" spans="1:48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2" t="s">
        <v>191</v>
      </c>
      <c r="J1" s="202" t="s">
        <v>192</v>
      </c>
      <c r="K1" s="202" t="s">
        <v>193</v>
      </c>
      <c r="L1" s="202" t="s">
        <v>194</v>
      </c>
      <c r="M1" s="202" t="s">
        <v>195</v>
      </c>
      <c r="N1" s="202" t="s">
        <v>196</v>
      </c>
      <c r="O1" s="202" t="s">
        <v>197</v>
      </c>
      <c r="P1" s="202" t="s">
        <v>198</v>
      </c>
      <c r="Q1" s="202" t="s">
        <v>199</v>
      </c>
      <c r="R1" s="202" t="s">
        <v>200</v>
      </c>
      <c r="S1" s="202" t="s">
        <v>201</v>
      </c>
      <c r="T1" s="202" t="s">
        <v>202</v>
      </c>
      <c r="U1" s="202" t="s">
        <v>203</v>
      </c>
      <c r="V1" s="202" t="s">
        <v>204</v>
      </c>
      <c r="W1" s="202" t="s">
        <v>205</v>
      </c>
      <c r="X1" s="202" t="s">
        <v>206</v>
      </c>
      <c r="Y1" s="202" t="s">
        <v>207</v>
      </c>
      <c r="Z1" s="202" t="s">
        <v>208</v>
      </c>
      <c r="AA1" s="202" t="s">
        <v>209</v>
      </c>
      <c r="AB1" s="202" t="s">
        <v>210</v>
      </c>
      <c r="AC1" s="202" t="s">
        <v>211</v>
      </c>
      <c r="AD1" s="202" t="s">
        <v>212</v>
      </c>
      <c r="AE1" s="202" t="s">
        <v>213</v>
      </c>
      <c r="AF1" s="202" t="s">
        <v>214</v>
      </c>
      <c r="AG1" s="202" t="s">
        <v>215</v>
      </c>
      <c r="AH1" s="202" t="s">
        <v>216</v>
      </c>
      <c r="AI1" s="202" t="s">
        <v>217</v>
      </c>
      <c r="AJ1" s="202" t="s">
        <v>218</v>
      </c>
      <c r="AK1" s="202" t="s">
        <v>219</v>
      </c>
      <c r="AL1" s="202" t="s">
        <v>220</v>
      </c>
      <c r="AM1" s="202" t="s">
        <v>221</v>
      </c>
      <c r="AN1" s="202" t="s">
        <v>222</v>
      </c>
      <c r="AO1" s="202" t="s">
        <v>223</v>
      </c>
      <c r="AP1" s="202" t="s">
        <v>224</v>
      </c>
      <c r="AQ1" s="202" t="s">
        <v>225</v>
      </c>
      <c r="AR1" s="202" t="s">
        <v>226</v>
      </c>
      <c r="AS1" s="202" t="s">
        <v>227</v>
      </c>
      <c r="AT1" s="202" t="s">
        <v>228</v>
      </c>
      <c r="AU1" s="202" t="s">
        <v>229</v>
      </c>
      <c r="AV1" s="202" t="s">
        <v>230</v>
      </c>
    </row>
    <row r="2" spans="1:48" x14ac:dyDescent="0.15">
      <c r="A2" t="s">
        <v>38</v>
      </c>
      <c r="B2" s="111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8" x14ac:dyDescent="0.15">
      <c r="A3" t="s">
        <v>40</v>
      </c>
      <c r="B3" s="111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8" x14ac:dyDescent="0.15">
      <c r="A4" t="s">
        <v>41</v>
      </c>
      <c r="B4" s="111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8" x14ac:dyDescent="0.15">
      <c r="A5" s="201" t="s">
        <v>191</v>
      </c>
      <c r="B5" s="111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8" x14ac:dyDescent="0.15">
      <c r="A6" s="201" t="s">
        <v>192</v>
      </c>
      <c r="B6" s="111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8" x14ac:dyDescent="0.15">
      <c r="A7" s="201" t="s">
        <v>193</v>
      </c>
      <c r="B7" s="111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8" x14ac:dyDescent="0.15">
      <c r="A8" s="201" t="s">
        <v>194</v>
      </c>
      <c r="B8" s="111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8" x14ac:dyDescent="0.15">
      <c r="A9" s="201" t="s">
        <v>195</v>
      </c>
      <c r="B9" s="111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8" x14ac:dyDescent="0.15">
      <c r="A10" s="201" t="s">
        <v>196</v>
      </c>
      <c r="B10" s="111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8" x14ac:dyDescent="0.15">
      <c r="A11" s="201" t="s">
        <v>197</v>
      </c>
      <c r="B11" s="111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8" x14ac:dyDescent="0.15">
      <c r="A12" s="201" t="s">
        <v>198</v>
      </c>
      <c r="B12" s="111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8" x14ac:dyDescent="0.15">
      <c r="A13" s="201" t="s">
        <v>199</v>
      </c>
      <c r="B13" s="111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8" x14ac:dyDescent="0.15">
      <c r="A14" s="201" t="s">
        <v>200</v>
      </c>
      <c r="B14" s="111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8" x14ac:dyDescent="0.15">
      <c r="A15" s="201" t="s">
        <v>201</v>
      </c>
      <c r="B15" s="111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8" x14ac:dyDescent="0.15">
      <c r="A16" s="201" t="s">
        <v>202</v>
      </c>
      <c r="B16" s="111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1" t="s">
        <v>203</v>
      </c>
      <c r="B17" s="111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1" t="s">
        <v>204</v>
      </c>
      <c r="B18" s="111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1" t="s">
        <v>205</v>
      </c>
      <c r="B19" s="111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1" t="s">
        <v>206</v>
      </c>
      <c r="B20" s="111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1" t="s">
        <v>207</v>
      </c>
      <c r="B21" s="111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1" t="s">
        <v>208</v>
      </c>
      <c r="B22" s="111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1" t="s">
        <v>209</v>
      </c>
      <c r="B23" s="111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1" t="s">
        <v>210</v>
      </c>
      <c r="B24" s="111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1" t="s">
        <v>211</v>
      </c>
      <c r="B25" s="111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1" t="s">
        <v>212</v>
      </c>
      <c r="B26" s="111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1" t="s">
        <v>213</v>
      </c>
      <c r="B27" s="111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1" t="s">
        <v>214</v>
      </c>
      <c r="B28" s="111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1" t="s">
        <v>215</v>
      </c>
      <c r="B29" s="111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1" t="s">
        <v>216</v>
      </c>
      <c r="B30" s="111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1" t="s">
        <v>217</v>
      </c>
      <c r="B31" s="111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1" t="s">
        <v>218</v>
      </c>
      <c r="B32" s="111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1" t="s">
        <v>219</v>
      </c>
      <c r="B33" s="111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1" t="s">
        <v>220</v>
      </c>
      <c r="B34" s="111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1" t="s">
        <v>221</v>
      </c>
      <c r="B35" s="111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1" t="s">
        <v>222</v>
      </c>
      <c r="B36" s="111">
        <v>0</v>
      </c>
      <c r="C36"/>
      <c r="D36"/>
    </row>
    <row r="37" spans="1:38" ht="15" customHeight="1" x14ac:dyDescent="0.15">
      <c r="A37" s="201" t="s">
        <v>223</v>
      </c>
      <c r="B37" s="111">
        <v>0</v>
      </c>
      <c r="C37"/>
      <c r="D37"/>
    </row>
    <row r="38" spans="1:38" ht="15" customHeight="1" x14ac:dyDescent="0.15">
      <c r="A38" s="201" t="s">
        <v>224</v>
      </c>
      <c r="B38" s="111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1" t="s">
        <v>225</v>
      </c>
      <c r="B39" s="111">
        <v>0</v>
      </c>
      <c r="C39"/>
      <c r="D39"/>
    </row>
    <row r="40" spans="1:38" ht="15" customHeight="1" x14ac:dyDescent="0.15">
      <c r="A40" s="201" t="s">
        <v>226</v>
      </c>
      <c r="B40" s="111">
        <v>0</v>
      </c>
      <c r="C40"/>
      <c r="D40"/>
    </row>
    <row r="41" spans="1:38" ht="15" customHeight="1" x14ac:dyDescent="0.15">
      <c r="A41" s="201" t="s">
        <v>227</v>
      </c>
      <c r="B41" s="111">
        <v>0</v>
      </c>
      <c r="C41"/>
      <c r="D41"/>
    </row>
    <row r="42" spans="1:38" ht="15" customHeight="1" x14ac:dyDescent="0.15">
      <c r="A42" s="201" t="s">
        <v>228</v>
      </c>
      <c r="B42" s="111">
        <v>0</v>
      </c>
    </row>
    <row r="43" spans="1:38" ht="15" customHeight="1" x14ac:dyDescent="0.15">
      <c r="A43" s="201" t="s">
        <v>229</v>
      </c>
      <c r="B43" s="111">
        <v>0</v>
      </c>
    </row>
    <row r="44" spans="1:38" ht="15" customHeight="1" x14ac:dyDescent="0.15">
      <c r="A44" s="201" t="s">
        <v>230</v>
      </c>
      <c r="B44" s="111">
        <v>0</v>
      </c>
    </row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2022-10-23T22:13:26Z</dcterms:modified>
</cp:coreProperties>
</file>