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2DD216E6-7EBA-754D-975F-A24EA9D7EEA1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Main!$C$2:$N$27</definedName>
    <definedName name="matDetritus">Detritus!$C$2:$E$27</definedName>
    <definedName name="matDiet">Diets!$B$2:$X$27</definedName>
    <definedName name="matDiscards">Discards!$C$2:$C$26</definedName>
    <definedName name="matFishery">Fishing!$C$2:$C$26</definedName>
    <definedName name="matFishing">Fishing!#REF!</definedName>
    <definedName name="matMort">Mortalities!$A$1:$AC$26</definedName>
    <definedName name="matOut">MainOutputs!$A$2:$I$27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<sst xmlns="http://schemas.openxmlformats.org/spreadsheetml/2006/main" count="830" uniqueCount="223">
  <si>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</si>
  <si>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</si>
  <si>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</si>
  <si>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</si>
  <si>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</si>
  <si>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</si>
  <si>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</si>
  <si>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</si>
  <si>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</si>
  <si>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</si>
  <si>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</si>
  <si>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</si>
  <si>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</si>
  <si>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</si>
  <si>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</si>
  <si>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</si>
  <si>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</si>
  <si>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</si>
  <si>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</si>
  <si>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</si>
  <si>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</si>
  <si>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</si>
  <si>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</si>
  <si>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</si>
  <si>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</si>
  <si>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</si>
  <si>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</si>
  <si>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</si>
  <si>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</si>
  <si>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</si>
  <si>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</si>
  <si>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</si>
  <si>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</si>
  <si>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</si>
  <si>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</si>
  <si>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</si>
  <si>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</si>
  <si>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</si>
  <si>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</si>
  <si>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</si>
  <si>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</si>
  <si>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</si>
  <si>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</si>
  <si>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</si>
  <si>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</si>
  <si>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</si>
  <si>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</si>
  <si>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</si>
  <si>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</si>
  <si>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</si>
  <si>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</si>
  <si>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</si>
  <si>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</si>
  <si>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</si>
  <si>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</si>
  <si>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</si>
  <si>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</si>
  <si>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</si>
  <si>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</si>
  <si>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</si>
  <si>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</si>
  <si>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</si>
  <si>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</si>
  <si>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</si>
  <si>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</si>
  <si>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</si>
  <si>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</si>
  <si>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</si>
  <si>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</si>
  <si>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</si>
  <si>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</si>
  <si>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</si>
  <si>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</si>
  <si>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</si>
  <si>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</si>
  <si>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</si>
  <si>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</si>
  <si>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</si>
  <si>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</si>
  <si>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</si>
  <si>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</si>
  <si>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</si>
  <si>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</si>
  <si>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</si>
  <si>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</si>
  <si>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</si>
  <si>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</si>
  <si>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</si>
  <si>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</si>
  <si>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</si>
  <si>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</si>
  <si>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</si>
  <si>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</si>
  <si>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</si>
  <si>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</si>
  <si>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</si>
  <si>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</si>
  <si>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</si>
  <si>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</si>
  <si>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</si>
  <si>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</si>
  <si>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</si>
  <si>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</si>
  <si>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</si>
  <si>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</si>
  <si>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</si>
  <si>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</si>
  <si>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</si>
  <si>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</si>
  <si>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</si>
  <si>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</si>
  <si>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</si>
  <si>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</si>
  <si>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</si>
  <si>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</si>
  <si>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</si>
  <si>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</si>
  <si>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</si>
  <si>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</si>
  <si>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</si>
  <si>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</si>
  <si>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</si>
  <si>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</si>
  <si>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</si>
  <si>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</si>
  <si>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</si>
  <si>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</si>
  <si>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</si>
  <si>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</si>
  <si>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</si>
  <si>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</si>
  <si>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</si>
  <si>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</si>
  <si>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</si>
  <si>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</si>
  <si>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</si>
  <si>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</si>
  <si>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</si>
  <si>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</si>
  <si>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</si>
  <si>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</si>
  <si>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</si>
  <si>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</si>
  <si>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</si>
  <si>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</si>
  <si>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</si>
  <si>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</si>
  <si>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</si>
  <si>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</si>
  <si>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</si>
  <si>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</si>
  <si>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</si>
  <si>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</si>
  <si>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</si>
  <si>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</si>
  <si>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</si>
  <si>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</si>
  <si>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</si>
  <si>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</si>
  <si>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</si>
  <si>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</si>
  <si>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</si>
  <si>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</si>
  <si>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</si>
  <si>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</si>
  <si>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</si>
  <si>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</si>
  <si>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</si>
  <si>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</si>
  <si>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</si>
  <si>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</si>
  <si>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</si>
  <si>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</si>
  <si>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</si>
  <si>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</si>
  <si>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</si>
  <si>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</si>
  <si>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</si>
  <si>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</si>
  <si>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</si>
  <si>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</si>
  <si>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</si>
  <si>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</si>
  <si>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</si>
  <si>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</si>
  <si>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South western Gulf of Mexico</t>
  </si>
  <si>
    <t>Mexico</t>
  </si>
  <si>
    <t>BOX(-97.9003590247762 18.0157518903471,-94.0085386383456 22.6687823248124)</t>
  </si>
  <si>
    <t>continental shelf</t>
  </si>
  <si>
    <t>WetWeight</t>
  </si>
  <si>
    <t>; 01/07/2006 04:27:22 p.m.; 01/07/2006 05:45:10 p.m.; 20/07/2006 10:22:49 p.m.</t>
  </si>
  <si>
    <t>Arreguın-Sánchez F.,Valero-Pacheco E.,Chavez E.A.(1993). A trophic box model of the coastal fish communities of the southwestern Gulf of Mexico . pp 197-205. In Christensen V.,Pauly D.,Christensen V.,Pauly D.,Christensen V.,Pauly D.</t>
  </si>
  <si>
    <t>Herrings</t>
  </si>
  <si>
    <t>Anchovies</t>
  </si>
  <si>
    <t>Lizard fish</t>
  </si>
  <si>
    <t>Span. mackerel</t>
  </si>
  <si>
    <t>King mackerel</t>
  </si>
  <si>
    <t>Jacks</t>
  </si>
  <si>
    <t>Mojarra</t>
  </si>
  <si>
    <t>Seatrout</t>
  </si>
  <si>
    <t>Grunts</t>
  </si>
  <si>
    <t>Sharks</t>
  </si>
  <si>
    <t>Red grouper</t>
  </si>
  <si>
    <t>Red snapper</t>
  </si>
  <si>
    <t>Catfish</t>
  </si>
  <si>
    <t>Flounder</t>
  </si>
  <si>
    <t>Shrimps</t>
  </si>
  <si>
    <t>Crabs</t>
  </si>
  <si>
    <t>Molluscs</t>
  </si>
  <si>
    <t>Microcrustacean</t>
  </si>
  <si>
    <t>Other fishes</t>
  </si>
  <si>
    <t>Annelids</t>
  </si>
  <si>
    <t>Zooplankton</t>
  </si>
  <si>
    <t>Phytoplankton</t>
  </si>
  <si>
    <t>Benthic prod.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</si>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</sst>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1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FF1F00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FF2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FF5000"/>
        <bgColor indexed="64"/>
      </patternFill>
    </fill>
    <fill>
      <patternFill patternType="solid">
        <fgColor rgb="FFFFA4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FF78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EF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FFB3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3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1" borderId="2" xfId="0" applyFont="1" applyFill="1" applyBorder="1" applyAlignment="1">
      <alignment horizontal="center"/>
    </xf>
    <xf numFmtId="0" fontId="1" fillId="21" borderId="4" xfId="0" applyFont="1" applyFill="1" applyBorder="1" applyAlignment="1">
      <alignment horizontal="center"/>
    </xf>
    <xf numFmtId="0" fontId="1" fillId="21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0" fillId="21" borderId="8" xfId="0" applyFill="1" applyBorder="1"/>
    <xf numFmtId="0" fontId="0" fillId="21" borderId="9" xfId="0" applyFill="1" applyBorder="1"/>
    <xf numFmtId="0" fontId="0" fillId="21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1" fillId="0" borderId="0" xfId="0" applyFont="1" applyAlignment="1">
      <alignment horizontal="center"/>
    </xf>
    <xf numFmtId="0" fontId="0" fillId="30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1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1" borderId="3" xfId="0" applyNumberFormat="1" applyFont="1" applyFill="1" applyBorder="1"/>
    <xf numFmtId="0" fontId="0" fillId="31" borderId="2" xfId="0" applyFont="1" applyFill="1" applyBorder="1"/>
    <xf numFmtId="0" fontId="0" fillId="31" borderId="3" xfId="0" applyFont="1" applyFill="1" applyBorder="1"/>
    <xf numFmtId="0" fontId="0" fillId="31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3" borderId="0" xfId="0" applyFill="1"/>
    <xf numFmtId="0" fontId="0" fillId="34" borderId="0" xfId="0" applyFill="1"/>
    <xf numFmtId="0" fontId="0" fillId="0" borderId="0" xfId="0" applyBorder="1"/>
    <xf numFmtId="0" fontId="0" fillId="35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1" borderId="2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1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6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98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8" t="s">
        <v>164</v>
      </c>
    </row>
    <row r="6" spans="2:4" ht="14" thickBot="1" x14ac:dyDescent="0.2">
      <c r="B6" s="42" t="s">
        <v>141</v>
      </c>
    </row>
    <row r="7" spans="2:4" x14ac:dyDescent="0.15">
      <c r="B7" s="58" t="s">
        <v>143</v>
      </c>
    </row>
    <row r="8" spans="2:4" x14ac:dyDescent="0.15">
      <c r="B8" s="58" t="s">
        <v>142</v>
      </c>
    </row>
    <row r="9" spans="2:4" x14ac:dyDescent="0.15">
      <c r="B9" s="58" t="s">
        <v>144</v>
      </c>
    </row>
    <row r="10" spans="2:4" x14ac:dyDescent="0.15">
      <c r="B10" s="58" t="s">
        <v>147</v>
      </c>
    </row>
    <row r="11" spans="2:4" x14ac:dyDescent="0.15">
      <c r="B11" s="58" t="s">
        <v>151</v>
      </c>
    </row>
    <row r="12" spans="2:4" x14ac:dyDescent="0.15">
      <c r="B12" s="58" t="s">
        <v>153</v>
      </c>
    </row>
    <row r="13" spans="2:4" x14ac:dyDescent="0.15">
      <c r="B13" s="58" t="s">
        <v>165</v>
      </c>
    </row>
    <row r="15" spans="2:4" ht="14" thickBot="1" x14ac:dyDescent="0.2"/>
    <row r="16" spans="2:4" ht="14" thickBot="1" x14ac:dyDescent="0.2">
      <c r="B16" s="43" t="s">
        <v>137</v>
      </c>
      <c r="C16" s="44"/>
      <c r="D16" s="26">
        <v>41373</v>
      </c>
    </row>
    <row r="17" spans="2:4" x14ac:dyDescent="0.15">
      <c r="B17" s="45" t="s">
        <v>58</v>
      </c>
      <c r="C17" s="29">
        <v>0</v>
      </c>
    </row>
    <row r="18" spans="2:4" x14ac:dyDescent="0.15">
      <c r="B18" s="45" t="s">
        <v>59</v>
      </c>
      <c r="C18" s="29">
        <v>1</v>
      </c>
    </row>
    <row r="19" spans="2:4" x14ac:dyDescent="0.15">
      <c r="B19" s="45" t="s">
        <v>60</v>
      </c>
      <c r="C19" s="29">
        <v>2</v>
      </c>
    </row>
    <row r="20" spans="2:4" ht="14" thickBot="1" x14ac:dyDescent="0.2">
      <c r="B20" s="46" t="s">
        <v>44</v>
      </c>
      <c r="C20" s="30">
        <v>3</v>
      </c>
    </row>
    <row r="21" spans="2:4" x14ac:dyDescent="0.15">
      <c r="B21" s="47" t="s">
        <v>140</v>
      </c>
    </row>
    <row r="22" spans="2:4" ht="14" thickBot="1" x14ac:dyDescent="0.2"/>
    <row r="23" spans="2:4" ht="14" thickBot="1" x14ac:dyDescent="0.2">
      <c r="B23" s="43" t="s">
        <v>65</v>
      </c>
      <c r="C23" s="44"/>
      <c r="D23" s="26" t="s">
        <v>148</v>
      </c>
    </row>
    <row r="24" spans="2:4" x14ac:dyDescent="0.15">
      <c r="B24" s="49" t="s">
        <v>38</v>
      </c>
      <c r="C24" s="27">
        <v>1</v>
      </c>
    </row>
    <row r="25" spans="2:4" x14ac:dyDescent="0.15">
      <c r="B25" s="45" t="s">
        <v>40</v>
      </c>
      <c r="C25" s="29">
        <v>1.1000000000000001</v>
      </c>
    </row>
    <row r="26" spans="2:4" x14ac:dyDescent="0.15">
      <c r="B26" s="45" t="s">
        <v>41</v>
      </c>
      <c r="C26" s="29">
        <v>1.2</v>
      </c>
    </row>
    <row r="27" spans="2:4" x14ac:dyDescent="0.15">
      <c r="B27" s="45"/>
      <c r="C27" s="29"/>
    </row>
    <row r="28" spans="2:4" x14ac:dyDescent="0.15">
      <c r="B28" s="45" t="s">
        <v>42</v>
      </c>
      <c r="C28" s="29">
        <v>2.1</v>
      </c>
    </row>
    <row r="29" spans="2:4" x14ac:dyDescent="0.15">
      <c r="B29" s="45" t="s">
        <v>43</v>
      </c>
      <c r="C29" s="29">
        <v>2.2000000000000002</v>
      </c>
    </row>
    <row r="30" spans="2:4" x14ac:dyDescent="0.15">
      <c r="B30" s="45" t="s">
        <v>67</v>
      </c>
      <c r="C30" s="29">
        <v>2.2999999999999998</v>
      </c>
    </row>
    <row r="31" spans="2:4" x14ac:dyDescent="0.15">
      <c r="B31" s="45"/>
      <c r="C31" s="29"/>
    </row>
    <row r="32" spans="2:4" x14ac:dyDescent="0.15">
      <c r="B32" s="45" t="s">
        <v>62</v>
      </c>
      <c r="C32" s="29">
        <v>3.11</v>
      </c>
    </row>
    <row r="33" spans="2:3" x14ac:dyDescent="0.15">
      <c r="B33" s="45" t="s">
        <v>61</v>
      </c>
      <c r="C33" s="29">
        <v>3.12</v>
      </c>
    </row>
    <row r="34" spans="2:3" x14ac:dyDescent="0.15">
      <c r="B34" s="45" t="s">
        <v>68</v>
      </c>
      <c r="C34" s="29">
        <v>3.13</v>
      </c>
    </row>
    <row r="35" spans="2:3" x14ac:dyDescent="0.15">
      <c r="B35" s="45"/>
      <c r="C35" s="29"/>
    </row>
    <row r="36" spans="2:3" x14ac:dyDescent="0.15">
      <c r="B36" s="45" t="s">
        <v>66</v>
      </c>
      <c r="C36" s="29">
        <v>3.21</v>
      </c>
    </row>
    <row r="37" spans="2:3" x14ac:dyDescent="0.15">
      <c r="B37" s="45" t="s">
        <v>63</v>
      </c>
      <c r="C37" s="29">
        <v>3.22</v>
      </c>
    </row>
    <row r="38" spans="2:3" x14ac:dyDescent="0.15">
      <c r="B38" s="45" t="s">
        <v>69</v>
      </c>
      <c r="C38" s="29">
        <v>3.23</v>
      </c>
    </row>
    <row r="39" spans="2:3" x14ac:dyDescent="0.15">
      <c r="B39" s="45"/>
      <c r="C39" s="29"/>
    </row>
    <row r="40" spans="2:3" x14ac:dyDescent="0.15">
      <c r="B40" s="45" t="s">
        <v>64</v>
      </c>
      <c r="C40" s="29">
        <v>8</v>
      </c>
    </row>
    <row r="41" spans="2:3" x14ac:dyDescent="0.15">
      <c r="B41" s="45"/>
      <c r="C41" s="29"/>
    </row>
    <row r="42" spans="2:3" x14ac:dyDescent="0.15">
      <c r="B42" s="45" t="s">
        <v>71</v>
      </c>
      <c r="C42" s="29">
        <v>4.0999999999999996</v>
      </c>
    </row>
    <row r="43" spans="2:3" x14ac:dyDescent="0.15">
      <c r="B43" s="45" t="s">
        <v>70</v>
      </c>
      <c r="C43" s="29">
        <v>4.2</v>
      </c>
    </row>
    <row r="44" spans="2:3" x14ac:dyDescent="0.15">
      <c r="B44" s="45" t="s">
        <v>72</v>
      </c>
      <c r="C44" s="29">
        <v>4.3</v>
      </c>
    </row>
    <row r="45" spans="2:3" x14ac:dyDescent="0.15">
      <c r="B45" s="28"/>
      <c r="C45" s="29"/>
    </row>
    <row r="46" spans="2:3" x14ac:dyDescent="0.15">
      <c r="B46" s="45" t="s">
        <v>138</v>
      </c>
      <c r="C46" s="29">
        <v>6.1</v>
      </c>
    </row>
    <row r="47" spans="2:3" x14ac:dyDescent="0.15">
      <c r="B47" s="45" t="s">
        <v>45</v>
      </c>
      <c r="C47" s="29">
        <v>6.2</v>
      </c>
    </row>
    <row r="48" spans="2:3" x14ac:dyDescent="0.15">
      <c r="B48" s="45"/>
      <c r="C48" s="29"/>
    </row>
    <row r="49" spans="2:4" x14ac:dyDescent="0.15">
      <c r="B49" s="45" t="s">
        <v>44</v>
      </c>
      <c r="C49" s="29">
        <v>5</v>
      </c>
    </row>
    <row r="50" spans="2:4" x14ac:dyDescent="0.15">
      <c r="B50" s="45"/>
      <c r="C50" s="29"/>
    </row>
    <row r="51" spans="2:4" ht="14" thickBot="1" x14ac:dyDescent="0.2">
      <c r="B51" s="46" t="s">
        <v>73</v>
      </c>
      <c r="C51" s="30">
        <v>7</v>
      </c>
    </row>
    <row r="53" spans="2:4" x14ac:dyDescent="0.15">
      <c r="B53" s="160" t="s">
        <v>171</v>
      </c>
      <c r="C53" s="99">
        <v>687</v>
      </c>
      <c r="D53" s="99"/>
    </row>
    <row r="54" spans="2:4" x14ac:dyDescent="0.15">
      <c r="B54" s="160" t="s">
        <v>172</v>
      </c>
      <c r="C54" s="160" t="s">
        <v>185</v>
      </c>
      <c r="D54" s="99"/>
    </row>
    <row r="55" spans="2:4" x14ac:dyDescent="0.15">
      <c r="B55" s="160" t="s">
        <v>173</v>
      </c>
      <c r="C55" s="160" t="s">
        <v>186</v>
      </c>
      <c r="D55" s="99"/>
    </row>
    <row r="56" spans="2:4" x14ac:dyDescent="0.15">
      <c r="B56" s="160" t="s">
        <v>174</v>
      </c>
      <c r="C56" s="99">
        <v>1</v>
      </c>
      <c r="D56" s="99"/>
    </row>
    <row r="57" spans="2:4" x14ac:dyDescent="0.15">
      <c r="B57" s="160" t="s">
        <v>175</v>
      </c>
      <c r="C57" s="160" t="s">
        <v>187</v>
      </c>
      <c r="D57" s="99"/>
    </row>
    <row r="58" spans="2:4" x14ac:dyDescent="0.15">
      <c r="B58" s="160" t="s">
        <v>176</v>
      </c>
      <c r="C58" s="160" t="s">
        <v>188</v>
      </c>
      <c r="D58" s="99"/>
    </row>
    <row r="59" spans="2:4" x14ac:dyDescent="0.15">
      <c r="B59" s="160" t="s">
        <v>177</v>
      </c>
      <c r="C59" s="160" t="s">
        <v>189</v>
      </c>
      <c r="D59" s="99"/>
    </row>
    <row r="60" spans="2:4" x14ac:dyDescent="0.15">
      <c r="B60" s="160" t="s">
        <v>178</v>
      </c>
      <c r="C60" s="160" t="s">
        <v>190</v>
      </c>
      <c r="D60" s="99"/>
    </row>
    <row r="61" spans="2:4" x14ac:dyDescent="0.15">
      <c r="B61" s="160" t="s">
        <v>179</v>
      </c>
      <c r="C61" s="99">
        <v>24</v>
      </c>
      <c r="D61" s="99"/>
    </row>
    <row r="62" spans="2:4" x14ac:dyDescent="0.15">
      <c r="B62" s="160" t="s">
        <v>180</v>
      </c>
      <c r="C62" s="99">
        <v>1</v>
      </c>
      <c r="D62" s="99"/>
    </row>
    <row r="63" spans="2:4" x14ac:dyDescent="0.15">
      <c r="B63" s="160" t="s">
        <v>181</v>
      </c>
      <c r="C63" s="99">
        <v>1970</v>
      </c>
      <c r="D63" s="99"/>
    </row>
    <row r="64" spans="2:4" x14ac:dyDescent="0.15">
      <c r="B64" s="160" t="s">
        <v>182</v>
      </c>
      <c r="C64" s="99">
        <v>10</v>
      </c>
      <c r="D64" s="99"/>
    </row>
    <row r="65" spans="2:4" x14ac:dyDescent="0.15">
      <c r="B65" s="160" t="s">
        <v>183</v>
      </c>
      <c r="C65" s="160" t="s">
        <v>191</v>
      </c>
      <c r="D65" s="99"/>
    </row>
    <row r="66" spans="2:4" x14ac:dyDescent="0.15">
      <c r="B66" s="160" t="s">
        <v>184</v>
      </c>
      <c r="D66" s="99"/>
    </row>
    <row r="67" spans="2:4" x14ac:dyDescent="0.15">
      <c r="B67" s="99"/>
      <c r="C67" s="99"/>
      <c r="D67" s="99"/>
    </row>
    <row r="68" spans="2:4" x14ac:dyDescent="0.15">
      <c r="B68" s="99"/>
      <c r="C68" s="99"/>
      <c r="D68" s="99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73" customWidth="1"/>
    <col min="2" max="3" width="3.33203125" style="73" customWidth="1"/>
    <col min="4" max="4" width="14.33203125" style="73" customWidth="1"/>
    <col min="5" max="5" width="21.6640625" style="73" bestFit="1" customWidth="1"/>
    <col min="6" max="6" width="2.33203125" style="73" bestFit="1" customWidth="1"/>
    <col min="7" max="7" width="12.83203125" style="73" bestFit="1" customWidth="1"/>
    <col min="8" max="9" width="10.83203125" style="73" customWidth="1"/>
    <col min="10" max="10" width="11.83203125" style="73" customWidth="1"/>
    <col min="11" max="11" width="12.83203125" style="73" customWidth="1"/>
    <col min="12" max="12" width="2.33203125" style="73" customWidth="1"/>
    <col min="13" max="13" width="3.83203125" style="73" customWidth="1"/>
    <col min="14" max="14" width="7.83203125" style="73" customWidth="1"/>
    <col min="16" max="25" width="8.83203125" style="7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3"/>
  </cols>
  <sheetData>
    <row r="1" spans="1:46" s="90" customFormat="1" ht="15" customHeight="1" x14ac:dyDescent="0.15">
      <c r="A1" s="69" t="s">
        <v>18</v>
      </c>
      <c r="C1" s="70" t="s">
        <v>8</v>
      </c>
      <c r="D1" s="69" t="s">
        <v>23</v>
      </c>
      <c r="E1" s="69" t="s">
        <v>0</v>
      </c>
      <c r="F1" s="69" t="s">
        <v>7</v>
      </c>
      <c r="G1" s="71" t="s">
        <v>13</v>
      </c>
      <c r="H1" s="69" t="s">
        <v>1</v>
      </c>
      <c r="I1" s="69" t="s">
        <v>2</v>
      </c>
      <c r="J1" s="69" t="s">
        <v>14</v>
      </c>
      <c r="K1" s="69" t="s">
        <v>3</v>
      </c>
      <c r="L1" s="69" t="s">
        <v>4</v>
      </c>
      <c r="M1" s="69" t="s">
        <v>5</v>
      </c>
      <c r="N1" s="6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0">
        <v>1</v>
      </c>
      <c r="D2"/>
      <c r="E2" s="161" t="s">
        <v>192</v>
      </c>
      <c r="F2" s="73">
        <v>0</v>
      </c>
      <c r="G2" s="73">
        <v>2.0107149999999998</v>
      </c>
      <c r="H2" s="73">
        <v>2.34</v>
      </c>
      <c r="I2" s="6">
        <v>11.7</v>
      </c>
      <c r="J2" s="6">
        <v>0.95</v>
      </c>
      <c r="K2" s="6">
        <v>0.2</v>
      </c>
      <c r="L2" s="6">
        <v>0</v>
      </c>
      <c r="M2" s="73">
        <v>0.2</v>
      </c>
      <c r="N2" s="73">
        <v>0</v>
      </c>
    </row>
    <row r="3" spans="1:46" ht="15" customHeight="1" x14ac:dyDescent="0.15">
      <c r="A3" s="1" t="s">
        <v>9</v>
      </c>
      <c r="B3" s="4">
        <v>23</v>
      </c>
      <c r="C3" s="73">
        <v>2</v>
      </c>
      <c r="D3"/>
      <c r="E3" s="161" t="s">
        <v>193</v>
      </c>
      <c r="F3" s="73">
        <v>0</v>
      </c>
      <c r="G3" s="73">
        <v>0.74740493299999999</v>
      </c>
      <c r="H3" s="73">
        <v>3.9400002999999999</v>
      </c>
      <c r="I3" s="73">
        <v>19.7</v>
      </c>
      <c r="J3" s="73">
        <v>0.95</v>
      </c>
      <c r="K3" s="73">
        <v>0.2</v>
      </c>
      <c r="L3" s="73">
        <v>0</v>
      </c>
      <c r="M3" s="73">
        <v>0.2</v>
      </c>
      <c r="N3" s="73">
        <v>0</v>
      </c>
    </row>
    <row r="4" spans="1:46" ht="15" customHeight="1" x14ac:dyDescent="0.15">
      <c r="A4" s="1" t="s">
        <v>10</v>
      </c>
      <c r="B4" s="4">
        <v>2</v>
      </c>
      <c r="C4" s="73">
        <v>3</v>
      </c>
      <c r="D4"/>
      <c r="E4" s="161" t="s">
        <v>194</v>
      </c>
      <c r="F4" s="73">
        <v>0</v>
      </c>
      <c r="G4" s="73">
        <v>6.0845309999999998E-3</v>
      </c>
      <c r="H4" s="73">
        <v>0.3</v>
      </c>
      <c r="I4" s="73">
        <v>8.3000000000000007</v>
      </c>
      <c r="J4" s="73">
        <v>0.95</v>
      </c>
      <c r="K4" s="73">
        <v>3.6144580000000003E-2</v>
      </c>
      <c r="L4" s="73">
        <v>0</v>
      </c>
      <c r="M4" s="73">
        <v>0.2</v>
      </c>
      <c r="N4" s="7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3">
        <v>4</v>
      </c>
      <c r="D5"/>
      <c r="E5" s="161" t="s">
        <v>195</v>
      </c>
      <c r="F5" s="73">
        <v>0</v>
      </c>
      <c r="G5" s="73">
        <v>0.67306375500000004</v>
      </c>
      <c r="H5" s="73">
        <v>1.1000000000000001</v>
      </c>
      <c r="I5" s="73">
        <v>10.199999999999999</v>
      </c>
      <c r="J5" s="73">
        <v>0.95</v>
      </c>
      <c r="K5" s="73">
        <v>0.10784313800000001</v>
      </c>
      <c r="L5" s="73">
        <v>0</v>
      </c>
      <c r="M5" s="73">
        <v>0.2</v>
      </c>
      <c r="N5" s="73">
        <v>0</v>
      </c>
      <c r="P5" s="65"/>
      <c r="Q5" s="65"/>
      <c r="R5" s="65"/>
    </row>
    <row r="6" spans="1:46" ht="15" customHeight="1" thickBot="1" x14ac:dyDescent="0.2">
      <c r="B6" s="1"/>
      <c r="C6" s="73">
        <v>5</v>
      </c>
      <c r="D6"/>
      <c r="E6" s="161" t="s">
        <v>196</v>
      </c>
      <c r="F6" s="73">
        <v>0</v>
      </c>
      <c r="G6" s="73">
        <v>0.55081020000000003</v>
      </c>
      <c r="H6" s="73">
        <v>0.5</v>
      </c>
      <c r="I6" s="73">
        <v>8.9</v>
      </c>
      <c r="J6" s="73">
        <v>0.95</v>
      </c>
      <c r="K6" s="73">
        <v>5.6179776799999998E-2</v>
      </c>
      <c r="L6" s="73">
        <v>0</v>
      </c>
      <c r="M6" s="73">
        <v>0.2</v>
      </c>
      <c r="N6" s="73">
        <v>0</v>
      </c>
      <c r="P6" s="65"/>
      <c r="Q6" s="65"/>
      <c r="R6" s="65"/>
      <c r="W6" s="32" t="s">
        <v>31</v>
      </c>
      <c r="X6" s="48">
        <f>MAX(MainOutputs!G:G)</f>
        <v>0.99985790252685547</v>
      </c>
    </row>
    <row r="7" spans="1:46" ht="15" customHeight="1" x14ac:dyDescent="0.15">
      <c r="A7" s="2" t="s">
        <v>27</v>
      </c>
      <c r="B7" s="73">
        <f ca="1">COUNTIF(OFFSET(cornerDiets,1,1,NumLiving+NumDead+1,NumLiving+NumDead),"&gt;0")+NumLiving+NumDead+1</f>
        <v>155</v>
      </c>
      <c r="C7" s="73">
        <v>6</v>
      </c>
      <c r="D7"/>
      <c r="E7" s="161" t="s">
        <v>197</v>
      </c>
      <c r="F7" s="73">
        <v>0</v>
      </c>
      <c r="G7" s="73">
        <v>0.17340913399999999</v>
      </c>
      <c r="H7" s="73">
        <v>0.7</v>
      </c>
      <c r="I7" s="73">
        <v>10</v>
      </c>
      <c r="J7" s="73">
        <v>0.95</v>
      </c>
      <c r="K7" s="73">
        <v>7.0000000000000007E-2</v>
      </c>
      <c r="L7" s="73">
        <v>0</v>
      </c>
      <c r="M7" s="73">
        <v>0.2</v>
      </c>
      <c r="N7" s="73">
        <v>0</v>
      </c>
      <c r="P7" s="65"/>
      <c r="Q7" s="65"/>
      <c r="R7" s="65"/>
    </row>
    <row r="8" spans="1:46" ht="15" customHeight="1" x14ac:dyDescent="0.15">
      <c r="A8" s="2" t="s">
        <v>28</v>
      </c>
      <c r="B8" s="73">
        <f ca="1">COUNTIF(OFFSET(cornerFishing,1,2,NumLiving+NumDead,NumGears),"&gt;0")+NumDead*COUNTIF(OFFSET(cornerDiscards,1,2,NumLiving+NumDead,NumGears),"&gt;0")+NumLiving+NumDead+1</f>
        <v>42</v>
      </c>
      <c r="C8" s="73">
        <v>7</v>
      </c>
      <c r="D8"/>
      <c r="E8" s="161" t="s">
        <v>198</v>
      </c>
      <c r="F8" s="73">
        <v>0</v>
      </c>
      <c r="G8" s="73">
        <v>1.63196027</v>
      </c>
      <c r="H8" s="73">
        <v>1.38</v>
      </c>
      <c r="I8" s="73">
        <v>15.3</v>
      </c>
      <c r="J8" s="73">
        <v>0.95</v>
      </c>
      <c r="K8" s="73">
        <v>9.0196079999999998E-2</v>
      </c>
      <c r="L8" s="73">
        <v>0</v>
      </c>
      <c r="M8" s="73">
        <v>0.2</v>
      </c>
      <c r="N8" s="73">
        <v>0</v>
      </c>
      <c r="P8" s="65"/>
      <c r="Q8" s="65"/>
      <c r="R8" s="65"/>
    </row>
    <row r="9" spans="1:46" ht="15" customHeight="1" x14ac:dyDescent="0.15">
      <c r="B9" s="1"/>
      <c r="C9" s="73">
        <v>8</v>
      </c>
      <c r="D9"/>
      <c r="E9" s="161" t="s">
        <v>199</v>
      </c>
      <c r="F9" s="73">
        <v>0</v>
      </c>
      <c r="G9" s="73">
        <v>5.827885E-2</v>
      </c>
      <c r="H9" s="73">
        <v>0.48</v>
      </c>
      <c r="I9" s="73">
        <v>6.8</v>
      </c>
      <c r="J9" s="73">
        <v>0.95</v>
      </c>
      <c r="K9" s="73">
        <v>7.0588230000000002E-2</v>
      </c>
      <c r="L9" s="73">
        <v>0</v>
      </c>
      <c r="M9" s="73">
        <v>0.2</v>
      </c>
      <c r="N9" s="73">
        <v>0</v>
      </c>
      <c r="P9" s="65"/>
      <c r="Q9" s="65"/>
      <c r="R9" s="65"/>
    </row>
    <row r="10" spans="1:46" ht="15" customHeight="1" x14ac:dyDescent="0.15">
      <c r="B10" s="1"/>
      <c r="C10" s="73">
        <v>9</v>
      </c>
      <c r="D10"/>
      <c r="E10" s="161" t="s">
        <v>200</v>
      </c>
      <c r="F10" s="73">
        <v>0</v>
      </c>
      <c r="G10" s="73">
        <v>2.6958760000000002</v>
      </c>
      <c r="H10" s="73">
        <v>0.36</v>
      </c>
      <c r="I10" s="73">
        <v>8.6</v>
      </c>
      <c r="J10" s="73">
        <v>0.95</v>
      </c>
      <c r="K10" s="73">
        <v>4.1860464999999999E-2</v>
      </c>
      <c r="L10" s="73">
        <v>0</v>
      </c>
      <c r="M10" s="73">
        <v>0.2</v>
      </c>
      <c r="N10" s="73">
        <v>0</v>
      </c>
    </row>
    <row r="11" spans="1:46" ht="15" customHeight="1" x14ac:dyDescent="0.15">
      <c r="C11" s="73">
        <v>10</v>
      </c>
      <c r="D11"/>
      <c r="E11" s="161" t="s">
        <v>201</v>
      </c>
      <c r="F11" s="73">
        <v>0</v>
      </c>
      <c r="G11" s="73">
        <v>0.16900000000000001</v>
      </c>
      <c r="H11" s="73">
        <v>0.60199999999999998</v>
      </c>
      <c r="I11" s="73">
        <v>7.8</v>
      </c>
      <c r="J11" s="73">
        <v>0.949497759</v>
      </c>
      <c r="K11" s="73">
        <v>7.7179484100000001E-2</v>
      </c>
      <c r="L11" s="73">
        <v>0</v>
      </c>
      <c r="M11" s="73">
        <v>0.2</v>
      </c>
      <c r="N11" s="73">
        <v>0</v>
      </c>
    </row>
    <row r="12" spans="1:46" ht="15" customHeight="1" x14ac:dyDescent="0.15">
      <c r="C12" s="73">
        <v>11</v>
      </c>
      <c r="D12"/>
      <c r="E12" s="161" t="s">
        <v>202</v>
      </c>
      <c r="F12" s="73">
        <v>0</v>
      </c>
      <c r="G12" s="73">
        <v>9.3632290000000007E-2</v>
      </c>
      <c r="H12" s="73">
        <v>0.45</v>
      </c>
      <c r="I12" s="73">
        <v>4.5999999999999996</v>
      </c>
      <c r="J12" s="73">
        <v>0.95</v>
      </c>
      <c r="K12" s="73">
        <v>9.7826086000000007E-2</v>
      </c>
      <c r="L12" s="73">
        <v>0</v>
      </c>
      <c r="M12" s="73">
        <v>0.2</v>
      </c>
      <c r="N12" s="73">
        <v>0</v>
      </c>
    </row>
    <row r="13" spans="1:46" ht="15" customHeight="1" x14ac:dyDescent="0.15">
      <c r="C13" s="73">
        <v>12</v>
      </c>
      <c r="D13"/>
      <c r="E13" s="161" t="s">
        <v>203</v>
      </c>
      <c r="F13" s="73">
        <v>0</v>
      </c>
      <c r="G13" s="73">
        <v>0.90814430000000002</v>
      </c>
      <c r="H13" s="73">
        <v>0.36</v>
      </c>
      <c r="I13" s="73">
        <v>4.4000000000000004</v>
      </c>
      <c r="J13" s="73">
        <v>0.95</v>
      </c>
      <c r="K13" s="73">
        <v>8.1818185700000004E-2</v>
      </c>
      <c r="L13" s="73">
        <v>0</v>
      </c>
      <c r="M13" s="73">
        <v>0.2</v>
      </c>
      <c r="N13" s="73">
        <v>0</v>
      </c>
    </row>
    <row r="14" spans="1:46" ht="15" customHeight="1" x14ac:dyDescent="0.15">
      <c r="C14" s="73">
        <v>13</v>
      </c>
      <c r="D14"/>
      <c r="E14" s="161" t="s">
        <v>204</v>
      </c>
      <c r="F14" s="73">
        <v>0</v>
      </c>
      <c r="G14" s="73">
        <v>0.10400109</v>
      </c>
      <c r="H14" s="73">
        <v>0.45</v>
      </c>
      <c r="I14" s="73">
        <v>10</v>
      </c>
      <c r="J14" s="73">
        <v>0.95</v>
      </c>
      <c r="K14" s="73">
        <v>4.4999998100000001E-2</v>
      </c>
      <c r="L14" s="73">
        <v>0</v>
      </c>
      <c r="M14" s="73">
        <v>0.2</v>
      </c>
      <c r="N14" s="73">
        <v>0</v>
      </c>
    </row>
    <row r="15" spans="1:46" ht="15" customHeight="1" x14ac:dyDescent="0.15">
      <c r="C15" s="73">
        <v>14</v>
      </c>
      <c r="D15"/>
      <c r="E15" s="161" t="s">
        <v>205</v>
      </c>
      <c r="F15" s="73">
        <v>0</v>
      </c>
      <c r="G15" s="73">
        <v>3.0773531600000001E-2</v>
      </c>
      <c r="H15" s="73">
        <v>0.3</v>
      </c>
      <c r="I15" s="73">
        <v>9.1</v>
      </c>
      <c r="J15" s="73">
        <v>0.95</v>
      </c>
      <c r="K15" s="73">
        <v>3.2967034700000002E-2</v>
      </c>
      <c r="L15" s="73">
        <v>0</v>
      </c>
      <c r="M15" s="73">
        <v>0.2</v>
      </c>
      <c r="N15" s="73">
        <v>0</v>
      </c>
    </row>
    <row r="16" spans="1:46" ht="15" customHeight="1" x14ac:dyDescent="0.15">
      <c r="C16" s="73">
        <v>15</v>
      </c>
      <c r="D16"/>
      <c r="E16" s="161" t="s">
        <v>206</v>
      </c>
      <c r="F16" s="73">
        <v>0</v>
      </c>
      <c r="G16" s="73">
        <v>2.2880761600000001</v>
      </c>
      <c r="H16" s="73">
        <v>7.5730000000000004</v>
      </c>
      <c r="I16" s="73">
        <v>37.864997899999999</v>
      </c>
      <c r="J16" s="73">
        <v>0.95</v>
      </c>
      <c r="K16" s="73">
        <v>0.2</v>
      </c>
      <c r="L16" s="73">
        <v>0</v>
      </c>
      <c r="M16" s="73">
        <v>0.2</v>
      </c>
      <c r="N16" s="73">
        <v>0</v>
      </c>
    </row>
    <row r="17" spans="1:22" ht="15" customHeight="1" x14ac:dyDescent="0.15">
      <c r="C17" s="73">
        <v>16</v>
      </c>
      <c r="D17"/>
      <c r="E17" s="161" t="s">
        <v>207</v>
      </c>
      <c r="F17" s="73">
        <v>0</v>
      </c>
      <c r="G17" s="73">
        <v>1.10327172</v>
      </c>
      <c r="H17" s="73">
        <v>2.1179999999999999</v>
      </c>
      <c r="I17" s="73">
        <v>8.5</v>
      </c>
      <c r="J17" s="73">
        <v>0.95</v>
      </c>
      <c r="K17" s="73">
        <v>0.24917647200000001</v>
      </c>
      <c r="L17" s="73">
        <v>0</v>
      </c>
      <c r="M17" s="73">
        <v>0.2</v>
      </c>
      <c r="N17" s="73">
        <v>0</v>
      </c>
      <c r="V17" s="1" t="s">
        <v>30</v>
      </c>
    </row>
    <row r="18" spans="1:22" ht="15" customHeight="1" x14ac:dyDescent="0.15">
      <c r="C18" s="73">
        <v>17</v>
      </c>
      <c r="D18"/>
      <c r="E18" s="161" t="s">
        <v>208</v>
      </c>
      <c r="F18" s="73">
        <v>0</v>
      </c>
      <c r="G18" s="73">
        <v>5.3246539999999998</v>
      </c>
      <c r="H18" s="73">
        <v>1.8</v>
      </c>
      <c r="I18" s="73">
        <v>8.2949999999999999</v>
      </c>
      <c r="J18" s="73">
        <v>0.95</v>
      </c>
      <c r="K18" s="73">
        <v>0.21699819000000001</v>
      </c>
      <c r="L18" s="73">
        <v>0</v>
      </c>
      <c r="M18" s="73">
        <v>0.2</v>
      </c>
      <c r="N18" s="73">
        <v>0</v>
      </c>
      <c r="V18" s="1"/>
    </row>
    <row r="19" spans="1:22" ht="15" customHeight="1" x14ac:dyDescent="0.15">
      <c r="C19" s="73">
        <v>18</v>
      </c>
      <c r="D19"/>
      <c r="E19" s="161" t="s">
        <v>209</v>
      </c>
      <c r="F19" s="73">
        <v>0</v>
      </c>
      <c r="G19" s="73">
        <v>9.1282580000000006</v>
      </c>
      <c r="H19" s="73">
        <v>7.3760000000000003</v>
      </c>
      <c r="I19" s="73">
        <v>24.586666099999999</v>
      </c>
      <c r="J19" s="73">
        <v>0.95</v>
      </c>
      <c r="K19" s="73">
        <v>0.3</v>
      </c>
      <c r="L19" s="73">
        <v>0</v>
      </c>
      <c r="M19" s="73">
        <v>0.2</v>
      </c>
      <c r="N19" s="73">
        <v>0</v>
      </c>
    </row>
    <row r="20" spans="1:22" ht="15" customHeight="1" thickBot="1" x14ac:dyDescent="0.2">
      <c r="C20" s="73">
        <v>19</v>
      </c>
      <c r="D20"/>
      <c r="E20" s="161" t="s">
        <v>210</v>
      </c>
      <c r="F20" s="73">
        <v>0</v>
      </c>
      <c r="G20" s="73">
        <v>2.0493245099999999</v>
      </c>
      <c r="H20" s="73">
        <v>2.52000022</v>
      </c>
      <c r="I20" s="73">
        <v>12.6</v>
      </c>
      <c r="J20" s="73">
        <v>0.95</v>
      </c>
      <c r="K20" s="73">
        <v>0.2</v>
      </c>
      <c r="L20" s="73">
        <v>0</v>
      </c>
      <c r="M20" s="73">
        <v>0.2</v>
      </c>
      <c r="N20" s="73">
        <v>0</v>
      </c>
    </row>
    <row r="21" spans="1:22" ht="15" customHeight="1" thickBot="1" x14ac:dyDescent="0.2">
      <c r="A21" s="43" t="s">
        <v>137</v>
      </c>
      <c r="B21" s="91"/>
      <c r="C21" s="73">
        <v>20</v>
      </c>
      <c r="D21"/>
      <c r="E21" s="161" t="s">
        <v>211</v>
      </c>
      <c r="F21" s="73">
        <v>0</v>
      </c>
      <c r="G21" s="73">
        <v>22.09</v>
      </c>
      <c r="H21" s="73">
        <v>4.8490000000000002</v>
      </c>
      <c r="I21" s="73">
        <v>32.326664000000001</v>
      </c>
      <c r="J21" s="73">
        <v>0.97732039999999998</v>
      </c>
      <c r="K21" s="73">
        <v>0.15</v>
      </c>
      <c r="L21" s="73">
        <v>0</v>
      </c>
      <c r="M21" s="73">
        <v>0.2</v>
      </c>
      <c r="N21" s="73">
        <v>0</v>
      </c>
    </row>
    <row r="22" spans="1:22" ht="15" customHeight="1" x14ac:dyDescent="0.15">
      <c r="A22" s="92" t="s">
        <v>58</v>
      </c>
      <c r="B22" s="93">
        <v>0</v>
      </c>
      <c r="C22" s="73">
        <v>21</v>
      </c>
      <c r="D22"/>
      <c r="E22" s="161" t="s">
        <v>212</v>
      </c>
      <c r="F22" s="73">
        <v>0</v>
      </c>
      <c r="G22" s="73">
        <v>2.1072328100000002</v>
      </c>
      <c r="H22" s="73">
        <v>21.756</v>
      </c>
      <c r="I22" s="73">
        <v>119.65</v>
      </c>
      <c r="J22" s="73">
        <v>0.95</v>
      </c>
      <c r="K22" s="73">
        <v>0.181830347</v>
      </c>
      <c r="L22" s="73">
        <v>0</v>
      </c>
      <c r="M22" s="73">
        <v>0.4</v>
      </c>
      <c r="N22" s="73">
        <v>0</v>
      </c>
    </row>
    <row r="23" spans="1:22" ht="15" customHeight="1" x14ac:dyDescent="0.15">
      <c r="A23" s="92" t="s">
        <v>59</v>
      </c>
      <c r="B23" s="93">
        <v>1</v>
      </c>
      <c r="C23" s="73">
        <v>22</v>
      </c>
      <c r="D23"/>
      <c r="E23" s="161" t="s">
        <v>213</v>
      </c>
      <c r="F23" s="73">
        <v>1</v>
      </c>
      <c r="G23" s="73">
        <v>2.649988</v>
      </c>
      <c r="H23" s="73">
        <v>102.55800000000001</v>
      </c>
      <c r="I23" s="73">
        <v>0</v>
      </c>
      <c r="J23" s="73">
        <v>0.94589049999999997</v>
      </c>
      <c r="K23" s="73">
        <v>0</v>
      </c>
      <c r="L23" s="73">
        <v>0</v>
      </c>
      <c r="M23" s="73">
        <v>0</v>
      </c>
      <c r="N23" s="73">
        <v>0</v>
      </c>
    </row>
    <row r="24" spans="1:22" ht="15" customHeight="1" x14ac:dyDescent="0.15">
      <c r="A24" s="92" t="s">
        <v>60</v>
      </c>
      <c r="B24" s="93">
        <v>2</v>
      </c>
      <c r="C24" s="73">
        <v>23</v>
      </c>
      <c r="D24"/>
      <c r="E24" s="161" t="s">
        <v>214</v>
      </c>
      <c r="F24" s="73">
        <v>1</v>
      </c>
      <c r="G24" s="73">
        <v>4.1309849999999999</v>
      </c>
      <c r="H24" s="73">
        <v>14.634</v>
      </c>
      <c r="I24" s="73">
        <v>0</v>
      </c>
      <c r="J24" s="73">
        <v>0.93838960000000005</v>
      </c>
      <c r="K24" s="73">
        <v>0</v>
      </c>
      <c r="L24" s="73">
        <v>0</v>
      </c>
      <c r="M24" s="73">
        <v>0</v>
      </c>
      <c r="N24" s="73">
        <v>0</v>
      </c>
    </row>
    <row r="25" spans="1:22" ht="15" customHeight="1" thickBot="1" x14ac:dyDescent="0.2">
      <c r="A25" s="94" t="s">
        <v>44</v>
      </c>
      <c r="B25" s="95">
        <v>3</v>
      </c>
      <c r="C25" s="73">
        <v>24</v>
      </c>
      <c r="D25"/>
      <c r="E25" s="161" t="s">
        <v>215</v>
      </c>
      <c r="F25" s="73">
        <v>2</v>
      </c>
      <c r="G25" s="73">
        <v>1.9</v>
      </c>
      <c r="H25" s="73">
        <v>0</v>
      </c>
      <c r="I25" s="73">
        <v>0</v>
      </c>
      <c r="J25" s="73">
        <v>0.99985789999999997</v>
      </c>
      <c r="K25" s="73">
        <v>0</v>
      </c>
      <c r="L25" s="73">
        <v>0</v>
      </c>
      <c r="M25" s="73">
        <v>0</v>
      </c>
      <c r="N25" s="73">
        <v>522.13099999999997</v>
      </c>
    </row>
    <row r="26" spans="1:22" ht="15" customHeight="1" x14ac:dyDescent="0.15">
      <c r="A26" s="96" t="s">
        <v>140</v>
      </c>
      <c r="C26" s="73">
        <v>25</v>
      </c>
      <c r="D26"/>
      <c r="E26" s="161" t="s">
        <v>216</v>
      </c>
      <c r="F26" s="73">
        <v>2</v>
      </c>
      <c r="G26" s="73">
        <v>5</v>
      </c>
      <c r="H26" s="73">
        <v>0</v>
      </c>
      <c r="I26" s="73">
        <v>0</v>
      </c>
      <c r="J26" s="73">
        <v>0</v>
      </c>
      <c r="K26" s="73">
        <v>0</v>
      </c>
      <c r="L26" s="73">
        <v>0</v>
      </c>
      <c r="M26" s="73">
        <v>0</v>
      </c>
      <c r="N26" s="73">
        <v>0</v>
      </c>
    </row>
    <row r="27" spans="1:22" ht="15" customHeight="1" x14ac:dyDescent="0.15">
      <c r="C27" s="73">
        <v>26</v>
      </c>
      <c r="D27"/>
      <c r="E27" s="161" t="s">
        <v>217</v>
      </c>
      <c r="F27" s="73">
        <v>3</v>
      </c>
      <c r="G27" s="73">
        <v>0</v>
      </c>
      <c r="H27" s="73">
        <v>0</v>
      </c>
      <c r="I27" s="73">
        <v>0</v>
      </c>
      <c r="J27" s="73">
        <v>0</v>
      </c>
      <c r="K27" s="73">
        <v>0</v>
      </c>
      <c r="L27" s="73">
        <v>0</v>
      </c>
      <c r="M27" s="73">
        <v>0</v>
      </c>
      <c r="N27" s="73">
        <v>0</v>
      </c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1" bestFit="1" customWidth="1"/>
    <col min="2" max="2" width="6.83203125" style="131" bestFit="1" customWidth="1"/>
    <col min="3" max="3" width="13.83203125" style="131" bestFit="1" customWidth="1"/>
    <col min="4" max="4" width="6.83203125" style="131" bestFit="1" customWidth="1"/>
    <col min="5" max="5" width="5.83203125" style="131" bestFit="1" customWidth="1"/>
    <col min="6" max="7" width="6.83203125" style="131" bestFit="1" customWidth="1"/>
    <col min="8" max="8" width="14.83203125" style="131" bestFit="1" customWidth="1"/>
    <col min="9" max="10" width="13.83203125" style="131" bestFit="1" customWidth="1"/>
    <col min="11" max="11" width="14.83203125" style="131" bestFit="1" customWidth="1"/>
    <col min="12" max="12" width="6.83203125" style="131" bestFit="1" customWidth="1"/>
    <col min="13" max="14" width="14.83203125" style="131" bestFit="1" customWidth="1"/>
    <col min="15" max="15" width="13.83203125" style="131" bestFit="1" customWidth="1"/>
    <col min="16" max="18" width="4.83203125" style="131" bestFit="1" customWidth="1"/>
    <col min="19" max="20" width="3.83203125" style="131" bestFit="1" customWidth="1"/>
    <col min="21" max="22" width="4.83203125" style="131" bestFit="1" customWidth="1"/>
    <col min="23" max="26" width="2.33203125" style="131" bestFit="1" customWidth="1"/>
    <col min="27" max="29" width="9" style="131" bestFit="1" customWidth="1"/>
    <col min="30" max="16384" width="8.83203125" style="131"/>
  </cols>
  <sheetData>
    <row r="1" spans="1:34" x14ac:dyDescent="0.15">
      <c r="A1" s="130" t="s">
        <v>19</v>
      </c>
      <c r="B1" s="163" t="s">
        <v>192</v>
      </c>
      <c r="C1" s="163" t="s">
        <v>193</v>
      </c>
      <c r="D1" s="163" t="s">
        <v>194</v>
      </c>
      <c r="E1" s="163" t="s">
        <v>195</v>
      </c>
      <c r="F1" s="163" t="s">
        <v>196</v>
      </c>
      <c r="G1" s="163" t="s">
        <v>197</v>
      </c>
      <c r="H1" s="163" t="s">
        <v>198</v>
      </c>
      <c r="I1" s="163" t="s">
        <v>199</v>
      </c>
      <c r="J1" s="163" t="s">
        <v>200</v>
      </c>
      <c r="K1" s="163" t="s">
        <v>201</v>
      </c>
      <c r="L1" s="163" t="s">
        <v>202</v>
      </c>
      <c r="M1" s="163" t="s">
        <v>203</v>
      </c>
      <c r="N1" s="163" t="s">
        <v>204</v>
      </c>
      <c r="O1" s="163" t="s">
        <v>205</v>
      </c>
      <c r="P1" s="163" t="s">
        <v>206</v>
      </c>
      <c r="Q1" s="163" t="s">
        <v>207</v>
      </c>
      <c r="R1" s="163" t="s">
        <v>208</v>
      </c>
      <c r="S1" s="163" t="s">
        <v>209</v>
      </c>
      <c r="T1" s="163" t="s">
        <v>210</v>
      </c>
      <c r="U1" s="163" t="s">
        <v>211</v>
      </c>
      <c r="V1" s="163" t="s">
        <v>212</v>
      </c>
      <c r="W1" s="163" t="s">
        <v>213</v>
      </c>
      <c r="X1" s="163" t="s">
        <v>214</v>
      </c>
      <c r="Y1" s="163" t="s">
        <v>215</v>
      </c>
      <c r="Z1" s="163" t="s">
        <v>216</v>
      </c>
      <c r="AA1"/>
      <c r="AB1"/>
      <c r="AC1"/>
      <c r="AD1"/>
      <c r="AE1"/>
      <c r="AF1"/>
      <c r="AG1"/>
      <c r="AH1"/>
    </row>
    <row r="2" spans="1:34" customFormat="1" x14ac:dyDescent="0.15">
      <c r="A2" s="162" t="s">
        <v>192</v>
      </c>
      <c r="B2" s="131">
        <v>0</v>
      </c>
      <c r="C2" s="131">
        <v>0</v>
      </c>
      <c r="D2" s="131">
        <v>0.127</v>
      </c>
      <c r="E2" s="131">
        <v>0.25</v>
      </c>
      <c r="F2" s="131">
        <v>0.45540000000000003</v>
      </c>
      <c r="G2" s="131">
        <v>0.27860000000000001</v>
      </c>
      <c r="H2" s="131">
        <v>0</v>
      </c>
      <c r="I2" s="131">
        <v>0</v>
      </c>
      <c r="J2" s="131">
        <v>0</v>
      </c>
      <c r="K2" s="131">
        <v>0</v>
      </c>
      <c r="L2" s="131">
        <v>0</v>
      </c>
      <c r="M2" s="131">
        <v>0</v>
      </c>
      <c r="N2" s="131">
        <v>2.7027028394324241E-2</v>
      </c>
      <c r="O2" s="131">
        <v>0</v>
      </c>
      <c r="P2" s="131">
        <v>0</v>
      </c>
      <c r="Q2" s="131">
        <v>0</v>
      </c>
      <c r="R2" s="131">
        <v>0</v>
      </c>
      <c r="S2" s="131">
        <v>0</v>
      </c>
      <c r="T2" s="131">
        <v>0</v>
      </c>
      <c r="U2" s="131">
        <v>0</v>
      </c>
      <c r="V2" s="131">
        <v>0</v>
      </c>
      <c r="W2" s="131">
        <v>0</v>
      </c>
      <c r="X2" s="131">
        <v>0</v>
      </c>
      <c r="Y2" s="131">
        <v>0</v>
      </c>
      <c r="Z2" s="131">
        <v>0</v>
      </c>
    </row>
    <row r="3" spans="1:34" customFormat="1" x14ac:dyDescent="0.15">
      <c r="A3" s="162" t="s">
        <v>193</v>
      </c>
      <c r="B3" s="131">
        <v>0</v>
      </c>
      <c r="C3" s="131">
        <v>0</v>
      </c>
      <c r="D3" s="131">
        <v>0.46870000000000001</v>
      </c>
      <c r="E3" s="131">
        <v>0.17799999999999999</v>
      </c>
      <c r="F3" s="131">
        <v>0.29699999999999999</v>
      </c>
      <c r="G3" s="131">
        <v>4.0300000000000002E-2</v>
      </c>
      <c r="H3" s="131">
        <v>0</v>
      </c>
      <c r="I3" s="131">
        <v>2.0979019753846102E-2</v>
      </c>
      <c r="J3" s="131">
        <v>0</v>
      </c>
      <c r="K3" s="131">
        <v>0</v>
      </c>
      <c r="L3" s="131">
        <v>0</v>
      </c>
      <c r="M3" s="131">
        <v>0</v>
      </c>
      <c r="N3" s="131">
        <v>1.7017016989019019E-2</v>
      </c>
      <c r="O3" s="131">
        <v>0</v>
      </c>
      <c r="P3" s="131">
        <v>0</v>
      </c>
      <c r="Q3" s="131">
        <v>0</v>
      </c>
      <c r="R3" s="131">
        <v>0</v>
      </c>
      <c r="S3" s="131">
        <v>0</v>
      </c>
      <c r="T3" s="131">
        <v>0</v>
      </c>
      <c r="U3" s="131">
        <v>0</v>
      </c>
      <c r="V3" s="131">
        <v>0</v>
      </c>
      <c r="W3" s="131">
        <v>0</v>
      </c>
      <c r="X3" s="131">
        <v>0</v>
      </c>
      <c r="Y3" s="131">
        <v>0</v>
      </c>
      <c r="Z3" s="131">
        <v>0</v>
      </c>
    </row>
    <row r="4" spans="1:34" customFormat="1" x14ac:dyDescent="0.15">
      <c r="A4" s="162" t="s">
        <v>194</v>
      </c>
      <c r="B4" s="131">
        <v>0</v>
      </c>
      <c r="C4" s="131">
        <v>0</v>
      </c>
      <c r="D4" s="131">
        <v>0</v>
      </c>
      <c r="E4" s="131">
        <v>0</v>
      </c>
      <c r="F4" s="131">
        <v>0</v>
      </c>
      <c r="G4" s="131">
        <v>1E-3</v>
      </c>
      <c r="H4" s="131">
        <v>0</v>
      </c>
      <c r="I4" s="131">
        <v>0</v>
      </c>
      <c r="J4" s="131">
        <v>0</v>
      </c>
      <c r="K4" s="131">
        <v>0</v>
      </c>
      <c r="L4" s="131">
        <v>0</v>
      </c>
      <c r="M4" s="131">
        <v>0</v>
      </c>
      <c r="N4" s="131">
        <v>0</v>
      </c>
      <c r="O4" s="131">
        <v>0</v>
      </c>
      <c r="P4" s="131">
        <v>0</v>
      </c>
      <c r="Q4" s="131">
        <v>0</v>
      </c>
      <c r="R4" s="131">
        <v>0</v>
      </c>
      <c r="S4" s="131">
        <v>0</v>
      </c>
      <c r="T4" s="131">
        <v>0</v>
      </c>
      <c r="U4" s="131">
        <v>0</v>
      </c>
      <c r="V4" s="131">
        <v>0</v>
      </c>
      <c r="W4" s="131">
        <v>0</v>
      </c>
      <c r="X4" s="131">
        <v>0</v>
      </c>
      <c r="Y4" s="131">
        <v>0</v>
      </c>
      <c r="Z4" s="131">
        <v>0</v>
      </c>
    </row>
    <row r="5" spans="1:34" customFormat="1" x14ac:dyDescent="0.15">
      <c r="A5" s="162" t="s">
        <v>195</v>
      </c>
      <c r="B5" s="131">
        <v>0</v>
      </c>
      <c r="C5" s="131">
        <v>0</v>
      </c>
      <c r="D5" s="131">
        <v>0</v>
      </c>
      <c r="E5" s="131">
        <v>0</v>
      </c>
      <c r="F5" s="131">
        <v>0</v>
      </c>
      <c r="G5" s="131">
        <v>0</v>
      </c>
      <c r="H5" s="131">
        <v>0</v>
      </c>
      <c r="I5" s="131">
        <v>0</v>
      </c>
      <c r="J5" s="131">
        <v>0</v>
      </c>
      <c r="K5" s="131">
        <v>0.47299998794952092</v>
      </c>
      <c r="L5" s="131">
        <v>2.6800000000000001E-2</v>
      </c>
      <c r="M5" s="131">
        <v>0</v>
      </c>
      <c r="N5" s="131">
        <v>0</v>
      </c>
      <c r="O5" s="131">
        <v>0</v>
      </c>
      <c r="P5" s="131">
        <v>0</v>
      </c>
      <c r="Q5" s="131">
        <v>0</v>
      </c>
      <c r="R5" s="131">
        <v>0</v>
      </c>
      <c r="S5" s="131">
        <v>0</v>
      </c>
      <c r="T5" s="131">
        <v>0</v>
      </c>
      <c r="U5" s="131">
        <v>0</v>
      </c>
      <c r="V5" s="131">
        <v>0</v>
      </c>
      <c r="W5" s="131">
        <v>0</v>
      </c>
      <c r="X5" s="131">
        <v>0</v>
      </c>
      <c r="Y5" s="131">
        <v>0</v>
      </c>
      <c r="Z5" s="131">
        <v>0</v>
      </c>
    </row>
    <row r="6" spans="1:34" customFormat="1" x14ac:dyDescent="0.15">
      <c r="A6" s="162" t="s">
        <v>196</v>
      </c>
      <c r="B6" s="131">
        <v>0</v>
      </c>
      <c r="C6" s="131">
        <v>0</v>
      </c>
      <c r="D6" s="131">
        <v>0</v>
      </c>
      <c r="E6" s="131">
        <v>0</v>
      </c>
      <c r="F6" s="131">
        <v>0</v>
      </c>
      <c r="G6" s="131">
        <v>2E-3</v>
      </c>
      <c r="H6" s="131">
        <v>0</v>
      </c>
      <c r="I6" s="131">
        <v>0</v>
      </c>
      <c r="J6" s="131">
        <v>0</v>
      </c>
      <c r="K6" s="131">
        <v>0.14000000551359965</v>
      </c>
      <c r="L6" s="131">
        <v>2.2100000000000002E-2</v>
      </c>
      <c r="M6" s="131">
        <v>0</v>
      </c>
      <c r="N6" s="131">
        <v>0</v>
      </c>
      <c r="O6" s="131">
        <v>0</v>
      </c>
      <c r="P6" s="131">
        <v>0</v>
      </c>
      <c r="Q6" s="131">
        <v>0</v>
      </c>
      <c r="R6" s="131">
        <v>0</v>
      </c>
      <c r="S6" s="131">
        <v>0</v>
      </c>
      <c r="T6" s="131">
        <v>0</v>
      </c>
      <c r="U6" s="131">
        <v>0</v>
      </c>
      <c r="V6" s="131">
        <v>0</v>
      </c>
      <c r="W6" s="131">
        <v>0</v>
      </c>
      <c r="X6" s="131">
        <v>0</v>
      </c>
      <c r="Y6" s="131">
        <v>0</v>
      </c>
      <c r="Z6" s="131">
        <v>0</v>
      </c>
    </row>
    <row r="7" spans="1:34" customFormat="1" x14ac:dyDescent="0.15">
      <c r="A7" s="162" t="s">
        <v>197</v>
      </c>
      <c r="B7" s="131">
        <v>0</v>
      </c>
      <c r="C7" s="131">
        <v>0</v>
      </c>
      <c r="D7" s="131">
        <v>0</v>
      </c>
      <c r="E7" s="131">
        <v>0</v>
      </c>
      <c r="F7" s="131">
        <v>0</v>
      </c>
      <c r="G7" s="131">
        <v>2.3999999999999998E-3</v>
      </c>
      <c r="H7" s="131">
        <v>0</v>
      </c>
      <c r="I7" s="131">
        <v>0</v>
      </c>
      <c r="J7" s="131">
        <v>0</v>
      </c>
      <c r="K7" s="131">
        <v>0</v>
      </c>
      <c r="L7" s="131">
        <v>0.17960000000000001</v>
      </c>
      <c r="M7" s="131">
        <v>0</v>
      </c>
      <c r="N7" s="131">
        <v>0</v>
      </c>
      <c r="O7" s="131">
        <v>0</v>
      </c>
      <c r="P7" s="131">
        <v>0</v>
      </c>
      <c r="Q7" s="131">
        <v>0</v>
      </c>
      <c r="R7" s="131">
        <v>0</v>
      </c>
      <c r="S7" s="131">
        <v>0</v>
      </c>
      <c r="T7" s="131">
        <v>0</v>
      </c>
      <c r="U7" s="131">
        <v>0</v>
      </c>
      <c r="V7" s="131">
        <v>0</v>
      </c>
      <c r="W7" s="131">
        <v>0</v>
      </c>
      <c r="X7" s="131">
        <v>0</v>
      </c>
      <c r="Y7" s="131">
        <v>0</v>
      </c>
      <c r="Z7" s="131">
        <v>0</v>
      </c>
    </row>
    <row r="8" spans="1:34" customFormat="1" x14ac:dyDescent="0.15">
      <c r="A8" s="162" t="s">
        <v>198</v>
      </c>
      <c r="B8" s="131">
        <v>0</v>
      </c>
      <c r="C8" s="131">
        <v>0</v>
      </c>
      <c r="D8" s="131">
        <v>0</v>
      </c>
      <c r="E8" s="131">
        <v>0.02</v>
      </c>
      <c r="F8" s="131">
        <v>0</v>
      </c>
      <c r="G8" s="131">
        <v>0</v>
      </c>
      <c r="H8" s="131">
        <v>0</v>
      </c>
      <c r="I8" s="131">
        <v>0</v>
      </c>
      <c r="J8" s="131">
        <v>0</v>
      </c>
      <c r="K8" s="131">
        <v>6.7000005460079642E-2</v>
      </c>
      <c r="L8" s="131">
        <v>0.22339999999999999</v>
      </c>
      <c r="M8" s="131">
        <v>0.43113771642515014</v>
      </c>
      <c r="N8" s="131">
        <v>0</v>
      </c>
      <c r="O8" s="131">
        <v>0</v>
      </c>
      <c r="P8" s="131">
        <v>0</v>
      </c>
      <c r="Q8" s="131">
        <v>0</v>
      </c>
      <c r="R8" s="131">
        <v>0</v>
      </c>
      <c r="S8" s="131">
        <v>0</v>
      </c>
      <c r="T8" s="131">
        <v>0</v>
      </c>
      <c r="U8" s="131">
        <v>0</v>
      </c>
      <c r="V8" s="131">
        <v>0</v>
      </c>
      <c r="W8" s="131">
        <v>0</v>
      </c>
      <c r="X8" s="131">
        <v>0</v>
      </c>
      <c r="Y8" s="131">
        <v>0</v>
      </c>
      <c r="Z8" s="131">
        <v>0</v>
      </c>
    </row>
    <row r="9" spans="1:34" customFormat="1" x14ac:dyDescent="0.15">
      <c r="A9" s="162" t="s">
        <v>199</v>
      </c>
      <c r="B9" s="131">
        <v>0</v>
      </c>
      <c r="C9" s="131">
        <v>0</v>
      </c>
      <c r="D9" s="131">
        <v>0</v>
      </c>
      <c r="E9" s="131">
        <v>0</v>
      </c>
      <c r="F9" s="131">
        <v>0</v>
      </c>
      <c r="G9" s="131">
        <v>0</v>
      </c>
      <c r="H9" s="131">
        <v>0</v>
      </c>
      <c r="I9" s="131">
        <v>0</v>
      </c>
      <c r="J9" s="131">
        <v>0</v>
      </c>
      <c r="K9" s="131">
        <v>3.0000000567199964E-3</v>
      </c>
      <c r="L9" s="131">
        <v>4.5999999999999999E-3</v>
      </c>
      <c r="M9" s="131">
        <v>4.9900197155688759E-3</v>
      </c>
      <c r="N9" s="131">
        <v>0</v>
      </c>
      <c r="O9" s="131">
        <v>0</v>
      </c>
      <c r="P9" s="131">
        <v>0</v>
      </c>
      <c r="Q9" s="131">
        <v>0</v>
      </c>
      <c r="R9" s="131">
        <v>0</v>
      </c>
      <c r="S9" s="131">
        <v>0</v>
      </c>
      <c r="T9" s="131">
        <v>0</v>
      </c>
      <c r="U9" s="131">
        <v>0</v>
      </c>
      <c r="V9" s="131">
        <v>0</v>
      </c>
      <c r="W9" s="131">
        <v>0</v>
      </c>
      <c r="X9" s="131">
        <v>0</v>
      </c>
      <c r="Y9" s="131">
        <v>0</v>
      </c>
      <c r="Z9" s="131">
        <v>0</v>
      </c>
    </row>
    <row r="10" spans="1:34" customFormat="1" x14ac:dyDescent="0.15">
      <c r="A10" s="162" t="s">
        <v>200</v>
      </c>
      <c r="B10" s="131">
        <v>0</v>
      </c>
      <c r="C10" s="131">
        <v>0</v>
      </c>
      <c r="D10" s="131">
        <v>0</v>
      </c>
      <c r="E10" s="131">
        <v>0</v>
      </c>
      <c r="F10" s="131">
        <v>0</v>
      </c>
      <c r="G10" s="131">
        <v>5.1999999999999998E-2</v>
      </c>
      <c r="H10" s="131">
        <v>0</v>
      </c>
      <c r="I10" s="131">
        <v>0</v>
      </c>
      <c r="J10" s="131">
        <v>0</v>
      </c>
      <c r="K10" s="131">
        <v>0.10000000222399986</v>
      </c>
      <c r="L10" s="131">
        <v>0</v>
      </c>
      <c r="M10" s="131">
        <v>0.16467066661377197</v>
      </c>
      <c r="N10" s="131">
        <v>0</v>
      </c>
      <c r="O10" s="131">
        <v>0</v>
      </c>
      <c r="P10" s="131">
        <v>0</v>
      </c>
      <c r="Q10" s="131">
        <v>0</v>
      </c>
      <c r="R10" s="131">
        <v>0</v>
      </c>
      <c r="S10" s="131">
        <v>0</v>
      </c>
      <c r="T10" s="131">
        <v>0</v>
      </c>
      <c r="U10" s="131">
        <v>0</v>
      </c>
      <c r="V10" s="131">
        <v>0</v>
      </c>
      <c r="W10" s="131">
        <v>0</v>
      </c>
      <c r="X10" s="131">
        <v>0</v>
      </c>
      <c r="Y10" s="131">
        <v>0</v>
      </c>
      <c r="Z10" s="131">
        <v>0</v>
      </c>
    </row>
    <row r="11" spans="1:34" customFormat="1" x14ac:dyDescent="0.15">
      <c r="A11" s="162" t="s">
        <v>201</v>
      </c>
      <c r="B11" s="131">
        <v>0</v>
      </c>
      <c r="C11" s="131">
        <v>0</v>
      </c>
      <c r="D11" s="131">
        <v>0</v>
      </c>
      <c r="E11" s="131">
        <v>0</v>
      </c>
      <c r="F11" s="131">
        <v>0</v>
      </c>
      <c r="G11" s="131">
        <v>0</v>
      </c>
      <c r="H11" s="131">
        <v>0</v>
      </c>
      <c r="I11" s="131">
        <v>0</v>
      </c>
      <c r="J11" s="131">
        <v>0</v>
      </c>
      <c r="K11" s="131">
        <v>0</v>
      </c>
      <c r="L11" s="131">
        <v>0</v>
      </c>
      <c r="M11" s="131">
        <v>0</v>
      </c>
      <c r="N11" s="131">
        <v>0</v>
      </c>
      <c r="O11" s="131">
        <v>0</v>
      </c>
      <c r="P11" s="131">
        <v>0</v>
      </c>
      <c r="Q11" s="131">
        <v>0</v>
      </c>
      <c r="R11" s="131">
        <v>0</v>
      </c>
      <c r="S11" s="131">
        <v>0</v>
      </c>
      <c r="T11" s="131">
        <v>0</v>
      </c>
      <c r="U11" s="131">
        <v>0</v>
      </c>
      <c r="V11" s="131">
        <v>0</v>
      </c>
      <c r="W11" s="131">
        <v>0</v>
      </c>
      <c r="X11" s="131">
        <v>0</v>
      </c>
      <c r="Y11" s="131">
        <v>0</v>
      </c>
      <c r="Z11" s="131">
        <v>0</v>
      </c>
    </row>
    <row r="12" spans="1:34" customFormat="1" x14ac:dyDescent="0.15">
      <c r="A12" s="162" t="s">
        <v>202</v>
      </c>
      <c r="B12" s="131">
        <v>0</v>
      </c>
      <c r="C12" s="131">
        <v>0</v>
      </c>
      <c r="D12" s="131">
        <v>0</v>
      </c>
      <c r="E12" s="131">
        <v>0</v>
      </c>
      <c r="F12" s="131">
        <v>0</v>
      </c>
      <c r="G12" s="131">
        <v>0</v>
      </c>
      <c r="H12" s="131">
        <v>0</v>
      </c>
      <c r="I12" s="131">
        <v>0</v>
      </c>
      <c r="J12" s="131">
        <v>0</v>
      </c>
      <c r="K12" s="131">
        <v>2.8999999034960072E-2</v>
      </c>
      <c r="L12" s="131">
        <v>0</v>
      </c>
      <c r="M12" s="131">
        <v>0</v>
      </c>
      <c r="N12" s="131">
        <v>0</v>
      </c>
      <c r="O12" s="131">
        <v>0</v>
      </c>
      <c r="P12" s="131">
        <v>0</v>
      </c>
      <c r="Q12" s="131">
        <v>0</v>
      </c>
      <c r="R12" s="131">
        <v>0</v>
      </c>
      <c r="S12" s="131">
        <v>0</v>
      </c>
      <c r="T12" s="131">
        <v>0</v>
      </c>
      <c r="U12" s="131">
        <v>0</v>
      </c>
      <c r="V12" s="131">
        <v>0</v>
      </c>
      <c r="W12" s="131">
        <v>0</v>
      </c>
      <c r="X12" s="131">
        <v>0</v>
      </c>
      <c r="Y12" s="131">
        <v>0</v>
      </c>
      <c r="Z12" s="131">
        <v>0</v>
      </c>
    </row>
    <row r="13" spans="1:34" customFormat="1" x14ac:dyDescent="0.15">
      <c r="A13" s="162" t="s">
        <v>203</v>
      </c>
      <c r="B13" s="131">
        <v>0</v>
      </c>
      <c r="C13" s="131">
        <v>0</v>
      </c>
      <c r="D13" s="131">
        <v>0</v>
      </c>
      <c r="E13" s="131">
        <v>0</v>
      </c>
      <c r="F13" s="131">
        <v>0</v>
      </c>
      <c r="G13" s="131">
        <v>0</v>
      </c>
      <c r="H13" s="131">
        <v>0</v>
      </c>
      <c r="I13" s="131">
        <v>0</v>
      </c>
      <c r="J13" s="131">
        <v>0</v>
      </c>
      <c r="K13" s="131">
        <v>0.1439999992425601</v>
      </c>
      <c r="L13" s="131">
        <v>0.20399999999999999</v>
      </c>
      <c r="M13" s="131">
        <v>0</v>
      </c>
      <c r="N13" s="131">
        <v>0</v>
      </c>
      <c r="O13" s="131">
        <v>0</v>
      </c>
      <c r="P13" s="131">
        <v>0</v>
      </c>
      <c r="Q13" s="131">
        <v>0</v>
      </c>
      <c r="R13" s="131">
        <v>0</v>
      </c>
      <c r="S13" s="131">
        <v>0</v>
      </c>
      <c r="T13" s="131">
        <v>0</v>
      </c>
      <c r="U13" s="131">
        <v>0</v>
      </c>
      <c r="V13" s="131">
        <v>0</v>
      </c>
      <c r="W13" s="131">
        <v>0</v>
      </c>
      <c r="X13" s="131">
        <v>0</v>
      </c>
      <c r="Y13" s="131">
        <v>0</v>
      </c>
      <c r="Z13" s="131">
        <v>0</v>
      </c>
    </row>
    <row r="14" spans="1:34" customFormat="1" x14ac:dyDescent="0.15">
      <c r="A14" s="162" t="s">
        <v>204</v>
      </c>
      <c r="B14" s="131">
        <v>0</v>
      </c>
      <c r="C14" s="131">
        <v>0</v>
      </c>
      <c r="D14" s="131">
        <v>0</v>
      </c>
      <c r="E14" s="131">
        <v>0</v>
      </c>
      <c r="F14" s="131">
        <v>0</v>
      </c>
      <c r="G14" s="131">
        <v>1.8200000000000001E-2</v>
      </c>
      <c r="H14" s="131">
        <v>0</v>
      </c>
      <c r="I14" s="131">
        <v>0</v>
      </c>
      <c r="J14" s="131">
        <v>0</v>
      </c>
      <c r="K14" s="131">
        <v>0</v>
      </c>
      <c r="L14" s="131">
        <v>0</v>
      </c>
      <c r="M14" s="131">
        <v>0</v>
      </c>
      <c r="N14" s="131">
        <v>0</v>
      </c>
      <c r="O14" s="131">
        <v>0</v>
      </c>
      <c r="P14" s="131">
        <v>0</v>
      </c>
      <c r="Q14" s="131">
        <v>0</v>
      </c>
      <c r="R14" s="131">
        <v>0</v>
      </c>
      <c r="S14" s="131">
        <v>0</v>
      </c>
      <c r="T14" s="131">
        <v>0</v>
      </c>
      <c r="U14" s="131">
        <v>0</v>
      </c>
      <c r="V14" s="131">
        <v>0</v>
      </c>
      <c r="W14" s="131">
        <v>0</v>
      </c>
      <c r="X14" s="131">
        <v>0</v>
      </c>
      <c r="Y14" s="131">
        <v>0</v>
      </c>
      <c r="Z14" s="131">
        <v>0</v>
      </c>
    </row>
    <row r="15" spans="1:34" customFormat="1" x14ac:dyDescent="0.15">
      <c r="A15" s="162" t="s">
        <v>205</v>
      </c>
      <c r="B15" s="131">
        <v>0</v>
      </c>
      <c r="C15" s="131">
        <v>0</v>
      </c>
      <c r="D15" s="131">
        <v>0</v>
      </c>
      <c r="E15" s="131">
        <v>0</v>
      </c>
      <c r="F15" s="131">
        <v>0</v>
      </c>
      <c r="G15" s="131">
        <v>5.0000000000000001E-3</v>
      </c>
      <c r="H15" s="131">
        <v>0</v>
      </c>
      <c r="I15" s="131">
        <v>0</v>
      </c>
      <c r="J15" s="131">
        <v>0</v>
      </c>
      <c r="K15" s="131">
        <v>0</v>
      </c>
      <c r="L15" s="131">
        <v>0</v>
      </c>
      <c r="M15" s="131">
        <v>0</v>
      </c>
      <c r="N15" s="131">
        <v>0</v>
      </c>
      <c r="O15" s="131">
        <v>0</v>
      </c>
      <c r="P15" s="131">
        <v>0</v>
      </c>
      <c r="Q15" s="131">
        <v>0</v>
      </c>
      <c r="R15" s="131">
        <v>0</v>
      </c>
      <c r="S15" s="131">
        <v>0</v>
      </c>
      <c r="T15" s="131">
        <v>0</v>
      </c>
      <c r="U15" s="131">
        <v>0</v>
      </c>
      <c r="V15" s="131">
        <v>0</v>
      </c>
      <c r="W15" s="131">
        <v>0</v>
      </c>
      <c r="X15" s="131">
        <v>0</v>
      </c>
      <c r="Y15" s="131">
        <v>0</v>
      </c>
      <c r="Z15" s="131">
        <v>0</v>
      </c>
    </row>
    <row r="16" spans="1:34" customFormat="1" x14ac:dyDescent="0.15">
      <c r="A16" s="162" t="s">
        <v>206</v>
      </c>
      <c r="B16" s="131">
        <v>0.04</v>
      </c>
      <c r="C16" s="131">
        <v>0.14514513870420395</v>
      </c>
      <c r="D16" s="131">
        <v>3.1300000000000001E-2</v>
      </c>
      <c r="E16" s="131">
        <v>0.192</v>
      </c>
      <c r="F16" s="131">
        <v>0.24759999999999999</v>
      </c>
      <c r="G16" s="131">
        <v>0.33350000000000002</v>
      </c>
      <c r="H16" s="131">
        <v>5.6943059568131713E-2</v>
      </c>
      <c r="I16" s="131">
        <v>2.0979019753846102E-2</v>
      </c>
      <c r="J16" s="131">
        <v>0.10889110455164816</v>
      </c>
      <c r="K16" s="131">
        <v>2.0000000044799997E-2</v>
      </c>
      <c r="L16" s="131">
        <v>0.18340000000000001</v>
      </c>
      <c r="M16" s="131">
        <v>0</v>
      </c>
      <c r="N16" s="131">
        <v>4.0040041721221119E-3</v>
      </c>
      <c r="O16" s="131">
        <v>9.4905092941957897E-2</v>
      </c>
      <c r="P16" s="131">
        <v>0</v>
      </c>
      <c r="Q16" s="131">
        <v>0.1</v>
      </c>
      <c r="R16" s="131">
        <v>0</v>
      </c>
      <c r="S16" s="131">
        <v>0</v>
      </c>
      <c r="T16" s="131">
        <v>0.2</v>
      </c>
      <c r="U16" s="131">
        <v>0</v>
      </c>
      <c r="V16" s="131">
        <v>0</v>
      </c>
      <c r="W16" s="131">
        <v>0</v>
      </c>
      <c r="X16" s="131">
        <v>0</v>
      </c>
      <c r="Y16" s="131">
        <v>0</v>
      </c>
      <c r="Z16" s="131">
        <v>0</v>
      </c>
    </row>
    <row r="17" spans="1:26" customFormat="1" x14ac:dyDescent="0.15">
      <c r="A17" s="162" t="s">
        <v>207</v>
      </c>
      <c r="B17" s="131">
        <v>0</v>
      </c>
      <c r="C17" s="131">
        <v>0</v>
      </c>
      <c r="D17" s="131">
        <v>0</v>
      </c>
      <c r="E17" s="131">
        <v>0.04</v>
      </c>
      <c r="F17" s="131">
        <v>0</v>
      </c>
      <c r="G17" s="131">
        <v>7.17E-2</v>
      </c>
      <c r="H17" s="131">
        <v>1.0989010695604411E-2</v>
      </c>
      <c r="I17" s="131">
        <v>2.0979019753846102E-2</v>
      </c>
      <c r="J17" s="131">
        <v>5.7942057621978002E-2</v>
      </c>
      <c r="K17" s="131">
        <v>1.0000000022399999E-2</v>
      </c>
      <c r="L17" s="131">
        <v>0.15609999999999999</v>
      </c>
      <c r="M17" s="131">
        <v>0</v>
      </c>
      <c r="N17" s="131">
        <v>1.7017016989019019E-2</v>
      </c>
      <c r="O17" s="131">
        <v>9.4905092941957897E-2</v>
      </c>
      <c r="P17" s="131">
        <v>0</v>
      </c>
      <c r="Q17" s="131">
        <v>0</v>
      </c>
      <c r="R17" s="131">
        <v>0</v>
      </c>
      <c r="S17" s="131">
        <v>0</v>
      </c>
      <c r="T17" s="131">
        <v>0</v>
      </c>
      <c r="U17" s="131">
        <v>0</v>
      </c>
      <c r="V17" s="131">
        <v>0</v>
      </c>
      <c r="W17" s="131">
        <v>0</v>
      </c>
      <c r="X17" s="131">
        <v>0</v>
      </c>
      <c r="Y17" s="131">
        <v>0</v>
      </c>
      <c r="Z17" s="131">
        <v>0</v>
      </c>
    </row>
    <row r="18" spans="1:26" customFormat="1" x14ac:dyDescent="0.15">
      <c r="A18" s="162" t="s">
        <v>208</v>
      </c>
      <c r="B18" s="131">
        <v>0</v>
      </c>
      <c r="C18" s="131">
        <v>0</v>
      </c>
      <c r="D18" s="131">
        <v>0.2344</v>
      </c>
      <c r="E18" s="131">
        <v>0.08</v>
      </c>
      <c r="F18" s="131">
        <v>0</v>
      </c>
      <c r="G18" s="131">
        <v>0.187</v>
      </c>
      <c r="H18" s="131">
        <v>0.17982019010988953</v>
      </c>
      <c r="I18" s="131">
        <v>0.15484515430219775</v>
      </c>
      <c r="J18" s="131">
        <v>0.15484515447252742</v>
      </c>
      <c r="K18" s="131">
        <v>0</v>
      </c>
      <c r="L18" s="131">
        <v>0</v>
      </c>
      <c r="M18" s="131">
        <v>0</v>
      </c>
      <c r="N18" s="131">
        <v>3.7037037799629587E-2</v>
      </c>
      <c r="O18" s="131">
        <v>0</v>
      </c>
      <c r="P18" s="131">
        <v>0</v>
      </c>
      <c r="Q18" s="131">
        <v>0</v>
      </c>
      <c r="R18" s="131">
        <v>0</v>
      </c>
      <c r="S18" s="131">
        <v>0</v>
      </c>
      <c r="T18" s="131">
        <v>0</v>
      </c>
      <c r="U18" s="131">
        <v>0</v>
      </c>
      <c r="V18" s="131">
        <v>0</v>
      </c>
      <c r="W18" s="131">
        <v>0</v>
      </c>
      <c r="X18" s="131">
        <v>0</v>
      </c>
      <c r="Y18" s="131">
        <v>0</v>
      </c>
      <c r="Z18" s="131">
        <v>0</v>
      </c>
    </row>
    <row r="19" spans="1:26" customFormat="1" x14ac:dyDescent="0.15">
      <c r="A19" s="162" t="s">
        <v>209</v>
      </c>
      <c r="B19" s="131">
        <v>0.3533</v>
      </c>
      <c r="C19" s="131">
        <v>0.35035036376876927</v>
      </c>
      <c r="D19" s="131">
        <v>0.1386</v>
      </c>
      <c r="E19" s="131">
        <v>0</v>
      </c>
      <c r="F19" s="131">
        <v>0</v>
      </c>
      <c r="G19" s="131">
        <v>0</v>
      </c>
      <c r="H19" s="131">
        <v>0.29470528379120936</v>
      </c>
      <c r="I19" s="131">
        <v>0.36163835171868086</v>
      </c>
      <c r="J19" s="131">
        <v>0.17582417234945039</v>
      </c>
      <c r="K19" s="131">
        <v>0</v>
      </c>
      <c r="L19" s="131">
        <v>0</v>
      </c>
      <c r="M19" s="131">
        <v>0</v>
      </c>
      <c r="N19" s="131">
        <v>0.1171171150420722</v>
      </c>
      <c r="O19" s="131">
        <v>0.60039959854965019</v>
      </c>
      <c r="P19" s="131">
        <v>0.2</v>
      </c>
      <c r="Q19" s="131">
        <v>0.1</v>
      </c>
      <c r="R19" s="131">
        <v>0</v>
      </c>
      <c r="S19" s="131">
        <v>0</v>
      </c>
      <c r="T19" s="131">
        <v>0.3</v>
      </c>
      <c r="U19" s="131">
        <v>0</v>
      </c>
      <c r="V19" s="131">
        <v>0.05</v>
      </c>
      <c r="W19" s="131">
        <v>0</v>
      </c>
      <c r="X19" s="131">
        <v>0</v>
      </c>
      <c r="Y19" s="131">
        <v>0</v>
      </c>
      <c r="Z19" s="131">
        <v>0</v>
      </c>
    </row>
    <row r="20" spans="1:26" customFormat="1" x14ac:dyDescent="0.15">
      <c r="A20" s="162" t="s">
        <v>210</v>
      </c>
      <c r="B20" s="131">
        <v>3.4299999999999997E-2</v>
      </c>
      <c r="C20" s="131">
        <v>5.0050051966967039E-2</v>
      </c>
      <c r="D20" s="131">
        <v>0</v>
      </c>
      <c r="E20" s="131">
        <v>0.23</v>
      </c>
      <c r="F20" s="131">
        <v>0</v>
      </c>
      <c r="G20" s="131">
        <v>0</v>
      </c>
      <c r="H20" s="131">
        <v>4.9950047252747395E-3</v>
      </c>
      <c r="I20" s="131">
        <v>0</v>
      </c>
      <c r="J20" s="131">
        <v>0</v>
      </c>
      <c r="K20" s="131">
        <v>1.4000000451359972E-2</v>
      </c>
      <c r="L20" s="131">
        <v>0</v>
      </c>
      <c r="M20" s="131">
        <v>0.36926147895209571</v>
      </c>
      <c r="N20" s="131">
        <v>0.13513513597162158</v>
      </c>
      <c r="O20" s="131">
        <v>0</v>
      </c>
      <c r="P20" s="131">
        <v>0</v>
      </c>
      <c r="Q20" s="131">
        <v>0</v>
      </c>
      <c r="R20" s="131">
        <v>0</v>
      </c>
      <c r="S20" s="131">
        <v>0</v>
      </c>
      <c r="T20" s="131">
        <v>0</v>
      </c>
      <c r="U20" s="131">
        <v>0</v>
      </c>
      <c r="V20" s="131">
        <v>0</v>
      </c>
      <c r="W20" s="131">
        <v>0</v>
      </c>
      <c r="X20" s="131">
        <v>0</v>
      </c>
      <c r="Y20" s="131">
        <v>0</v>
      </c>
      <c r="Z20" s="131">
        <v>0</v>
      </c>
    </row>
    <row r="21" spans="1:26" customFormat="1" x14ac:dyDescent="0.15">
      <c r="A21" s="162" t="s">
        <v>211</v>
      </c>
      <c r="B21" s="131">
        <v>7.5899999999999995E-2</v>
      </c>
      <c r="C21" s="131">
        <v>2.7027028762162231E-2</v>
      </c>
      <c r="D21" s="131">
        <v>0</v>
      </c>
      <c r="E21" s="131">
        <v>0</v>
      </c>
      <c r="F21" s="131">
        <v>0</v>
      </c>
      <c r="G21" s="131">
        <v>0</v>
      </c>
      <c r="H21" s="131">
        <v>0</v>
      </c>
      <c r="I21" s="131">
        <v>4.2957041748351597E-2</v>
      </c>
      <c r="J21" s="131">
        <v>0.24575425227252773</v>
      </c>
      <c r="K21" s="131">
        <v>0</v>
      </c>
      <c r="L21" s="131">
        <v>0</v>
      </c>
      <c r="M21" s="131">
        <v>0</v>
      </c>
      <c r="N21" s="131">
        <v>0.22622621155990078</v>
      </c>
      <c r="O21" s="131">
        <v>8.9910096671329168E-2</v>
      </c>
      <c r="P21" s="131">
        <v>0.55000000000000004</v>
      </c>
      <c r="Q21" s="131">
        <v>0.15</v>
      </c>
      <c r="R21" s="131">
        <v>0</v>
      </c>
      <c r="S21" s="131">
        <v>0.2</v>
      </c>
      <c r="T21" s="131">
        <v>0.1</v>
      </c>
      <c r="U21" s="131">
        <v>0</v>
      </c>
      <c r="V21" s="131">
        <v>0</v>
      </c>
      <c r="W21" s="131">
        <v>0</v>
      </c>
      <c r="X21" s="131">
        <v>0</v>
      </c>
      <c r="Y21" s="131">
        <v>0</v>
      </c>
      <c r="Z21" s="131">
        <v>0</v>
      </c>
    </row>
    <row r="22" spans="1:26" customFormat="1" x14ac:dyDescent="0.15">
      <c r="A22" s="162" t="s">
        <v>212</v>
      </c>
      <c r="B22" s="131">
        <v>0.35899999999999999</v>
      </c>
      <c r="C22" s="131">
        <v>0.42742741679789753</v>
      </c>
      <c r="D22" s="131">
        <v>0</v>
      </c>
      <c r="E22" s="131">
        <v>0.01</v>
      </c>
      <c r="F22" s="131">
        <v>0</v>
      </c>
      <c r="G22" s="131">
        <v>5.1999999999999998E-3</v>
      </c>
      <c r="H22" s="131">
        <v>0.32367633019780179</v>
      </c>
      <c r="I22" s="131">
        <v>0.3486513641901105</v>
      </c>
      <c r="J22" s="131">
        <v>0.24375624518901101</v>
      </c>
      <c r="K22" s="131">
        <v>0</v>
      </c>
      <c r="L22" s="131">
        <v>0</v>
      </c>
      <c r="M22" s="131">
        <v>4.9900197155688759E-3</v>
      </c>
      <c r="N22" s="131">
        <v>0.36336337841258171</v>
      </c>
      <c r="O22" s="131">
        <v>0</v>
      </c>
      <c r="P22" s="131">
        <v>0</v>
      </c>
      <c r="Q22" s="131">
        <v>0.05</v>
      </c>
      <c r="R22" s="131">
        <v>0.2</v>
      </c>
      <c r="S22" s="131">
        <v>0</v>
      </c>
      <c r="T22" s="131">
        <v>0.2</v>
      </c>
      <c r="U22" s="131">
        <v>0</v>
      </c>
      <c r="V22" s="131">
        <v>0</v>
      </c>
      <c r="W22" s="131">
        <v>0</v>
      </c>
      <c r="X22" s="131">
        <v>0</v>
      </c>
      <c r="Y22" s="131">
        <v>0</v>
      </c>
      <c r="Z22" s="131">
        <v>0</v>
      </c>
    </row>
    <row r="23" spans="1:26" customFormat="1" x14ac:dyDescent="0.15">
      <c r="A23" s="162" t="s">
        <v>213</v>
      </c>
      <c r="B23" s="131">
        <v>0</v>
      </c>
      <c r="C23" s="131">
        <v>0</v>
      </c>
      <c r="D23" s="131">
        <v>0</v>
      </c>
      <c r="E23" s="131">
        <v>0</v>
      </c>
      <c r="F23" s="131">
        <v>0</v>
      </c>
      <c r="G23" s="131">
        <v>0</v>
      </c>
      <c r="H23" s="131">
        <v>0</v>
      </c>
      <c r="I23" s="131">
        <v>0</v>
      </c>
      <c r="J23" s="131">
        <v>0</v>
      </c>
      <c r="K23" s="131">
        <v>0</v>
      </c>
      <c r="L23" s="131">
        <v>0</v>
      </c>
      <c r="M23" s="131">
        <v>0</v>
      </c>
      <c r="N23" s="131">
        <v>0</v>
      </c>
      <c r="O23" s="131">
        <v>0</v>
      </c>
      <c r="P23" s="131">
        <v>0</v>
      </c>
      <c r="Q23" s="131">
        <v>0</v>
      </c>
      <c r="R23" s="131">
        <v>0.3</v>
      </c>
      <c r="S23" s="131">
        <v>0.3</v>
      </c>
      <c r="T23" s="131">
        <v>0</v>
      </c>
      <c r="U23" s="131">
        <v>0</v>
      </c>
      <c r="V23" s="131">
        <v>0.7</v>
      </c>
      <c r="W23" s="131">
        <v>0</v>
      </c>
      <c r="X23" s="131">
        <v>0</v>
      </c>
      <c r="Y23" s="131">
        <v>0</v>
      </c>
      <c r="Z23" s="131">
        <v>0</v>
      </c>
    </row>
    <row r="24" spans="1:26" customFormat="1" x14ac:dyDescent="0.15">
      <c r="A24" s="162" t="s">
        <v>214</v>
      </c>
      <c r="B24" s="131">
        <v>8.7499999999999994E-2</v>
      </c>
      <c r="C24" s="131">
        <v>0</v>
      </c>
      <c r="D24" s="131">
        <v>0</v>
      </c>
      <c r="E24" s="131">
        <v>0</v>
      </c>
      <c r="F24" s="131">
        <v>0</v>
      </c>
      <c r="G24" s="131">
        <v>3.0999999999999999E-3</v>
      </c>
      <c r="H24" s="131">
        <v>0.12887112091208833</v>
      </c>
      <c r="I24" s="131">
        <v>2.8971028779120871E-2</v>
      </c>
      <c r="J24" s="131">
        <v>1.2987013542857166E-2</v>
      </c>
      <c r="K24" s="131">
        <v>0</v>
      </c>
      <c r="L24" s="131">
        <v>0</v>
      </c>
      <c r="M24" s="131">
        <v>2.495009857784438E-2</v>
      </c>
      <c r="N24" s="131">
        <v>3.9039037680690766E-2</v>
      </c>
      <c r="O24" s="131">
        <v>0</v>
      </c>
      <c r="P24" s="131">
        <v>0.1</v>
      </c>
      <c r="Q24" s="131">
        <v>0</v>
      </c>
      <c r="R24" s="131">
        <v>0.15</v>
      </c>
      <c r="S24" s="131">
        <v>0</v>
      </c>
      <c r="T24" s="131">
        <v>0</v>
      </c>
      <c r="U24" s="131">
        <v>0.05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</row>
    <row r="25" spans="1:26" customFormat="1" x14ac:dyDescent="0.15">
      <c r="A25" s="162" t="s">
        <v>215</v>
      </c>
      <c r="B25" s="131">
        <v>0.05</v>
      </c>
      <c r="C25" s="131">
        <v>0</v>
      </c>
      <c r="D25" s="131">
        <v>0</v>
      </c>
      <c r="E25" s="131">
        <v>0</v>
      </c>
      <c r="F25" s="131">
        <v>0</v>
      </c>
      <c r="G25" s="131">
        <v>0</v>
      </c>
      <c r="H25" s="131">
        <v>0</v>
      </c>
      <c r="I25" s="131">
        <v>0</v>
      </c>
      <c r="J25" s="131">
        <v>0</v>
      </c>
      <c r="K25" s="131">
        <v>0</v>
      </c>
      <c r="L25" s="131">
        <v>0</v>
      </c>
      <c r="M25" s="131">
        <v>0</v>
      </c>
      <c r="N25" s="131">
        <v>1.7017016989019019E-2</v>
      </c>
      <c r="O25" s="131">
        <v>0.11988011889510482</v>
      </c>
      <c r="P25" s="131">
        <v>0.15</v>
      </c>
      <c r="Q25" s="131">
        <v>0.6</v>
      </c>
      <c r="R25" s="131">
        <v>0.35</v>
      </c>
      <c r="S25" s="131">
        <v>0.5</v>
      </c>
      <c r="T25" s="131">
        <v>0.2</v>
      </c>
      <c r="U25" s="131">
        <v>0.95</v>
      </c>
      <c r="V25" s="131">
        <v>0.25</v>
      </c>
      <c r="W25" s="131">
        <v>0</v>
      </c>
      <c r="X25" s="131">
        <v>0</v>
      </c>
      <c r="Y25" s="131">
        <v>0</v>
      </c>
      <c r="Z25" s="131">
        <v>0</v>
      </c>
    </row>
    <row r="26" spans="1:26" customFormat="1" x14ac:dyDescent="0.15">
      <c r="A26" s="162" t="s">
        <v>216</v>
      </c>
      <c r="B26" s="131">
        <v>0</v>
      </c>
      <c r="C26" s="131">
        <v>0</v>
      </c>
      <c r="D26" s="131">
        <v>0</v>
      </c>
      <c r="E26" s="131">
        <v>0</v>
      </c>
      <c r="F26" s="131">
        <v>0</v>
      </c>
      <c r="G26" s="131">
        <v>0</v>
      </c>
      <c r="H26" s="131">
        <v>0</v>
      </c>
      <c r="I26" s="131">
        <v>0</v>
      </c>
      <c r="J26" s="131">
        <v>0</v>
      </c>
      <c r="K26" s="131">
        <v>0</v>
      </c>
      <c r="L26" s="131">
        <v>0</v>
      </c>
      <c r="M26" s="131">
        <v>0</v>
      </c>
      <c r="N26" s="131">
        <v>0</v>
      </c>
      <c r="O26" s="131">
        <v>0</v>
      </c>
      <c r="P26" s="131">
        <v>0</v>
      </c>
      <c r="Q26" s="131">
        <v>0</v>
      </c>
      <c r="R26" s="131">
        <v>0</v>
      </c>
      <c r="S26" s="131">
        <v>0</v>
      </c>
      <c r="T26" s="131">
        <v>0</v>
      </c>
      <c r="U26" s="131">
        <v>0</v>
      </c>
      <c r="V26" s="131">
        <v>0</v>
      </c>
      <c r="W26" s="131">
        <v>0</v>
      </c>
      <c r="X26" s="131">
        <v>0</v>
      </c>
      <c r="Y26" s="131">
        <v>0</v>
      </c>
      <c r="Z26" s="131">
        <v>0</v>
      </c>
    </row>
    <row r="27" spans="1:26" customFormat="1" x14ac:dyDescent="0.15">
      <c r="A27" s="162" t="s">
        <v>218</v>
      </c>
      <c r="B27" s="131">
        <v>0</v>
      </c>
      <c r="C27" s="131">
        <v>0</v>
      </c>
      <c r="D27" s="131">
        <v>0</v>
      </c>
      <c r="E27" s="131">
        <v>0</v>
      </c>
      <c r="F27" s="131">
        <v>0</v>
      </c>
      <c r="G27" s="131">
        <v>0</v>
      </c>
      <c r="H27" s="131">
        <v>0</v>
      </c>
      <c r="I27" s="131">
        <v>0</v>
      </c>
      <c r="J27" s="131">
        <v>0</v>
      </c>
      <c r="K27" s="131">
        <v>0</v>
      </c>
      <c r="L27" s="131">
        <v>0</v>
      </c>
      <c r="M27" s="131">
        <v>0</v>
      </c>
      <c r="N27" s="131">
        <v>0</v>
      </c>
      <c r="O27" s="131">
        <v>0</v>
      </c>
      <c r="P27" s="131">
        <v>0</v>
      </c>
      <c r="Q27" s="131">
        <v>0</v>
      </c>
      <c r="R27" s="131">
        <v>0</v>
      </c>
      <c r="S27" s="131">
        <v>0</v>
      </c>
      <c r="T27" s="131">
        <v>0</v>
      </c>
      <c r="U27" s="131">
        <v>0</v>
      </c>
      <c r="V27" s="131">
        <v>0</v>
      </c>
      <c r="W27" s="131">
        <v>0</v>
      </c>
      <c r="X27" s="131">
        <v>0</v>
      </c>
      <c r="Y27" s="131">
        <v>0</v>
      </c>
      <c r="Z27" s="131">
        <v>0</v>
      </c>
    </row>
    <row r="28" spans="1:26" customFormat="1" x14ac:dyDescent="0.15"/>
    <row r="29" spans="1:26" customFormat="1" x14ac:dyDescent="0.15"/>
    <row r="30" spans="1:26" customFormat="1" x14ac:dyDescent="0.15"/>
    <row r="31" spans="1:26" customFormat="1" x14ac:dyDescent="0.15"/>
    <row r="32" spans="1:26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2" customWidth="1"/>
    <col min="5" max="6" width="2.33203125" style="101" bestFit="1" customWidth="1"/>
    <col min="7" max="8" width="8.83203125" style="102"/>
  </cols>
  <sheetData>
    <row r="1" spans="1:8" ht="70" x14ac:dyDescent="0.15">
      <c r="A1" s="5" t="s">
        <v>20</v>
      </c>
      <c r="B1" s="1" t="s">
        <v>0</v>
      </c>
      <c r="C1" s="165" t="s">
        <v>215</v>
      </c>
      <c r="D1" s="165" t="s">
        <v>216</v>
      </c>
      <c r="E1" s="165" t="s">
        <v>219</v>
      </c>
      <c r="F1" s="165" t="s">
        <v>220</v>
      </c>
      <c r="G1"/>
      <c r="H1"/>
    </row>
    <row r="2" spans="1:8" x14ac:dyDescent="0.15">
      <c r="A2">
        <v>1</v>
      </c>
      <c r="B2" s="164" t="s">
        <v>192</v>
      </c>
      <c r="C2" s="102">
        <v>1</v>
      </c>
      <c r="D2" s="102">
        <v>0</v>
      </c>
      <c r="E2" s="101">
        <v>0</v>
      </c>
      <c r="F2" s="101">
        <v>1</v>
      </c>
      <c r="G2"/>
      <c r="H2"/>
    </row>
    <row r="3" spans="1:8" x14ac:dyDescent="0.15">
      <c r="A3">
        <v>2</v>
      </c>
      <c r="B3" s="164" t="s">
        <v>193</v>
      </c>
      <c r="C3" s="102">
        <v>1</v>
      </c>
      <c r="D3" s="102">
        <v>0</v>
      </c>
      <c r="E3" s="101">
        <v>0</v>
      </c>
      <c r="F3" s="101">
        <v>1</v>
      </c>
      <c r="G3"/>
      <c r="H3"/>
    </row>
    <row r="4" spans="1:8" x14ac:dyDescent="0.15">
      <c r="A4">
        <v>3</v>
      </c>
      <c r="B4" s="164" t="s">
        <v>194</v>
      </c>
      <c r="C4" s="102">
        <v>1</v>
      </c>
      <c r="D4" s="102">
        <v>0</v>
      </c>
      <c r="E4" s="101">
        <v>0</v>
      </c>
      <c r="F4" s="101">
        <v>1</v>
      </c>
      <c r="G4"/>
      <c r="H4"/>
    </row>
    <row r="5" spans="1:8" x14ac:dyDescent="0.15">
      <c r="A5">
        <v>4</v>
      </c>
      <c r="B5" s="164" t="s">
        <v>195</v>
      </c>
      <c r="C5" s="102">
        <v>1</v>
      </c>
      <c r="D5" s="102">
        <v>0</v>
      </c>
      <c r="E5" s="101">
        <v>0</v>
      </c>
      <c r="F5" s="101">
        <v>1</v>
      </c>
      <c r="G5"/>
      <c r="H5"/>
    </row>
    <row r="6" spans="1:8" x14ac:dyDescent="0.15">
      <c r="A6">
        <v>5</v>
      </c>
      <c r="B6" s="164" t="s">
        <v>196</v>
      </c>
      <c r="C6" s="102">
        <v>1</v>
      </c>
      <c r="D6" s="102">
        <v>0</v>
      </c>
      <c r="E6" s="101">
        <v>0</v>
      </c>
      <c r="F6" s="101">
        <v>1</v>
      </c>
      <c r="G6"/>
      <c r="H6"/>
    </row>
    <row r="7" spans="1:8" x14ac:dyDescent="0.15">
      <c r="A7">
        <v>6</v>
      </c>
      <c r="B7" s="164" t="s">
        <v>197</v>
      </c>
      <c r="C7" s="102">
        <v>1</v>
      </c>
      <c r="D7" s="102">
        <v>0</v>
      </c>
      <c r="E7" s="101">
        <v>0</v>
      </c>
      <c r="F7" s="101">
        <v>1</v>
      </c>
      <c r="G7"/>
      <c r="H7"/>
    </row>
    <row r="8" spans="1:8" x14ac:dyDescent="0.15">
      <c r="A8">
        <v>7</v>
      </c>
      <c r="B8" s="164" t="s">
        <v>198</v>
      </c>
      <c r="C8" s="102">
        <v>1</v>
      </c>
      <c r="D8" s="102">
        <v>0</v>
      </c>
      <c r="E8" s="101">
        <v>0</v>
      </c>
      <c r="F8" s="101">
        <v>1</v>
      </c>
      <c r="G8"/>
      <c r="H8"/>
    </row>
    <row r="9" spans="1:8" x14ac:dyDescent="0.15">
      <c r="A9">
        <v>8</v>
      </c>
      <c r="B9" s="164" t="s">
        <v>199</v>
      </c>
      <c r="C9" s="102">
        <v>1</v>
      </c>
      <c r="D9" s="102">
        <v>0</v>
      </c>
      <c r="E9" s="101">
        <v>0</v>
      </c>
      <c r="F9" s="101">
        <v>1</v>
      </c>
      <c r="G9"/>
      <c r="H9"/>
    </row>
    <row r="10" spans="1:8" x14ac:dyDescent="0.15">
      <c r="A10">
        <v>9</v>
      </c>
      <c r="B10" s="164" t="s">
        <v>200</v>
      </c>
      <c r="C10" s="102">
        <v>1</v>
      </c>
      <c r="D10" s="102">
        <v>0</v>
      </c>
      <c r="E10" s="101">
        <v>0</v>
      </c>
      <c r="F10" s="101">
        <v>1</v>
      </c>
      <c r="G10"/>
      <c r="H10"/>
    </row>
    <row r="11" spans="1:8" x14ac:dyDescent="0.15">
      <c r="A11">
        <v>10</v>
      </c>
      <c r="B11" s="164" t="s">
        <v>201</v>
      </c>
      <c r="C11" s="102">
        <v>1</v>
      </c>
      <c r="D11" s="102">
        <v>0</v>
      </c>
      <c r="E11" s="101">
        <v>0</v>
      </c>
      <c r="F11" s="101">
        <v>1</v>
      </c>
      <c r="G11"/>
      <c r="H11"/>
    </row>
    <row r="12" spans="1:8" x14ac:dyDescent="0.15">
      <c r="A12">
        <v>11</v>
      </c>
      <c r="B12" s="164" t="s">
        <v>202</v>
      </c>
      <c r="C12" s="102">
        <v>1</v>
      </c>
      <c r="D12" s="102">
        <v>0</v>
      </c>
      <c r="E12" s="101">
        <v>0</v>
      </c>
      <c r="F12" s="101">
        <v>1</v>
      </c>
      <c r="G12"/>
      <c r="H12"/>
    </row>
    <row r="13" spans="1:8" x14ac:dyDescent="0.15">
      <c r="A13">
        <v>12</v>
      </c>
      <c r="B13" s="164" t="s">
        <v>203</v>
      </c>
      <c r="C13" s="102">
        <v>1</v>
      </c>
      <c r="D13" s="102">
        <v>0</v>
      </c>
      <c r="E13" s="101">
        <v>0</v>
      </c>
      <c r="F13" s="101">
        <v>1</v>
      </c>
      <c r="G13"/>
      <c r="H13"/>
    </row>
    <row r="14" spans="1:8" x14ac:dyDescent="0.15">
      <c r="A14">
        <v>13</v>
      </c>
      <c r="B14" s="164" t="s">
        <v>204</v>
      </c>
      <c r="C14" s="102">
        <v>1</v>
      </c>
      <c r="D14" s="102">
        <v>0</v>
      </c>
      <c r="E14" s="101">
        <v>0</v>
      </c>
      <c r="F14" s="101">
        <v>1</v>
      </c>
      <c r="G14"/>
      <c r="H14"/>
    </row>
    <row r="15" spans="1:8" x14ac:dyDescent="0.15">
      <c r="A15">
        <v>14</v>
      </c>
      <c r="B15" s="164" t="s">
        <v>205</v>
      </c>
      <c r="C15" s="102">
        <v>1</v>
      </c>
      <c r="D15" s="102">
        <v>0</v>
      </c>
      <c r="E15" s="101">
        <v>0</v>
      </c>
      <c r="F15" s="101">
        <v>1</v>
      </c>
      <c r="G15"/>
      <c r="H15"/>
    </row>
    <row r="16" spans="1:8" x14ac:dyDescent="0.15">
      <c r="A16">
        <v>15</v>
      </c>
      <c r="B16" s="164" t="s">
        <v>206</v>
      </c>
      <c r="C16" s="102">
        <v>1</v>
      </c>
      <c r="D16" s="102">
        <v>0</v>
      </c>
      <c r="E16" s="101">
        <v>0</v>
      </c>
      <c r="F16" s="101">
        <v>1</v>
      </c>
      <c r="G16"/>
      <c r="H16"/>
    </row>
    <row r="17" spans="1:8" ht="15" customHeight="1" x14ac:dyDescent="0.15">
      <c r="A17">
        <v>16</v>
      </c>
      <c r="B17" s="164" t="s">
        <v>207</v>
      </c>
      <c r="C17" s="102">
        <v>1</v>
      </c>
      <c r="D17" s="102">
        <v>0</v>
      </c>
      <c r="E17" s="101">
        <v>0</v>
      </c>
      <c r="F17" s="101">
        <v>1</v>
      </c>
      <c r="G17"/>
      <c r="H17"/>
    </row>
    <row r="18" spans="1:8" ht="15" customHeight="1" x14ac:dyDescent="0.15">
      <c r="A18">
        <v>17</v>
      </c>
      <c r="B18" s="164" t="s">
        <v>208</v>
      </c>
      <c r="C18" s="102">
        <v>1</v>
      </c>
      <c r="D18" s="102">
        <v>0</v>
      </c>
      <c r="E18" s="101">
        <v>0</v>
      </c>
      <c r="F18" s="101">
        <v>1</v>
      </c>
      <c r="G18"/>
      <c r="H18"/>
    </row>
    <row r="19" spans="1:8" ht="15" customHeight="1" x14ac:dyDescent="0.15">
      <c r="A19">
        <v>18</v>
      </c>
      <c r="B19" s="164" t="s">
        <v>209</v>
      </c>
      <c r="C19" s="102">
        <v>1</v>
      </c>
      <c r="D19" s="102">
        <v>0</v>
      </c>
      <c r="E19" s="101">
        <v>0</v>
      </c>
      <c r="F19" s="101">
        <v>1</v>
      </c>
      <c r="G19"/>
      <c r="H19"/>
    </row>
    <row r="20" spans="1:8" ht="15" customHeight="1" x14ac:dyDescent="0.15">
      <c r="A20">
        <v>19</v>
      </c>
      <c r="B20" s="164" t="s">
        <v>210</v>
      </c>
      <c r="C20" s="102">
        <v>1</v>
      </c>
      <c r="D20" s="102">
        <v>0</v>
      </c>
      <c r="E20" s="101">
        <v>0</v>
      </c>
      <c r="F20" s="101">
        <v>1</v>
      </c>
      <c r="G20"/>
      <c r="H20"/>
    </row>
    <row r="21" spans="1:8" ht="15" customHeight="1" x14ac:dyDescent="0.15">
      <c r="A21">
        <v>20</v>
      </c>
      <c r="B21" s="164" t="s">
        <v>211</v>
      </c>
      <c r="C21" s="102">
        <v>1</v>
      </c>
      <c r="D21" s="102">
        <v>0</v>
      </c>
      <c r="E21" s="101">
        <v>0</v>
      </c>
      <c r="F21" s="101">
        <v>1</v>
      </c>
      <c r="G21"/>
      <c r="H21"/>
    </row>
    <row r="22" spans="1:8" ht="15" customHeight="1" x14ac:dyDescent="0.15">
      <c r="A22">
        <v>21</v>
      </c>
      <c r="B22" s="164" t="s">
        <v>212</v>
      </c>
      <c r="C22" s="102">
        <v>1</v>
      </c>
      <c r="D22" s="102">
        <v>0</v>
      </c>
      <c r="E22" s="101">
        <v>0</v>
      </c>
      <c r="F22" s="101">
        <v>1</v>
      </c>
      <c r="G22"/>
      <c r="H22"/>
    </row>
    <row r="23" spans="1:8" ht="15" customHeight="1" x14ac:dyDescent="0.15">
      <c r="A23">
        <v>22</v>
      </c>
      <c r="B23" s="164" t="s">
        <v>213</v>
      </c>
      <c r="C23" s="102">
        <v>1</v>
      </c>
      <c r="D23" s="102">
        <v>0</v>
      </c>
      <c r="E23" s="101">
        <v>0</v>
      </c>
      <c r="F23" s="101">
        <v>1</v>
      </c>
      <c r="G23"/>
      <c r="H23"/>
    </row>
    <row r="24" spans="1:8" ht="15" customHeight="1" x14ac:dyDescent="0.15">
      <c r="A24">
        <v>23</v>
      </c>
      <c r="B24" s="164" t="s">
        <v>214</v>
      </c>
      <c r="C24" s="102">
        <v>1</v>
      </c>
      <c r="D24" s="102">
        <v>0</v>
      </c>
      <c r="E24" s="101">
        <v>0</v>
      </c>
      <c r="F24" s="101">
        <v>1</v>
      </c>
      <c r="G24"/>
      <c r="H24"/>
    </row>
    <row r="25" spans="1:8" ht="15" customHeight="1" x14ac:dyDescent="0.15">
      <c r="A25">
        <v>24</v>
      </c>
      <c r="B25" s="164" t="s">
        <v>215</v>
      </c>
      <c r="C25" s="102">
        <v>0</v>
      </c>
      <c r="D25" s="102">
        <v>1</v>
      </c>
      <c r="E25" s="101">
        <v>0</v>
      </c>
      <c r="F25" s="101">
        <v>1</v>
      </c>
      <c r="G25"/>
      <c r="H25"/>
    </row>
    <row r="26" spans="1:8" ht="15" customHeight="1" x14ac:dyDescent="0.15">
      <c r="A26">
        <v>25</v>
      </c>
      <c r="B26" s="164" t="s">
        <v>216</v>
      </c>
      <c r="C26" s="102">
        <v>0</v>
      </c>
      <c r="D26" s="102">
        <v>0</v>
      </c>
      <c r="E26" s="101">
        <v>1</v>
      </c>
      <c r="F26" s="101">
        <v>1</v>
      </c>
      <c r="G26"/>
      <c r="H26"/>
    </row>
    <row r="27" spans="1:8" ht="15" customHeight="1" x14ac:dyDescent="0.15">
      <c r="A27">
        <v>26</v>
      </c>
      <c r="B27" s="164" t="s">
        <v>217</v>
      </c>
      <c r="C27" s="102">
        <v>0</v>
      </c>
      <c r="D27" s="102">
        <v>1</v>
      </c>
      <c r="E27" s="101">
        <v>0</v>
      </c>
      <c r="F27" s="101">
        <v>1</v>
      </c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2"/>
      <c r="F36" s="102"/>
      <c r="G36"/>
      <c r="H36"/>
    </row>
    <row r="37" spans="3:8" ht="15" customHeight="1" x14ac:dyDescent="0.15">
      <c r="C37"/>
      <c r="D37"/>
      <c r="E37" s="102"/>
      <c r="F37" s="102"/>
      <c r="G37"/>
      <c r="H37"/>
    </row>
    <row r="38" spans="3:8" ht="15" customHeight="1" x14ac:dyDescent="0.15">
      <c r="C38"/>
      <c r="D38"/>
      <c r="E38" s="102"/>
      <c r="F38" s="102"/>
      <c r="G38"/>
      <c r="H38"/>
    </row>
    <row r="39" spans="3:8" ht="15" customHeight="1" x14ac:dyDescent="0.15">
      <c r="C39"/>
      <c r="D39"/>
      <c r="E39" s="102"/>
      <c r="F39" s="102"/>
      <c r="G39"/>
      <c r="H39"/>
    </row>
    <row r="40" spans="3:8" ht="15" customHeight="1" x14ac:dyDescent="0.15">
      <c r="C40"/>
      <c r="D40"/>
      <c r="E40" s="102"/>
      <c r="F40" s="102"/>
      <c r="G40"/>
      <c r="H40"/>
    </row>
    <row r="41" spans="3:8" ht="15" customHeight="1" x14ac:dyDescent="0.15">
      <c r="C41"/>
      <c r="D41"/>
      <c r="E41" s="102"/>
      <c r="F41" s="102"/>
      <c r="G41"/>
      <c r="H41"/>
    </row>
    <row r="42" spans="3:8" ht="15" customHeight="1" x14ac:dyDescent="0.15">
      <c r="C42"/>
      <c r="D42"/>
      <c r="E42" s="102"/>
      <c r="F42" s="102"/>
      <c r="G42"/>
      <c r="H42"/>
    </row>
    <row r="43" spans="3:8" ht="15" customHeight="1" x14ac:dyDescent="0.15">
      <c r="C43"/>
      <c r="D43"/>
      <c r="E43" s="102"/>
      <c r="F43" s="102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2"/>
      <c r="F46" s="102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6.83203125" bestFit="1" customWidth="1"/>
    <col min="5" max="5" width="12.1640625" bestFit="1" customWidth="1"/>
  </cols>
  <sheetData>
    <row r="1" spans="1:5" s="103" customFormat="1" ht="112" x14ac:dyDescent="0.15">
      <c r="A1" s="5" t="s">
        <v>21</v>
      </c>
      <c r="B1" s="3" t="s">
        <v>0</v>
      </c>
      <c r="C1" s="167" t="s">
        <v>217</v>
      </c>
      <c r="D1" s="167" t="s">
        <v>221</v>
      </c>
      <c r="E1"/>
    </row>
    <row r="2" spans="1:5" ht="15" customHeight="1" x14ac:dyDescent="0.15">
      <c r="A2">
        <v>1</v>
      </c>
      <c r="B2" s="166" t="s">
        <v>192</v>
      </c>
      <c r="C2">
        <v>3.3999999999999998E-3</v>
      </c>
      <c r="D2">
        <v>3.3999999999999998E-3</v>
      </c>
    </row>
    <row r="3" spans="1:5" ht="15" customHeight="1" x14ac:dyDescent="0.15">
      <c r="A3">
        <v>2</v>
      </c>
      <c r="B3" s="166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66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66" t="s">
        <v>195</v>
      </c>
      <c r="C5">
        <v>6.83E-2</v>
      </c>
      <c r="D5">
        <v>6.83E-2</v>
      </c>
    </row>
    <row r="6" spans="1:5" ht="15" customHeight="1" x14ac:dyDescent="0.15">
      <c r="A6">
        <v>5</v>
      </c>
      <c r="B6" s="166" t="s">
        <v>196</v>
      </c>
      <c r="C6">
        <v>6.4100000000000004E-2</v>
      </c>
      <c r="D6">
        <v>6.4100000000000004E-2</v>
      </c>
    </row>
    <row r="7" spans="1:5" ht="15" customHeight="1" x14ac:dyDescent="0.15">
      <c r="A7">
        <v>6</v>
      </c>
      <c r="B7" s="166" t="s">
        <v>197</v>
      </c>
      <c r="C7">
        <v>3.3799999999999997E-2</v>
      </c>
      <c r="D7">
        <v>3.3799999999999997E-2</v>
      </c>
    </row>
    <row r="8" spans="1:5" ht="15" customHeight="1" x14ac:dyDescent="0.15">
      <c r="A8">
        <v>7</v>
      </c>
      <c r="B8" s="166" t="s">
        <v>198</v>
      </c>
      <c r="C8">
        <v>9.4899999999999998E-2</v>
      </c>
      <c r="D8">
        <v>9.4899999999999998E-2</v>
      </c>
    </row>
    <row r="9" spans="1:5" ht="15" customHeight="1" x14ac:dyDescent="0.15">
      <c r="A9">
        <v>8</v>
      </c>
      <c r="B9" s="166" t="s">
        <v>199</v>
      </c>
      <c r="C9">
        <v>6.9999999999999999E-4</v>
      </c>
      <c r="D9">
        <v>6.9999999999999999E-4</v>
      </c>
    </row>
    <row r="10" spans="1:5" ht="15" customHeight="1" x14ac:dyDescent="0.15">
      <c r="A10">
        <v>9</v>
      </c>
      <c r="B10" s="166" t="s">
        <v>200</v>
      </c>
      <c r="C10">
        <v>4.2000000000000003E-2</v>
      </c>
      <c r="D10">
        <v>4.2000000000000003E-2</v>
      </c>
    </row>
    <row r="11" spans="1:5" ht="15" customHeight="1" x14ac:dyDescent="0.15">
      <c r="A11">
        <v>10</v>
      </c>
      <c r="B11" s="166" t="s">
        <v>201</v>
      </c>
      <c r="C11">
        <v>9.6600000000000005E-2</v>
      </c>
      <c r="D11">
        <v>9.6600000000000005E-2</v>
      </c>
    </row>
    <row r="12" spans="1:5" ht="15" customHeight="1" x14ac:dyDescent="0.15">
      <c r="A12">
        <v>11</v>
      </c>
      <c r="B12" s="166" t="s">
        <v>202</v>
      </c>
      <c r="C12">
        <v>1.8E-3</v>
      </c>
      <c r="D12">
        <v>1.8E-3</v>
      </c>
    </row>
    <row r="13" spans="1:5" ht="15" customHeight="1" x14ac:dyDescent="0.15">
      <c r="A13">
        <v>12</v>
      </c>
      <c r="B13" s="166" t="s">
        <v>203</v>
      </c>
      <c r="C13">
        <v>3.2899999999999999E-2</v>
      </c>
      <c r="D13">
        <v>3.2899999999999999E-2</v>
      </c>
    </row>
    <row r="14" spans="1:5" ht="15" customHeight="1" x14ac:dyDescent="0.15">
      <c r="A14">
        <v>13</v>
      </c>
      <c r="B14" s="166" t="s">
        <v>204</v>
      </c>
      <c r="C14">
        <v>1.29E-2</v>
      </c>
      <c r="D14">
        <v>1.29E-2</v>
      </c>
    </row>
    <row r="15" spans="1:5" ht="15" customHeight="1" x14ac:dyDescent="0.15">
      <c r="A15">
        <v>14</v>
      </c>
      <c r="B15" s="166" t="s">
        <v>205</v>
      </c>
      <c r="C15">
        <v>1E-4</v>
      </c>
      <c r="D15">
        <v>1E-4</v>
      </c>
    </row>
    <row r="16" spans="1:5" ht="15" customHeight="1" x14ac:dyDescent="0.15">
      <c r="A16">
        <v>15</v>
      </c>
      <c r="B16" s="166" t="s">
        <v>206</v>
      </c>
      <c r="C16">
        <v>7.8399999999999997E-2</v>
      </c>
      <c r="D16">
        <v>7.8399999999999997E-2</v>
      </c>
    </row>
    <row r="17" spans="1:4" ht="15" customHeight="1" x14ac:dyDescent="0.15">
      <c r="A17">
        <v>16</v>
      </c>
      <c r="B17" s="166" t="s">
        <v>207</v>
      </c>
      <c r="C17">
        <v>7.0199999999999999E-2</v>
      </c>
      <c r="D17">
        <v>7.0199999999999999E-2</v>
      </c>
    </row>
    <row r="18" spans="1:4" ht="15" customHeight="1" x14ac:dyDescent="0.15">
      <c r="A18">
        <v>17</v>
      </c>
      <c r="B18" s="166" t="s">
        <v>208</v>
      </c>
      <c r="C18">
        <v>0.04</v>
      </c>
      <c r="D18">
        <v>0.04</v>
      </c>
    </row>
    <row r="19" spans="1:4" ht="15" customHeight="1" x14ac:dyDescent="0.15">
      <c r="A19">
        <v>18</v>
      </c>
      <c r="B19" s="166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66" t="s">
        <v>210</v>
      </c>
      <c r="C20">
        <v>2.4E-2</v>
      </c>
      <c r="D20">
        <v>2.4E-2</v>
      </c>
    </row>
    <row r="21" spans="1:4" ht="15" customHeight="1" x14ac:dyDescent="0.15">
      <c r="A21">
        <v>20</v>
      </c>
      <c r="B21" s="166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66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66" t="s">
        <v>213</v>
      </c>
      <c r="C23">
        <v>0</v>
      </c>
      <c r="D23">
        <v>0</v>
      </c>
    </row>
    <row r="24" spans="1:4" ht="15" customHeight="1" x14ac:dyDescent="0.15">
      <c r="A24">
        <v>23</v>
      </c>
      <c r="B24" s="166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66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66" t="s">
        <v>216</v>
      </c>
      <c r="C26">
        <v>0</v>
      </c>
      <c r="D26">
        <v>0</v>
      </c>
    </row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2.33203125" bestFit="1" customWidth="1"/>
    <col min="5" max="5" width="12.1640625" bestFit="1" customWidth="1"/>
  </cols>
  <sheetData>
    <row r="1" spans="1:4" s="103" customFormat="1" ht="112" x14ac:dyDescent="0.15">
      <c r="A1" s="5" t="s">
        <v>22</v>
      </c>
      <c r="B1" s="3" t="s">
        <v>0</v>
      </c>
      <c r="C1" s="169" t="s">
        <v>217</v>
      </c>
      <c r="D1" s="169" t="s">
        <v>221</v>
      </c>
    </row>
    <row r="2" spans="1:4" x14ac:dyDescent="0.15">
      <c r="A2">
        <v>1</v>
      </c>
      <c r="B2" s="168" t="s">
        <v>192</v>
      </c>
      <c r="C2">
        <v>0</v>
      </c>
      <c r="D2">
        <v>0</v>
      </c>
    </row>
    <row r="3" spans="1:4" x14ac:dyDescent="0.15">
      <c r="A3">
        <v>2</v>
      </c>
      <c r="B3" s="168" t="s">
        <v>193</v>
      </c>
      <c r="C3">
        <v>0</v>
      </c>
      <c r="D3">
        <v>0</v>
      </c>
    </row>
    <row r="4" spans="1:4" x14ac:dyDescent="0.15">
      <c r="A4">
        <v>3</v>
      </c>
      <c r="B4" s="168" t="s">
        <v>194</v>
      </c>
      <c r="C4">
        <v>0</v>
      </c>
      <c r="D4">
        <v>0</v>
      </c>
    </row>
    <row r="5" spans="1:4" x14ac:dyDescent="0.15">
      <c r="A5">
        <v>4</v>
      </c>
      <c r="B5" s="168" t="s">
        <v>195</v>
      </c>
      <c r="C5">
        <v>0</v>
      </c>
      <c r="D5">
        <v>0</v>
      </c>
    </row>
    <row r="6" spans="1:4" x14ac:dyDescent="0.15">
      <c r="A6">
        <v>5</v>
      </c>
      <c r="B6" s="168" t="s">
        <v>196</v>
      </c>
      <c r="C6">
        <v>0</v>
      </c>
      <c r="D6">
        <v>0</v>
      </c>
    </row>
    <row r="7" spans="1:4" x14ac:dyDescent="0.15">
      <c r="A7">
        <v>6</v>
      </c>
      <c r="B7" s="168" t="s">
        <v>197</v>
      </c>
      <c r="C7">
        <v>0</v>
      </c>
      <c r="D7">
        <v>0</v>
      </c>
    </row>
    <row r="8" spans="1:4" x14ac:dyDescent="0.15">
      <c r="A8">
        <v>7</v>
      </c>
      <c r="B8" s="168" t="s">
        <v>198</v>
      </c>
      <c r="C8">
        <v>0</v>
      </c>
      <c r="D8">
        <v>0</v>
      </c>
    </row>
    <row r="9" spans="1:4" x14ac:dyDescent="0.15">
      <c r="A9">
        <v>8</v>
      </c>
      <c r="B9" s="168" t="s">
        <v>199</v>
      </c>
      <c r="C9">
        <v>0</v>
      </c>
      <c r="D9">
        <v>0</v>
      </c>
    </row>
    <row r="10" spans="1:4" x14ac:dyDescent="0.15">
      <c r="A10">
        <v>9</v>
      </c>
      <c r="B10" s="168" t="s">
        <v>200</v>
      </c>
      <c r="C10">
        <v>0</v>
      </c>
      <c r="D10">
        <v>0</v>
      </c>
    </row>
    <row r="11" spans="1:4" x14ac:dyDescent="0.15">
      <c r="A11">
        <v>10</v>
      </c>
      <c r="B11" s="168" t="s">
        <v>201</v>
      </c>
      <c r="C11">
        <v>0</v>
      </c>
      <c r="D11">
        <v>0</v>
      </c>
    </row>
    <row r="12" spans="1:4" x14ac:dyDescent="0.15">
      <c r="A12">
        <v>11</v>
      </c>
      <c r="B12" s="168" t="s">
        <v>202</v>
      </c>
      <c r="C12">
        <v>0</v>
      </c>
      <c r="D12">
        <v>0</v>
      </c>
    </row>
    <row r="13" spans="1:4" x14ac:dyDescent="0.15">
      <c r="A13">
        <v>12</v>
      </c>
      <c r="B13" s="168" t="s">
        <v>203</v>
      </c>
      <c r="C13">
        <v>0</v>
      </c>
      <c r="D13">
        <v>0</v>
      </c>
    </row>
    <row r="14" spans="1:4" x14ac:dyDescent="0.15">
      <c r="A14">
        <v>13</v>
      </c>
      <c r="B14" s="168" t="s">
        <v>204</v>
      </c>
      <c r="C14">
        <v>0</v>
      </c>
      <c r="D14">
        <v>0</v>
      </c>
    </row>
    <row r="15" spans="1:4" x14ac:dyDescent="0.15">
      <c r="A15">
        <v>14</v>
      </c>
      <c r="B15" s="168" t="s">
        <v>205</v>
      </c>
      <c r="C15">
        <v>0</v>
      </c>
      <c r="D15">
        <v>0</v>
      </c>
    </row>
    <row r="16" spans="1:4" x14ac:dyDescent="0.15">
      <c r="A16">
        <v>15</v>
      </c>
      <c r="B16" s="168" t="s">
        <v>206</v>
      </c>
      <c r="C16">
        <v>0</v>
      </c>
      <c r="D16">
        <v>0</v>
      </c>
    </row>
    <row r="17" spans="1:4" x14ac:dyDescent="0.15">
      <c r="A17">
        <v>16</v>
      </c>
      <c r="B17" s="168" t="s">
        <v>207</v>
      </c>
      <c r="C17">
        <v>0</v>
      </c>
      <c r="D17">
        <v>0</v>
      </c>
    </row>
    <row r="18" spans="1:4" x14ac:dyDescent="0.15">
      <c r="A18">
        <v>17</v>
      </c>
      <c r="B18" s="168" t="s">
        <v>208</v>
      </c>
      <c r="C18">
        <v>0</v>
      </c>
      <c r="D18">
        <v>0</v>
      </c>
    </row>
    <row r="19" spans="1:4" x14ac:dyDescent="0.15">
      <c r="A19">
        <v>18</v>
      </c>
      <c r="B19" s="168" t="s">
        <v>209</v>
      </c>
      <c r="C19">
        <v>0</v>
      </c>
      <c r="D19">
        <v>0</v>
      </c>
    </row>
    <row r="20" spans="1:4" x14ac:dyDescent="0.15">
      <c r="A20">
        <v>19</v>
      </c>
      <c r="B20" s="168" t="s">
        <v>210</v>
      </c>
      <c r="C20">
        <v>0</v>
      </c>
      <c r="D20">
        <v>0</v>
      </c>
    </row>
    <row r="21" spans="1:4" x14ac:dyDescent="0.15">
      <c r="A21">
        <v>20</v>
      </c>
      <c r="B21" s="168" t="s">
        <v>211</v>
      </c>
      <c r="C21">
        <v>0</v>
      </c>
      <c r="D21">
        <v>0</v>
      </c>
    </row>
    <row r="22" spans="1:4" x14ac:dyDescent="0.15">
      <c r="A22">
        <v>21</v>
      </c>
      <c r="B22" s="168" t="s">
        <v>212</v>
      </c>
      <c r="C22">
        <v>0</v>
      </c>
      <c r="D22">
        <v>0</v>
      </c>
    </row>
    <row r="23" spans="1:4" x14ac:dyDescent="0.15">
      <c r="A23">
        <v>22</v>
      </c>
      <c r="B23" s="168" t="s">
        <v>213</v>
      </c>
      <c r="C23">
        <v>0</v>
      </c>
      <c r="D23">
        <v>0</v>
      </c>
    </row>
    <row r="24" spans="1:4" x14ac:dyDescent="0.15">
      <c r="A24">
        <v>23</v>
      </c>
      <c r="B24" s="168" t="s">
        <v>214</v>
      </c>
      <c r="C24">
        <v>0</v>
      </c>
      <c r="D24">
        <v>0</v>
      </c>
    </row>
    <row r="25" spans="1:4" x14ac:dyDescent="0.15">
      <c r="A25">
        <v>24</v>
      </c>
      <c r="B25" s="168" t="s">
        <v>215</v>
      </c>
      <c r="C25">
        <v>0</v>
      </c>
      <c r="D25">
        <v>0</v>
      </c>
    </row>
    <row r="26" spans="1:4" x14ac:dyDescent="0.15">
      <c r="A26">
        <v>25</v>
      </c>
      <c r="B26" s="168" t="s">
        <v>216</v>
      </c>
      <c r="C26">
        <v>0</v>
      </c>
      <c r="D26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" bestFit="1" customWidth="1"/>
    <col min="6" max="6" width="4.83203125" bestFit="1" customWidth="1"/>
    <col min="7" max="9" width="3.83203125" bestFit="1" customWidth="1"/>
    <col min="10" max="11" width="4.83203125" style="10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4" customFormat="1" ht="14" thickBot="1" x14ac:dyDescent="0.2">
      <c r="D1" s="105" t="s">
        <v>8</v>
      </c>
      <c r="E1" s="105" t="s">
        <v>0</v>
      </c>
      <c r="F1" s="106" t="s">
        <v>99</v>
      </c>
      <c r="G1" s="107" t="s">
        <v>84</v>
      </c>
      <c r="H1" s="107" t="s">
        <v>85</v>
      </c>
      <c r="I1" s="107" t="s">
        <v>86</v>
      </c>
      <c r="J1" s="107" t="s">
        <v>87</v>
      </c>
      <c r="K1" s="107" t="s">
        <v>88</v>
      </c>
      <c r="L1" s="108" t="s">
        <v>89</v>
      </c>
      <c r="M1" s="108" t="s">
        <v>93</v>
      </c>
      <c r="N1" s="108" t="s">
        <v>92</v>
      </c>
      <c r="O1" s="108" t="s">
        <v>90</v>
      </c>
      <c r="P1" s="108" t="s">
        <v>91</v>
      </c>
      <c r="Q1" s="109" t="s">
        <v>94</v>
      </c>
      <c r="R1" s="109" t="s">
        <v>95</v>
      </c>
      <c r="S1" s="109" t="s">
        <v>96</v>
      </c>
      <c r="T1" s="109" t="s">
        <v>97</v>
      </c>
      <c r="U1" s="109" t="s">
        <v>98</v>
      </c>
      <c r="V1" s="107" t="s">
        <v>100</v>
      </c>
      <c r="W1" s="107" t="s">
        <v>101</v>
      </c>
      <c r="X1" s="107" t="s">
        <v>102</v>
      </c>
      <c r="Y1" s="107" t="s">
        <v>134</v>
      </c>
      <c r="Z1" s="108" t="s">
        <v>103</v>
      </c>
      <c r="AA1" s="108" t="s">
        <v>104</v>
      </c>
      <c r="AB1" s="108" t="s">
        <v>105</v>
      </c>
      <c r="AC1" s="110" t="s">
        <v>135</v>
      </c>
      <c r="AD1" s="109" t="s">
        <v>106</v>
      </c>
      <c r="AE1" s="109" t="s">
        <v>107</v>
      </c>
      <c r="AF1" s="109" t="s">
        <v>108</v>
      </c>
      <c r="AG1" s="109" t="s">
        <v>136</v>
      </c>
      <c r="AH1" s="107" t="s">
        <v>109</v>
      </c>
      <c r="AI1" s="107" t="s">
        <v>111</v>
      </c>
      <c r="AJ1" s="107" t="s">
        <v>110</v>
      </c>
      <c r="AK1" s="108" t="s">
        <v>115</v>
      </c>
      <c r="AL1" s="108" t="s">
        <v>116</v>
      </c>
      <c r="AM1" s="108" t="s">
        <v>117</v>
      </c>
      <c r="AN1" s="109" t="s">
        <v>112</v>
      </c>
      <c r="AO1" s="109" t="s">
        <v>113</v>
      </c>
      <c r="AP1" s="109" t="s">
        <v>114</v>
      </c>
    </row>
    <row r="2" spans="1:42" x14ac:dyDescent="0.15">
      <c r="A2" s="111" t="s">
        <v>74</v>
      </c>
      <c r="B2" s="112">
        <v>1</v>
      </c>
      <c r="D2">
        <v>1</v>
      </c>
      <c r="E2" s="170" t="s">
        <v>192</v>
      </c>
      <c r="F2">
        <v>0.98</v>
      </c>
      <c r="G2">
        <v>0.8</v>
      </c>
      <c r="H2">
        <v>0.8</v>
      </c>
      <c r="I2">
        <v>0.8</v>
      </c>
      <c r="J2" s="102">
        <v>0.25</v>
      </c>
      <c r="K2" s="102">
        <v>0.05</v>
      </c>
    </row>
    <row r="3" spans="1:42" x14ac:dyDescent="0.15">
      <c r="A3" s="111" t="s">
        <v>75</v>
      </c>
      <c r="B3" s="113">
        <v>1</v>
      </c>
      <c r="D3">
        <v>2</v>
      </c>
      <c r="E3" s="170" t="s">
        <v>193</v>
      </c>
      <c r="F3">
        <v>0.98</v>
      </c>
      <c r="G3">
        <v>0.8</v>
      </c>
      <c r="H3">
        <v>0.8</v>
      </c>
      <c r="I3">
        <v>0.8</v>
      </c>
      <c r="J3" s="102">
        <v>0.25</v>
      </c>
      <c r="K3" s="102">
        <v>0.05</v>
      </c>
    </row>
    <row r="4" spans="1:42" x14ac:dyDescent="0.15">
      <c r="A4" s="111" t="s">
        <v>76</v>
      </c>
      <c r="B4" s="113">
        <v>1</v>
      </c>
      <c r="D4">
        <v>3</v>
      </c>
      <c r="E4" s="170" t="s">
        <v>194</v>
      </c>
      <c r="F4">
        <v>0.98</v>
      </c>
      <c r="G4">
        <v>0.8</v>
      </c>
      <c r="H4">
        <v>0.8</v>
      </c>
      <c r="I4">
        <v>0.8</v>
      </c>
      <c r="J4" s="102">
        <v>0.25</v>
      </c>
      <c r="K4" s="102">
        <v>0.05</v>
      </c>
    </row>
    <row r="5" spans="1:42" x14ac:dyDescent="0.15">
      <c r="A5" s="111" t="s">
        <v>77</v>
      </c>
      <c r="B5" s="113">
        <v>1</v>
      </c>
      <c r="D5">
        <v>4</v>
      </c>
      <c r="E5" s="170" t="s">
        <v>195</v>
      </c>
      <c r="F5">
        <v>0.98</v>
      </c>
      <c r="G5">
        <v>0.8</v>
      </c>
      <c r="H5">
        <v>0.8</v>
      </c>
      <c r="I5">
        <v>0.8</v>
      </c>
      <c r="J5" s="102">
        <v>0.25</v>
      </c>
      <c r="K5" s="102">
        <v>0.05</v>
      </c>
    </row>
    <row r="6" spans="1:42" x14ac:dyDescent="0.15">
      <c r="A6" s="111" t="s">
        <v>78</v>
      </c>
      <c r="B6" s="113">
        <v>1</v>
      </c>
      <c r="D6">
        <v>5</v>
      </c>
      <c r="E6" s="170" t="s">
        <v>196</v>
      </c>
      <c r="F6">
        <v>0.98</v>
      </c>
      <c r="G6">
        <v>0.8</v>
      </c>
      <c r="H6">
        <v>0.8</v>
      </c>
      <c r="I6">
        <v>0.8</v>
      </c>
      <c r="J6" s="102">
        <v>0.25</v>
      </c>
      <c r="K6" s="102">
        <v>0.05</v>
      </c>
    </row>
    <row r="7" spans="1:42" x14ac:dyDescent="0.15">
      <c r="A7" s="111" t="s">
        <v>79</v>
      </c>
      <c r="B7" s="113">
        <v>1</v>
      </c>
      <c r="D7">
        <v>6</v>
      </c>
      <c r="E7" s="170" t="s">
        <v>197</v>
      </c>
      <c r="F7">
        <v>0.98</v>
      </c>
      <c r="G7">
        <v>0.8</v>
      </c>
      <c r="H7">
        <v>0.8</v>
      </c>
      <c r="I7">
        <v>0.8</v>
      </c>
      <c r="J7" s="102">
        <v>0.25</v>
      </c>
      <c r="K7" s="102">
        <v>0.05</v>
      </c>
    </row>
    <row r="8" spans="1:42" x14ac:dyDescent="0.15">
      <c r="A8" s="111" t="s">
        <v>80</v>
      </c>
      <c r="B8" s="113">
        <v>1</v>
      </c>
      <c r="D8">
        <v>7</v>
      </c>
      <c r="E8" s="170" t="s">
        <v>198</v>
      </c>
      <c r="F8">
        <v>0.98</v>
      </c>
      <c r="G8">
        <v>0.8</v>
      </c>
      <c r="H8">
        <v>0.8</v>
      </c>
      <c r="I8">
        <v>0.8</v>
      </c>
      <c r="J8" s="102">
        <v>0.25</v>
      </c>
      <c r="K8" s="102">
        <v>0.05</v>
      </c>
    </row>
    <row r="9" spans="1:42" x14ac:dyDescent="0.15">
      <c r="A9" s="111" t="s">
        <v>81</v>
      </c>
      <c r="B9" s="113">
        <v>0.1</v>
      </c>
      <c r="C9" s="57" t="s">
        <v>150</v>
      </c>
      <c r="D9">
        <v>8</v>
      </c>
      <c r="E9" s="170" t="s">
        <v>199</v>
      </c>
      <c r="F9">
        <v>0.98</v>
      </c>
      <c r="G9">
        <v>0.8</v>
      </c>
      <c r="H9">
        <v>0.8</v>
      </c>
      <c r="I9">
        <v>0.8</v>
      </c>
      <c r="J9" s="102">
        <v>0.25</v>
      </c>
      <c r="K9" s="102">
        <v>0.05</v>
      </c>
    </row>
    <row r="10" spans="1:42" ht="14" thickBot="1" x14ac:dyDescent="0.2">
      <c r="A10" s="111" t="s">
        <v>149</v>
      </c>
      <c r="B10" s="114">
        <f>1/3</f>
        <v>0.33333333333333331</v>
      </c>
      <c r="C10" s="57" t="s">
        <v>150</v>
      </c>
      <c r="D10">
        <v>9</v>
      </c>
      <c r="E10" s="170" t="s">
        <v>200</v>
      </c>
      <c r="F10">
        <v>0.98</v>
      </c>
      <c r="G10">
        <v>0.8</v>
      </c>
      <c r="H10">
        <v>0.8</v>
      </c>
      <c r="I10">
        <v>0.8</v>
      </c>
      <c r="J10" s="102">
        <v>0.25</v>
      </c>
      <c r="K10" s="102">
        <v>0.05</v>
      </c>
    </row>
    <row r="11" spans="1:42" x14ac:dyDescent="0.15">
      <c r="D11">
        <v>10</v>
      </c>
      <c r="E11" s="170" t="s">
        <v>201</v>
      </c>
      <c r="F11">
        <v>0.98</v>
      </c>
      <c r="G11">
        <v>0.8</v>
      </c>
      <c r="H11">
        <v>0.8</v>
      </c>
      <c r="I11">
        <v>0.8</v>
      </c>
      <c r="J11" s="102">
        <v>0.25</v>
      </c>
      <c r="K11" s="102">
        <v>0.05</v>
      </c>
    </row>
    <row r="12" spans="1:42" x14ac:dyDescent="0.15">
      <c r="D12">
        <v>11</v>
      </c>
      <c r="E12" s="170" t="s">
        <v>202</v>
      </c>
      <c r="F12">
        <v>0.98</v>
      </c>
      <c r="G12">
        <v>0.8</v>
      </c>
      <c r="H12">
        <v>0.8</v>
      </c>
      <c r="I12">
        <v>0.8</v>
      </c>
      <c r="J12" s="102">
        <v>0.25</v>
      </c>
      <c r="K12" s="102">
        <v>0.05</v>
      </c>
    </row>
    <row r="13" spans="1:42" x14ac:dyDescent="0.15">
      <c r="D13">
        <v>12</v>
      </c>
      <c r="E13" s="170" t="s">
        <v>203</v>
      </c>
      <c r="F13">
        <v>0.98</v>
      </c>
      <c r="G13">
        <v>0.8</v>
      </c>
      <c r="H13">
        <v>0.8</v>
      </c>
      <c r="I13">
        <v>0.8</v>
      </c>
      <c r="J13" s="102">
        <v>0.25</v>
      </c>
      <c r="K13" s="102">
        <v>0.05</v>
      </c>
    </row>
    <row r="14" spans="1:42" x14ac:dyDescent="0.15">
      <c r="D14">
        <v>13</v>
      </c>
      <c r="E14" s="170" t="s">
        <v>204</v>
      </c>
      <c r="F14">
        <v>0.98</v>
      </c>
      <c r="G14">
        <v>0.8</v>
      </c>
      <c r="H14">
        <v>0.8</v>
      </c>
      <c r="I14">
        <v>0.8</v>
      </c>
      <c r="J14" s="102">
        <v>0.25</v>
      </c>
      <c r="K14" s="102">
        <v>0.05</v>
      </c>
    </row>
    <row r="15" spans="1:42" x14ac:dyDescent="0.15">
      <c r="D15">
        <v>14</v>
      </c>
      <c r="E15" s="170" t="s">
        <v>205</v>
      </c>
      <c r="F15">
        <v>0.98</v>
      </c>
      <c r="G15">
        <v>0.8</v>
      </c>
      <c r="H15">
        <v>0.8</v>
      </c>
      <c r="I15">
        <v>0.8</v>
      </c>
      <c r="J15" s="102">
        <v>0.25</v>
      </c>
      <c r="K15" s="102">
        <v>0.05</v>
      </c>
    </row>
    <row r="16" spans="1:42" x14ac:dyDescent="0.15">
      <c r="D16">
        <v>15</v>
      </c>
      <c r="E16" s="170" t="s">
        <v>206</v>
      </c>
      <c r="F16">
        <v>0.98</v>
      </c>
      <c r="G16">
        <v>0.8</v>
      </c>
      <c r="H16">
        <v>0.8</v>
      </c>
      <c r="I16">
        <v>0.8</v>
      </c>
      <c r="J16" s="102">
        <v>0.25</v>
      </c>
      <c r="K16" s="102">
        <v>0.05</v>
      </c>
    </row>
    <row r="17" spans="4:33" ht="15" customHeight="1" x14ac:dyDescent="0.15">
      <c r="D17">
        <v>16</v>
      </c>
      <c r="E17" s="170" t="s">
        <v>207</v>
      </c>
      <c r="F17">
        <v>0.98</v>
      </c>
      <c r="G17">
        <v>0.8</v>
      </c>
      <c r="H17">
        <v>0.8</v>
      </c>
      <c r="I17">
        <v>0.8</v>
      </c>
      <c r="J17" s="102">
        <v>0.25</v>
      </c>
      <c r="K17" s="102">
        <v>0.05</v>
      </c>
    </row>
    <row r="18" spans="4:33" ht="15" customHeight="1" x14ac:dyDescent="0.15">
      <c r="D18">
        <v>17</v>
      </c>
      <c r="E18" s="170" t="s">
        <v>208</v>
      </c>
      <c r="F18">
        <v>0.98</v>
      </c>
      <c r="G18">
        <v>0.8</v>
      </c>
      <c r="H18">
        <v>0.8</v>
      </c>
      <c r="I18">
        <v>0.8</v>
      </c>
      <c r="J18" s="102">
        <v>0.25</v>
      </c>
      <c r="K18" s="102">
        <v>0.05</v>
      </c>
    </row>
    <row r="19" spans="4:33" ht="15" customHeight="1" x14ac:dyDescent="0.15">
      <c r="D19">
        <v>18</v>
      </c>
      <c r="E19" s="170" t="s">
        <v>209</v>
      </c>
      <c r="F19">
        <v>0.98</v>
      </c>
      <c r="G19">
        <v>0.8</v>
      </c>
      <c r="H19">
        <v>0.8</v>
      </c>
      <c r="I19">
        <v>0.8</v>
      </c>
      <c r="J19" s="102">
        <v>0.25</v>
      </c>
      <c r="K19" s="102">
        <v>0.05</v>
      </c>
    </row>
    <row r="20" spans="4:33" ht="15" customHeight="1" x14ac:dyDescent="0.15">
      <c r="D20">
        <v>19</v>
      </c>
      <c r="E20" s="170" t="s">
        <v>210</v>
      </c>
      <c r="F20">
        <v>0.98</v>
      </c>
      <c r="G20">
        <v>0.8</v>
      </c>
      <c r="H20">
        <v>0.8</v>
      </c>
      <c r="I20">
        <v>0.8</v>
      </c>
      <c r="J20" s="102">
        <v>0.25</v>
      </c>
      <c r="K20" s="102">
        <v>0.05</v>
      </c>
    </row>
    <row r="21" spans="4:33" ht="15" customHeight="1" x14ac:dyDescent="0.15">
      <c r="D21">
        <v>20</v>
      </c>
      <c r="E21" s="170" t="s">
        <v>211</v>
      </c>
      <c r="F21">
        <v>0.98</v>
      </c>
      <c r="G21">
        <v>0.8</v>
      </c>
      <c r="H21">
        <v>0.8</v>
      </c>
      <c r="I21">
        <v>0.8</v>
      </c>
      <c r="J21" s="102">
        <v>0.25</v>
      </c>
      <c r="K21" s="102">
        <v>0.05</v>
      </c>
    </row>
    <row r="22" spans="4:33" ht="15" customHeight="1" x14ac:dyDescent="0.15">
      <c r="D22">
        <v>21</v>
      </c>
      <c r="E22" s="170" t="s">
        <v>212</v>
      </c>
      <c r="F22">
        <v>0.98</v>
      </c>
      <c r="G22">
        <v>0.8</v>
      </c>
      <c r="H22">
        <v>0.8</v>
      </c>
      <c r="I22">
        <v>0.8</v>
      </c>
      <c r="J22" s="102">
        <v>0.25</v>
      </c>
      <c r="K22" s="102">
        <v>0.05</v>
      </c>
    </row>
    <row r="23" spans="4:33" ht="15" customHeight="1" x14ac:dyDescent="0.15">
      <c r="D23">
        <v>22</v>
      </c>
      <c r="E23" s="170" t="s">
        <v>213</v>
      </c>
      <c r="F23">
        <v>0.98</v>
      </c>
      <c r="G23">
        <v>0.8</v>
      </c>
      <c r="H23">
        <v>0.8</v>
      </c>
      <c r="I23">
        <v>0</v>
      </c>
      <c r="J23" s="102">
        <v>0</v>
      </c>
      <c r="K23" s="102">
        <v>0</v>
      </c>
    </row>
    <row r="24" spans="4:33" ht="15" customHeight="1" x14ac:dyDescent="0.15">
      <c r="D24">
        <v>23</v>
      </c>
      <c r="E24" s="170" t="s">
        <v>214</v>
      </c>
      <c r="F24">
        <v>0.98</v>
      </c>
      <c r="G24">
        <v>0.8</v>
      </c>
      <c r="H24">
        <v>0.8</v>
      </c>
      <c r="I24">
        <v>0</v>
      </c>
      <c r="J24" s="102">
        <v>0</v>
      </c>
      <c r="K24" s="102">
        <v>0</v>
      </c>
    </row>
    <row r="25" spans="4:33" ht="15" customHeight="1" x14ac:dyDescent="0.15">
      <c r="D25">
        <v>24</v>
      </c>
      <c r="E25" s="170" t="s">
        <v>215</v>
      </c>
      <c r="F25">
        <v>0.98</v>
      </c>
      <c r="G25">
        <v>0.8</v>
      </c>
      <c r="H25">
        <v>0</v>
      </c>
      <c r="I25">
        <v>0</v>
      </c>
      <c r="J25" s="102">
        <v>0</v>
      </c>
      <c r="K25" s="102">
        <v>0</v>
      </c>
    </row>
    <row r="26" spans="4:33" ht="15" customHeight="1" x14ac:dyDescent="0.15">
      <c r="D26">
        <v>25</v>
      </c>
      <c r="E26" s="170" t="s">
        <v>216</v>
      </c>
      <c r="F26">
        <v>0.98</v>
      </c>
      <c r="G26">
        <v>0.8</v>
      </c>
      <c r="H26">
        <v>0</v>
      </c>
      <c r="I26">
        <v>0</v>
      </c>
      <c r="J26" s="102">
        <v>0</v>
      </c>
      <c r="K26" s="102">
        <v>0</v>
      </c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9" bestFit="1" customWidth="1"/>
    <col min="2" max="22" width="3.83203125" style="99" customWidth="1"/>
    <col min="23" max="26" width="2.33203125" style="99" customWidth="1"/>
    <col min="27" max="16384" width="10.83203125" style="99"/>
  </cols>
  <sheetData>
    <row r="1" spans="1:30" x14ac:dyDescent="0.15">
      <c r="A1" s="59" t="s">
        <v>118</v>
      </c>
      <c r="B1" s="172" t="s">
        <v>192</v>
      </c>
      <c r="C1" s="172" t="s">
        <v>193</v>
      </c>
      <c r="D1" s="172" t="s">
        <v>194</v>
      </c>
      <c r="E1" s="172" t="s">
        <v>195</v>
      </c>
      <c r="F1" s="172" t="s">
        <v>196</v>
      </c>
      <c r="G1" s="172" t="s">
        <v>197</v>
      </c>
      <c r="H1" s="172" t="s">
        <v>198</v>
      </c>
      <c r="I1" s="172" t="s">
        <v>199</v>
      </c>
      <c r="J1" s="172" t="s">
        <v>200</v>
      </c>
      <c r="K1" s="172" t="s">
        <v>201</v>
      </c>
      <c r="L1" s="172" t="s">
        <v>202</v>
      </c>
      <c r="M1" s="172" t="s">
        <v>203</v>
      </c>
      <c r="N1" s="172" t="s">
        <v>204</v>
      </c>
      <c r="O1" s="172" t="s">
        <v>205</v>
      </c>
      <c r="P1" s="172" t="s">
        <v>206</v>
      </c>
      <c r="Q1" s="172" t="s">
        <v>207</v>
      </c>
      <c r="R1" s="172" t="s">
        <v>208</v>
      </c>
      <c r="S1" s="172" t="s">
        <v>209</v>
      </c>
      <c r="T1" s="172" t="s">
        <v>210</v>
      </c>
      <c r="U1" s="172" t="s">
        <v>211</v>
      </c>
      <c r="V1" s="172" t="s">
        <v>212</v>
      </c>
      <c r="W1" s="172" t="s">
        <v>213</v>
      </c>
      <c r="X1" s="172" t="s">
        <v>214</v>
      </c>
      <c r="Y1" s="172" t="s">
        <v>215</v>
      </c>
      <c r="Z1" s="172" t="s">
        <v>216</v>
      </c>
      <c r="AA1"/>
      <c r="AB1"/>
      <c r="AC1"/>
      <c r="AD1"/>
    </row>
    <row r="2" spans="1:30" customFormat="1" x14ac:dyDescent="0.15">
      <c r="A2" s="171" t="s">
        <v>192</v>
      </c>
      <c r="B2" s="99">
        <v>0</v>
      </c>
      <c r="C2" s="99">
        <v>0</v>
      </c>
      <c r="D2" s="99">
        <v>0.8</v>
      </c>
      <c r="E2" s="99">
        <v>0.8</v>
      </c>
      <c r="F2" s="99">
        <v>0.8</v>
      </c>
      <c r="G2" s="99">
        <v>0.8</v>
      </c>
      <c r="H2" s="99">
        <v>0</v>
      </c>
      <c r="I2" s="99">
        <v>0</v>
      </c>
      <c r="J2" s="99">
        <v>0</v>
      </c>
      <c r="K2" s="99">
        <v>0</v>
      </c>
      <c r="L2" s="99">
        <v>0</v>
      </c>
      <c r="M2" s="99">
        <v>0</v>
      </c>
      <c r="N2" s="99">
        <v>0.8</v>
      </c>
      <c r="O2" s="99">
        <v>0</v>
      </c>
      <c r="P2" s="99">
        <v>0</v>
      </c>
      <c r="Q2" s="99">
        <v>0</v>
      </c>
      <c r="R2" s="99">
        <v>0</v>
      </c>
      <c r="S2" s="99">
        <v>0</v>
      </c>
      <c r="T2" s="99">
        <v>0</v>
      </c>
      <c r="U2" s="99">
        <v>0</v>
      </c>
      <c r="V2" s="99">
        <v>0</v>
      </c>
      <c r="W2" s="99">
        <v>0</v>
      </c>
      <c r="X2" s="99">
        <v>0</v>
      </c>
      <c r="Y2" s="99">
        <v>0</v>
      </c>
      <c r="Z2" s="99">
        <v>0</v>
      </c>
    </row>
    <row r="3" spans="1:30" customFormat="1" x14ac:dyDescent="0.15">
      <c r="A3" s="171" t="s">
        <v>193</v>
      </c>
      <c r="B3" s="99">
        <v>0</v>
      </c>
      <c r="C3" s="99">
        <v>0</v>
      </c>
      <c r="D3" s="99">
        <v>0.8</v>
      </c>
      <c r="E3" s="99">
        <v>0.8</v>
      </c>
      <c r="F3" s="99">
        <v>0.8</v>
      </c>
      <c r="G3" s="99">
        <v>0.8</v>
      </c>
      <c r="H3" s="99">
        <v>0</v>
      </c>
      <c r="I3" s="99">
        <v>0.8</v>
      </c>
      <c r="J3" s="99">
        <v>0</v>
      </c>
      <c r="K3" s="99">
        <v>0</v>
      </c>
      <c r="L3" s="99">
        <v>0</v>
      </c>
      <c r="M3" s="99">
        <v>0</v>
      </c>
      <c r="N3" s="99">
        <v>0.8</v>
      </c>
      <c r="O3" s="99">
        <v>0</v>
      </c>
      <c r="P3" s="99">
        <v>0</v>
      </c>
      <c r="Q3" s="99">
        <v>0</v>
      </c>
      <c r="R3" s="99">
        <v>0</v>
      </c>
      <c r="S3" s="99">
        <v>0</v>
      </c>
      <c r="T3" s="99">
        <v>0</v>
      </c>
      <c r="U3" s="99">
        <v>0</v>
      </c>
      <c r="V3" s="99">
        <v>0</v>
      </c>
      <c r="W3" s="99">
        <v>0</v>
      </c>
      <c r="X3" s="99">
        <v>0</v>
      </c>
      <c r="Y3" s="99">
        <v>0</v>
      </c>
      <c r="Z3" s="99">
        <v>0</v>
      </c>
    </row>
    <row r="4" spans="1:30" customFormat="1" x14ac:dyDescent="0.15">
      <c r="A4" s="171" t="s">
        <v>194</v>
      </c>
      <c r="B4" s="99">
        <v>0</v>
      </c>
      <c r="C4" s="99">
        <v>0</v>
      </c>
      <c r="D4" s="99">
        <v>0</v>
      </c>
      <c r="E4" s="99">
        <v>0</v>
      </c>
      <c r="F4" s="99">
        <v>0</v>
      </c>
      <c r="G4" s="99">
        <v>0.8</v>
      </c>
      <c r="H4" s="99">
        <v>0</v>
      </c>
      <c r="I4" s="99">
        <v>0</v>
      </c>
      <c r="J4" s="99">
        <v>0</v>
      </c>
      <c r="K4" s="99">
        <v>0</v>
      </c>
      <c r="L4" s="99">
        <v>0</v>
      </c>
      <c r="M4" s="99">
        <v>0</v>
      </c>
      <c r="N4" s="99">
        <v>0</v>
      </c>
      <c r="O4" s="99">
        <v>0</v>
      </c>
      <c r="P4" s="99">
        <v>0</v>
      </c>
      <c r="Q4" s="99">
        <v>0</v>
      </c>
      <c r="R4" s="99">
        <v>0</v>
      </c>
      <c r="S4" s="99">
        <v>0</v>
      </c>
      <c r="T4" s="99">
        <v>0</v>
      </c>
      <c r="U4" s="99">
        <v>0</v>
      </c>
      <c r="V4" s="99">
        <v>0</v>
      </c>
      <c r="W4" s="99">
        <v>0</v>
      </c>
      <c r="X4" s="99">
        <v>0</v>
      </c>
      <c r="Y4" s="99">
        <v>0</v>
      </c>
      <c r="Z4" s="99">
        <v>0</v>
      </c>
    </row>
    <row r="5" spans="1:30" customFormat="1" x14ac:dyDescent="0.15">
      <c r="A5" s="171" t="s">
        <v>195</v>
      </c>
      <c r="B5" s="99">
        <v>0</v>
      </c>
      <c r="C5" s="99">
        <v>0</v>
      </c>
      <c r="D5" s="99">
        <v>0</v>
      </c>
      <c r="E5" s="99">
        <v>0</v>
      </c>
      <c r="F5" s="99">
        <v>0</v>
      </c>
      <c r="G5" s="99">
        <v>0</v>
      </c>
      <c r="H5" s="99">
        <v>0</v>
      </c>
      <c r="I5" s="99">
        <v>0</v>
      </c>
      <c r="J5" s="99">
        <v>0</v>
      </c>
      <c r="K5" s="99">
        <v>0.8</v>
      </c>
      <c r="L5" s="99">
        <v>0.8</v>
      </c>
      <c r="M5" s="99">
        <v>0</v>
      </c>
      <c r="N5" s="99">
        <v>0</v>
      </c>
      <c r="O5" s="99">
        <v>0</v>
      </c>
      <c r="P5" s="99">
        <v>0</v>
      </c>
      <c r="Q5" s="99">
        <v>0</v>
      </c>
      <c r="R5" s="99">
        <v>0</v>
      </c>
      <c r="S5" s="99">
        <v>0</v>
      </c>
      <c r="T5" s="99">
        <v>0</v>
      </c>
      <c r="U5" s="99">
        <v>0</v>
      </c>
      <c r="V5" s="99">
        <v>0</v>
      </c>
      <c r="W5" s="99">
        <v>0</v>
      </c>
      <c r="X5" s="99">
        <v>0</v>
      </c>
      <c r="Y5" s="99">
        <v>0</v>
      </c>
      <c r="Z5" s="99">
        <v>0</v>
      </c>
    </row>
    <row r="6" spans="1:30" customFormat="1" x14ac:dyDescent="0.15">
      <c r="A6" s="171" t="s">
        <v>196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0.8</v>
      </c>
      <c r="H6" s="99">
        <v>0</v>
      </c>
      <c r="I6" s="99">
        <v>0</v>
      </c>
      <c r="J6" s="99">
        <v>0</v>
      </c>
      <c r="K6" s="99">
        <v>0.8</v>
      </c>
      <c r="L6" s="99">
        <v>0.8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  <c r="V6" s="99">
        <v>0</v>
      </c>
      <c r="W6" s="99">
        <v>0</v>
      </c>
      <c r="X6" s="99">
        <v>0</v>
      </c>
      <c r="Y6" s="99">
        <v>0</v>
      </c>
      <c r="Z6" s="99">
        <v>0</v>
      </c>
    </row>
    <row r="7" spans="1:30" customFormat="1" x14ac:dyDescent="0.15">
      <c r="A7" s="171" t="s">
        <v>197</v>
      </c>
      <c r="B7" s="99">
        <v>0</v>
      </c>
      <c r="C7" s="99">
        <v>0</v>
      </c>
      <c r="D7" s="99">
        <v>0</v>
      </c>
      <c r="E7" s="99">
        <v>0</v>
      </c>
      <c r="F7" s="99">
        <v>0</v>
      </c>
      <c r="G7" s="99">
        <v>0.8</v>
      </c>
      <c r="H7" s="99">
        <v>0</v>
      </c>
      <c r="I7" s="99">
        <v>0</v>
      </c>
      <c r="J7" s="99">
        <v>0</v>
      </c>
      <c r="K7" s="99">
        <v>0</v>
      </c>
      <c r="L7" s="99">
        <v>0.8</v>
      </c>
      <c r="M7" s="99">
        <v>0</v>
      </c>
      <c r="N7" s="99">
        <v>0</v>
      </c>
      <c r="O7" s="99">
        <v>0</v>
      </c>
      <c r="P7" s="99">
        <v>0</v>
      </c>
      <c r="Q7" s="99">
        <v>0</v>
      </c>
      <c r="R7" s="99">
        <v>0</v>
      </c>
      <c r="S7" s="99">
        <v>0</v>
      </c>
      <c r="T7" s="99">
        <v>0</v>
      </c>
      <c r="U7" s="99">
        <v>0</v>
      </c>
      <c r="V7" s="99">
        <v>0</v>
      </c>
      <c r="W7" s="99">
        <v>0</v>
      </c>
      <c r="X7" s="99">
        <v>0</v>
      </c>
      <c r="Y7" s="99">
        <v>0</v>
      </c>
      <c r="Z7" s="99">
        <v>0</v>
      </c>
    </row>
    <row r="8" spans="1:30" customFormat="1" x14ac:dyDescent="0.15">
      <c r="A8" s="171" t="s">
        <v>198</v>
      </c>
      <c r="B8" s="99">
        <v>0</v>
      </c>
      <c r="C8" s="99">
        <v>0</v>
      </c>
      <c r="D8" s="99">
        <v>0</v>
      </c>
      <c r="E8" s="99">
        <v>0.8</v>
      </c>
      <c r="F8" s="99">
        <v>0</v>
      </c>
      <c r="G8" s="99">
        <v>0</v>
      </c>
      <c r="H8" s="99">
        <v>0</v>
      </c>
      <c r="I8" s="99">
        <v>0</v>
      </c>
      <c r="J8" s="99">
        <v>0</v>
      </c>
      <c r="K8" s="99">
        <v>0.8</v>
      </c>
      <c r="L8" s="99">
        <v>0.8</v>
      </c>
      <c r="M8" s="99">
        <v>0.8</v>
      </c>
      <c r="N8" s="99">
        <v>0</v>
      </c>
      <c r="O8" s="99">
        <v>0</v>
      </c>
      <c r="P8" s="99">
        <v>0</v>
      </c>
      <c r="Q8" s="99">
        <v>0</v>
      </c>
      <c r="R8" s="99">
        <v>0</v>
      </c>
      <c r="S8" s="99">
        <v>0</v>
      </c>
      <c r="T8" s="99">
        <v>0</v>
      </c>
      <c r="U8" s="99">
        <v>0</v>
      </c>
      <c r="V8" s="99">
        <v>0</v>
      </c>
      <c r="W8" s="99">
        <v>0</v>
      </c>
      <c r="X8" s="99">
        <v>0</v>
      </c>
      <c r="Y8" s="99">
        <v>0</v>
      </c>
      <c r="Z8" s="99">
        <v>0</v>
      </c>
    </row>
    <row r="9" spans="1:30" customFormat="1" x14ac:dyDescent="0.15">
      <c r="A9" s="171" t="s">
        <v>199</v>
      </c>
      <c r="B9" s="99">
        <v>0</v>
      </c>
      <c r="C9" s="99">
        <v>0</v>
      </c>
      <c r="D9" s="99">
        <v>0</v>
      </c>
      <c r="E9" s="99">
        <v>0</v>
      </c>
      <c r="F9" s="99">
        <v>0</v>
      </c>
      <c r="G9" s="99">
        <v>0</v>
      </c>
      <c r="H9" s="99">
        <v>0</v>
      </c>
      <c r="I9" s="99">
        <v>0</v>
      </c>
      <c r="J9" s="99">
        <v>0</v>
      </c>
      <c r="K9" s="99">
        <v>0.8</v>
      </c>
      <c r="L9" s="99">
        <v>0.8</v>
      </c>
      <c r="M9" s="99">
        <v>0.8</v>
      </c>
      <c r="N9" s="99">
        <v>0</v>
      </c>
      <c r="O9" s="99">
        <v>0</v>
      </c>
      <c r="P9" s="99">
        <v>0</v>
      </c>
      <c r="Q9" s="99">
        <v>0</v>
      </c>
      <c r="R9" s="99">
        <v>0</v>
      </c>
      <c r="S9" s="99">
        <v>0</v>
      </c>
      <c r="T9" s="99">
        <v>0</v>
      </c>
      <c r="U9" s="99">
        <v>0</v>
      </c>
      <c r="V9" s="99">
        <v>0</v>
      </c>
      <c r="W9" s="99">
        <v>0</v>
      </c>
      <c r="X9" s="99">
        <v>0</v>
      </c>
      <c r="Y9" s="99">
        <v>0</v>
      </c>
      <c r="Z9" s="99">
        <v>0</v>
      </c>
    </row>
    <row r="10" spans="1:30" customFormat="1" x14ac:dyDescent="0.15">
      <c r="A10" s="171" t="s">
        <v>200</v>
      </c>
      <c r="B10" s="99">
        <v>0</v>
      </c>
      <c r="C10" s="99">
        <v>0</v>
      </c>
      <c r="D10" s="99">
        <v>0</v>
      </c>
      <c r="E10" s="99">
        <v>0</v>
      </c>
      <c r="F10" s="99">
        <v>0</v>
      </c>
      <c r="G10" s="99">
        <v>0.8</v>
      </c>
      <c r="H10" s="99">
        <v>0</v>
      </c>
      <c r="I10" s="99">
        <v>0</v>
      </c>
      <c r="J10" s="99">
        <v>0</v>
      </c>
      <c r="K10" s="99">
        <v>0.8</v>
      </c>
      <c r="L10" s="99">
        <v>0</v>
      </c>
      <c r="M10" s="99">
        <v>0.8</v>
      </c>
      <c r="N10" s="99">
        <v>0</v>
      </c>
      <c r="O10" s="99">
        <v>0</v>
      </c>
      <c r="P10" s="99">
        <v>0</v>
      </c>
      <c r="Q10" s="99">
        <v>0</v>
      </c>
      <c r="R10" s="99">
        <v>0</v>
      </c>
      <c r="S10" s="99">
        <v>0</v>
      </c>
      <c r="T10" s="99">
        <v>0</v>
      </c>
      <c r="U10" s="99">
        <v>0</v>
      </c>
      <c r="V10" s="99">
        <v>0</v>
      </c>
      <c r="W10" s="99">
        <v>0</v>
      </c>
      <c r="X10" s="99">
        <v>0</v>
      </c>
      <c r="Y10" s="99">
        <v>0</v>
      </c>
      <c r="Z10" s="99">
        <v>0</v>
      </c>
    </row>
    <row r="11" spans="1:30" customFormat="1" x14ac:dyDescent="0.15">
      <c r="A11" s="171" t="s">
        <v>201</v>
      </c>
      <c r="B11" s="99">
        <v>0</v>
      </c>
      <c r="C11" s="99">
        <v>0</v>
      </c>
      <c r="D11" s="99">
        <v>0</v>
      </c>
      <c r="E11" s="99">
        <v>0</v>
      </c>
      <c r="F11" s="99">
        <v>0</v>
      </c>
      <c r="G11" s="99">
        <v>0</v>
      </c>
      <c r="H11" s="99">
        <v>0</v>
      </c>
      <c r="I11" s="99">
        <v>0</v>
      </c>
      <c r="J11" s="99">
        <v>0</v>
      </c>
      <c r="K11" s="99">
        <v>0</v>
      </c>
      <c r="L11" s="99">
        <v>0</v>
      </c>
      <c r="M11" s="99">
        <v>0</v>
      </c>
      <c r="N11" s="99">
        <v>0</v>
      </c>
      <c r="O11" s="99">
        <v>0</v>
      </c>
      <c r="P11" s="99">
        <v>0</v>
      </c>
      <c r="Q11" s="99">
        <v>0</v>
      </c>
      <c r="R11" s="99">
        <v>0</v>
      </c>
      <c r="S11" s="99">
        <v>0</v>
      </c>
      <c r="T11" s="99">
        <v>0</v>
      </c>
      <c r="U11" s="99">
        <v>0</v>
      </c>
      <c r="V11" s="99">
        <v>0</v>
      </c>
      <c r="W11" s="99">
        <v>0</v>
      </c>
      <c r="X11" s="99">
        <v>0</v>
      </c>
      <c r="Y11" s="99">
        <v>0</v>
      </c>
      <c r="Z11" s="99">
        <v>0</v>
      </c>
    </row>
    <row r="12" spans="1:30" customFormat="1" x14ac:dyDescent="0.15">
      <c r="A12" s="171" t="s">
        <v>202</v>
      </c>
      <c r="B12" s="99">
        <v>0</v>
      </c>
      <c r="C12" s="99">
        <v>0</v>
      </c>
      <c r="D12" s="99">
        <v>0</v>
      </c>
      <c r="E12" s="99">
        <v>0</v>
      </c>
      <c r="F12" s="99">
        <v>0</v>
      </c>
      <c r="G12" s="99">
        <v>0</v>
      </c>
      <c r="H12" s="99">
        <v>0</v>
      </c>
      <c r="I12" s="99">
        <v>0</v>
      </c>
      <c r="J12" s="99">
        <v>0</v>
      </c>
      <c r="K12" s="99">
        <v>0.8</v>
      </c>
      <c r="L12" s="99">
        <v>0</v>
      </c>
      <c r="M12" s="99">
        <v>0</v>
      </c>
      <c r="N12" s="99">
        <v>0</v>
      </c>
      <c r="O12" s="99">
        <v>0</v>
      </c>
      <c r="P12" s="99">
        <v>0</v>
      </c>
      <c r="Q12" s="99">
        <v>0</v>
      </c>
      <c r="R12" s="99">
        <v>0</v>
      </c>
      <c r="S12" s="99">
        <v>0</v>
      </c>
      <c r="T12" s="99">
        <v>0</v>
      </c>
      <c r="U12" s="99">
        <v>0</v>
      </c>
      <c r="V12" s="99">
        <v>0</v>
      </c>
      <c r="W12" s="99">
        <v>0</v>
      </c>
      <c r="X12" s="99">
        <v>0</v>
      </c>
      <c r="Y12" s="99">
        <v>0</v>
      </c>
      <c r="Z12" s="99">
        <v>0</v>
      </c>
    </row>
    <row r="13" spans="1:30" customFormat="1" x14ac:dyDescent="0.15">
      <c r="A13" s="171" t="s">
        <v>203</v>
      </c>
      <c r="B13" s="99">
        <v>0</v>
      </c>
      <c r="C13" s="99">
        <v>0</v>
      </c>
      <c r="D13" s="99">
        <v>0</v>
      </c>
      <c r="E13" s="99">
        <v>0</v>
      </c>
      <c r="F13" s="99">
        <v>0</v>
      </c>
      <c r="G13" s="99">
        <v>0</v>
      </c>
      <c r="H13" s="99">
        <v>0</v>
      </c>
      <c r="I13" s="99">
        <v>0</v>
      </c>
      <c r="J13" s="99">
        <v>0</v>
      </c>
      <c r="K13" s="99">
        <v>0.8</v>
      </c>
      <c r="L13" s="99">
        <v>0.8</v>
      </c>
      <c r="M13" s="99">
        <v>0</v>
      </c>
      <c r="N13" s="99">
        <v>0</v>
      </c>
      <c r="O13" s="99">
        <v>0</v>
      </c>
      <c r="P13" s="99">
        <v>0</v>
      </c>
      <c r="Q13" s="99">
        <v>0</v>
      </c>
      <c r="R13" s="99">
        <v>0</v>
      </c>
      <c r="S13" s="99">
        <v>0</v>
      </c>
      <c r="T13" s="99">
        <v>0</v>
      </c>
      <c r="U13" s="99">
        <v>0</v>
      </c>
      <c r="V13" s="99">
        <v>0</v>
      </c>
      <c r="W13" s="99">
        <v>0</v>
      </c>
      <c r="X13" s="99">
        <v>0</v>
      </c>
      <c r="Y13" s="99">
        <v>0</v>
      </c>
      <c r="Z13" s="99">
        <v>0</v>
      </c>
    </row>
    <row r="14" spans="1:30" customFormat="1" x14ac:dyDescent="0.15">
      <c r="A14" s="171" t="s">
        <v>204</v>
      </c>
      <c r="B14" s="99">
        <v>0</v>
      </c>
      <c r="C14" s="99">
        <v>0</v>
      </c>
      <c r="D14" s="99">
        <v>0</v>
      </c>
      <c r="E14" s="99">
        <v>0</v>
      </c>
      <c r="F14" s="99">
        <v>0</v>
      </c>
      <c r="G14" s="99">
        <v>0.8</v>
      </c>
      <c r="H14" s="99">
        <v>0</v>
      </c>
      <c r="I14" s="99">
        <v>0</v>
      </c>
      <c r="J14" s="99">
        <v>0</v>
      </c>
      <c r="K14" s="99">
        <v>0</v>
      </c>
      <c r="L14" s="99">
        <v>0</v>
      </c>
      <c r="M14" s="99">
        <v>0</v>
      </c>
      <c r="N14" s="99">
        <v>0</v>
      </c>
      <c r="O14" s="99">
        <v>0</v>
      </c>
      <c r="P14" s="99">
        <v>0</v>
      </c>
      <c r="Q14" s="99">
        <v>0</v>
      </c>
      <c r="R14" s="99">
        <v>0</v>
      </c>
      <c r="S14" s="99">
        <v>0</v>
      </c>
      <c r="T14" s="99">
        <v>0</v>
      </c>
      <c r="U14" s="99">
        <v>0</v>
      </c>
      <c r="V14" s="99">
        <v>0</v>
      </c>
      <c r="W14" s="99">
        <v>0</v>
      </c>
      <c r="X14" s="99">
        <v>0</v>
      </c>
      <c r="Y14" s="99">
        <v>0</v>
      </c>
      <c r="Z14" s="99">
        <v>0</v>
      </c>
    </row>
    <row r="15" spans="1:30" customFormat="1" x14ac:dyDescent="0.15">
      <c r="A15" s="171" t="s">
        <v>205</v>
      </c>
      <c r="B15" s="99">
        <v>0</v>
      </c>
      <c r="C15" s="99">
        <v>0</v>
      </c>
      <c r="D15" s="99">
        <v>0</v>
      </c>
      <c r="E15" s="99">
        <v>0</v>
      </c>
      <c r="F15" s="99">
        <v>0</v>
      </c>
      <c r="G15" s="99">
        <v>0.8</v>
      </c>
      <c r="H15" s="99">
        <v>0</v>
      </c>
      <c r="I15" s="99">
        <v>0</v>
      </c>
      <c r="J15" s="99">
        <v>0</v>
      </c>
      <c r="K15" s="99">
        <v>0</v>
      </c>
      <c r="L15" s="99">
        <v>0</v>
      </c>
      <c r="M15" s="99">
        <v>0</v>
      </c>
      <c r="N15" s="99">
        <v>0</v>
      </c>
      <c r="O15" s="99">
        <v>0</v>
      </c>
      <c r="P15" s="99">
        <v>0</v>
      </c>
      <c r="Q15" s="99">
        <v>0</v>
      </c>
      <c r="R15" s="99">
        <v>0</v>
      </c>
      <c r="S15" s="99">
        <v>0</v>
      </c>
      <c r="T15" s="99">
        <v>0</v>
      </c>
      <c r="U15" s="99">
        <v>0</v>
      </c>
      <c r="V15" s="99">
        <v>0</v>
      </c>
      <c r="W15" s="99">
        <v>0</v>
      </c>
      <c r="X15" s="99">
        <v>0</v>
      </c>
      <c r="Y15" s="99">
        <v>0</v>
      </c>
      <c r="Z15" s="99">
        <v>0</v>
      </c>
    </row>
    <row r="16" spans="1:30" customFormat="1" x14ac:dyDescent="0.15">
      <c r="A16" s="171" t="s">
        <v>206</v>
      </c>
      <c r="B16" s="99">
        <v>0.8</v>
      </c>
      <c r="C16" s="99">
        <v>0.8</v>
      </c>
      <c r="D16" s="99">
        <v>0.8</v>
      </c>
      <c r="E16" s="99">
        <v>0.8</v>
      </c>
      <c r="F16" s="99">
        <v>0.8</v>
      </c>
      <c r="G16" s="99">
        <v>0.8</v>
      </c>
      <c r="H16" s="99">
        <v>0.8</v>
      </c>
      <c r="I16" s="99">
        <v>0.8</v>
      </c>
      <c r="J16" s="99">
        <v>0.8</v>
      </c>
      <c r="K16" s="99">
        <v>0.8</v>
      </c>
      <c r="L16" s="99">
        <v>0.8</v>
      </c>
      <c r="M16" s="99">
        <v>0</v>
      </c>
      <c r="N16" s="99">
        <v>0.8</v>
      </c>
      <c r="O16" s="99">
        <v>0.8</v>
      </c>
      <c r="P16" s="99">
        <v>0</v>
      </c>
      <c r="Q16" s="99">
        <v>0.8</v>
      </c>
      <c r="R16" s="99">
        <v>0</v>
      </c>
      <c r="S16" s="99">
        <v>0</v>
      </c>
      <c r="T16" s="99">
        <v>0.8</v>
      </c>
      <c r="U16" s="99">
        <v>0</v>
      </c>
      <c r="V16" s="99">
        <v>0</v>
      </c>
      <c r="W16" s="99">
        <v>0</v>
      </c>
      <c r="X16" s="99">
        <v>0</v>
      </c>
      <c r="Y16" s="99">
        <v>0</v>
      </c>
      <c r="Z16" s="99">
        <v>0</v>
      </c>
    </row>
    <row r="17" spans="1:26" customFormat="1" x14ac:dyDescent="0.15">
      <c r="A17" s="171" t="s">
        <v>207</v>
      </c>
      <c r="B17" s="99">
        <v>0</v>
      </c>
      <c r="C17" s="99">
        <v>0</v>
      </c>
      <c r="D17" s="99">
        <v>0</v>
      </c>
      <c r="E17" s="99">
        <v>0.8</v>
      </c>
      <c r="F17" s="99">
        <v>0</v>
      </c>
      <c r="G17" s="99">
        <v>0.8</v>
      </c>
      <c r="H17" s="99">
        <v>0.8</v>
      </c>
      <c r="I17" s="99">
        <v>0.8</v>
      </c>
      <c r="J17" s="99">
        <v>0.8</v>
      </c>
      <c r="K17" s="99">
        <v>0.8</v>
      </c>
      <c r="L17" s="99">
        <v>0.8</v>
      </c>
      <c r="M17" s="99">
        <v>0</v>
      </c>
      <c r="N17" s="99">
        <v>0.8</v>
      </c>
      <c r="O17" s="99">
        <v>0.8</v>
      </c>
      <c r="P17" s="99">
        <v>0</v>
      </c>
      <c r="Q17" s="99">
        <v>0</v>
      </c>
      <c r="R17" s="99">
        <v>0</v>
      </c>
      <c r="S17" s="99">
        <v>0</v>
      </c>
      <c r="T17" s="99">
        <v>0</v>
      </c>
      <c r="U17" s="99">
        <v>0</v>
      </c>
      <c r="V17" s="99">
        <v>0</v>
      </c>
      <c r="W17" s="99">
        <v>0</v>
      </c>
      <c r="X17" s="99">
        <v>0</v>
      </c>
      <c r="Y17" s="99">
        <v>0</v>
      </c>
      <c r="Z17" s="99">
        <v>0</v>
      </c>
    </row>
    <row r="18" spans="1:26" customFormat="1" x14ac:dyDescent="0.15">
      <c r="A18" s="171" t="s">
        <v>208</v>
      </c>
      <c r="B18" s="99">
        <v>0</v>
      </c>
      <c r="C18" s="99">
        <v>0</v>
      </c>
      <c r="D18" s="99">
        <v>0.8</v>
      </c>
      <c r="E18" s="99">
        <v>0.8</v>
      </c>
      <c r="F18" s="99">
        <v>0</v>
      </c>
      <c r="G18" s="99">
        <v>0.8</v>
      </c>
      <c r="H18" s="99">
        <v>0.8</v>
      </c>
      <c r="I18" s="99">
        <v>0.8</v>
      </c>
      <c r="J18" s="99">
        <v>0.8</v>
      </c>
      <c r="K18" s="99">
        <v>0</v>
      </c>
      <c r="L18" s="99">
        <v>0</v>
      </c>
      <c r="M18" s="99">
        <v>0</v>
      </c>
      <c r="N18" s="99">
        <v>0.8</v>
      </c>
      <c r="O18" s="99">
        <v>0</v>
      </c>
      <c r="P18" s="99">
        <v>0</v>
      </c>
      <c r="Q18" s="99">
        <v>0</v>
      </c>
      <c r="R18" s="99">
        <v>0</v>
      </c>
      <c r="S18" s="99">
        <v>0</v>
      </c>
      <c r="T18" s="99">
        <v>0</v>
      </c>
      <c r="U18" s="99">
        <v>0</v>
      </c>
      <c r="V18" s="99">
        <v>0</v>
      </c>
      <c r="W18" s="99">
        <v>0</v>
      </c>
      <c r="X18" s="99">
        <v>0</v>
      </c>
      <c r="Y18" s="99">
        <v>0</v>
      </c>
      <c r="Z18" s="99">
        <v>0</v>
      </c>
    </row>
    <row r="19" spans="1:26" customFormat="1" x14ac:dyDescent="0.15">
      <c r="A19" s="171" t="s">
        <v>209</v>
      </c>
      <c r="B19" s="99">
        <v>0.8</v>
      </c>
      <c r="C19" s="99">
        <v>0.8</v>
      </c>
      <c r="D19" s="99">
        <v>0.8</v>
      </c>
      <c r="E19" s="99">
        <v>0</v>
      </c>
      <c r="F19" s="99">
        <v>0</v>
      </c>
      <c r="G19" s="99">
        <v>0</v>
      </c>
      <c r="H19" s="99">
        <v>0.8</v>
      </c>
      <c r="I19" s="99">
        <v>0.8</v>
      </c>
      <c r="J19" s="99">
        <v>0.8</v>
      </c>
      <c r="K19" s="99">
        <v>0</v>
      </c>
      <c r="L19" s="99">
        <v>0</v>
      </c>
      <c r="M19" s="99">
        <v>0</v>
      </c>
      <c r="N19" s="99">
        <v>0.8</v>
      </c>
      <c r="O19" s="99">
        <v>0.8</v>
      </c>
      <c r="P19" s="99">
        <v>0.8</v>
      </c>
      <c r="Q19" s="99">
        <v>0.8</v>
      </c>
      <c r="R19" s="99">
        <v>0</v>
      </c>
      <c r="S19" s="99">
        <v>0</v>
      </c>
      <c r="T19" s="99">
        <v>0.8</v>
      </c>
      <c r="U19" s="99">
        <v>0</v>
      </c>
      <c r="V19" s="99">
        <v>0.8</v>
      </c>
      <c r="W19" s="99">
        <v>0</v>
      </c>
      <c r="X19" s="99">
        <v>0</v>
      </c>
      <c r="Y19" s="99">
        <v>0</v>
      </c>
      <c r="Z19" s="99">
        <v>0</v>
      </c>
    </row>
    <row r="20" spans="1:26" customFormat="1" x14ac:dyDescent="0.15">
      <c r="A20" s="171" t="s">
        <v>210</v>
      </c>
      <c r="B20" s="99">
        <v>0.8</v>
      </c>
      <c r="C20" s="99">
        <v>0.8</v>
      </c>
      <c r="D20" s="99">
        <v>0</v>
      </c>
      <c r="E20" s="99">
        <v>0.8</v>
      </c>
      <c r="F20" s="99">
        <v>0</v>
      </c>
      <c r="G20" s="99">
        <v>0</v>
      </c>
      <c r="H20" s="99">
        <v>0.8</v>
      </c>
      <c r="I20" s="99">
        <v>0</v>
      </c>
      <c r="J20" s="99">
        <v>0</v>
      </c>
      <c r="K20" s="99">
        <v>0.8</v>
      </c>
      <c r="L20" s="99">
        <v>0</v>
      </c>
      <c r="M20" s="99">
        <v>0.8</v>
      </c>
      <c r="N20" s="99">
        <v>0.8</v>
      </c>
      <c r="O20" s="99">
        <v>0</v>
      </c>
      <c r="P20" s="99">
        <v>0</v>
      </c>
      <c r="Q20" s="99">
        <v>0</v>
      </c>
      <c r="R20" s="99">
        <v>0</v>
      </c>
      <c r="S20" s="99">
        <v>0</v>
      </c>
      <c r="T20" s="99">
        <v>0</v>
      </c>
      <c r="U20" s="99">
        <v>0</v>
      </c>
      <c r="V20" s="99">
        <v>0</v>
      </c>
      <c r="W20" s="99">
        <v>0</v>
      </c>
      <c r="X20" s="99">
        <v>0</v>
      </c>
      <c r="Y20" s="99">
        <v>0</v>
      </c>
      <c r="Z20" s="99">
        <v>0</v>
      </c>
    </row>
    <row r="21" spans="1:26" customFormat="1" x14ac:dyDescent="0.15">
      <c r="A21" s="171" t="s">
        <v>211</v>
      </c>
      <c r="B21" s="99">
        <v>0.8</v>
      </c>
      <c r="C21" s="99">
        <v>0.8</v>
      </c>
      <c r="D21" s="99">
        <v>0</v>
      </c>
      <c r="E21" s="99">
        <v>0</v>
      </c>
      <c r="F21" s="99">
        <v>0</v>
      </c>
      <c r="G21" s="99">
        <v>0</v>
      </c>
      <c r="H21" s="99">
        <v>0</v>
      </c>
      <c r="I21" s="99">
        <v>0.8</v>
      </c>
      <c r="J21" s="99">
        <v>0.8</v>
      </c>
      <c r="K21" s="99">
        <v>0</v>
      </c>
      <c r="L21" s="99">
        <v>0</v>
      </c>
      <c r="M21" s="99">
        <v>0</v>
      </c>
      <c r="N21" s="99">
        <v>0.8</v>
      </c>
      <c r="O21" s="99">
        <v>0.8</v>
      </c>
      <c r="P21" s="99">
        <v>0.8</v>
      </c>
      <c r="Q21" s="99">
        <v>0.8</v>
      </c>
      <c r="R21" s="99">
        <v>0</v>
      </c>
      <c r="S21" s="99">
        <v>0.8</v>
      </c>
      <c r="T21" s="99">
        <v>0.8</v>
      </c>
      <c r="U21" s="99">
        <v>0</v>
      </c>
      <c r="V21" s="99">
        <v>0</v>
      </c>
      <c r="W21" s="99">
        <v>0</v>
      </c>
      <c r="X21" s="99">
        <v>0</v>
      </c>
      <c r="Y21" s="99">
        <v>0</v>
      </c>
      <c r="Z21" s="99">
        <v>0</v>
      </c>
    </row>
    <row r="22" spans="1:26" customFormat="1" x14ac:dyDescent="0.15">
      <c r="A22" s="171" t="s">
        <v>212</v>
      </c>
      <c r="B22" s="99">
        <v>0.8</v>
      </c>
      <c r="C22" s="99">
        <v>0.8</v>
      </c>
      <c r="D22" s="99">
        <v>0</v>
      </c>
      <c r="E22" s="99">
        <v>0.8</v>
      </c>
      <c r="F22" s="99">
        <v>0</v>
      </c>
      <c r="G22" s="99">
        <v>0.8</v>
      </c>
      <c r="H22" s="99">
        <v>0.8</v>
      </c>
      <c r="I22" s="99">
        <v>0.8</v>
      </c>
      <c r="J22" s="99">
        <v>0.8</v>
      </c>
      <c r="K22" s="99">
        <v>0</v>
      </c>
      <c r="L22" s="99">
        <v>0</v>
      </c>
      <c r="M22" s="99">
        <v>0.8</v>
      </c>
      <c r="N22" s="99">
        <v>0.8</v>
      </c>
      <c r="O22" s="99">
        <v>0</v>
      </c>
      <c r="P22" s="99">
        <v>0</v>
      </c>
      <c r="Q22" s="99">
        <v>0.8</v>
      </c>
      <c r="R22" s="99">
        <v>0.8</v>
      </c>
      <c r="S22" s="99">
        <v>0</v>
      </c>
      <c r="T22" s="99">
        <v>0.8</v>
      </c>
      <c r="U22" s="99">
        <v>0</v>
      </c>
      <c r="V22" s="99">
        <v>0</v>
      </c>
      <c r="W22" s="99">
        <v>0</v>
      </c>
      <c r="X22" s="99">
        <v>0</v>
      </c>
      <c r="Y22" s="99">
        <v>0</v>
      </c>
      <c r="Z22" s="99">
        <v>0</v>
      </c>
    </row>
    <row r="23" spans="1:26" customFormat="1" x14ac:dyDescent="0.15">
      <c r="A23" s="171" t="s">
        <v>213</v>
      </c>
      <c r="B23" s="99">
        <v>0</v>
      </c>
      <c r="C23" s="99">
        <v>0</v>
      </c>
      <c r="D23" s="99">
        <v>0</v>
      </c>
      <c r="E23" s="99">
        <v>0</v>
      </c>
      <c r="F23" s="99">
        <v>0</v>
      </c>
      <c r="G23" s="99">
        <v>0</v>
      </c>
      <c r="H23" s="99">
        <v>0</v>
      </c>
      <c r="I23" s="99">
        <v>0</v>
      </c>
      <c r="J23" s="99">
        <v>0</v>
      </c>
      <c r="K23" s="99">
        <v>0</v>
      </c>
      <c r="L23" s="99">
        <v>0</v>
      </c>
      <c r="M23" s="99">
        <v>0</v>
      </c>
      <c r="N23" s="99">
        <v>0</v>
      </c>
      <c r="O23" s="99">
        <v>0</v>
      </c>
      <c r="P23" s="99">
        <v>0</v>
      </c>
      <c r="Q23" s="99">
        <v>0</v>
      </c>
      <c r="R23" s="99">
        <v>0.8</v>
      </c>
      <c r="S23" s="99">
        <v>0.8</v>
      </c>
      <c r="T23" s="99">
        <v>0</v>
      </c>
      <c r="U23" s="99">
        <v>0</v>
      </c>
      <c r="V23" s="99">
        <v>0.8</v>
      </c>
      <c r="W23" s="99">
        <v>0</v>
      </c>
      <c r="X23" s="99">
        <v>0</v>
      </c>
      <c r="Y23" s="99">
        <v>0</v>
      </c>
      <c r="Z23" s="99">
        <v>0</v>
      </c>
    </row>
    <row r="24" spans="1:26" customFormat="1" x14ac:dyDescent="0.15">
      <c r="A24" s="171" t="s">
        <v>214</v>
      </c>
      <c r="B24" s="99">
        <v>0.8</v>
      </c>
      <c r="C24" s="99">
        <v>0</v>
      </c>
      <c r="D24" s="99">
        <v>0</v>
      </c>
      <c r="E24" s="99">
        <v>0</v>
      </c>
      <c r="F24" s="99">
        <v>0</v>
      </c>
      <c r="G24" s="99">
        <v>0.8</v>
      </c>
      <c r="H24" s="99">
        <v>0.8</v>
      </c>
      <c r="I24" s="99">
        <v>0.8</v>
      </c>
      <c r="J24" s="99">
        <v>0.8</v>
      </c>
      <c r="K24" s="99">
        <v>0</v>
      </c>
      <c r="L24" s="99">
        <v>0</v>
      </c>
      <c r="M24" s="99">
        <v>0.8</v>
      </c>
      <c r="N24" s="99">
        <v>0.8</v>
      </c>
      <c r="O24" s="99">
        <v>0</v>
      </c>
      <c r="P24" s="99">
        <v>0.8</v>
      </c>
      <c r="Q24" s="99">
        <v>0</v>
      </c>
      <c r="R24" s="99">
        <v>0.8</v>
      </c>
      <c r="S24" s="99">
        <v>0</v>
      </c>
      <c r="T24" s="99">
        <v>0</v>
      </c>
      <c r="U24" s="99">
        <v>0.8</v>
      </c>
      <c r="V24" s="99">
        <v>0</v>
      </c>
      <c r="W24" s="99">
        <v>0</v>
      </c>
      <c r="X24" s="99">
        <v>0</v>
      </c>
      <c r="Y24" s="99">
        <v>0</v>
      </c>
      <c r="Z24" s="99">
        <v>0</v>
      </c>
    </row>
    <row r="25" spans="1:26" customFormat="1" x14ac:dyDescent="0.15">
      <c r="A25" s="171" t="s">
        <v>215</v>
      </c>
      <c r="B25" s="99">
        <v>0.8</v>
      </c>
      <c r="C25" s="99">
        <v>0</v>
      </c>
      <c r="D25" s="99">
        <v>0</v>
      </c>
      <c r="E25" s="99">
        <v>0</v>
      </c>
      <c r="F25" s="99">
        <v>0</v>
      </c>
      <c r="G25" s="99">
        <v>0</v>
      </c>
      <c r="H25" s="99">
        <v>0</v>
      </c>
      <c r="I25" s="99">
        <v>0</v>
      </c>
      <c r="J25" s="99">
        <v>0</v>
      </c>
      <c r="K25" s="99">
        <v>0</v>
      </c>
      <c r="L25" s="99">
        <v>0</v>
      </c>
      <c r="M25" s="99">
        <v>0</v>
      </c>
      <c r="N25" s="99">
        <v>0.8</v>
      </c>
      <c r="O25" s="99">
        <v>0.8</v>
      </c>
      <c r="P25" s="99">
        <v>0.8</v>
      </c>
      <c r="Q25" s="99">
        <v>0.8</v>
      </c>
      <c r="R25" s="99">
        <v>0.8</v>
      </c>
      <c r="S25" s="99">
        <v>0.8</v>
      </c>
      <c r="T25" s="99">
        <v>0.8</v>
      </c>
      <c r="U25" s="99">
        <v>0.8</v>
      </c>
      <c r="V25" s="99">
        <v>0.8</v>
      </c>
      <c r="W25" s="99">
        <v>0</v>
      </c>
      <c r="X25" s="99">
        <v>0</v>
      </c>
      <c r="Y25" s="99">
        <v>0</v>
      </c>
      <c r="Z25" s="99">
        <v>0</v>
      </c>
    </row>
    <row r="26" spans="1:26" customFormat="1" x14ac:dyDescent="0.15">
      <c r="A26" s="171" t="s">
        <v>216</v>
      </c>
      <c r="B26" s="99">
        <v>0</v>
      </c>
      <c r="C26" s="99">
        <v>0</v>
      </c>
      <c r="D26" s="99">
        <v>0</v>
      </c>
      <c r="E26" s="99">
        <v>0</v>
      </c>
      <c r="F26" s="99">
        <v>0</v>
      </c>
      <c r="G26" s="99">
        <v>0</v>
      </c>
      <c r="H26" s="99">
        <v>0</v>
      </c>
      <c r="I26" s="99">
        <v>0</v>
      </c>
      <c r="J26" s="99">
        <v>0</v>
      </c>
      <c r="K26" s="99">
        <v>0</v>
      </c>
      <c r="L26" s="99">
        <v>0</v>
      </c>
      <c r="M26" s="99">
        <v>0</v>
      </c>
      <c r="N26" s="99">
        <v>0</v>
      </c>
      <c r="O26" s="99">
        <v>0</v>
      </c>
      <c r="P26" s="99">
        <v>0</v>
      </c>
      <c r="Q26" s="99">
        <v>0</v>
      </c>
      <c r="R26" s="99">
        <v>0</v>
      </c>
      <c r="S26" s="99">
        <v>0</v>
      </c>
      <c r="T26" s="99">
        <v>0</v>
      </c>
      <c r="U26" s="99">
        <v>0</v>
      </c>
      <c r="V26" s="99">
        <v>0</v>
      </c>
      <c r="W26" s="99">
        <v>0</v>
      </c>
      <c r="X26" s="99">
        <v>0</v>
      </c>
      <c r="Y26" s="99">
        <v>0</v>
      </c>
      <c r="Z26" s="99">
        <v>0</v>
      </c>
    </row>
    <row r="27" spans="1:26" customFormat="1" x14ac:dyDescent="0.15">
      <c r="A27" s="171" t="s">
        <v>218</v>
      </c>
      <c r="B27" s="99">
        <v>0</v>
      </c>
      <c r="C27" s="99">
        <v>0</v>
      </c>
      <c r="D27" s="99">
        <v>0</v>
      </c>
      <c r="E27" s="99">
        <v>0</v>
      </c>
      <c r="F27" s="99">
        <v>0</v>
      </c>
      <c r="G27" s="99">
        <v>0</v>
      </c>
      <c r="H27" s="99">
        <v>0</v>
      </c>
      <c r="I27" s="99">
        <v>0</v>
      </c>
      <c r="J27" s="99">
        <v>0</v>
      </c>
      <c r="K27" s="99">
        <v>0</v>
      </c>
      <c r="L27" s="99">
        <v>0</v>
      </c>
      <c r="M27" s="99">
        <v>0</v>
      </c>
      <c r="N27" s="99">
        <v>0</v>
      </c>
      <c r="O27" s="99">
        <v>0</v>
      </c>
      <c r="P27" s="99">
        <v>0</v>
      </c>
      <c r="Q27" s="99">
        <v>0</v>
      </c>
      <c r="R27" s="99">
        <v>0</v>
      </c>
      <c r="S27" s="99">
        <v>0</v>
      </c>
      <c r="T27" s="99">
        <v>0</v>
      </c>
      <c r="U27" s="99">
        <v>0</v>
      </c>
      <c r="V27" s="99">
        <v>0</v>
      </c>
      <c r="W27" s="99">
        <v>0</v>
      </c>
      <c r="X27" s="99">
        <v>0</v>
      </c>
      <c r="Y27" s="99">
        <v>0</v>
      </c>
      <c r="Z27" s="99">
        <v>0</v>
      </c>
    </row>
    <row r="28" spans="1:26" customFormat="1" x14ac:dyDescent="0.15"/>
    <row r="29" spans="1:26" customFormat="1" x14ac:dyDescent="0.15"/>
    <row r="30" spans="1:26" customFormat="1" x14ac:dyDescent="0.15"/>
    <row r="31" spans="1:26" customFormat="1" x14ac:dyDescent="0.15"/>
    <row r="32" spans="1:26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9" bestFit="1" customWidth="1"/>
    <col min="2" max="26" width="2.33203125" style="99" customWidth="1"/>
    <col min="27" max="16384" width="10.83203125" style="99"/>
  </cols>
  <sheetData>
    <row r="1" spans="1:31" x14ac:dyDescent="0.15">
      <c r="A1" s="59" t="s">
        <v>139</v>
      </c>
      <c r="B1" s="174" t="s">
        <v>192</v>
      </c>
      <c r="C1" s="174" t="s">
        <v>193</v>
      </c>
      <c r="D1" s="174" t="s">
        <v>194</v>
      </c>
      <c r="E1" s="174" t="s">
        <v>195</v>
      </c>
      <c r="F1" s="174" t="s">
        <v>196</v>
      </c>
      <c r="G1" s="174" t="s">
        <v>197</v>
      </c>
      <c r="H1" s="174" t="s">
        <v>198</v>
      </c>
      <c r="I1" s="174" t="s">
        <v>199</v>
      </c>
      <c r="J1" s="174" t="s">
        <v>200</v>
      </c>
      <c r="K1" s="174" t="s">
        <v>201</v>
      </c>
      <c r="L1" s="174" t="s">
        <v>202</v>
      </c>
      <c r="M1" s="174" t="s">
        <v>203</v>
      </c>
      <c r="N1" s="174" t="s">
        <v>204</v>
      </c>
      <c r="O1" s="174" t="s">
        <v>205</v>
      </c>
      <c r="P1" s="174" t="s">
        <v>206</v>
      </c>
      <c r="Q1" s="174" t="s">
        <v>207</v>
      </c>
      <c r="R1" s="174" t="s">
        <v>208</v>
      </c>
      <c r="S1" s="174" t="s">
        <v>209</v>
      </c>
      <c r="T1" s="174" t="s">
        <v>210</v>
      </c>
      <c r="U1" s="174" t="s">
        <v>211</v>
      </c>
      <c r="V1" s="174" t="s">
        <v>212</v>
      </c>
      <c r="W1" s="174" t="s">
        <v>213</v>
      </c>
      <c r="X1" s="174" t="s">
        <v>214</v>
      </c>
      <c r="Y1" s="174" t="s">
        <v>215</v>
      </c>
      <c r="Z1" s="174" t="s">
        <v>216</v>
      </c>
      <c r="AA1"/>
      <c r="AB1"/>
      <c r="AC1"/>
      <c r="AD1"/>
      <c r="AE1"/>
    </row>
    <row r="2" spans="1:31" customFormat="1" x14ac:dyDescent="0.15">
      <c r="A2" s="173" t="s">
        <v>192</v>
      </c>
      <c r="B2" s="99">
        <v>0</v>
      </c>
      <c r="C2" s="99">
        <v>0</v>
      </c>
      <c r="D2" s="99">
        <v>1</v>
      </c>
      <c r="E2" s="99">
        <v>1</v>
      </c>
      <c r="F2" s="99">
        <v>1</v>
      </c>
      <c r="G2" s="99">
        <v>1</v>
      </c>
      <c r="H2" s="99">
        <v>0</v>
      </c>
      <c r="I2" s="99">
        <v>0</v>
      </c>
      <c r="J2" s="99">
        <v>0</v>
      </c>
      <c r="K2" s="99">
        <v>0</v>
      </c>
      <c r="L2" s="99">
        <v>0</v>
      </c>
      <c r="M2" s="99">
        <v>0</v>
      </c>
      <c r="N2" s="99">
        <v>1</v>
      </c>
      <c r="O2" s="99">
        <v>0</v>
      </c>
      <c r="P2" s="99">
        <v>0</v>
      </c>
      <c r="Q2" s="99">
        <v>0</v>
      </c>
      <c r="R2" s="99">
        <v>0</v>
      </c>
      <c r="S2" s="99">
        <v>0</v>
      </c>
      <c r="T2" s="99">
        <v>0</v>
      </c>
      <c r="U2" s="99">
        <v>0</v>
      </c>
      <c r="V2" s="99">
        <v>0</v>
      </c>
      <c r="W2" s="99">
        <v>0</v>
      </c>
      <c r="X2" s="99">
        <v>0</v>
      </c>
      <c r="Y2" s="99">
        <v>0</v>
      </c>
      <c r="Z2" s="99">
        <v>0</v>
      </c>
    </row>
    <row r="3" spans="1:31" customFormat="1" x14ac:dyDescent="0.15">
      <c r="A3" s="173" t="s">
        <v>193</v>
      </c>
      <c r="B3" s="99">
        <v>0</v>
      </c>
      <c r="C3" s="99">
        <v>0</v>
      </c>
      <c r="D3" s="99">
        <v>1</v>
      </c>
      <c r="E3" s="99">
        <v>1</v>
      </c>
      <c r="F3" s="99">
        <v>1</v>
      </c>
      <c r="G3" s="99">
        <v>1</v>
      </c>
      <c r="H3" s="99">
        <v>0</v>
      </c>
      <c r="I3" s="99">
        <v>1</v>
      </c>
      <c r="J3" s="99">
        <v>0</v>
      </c>
      <c r="K3" s="99">
        <v>0</v>
      </c>
      <c r="L3" s="99">
        <v>0</v>
      </c>
      <c r="M3" s="99">
        <v>0</v>
      </c>
      <c r="N3" s="99">
        <v>1</v>
      </c>
      <c r="O3" s="99">
        <v>0</v>
      </c>
      <c r="P3" s="99">
        <v>0</v>
      </c>
      <c r="Q3" s="99">
        <v>0</v>
      </c>
      <c r="R3" s="99">
        <v>0</v>
      </c>
      <c r="S3" s="99">
        <v>0</v>
      </c>
      <c r="T3" s="99">
        <v>0</v>
      </c>
      <c r="U3" s="99">
        <v>0</v>
      </c>
      <c r="V3" s="99">
        <v>0</v>
      </c>
      <c r="W3" s="99">
        <v>0</v>
      </c>
      <c r="X3" s="99">
        <v>0</v>
      </c>
      <c r="Y3" s="99">
        <v>0</v>
      </c>
      <c r="Z3" s="99">
        <v>0</v>
      </c>
    </row>
    <row r="4" spans="1:31" customFormat="1" x14ac:dyDescent="0.15">
      <c r="A4" s="173" t="s">
        <v>194</v>
      </c>
      <c r="B4" s="99">
        <v>0</v>
      </c>
      <c r="C4" s="99">
        <v>0</v>
      </c>
      <c r="D4" s="99">
        <v>0</v>
      </c>
      <c r="E4" s="99">
        <v>0</v>
      </c>
      <c r="F4" s="99">
        <v>0</v>
      </c>
      <c r="G4" s="99">
        <v>1</v>
      </c>
      <c r="H4" s="99">
        <v>0</v>
      </c>
      <c r="I4" s="99">
        <v>0</v>
      </c>
      <c r="J4" s="99">
        <v>0</v>
      </c>
      <c r="K4" s="99">
        <v>0</v>
      </c>
      <c r="L4" s="99">
        <v>0</v>
      </c>
      <c r="M4" s="99">
        <v>0</v>
      </c>
      <c r="N4" s="99">
        <v>0</v>
      </c>
      <c r="O4" s="99">
        <v>0</v>
      </c>
      <c r="P4" s="99">
        <v>0</v>
      </c>
      <c r="Q4" s="99">
        <v>0</v>
      </c>
      <c r="R4" s="99">
        <v>0</v>
      </c>
      <c r="S4" s="99">
        <v>0</v>
      </c>
      <c r="T4" s="99">
        <v>0</v>
      </c>
      <c r="U4" s="99">
        <v>0</v>
      </c>
      <c r="V4" s="99">
        <v>0</v>
      </c>
      <c r="W4" s="99">
        <v>0</v>
      </c>
      <c r="X4" s="99">
        <v>0</v>
      </c>
      <c r="Y4" s="99">
        <v>0</v>
      </c>
      <c r="Z4" s="99">
        <v>0</v>
      </c>
    </row>
    <row r="5" spans="1:31" customFormat="1" x14ac:dyDescent="0.15">
      <c r="A5" s="173" t="s">
        <v>195</v>
      </c>
      <c r="B5" s="99">
        <v>0</v>
      </c>
      <c r="C5" s="99">
        <v>0</v>
      </c>
      <c r="D5" s="99">
        <v>0</v>
      </c>
      <c r="E5" s="99">
        <v>0</v>
      </c>
      <c r="F5" s="99">
        <v>0</v>
      </c>
      <c r="G5" s="99">
        <v>0</v>
      </c>
      <c r="H5" s="99">
        <v>0</v>
      </c>
      <c r="I5" s="99">
        <v>0</v>
      </c>
      <c r="J5" s="99">
        <v>0</v>
      </c>
      <c r="K5" s="99">
        <v>1</v>
      </c>
      <c r="L5" s="99">
        <v>1</v>
      </c>
      <c r="M5" s="99">
        <v>0</v>
      </c>
      <c r="N5" s="99">
        <v>0</v>
      </c>
      <c r="O5" s="99">
        <v>0</v>
      </c>
      <c r="P5" s="99">
        <v>0</v>
      </c>
      <c r="Q5" s="99">
        <v>0</v>
      </c>
      <c r="R5" s="99">
        <v>0</v>
      </c>
      <c r="S5" s="99">
        <v>0</v>
      </c>
      <c r="T5" s="99">
        <v>0</v>
      </c>
      <c r="U5" s="99">
        <v>0</v>
      </c>
      <c r="V5" s="99">
        <v>0</v>
      </c>
      <c r="W5" s="99">
        <v>0</v>
      </c>
      <c r="X5" s="99">
        <v>0</v>
      </c>
      <c r="Y5" s="99">
        <v>0</v>
      </c>
      <c r="Z5" s="99">
        <v>0</v>
      </c>
    </row>
    <row r="6" spans="1:31" customFormat="1" x14ac:dyDescent="0.15">
      <c r="A6" s="173" t="s">
        <v>196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1</v>
      </c>
      <c r="H6" s="99">
        <v>0</v>
      </c>
      <c r="I6" s="99">
        <v>0</v>
      </c>
      <c r="J6" s="99">
        <v>0</v>
      </c>
      <c r="K6" s="99">
        <v>1</v>
      </c>
      <c r="L6" s="99">
        <v>1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  <c r="V6" s="99">
        <v>0</v>
      </c>
      <c r="W6" s="99">
        <v>0</v>
      </c>
      <c r="X6" s="99">
        <v>0</v>
      </c>
      <c r="Y6" s="99">
        <v>0</v>
      </c>
      <c r="Z6" s="99">
        <v>0</v>
      </c>
    </row>
    <row r="7" spans="1:31" customFormat="1" x14ac:dyDescent="0.15">
      <c r="A7" s="173" t="s">
        <v>197</v>
      </c>
      <c r="B7" s="99">
        <v>0</v>
      </c>
      <c r="C7" s="99">
        <v>0</v>
      </c>
      <c r="D7" s="99">
        <v>0</v>
      </c>
      <c r="E7" s="99">
        <v>0</v>
      </c>
      <c r="F7" s="99">
        <v>0</v>
      </c>
      <c r="G7" s="99">
        <v>1</v>
      </c>
      <c r="H7" s="99">
        <v>0</v>
      </c>
      <c r="I7" s="99">
        <v>0</v>
      </c>
      <c r="J7" s="99">
        <v>0</v>
      </c>
      <c r="K7" s="99">
        <v>0</v>
      </c>
      <c r="L7" s="99">
        <v>1</v>
      </c>
      <c r="M7" s="99">
        <v>0</v>
      </c>
      <c r="N7" s="99">
        <v>0</v>
      </c>
      <c r="O7" s="99">
        <v>0</v>
      </c>
      <c r="P7" s="99">
        <v>0</v>
      </c>
      <c r="Q7" s="99">
        <v>0</v>
      </c>
      <c r="R7" s="99">
        <v>0</v>
      </c>
      <c r="S7" s="99">
        <v>0</v>
      </c>
      <c r="T7" s="99">
        <v>0</v>
      </c>
      <c r="U7" s="99">
        <v>0</v>
      </c>
      <c r="V7" s="99">
        <v>0</v>
      </c>
      <c r="W7" s="99">
        <v>0</v>
      </c>
      <c r="X7" s="99">
        <v>0</v>
      </c>
      <c r="Y7" s="99">
        <v>0</v>
      </c>
      <c r="Z7" s="99">
        <v>0</v>
      </c>
    </row>
    <row r="8" spans="1:31" customFormat="1" x14ac:dyDescent="0.15">
      <c r="A8" s="173" t="s">
        <v>198</v>
      </c>
      <c r="B8" s="99">
        <v>0</v>
      </c>
      <c r="C8" s="99">
        <v>0</v>
      </c>
      <c r="D8" s="99">
        <v>0</v>
      </c>
      <c r="E8" s="99">
        <v>1</v>
      </c>
      <c r="F8" s="99">
        <v>0</v>
      </c>
      <c r="G8" s="99">
        <v>0</v>
      </c>
      <c r="H8" s="99">
        <v>0</v>
      </c>
      <c r="I8" s="99">
        <v>0</v>
      </c>
      <c r="J8" s="99">
        <v>0</v>
      </c>
      <c r="K8" s="99">
        <v>1</v>
      </c>
      <c r="L8" s="99">
        <v>1</v>
      </c>
      <c r="M8" s="99">
        <v>1</v>
      </c>
      <c r="N8" s="99">
        <v>0</v>
      </c>
      <c r="O8" s="99">
        <v>0</v>
      </c>
      <c r="P8" s="99">
        <v>0</v>
      </c>
      <c r="Q8" s="99">
        <v>0</v>
      </c>
      <c r="R8" s="99">
        <v>0</v>
      </c>
      <c r="S8" s="99">
        <v>0</v>
      </c>
      <c r="T8" s="99">
        <v>0</v>
      </c>
      <c r="U8" s="99">
        <v>0</v>
      </c>
      <c r="V8" s="99">
        <v>0</v>
      </c>
      <c r="W8" s="99">
        <v>0</v>
      </c>
      <c r="X8" s="99">
        <v>0</v>
      </c>
      <c r="Y8" s="99">
        <v>0</v>
      </c>
      <c r="Z8" s="99">
        <v>0</v>
      </c>
    </row>
    <row r="9" spans="1:31" customFormat="1" x14ac:dyDescent="0.15">
      <c r="A9" s="173" t="s">
        <v>199</v>
      </c>
      <c r="B9" s="99">
        <v>0</v>
      </c>
      <c r="C9" s="99">
        <v>0</v>
      </c>
      <c r="D9" s="99">
        <v>0</v>
      </c>
      <c r="E9" s="99">
        <v>0</v>
      </c>
      <c r="F9" s="99">
        <v>0</v>
      </c>
      <c r="G9" s="99">
        <v>0</v>
      </c>
      <c r="H9" s="99">
        <v>0</v>
      </c>
      <c r="I9" s="99">
        <v>0</v>
      </c>
      <c r="J9" s="99">
        <v>0</v>
      </c>
      <c r="K9" s="99">
        <v>1</v>
      </c>
      <c r="L9" s="99">
        <v>1</v>
      </c>
      <c r="M9" s="99">
        <v>1</v>
      </c>
      <c r="N9" s="99">
        <v>0</v>
      </c>
      <c r="O9" s="99">
        <v>0</v>
      </c>
      <c r="P9" s="99">
        <v>0</v>
      </c>
      <c r="Q9" s="99">
        <v>0</v>
      </c>
      <c r="R9" s="99">
        <v>0</v>
      </c>
      <c r="S9" s="99">
        <v>0</v>
      </c>
      <c r="T9" s="99">
        <v>0</v>
      </c>
      <c r="U9" s="99">
        <v>0</v>
      </c>
      <c r="V9" s="99">
        <v>0</v>
      </c>
      <c r="W9" s="99">
        <v>0</v>
      </c>
      <c r="X9" s="99">
        <v>0</v>
      </c>
      <c r="Y9" s="99">
        <v>0</v>
      </c>
      <c r="Z9" s="99">
        <v>0</v>
      </c>
    </row>
    <row r="10" spans="1:31" customFormat="1" x14ac:dyDescent="0.15">
      <c r="A10" s="173" t="s">
        <v>200</v>
      </c>
      <c r="B10" s="99">
        <v>0</v>
      </c>
      <c r="C10" s="99">
        <v>0</v>
      </c>
      <c r="D10" s="99">
        <v>0</v>
      </c>
      <c r="E10" s="99">
        <v>0</v>
      </c>
      <c r="F10" s="99">
        <v>0</v>
      </c>
      <c r="G10" s="99">
        <v>1</v>
      </c>
      <c r="H10" s="99">
        <v>0</v>
      </c>
      <c r="I10" s="99">
        <v>0</v>
      </c>
      <c r="J10" s="99">
        <v>0</v>
      </c>
      <c r="K10" s="99">
        <v>1</v>
      </c>
      <c r="L10" s="99">
        <v>0</v>
      </c>
      <c r="M10" s="99">
        <v>1</v>
      </c>
      <c r="N10" s="99">
        <v>0</v>
      </c>
      <c r="O10" s="99">
        <v>0</v>
      </c>
      <c r="P10" s="99">
        <v>0</v>
      </c>
      <c r="Q10" s="99">
        <v>0</v>
      </c>
      <c r="R10" s="99">
        <v>0</v>
      </c>
      <c r="S10" s="99">
        <v>0</v>
      </c>
      <c r="T10" s="99">
        <v>0</v>
      </c>
      <c r="U10" s="99">
        <v>0</v>
      </c>
      <c r="V10" s="99">
        <v>0</v>
      </c>
      <c r="W10" s="99">
        <v>0</v>
      </c>
      <c r="X10" s="99">
        <v>0</v>
      </c>
      <c r="Y10" s="99">
        <v>0</v>
      </c>
      <c r="Z10" s="99">
        <v>0</v>
      </c>
    </row>
    <row r="11" spans="1:31" customFormat="1" x14ac:dyDescent="0.15">
      <c r="A11" s="173" t="s">
        <v>201</v>
      </c>
      <c r="B11" s="99">
        <v>0</v>
      </c>
      <c r="C11" s="99">
        <v>0</v>
      </c>
      <c r="D11" s="99">
        <v>0</v>
      </c>
      <c r="E11" s="99">
        <v>0</v>
      </c>
      <c r="F11" s="99">
        <v>0</v>
      </c>
      <c r="G11" s="99">
        <v>0</v>
      </c>
      <c r="H11" s="99">
        <v>0</v>
      </c>
      <c r="I11" s="99">
        <v>0</v>
      </c>
      <c r="J11" s="99">
        <v>0</v>
      </c>
      <c r="K11" s="99">
        <v>0</v>
      </c>
      <c r="L11" s="99">
        <v>0</v>
      </c>
      <c r="M11" s="99">
        <v>0</v>
      </c>
      <c r="N11" s="99">
        <v>0</v>
      </c>
      <c r="O11" s="99">
        <v>0</v>
      </c>
      <c r="P11" s="99">
        <v>0</v>
      </c>
      <c r="Q11" s="99">
        <v>0</v>
      </c>
      <c r="R11" s="99">
        <v>0</v>
      </c>
      <c r="S11" s="99">
        <v>0</v>
      </c>
      <c r="T11" s="99">
        <v>0</v>
      </c>
      <c r="U11" s="99">
        <v>0</v>
      </c>
      <c r="V11" s="99">
        <v>0</v>
      </c>
      <c r="W11" s="99">
        <v>0</v>
      </c>
      <c r="X11" s="99">
        <v>0</v>
      </c>
      <c r="Y11" s="99">
        <v>0</v>
      </c>
      <c r="Z11" s="99">
        <v>0</v>
      </c>
    </row>
    <row r="12" spans="1:31" customFormat="1" x14ac:dyDescent="0.15">
      <c r="A12" s="173" t="s">
        <v>202</v>
      </c>
      <c r="B12" s="99">
        <v>0</v>
      </c>
      <c r="C12" s="99">
        <v>0</v>
      </c>
      <c r="D12" s="99">
        <v>0</v>
      </c>
      <c r="E12" s="99">
        <v>0</v>
      </c>
      <c r="F12" s="99">
        <v>0</v>
      </c>
      <c r="G12" s="99">
        <v>0</v>
      </c>
      <c r="H12" s="99">
        <v>0</v>
      </c>
      <c r="I12" s="99">
        <v>0</v>
      </c>
      <c r="J12" s="99">
        <v>0</v>
      </c>
      <c r="K12" s="99">
        <v>1</v>
      </c>
      <c r="L12" s="99">
        <v>0</v>
      </c>
      <c r="M12" s="99">
        <v>0</v>
      </c>
      <c r="N12" s="99">
        <v>0</v>
      </c>
      <c r="O12" s="99">
        <v>0</v>
      </c>
      <c r="P12" s="99">
        <v>0</v>
      </c>
      <c r="Q12" s="99">
        <v>0</v>
      </c>
      <c r="R12" s="99">
        <v>0</v>
      </c>
      <c r="S12" s="99">
        <v>0</v>
      </c>
      <c r="T12" s="99">
        <v>0</v>
      </c>
      <c r="U12" s="99">
        <v>0</v>
      </c>
      <c r="V12" s="99">
        <v>0</v>
      </c>
      <c r="W12" s="99">
        <v>0</v>
      </c>
      <c r="X12" s="99">
        <v>0</v>
      </c>
      <c r="Y12" s="99">
        <v>0</v>
      </c>
      <c r="Z12" s="99">
        <v>0</v>
      </c>
    </row>
    <row r="13" spans="1:31" customFormat="1" x14ac:dyDescent="0.15">
      <c r="A13" s="173" t="s">
        <v>203</v>
      </c>
      <c r="B13" s="99">
        <v>0</v>
      </c>
      <c r="C13" s="99">
        <v>0</v>
      </c>
      <c r="D13" s="99">
        <v>0</v>
      </c>
      <c r="E13" s="99">
        <v>0</v>
      </c>
      <c r="F13" s="99">
        <v>0</v>
      </c>
      <c r="G13" s="99">
        <v>0</v>
      </c>
      <c r="H13" s="99">
        <v>0</v>
      </c>
      <c r="I13" s="99">
        <v>0</v>
      </c>
      <c r="J13" s="99">
        <v>0</v>
      </c>
      <c r="K13" s="99">
        <v>1</v>
      </c>
      <c r="L13" s="99">
        <v>1</v>
      </c>
      <c r="M13" s="99">
        <v>0</v>
      </c>
      <c r="N13" s="99">
        <v>0</v>
      </c>
      <c r="O13" s="99">
        <v>0</v>
      </c>
      <c r="P13" s="99">
        <v>0</v>
      </c>
      <c r="Q13" s="99">
        <v>0</v>
      </c>
      <c r="R13" s="99">
        <v>0</v>
      </c>
      <c r="S13" s="99">
        <v>0</v>
      </c>
      <c r="T13" s="99">
        <v>0</v>
      </c>
      <c r="U13" s="99">
        <v>0</v>
      </c>
      <c r="V13" s="99">
        <v>0</v>
      </c>
      <c r="W13" s="99">
        <v>0</v>
      </c>
      <c r="X13" s="99">
        <v>0</v>
      </c>
      <c r="Y13" s="99">
        <v>0</v>
      </c>
      <c r="Z13" s="99">
        <v>0</v>
      </c>
    </row>
    <row r="14" spans="1:31" customFormat="1" x14ac:dyDescent="0.15">
      <c r="A14" s="173" t="s">
        <v>204</v>
      </c>
      <c r="B14" s="99">
        <v>0</v>
      </c>
      <c r="C14" s="99">
        <v>0</v>
      </c>
      <c r="D14" s="99">
        <v>0</v>
      </c>
      <c r="E14" s="99">
        <v>0</v>
      </c>
      <c r="F14" s="99">
        <v>0</v>
      </c>
      <c r="G14" s="99">
        <v>1</v>
      </c>
      <c r="H14" s="99">
        <v>0</v>
      </c>
      <c r="I14" s="99">
        <v>0</v>
      </c>
      <c r="J14" s="99">
        <v>0</v>
      </c>
      <c r="K14" s="99">
        <v>0</v>
      </c>
      <c r="L14" s="99">
        <v>0</v>
      </c>
      <c r="M14" s="99">
        <v>0</v>
      </c>
      <c r="N14" s="99">
        <v>0</v>
      </c>
      <c r="O14" s="99">
        <v>0</v>
      </c>
      <c r="P14" s="99">
        <v>0</v>
      </c>
      <c r="Q14" s="99">
        <v>0</v>
      </c>
      <c r="R14" s="99">
        <v>0</v>
      </c>
      <c r="S14" s="99">
        <v>0</v>
      </c>
      <c r="T14" s="99">
        <v>0</v>
      </c>
      <c r="U14" s="99">
        <v>0</v>
      </c>
      <c r="V14" s="99">
        <v>0</v>
      </c>
      <c r="W14" s="99">
        <v>0</v>
      </c>
      <c r="X14" s="99">
        <v>0</v>
      </c>
      <c r="Y14" s="99">
        <v>0</v>
      </c>
      <c r="Z14" s="99">
        <v>0</v>
      </c>
    </row>
    <row r="15" spans="1:31" customFormat="1" x14ac:dyDescent="0.15">
      <c r="A15" s="173" t="s">
        <v>205</v>
      </c>
      <c r="B15" s="99">
        <v>0</v>
      </c>
      <c r="C15" s="99">
        <v>0</v>
      </c>
      <c r="D15" s="99">
        <v>0</v>
      </c>
      <c r="E15" s="99">
        <v>0</v>
      </c>
      <c r="F15" s="99">
        <v>0</v>
      </c>
      <c r="G15" s="99">
        <v>1</v>
      </c>
      <c r="H15" s="99">
        <v>0</v>
      </c>
      <c r="I15" s="99">
        <v>0</v>
      </c>
      <c r="J15" s="99">
        <v>0</v>
      </c>
      <c r="K15" s="99">
        <v>0</v>
      </c>
      <c r="L15" s="99">
        <v>0</v>
      </c>
      <c r="M15" s="99">
        <v>0</v>
      </c>
      <c r="N15" s="99">
        <v>0</v>
      </c>
      <c r="O15" s="99">
        <v>0</v>
      </c>
      <c r="P15" s="99">
        <v>0</v>
      </c>
      <c r="Q15" s="99">
        <v>0</v>
      </c>
      <c r="R15" s="99">
        <v>0</v>
      </c>
      <c r="S15" s="99">
        <v>0</v>
      </c>
      <c r="T15" s="99">
        <v>0</v>
      </c>
      <c r="U15" s="99">
        <v>0</v>
      </c>
      <c r="V15" s="99">
        <v>0</v>
      </c>
      <c r="W15" s="99">
        <v>0</v>
      </c>
      <c r="X15" s="99">
        <v>0</v>
      </c>
      <c r="Y15" s="99">
        <v>0</v>
      </c>
      <c r="Z15" s="99">
        <v>0</v>
      </c>
    </row>
    <row r="16" spans="1:31" customFormat="1" x14ac:dyDescent="0.15">
      <c r="A16" s="173" t="s">
        <v>206</v>
      </c>
      <c r="B16" s="99">
        <v>1</v>
      </c>
      <c r="C16" s="99">
        <v>1</v>
      </c>
      <c r="D16" s="99">
        <v>1</v>
      </c>
      <c r="E16" s="99">
        <v>1</v>
      </c>
      <c r="F16" s="99">
        <v>1</v>
      </c>
      <c r="G16" s="99">
        <v>1</v>
      </c>
      <c r="H16" s="99">
        <v>1</v>
      </c>
      <c r="I16" s="99">
        <v>1</v>
      </c>
      <c r="J16" s="99">
        <v>1</v>
      </c>
      <c r="K16" s="99">
        <v>1</v>
      </c>
      <c r="L16" s="99">
        <v>1</v>
      </c>
      <c r="M16" s="99">
        <v>0</v>
      </c>
      <c r="N16" s="99">
        <v>1</v>
      </c>
      <c r="O16" s="99">
        <v>1</v>
      </c>
      <c r="P16" s="99">
        <v>0</v>
      </c>
      <c r="Q16" s="99">
        <v>1</v>
      </c>
      <c r="R16" s="99">
        <v>0</v>
      </c>
      <c r="S16" s="99">
        <v>0</v>
      </c>
      <c r="T16" s="99">
        <v>1</v>
      </c>
      <c r="U16" s="99">
        <v>0</v>
      </c>
      <c r="V16" s="99">
        <v>0</v>
      </c>
      <c r="W16" s="99">
        <v>0</v>
      </c>
      <c r="X16" s="99">
        <v>0</v>
      </c>
      <c r="Y16" s="99">
        <v>0</v>
      </c>
      <c r="Z16" s="99">
        <v>0</v>
      </c>
    </row>
    <row r="17" spans="1:26" customFormat="1" x14ac:dyDescent="0.15">
      <c r="A17" s="173" t="s">
        <v>207</v>
      </c>
      <c r="B17" s="99">
        <v>0</v>
      </c>
      <c r="C17" s="99">
        <v>0</v>
      </c>
      <c r="D17" s="99">
        <v>0</v>
      </c>
      <c r="E17" s="99">
        <v>1</v>
      </c>
      <c r="F17" s="99">
        <v>0</v>
      </c>
      <c r="G17" s="99">
        <v>1</v>
      </c>
      <c r="H17" s="99">
        <v>1</v>
      </c>
      <c r="I17" s="99">
        <v>1</v>
      </c>
      <c r="J17" s="99">
        <v>1</v>
      </c>
      <c r="K17" s="99">
        <v>1</v>
      </c>
      <c r="L17" s="99">
        <v>1</v>
      </c>
      <c r="M17" s="99">
        <v>0</v>
      </c>
      <c r="N17" s="99">
        <v>1</v>
      </c>
      <c r="O17" s="99">
        <v>1</v>
      </c>
      <c r="P17" s="99">
        <v>0</v>
      </c>
      <c r="Q17" s="99">
        <v>0</v>
      </c>
      <c r="R17" s="99">
        <v>0</v>
      </c>
      <c r="S17" s="99">
        <v>0</v>
      </c>
      <c r="T17" s="99">
        <v>0</v>
      </c>
      <c r="U17" s="99">
        <v>0</v>
      </c>
      <c r="V17" s="99">
        <v>0</v>
      </c>
      <c r="W17" s="99">
        <v>0</v>
      </c>
      <c r="X17" s="99">
        <v>0</v>
      </c>
      <c r="Y17" s="99">
        <v>0</v>
      </c>
      <c r="Z17" s="99">
        <v>0</v>
      </c>
    </row>
    <row r="18" spans="1:26" customFormat="1" x14ac:dyDescent="0.15">
      <c r="A18" s="173" t="s">
        <v>208</v>
      </c>
      <c r="B18" s="99">
        <v>0</v>
      </c>
      <c r="C18" s="99">
        <v>0</v>
      </c>
      <c r="D18" s="99">
        <v>1</v>
      </c>
      <c r="E18" s="99">
        <v>1</v>
      </c>
      <c r="F18" s="99">
        <v>0</v>
      </c>
      <c r="G18" s="99">
        <v>1</v>
      </c>
      <c r="H18" s="99">
        <v>1</v>
      </c>
      <c r="I18" s="99">
        <v>1</v>
      </c>
      <c r="J18" s="99">
        <v>1</v>
      </c>
      <c r="K18" s="99">
        <v>0</v>
      </c>
      <c r="L18" s="99">
        <v>0</v>
      </c>
      <c r="M18" s="99">
        <v>0</v>
      </c>
      <c r="N18" s="99">
        <v>1</v>
      </c>
      <c r="O18" s="99">
        <v>0</v>
      </c>
      <c r="P18" s="99">
        <v>0</v>
      </c>
      <c r="Q18" s="99">
        <v>0</v>
      </c>
      <c r="R18" s="99">
        <v>0</v>
      </c>
      <c r="S18" s="99">
        <v>0</v>
      </c>
      <c r="T18" s="99">
        <v>0</v>
      </c>
      <c r="U18" s="99">
        <v>0</v>
      </c>
      <c r="V18" s="99">
        <v>0</v>
      </c>
      <c r="W18" s="99">
        <v>0</v>
      </c>
      <c r="X18" s="99">
        <v>0</v>
      </c>
      <c r="Y18" s="99">
        <v>0</v>
      </c>
      <c r="Z18" s="99">
        <v>0</v>
      </c>
    </row>
    <row r="19" spans="1:26" customFormat="1" x14ac:dyDescent="0.15">
      <c r="A19" s="173" t="s">
        <v>209</v>
      </c>
      <c r="B19" s="99">
        <v>1</v>
      </c>
      <c r="C19" s="99">
        <v>1</v>
      </c>
      <c r="D19" s="99">
        <v>1</v>
      </c>
      <c r="E19" s="99">
        <v>0</v>
      </c>
      <c r="F19" s="99">
        <v>0</v>
      </c>
      <c r="G19" s="99">
        <v>0</v>
      </c>
      <c r="H19" s="99">
        <v>1</v>
      </c>
      <c r="I19" s="99">
        <v>1</v>
      </c>
      <c r="J19" s="99">
        <v>1</v>
      </c>
      <c r="K19" s="99">
        <v>0</v>
      </c>
      <c r="L19" s="99">
        <v>0</v>
      </c>
      <c r="M19" s="99">
        <v>0</v>
      </c>
      <c r="N19" s="99">
        <v>1</v>
      </c>
      <c r="O19" s="99">
        <v>1</v>
      </c>
      <c r="P19" s="99">
        <v>1</v>
      </c>
      <c r="Q19" s="99">
        <v>1</v>
      </c>
      <c r="R19" s="99">
        <v>0</v>
      </c>
      <c r="S19" s="99">
        <v>0</v>
      </c>
      <c r="T19" s="99">
        <v>1</v>
      </c>
      <c r="U19" s="99">
        <v>0</v>
      </c>
      <c r="V19" s="99">
        <v>1</v>
      </c>
      <c r="W19" s="99">
        <v>0</v>
      </c>
      <c r="X19" s="99">
        <v>0</v>
      </c>
      <c r="Y19" s="99">
        <v>0</v>
      </c>
      <c r="Z19" s="99">
        <v>0</v>
      </c>
    </row>
    <row r="20" spans="1:26" customFormat="1" x14ac:dyDescent="0.15">
      <c r="A20" s="173" t="s">
        <v>210</v>
      </c>
      <c r="B20" s="99">
        <v>1</v>
      </c>
      <c r="C20" s="99">
        <v>1</v>
      </c>
      <c r="D20" s="99">
        <v>0</v>
      </c>
      <c r="E20" s="99">
        <v>1</v>
      </c>
      <c r="F20" s="99">
        <v>0</v>
      </c>
      <c r="G20" s="99">
        <v>0</v>
      </c>
      <c r="H20" s="99">
        <v>1</v>
      </c>
      <c r="I20" s="99">
        <v>0</v>
      </c>
      <c r="J20" s="99">
        <v>0</v>
      </c>
      <c r="K20" s="99">
        <v>1</v>
      </c>
      <c r="L20" s="99">
        <v>0</v>
      </c>
      <c r="M20" s="99">
        <v>1</v>
      </c>
      <c r="N20" s="99">
        <v>1</v>
      </c>
      <c r="O20" s="99">
        <v>0</v>
      </c>
      <c r="P20" s="99">
        <v>0</v>
      </c>
      <c r="Q20" s="99">
        <v>0</v>
      </c>
      <c r="R20" s="99">
        <v>0</v>
      </c>
      <c r="S20" s="99">
        <v>0</v>
      </c>
      <c r="T20" s="99">
        <v>0</v>
      </c>
      <c r="U20" s="99">
        <v>0</v>
      </c>
      <c r="V20" s="99">
        <v>0</v>
      </c>
      <c r="W20" s="99">
        <v>0</v>
      </c>
      <c r="X20" s="99">
        <v>0</v>
      </c>
      <c r="Y20" s="99">
        <v>0</v>
      </c>
      <c r="Z20" s="99">
        <v>0</v>
      </c>
    </row>
    <row r="21" spans="1:26" customFormat="1" x14ac:dyDescent="0.15">
      <c r="A21" s="173" t="s">
        <v>211</v>
      </c>
      <c r="B21" s="99">
        <v>1</v>
      </c>
      <c r="C21" s="99">
        <v>1</v>
      </c>
      <c r="D21" s="99">
        <v>0</v>
      </c>
      <c r="E21" s="99">
        <v>0</v>
      </c>
      <c r="F21" s="99">
        <v>0</v>
      </c>
      <c r="G21" s="99">
        <v>0</v>
      </c>
      <c r="H21" s="99">
        <v>0</v>
      </c>
      <c r="I21" s="99">
        <v>1</v>
      </c>
      <c r="J21" s="99">
        <v>1</v>
      </c>
      <c r="K21" s="99">
        <v>0</v>
      </c>
      <c r="L21" s="99">
        <v>0</v>
      </c>
      <c r="M21" s="99">
        <v>0</v>
      </c>
      <c r="N21" s="99">
        <v>1</v>
      </c>
      <c r="O21" s="99">
        <v>1</v>
      </c>
      <c r="P21" s="99">
        <v>1</v>
      </c>
      <c r="Q21" s="99">
        <v>1</v>
      </c>
      <c r="R21" s="99">
        <v>0</v>
      </c>
      <c r="S21" s="99">
        <v>1</v>
      </c>
      <c r="T21" s="99">
        <v>1</v>
      </c>
      <c r="U21" s="99">
        <v>0</v>
      </c>
      <c r="V21" s="99">
        <v>0</v>
      </c>
      <c r="W21" s="99">
        <v>0</v>
      </c>
      <c r="X21" s="99">
        <v>0</v>
      </c>
      <c r="Y21" s="99">
        <v>0</v>
      </c>
      <c r="Z21" s="99">
        <v>0</v>
      </c>
    </row>
    <row r="22" spans="1:26" customFormat="1" x14ac:dyDescent="0.15">
      <c r="A22" s="173" t="s">
        <v>212</v>
      </c>
      <c r="B22" s="99">
        <v>1</v>
      </c>
      <c r="C22" s="99">
        <v>1</v>
      </c>
      <c r="D22" s="99">
        <v>0</v>
      </c>
      <c r="E22" s="99">
        <v>1</v>
      </c>
      <c r="F22" s="99">
        <v>0</v>
      </c>
      <c r="G22" s="99">
        <v>1</v>
      </c>
      <c r="H22" s="99">
        <v>1</v>
      </c>
      <c r="I22" s="99">
        <v>1</v>
      </c>
      <c r="J22" s="99">
        <v>1</v>
      </c>
      <c r="K22" s="99">
        <v>0</v>
      </c>
      <c r="L22" s="99">
        <v>0</v>
      </c>
      <c r="M22" s="99">
        <v>1</v>
      </c>
      <c r="N22" s="99">
        <v>1</v>
      </c>
      <c r="O22" s="99">
        <v>0</v>
      </c>
      <c r="P22" s="99">
        <v>0</v>
      </c>
      <c r="Q22" s="99">
        <v>1</v>
      </c>
      <c r="R22" s="99">
        <v>1</v>
      </c>
      <c r="S22" s="99">
        <v>0</v>
      </c>
      <c r="T22" s="99">
        <v>1</v>
      </c>
      <c r="U22" s="99">
        <v>0</v>
      </c>
      <c r="V22" s="99">
        <v>0</v>
      </c>
      <c r="W22" s="99">
        <v>0</v>
      </c>
      <c r="X22" s="99">
        <v>0</v>
      </c>
      <c r="Y22" s="99">
        <v>0</v>
      </c>
      <c r="Z22" s="99">
        <v>0</v>
      </c>
    </row>
    <row r="23" spans="1:26" customFormat="1" x14ac:dyDescent="0.15">
      <c r="A23" s="173" t="s">
        <v>213</v>
      </c>
      <c r="B23" s="99">
        <v>0</v>
      </c>
      <c r="C23" s="99">
        <v>0</v>
      </c>
      <c r="D23" s="99">
        <v>0</v>
      </c>
      <c r="E23" s="99">
        <v>0</v>
      </c>
      <c r="F23" s="99">
        <v>0</v>
      </c>
      <c r="G23" s="99">
        <v>0</v>
      </c>
      <c r="H23" s="99">
        <v>0</v>
      </c>
      <c r="I23" s="99">
        <v>0</v>
      </c>
      <c r="J23" s="99">
        <v>0</v>
      </c>
      <c r="K23" s="99">
        <v>0</v>
      </c>
      <c r="L23" s="99">
        <v>0</v>
      </c>
      <c r="M23" s="99">
        <v>0</v>
      </c>
      <c r="N23" s="99">
        <v>0</v>
      </c>
      <c r="O23" s="99">
        <v>0</v>
      </c>
      <c r="P23" s="99">
        <v>0</v>
      </c>
      <c r="Q23" s="99">
        <v>0</v>
      </c>
      <c r="R23" s="99">
        <v>1</v>
      </c>
      <c r="S23" s="99">
        <v>1</v>
      </c>
      <c r="T23" s="99">
        <v>0</v>
      </c>
      <c r="U23" s="99">
        <v>0</v>
      </c>
      <c r="V23" s="99">
        <v>1</v>
      </c>
      <c r="W23" s="99">
        <v>0</v>
      </c>
      <c r="X23" s="99">
        <v>0</v>
      </c>
      <c r="Y23" s="99">
        <v>0</v>
      </c>
      <c r="Z23" s="99">
        <v>0</v>
      </c>
    </row>
    <row r="24" spans="1:26" customFormat="1" x14ac:dyDescent="0.15">
      <c r="A24" s="173" t="s">
        <v>214</v>
      </c>
      <c r="B24" s="99">
        <v>1</v>
      </c>
      <c r="C24" s="99">
        <v>0</v>
      </c>
      <c r="D24" s="99">
        <v>0</v>
      </c>
      <c r="E24" s="99">
        <v>0</v>
      </c>
      <c r="F24" s="99">
        <v>0</v>
      </c>
      <c r="G24" s="99">
        <v>1</v>
      </c>
      <c r="H24" s="99">
        <v>1</v>
      </c>
      <c r="I24" s="99">
        <v>1</v>
      </c>
      <c r="J24" s="99">
        <v>1</v>
      </c>
      <c r="K24" s="99">
        <v>0</v>
      </c>
      <c r="L24" s="99">
        <v>0</v>
      </c>
      <c r="M24" s="99">
        <v>1</v>
      </c>
      <c r="N24" s="99">
        <v>1</v>
      </c>
      <c r="O24" s="99">
        <v>0</v>
      </c>
      <c r="P24" s="99">
        <v>1</v>
      </c>
      <c r="Q24" s="99">
        <v>0</v>
      </c>
      <c r="R24" s="99">
        <v>1</v>
      </c>
      <c r="S24" s="99">
        <v>0</v>
      </c>
      <c r="T24" s="99">
        <v>0</v>
      </c>
      <c r="U24" s="99">
        <v>1</v>
      </c>
      <c r="V24" s="99">
        <v>0</v>
      </c>
      <c r="W24" s="99">
        <v>0</v>
      </c>
      <c r="X24" s="99">
        <v>0</v>
      </c>
      <c r="Y24" s="99">
        <v>0</v>
      </c>
      <c r="Z24" s="99">
        <v>0</v>
      </c>
    </row>
    <row r="25" spans="1:26" customFormat="1" x14ac:dyDescent="0.15">
      <c r="A25" s="173" t="s">
        <v>215</v>
      </c>
      <c r="B25" s="99">
        <v>1</v>
      </c>
      <c r="C25" s="99">
        <v>0</v>
      </c>
      <c r="D25" s="99">
        <v>0</v>
      </c>
      <c r="E25" s="99">
        <v>0</v>
      </c>
      <c r="F25" s="99">
        <v>0</v>
      </c>
      <c r="G25" s="99">
        <v>0</v>
      </c>
      <c r="H25" s="99">
        <v>0</v>
      </c>
      <c r="I25" s="99">
        <v>0</v>
      </c>
      <c r="J25" s="99">
        <v>0</v>
      </c>
      <c r="K25" s="99">
        <v>0</v>
      </c>
      <c r="L25" s="99">
        <v>0</v>
      </c>
      <c r="M25" s="99">
        <v>0</v>
      </c>
      <c r="N25" s="99">
        <v>1</v>
      </c>
      <c r="O25" s="99">
        <v>1</v>
      </c>
      <c r="P25" s="99">
        <v>1</v>
      </c>
      <c r="Q25" s="99">
        <v>1</v>
      </c>
      <c r="R25" s="99">
        <v>1</v>
      </c>
      <c r="S25" s="99">
        <v>1</v>
      </c>
      <c r="T25" s="99">
        <v>1</v>
      </c>
      <c r="U25" s="99">
        <v>1</v>
      </c>
      <c r="V25" s="99">
        <v>1</v>
      </c>
      <c r="W25" s="99">
        <v>0</v>
      </c>
      <c r="X25" s="99">
        <v>0</v>
      </c>
      <c r="Y25" s="99">
        <v>0</v>
      </c>
      <c r="Z25" s="99">
        <v>0</v>
      </c>
    </row>
    <row r="26" spans="1:26" customFormat="1" x14ac:dyDescent="0.15">
      <c r="A26" s="173" t="s">
        <v>216</v>
      </c>
      <c r="B26" s="99">
        <v>0</v>
      </c>
      <c r="C26" s="99">
        <v>0</v>
      </c>
      <c r="D26" s="99">
        <v>0</v>
      </c>
      <c r="E26" s="99">
        <v>0</v>
      </c>
      <c r="F26" s="99">
        <v>0</v>
      </c>
      <c r="G26" s="99">
        <v>0</v>
      </c>
      <c r="H26" s="99">
        <v>0</v>
      </c>
      <c r="I26" s="99">
        <v>0</v>
      </c>
      <c r="J26" s="99">
        <v>0</v>
      </c>
      <c r="K26" s="99">
        <v>0</v>
      </c>
      <c r="L26" s="99">
        <v>0</v>
      </c>
      <c r="M26" s="99">
        <v>0</v>
      </c>
      <c r="N26" s="99">
        <v>0</v>
      </c>
      <c r="O26" s="99">
        <v>0</v>
      </c>
      <c r="P26" s="99">
        <v>0</v>
      </c>
      <c r="Q26" s="99">
        <v>0</v>
      </c>
      <c r="R26" s="99">
        <v>0</v>
      </c>
      <c r="S26" s="99">
        <v>0</v>
      </c>
      <c r="T26" s="99">
        <v>0</v>
      </c>
      <c r="U26" s="99">
        <v>0</v>
      </c>
      <c r="V26" s="99">
        <v>0</v>
      </c>
      <c r="W26" s="99">
        <v>0</v>
      </c>
      <c r="X26" s="99">
        <v>0</v>
      </c>
      <c r="Y26" s="99">
        <v>0</v>
      </c>
      <c r="Z26" s="99">
        <v>0</v>
      </c>
    </row>
    <row r="27" spans="1:26" customFormat="1" x14ac:dyDescent="0.15">
      <c r="A27" s="173" t="s">
        <v>218</v>
      </c>
      <c r="B27" s="99">
        <v>0</v>
      </c>
      <c r="C27" s="99">
        <v>0</v>
      </c>
      <c r="D27" s="99">
        <v>0</v>
      </c>
      <c r="E27" s="99">
        <v>0</v>
      </c>
      <c r="F27" s="99">
        <v>0</v>
      </c>
      <c r="G27" s="99">
        <v>0</v>
      </c>
      <c r="H27" s="99">
        <v>0</v>
      </c>
      <c r="I27" s="99">
        <v>0</v>
      </c>
      <c r="J27" s="99">
        <v>0</v>
      </c>
      <c r="K27" s="99">
        <v>0</v>
      </c>
      <c r="L27" s="99">
        <v>0</v>
      </c>
      <c r="M27" s="99">
        <v>0</v>
      </c>
      <c r="N27" s="99">
        <v>0</v>
      </c>
      <c r="O27" s="99">
        <v>0</v>
      </c>
      <c r="P27" s="99">
        <v>0</v>
      </c>
      <c r="Q27" s="99">
        <v>0</v>
      </c>
      <c r="R27" s="99">
        <v>0</v>
      </c>
      <c r="S27" s="99">
        <v>0</v>
      </c>
      <c r="T27" s="99">
        <v>0</v>
      </c>
      <c r="U27" s="99">
        <v>0</v>
      </c>
      <c r="V27" s="99">
        <v>0</v>
      </c>
      <c r="W27" s="99">
        <v>0</v>
      </c>
      <c r="X27" s="99">
        <v>0</v>
      </c>
      <c r="Y27" s="99">
        <v>0</v>
      </c>
      <c r="Z27" s="99">
        <v>0</v>
      </c>
    </row>
    <row r="28" spans="1:26" customFormat="1" x14ac:dyDescent="0.15"/>
    <row r="29" spans="1:26" customFormat="1" x14ac:dyDescent="0.15"/>
    <row r="30" spans="1:26" customFormat="1" x14ac:dyDescent="0.15"/>
    <row r="31" spans="1:26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6" t="s">
        <v>217</v>
      </c>
    </row>
    <row r="2" spans="1:3" x14ac:dyDescent="0.15">
      <c r="A2">
        <v>1</v>
      </c>
      <c r="B2" s="175" t="s">
        <v>192</v>
      </c>
      <c r="C2">
        <v>0.8</v>
      </c>
    </row>
    <row r="3" spans="1:3" x14ac:dyDescent="0.15">
      <c r="A3">
        <v>2</v>
      </c>
      <c r="B3" s="175" t="s">
        <v>193</v>
      </c>
      <c r="C3">
        <v>0</v>
      </c>
    </row>
    <row r="4" spans="1:3" x14ac:dyDescent="0.15">
      <c r="A4">
        <v>3</v>
      </c>
      <c r="B4" s="175" t="s">
        <v>194</v>
      </c>
      <c r="C4">
        <v>0</v>
      </c>
    </row>
    <row r="5" spans="1:3" x14ac:dyDescent="0.15">
      <c r="A5">
        <v>4</v>
      </c>
      <c r="B5" s="175" t="s">
        <v>195</v>
      </c>
      <c r="C5">
        <v>0.8</v>
      </c>
    </row>
    <row r="6" spans="1:3" x14ac:dyDescent="0.15">
      <c r="A6">
        <v>5</v>
      </c>
      <c r="B6" s="175" t="s">
        <v>196</v>
      </c>
      <c r="C6">
        <v>0.8</v>
      </c>
    </row>
    <row r="7" spans="1:3" x14ac:dyDescent="0.15">
      <c r="A7">
        <v>6</v>
      </c>
      <c r="B7" s="175" t="s">
        <v>197</v>
      </c>
      <c r="C7">
        <v>0.8</v>
      </c>
    </row>
    <row r="8" spans="1:3" x14ac:dyDescent="0.15">
      <c r="A8">
        <v>7</v>
      </c>
      <c r="B8" s="175" t="s">
        <v>198</v>
      </c>
      <c r="C8">
        <v>0.8</v>
      </c>
    </row>
    <row r="9" spans="1:3" x14ac:dyDescent="0.15">
      <c r="A9">
        <v>8</v>
      </c>
      <c r="B9" s="175" t="s">
        <v>199</v>
      </c>
      <c r="C9">
        <v>0.8</v>
      </c>
    </row>
    <row r="10" spans="1:3" x14ac:dyDescent="0.15">
      <c r="A10">
        <v>9</v>
      </c>
      <c r="B10" s="175" t="s">
        <v>200</v>
      </c>
      <c r="C10">
        <v>0.8</v>
      </c>
    </row>
    <row r="11" spans="1:3" x14ac:dyDescent="0.15">
      <c r="A11">
        <v>10</v>
      </c>
      <c r="B11" s="175" t="s">
        <v>201</v>
      </c>
      <c r="C11">
        <v>0.8</v>
      </c>
    </row>
    <row r="12" spans="1:3" x14ac:dyDescent="0.15">
      <c r="A12">
        <v>11</v>
      </c>
      <c r="B12" s="175" t="s">
        <v>202</v>
      </c>
      <c r="C12">
        <v>0.8</v>
      </c>
    </row>
    <row r="13" spans="1:3" x14ac:dyDescent="0.15">
      <c r="A13">
        <v>12</v>
      </c>
      <c r="B13" s="175" t="s">
        <v>203</v>
      </c>
      <c r="C13">
        <v>0.8</v>
      </c>
    </row>
    <row r="14" spans="1:3" x14ac:dyDescent="0.15">
      <c r="A14">
        <v>13</v>
      </c>
      <c r="B14" s="175" t="s">
        <v>204</v>
      </c>
      <c r="C14">
        <v>0.8</v>
      </c>
    </row>
    <row r="15" spans="1:3" x14ac:dyDescent="0.15">
      <c r="A15">
        <v>14</v>
      </c>
      <c r="B15" s="175" t="s">
        <v>205</v>
      </c>
      <c r="C15">
        <v>0.8</v>
      </c>
    </row>
    <row r="16" spans="1:3" x14ac:dyDescent="0.15">
      <c r="A16">
        <v>15</v>
      </c>
      <c r="B16" s="175" t="s">
        <v>206</v>
      </c>
      <c r="C16">
        <v>0.8</v>
      </c>
    </row>
    <row r="17" spans="1:3" x14ac:dyDescent="0.15">
      <c r="A17">
        <v>16</v>
      </c>
      <c r="B17" s="175" t="s">
        <v>207</v>
      </c>
      <c r="C17">
        <v>0.8</v>
      </c>
    </row>
    <row r="18" spans="1:3" x14ac:dyDescent="0.15">
      <c r="A18">
        <v>17</v>
      </c>
      <c r="B18" s="175" t="s">
        <v>208</v>
      </c>
      <c r="C18">
        <v>0.8</v>
      </c>
    </row>
    <row r="19" spans="1:3" x14ac:dyDescent="0.15">
      <c r="A19">
        <v>18</v>
      </c>
      <c r="B19" s="175" t="s">
        <v>209</v>
      </c>
      <c r="C19">
        <v>0</v>
      </c>
    </row>
    <row r="20" spans="1:3" x14ac:dyDescent="0.15">
      <c r="A20">
        <v>19</v>
      </c>
      <c r="B20" s="175" t="s">
        <v>210</v>
      </c>
      <c r="C20">
        <v>0.8</v>
      </c>
    </row>
    <row r="21" spans="1:3" x14ac:dyDescent="0.15">
      <c r="A21">
        <v>20</v>
      </c>
      <c r="B21" s="175" t="s">
        <v>211</v>
      </c>
      <c r="C21">
        <v>0</v>
      </c>
    </row>
    <row r="22" spans="1:3" x14ac:dyDescent="0.15">
      <c r="A22">
        <v>21</v>
      </c>
      <c r="B22" s="175" t="s">
        <v>212</v>
      </c>
      <c r="C22">
        <v>0</v>
      </c>
    </row>
    <row r="23" spans="1:3" x14ac:dyDescent="0.15">
      <c r="A23">
        <v>22</v>
      </c>
      <c r="B23" s="175" t="s">
        <v>213</v>
      </c>
      <c r="C23">
        <v>0</v>
      </c>
    </row>
    <row r="24" spans="1:3" x14ac:dyDescent="0.15">
      <c r="A24">
        <v>23</v>
      </c>
      <c r="B24" s="175" t="s">
        <v>214</v>
      </c>
      <c r="C24">
        <v>0</v>
      </c>
    </row>
    <row r="25" spans="1:3" x14ac:dyDescent="0.15">
      <c r="A25">
        <v>24</v>
      </c>
      <c r="B25" s="175" t="s">
        <v>215</v>
      </c>
      <c r="C25">
        <v>0</v>
      </c>
    </row>
    <row r="26" spans="1:3" x14ac:dyDescent="0.15">
      <c r="A26">
        <v>25</v>
      </c>
      <c r="B26" s="175" t="s">
        <v>216</v>
      </c>
      <c r="C26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6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8" t="s">
        <v>217</v>
      </c>
    </row>
    <row r="2" spans="1:3" x14ac:dyDescent="0.15">
      <c r="A2">
        <v>1</v>
      </c>
      <c r="B2" s="177" t="s">
        <v>192</v>
      </c>
      <c r="C2">
        <v>0.8</v>
      </c>
    </row>
    <row r="3" spans="1:3" x14ac:dyDescent="0.15">
      <c r="A3">
        <v>2</v>
      </c>
      <c r="B3" s="177" t="s">
        <v>193</v>
      </c>
      <c r="C3">
        <v>0</v>
      </c>
    </row>
    <row r="4" spans="1:3" x14ac:dyDescent="0.15">
      <c r="A4">
        <v>3</v>
      </c>
      <c r="B4" s="177" t="s">
        <v>194</v>
      </c>
      <c r="C4">
        <v>0</v>
      </c>
    </row>
    <row r="5" spans="1:3" x14ac:dyDescent="0.15">
      <c r="A5">
        <v>4</v>
      </c>
      <c r="B5" s="177" t="s">
        <v>195</v>
      </c>
      <c r="C5">
        <v>0.8</v>
      </c>
    </row>
    <row r="6" spans="1:3" x14ac:dyDescent="0.15">
      <c r="A6">
        <v>5</v>
      </c>
      <c r="B6" s="177" t="s">
        <v>196</v>
      </c>
      <c r="C6">
        <v>0.8</v>
      </c>
    </row>
    <row r="7" spans="1:3" x14ac:dyDescent="0.15">
      <c r="A7">
        <v>6</v>
      </c>
      <c r="B7" s="177" t="s">
        <v>197</v>
      </c>
      <c r="C7">
        <v>0.8</v>
      </c>
    </row>
    <row r="8" spans="1:3" x14ac:dyDescent="0.15">
      <c r="A8">
        <v>7</v>
      </c>
      <c r="B8" s="177" t="s">
        <v>198</v>
      </c>
      <c r="C8">
        <v>0.8</v>
      </c>
    </row>
    <row r="9" spans="1:3" x14ac:dyDescent="0.15">
      <c r="A9">
        <v>8</v>
      </c>
      <c r="B9" s="177" t="s">
        <v>199</v>
      </c>
      <c r="C9">
        <v>0.8</v>
      </c>
    </row>
    <row r="10" spans="1:3" x14ac:dyDescent="0.15">
      <c r="A10">
        <v>9</v>
      </c>
      <c r="B10" s="177" t="s">
        <v>200</v>
      </c>
      <c r="C10">
        <v>0.8</v>
      </c>
    </row>
    <row r="11" spans="1:3" x14ac:dyDescent="0.15">
      <c r="A11">
        <v>10</v>
      </c>
      <c r="B11" s="177" t="s">
        <v>201</v>
      </c>
      <c r="C11">
        <v>0.8</v>
      </c>
    </row>
    <row r="12" spans="1:3" x14ac:dyDescent="0.15">
      <c r="A12">
        <v>11</v>
      </c>
      <c r="B12" s="177" t="s">
        <v>202</v>
      </c>
      <c r="C12">
        <v>0.8</v>
      </c>
    </row>
    <row r="13" spans="1:3" x14ac:dyDescent="0.15">
      <c r="A13">
        <v>12</v>
      </c>
      <c r="B13" s="177" t="s">
        <v>203</v>
      </c>
      <c r="C13">
        <v>0.8</v>
      </c>
    </row>
    <row r="14" spans="1:3" x14ac:dyDescent="0.15">
      <c r="A14">
        <v>13</v>
      </c>
      <c r="B14" s="177" t="s">
        <v>204</v>
      </c>
      <c r="C14">
        <v>0.8</v>
      </c>
    </row>
    <row r="15" spans="1:3" x14ac:dyDescent="0.15">
      <c r="A15">
        <v>14</v>
      </c>
      <c r="B15" s="177" t="s">
        <v>205</v>
      </c>
      <c r="C15">
        <v>0.8</v>
      </c>
    </row>
    <row r="16" spans="1:3" x14ac:dyDescent="0.15">
      <c r="A16">
        <v>15</v>
      </c>
      <c r="B16" s="177" t="s">
        <v>206</v>
      </c>
      <c r="C16">
        <v>0.8</v>
      </c>
    </row>
    <row r="17" spans="1:3" x14ac:dyDescent="0.15">
      <c r="A17">
        <v>16</v>
      </c>
      <c r="B17" s="177" t="s">
        <v>207</v>
      </c>
      <c r="C17">
        <v>0.8</v>
      </c>
    </row>
    <row r="18" spans="1:3" x14ac:dyDescent="0.15">
      <c r="A18">
        <v>17</v>
      </c>
      <c r="B18" s="177" t="s">
        <v>208</v>
      </c>
      <c r="C18">
        <v>0.8</v>
      </c>
    </row>
    <row r="19" spans="1:3" x14ac:dyDescent="0.15">
      <c r="A19">
        <v>18</v>
      </c>
      <c r="B19" s="177" t="s">
        <v>209</v>
      </c>
      <c r="C19">
        <v>0</v>
      </c>
    </row>
    <row r="20" spans="1:3" x14ac:dyDescent="0.15">
      <c r="A20">
        <v>19</v>
      </c>
      <c r="B20" s="177" t="s">
        <v>210</v>
      </c>
      <c r="C20">
        <v>0.8</v>
      </c>
    </row>
    <row r="21" spans="1:3" x14ac:dyDescent="0.15">
      <c r="A21">
        <v>20</v>
      </c>
      <c r="B21" s="177" t="s">
        <v>211</v>
      </c>
      <c r="C21">
        <v>0</v>
      </c>
    </row>
    <row r="22" spans="1:3" x14ac:dyDescent="0.15">
      <c r="A22">
        <v>21</v>
      </c>
      <c r="B22" s="177" t="s">
        <v>212</v>
      </c>
      <c r="C22">
        <v>0</v>
      </c>
    </row>
    <row r="23" spans="1:3" x14ac:dyDescent="0.15">
      <c r="A23">
        <v>22</v>
      </c>
      <c r="B23" s="177" t="s">
        <v>213</v>
      </c>
      <c r="C23">
        <v>0</v>
      </c>
    </row>
    <row r="24" spans="1:3" x14ac:dyDescent="0.15">
      <c r="A24">
        <v>23</v>
      </c>
      <c r="B24" s="177" t="s">
        <v>214</v>
      </c>
      <c r="C24">
        <v>0</v>
      </c>
    </row>
    <row r="25" spans="1:3" x14ac:dyDescent="0.15">
      <c r="A25">
        <v>24</v>
      </c>
      <c r="B25" s="177" t="s">
        <v>215</v>
      </c>
      <c r="C25">
        <v>0</v>
      </c>
    </row>
    <row r="26" spans="1:3" x14ac:dyDescent="0.15">
      <c r="A26">
        <v>25</v>
      </c>
      <c r="B26" s="177" t="s">
        <v>216</v>
      </c>
      <c r="C2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73"/>
    <col min="2" max="2" width="41.83203125" style="73" bestFit="1" customWidth="1"/>
    <col min="3" max="3" width="9.33203125" style="73" bestFit="1" customWidth="1"/>
    <col min="4" max="4" width="13" style="73" bestFit="1" customWidth="1"/>
    <col min="5" max="6" width="9.33203125" style="73" bestFit="1" customWidth="1"/>
    <col min="7" max="7" width="9.33203125" style="89" bestFit="1" customWidth="1"/>
    <col min="8" max="8" width="9.33203125" style="73" bestFit="1" customWidth="1"/>
    <col min="9" max="9" width="11" style="73" customWidth="1"/>
    <col min="10" max="10" width="8.83203125" style="73"/>
    <col min="15" max="16384" width="8.83203125" style="7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1" t="s">
        <v>14</v>
      </c>
      <c r="H1" s="1" t="s">
        <v>26</v>
      </c>
      <c r="I1" s="1" t="s">
        <v>24</v>
      </c>
    </row>
    <row r="2" spans="1:10" ht="15" customHeight="1" x14ac:dyDescent="0.15">
      <c r="A2" s="134">
        <v>1</v>
      </c>
      <c r="B2" s="134" t="s">
        <v>192</v>
      </c>
      <c r="C2" s="8">
        <v>3.0216290950775146</v>
      </c>
      <c r="D2" s="9">
        <v>2.0107150077819824</v>
      </c>
      <c r="E2" s="9">
        <v>2.3399999141693115</v>
      </c>
      <c r="F2" s="9">
        <v>11.699999809265137</v>
      </c>
      <c r="G2" s="9">
        <v>0.9500001072883606</v>
      </c>
      <c r="H2" s="9">
        <v>0.20000000298023224</v>
      </c>
      <c r="I2">
        <v>3.4000000450760126E-3</v>
      </c>
      <c r="J2"/>
    </row>
    <row r="3" spans="1:10" ht="15" customHeight="1" x14ac:dyDescent="0.15">
      <c r="A3" s="135">
        <v>2</v>
      </c>
      <c r="B3" s="135" t="s">
        <v>193</v>
      </c>
      <c r="C3" s="8">
        <v>3.2619318962097168</v>
      </c>
      <c r="D3" s="9">
        <v>0.74740493297576904</v>
      </c>
      <c r="E3" s="9">
        <v>3.9400002956390381</v>
      </c>
      <c r="F3" s="9">
        <v>19.700000762939453</v>
      </c>
      <c r="G3" s="9">
        <v>0.94999992847442627</v>
      </c>
      <c r="H3" s="9">
        <v>0.20000000298023224</v>
      </c>
      <c r="I3">
        <v>0</v>
      </c>
      <c r="J3"/>
    </row>
    <row r="4" spans="1:10" ht="15" customHeight="1" x14ac:dyDescent="0.15">
      <c r="A4" s="136">
        <v>3</v>
      </c>
      <c r="B4" s="136" t="s">
        <v>194</v>
      </c>
      <c r="C4" s="8">
        <v>3.8233542442321777</v>
      </c>
      <c r="D4" s="9">
        <v>6.0845310799777508E-3</v>
      </c>
      <c r="E4" s="9">
        <v>0.30000001192092896</v>
      </c>
      <c r="F4" s="9">
        <v>8.3000001907348633</v>
      </c>
      <c r="G4" s="9">
        <v>0.94999998807907104</v>
      </c>
      <c r="H4" s="9">
        <v>3.6144580692052841E-2</v>
      </c>
      <c r="I4">
        <v>0</v>
      </c>
      <c r="J4"/>
    </row>
    <row r="5" spans="1:10" ht="15" customHeight="1" x14ac:dyDescent="0.15">
      <c r="A5" s="137">
        <v>4</v>
      </c>
      <c r="B5" s="137" t="s">
        <v>195</v>
      </c>
      <c r="C5" s="8">
        <v>3.9271161556243896</v>
      </c>
      <c r="D5" s="9">
        <v>0.67306375503540039</v>
      </c>
      <c r="E5" s="9">
        <v>1.1000000238418579</v>
      </c>
      <c r="F5" s="9">
        <v>10.199999809265137</v>
      </c>
      <c r="G5" s="9">
        <v>0.94999986886978149</v>
      </c>
      <c r="H5" s="9">
        <v>0.10784313827753067</v>
      </c>
      <c r="I5">
        <v>6.8300001323223114E-2</v>
      </c>
      <c r="J5"/>
    </row>
    <row r="6" spans="1:10" ht="15" customHeight="1" x14ac:dyDescent="0.15">
      <c r="A6" s="138">
        <v>5</v>
      </c>
      <c r="B6" s="138" t="s">
        <v>196</v>
      </c>
      <c r="C6" s="8">
        <v>4.0356473922729492</v>
      </c>
      <c r="D6" s="9">
        <v>0.55081021785736084</v>
      </c>
      <c r="E6" s="9">
        <v>0.5</v>
      </c>
      <c r="F6" s="9">
        <v>8.8999996185302734</v>
      </c>
      <c r="G6" s="9">
        <v>0.94999992847442627</v>
      </c>
      <c r="H6" s="9">
        <v>5.6179776787757874E-2</v>
      </c>
      <c r="I6">
        <v>6.4099997282028198E-2</v>
      </c>
      <c r="J6"/>
    </row>
    <row r="7" spans="1:10" ht="15" customHeight="1" x14ac:dyDescent="0.15">
      <c r="A7" s="139">
        <v>6</v>
      </c>
      <c r="B7" s="139" t="s">
        <v>197</v>
      </c>
      <c r="C7" s="8">
        <v>3.7709465026855469</v>
      </c>
      <c r="D7" s="9">
        <v>0.17340913414955139</v>
      </c>
      <c r="E7" s="9">
        <v>0.69999998807907104</v>
      </c>
      <c r="F7" s="9">
        <v>10</v>
      </c>
      <c r="G7" s="9">
        <v>0.94999998807907104</v>
      </c>
      <c r="H7" s="9">
        <v>7.0000000298023224E-2</v>
      </c>
      <c r="I7">
        <v>3.3799998462200165E-2</v>
      </c>
      <c r="J7"/>
    </row>
    <row r="8" spans="1:10" ht="15" customHeight="1" x14ac:dyDescent="0.15">
      <c r="A8" s="140">
        <v>7</v>
      </c>
      <c r="B8" s="140" t="s">
        <v>198</v>
      </c>
      <c r="C8" s="8">
        <v>3.0432591438293457</v>
      </c>
      <c r="D8" s="9">
        <v>1.6319602727890015</v>
      </c>
      <c r="E8" s="9">
        <v>1.3799999952316284</v>
      </c>
      <c r="F8" s="9">
        <v>15.300000190734863</v>
      </c>
      <c r="G8" s="9">
        <v>0.94999992847442627</v>
      </c>
      <c r="H8" s="9">
        <v>9.0196080505847931E-2</v>
      </c>
      <c r="I8">
        <v>9.4899997115135193E-2</v>
      </c>
      <c r="J8"/>
    </row>
    <row r="9" spans="1:10" ht="15" customHeight="1" x14ac:dyDescent="0.15">
      <c r="A9" s="141">
        <v>8</v>
      </c>
      <c r="B9" s="141" t="s">
        <v>199</v>
      </c>
      <c r="C9" s="8">
        <v>3.150681734085083</v>
      </c>
      <c r="D9" s="9">
        <v>5.8278851211071014E-2</v>
      </c>
      <c r="E9" s="9">
        <v>0.47999998927116394</v>
      </c>
      <c r="F9" s="9">
        <v>6.8000001907348633</v>
      </c>
      <c r="G9" s="9">
        <v>0.94999998807907104</v>
      </c>
      <c r="H9" s="9">
        <v>7.0588231086730957E-2</v>
      </c>
      <c r="I9">
        <v>6.99999975040555E-4</v>
      </c>
      <c r="J9"/>
    </row>
    <row r="10" spans="1:10" ht="15" customHeight="1" x14ac:dyDescent="0.15">
      <c r="A10" s="142">
        <v>9</v>
      </c>
      <c r="B10" s="142" t="s">
        <v>200</v>
      </c>
      <c r="C10" s="8">
        <v>3.1847412586212158</v>
      </c>
      <c r="D10" s="9">
        <v>2.695875883102417</v>
      </c>
      <c r="E10" s="9">
        <v>0.36000001430511475</v>
      </c>
      <c r="F10" s="9">
        <v>8.6000003814697266</v>
      </c>
      <c r="G10" s="9">
        <v>0.94999998807907104</v>
      </c>
      <c r="H10" s="9">
        <v>4.1860464960336685E-2</v>
      </c>
      <c r="I10">
        <v>4.1999999433755875E-2</v>
      </c>
      <c r="J10"/>
    </row>
    <row r="11" spans="1:10" ht="15" customHeight="1" x14ac:dyDescent="0.15">
      <c r="A11" s="143">
        <v>10</v>
      </c>
      <c r="B11" s="143" t="s">
        <v>201</v>
      </c>
      <c r="C11" s="8">
        <v>4.7787723541259766</v>
      </c>
      <c r="D11" s="9">
        <v>0.16899999976158142</v>
      </c>
      <c r="E11" s="9">
        <v>0.60199999809265137</v>
      </c>
      <c r="F11" s="9">
        <v>7.8000001907348633</v>
      </c>
      <c r="G11" s="9">
        <v>0.9494977593421936</v>
      </c>
      <c r="H11" s="9">
        <v>7.7179484069347382E-2</v>
      </c>
      <c r="I11">
        <v>9.66000035405159E-2</v>
      </c>
      <c r="J11"/>
    </row>
    <row r="12" spans="1:10" ht="15" customHeight="1" x14ac:dyDescent="0.15">
      <c r="A12" s="144">
        <v>11</v>
      </c>
      <c r="B12" s="144" t="s">
        <v>202</v>
      </c>
      <c r="C12" s="8">
        <v>4.2855896949768066</v>
      </c>
      <c r="D12" s="9">
        <v>9.36322882771492E-2</v>
      </c>
      <c r="E12" s="9">
        <v>0.44999998807907104</v>
      </c>
      <c r="F12" s="9">
        <v>4.5999999046325684</v>
      </c>
      <c r="G12" s="9">
        <v>0.94999992847442627</v>
      </c>
      <c r="H12" s="9">
        <v>9.7826085984706879E-2</v>
      </c>
      <c r="I12">
        <v>1.7999999690800905E-3</v>
      </c>
      <c r="J12"/>
    </row>
    <row r="13" spans="1:10" ht="15" customHeight="1" x14ac:dyDescent="0.15">
      <c r="A13" s="145">
        <v>12</v>
      </c>
      <c r="B13" s="145" t="s">
        <v>203</v>
      </c>
      <c r="C13" s="8">
        <v>4.0063109397888184</v>
      </c>
      <c r="D13" s="9">
        <v>0.90814429521560669</v>
      </c>
      <c r="E13" s="9">
        <v>0.36000001430511475</v>
      </c>
      <c r="F13" s="9">
        <v>4.4000000953674316</v>
      </c>
      <c r="G13" s="9">
        <v>0.94999992847442627</v>
      </c>
      <c r="H13" s="9">
        <v>8.1818185746669769E-2</v>
      </c>
      <c r="I13">
        <v>3.2900001853704453E-2</v>
      </c>
      <c r="J13"/>
    </row>
    <row r="14" spans="1:10" ht="15" customHeight="1" x14ac:dyDescent="0.15">
      <c r="A14" s="146">
        <v>13</v>
      </c>
      <c r="B14" s="146" t="s">
        <v>204</v>
      </c>
      <c r="C14" s="8">
        <v>3.1970021724700928</v>
      </c>
      <c r="D14" s="9">
        <v>0.10400108993053436</v>
      </c>
      <c r="E14" s="9">
        <v>0.44999998807907104</v>
      </c>
      <c r="F14" s="9">
        <v>10</v>
      </c>
      <c r="G14" s="9">
        <v>0.94999992847442627</v>
      </c>
      <c r="H14" s="9">
        <v>4.4999998062849045E-2</v>
      </c>
      <c r="I14">
        <v>1.2900000438094139E-2</v>
      </c>
      <c r="J14"/>
    </row>
    <row r="15" spans="1:10" ht="15" customHeight="1" x14ac:dyDescent="0.15">
      <c r="A15" s="147">
        <v>14</v>
      </c>
      <c r="B15" s="147" t="s">
        <v>205</v>
      </c>
      <c r="C15" s="8">
        <v>3.1228172779083252</v>
      </c>
      <c r="D15" s="9">
        <v>3.0773531645536423E-2</v>
      </c>
      <c r="E15" s="9">
        <v>0.30000001192092896</v>
      </c>
      <c r="F15" s="9">
        <v>9.1000003814697266</v>
      </c>
      <c r="G15" s="9">
        <v>0.94999998807907104</v>
      </c>
      <c r="H15" s="9">
        <v>3.2967034727334976E-2</v>
      </c>
      <c r="I15">
        <v>9.9999997473787516E-5</v>
      </c>
      <c r="J15"/>
    </row>
    <row r="16" spans="1:10" ht="15" customHeight="1" x14ac:dyDescent="0.15">
      <c r="A16" s="148">
        <v>15</v>
      </c>
      <c r="B16" s="148" t="s">
        <v>206</v>
      </c>
      <c r="C16" s="8">
        <v>2.7899999618530273</v>
      </c>
      <c r="D16" s="9">
        <v>2.2880761623382568</v>
      </c>
      <c r="E16" s="9">
        <v>7.5729999542236328</v>
      </c>
      <c r="F16" s="9">
        <v>37.864997863769531</v>
      </c>
      <c r="G16" s="9">
        <v>0.94999998807907104</v>
      </c>
      <c r="H16" s="9">
        <v>0.20000000298023224</v>
      </c>
      <c r="I16">
        <v>7.8400000929832458E-2</v>
      </c>
      <c r="J16"/>
    </row>
    <row r="17" spans="1:10" ht="15" customHeight="1" x14ac:dyDescent="0.15">
      <c r="A17" s="149">
        <v>16</v>
      </c>
      <c r="B17" s="149" t="s">
        <v>207</v>
      </c>
      <c r="C17" s="8">
        <v>2.502000093460083</v>
      </c>
      <c r="D17" s="9">
        <v>1.1032717227935791</v>
      </c>
      <c r="E17" s="9">
        <v>2.1180000305175781</v>
      </c>
      <c r="F17" s="9">
        <v>8.5</v>
      </c>
      <c r="G17" s="9">
        <v>0.94999998807907104</v>
      </c>
      <c r="H17" s="9">
        <v>0.24917647242546082</v>
      </c>
      <c r="I17">
        <v>7.0200003683567047E-2</v>
      </c>
      <c r="J17"/>
    </row>
    <row r="18" spans="1:10" ht="15" customHeight="1" x14ac:dyDescent="0.15">
      <c r="A18" s="150">
        <v>17</v>
      </c>
      <c r="B18" s="150" t="s">
        <v>208</v>
      </c>
      <c r="C18" s="8">
        <v>2.2119998931884766</v>
      </c>
      <c r="D18" s="9">
        <v>5.3246541023254395</v>
      </c>
      <c r="E18" s="9">
        <v>1.7999999523162842</v>
      </c>
      <c r="F18" s="9">
        <v>8.2950000762939453</v>
      </c>
      <c r="G18" s="9">
        <v>0.94999998807907104</v>
      </c>
      <c r="H18" s="9">
        <v>0.21699818968772888</v>
      </c>
      <c r="I18">
        <v>3.9999999105930328E-2</v>
      </c>
      <c r="J18"/>
    </row>
    <row r="19" spans="1:10" ht="15" customHeight="1" x14ac:dyDescent="0.15">
      <c r="A19" s="151">
        <v>18</v>
      </c>
      <c r="B19" s="151" t="s">
        <v>209</v>
      </c>
      <c r="C19" s="8">
        <v>2.2000000476837158</v>
      </c>
      <c r="D19" s="9">
        <v>9.1282577514648438</v>
      </c>
      <c r="E19" s="9">
        <v>7.375999927520752</v>
      </c>
      <c r="F19" s="9">
        <v>24.586666107177734</v>
      </c>
      <c r="G19" s="9">
        <v>0.94999998807907104</v>
      </c>
      <c r="H19" s="9">
        <v>0.30000001192092896</v>
      </c>
      <c r="I19">
        <v>0</v>
      </c>
      <c r="J19"/>
    </row>
    <row r="20" spans="1:10" ht="15" customHeight="1" x14ac:dyDescent="0.15">
      <c r="A20" s="152">
        <v>19</v>
      </c>
      <c r="B20" s="152" t="s">
        <v>210</v>
      </c>
      <c r="C20" s="8">
        <v>3.0299999713897705</v>
      </c>
      <c r="D20" s="9">
        <v>2.0493245124816895</v>
      </c>
      <c r="E20" s="9">
        <v>2.5200002193450928</v>
      </c>
      <c r="F20" s="9">
        <v>12.600000381469727</v>
      </c>
      <c r="G20" s="9">
        <v>0.95000004768371582</v>
      </c>
      <c r="H20" s="9">
        <v>0.20000001788139343</v>
      </c>
      <c r="I20">
        <v>2.4000000208616257E-2</v>
      </c>
      <c r="J20"/>
    </row>
    <row r="21" spans="1:10" ht="15" customHeight="1" x14ac:dyDescent="0.15">
      <c r="A21" s="153">
        <v>20</v>
      </c>
      <c r="B21" s="153" t="s">
        <v>211</v>
      </c>
      <c r="C21" s="8">
        <v>2</v>
      </c>
      <c r="D21" s="9">
        <v>22.090000152587891</v>
      </c>
      <c r="E21" s="9">
        <v>4.8489999771118164</v>
      </c>
      <c r="F21" s="9">
        <v>32.326663970947266</v>
      </c>
      <c r="G21" s="9">
        <v>0.97732037305831909</v>
      </c>
      <c r="H21" s="9">
        <v>0.15000000596046448</v>
      </c>
      <c r="I21">
        <v>0</v>
      </c>
      <c r="J21"/>
    </row>
    <row r="22" spans="1:10" ht="15" customHeight="1" x14ac:dyDescent="0.15">
      <c r="A22" s="154">
        <v>21</v>
      </c>
      <c r="B22" s="154" t="s">
        <v>212</v>
      </c>
      <c r="C22" s="8">
        <v>2.059999942779541</v>
      </c>
      <c r="D22" s="9">
        <v>2.1072328090667725</v>
      </c>
      <c r="E22" s="9">
        <v>21.756000518798828</v>
      </c>
      <c r="F22" s="9">
        <v>119.65000152587891</v>
      </c>
      <c r="G22" s="9">
        <v>0.9500001072883606</v>
      </c>
      <c r="H22" s="9">
        <v>0.18183034658432007</v>
      </c>
      <c r="I22">
        <v>0</v>
      </c>
      <c r="J22"/>
    </row>
    <row r="23" spans="1:10" ht="15" customHeight="1" x14ac:dyDescent="0.15">
      <c r="A23" s="155">
        <v>22</v>
      </c>
      <c r="B23" s="155" t="s">
        <v>213</v>
      </c>
      <c r="C23" s="8">
        <v>1</v>
      </c>
      <c r="D23" s="9">
        <v>2.6499879360198975</v>
      </c>
      <c r="E23" s="9">
        <v>102.55799865722656</v>
      </c>
      <c r="F23" s="10"/>
      <c r="G23" s="9">
        <v>0.94589048624038696</v>
      </c>
      <c r="H23" s="10"/>
      <c r="I23">
        <v>0</v>
      </c>
      <c r="J23"/>
    </row>
    <row r="24" spans="1:10" ht="15" customHeight="1" x14ac:dyDescent="0.15">
      <c r="A24" s="156">
        <v>23</v>
      </c>
      <c r="B24" s="156" t="s">
        <v>214</v>
      </c>
      <c r="C24" s="8">
        <v>1</v>
      </c>
      <c r="D24" s="9">
        <v>4.1309847831726074</v>
      </c>
      <c r="E24" s="9">
        <v>14.633999824523926</v>
      </c>
      <c r="F24" s="10"/>
      <c r="G24" s="9">
        <v>0.93838959932327271</v>
      </c>
      <c r="H24" s="10"/>
      <c r="I24">
        <v>0</v>
      </c>
      <c r="J24"/>
    </row>
    <row r="25" spans="1:10" ht="15" customHeight="1" x14ac:dyDescent="0.15">
      <c r="A25" s="157">
        <v>24</v>
      </c>
      <c r="B25" s="157" t="s">
        <v>215</v>
      </c>
      <c r="C25" s="8">
        <v>1</v>
      </c>
      <c r="D25" s="9">
        <v>1.8999999761581421</v>
      </c>
      <c r="E25" s="10"/>
      <c r="F25" s="10"/>
      <c r="G25" s="9">
        <v>0.99985790252685547</v>
      </c>
      <c r="H25" s="10"/>
      <c r="I25">
        <v>0</v>
      </c>
      <c r="J25"/>
    </row>
    <row r="26" spans="1:10" ht="15" customHeight="1" x14ac:dyDescent="0.15">
      <c r="A26" s="158">
        <v>25</v>
      </c>
      <c r="B26" s="158" t="s">
        <v>216</v>
      </c>
      <c r="C26" s="8">
        <v>1</v>
      </c>
      <c r="D26" s="9">
        <v>5</v>
      </c>
      <c r="E26" s="10"/>
      <c r="F26" s="10"/>
      <c r="G26" s="7">
        <v>0</v>
      </c>
      <c r="H26" s="10"/>
      <c r="I26">
        <v>0</v>
      </c>
      <c r="J26"/>
    </row>
    <row r="27" spans="1:10" ht="15" customHeight="1" x14ac:dyDescent="0.15">
      <c r="A27" s="159">
        <v>26</v>
      </c>
      <c r="B27" s="159" t="s">
        <v>217</v>
      </c>
      <c r="C27" s="8">
        <v>4.4447965621948242</v>
      </c>
      <c r="D27" s="10"/>
      <c r="E27" s="10"/>
      <c r="F27" s="10"/>
      <c r="G27" s="10"/>
      <c r="H27" s="10"/>
      <c r="I27">
        <v>0.6641000509262085</v>
      </c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3" bestFit="1" customWidth="1"/>
    <col min="2" max="4" width="9.5" style="73" bestFit="1" customWidth="1"/>
    <col min="5" max="7" width="9" style="73" bestFit="1" customWidth="1"/>
    <col min="8" max="16" width="12.6640625" style="73" bestFit="1" customWidth="1"/>
    <col min="17" max="17" width="12.33203125" style="73" bestFit="1" customWidth="1"/>
    <col min="18" max="18" width="8.83203125" style="73"/>
    <col min="19" max="21" width="9.33203125" style="73" bestFit="1" customWidth="1"/>
    <col min="22" max="23" width="8.83203125" style="73"/>
    <col min="24" max="24" width="9.33203125" style="73" bestFit="1" customWidth="1"/>
    <col min="25" max="27" width="8.83203125" style="73"/>
    <col min="28" max="58" width="9" style="73" bestFit="1" customWidth="1"/>
    <col min="59" max="59" width="12.33203125" style="73" bestFit="1" customWidth="1"/>
    <col min="60" max="60" width="9" style="73" bestFit="1" customWidth="1"/>
    <col min="61" max="61" width="11.33203125" style="73" bestFit="1" customWidth="1"/>
    <col min="62" max="77" width="9" style="73" bestFit="1" customWidth="1"/>
    <col min="78" max="78" width="12.33203125" style="73" bestFit="1" customWidth="1"/>
    <col min="79" max="79" width="9" style="73" bestFit="1" customWidth="1"/>
    <col min="80" max="80" width="12.33203125" style="73" bestFit="1" customWidth="1"/>
    <col min="81" max="107" width="9" style="73" bestFit="1" customWidth="1"/>
    <col min="108" max="108" width="11.33203125" style="73" bestFit="1" customWidth="1"/>
    <col min="109" max="124" width="9" style="73" bestFit="1" customWidth="1"/>
    <col min="125" max="125" width="10.33203125" style="73" bestFit="1" customWidth="1"/>
    <col min="126" max="129" width="9.33203125" style="73" bestFit="1" customWidth="1"/>
    <col min="130" max="130" width="9" style="73" bestFit="1" customWidth="1"/>
    <col min="131" max="134" width="9.33203125" style="73" bestFit="1" customWidth="1"/>
    <col min="135" max="165" width="9" style="73" bestFit="1" customWidth="1"/>
    <col min="166" max="166" width="12.33203125" style="73" bestFit="1" customWidth="1"/>
    <col min="167" max="170" width="9" style="73" bestFit="1" customWidth="1"/>
    <col min="171" max="176" width="8.83203125" style="73"/>
    <col min="177" max="177" width="13.83203125" style="73" bestFit="1" customWidth="1"/>
    <col min="178" max="16384" width="8.83203125" style="7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222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2.3399999141693115</v>
      </c>
      <c r="C2">
        <v>0.11699974536895752</v>
      </c>
      <c r="D2" s="11">
        <v>1.6909408150240779E-3</v>
      </c>
      <c r="E2"/>
      <c r="F2"/>
      <c r="G2" s="13">
        <v>3.1897632870823145E-3</v>
      </c>
      <c r="H2" s="217">
        <v>0.85358321666717529</v>
      </c>
      <c r="I2" s="219">
        <v>1.1102850437164307</v>
      </c>
      <c r="J2" s="206">
        <v>0.2402716726064682</v>
      </c>
      <c r="K2"/>
      <c r="L2"/>
      <c r="M2"/>
      <c r="N2"/>
      <c r="O2"/>
      <c r="P2"/>
      <c r="Q2" s="21">
        <v>1.3979308307170868E-2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3.9400002956390381</v>
      </c>
      <c r="C3">
        <v>0.19700029492378235</v>
      </c>
      <c r="D3"/>
      <c r="E3"/>
      <c r="F3"/>
      <c r="G3" s="20">
        <v>3.1669717282056808E-2</v>
      </c>
      <c r="H3" s="211">
        <v>1.6350100040435791</v>
      </c>
      <c r="I3" s="214">
        <v>1.9480156898498535</v>
      </c>
      <c r="J3" s="197">
        <v>9.3502037227153778E-2</v>
      </c>
      <c r="K3"/>
      <c r="L3" s="13">
        <v>1.1123696342110634E-2</v>
      </c>
      <c r="M3"/>
      <c r="N3"/>
      <c r="O3"/>
      <c r="P3"/>
      <c r="Q3" s="21">
        <v>2.3679109290242195E-2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0.30000001192092896</v>
      </c>
      <c r="C4">
        <v>1.5000004321336746E-2</v>
      </c>
      <c r="D4"/>
      <c r="E4"/>
      <c r="F4"/>
      <c r="G4"/>
      <c r="H4"/>
      <c r="I4"/>
      <c r="J4" s="191">
        <v>0.2850000262260437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1.1000000238418579</v>
      </c>
      <c r="C5">
        <v>5.5000144988298416E-2</v>
      </c>
      <c r="D5" s="62">
        <v>0.1014762744307518</v>
      </c>
      <c r="E5"/>
      <c r="F5"/>
      <c r="G5"/>
      <c r="H5"/>
      <c r="I5"/>
      <c r="J5"/>
      <c r="K5"/>
      <c r="L5"/>
      <c r="M5"/>
      <c r="N5" s="208">
        <v>0.92637372016906738</v>
      </c>
      <c r="O5" s="15">
        <v>1.7149917781352997E-2</v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0.5</v>
      </c>
      <c r="C6">
        <v>2.5000035762786865E-2</v>
      </c>
      <c r="D6" s="187">
        <v>0.11637401580810547</v>
      </c>
      <c r="E6"/>
      <c r="F6"/>
      <c r="G6"/>
      <c r="H6"/>
      <c r="I6"/>
      <c r="J6" s="17">
        <v>6.2965112738311291E-3</v>
      </c>
      <c r="K6"/>
      <c r="L6"/>
      <c r="M6"/>
      <c r="N6" s="203">
        <v>0.33504825830459595</v>
      </c>
      <c r="O6" s="25">
        <v>1.7281193286180496E-2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0.69999998807907104</v>
      </c>
      <c r="C7">
        <v>3.5000007599592209E-2</v>
      </c>
      <c r="D7" s="188">
        <v>0.19491475820541382</v>
      </c>
      <c r="E7"/>
      <c r="F7"/>
      <c r="G7"/>
      <c r="H7"/>
      <c r="I7"/>
      <c r="J7" s="192">
        <v>2.4000000208616257E-2</v>
      </c>
      <c r="K7"/>
      <c r="L7"/>
      <c r="M7"/>
      <c r="N7"/>
      <c r="O7" s="198">
        <v>0.44608521461486816</v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1.3799999952316284</v>
      </c>
      <c r="C8">
        <v>6.9000095129013062E-2</v>
      </c>
      <c r="D8" s="61">
        <v>5.8150924742221832E-2</v>
      </c>
      <c r="E8"/>
      <c r="F8"/>
      <c r="G8"/>
      <c r="H8" s="133">
        <v>8.4135018289089203E-2</v>
      </c>
      <c r="I8"/>
      <c r="J8"/>
      <c r="K8"/>
      <c r="L8"/>
      <c r="M8"/>
      <c r="N8" s="200">
        <v>5.4118603467941284E-2</v>
      </c>
      <c r="O8" s="19">
        <v>5.8959942311048508E-2</v>
      </c>
      <c r="P8" s="218">
        <v>1.0556354522705078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0.47999998927116394</v>
      </c>
      <c r="C9">
        <v>2.4000005796551704E-2</v>
      </c>
      <c r="D9" s="23">
        <v>1.2011217884719372E-2</v>
      </c>
      <c r="E9"/>
      <c r="F9"/>
      <c r="G9"/>
      <c r="H9"/>
      <c r="I9"/>
      <c r="J9"/>
      <c r="K9"/>
      <c r="L9"/>
      <c r="M9"/>
      <c r="N9" s="68">
        <v>6.7856520414352417E-2</v>
      </c>
      <c r="O9" s="64">
        <v>3.3996198326349258E-2</v>
      </c>
      <c r="P9" s="194">
        <v>0.34213605523109436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0.36000001430511475</v>
      </c>
      <c r="C10">
        <v>1.8000004813075066E-2</v>
      </c>
      <c r="D10" s="19">
        <v>1.5579352155327797E-2</v>
      </c>
      <c r="E10"/>
      <c r="F10"/>
      <c r="G10"/>
      <c r="H10"/>
      <c r="I10"/>
      <c r="J10" s="62">
        <v>3.3448405563831329E-2</v>
      </c>
      <c r="K10"/>
      <c r="L10"/>
      <c r="M10"/>
      <c r="N10" s="202">
        <v>4.8896912485361099E-2</v>
      </c>
      <c r="O10"/>
      <c r="P10" s="209">
        <v>0.24407532811164856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0.60199999809265137</v>
      </c>
      <c r="C11">
        <v>3.0402349308133125E-2</v>
      </c>
      <c r="D11" s="189">
        <v>0.5715976357460022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0.44999998807907104</v>
      </c>
      <c r="C12">
        <v>2.2500030696392059E-2</v>
      </c>
      <c r="D12" s="19">
        <v>1.92241370677948E-2</v>
      </c>
      <c r="E12"/>
      <c r="F12"/>
      <c r="G12"/>
      <c r="H12"/>
      <c r="I12"/>
      <c r="J12"/>
      <c r="K12"/>
      <c r="L12"/>
      <c r="M12"/>
      <c r="N12" s="196">
        <v>0.40827584266662598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0.36000001430511475</v>
      </c>
      <c r="C13">
        <v>1.8000027164816856E-2</v>
      </c>
      <c r="D13" s="129">
        <v>3.6227725446224213E-2</v>
      </c>
      <c r="E13"/>
      <c r="F13"/>
      <c r="G13"/>
      <c r="H13"/>
      <c r="I13"/>
      <c r="J13"/>
      <c r="K13"/>
      <c r="L13"/>
      <c r="M13"/>
      <c r="N13" s="204">
        <v>0.20902052521705627</v>
      </c>
      <c r="O13" s="199">
        <v>9.6751734614372253E-2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0.44999998807907104</v>
      </c>
      <c r="C14">
        <v>2.2500030696392059E-2</v>
      </c>
      <c r="D14" s="190">
        <v>0.12403716892004013</v>
      </c>
      <c r="E14"/>
      <c r="F14"/>
      <c r="G14"/>
      <c r="H14"/>
      <c r="I14"/>
      <c r="J14" s="195">
        <v>0.30346280336380005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0.30000001192092896</v>
      </c>
      <c r="C15">
        <v>1.5000004321336746E-2</v>
      </c>
      <c r="D15" s="17">
        <v>3.2495458144694567E-3</v>
      </c>
      <c r="E15"/>
      <c r="F15"/>
      <c r="G15"/>
      <c r="H15"/>
      <c r="I15"/>
      <c r="J15" s="193">
        <v>0.28175047039985657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7.5729999542236328</v>
      </c>
      <c r="C16">
        <v>0.37865009903907776</v>
      </c>
      <c r="D16" s="12">
        <v>3.4264594316482544E-2</v>
      </c>
      <c r="E16" s="60">
        <v>0.41126894950866699</v>
      </c>
      <c r="F16" s="97">
        <v>0.93401581048965454</v>
      </c>
      <c r="G16" s="11">
        <v>6.9084257120266557E-4</v>
      </c>
      <c r="H16" s="24">
        <v>0.57608568668365479</v>
      </c>
      <c r="I16" s="64">
        <v>0.53048384189605713</v>
      </c>
      <c r="J16" s="192">
        <v>0.25275358557701111</v>
      </c>
      <c r="K16" s="213">
        <v>0.62140017747879028</v>
      </c>
      <c r="L16" s="11">
        <v>3.6335790064185858E-3</v>
      </c>
      <c r="M16" s="220">
        <v>1.103367805480957</v>
      </c>
      <c r="N16" s="13">
        <v>1.1522344313561916E-2</v>
      </c>
      <c r="O16" s="12">
        <v>3.452330082654953E-2</v>
      </c>
      <c r="P16"/>
      <c r="Q16" s="11">
        <v>1.8199604237452149E-3</v>
      </c>
      <c r="R16" s="13">
        <v>1.1615497060120106E-2</v>
      </c>
      <c r="S16"/>
      <c r="T16" s="60">
        <v>0.40985566377639771</v>
      </c>
      <c r="U16"/>
      <c r="V16"/>
      <c r="W16" s="222">
        <v>2.2570481300354004</v>
      </c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2.1180000305175781</v>
      </c>
      <c r="C17">
        <v>0.10590002685785294</v>
      </c>
      <c r="D17" s="132">
        <v>6.3628934323787689E-2</v>
      </c>
      <c r="E17"/>
      <c r="F17"/>
      <c r="G17"/>
      <c r="H17" s="205">
        <v>0.24890515208244324</v>
      </c>
      <c r="I17"/>
      <c r="J17" s="201">
        <v>0.11269603669643402</v>
      </c>
      <c r="K17" s="205">
        <v>0.24870076775550842</v>
      </c>
      <c r="L17" s="12">
        <v>7.535682525485754E-3</v>
      </c>
      <c r="M17" s="212">
        <v>1.2176144123077393</v>
      </c>
      <c r="N17" s="21">
        <v>1.1948099359869957E-2</v>
      </c>
      <c r="O17" s="132">
        <v>6.0940198600292206E-2</v>
      </c>
      <c r="P17"/>
      <c r="Q17" s="20">
        <v>1.604127325117588E-2</v>
      </c>
      <c r="R17" s="17">
        <v>2.408938854932785E-2</v>
      </c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1.7999999523162842</v>
      </c>
      <c r="C18">
        <v>9.000001847743988E-2</v>
      </c>
      <c r="D18" s="12">
        <v>7.5122248381376266E-3</v>
      </c>
      <c r="E18"/>
      <c r="F18"/>
      <c r="G18" s="13">
        <v>2.2231636103242636E-3</v>
      </c>
      <c r="H18" s="207">
        <v>0.10314661264419556</v>
      </c>
      <c r="I18"/>
      <c r="J18" s="192">
        <v>6.0900688171386719E-2</v>
      </c>
      <c r="K18" s="221">
        <v>0.84323406219482422</v>
      </c>
      <c r="L18" s="21">
        <v>1.1524606496095657E-2</v>
      </c>
      <c r="M18" s="100">
        <v>0.67422455549240112</v>
      </c>
      <c r="N18"/>
      <c r="O18"/>
      <c r="P18"/>
      <c r="Q18" s="12">
        <v>7.2340713813900948E-3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7.375999927520752</v>
      </c>
      <c r="C19">
        <v>0.36880007386207581</v>
      </c>
      <c r="D19"/>
      <c r="E19" s="97">
        <v>0.91052556037902832</v>
      </c>
      <c r="F19" s="24">
        <v>0.56511503458023071</v>
      </c>
      <c r="G19" s="11">
        <v>7.6679728226736188E-4</v>
      </c>
      <c r="H19"/>
      <c r="I19"/>
      <c r="J19"/>
      <c r="K19" s="225">
        <v>0.8061225414276123</v>
      </c>
      <c r="L19" s="13">
        <v>1.5700247138738632E-2</v>
      </c>
      <c r="M19" s="133">
        <v>0.44656947255134583</v>
      </c>
      <c r="N19"/>
      <c r="O19"/>
      <c r="P19"/>
      <c r="Q19" s="13">
        <v>1.3343519531190395E-2</v>
      </c>
      <c r="R19" s="13">
        <v>1.8419221043586731E-2</v>
      </c>
      <c r="S19" s="232">
        <v>1.8982374668121338</v>
      </c>
      <c r="T19" s="16">
        <v>0.10273384302854538</v>
      </c>
      <c r="U19"/>
      <c r="V19"/>
      <c r="W19" s="226">
        <v>0.84862273931503296</v>
      </c>
      <c r="X19"/>
      <c r="Y19" s="230">
        <v>1.3810434341430664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2.5200002193450928</v>
      </c>
      <c r="C20">
        <v>0.12599989771842957</v>
      </c>
      <c r="D20" s="12">
        <v>1.1711176484823227E-2</v>
      </c>
      <c r="E20" s="98">
        <v>0.39374929666519165</v>
      </c>
      <c r="F20" s="210">
        <v>0.35959693789482117</v>
      </c>
      <c r="G20"/>
      <c r="H20" s="216">
        <v>0.77050149440765381</v>
      </c>
      <c r="I20"/>
      <c r="J20"/>
      <c r="K20" s="197">
        <v>6.085919588804245E-2</v>
      </c>
      <c r="L20"/>
      <c r="M20"/>
      <c r="N20" s="12">
        <v>9.0053090825676918E-3</v>
      </c>
      <c r="O20"/>
      <c r="P20" s="215">
        <v>0.71999716758728027</v>
      </c>
      <c r="Q20" s="22">
        <v>6.8579681217670441E-2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4.8489999771118164</v>
      </c>
      <c r="C21">
        <v>0.10997351258993149</v>
      </c>
      <c r="D21"/>
      <c r="E21" s="18">
        <v>8.0831848084926605E-2</v>
      </c>
      <c r="F21" s="12">
        <v>1.8014607951045036E-2</v>
      </c>
      <c r="G21"/>
      <c r="H21"/>
      <c r="I21"/>
      <c r="J21"/>
      <c r="K21"/>
      <c r="L21" s="11">
        <v>7.7065243385732174E-4</v>
      </c>
      <c r="M21" s="201">
        <v>0.25793108344078064</v>
      </c>
      <c r="N21"/>
      <c r="O21"/>
      <c r="P21"/>
      <c r="Q21" s="13">
        <v>1.0650871321558952E-2</v>
      </c>
      <c r="R21" s="11">
        <v>1.1398073984310031E-3</v>
      </c>
      <c r="S21" s="235">
        <v>2.1571254730224609</v>
      </c>
      <c r="T21" s="16">
        <v>6.3679106533527374E-2</v>
      </c>
      <c r="U21"/>
      <c r="V21" s="234">
        <v>2.0319912433624268</v>
      </c>
      <c r="W21" s="197">
        <v>0.11689221113920212</v>
      </c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21.756000518798828</v>
      </c>
      <c r="C22">
        <v>1.0877976417541504</v>
      </c>
      <c r="D22"/>
      <c r="E22" s="228">
        <v>4.0079135894775391</v>
      </c>
      <c r="F22" s="224">
        <v>2.9865655899047852</v>
      </c>
      <c r="G22"/>
      <c r="H22" s="13">
        <v>3.2579459249973297E-2</v>
      </c>
      <c r="I22"/>
      <c r="J22" s="11">
        <v>4.2792018502950668E-3</v>
      </c>
      <c r="K22" s="227">
        <v>3.8353009223937988</v>
      </c>
      <c r="L22" s="12">
        <v>6.5569020807743073E-2</v>
      </c>
      <c r="M22" s="97">
        <v>2.6818938255310059</v>
      </c>
      <c r="N22"/>
      <c r="O22"/>
      <c r="P22" s="11">
        <v>9.4623127952218056E-3</v>
      </c>
      <c r="Q22" s="20">
        <v>0.17933562397956848</v>
      </c>
      <c r="R22"/>
      <c r="S22"/>
      <c r="T22" s="14">
        <v>0.2225147932767868</v>
      </c>
      <c r="U22" s="229">
        <v>4.1920385360717773</v>
      </c>
      <c r="V22"/>
      <c r="W22" s="223">
        <v>2.4507486820220947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102.55799865722656</v>
      </c>
      <c r="C23">
        <v>5.5493636131286621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 s="231">
        <v>5.0001745223999023</v>
      </c>
      <c r="V23" s="236">
        <v>25.407674789428711</v>
      </c>
      <c r="W23"/>
      <c r="X23"/>
      <c r="Y23" s="237">
        <v>66.600791931152344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14.633999824523926</v>
      </c>
      <c r="C24">
        <v>0.90160661935806274</v>
      </c>
      <c r="D24"/>
      <c r="E24" s="192">
        <v>0.49829995632171631</v>
      </c>
      <c r="F24"/>
      <c r="G24"/>
      <c r="H24"/>
      <c r="I24"/>
      <c r="J24" s="11">
        <v>1.3013079296797514E-3</v>
      </c>
      <c r="K24" s="201">
        <v>0.77893835306167603</v>
      </c>
      <c r="L24" s="11">
        <v>2.7792667970061302E-3</v>
      </c>
      <c r="M24" s="21">
        <v>7.288767397403717E-2</v>
      </c>
      <c r="N24"/>
      <c r="O24"/>
      <c r="P24" s="13">
        <v>2.4133827537298203E-2</v>
      </c>
      <c r="Q24" s="11">
        <v>9.8284147679805756E-3</v>
      </c>
      <c r="R24"/>
      <c r="S24" s="210">
        <v>2.0972723960876465</v>
      </c>
      <c r="T24"/>
      <c r="U24" s="225">
        <v>1.6037825345993042</v>
      </c>
      <c r="V24"/>
      <c r="W24"/>
      <c r="X24" s="233">
        <v>8.6431694030761719</v>
      </c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/>
      <c r="C25">
        <v>0.99985790252685547</v>
      </c>
      <c r="D25"/>
      <c r="E25" s="9">
        <v>1.1762683391571045</v>
      </c>
      <c r="F25"/>
      <c r="G25"/>
      <c r="H25"/>
      <c r="I25"/>
      <c r="J25"/>
      <c r="K25"/>
      <c r="L25"/>
      <c r="M25"/>
      <c r="N25"/>
      <c r="O25"/>
      <c r="P25"/>
      <c r="Q25" s="9">
        <v>1.7697883769869804E-2</v>
      </c>
      <c r="R25" s="9">
        <v>3.357112780213356E-2</v>
      </c>
      <c r="S25" s="9">
        <v>12.995700836181641</v>
      </c>
      <c r="T25" s="9">
        <v>5.6266860961914062</v>
      </c>
      <c r="U25" s="9">
        <v>15.458802223205566</v>
      </c>
      <c r="V25" s="9">
        <v>112.21671295166016</v>
      </c>
      <c r="W25" s="9">
        <v>5.1642980575561523</v>
      </c>
      <c r="X25" s="9">
        <v>678.39117431640625</v>
      </c>
      <c r="Y25" s="9">
        <v>63.032600402832031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/>
      <c r="C26">
        <v>0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0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8" t="s">
        <v>166</v>
      </c>
    </row>
    <row r="2" spans="1:12" x14ac:dyDescent="0.15">
      <c r="A2" s="1" t="s">
        <v>37</v>
      </c>
      <c r="B2" s="35">
        <v>3</v>
      </c>
      <c r="C2" s="33"/>
      <c r="D2" t="s">
        <v>38</v>
      </c>
      <c r="E2">
        <v>1</v>
      </c>
      <c r="F2">
        <v>1</v>
      </c>
      <c r="G2">
        <v>1</v>
      </c>
      <c r="H2" t="s">
        <v>38</v>
      </c>
      <c r="J2" s="51"/>
      <c r="K2" s="52"/>
      <c r="L2" s="58" t="s">
        <v>167</v>
      </c>
    </row>
    <row r="3" spans="1:12" ht="14" thickBot="1" x14ac:dyDescent="0.2">
      <c r="A3" s="1" t="s">
        <v>39</v>
      </c>
      <c r="B3" s="36">
        <v>0</v>
      </c>
      <c r="C3" s="33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3"/>
      <c r="K3" s="54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3"/>
      <c r="K4" s="54"/>
    </row>
    <row r="5" spans="1:12" x14ac:dyDescent="0.15">
      <c r="D5" s="179" t="s">
        <v>192</v>
      </c>
      <c r="E5">
        <v>4</v>
      </c>
      <c r="F5">
        <v>3.14</v>
      </c>
      <c r="G5">
        <v>4</v>
      </c>
      <c r="H5" s="180" t="s">
        <v>192</v>
      </c>
      <c r="J5" s="53"/>
      <c r="K5" s="54"/>
    </row>
    <row r="6" spans="1:12" ht="14" thickBot="1" x14ac:dyDescent="0.2">
      <c r="A6" s="37" t="s">
        <v>121</v>
      </c>
      <c r="D6" s="179" t="s">
        <v>193</v>
      </c>
      <c r="E6">
        <v>5</v>
      </c>
      <c r="F6">
        <v>3.14</v>
      </c>
      <c r="G6">
        <v>5</v>
      </c>
      <c r="H6" s="180" t="s">
        <v>193</v>
      </c>
      <c r="J6" s="53"/>
      <c r="K6" s="54"/>
    </row>
    <row r="7" spans="1:12" x14ac:dyDescent="0.15">
      <c r="A7" s="32" t="s">
        <v>126</v>
      </c>
      <c r="B7" s="39">
        <v>1</v>
      </c>
      <c r="C7" s="34"/>
      <c r="D7" s="179" t="s">
        <v>194</v>
      </c>
      <c r="E7">
        <v>6</v>
      </c>
      <c r="F7">
        <v>3.24</v>
      </c>
      <c r="G7">
        <v>6</v>
      </c>
      <c r="H7" s="180" t="s">
        <v>194</v>
      </c>
      <c r="J7" s="53"/>
      <c r="K7" s="54"/>
    </row>
    <row r="8" spans="1:12" x14ac:dyDescent="0.15">
      <c r="A8" s="32" t="s">
        <v>38</v>
      </c>
      <c r="B8" s="40">
        <v>1</v>
      </c>
      <c r="C8" s="34"/>
      <c r="D8" s="179" t="s">
        <v>195</v>
      </c>
      <c r="E8">
        <v>7</v>
      </c>
      <c r="F8">
        <v>3.14</v>
      </c>
      <c r="G8">
        <v>7</v>
      </c>
      <c r="H8" s="180" t="s">
        <v>195</v>
      </c>
      <c r="J8" s="53"/>
      <c r="K8" s="54"/>
    </row>
    <row r="9" spans="1:12" x14ac:dyDescent="0.15">
      <c r="A9" s="32" t="s">
        <v>40</v>
      </c>
      <c r="B9" s="40">
        <v>1.1000000000000001</v>
      </c>
      <c r="C9" s="34"/>
      <c r="D9" s="179" t="s">
        <v>196</v>
      </c>
      <c r="E9">
        <v>8</v>
      </c>
      <c r="F9">
        <v>3.14</v>
      </c>
      <c r="G9">
        <v>8</v>
      </c>
      <c r="H9" s="180" t="s">
        <v>196</v>
      </c>
      <c r="J9" s="53"/>
      <c r="K9" s="54"/>
    </row>
    <row r="10" spans="1:12" x14ac:dyDescent="0.15">
      <c r="A10" s="32" t="s">
        <v>41</v>
      </c>
      <c r="B10" s="40">
        <v>1.2</v>
      </c>
      <c r="C10" s="34"/>
      <c r="D10" s="179" t="s">
        <v>197</v>
      </c>
      <c r="E10">
        <v>9</v>
      </c>
      <c r="F10">
        <v>3.14</v>
      </c>
      <c r="G10">
        <v>9</v>
      </c>
      <c r="H10" s="180" t="s">
        <v>197</v>
      </c>
      <c r="J10" s="53"/>
      <c r="K10" s="54"/>
    </row>
    <row r="11" spans="1:12" ht="12" customHeight="1" x14ac:dyDescent="0.15">
      <c r="A11" s="38" t="s">
        <v>127</v>
      </c>
      <c r="B11" s="40">
        <v>2</v>
      </c>
      <c r="C11" s="34"/>
      <c r="D11" s="179" t="s">
        <v>198</v>
      </c>
      <c r="E11">
        <v>10</v>
      </c>
      <c r="F11">
        <v>3.04</v>
      </c>
      <c r="G11">
        <v>10</v>
      </c>
      <c r="H11" s="180" t="s">
        <v>198</v>
      </c>
      <c r="J11" s="53"/>
      <c r="K11" s="54"/>
    </row>
    <row r="12" spans="1:12" x14ac:dyDescent="0.15">
      <c r="A12" s="32" t="s">
        <v>42</v>
      </c>
      <c r="B12" s="40">
        <v>2.1</v>
      </c>
      <c r="C12" s="34"/>
      <c r="D12" s="179" t="s">
        <v>199</v>
      </c>
      <c r="E12">
        <v>11</v>
      </c>
      <c r="F12">
        <v>3.24</v>
      </c>
      <c r="G12">
        <v>11</v>
      </c>
      <c r="H12" s="180" t="s">
        <v>199</v>
      </c>
      <c r="J12" s="53"/>
      <c r="K12" s="54"/>
    </row>
    <row r="13" spans="1:12" x14ac:dyDescent="0.15">
      <c r="A13" s="32" t="s">
        <v>43</v>
      </c>
      <c r="B13" s="40">
        <v>2.2000000000000002</v>
      </c>
      <c r="C13" s="34"/>
      <c r="D13" s="179" t="s">
        <v>200</v>
      </c>
      <c r="E13">
        <v>12</v>
      </c>
      <c r="F13">
        <v>3.24</v>
      </c>
      <c r="G13">
        <v>12</v>
      </c>
      <c r="H13" s="180" t="s">
        <v>200</v>
      </c>
      <c r="J13" s="53"/>
      <c r="K13" s="54"/>
    </row>
    <row r="14" spans="1:12" x14ac:dyDescent="0.15">
      <c r="A14" s="32" t="s">
        <v>67</v>
      </c>
      <c r="B14" s="40">
        <v>2.2999999999999998</v>
      </c>
      <c r="C14" s="34"/>
      <c r="D14" s="179" t="s">
        <v>201</v>
      </c>
      <c r="E14">
        <v>13</v>
      </c>
      <c r="F14">
        <v>3.14</v>
      </c>
      <c r="G14">
        <v>13</v>
      </c>
      <c r="H14" s="180" t="s">
        <v>201</v>
      </c>
      <c r="J14" s="53"/>
      <c r="K14" s="54"/>
    </row>
    <row r="15" spans="1:12" x14ac:dyDescent="0.15">
      <c r="A15" s="38" t="s">
        <v>128</v>
      </c>
      <c r="B15" s="40">
        <v>3</v>
      </c>
      <c r="C15" s="34"/>
      <c r="D15" s="179" t="s">
        <v>202</v>
      </c>
      <c r="E15">
        <v>14</v>
      </c>
      <c r="F15">
        <v>3.24</v>
      </c>
      <c r="G15">
        <v>14</v>
      </c>
      <c r="H15" s="180" t="s">
        <v>202</v>
      </c>
      <c r="J15" s="53"/>
      <c r="K15" s="54"/>
    </row>
    <row r="16" spans="1:12" x14ac:dyDescent="0.15">
      <c r="A16" s="32" t="s">
        <v>62</v>
      </c>
      <c r="B16" s="40">
        <v>3.11</v>
      </c>
      <c r="C16" s="34"/>
      <c r="D16" s="179" t="s">
        <v>203</v>
      </c>
      <c r="E16">
        <v>15</v>
      </c>
      <c r="F16">
        <v>3.24</v>
      </c>
      <c r="G16">
        <v>15</v>
      </c>
      <c r="H16" s="180" t="s">
        <v>203</v>
      </c>
      <c r="J16" s="53"/>
      <c r="K16" s="54"/>
    </row>
    <row r="17" spans="1:12" x14ac:dyDescent="0.15">
      <c r="A17" s="32" t="s">
        <v>61</v>
      </c>
      <c r="B17" s="40">
        <v>3.12</v>
      </c>
      <c r="C17" s="34"/>
      <c r="D17" s="179" t="s">
        <v>204</v>
      </c>
      <c r="E17">
        <v>16</v>
      </c>
      <c r="F17">
        <v>3.24</v>
      </c>
      <c r="G17">
        <v>16</v>
      </c>
      <c r="H17" s="180" t="s">
        <v>204</v>
      </c>
      <c r="J17" s="53"/>
      <c r="K17" s="54"/>
    </row>
    <row r="18" spans="1:12" x14ac:dyDescent="0.15">
      <c r="A18" s="32" t="s">
        <v>68</v>
      </c>
      <c r="B18" s="40">
        <v>3.13</v>
      </c>
      <c r="C18" s="34"/>
      <c r="D18" s="179" t="s">
        <v>205</v>
      </c>
      <c r="E18">
        <v>17</v>
      </c>
      <c r="F18">
        <v>3.24</v>
      </c>
      <c r="G18">
        <v>17</v>
      </c>
      <c r="H18" s="180" t="s">
        <v>205</v>
      </c>
      <c r="J18" s="53"/>
      <c r="K18" s="54"/>
    </row>
    <row r="19" spans="1:12" x14ac:dyDescent="0.15">
      <c r="A19" s="32" t="s">
        <v>66</v>
      </c>
      <c r="B19" s="40">
        <v>3.21</v>
      </c>
      <c r="C19" s="34"/>
      <c r="D19" s="179" t="s">
        <v>206</v>
      </c>
      <c r="E19">
        <v>18</v>
      </c>
      <c r="F19">
        <v>3.02</v>
      </c>
      <c r="G19">
        <v>18</v>
      </c>
      <c r="H19" s="180" t="s">
        <v>206</v>
      </c>
      <c r="J19" s="53"/>
      <c r="K19" s="54"/>
    </row>
    <row r="20" spans="1:12" x14ac:dyDescent="0.15">
      <c r="A20" s="32" t="s">
        <v>63</v>
      </c>
      <c r="B20" s="40">
        <v>3.22</v>
      </c>
      <c r="C20" s="34"/>
      <c r="D20" s="179" t="s">
        <v>207</v>
      </c>
      <c r="E20">
        <v>19</v>
      </c>
      <c r="F20">
        <v>3.21</v>
      </c>
      <c r="G20">
        <v>19</v>
      </c>
      <c r="H20" s="180" t="s">
        <v>207</v>
      </c>
      <c r="J20" s="53"/>
      <c r="K20" s="54"/>
    </row>
    <row r="21" spans="1:12" ht="14" thickBot="1" x14ac:dyDescent="0.2">
      <c r="A21" s="32" t="s">
        <v>69</v>
      </c>
      <c r="B21" s="40">
        <v>3.23</v>
      </c>
      <c r="C21" s="34"/>
      <c r="D21" s="179" t="s">
        <v>208</v>
      </c>
      <c r="E21">
        <v>20</v>
      </c>
      <c r="F21">
        <v>3.01</v>
      </c>
      <c r="G21">
        <v>20</v>
      </c>
      <c r="H21" s="180" t="s">
        <v>208</v>
      </c>
      <c r="J21" s="55"/>
      <c r="K21" s="56"/>
      <c r="L21" s="58" t="s">
        <v>152</v>
      </c>
    </row>
    <row r="22" spans="1:12" x14ac:dyDescent="0.15">
      <c r="A22" s="32" t="s">
        <v>64</v>
      </c>
      <c r="B22" s="40">
        <v>8</v>
      </c>
      <c r="C22" s="34"/>
      <c r="D22" s="179" t="s">
        <v>209</v>
      </c>
      <c r="E22">
        <v>21</v>
      </c>
      <c r="F22">
        <v>3</v>
      </c>
      <c r="G22">
        <v>21</v>
      </c>
      <c r="H22" s="180" t="s">
        <v>209</v>
      </c>
    </row>
    <row r="23" spans="1:12" x14ac:dyDescent="0.15">
      <c r="A23" s="32" t="s">
        <v>129</v>
      </c>
      <c r="B23" s="40">
        <v>4</v>
      </c>
      <c r="C23" s="34"/>
      <c r="D23" s="179" t="s">
        <v>210</v>
      </c>
      <c r="E23">
        <v>22</v>
      </c>
      <c r="F23">
        <v>3.04</v>
      </c>
      <c r="G23">
        <v>22</v>
      </c>
      <c r="H23" s="180" t="s">
        <v>210</v>
      </c>
    </row>
    <row r="24" spans="1:12" x14ac:dyDescent="0.15">
      <c r="A24" s="32" t="s">
        <v>122</v>
      </c>
      <c r="B24" s="40">
        <v>4.0999999999999996</v>
      </c>
      <c r="C24" s="34"/>
      <c r="D24" s="179" t="s">
        <v>211</v>
      </c>
      <c r="E24">
        <v>23</v>
      </c>
      <c r="F24">
        <v>3.21</v>
      </c>
      <c r="G24">
        <v>23</v>
      </c>
      <c r="H24" s="180" t="s">
        <v>211</v>
      </c>
    </row>
    <row r="25" spans="1:12" x14ac:dyDescent="0.15">
      <c r="A25" s="32" t="s">
        <v>70</v>
      </c>
      <c r="B25" s="40">
        <v>4.2</v>
      </c>
      <c r="C25" s="34"/>
      <c r="D25" s="179" t="s">
        <v>212</v>
      </c>
      <c r="E25">
        <v>24</v>
      </c>
      <c r="F25">
        <v>3.11</v>
      </c>
      <c r="G25">
        <v>24</v>
      </c>
      <c r="H25" s="180" t="s">
        <v>212</v>
      </c>
    </row>
    <row r="26" spans="1:12" x14ac:dyDescent="0.15">
      <c r="A26" s="32" t="s">
        <v>123</v>
      </c>
      <c r="B26" s="40">
        <v>4.3</v>
      </c>
      <c r="C26" s="34"/>
      <c r="D26" s="179" t="s">
        <v>213</v>
      </c>
      <c r="E26">
        <v>25</v>
      </c>
      <c r="F26">
        <v>2.1</v>
      </c>
      <c r="G26">
        <v>25</v>
      </c>
      <c r="H26" s="180" t="s">
        <v>213</v>
      </c>
    </row>
    <row r="27" spans="1:12" x14ac:dyDescent="0.15">
      <c r="A27" s="32" t="s">
        <v>125</v>
      </c>
      <c r="B27" s="40">
        <v>6.1</v>
      </c>
      <c r="D27" s="179" t="s">
        <v>214</v>
      </c>
      <c r="E27">
        <v>26</v>
      </c>
      <c r="F27">
        <v>2.2000000000000002</v>
      </c>
      <c r="G27">
        <v>26</v>
      </c>
      <c r="H27" s="180" t="s">
        <v>214</v>
      </c>
    </row>
    <row r="28" spans="1:12" x14ac:dyDescent="0.15">
      <c r="A28" s="32" t="s">
        <v>124</v>
      </c>
      <c r="B28" s="40">
        <v>6.2</v>
      </c>
      <c r="D28" s="179" t="s">
        <v>215</v>
      </c>
      <c r="E28">
        <v>27</v>
      </c>
      <c r="F28">
        <v>4.0999999999999996</v>
      </c>
      <c r="G28">
        <v>27</v>
      </c>
      <c r="H28" s="180" t="s">
        <v>215</v>
      </c>
    </row>
    <row r="29" spans="1:12" x14ac:dyDescent="0.15">
      <c r="A29" s="32" t="s">
        <v>44</v>
      </c>
      <c r="B29" s="40">
        <v>5</v>
      </c>
      <c r="D29" s="179" t="s">
        <v>216</v>
      </c>
      <c r="E29">
        <v>28</v>
      </c>
      <c r="F29">
        <v>4.3</v>
      </c>
      <c r="G29">
        <v>28</v>
      </c>
      <c r="H29" s="180" t="s">
        <v>216</v>
      </c>
    </row>
    <row r="30" spans="1:12" x14ac:dyDescent="0.15">
      <c r="A30" s="32" t="s">
        <v>73</v>
      </c>
      <c r="B30" s="40">
        <v>7</v>
      </c>
      <c r="D30" s="179" t="s">
        <v>217</v>
      </c>
      <c r="E30">
        <v>29</v>
      </c>
      <c r="F30">
        <v>5</v>
      </c>
      <c r="G30">
        <v>29</v>
      </c>
      <c r="H30" s="180" t="s">
        <v>217</v>
      </c>
    </row>
    <row r="31" spans="1:12" x14ac:dyDescent="0.15">
      <c r="A31" s="32" t="s">
        <v>169</v>
      </c>
      <c r="B31" s="40">
        <v>3.14</v>
      </c>
      <c r="D31" s="179" t="s">
        <v>138</v>
      </c>
      <c r="E31">
        <v>30</v>
      </c>
      <c r="F31">
        <v>6.1</v>
      </c>
      <c r="G31">
        <v>30</v>
      </c>
      <c r="H31" s="180" t="s">
        <v>138</v>
      </c>
    </row>
    <row r="32" spans="1:12" ht="12" customHeight="1" thickBot="1" x14ac:dyDescent="0.2">
      <c r="A32" s="38" t="s">
        <v>170</v>
      </c>
      <c r="B32" s="41">
        <v>9</v>
      </c>
      <c r="D32" s="179" t="s">
        <v>45</v>
      </c>
      <c r="E32">
        <v>31</v>
      </c>
      <c r="F32">
        <v>6.2</v>
      </c>
      <c r="G32">
        <v>31</v>
      </c>
      <c r="H32" s="180" t="s">
        <v>45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74" bestFit="1" customWidth="1"/>
    <col min="2" max="2" width="12.83203125" style="73" customWidth="1"/>
    <col min="3" max="3" width="13.1640625" style="73" customWidth="1"/>
    <col min="4" max="4" width="11.83203125" style="73" customWidth="1"/>
    <col min="5" max="5" width="12.83203125" style="73" customWidth="1"/>
    <col min="6" max="6" width="21.6640625" style="73" bestFit="1" customWidth="1"/>
    <col min="7" max="9" width="2.33203125" style="73" customWidth="1"/>
    <col min="10" max="10" width="2.33203125" style="73" bestFit="1" customWidth="1"/>
    <col min="11" max="15" width="2.33203125" style="73" customWidth="1"/>
    <col min="16" max="16" width="2.33203125" style="65" customWidth="1"/>
    <col min="17" max="17" width="2.33203125" style="73" customWidth="1"/>
    <col min="18" max="18" width="2.33203125" style="66" customWidth="1"/>
    <col min="19" max="16384" width="11.5" style="73"/>
  </cols>
  <sheetData>
    <row r="1" spans="1:23" ht="15" customHeight="1" thickBot="1" x14ac:dyDescent="0.2">
      <c r="F1" s="1"/>
      <c r="G1" s="63" t="s">
        <v>46</v>
      </c>
      <c r="H1" s="63" t="s">
        <v>47</v>
      </c>
      <c r="I1" s="63" t="s">
        <v>120</v>
      </c>
      <c r="J1" s="63" t="s">
        <v>132</v>
      </c>
      <c r="K1" s="75" t="s">
        <v>48</v>
      </c>
      <c r="L1" s="66"/>
      <c r="M1" s="75" t="s">
        <v>119</v>
      </c>
      <c r="N1" s="66"/>
      <c r="O1" s="75" t="s">
        <v>49</v>
      </c>
      <c r="P1" s="67"/>
      <c r="Q1" s="75" t="s">
        <v>50</v>
      </c>
      <c r="R1" s="63" t="s">
        <v>154</v>
      </c>
    </row>
    <row r="2" spans="1:23" ht="15" customHeight="1" x14ac:dyDescent="0.15">
      <c r="A2" s="75" t="s">
        <v>51</v>
      </c>
      <c r="B2" s="76">
        <v>0.5</v>
      </c>
      <c r="C2" s="74" t="s">
        <v>52</v>
      </c>
      <c r="D2" s="77"/>
      <c r="F2" s="1"/>
      <c r="G2" s="78"/>
      <c r="H2" s="78"/>
      <c r="I2" s="78" t="s">
        <v>133</v>
      </c>
      <c r="J2" s="78" t="s">
        <v>133</v>
      </c>
      <c r="K2" s="78" t="s">
        <v>52</v>
      </c>
      <c r="L2" s="78" t="s">
        <v>53</v>
      </c>
      <c r="M2" s="78" t="s">
        <v>52</v>
      </c>
      <c r="N2" s="78" t="s">
        <v>53</v>
      </c>
      <c r="O2" s="78" t="s">
        <v>52</v>
      </c>
      <c r="P2" s="79" t="s">
        <v>53</v>
      </c>
      <c r="Q2" s="78"/>
      <c r="R2" s="80" t="s">
        <v>155</v>
      </c>
    </row>
    <row r="3" spans="1:23" ht="15" customHeight="1" thickBot="1" x14ac:dyDescent="0.2">
      <c r="A3" s="75" t="s">
        <v>54</v>
      </c>
      <c r="B3" s="81">
        <v>0.5</v>
      </c>
      <c r="C3" s="74" t="s">
        <v>53</v>
      </c>
      <c r="D3" s="7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8">
        <v>0</v>
      </c>
      <c r="R3" s="34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8">
        <v>0</v>
      </c>
      <c r="R4" s="101">
        <v>0</v>
      </c>
    </row>
    <row r="5" spans="1:23" ht="15" customHeight="1" x14ac:dyDescent="0.15">
      <c r="A5" s="75" t="s">
        <v>55</v>
      </c>
      <c r="B5" s="82">
        <v>0.5</v>
      </c>
      <c r="C5" s="74" t="s">
        <v>52</v>
      </c>
      <c r="D5" s="7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8">
        <v>0</v>
      </c>
      <c r="R5" s="101">
        <v>0</v>
      </c>
    </row>
    <row r="6" spans="1:23" ht="15" customHeight="1" thickBot="1" x14ac:dyDescent="0.2">
      <c r="A6" s="75"/>
      <c r="B6" s="83">
        <v>0.5</v>
      </c>
      <c r="C6" s="74" t="s">
        <v>53</v>
      </c>
      <c r="D6" s="77"/>
      <c r="F6" s="181" t="s">
        <v>192</v>
      </c>
      <c r="G6" s="73">
        <v>0</v>
      </c>
      <c r="H6" s="73">
        <v>0</v>
      </c>
      <c r="I6" s="73">
        <v>0</v>
      </c>
      <c r="J6" s="73">
        <v>0</v>
      </c>
      <c r="K6" s="73">
        <v>1</v>
      </c>
      <c r="L6" s="73">
        <v>0</v>
      </c>
      <c r="M6" s="73">
        <v>1</v>
      </c>
      <c r="N6" s="73">
        <v>0</v>
      </c>
      <c r="O6" s="73">
        <v>1</v>
      </c>
      <c r="P6" s="65">
        <v>0</v>
      </c>
      <c r="Q6" s="73">
        <v>0</v>
      </c>
      <c r="R6" s="66">
        <v>1</v>
      </c>
      <c r="S6"/>
      <c r="T6"/>
    </row>
    <row r="7" spans="1:23" ht="15" customHeight="1" thickBot="1" x14ac:dyDescent="0.2">
      <c r="F7" s="181" t="s">
        <v>193</v>
      </c>
      <c r="G7" s="73">
        <v>0</v>
      </c>
      <c r="H7" s="73">
        <v>0</v>
      </c>
      <c r="I7" s="73">
        <v>0</v>
      </c>
      <c r="J7" s="73">
        <v>0</v>
      </c>
      <c r="K7" s="73">
        <v>1</v>
      </c>
      <c r="L7" s="73">
        <v>0</v>
      </c>
      <c r="M7" s="73">
        <v>1</v>
      </c>
      <c r="N7" s="73">
        <v>0</v>
      </c>
      <c r="O7" s="73">
        <v>1</v>
      </c>
      <c r="P7" s="65">
        <v>0</v>
      </c>
      <c r="Q7" s="73">
        <v>0</v>
      </c>
      <c r="R7" s="66">
        <v>1</v>
      </c>
      <c r="S7"/>
      <c r="T7"/>
    </row>
    <row r="8" spans="1:23" ht="15" customHeight="1" x14ac:dyDescent="0.15">
      <c r="A8" s="75" t="s">
        <v>56</v>
      </c>
      <c r="B8" s="82">
        <v>0.81803937268924187</v>
      </c>
      <c r="C8" s="182" t="s">
        <v>213</v>
      </c>
      <c r="D8" s="77" t="s">
        <v>160</v>
      </c>
      <c r="F8" s="181" t="s">
        <v>194</v>
      </c>
      <c r="G8" s="73">
        <v>0</v>
      </c>
      <c r="H8" s="73">
        <v>0</v>
      </c>
      <c r="I8" s="73">
        <v>0</v>
      </c>
      <c r="J8" s="73">
        <v>0</v>
      </c>
      <c r="K8" s="73">
        <v>1</v>
      </c>
      <c r="L8" s="73">
        <v>0</v>
      </c>
      <c r="M8" s="73">
        <v>1</v>
      </c>
      <c r="N8" s="73">
        <v>0</v>
      </c>
      <c r="O8" s="73">
        <v>1</v>
      </c>
      <c r="P8" s="65">
        <v>0</v>
      </c>
      <c r="Q8" s="73">
        <v>0</v>
      </c>
      <c r="R8" s="66">
        <v>1</v>
      </c>
      <c r="S8"/>
      <c r="T8"/>
      <c r="W8"/>
    </row>
    <row r="9" spans="1:23" ht="15" customHeight="1" x14ac:dyDescent="0.15">
      <c r="A9" s="115" t="s">
        <v>168</v>
      </c>
      <c r="B9" s="84">
        <v>0.18196062731075816</v>
      </c>
      <c r="C9" s="182" t="s">
        <v>214</v>
      </c>
      <c r="D9" s="77" t="s">
        <v>160</v>
      </c>
      <c r="F9" s="181" t="s">
        <v>195</v>
      </c>
      <c r="G9" s="73">
        <v>0</v>
      </c>
      <c r="H9" s="73">
        <v>0</v>
      </c>
      <c r="I9" s="73">
        <v>0</v>
      </c>
      <c r="J9" s="73">
        <v>0</v>
      </c>
      <c r="K9" s="73">
        <v>1</v>
      </c>
      <c r="L9" s="73">
        <v>0</v>
      </c>
      <c r="M9" s="73">
        <v>1</v>
      </c>
      <c r="N9" s="73">
        <v>0</v>
      </c>
      <c r="O9" s="73">
        <v>1</v>
      </c>
      <c r="P9" s="65">
        <v>0</v>
      </c>
      <c r="Q9" s="73">
        <v>0</v>
      </c>
      <c r="R9" s="66">
        <v>1</v>
      </c>
      <c r="S9"/>
      <c r="T9"/>
      <c r="W9"/>
    </row>
    <row r="10" spans="1:23" ht="15" customHeight="1" x14ac:dyDescent="0.15">
      <c r="B10" s="84"/>
      <c r="C10" s="72"/>
      <c r="D10" s="77" t="s">
        <v>160</v>
      </c>
      <c r="F10" s="181" t="s">
        <v>196</v>
      </c>
      <c r="G10" s="73">
        <v>0</v>
      </c>
      <c r="H10" s="73">
        <v>0</v>
      </c>
      <c r="I10" s="73">
        <v>0</v>
      </c>
      <c r="J10" s="73">
        <v>0</v>
      </c>
      <c r="K10" s="73">
        <v>1</v>
      </c>
      <c r="L10" s="73">
        <v>0</v>
      </c>
      <c r="M10" s="73">
        <v>1</v>
      </c>
      <c r="N10" s="73">
        <v>0</v>
      </c>
      <c r="O10" s="73">
        <v>1</v>
      </c>
      <c r="P10" s="65">
        <v>0</v>
      </c>
      <c r="Q10" s="73">
        <v>0</v>
      </c>
      <c r="R10" s="66">
        <v>1</v>
      </c>
      <c r="S10"/>
      <c r="T10"/>
      <c r="W10"/>
    </row>
    <row r="11" spans="1:23" ht="15" customHeight="1" x14ac:dyDescent="0.15">
      <c r="A11" s="75"/>
      <c r="B11" s="84"/>
      <c r="C11" s="87"/>
      <c r="D11" s="77" t="s">
        <v>160</v>
      </c>
      <c r="F11" s="181" t="s">
        <v>197</v>
      </c>
      <c r="G11" s="73">
        <v>0</v>
      </c>
      <c r="H11" s="73">
        <v>0</v>
      </c>
      <c r="I11" s="73">
        <v>0</v>
      </c>
      <c r="J11" s="73">
        <v>0</v>
      </c>
      <c r="K11" s="73">
        <v>1</v>
      </c>
      <c r="L11" s="73">
        <v>0</v>
      </c>
      <c r="M11" s="73">
        <v>1</v>
      </c>
      <c r="N11" s="73">
        <v>0</v>
      </c>
      <c r="O11" s="73">
        <v>1</v>
      </c>
      <c r="P11" s="65">
        <v>0</v>
      </c>
      <c r="Q11" s="73">
        <v>0</v>
      </c>
      <c r="R11" s="66">
        <v>1</v>
      </c>
      <c r="S11"/>
      <c r="T11"/>
      <c r="W11"/>
    </row>
    <row r="12" spans="1:23" ht="15" customHeight="1" x14ac:dyDescent="0.15">
      <c r="B12" s="84"/>
      <c r="C12" s="88"/>
      <c r="D12" s="77" t="s">
        <v>160</v>
      </c>
      <c r="F12" s="181" t="s">
        <v>198</v>
      </c>
      <c r="G12" s="73">
        <v>0</v>
      </c>
      <c r="H12" s="73">
        <v>0</v>
      </c>
      <c r="I12" s="73">
        <v>0</v>
      </c>
      <c r="J12" s="73">
        <v>0</v>
      </c>
      <c r="K12" s="73">
        <v>1</v>
      </c>
      <c r="L12" s="73">
        <v>0</v>
      </c>
      <c r="M12" s="73">
        <v>1</v>
      </c>
      <c r="N12" s="73">
        <v>0</v>
      </c>
      <c r="O12" s="73">
        <v>1</v>
      </c>
      <c r="P12" s="65">
        <v>0</v>
      </c>
      <c r="Q12" s="73">
        <v>0</v>
      </c>
      <c r="R12" s="66">
        <v>1</v>
      </c>
      <c r="S12"/>
      <c r="T12"/>
      <c r="W12"/>
    </row>
    <row r="13" spans="1:23" ht="15" customHeight="1" x14ac:dyDescent="0.15">
      <c r="B13" s="84"/>
      <c r="C13" s="88"/>
      <c r="D13" s="77" t="s">
        <v>160</v>
      </c>
      <c r="F13" s="181" t="s">
        <v>199</v>
      </c>
      <c r="G13" s="73">
        <v>0</v>
      </c>
      <c r="H13" s="73">
        <v>0</v>
      </c>
      <c r="I13" s="73">
        <v>0</v>
      </c>
      <c r="J13" s="73">
        <v>0</v>
      </c>
      <c r="K13" s="73">
        <v>1</v>
      </c>
      <c r="L13" s="73">
        <v>0</v>
      </c>
      <c r="M13" s="73">
        <v>1</v>
      </c>
      <c r="N13" s="73">
        <v>0</v>
      </c>
      <c r="O13" s="73">
        <v>1</v>
      </c>
      <c r="P13" s="65">
        <v>0</v>
      </c>
      <c r="Q13" s="73">
        <v>0</v>
      </c>
      <c r="R13" s="66">
        <v>1</v>
      </c>
      <c r="S13"/>
      <c r="T13"/>
      <c r="W13"/>
    </row>
    <row r="14" spans="1:23" ht="15" customHeight="1" x14ac:dyDescent="0.15">
      <c r="B14" s="84"/>
      <c r="C14" s="72"/>
      <c r="D14" s="77" t="s">
        <v>160</v>
      </c>
      <c r="F14" s="181" t="s">
        <v>200</v>
      </c>
      <c r="G14" s="73">
        <v>0</v>
      </c>
      <c r="H14" s="73">
        <v>0</v>
      </c>
      <c r="I14" s="73">
        <v>0</v>
      </c>
      <c r="J14" s="73">
        <v>0</v>
      </c>
      <c r="K14" s="73">
        <v>1</v>
      </c>
      <c r="L14" s="73">
        <v>0</v>
      </c>
      <c r="M14" s="73">
        <v>1</v>
      </c>
      <c r="N14" s="73">
        <v>0</v>
      </c>
      <c r="O14" s="73">
        <v>1</v>
      </c>
      <c r="P14" s="65">
        <v>0</v>
      </c>
      <c r="Q14" s="73">
        <v>0</v>
      </c>
      <c r="R14" s="66">
        <v>1</v>
      </c>
      <c r="S14"/>
      <c r="T14"/>
      <c r="W14"/>
    </row>
    <row r="15" spans="1:23" ht="15" customHeight="1" x14ac:dyDescent="0.15">
      <c r="B15" s="84"/>
      <c r="C15" s="72"/>
      <c r="D15" s="77" t="s">
        <v>160</v>
      </c>
      <c r="F15" s="181" t="s">
        <v>201</v>
      </c>
      <c r="G15" s="73">
        <v>0</v>
      </c>
      <c r="H15" s="73">
        <v>0</v>
      </c>
      <c r="I15" s="73">
        <v>0</v>
      </c>
      <c r="J15" s="73">
        <v>0</v>
      </c>
      <c r="K15" s="73">
        <v>1</v>
      </c>
      <c r="L15" s="73">
        <v>0</v>
      </c>
      <c r="M15" s="73">
        <v>1</v>
      </c>
      <c r="N15" s="73">
        <v>0</v>
      </c>
      <c r="O15" s="73">
        <v>1</v>
      </c>
      <c r="P15" s="65">
        <v>0</v>
      </c>
      <c r="Q15" s="73">
        <v>0</v>
      </c>
      <c r="R15" s="66">
        <v>1</v>
      </c>
      <c r="S15"/>
      <c r="T15"/>
      <c r="W15"/>
    </row>
    <row r="16" spans="1:23" ht="15" customHeight="1" x14ac:dyDescent="0.15">
      <c r="B16" s="84"/>
      <c r="C16" s="72"/>
      <c r="D16" s="77" t="s">
        <v>160</v>
      </c>
      <c r="F16" s="181" t="s">
        <v>202</v>
      </c>
      <c r="G16" s="73">
        <v>0</v>
      </c>
      <c r="H16" s="73">
        <v>0</v>
      </c>
      <c r="I16" s="73">
        <v>0</v>
      </c>
      <c r="J16" s="73">
        <v>0</v>
      </c>
      <c r="K16" s="73">
        <v>1</v>
      </c>
      <c r="L16" s="73">
        <v>0</v>
      </c>
      <c r="M16" s="73">
        <v>1</v>
      </c>
      <c r="N16" s="73">
        <v>0</v>
      </c>
      <c r="O16" s="73">
        <v>1</v>
      </c>
      <c r="P16" s="65">
        <v>0</v>
      </c>
      <c r="Q16" s="73">
        <v>0</v>
      </c>
      <c r="R16" s="66">
        <v>1</v>
      </c>
      <c r="S16"/>
      <c r="T16"/>
    </row>
    <row r="17" spans="1:20" ht="15" customHeight="1" thickBot="1" x14ac:dyDescent="0.2">
      <c r="B17" s="83"/>
      <c r="C17" s="72"/>
      <c r="D17" s="77" t="s">
        <v>160</v>
      </c>
      <c r="F17" s="181" t="s">
        <v>203</v>
      </c>
      <c r="G17" s="73">
        <v>0</v>
      </c>
      <c r="H17" s="73">
        <v>0</v>
      </c>
      <c r="I17" s="73">
        <v>0</v>
      </c>
      <c r="J17" s="73">
        <v>0</v>
      </c>
      <c r="K17" s="73">
        <v>1</v>
      </c>
      <c r="L17" s="73">
        <v>0</v>
      </c>
      <c r="M17" s="73">
        <v>1</v>
      </c>
      <c r="N17" s="73">
        <v>0</v>
      </c>
      <c r="O17" s="73">
        <v>1</v>
      </c>
      <c r="P17" s="65">
        <v>0</v>
      </c>
      <c r="Q17" s="73">
        <v>0</v>
      </c>
      <c r="R17" s="66">
        <v>1</v>
      </c>
      <c r="S17"/>
      <c r="T17"/>
    </row>
    <row r="18" spans="1:20" ht="15" customHeight="1" thickBot="1" x14ac:dyDescent="0.2">
      <c r="B18" s="85"/>
      <c r="F18" s="181" t="s">
        <v>204</v>
      </c>
      <c r="G18" s="73">
        <v>0</v>
      </c>
      <c r="H18" s="73">
        <v>0</v>
      </c>
      <c r="I18" s="73">
        <v>0</v>
      </c>
      <c r="J18" s="73">
        <v>0</v>
      </c>
      <c r="K18" s="73">
        <v>1</v>
      </c>
      <c r="L18" s="73">
        <v>0</v>
      </c>
      <c r="M18" s="73">
        <v>1</v>
      </c>
      <c r="N18" s="73">
        <v>0</v>
      </c>
      <c r="O18" s="73">
        <v>1</v>
      </c>
      <c r="P18" s="65">
        <v>0</v>
      </c>
      <c r="Q18" s="73">
        <v>0</v>
      </c>
      <c r="R18" s="66">
        <v>1</v>
      </c>
      <c r="S18"/>
      <c r="T18"/>
    </row>
    <row r="19" spans="1:20" ht="15" customHeight="1" x14ac:dyDescent="0.15">
      <c r="A19" s="75" t="s">
        <v>57</v>
      </c>
      <c r="B19" s="82">
        <v>0.81803937268924187</v>
      </c>
      <c r="C19" s="183" t="s">
        <v>213</v>
      </c>
      <c r="D19" s="77" t="s">
        <v>160</v>
      </c>
      <c r="F19" s="181" t="s">
        <v>205</v>
      </c>
      <c r="G19" s="73">
        <v>0</v>
      </c>
      <c r="H19" s="73">
        <v>0</v>
      </c>
      <c r="I19" s="73">
        <v>0</v>
      </c>
      <c r="J19" s="73">
        <v>0</v>
      </c>
      <c r="K19" s="73">
        <v>1</v>
      </c>
      <c r="L19" s="73">
        <v>0</v>
      </c>
      <c r="M19" s="73">
        <v>1</v>
      </c>
      <c r="N19" s="73">
        <v>0</v>
      </c>
      <c r="O19" s="73">
        <v>1</v>
      </c>
      <c r="P19" s="65">
        <v>0</v>
      </c>
      <c r="Q19" s="73">
        <v>0</v>
      </c>
      <c r="R19" s="66">
        <v>1</v>
      </c>
      <c r="S19"/>
      <c r="T19"/>
    </row>
    <row r="20" spans="1:20" ht="15" customHeight="1" x14ac:dyDescent="0.15">
      <c r="A20" s="115" t="s">
        <v>168</v>
      </c>
      <c r="B20" s="84">
        <v>0.18196062731075816</v>
      </c>
      <c r="C20" s="183" t="s">
        <v>214</v>
      </c>
      <c r="D20" s="77" t="s">
        <v>160</v>
      </c>
      <c r="F20" s="181" t="s">
        <v>206</v>
      </c>
      <c r="G20" s="73">
        <v>0</v>
      </c>
      <c r="H20" s="73">
        <v>0</v>
      </c>
      <c r="I20" s="73">
        <v>0</v>
      </c>
      <c r="J20" s="73">
        <v>0</v>
      </c>
      <c r="K20" s="73">
        <v>1</v>
      </c>
      <c r="L20" s="73">
        <v>0</v>
      </c>
      <c r="M20" s="73">
        <v>1</v>
      </c>
      <c r="N20" s="73">
        <v>0</v>
      </c>
      <c r="O20" s="73">
        <v>1</v>
      </c>
      <c r="P20" s="65">
        <v>0</v>
      </c>
      <c r="Q20" s="73">
        <v>0</v>
      </c>
      <c r="R20" s="66">
        <v>1</v>
      </c>
      <c r="S20"/>
      <c r="T20"/>
    </row>
    <row r="21" spans="1:20" ht="15" customHeight="1" x14ac:dyDescent="0.15">
      <c r="B21" s="84"/>
      <c r="C21" s="72"/>
      <c r="D21" s="77" t="s">
        <v>160</v>
      </c>
      <c r="F21" s="181" t="s">
        <v>207</v>
      </c>
      <c r="G21" s="73">
        <v>0</v>
      </c>
      <c r="H21" s="73">
        <v>0</v>
      </c>
      <c r="I21" s="73">
        <v>0</v>
      </c>
      <c r="J21" s="73">
        <v>0</v>
      </c>
      <c r="K21" s="73">
        <v>1</v>
      </c>
      <c r="L21" s="73">
        <v>0</v>
      </c>
      <c r="M21" s="73">
        <v>1</v>
      </c>
      <c r="N21" s="73">
        <v>0</v>
      </c>
      <c r="O21" s="73">
        <v>1</v>
      </c>
      <c r="P21" s="65">
        <v>0</v>
      </c>
      <c r="Q21" s="73">
        <v>0</v>
      </c>
      <c r="R21" s="66">
        <v>1</v>
      </c>
      <c r="S21"/>
      <c r="T21"/>
    </row>
    <row r="22" spans="1:20" ht="15" customHeight="1" x14ac:dyDescent="0.15">
      <c r="A22" s="73"/>
      <c r="B22" s="84"/>
      <c r="C22" s="87"/>
      <c r="D22" s="77" t="s">
        <v>160</v>
      </c>
      <c r="F22" s="181" t="s">
        <v>208</v>
      </c>
      <c r="G22" s="73">
        <v>0</v>
      </c>
      <c r="H22" s="73">
        <v>0</v>
      </c>
      <c r="I22" s="73">
        <v>0</v>
      </c>
      <c r="J22" s="73">
        <v>0</v>
      </c>
      <c r="K22" s="73">
        <v>1</v>
      </c>
      <c r="L22" s="73">
        <v>0</v>
      </c>
      <c r="M22" s="73">
        <v>1</v>
      </c>
      <c r="N22" s="73">
        <v>0</v>
      </c>
      <c r="O22" s="73">
        <v>1</v>
      </c>
      <c r="P22" s="65">
        <v>0</v>
      </c>
      <c r="Q22" s="73">
        <v>0</v>
      </c>
      <c r="R22" s="66">
        <v>1</v>
      </c>
      <c r="S22"/>
      <c r="T22"/>
    </row>
    <row r="23" spans="1:20" ht="15" customHeight="1" x14ac:dyDescent="0.15">
      <c r="A23" s="73"/>
      <c r="B23" s="84"/>
      <c r="C23" s="88"/>
      <c r="D23" s="77" t="s">
        <v>160</v>
      </c>
      <c r="F23" s="181" t="s">
        <v>209</v>
      </c>
      <c r="G23" s="73">
        <v>0</v>
      </c>
      <c r="H23" s="73">
        <v>0</v>
      </c>
      <c r="I23" s="73">
        <v>0</v>
      </c>
      <c r="J23" s="73">
        <v>0</v>
      </c>
      <c r="K23" s="73">
        <v>1</v>
      </c>
      <c r="L23" s="73">
        <v>0</v>
      </c>
      <c r="M23" s="73">
        <v>1</v>
      </c>
      <c r="N23" s="73">
        <v>0</v>
      </c>
      <c r="O23" s="73">
        <v>1</v>
      </c>
      <c r="P23" s="65">
        <v>0</v>
      </c>
      <c r="Q23" s="73">
        <v>0</v>
      </c>
      <c r="R23" s="66">
        <v>1</v>
      </c>
      <c r="S23"/>
      <c r="T23"/>
    </row>
    <row r="24" spans="1:20" ht="15" customHeight="1" x14ac:dyDescent="0.15">
      <c r="A24" s="73"/>
      <c r="B24" s="84"/>
      <c r="C24" s="88"/>
      <c r="D24" s="77" t="s">
        <v>160</v>
      </c>
      <c r="F24" s="181" t="s">
        <v>210</v>
      </c>
      <c r="G24" s="73">
        <v>0</v>
      </c>
      <c r="H24" s="73">
        <v>0</v>
      </c>
      <c r="I24" s="73">
        <v>0</v>
      </c>
      <c r="J24" s="73">
        <v>0</v>
      </c>
      <c r="K24" s="73">
        <v>1</v>
      </c>
      <c r="L24" s="73">
        <v>0</v>
      </c>
      <c r="M24" s="73">
        <v>1</v>
      </c>
      <c r="N24" s="73">
        <v>0</v>
      </c>
      <c r="O24" s="73">
        <v>1</v>
      </c>
      <c r="P24" s="65">
        <v>0</v>
      </c>
      <c r="Q24" s="73">
        <v>0</v>
      </c>
      <c r="R24" s="66">
        <v>1</v>
      </c>
      <c r="S24"/>
      <c r="T24"/>
    </row>
    <row r="25" spans="1:20" ht="15" customHeight="1" x14ac:dyDescent="0.15">
      <c r="A25" s="73"/>
      <c r="B25" s="84"/>
      <c r="C25" s="72"/>
      <c r="D25" s="77" t="s">
        <v>160</v>
      </c>
      <c r="F25" s="181" t="s">
        <v>211</v>
      </c>
      <c r="G25" s="73">
        <v>0</v>
      </c>
      <c r="H25" s="73">
        <v>0</v>
      </c>
      <c r="I25" s="73">
        <v>0</v>
      </c>
      <c r="J25" s="73">
        <v>0</v>
      </c>
      <c r="K25" s="73">
        <v>1</v>
      </c>
      <c r="L25" s="73">
        <v>0</v>
      </c>
      <c r="M25" s="73">
        <v>1</v>
      </c>
      <c r="N25" s="73">
        <v>0</v>
      </c>
      <c r="O25" s="73">
        <v>1</v>
      </c>
      <c r="P25" s="65">
        <v>0</v>
      </c>
      <c r="Q25" s="73">
        <v>0</v>
      </c>
      <c r="R25" s="66">
        <v>1</v>
      </c>
      <c r="S25"/>
      <c r="T25"/>
    </row>
    <row r="26" spans="1:20" ht="15" customHeight="1" x14ac:dyDescent="0.15">
      <c r="B26" s="84"/>
      <c r="C26" s="72"/>
      <c r="D26" s="77" t="s">
        <v>160</v>
      </c>
      <c r="F26" s="181" t="s">
        <v>212</v>
      </c>
      <c r="G26" s="73">
        <v>0</v>
      </c>
      <c r="H26" s="73">
        <v>0</v>
      </c>
      <c r="I26" s="73">
        <v>0</v>
      </c>
      <c r="J26" s="73">
        <v>0</v>
      </c>
      <c r="K26" s="73">
        <v>1</v>
      </c>
      <c r="L26" s="73">
        <v>0</v>
      </c>
      <c r="M26" s="73">
        <v>1</v>
      </c>
      <c r="N26" s="73">
        <v>0</v>
      </c>
      <c r="O26" s="73">
        <v>1</v>
      </c>
      <c r="P26" s="65">
        <v>0</v>
      </c>
      <c r="Q26" s="73">
        <v>0</v>
      </c>
      <c r="R26" s="66">
        <v>1</v>
      </c>
      <c r="S26"/>
      <c r="T26"/>
    </row>
    <row r="27" spans="1:20" ht="15" customHeight="1" x14ac:dyDescent="0.15">
      <c r="B27" s="84"/>
      <c r="C27" s="72"/>
      <c r="D27" s="77" t="s">
        <v>160</v>
      </c>
      <c r="F27" s="181" t="s">
        <v>213</v>
      </c>
      <c r="G27" s="73">
        <v>0</v>
      </c>
      <c r="H27" s="73">
        <v>0</v>
      </c>
      <c r="I27" s="73">
        <v>0</v>
      </c>
      <c r="J27" s="73">
        <v>0</v>
      </c>
      <c r="K27" s="73">
        <v>0</v>
      </c>
      <c r="L27" s="73">
        <v>0</v>
      </c>
      <c r="M27" s="73">
        <v>1</v>
      </c>
      <c r="N27" s="73">
        <v>0</v>
      </c>
      <c r="O27" s="73">
        <v>0</v>
      </c>
      <c r="P27" s="65">
        <v>0</v>
      </c>
      <c r="Q27" s="73">
        <v>0</v>
      </c>
      <c r="R27" s="66">
        <v>1</v>
      </c>
      <c r="S27"/>
      <c r="T27"/>
    </row>
    <row r="28" spans="1:20" ht="15" customHeight="1" thickBot="1" x14ac:dyDescent="0.2">
      <c r="B28" s="83"/>
      <c r="C28" s="72"/>
      <c r="D28" s="77" t="s">
        <v>160</v>
      </c>
      <c r="F28" s="181" t="s">
        <v>214</v>
      </c>
      <c r="G28" s="73">
        <v>0</v>
      </c>
      <c r="H28" s="73">
        <v>0</v>
      </c>
      <c r="I28" s="73">
        <v>0</v>
      </c>
      <c r="J28" s="73">
        <v>0</v>
      </c>
      <c r="K28" s="73">
        <v>0</v>
      </c>
      <c r="L28" s="73">
        <v>0</v>
      </c>
      <c r="M28" s="73">
        <v>1</v>
      </c>
      <c r="N28" s="73">
        <v>0</v>
      </c>
      <c r="O28" s="73">
        <v>0</v>
      </c>
      <c r="P28" s="65">
        <v>0</v>
      </c>
      <c r="Q28" s="73">
        <v>0</v>
      </c>
      <c r="R28" s="66">
        <v>1</v>
      </c>
      <c r="S28"/>
      <c r="T28"/>
    </row>
    <row r="29" spans="1:20" ht="15" customHeight="1" x14ac:dyDescent="0.15">
      <c r="F29" s="181" t="s">
        <v>215</v>
      </c>
      <c r="G29" s="73">
        <v>0</v>
      </c>
      <c r="H29" s="73">
        <v>0</v>
      </c>
      <c r="I29" s="73">
        <v>0</v>
      </c>
      <c r="J29" s="73">
        <v>0</v>
      </c>
      <c r="K29" s="73">
        <v>0</v>
      </c>
      <c r="L29" s="73">
        <v>1</v>
      </c>
      <c r="M29" s="73">
        <v>0</v>
      </c>
      <c r="N29" s="73">
        <v>1</v>
      </c>
      <c r="O29" s="73">
        <v>0</v>
      </c>
      <c r="P29" s="65">
        <v>1</v>
      </c>
      <c r="Q29" s="73">
        <v>0</v>
      </c>
      <c r="R29" s="66">
        <v>1</v>
      </c>
      <c r="S29"/>
      <c r="T29"/>
    </row>
    <row r="30" spans="1:20" ht="15" customHeight="1" x14ac:dyDescent="0.15">
      <c r="F30" s="181" t="s">
        <v>216</v>
      </c>
      <c r="G30" s="73">
        <v>0</v>
      </c>
      <c r="H30" s="73">
        <v>0</v>
      </c>
      <c r="I30" s="73">
        <v>0</v>
      </c>
      <c r="J30" s="73">
        <v>0</v>
      </c>
      <c r="K30" s="73">
        <v>0</v>
      </c>
      <c r="L30" s="73">
        <v>1</v>
      </c>
      <c r="M30" s="73">
        <v>0</v>
      </c>
      <c r="N30" s="73">
        <v>1</v>
      </c>
      <c r="O30" s="73">
        <v>0</v>
      </c>
      <c r="P30" s="65">
        <v>1</v>
      </c>
      <c r="Q30" s="73">
        <v>0</v>
      </c>
      <c r="R30" s="66">
        <v>1</v>
      </c>
      <c r="S30"/>
      <c r="T30"/>
    </row>
    <row r="31" spans="1:20" ht="15" customHeight="1" x14ac:dyDescent="0.15">
      <c r="A31" s="116"/>
      <c r="B31" s="126" t="s">
        <v>17</v>
      </c>
      <c r="C31" s="126" t="s">
        <v>1</v>
      </c>
      <c r="D31" s="126" t="s">
        <v>161</v>
      </c>
      <c r="E31" s="127" t="s">
        <v>163</v>
      </c>
      <c r="F31" s="181" t="s">
        <v>217</v>
      </c>
      <c r="G31" s="73">
        <v>0</v>
      </c>
      <c r="H31" s="73">
        <v>0</v>
      </c>
      <c r="I31" s="73">
        <v>0</v>
      </c>
      <c r="J31" s="73">
        <v>0</v>
      </c>
      <c r="K31" s="73">
        <v>0</v>
      </c>
      <c r="L31" s="73">
        <v>1</v>
      </c>
      <c r="M31" s="73">
        <v>0</v>
      </c>
      <c r="N31" s="73">
        <v>0</v>
      </c>
      <c r="O31" s="73">
        <v>0</v>
      </c>
      <c r="P31" s="65">
        <v>0</v>
      </c>
      <c r="Q31" s="73">
        <v>0</v>
      </c>
      <c r="R31" s="66">
        <v>1</v>
      </c>
      <c r="S31"/>
      <c r="T31"/>
    </row>
    <row r="32" spans="1:20" ht="15" customHeight="1" x14ac:dyDescent="0.15">
      <c r="A32" s="184" t="s">
        <v>213</v>
      </c>
      <c r="B32" s="85">
        <v>2.649988</v>
      </c>
      <c r="C32" s="85">
        <v>102.55800000000001</v>
      </c>
      <c r="D32" s="85">
        <v>271.77746930400002</v>
      </c>
      <c r="E32" s="117">
        <v>0.81803937268924187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84" t="s">
        <v>214</v>
      </c>
      <c r="B33" s="85">
        <v>4.1309849999999999</v>
      </c>
      <c r="C33" s="85">
        <v>14.634</v>
      </c>
      <c r="D33" s="85">
        <v>60.452834490000001</v>
      </c>
      <c r="E33" s="117">
        <v>0.18196062731075816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8"/>
      <c r="B34" s="85"/>
      <c r="C34" s="85"/>
      <c r="D34" s="85"/>
      <c r="E34" s="117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9"/>
      <c r="B35" s="85"/>
      <c r="C35" s="85"/>
      <c r="D35" s="85"/>
      <c r="E35" s="117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0"/>
      <c r="B36" s="85"/>
      <c r="C36" s="85"/>
      <c r="D36" s="85"/>
      <c r="E36" s="117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0"/>
      <c r="B37" s="85"/>
      <c r="C37" s="85"/>
      <c r="D37" s="85"/>
      <c r="E37" s="11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1"/>
      <c r="B38" s="85"/>
      <c r="C38" s="85"/>
      <c r="D38" s="85"/>
      <c r="E38" s="117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1"/>
      <c r="B39" s="85"/>
      <c r="C39" s="85"/>
      <c r="D39" s="85"/>
      <c r="E39" s="11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1"/>
      <c r="B40" s="85"/>
      <c r="C40" s="85"/>
      <c r="D40" s="85"/>
      <c r="E40" s="117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1"/>
      <c r="B41" s="85"/>
      <c r="C41" s="85"/>
      <c r="D41" s="86"/>
      <c r="E41" s="122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3"/>
      <c r="B42" s="124"/>
      <c r="C42" s="124" t="s">
        <v>162</v>
      </c>
      <c r="D42" s="124">
        <f>SUM(D32:D41)</f>
        <v>332.23030379400001</v>
      </c>
      <c r="E42" s="125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3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3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3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3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3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3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3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3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3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1" customWidth="1"/>
    <col min="3" max="5" width="7.83203125" style="101" customWidth="1"/>
    <col min="6" max="8" width="8.83203125" style="6"/>
    <col min="9" max="9" width="8.1640625" style="6" customWidth="1"/>
    <col min="10" max="11" width="9.6640625" style="6" customWidth="1"/>
    <col min="12" max="12" width="14.33203125" style="6" customWidth="1"/>
    <col min="13" max="13" width="13.1640625" style="6" customWidth="1"/>
    <col min="14" max="14" width="6.1640625" style="6" customWidth="1"/>
    <col min="15" max="15" width="7.5" style="6" customWidth="1"/>
    <col min="16" max="16" width="8.33203125" style="6" customWidth="1"/>
    <col min="17" max="17" width="6.83203125" style="6" customWidth="1"/>
    <col min="18" max="18" width="7.1640625" style="6" customWidth="1"/>
    <col min="19" max="19" width="11.33203125" style="6" customWidth="1"/>
    <col min="20" max="20" width="11.6640625" style="6" customWidth="1"/>
    <col min="21" max="21" width="7" style="6" customWidth="1"/>
    <col min="22" max="22" width="8.5" style="6" customWidth="1"/>
    <col min="23" max="23" width="8.1640625" style="6" customWidth="1"/>
    <col min="24" max="24" width="6.1640625" style="6" customWidth="1"/>
    <col min="25" max="25" width="8.6640625" style="6" customWidth="1"/>
    <col min="26" max="26" width="15" style="6" customWidth="1"/>
    <col min="27" max="27" width="11.33203125" style="6" customWidth="1"/>
    <col min="28" max="28" width="8.5" style="6" customWidth="1"/>
    <col min="29" max="29" width="11.33203125" style="6" customWidth="1"/>
    <col min="30" max="30" width="13.1640625" style="6" customWidth="1"/>
    <col min="31" max="31" width="12.33203125" style="6" customWidth="1"/>
    <col min="32" max="32" width="7.6640625" style="6" customWidth="1"/>
    <col min="33" max="33" width="21.6640625" style="6" customWidth="1"/>
    <col min="34" max="34" width="6.5" style="6" customWidth="1"/>
    <col min="35" max="38" width="8.83203125" style="6"/>
    <col min="81" max="81" width="22.1640625" bestFit="1" customWidth="1"/>
  </cols>
  <sheetData>
    <row r="1" spans="1:38" x14ac:dyDescent="0.15">
      <c r="A1" s="4" t="s">
        <v>156</v>
      </c>
      <c r="B1" s="33" t="s">
        <v>157</v>
      </c>
      <c r="C1" s="33" t="s">
        <v>17</v>
      </c>
      <c r="D1" s="33" t="s">
        <v>158</v>
      </c>
      <c r="E1" s="33" t="s">
        <v>159</v>
      </c>
      <c r="F1" t="s">
        <v>38</v>
      </c>
      <c r="G1" t="s">
        <v>40</v>
      </c>
      <c r="H1" t="s">
        <v>41</v>
      </c>
      <c r="I1" s="186" t="s">
        <v>192</v>
      </c>
      <c r="J1" s="186" t="s">
        <v>193</v>
      </c>
      <c r="K1" s="186" t="s">
        <v>194</v>
      </c>
      <c r="L1" s="186" t="s">
        <v>195</v>
      </c>
      <c r="M1" s="186" t="s">
        <v>196</v>
      </c>
      <c r="N1" s="186" t="s">
        <v>197</v>
      </c>
      <c r="O1" s="186" t="s">
        <v>198</v>
      </c>
      <c r="P1" s="186" t="s">
        <v>199</v>
      </c>
      <c r="Q1" s="186" t="s">
        <v>200</v>
      </c>
      <c r="R1" s="186" t="s">
        <v>201</v>
      </c>
      <c r="S1" s="186" t="s">
        <v>202</v>
      </c>
      <c r="T1" s="186" t="s">
        <v>203</v>
      </c>
      <c r="U1" s="186" t="s">
        <v>204</v>
      </c>
      <c r="V1" s="186" t="s">
        <v>205</v>
      </c>
      <c r="W1" s="186" t="s">
        <v>206</v>
      </c>
      <c r="X1" s="186" t="s">
        <v>207</v>
      </c>
      <c r="Y1" s="186" t="s">
        <v>208</v>
      </c>
      <c r="Z1" s="186" t="s">
        <v>209</v>
      </c>
      <c r="AA1" s="186" t="s">
        <v>210</v>
      </c>
      <c r="AB1" s="186" t="s">
        <v>211</v>
      </c>
      <c r="AC1" s="186" t="s">
        <v>212</v>
      </c>
      <c r="AD1" s="186" t="s">
        <v>213</v>
      </c>
      <c r="AE1" s="186" t="s">
        <v>214</v>
      </c>
      <c r="AF1" s="186" t="s">
        <v>215</v>
      </c>
      <c r="AG1" s="186" t="s">
        <v>216</v>
      </c>
      <c r="AH1" s="186" t="s">
        <v>217</v>
      </c>
      <c r="AI1"/>
      <c r="AJ1"/>
      <c r="AK1"/>
      <c r="AL1"/>
    </row>
    <row r="2" spans="1:38" x14ac:dyDescent="0.15">
      <c r="A2" t="s">
        <v>38</v>
      </c>
      <c r="B2" s="10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5" t="s">
        <v>192</v>
      </c>
      <c r="B5" s="10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5" t="s">
        <v>193</v>
      </c>
      <c r="B6" s="10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5" t="s">
        <v>194</v>
      </c>
      <c r="B7" s="10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5" t="s">
        <v>195</v>
      </c>
      <c r="B8" s="10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5" t="s">
        <v>196</v>
      </c>
      <c r="B9" s="10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5" t="s">
        <v>197</v>
      </c>
      <c r="B10" s="10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5" t="s">
        <v>198</v>
      </c>
      <c r="B11" s="10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5" t="s">
        <v>199</v>
      </c>
      <c r="B12" s="10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5" t="s">
        <v>200</v>
      </c>
      <c r="B13" s="10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5" t="s">
        <v>201</v>
      </c>
      <c r="B14" s="10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5" t="s">
        <v>202</v>
      </c>
      <c r="B15" s="10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5" t="s">
        <v>203</v>
      </c>
      <c r="B16" s="10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5" t="s">
        <v>204</v>
      </c>
      <c r="B17" s="10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5" t="s">
        <v>205</v>
      </c>
      <c r="B18" s="10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5" t="s">
        <v>206</v>
      </c>
      <c r="B19" s="10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5" t="s">
        <v>207</v>
      </c>
      <c r="B20" s="10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5" t="s">
        <v>208</v>
      </c>
      <c r="B21" s="10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5" t="s">
        <v>209</v>
      </c>
      <c r="B22" s="10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5" t="s">
        <v>210</v>
      </c>
      <c r="B23" s="10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5" t="s">
        <v>211</v>
      </c>
      <c r="B24" s="10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5" t="s">
        <v>212</v>
      </c>
      <c r="B25" s="10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5" t="s">
        <v>213</v>
      </c>
      <c r="B26" s="101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85" t="s">
        <v>214</v>
      </c>
      <c r="B27" s="101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85" t="s">
        <v>215</v>
      </c>
      <c r="B28" s="101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85" t="s">
        <v>216</v>
      </c>
      <c r="B29" s="101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85" t="s">
        <v>217</v>
      </c>
      <c r="B30" s="101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2022-10-23T22:14:05Z</dcterms:modified>
</cp:coreProperties>
</file>