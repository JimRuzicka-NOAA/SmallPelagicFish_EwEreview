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5A9C6CBF-8654-174A-A777-295770E6EC88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Main!$C$2:$N$117</definedName>
    <definedName name="matDetritus">Detritus!$C$2:$F$117</definedName>
    <definedName name="matDiet">Diets!$B$2:$CS$101</definedName>
    <definedName name="matDiscards">Discards!$C$2:$S$100</definedName>
    <definedName name="matFishery">Fishing!$C$2:$S$100</definedName>
    <definedName name="matFishing">Fishing!#REF!</definedName>
    <definedName name="matMort">Mortalities!$A$1:$DO$100</definedName>
    <definedName name="matOut">MainOutputs!$A$2:$I$117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<sst xmlns="http://schemas.openxmlformats.org/spreadsheetml/2006/main" count="2601" uniqueCount="329">
  <si>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</si>
  <si>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</si>
  <si>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</si>
  <si>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</si>
  <si>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</si>
  <si>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</si>
  <si>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</si>
  <si>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</si>
  <si>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</si>
  <si>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</si>
  <si>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</si>
  <si>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</si>
  <si>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</si>
  <si>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</si>
  <si>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</si>
  <si>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</si>
  <si>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</si>
  <si>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</si>
  <si>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</si>
  <si>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</si>
  <si>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</si>
  <si>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</si>
  <si>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</si>
  <si>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</si>
  <si>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</si>
  <si>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</si>
  <si>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</si>
  <si>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</si>
  <si>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</si>
  <si>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</si>
  <si>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</si>
  <si>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</si>
  <si>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</si>
  <si>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</si>
  <si>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</si>
  <si>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</si>
  <si>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</si>
  <si>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</si>
  <si>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</si>
  <si>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</si>
  <si>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</si>
  <si>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</si>
  <si>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</si>
  <si>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</si>
  <si>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</si>
  <si>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</si>
  <si>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</si>
  <si>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</si>
  <si>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</si>
  <si>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</si>
  <si>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</si>
  <si>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</si>
  <si>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</si>
  <si>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</si>
  <si>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</si>
  <si>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</si>
  <si>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</si>
  <si>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</si>
  <si>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</si>
  <si>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</si>
  <si>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</si>
  <si>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</si>
  <si>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</si>
  <si>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</si>
  <si>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</si>
  <si>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</si>
  <si>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</si>
  <si>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</si>
  <si>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</si>
  <si>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</si>
  <si>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</si>
  <si>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</si>
  <si>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</si>
  <si>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</si>
  <si>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</si>
  <si>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</si>
  <si>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</si>
  <si>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</si>
  <si>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</si>
  <si>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</si>
  <si>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</si>
  <si>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</si>
  <si>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</si>
  <si>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</si>
  <si>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</si>
  <si>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</si>
  <si>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</si>
  <si>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</si>
  <si>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</si>
  <si>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</si>
  <si>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</si>
  <si>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</si>
  <si>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</si>
  <si>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</si>
  <si>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</si>
  <si>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</si>
  <si>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</si>
  <si>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</si>
  <si>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</si>
  <si>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</si>
  <si>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</si>
  <si>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</si>
  <si>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</si>
  <si>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</si>
  <si>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</si>
  <si>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</si>
  <si>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</si>
  <si>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</si>
  <si>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</si>
  <si>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</si>
  <si>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</si>
  <si>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</si>
  <si>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</si>
  <si>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</si>
  <si>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</si>
  <si>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</si>
  <si>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</si>
  <si>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</si>
  <si>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</si>
  <si>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</si>
  <si>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</si>
  <si>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</si>
  <si>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</si>
  <si>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</si>
  <si>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</si>
  <si>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</si>
  <si>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</si>
  <si>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</si>
  <si>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</si>
  <si>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</si>
  <si>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</si>
  <si>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</si>
  <si>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</si>
  <si>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</si>
  <si>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</si>
  <si>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</si>
  <si>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</si>
  <si>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</si>
  <si>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</si>
  <si>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</si>
  <si>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</si>
  <si>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</si>
  <si>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</si>
  <si>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</si>
  <si>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</si>
  <si>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</si>
  <si>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</si>
  <si>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</si>
  <si>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</si>
  <si>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</si>
  <si>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</si>
  <si>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</si>
  <si>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</si>
  <si>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</si>
  <si>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</si>
  <si>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</si>
  <si>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</si>
  <si>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</si>
  <si>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</si>
  <si>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</si>
  <si>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</si>
  <si>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</si>
  <si>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</si>
  <si>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</si>
  <si>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</si>
  <si>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</si>
  <si>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</si>
  <si>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</si>
  <si>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</si>
  <si>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</si>
  <si>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</si>
  <si>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</si>
  <si>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</si>
  <si>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</si>
  <si>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</si>
  <si>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</si>
  <si>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</si>
  <si>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</si>
  <si>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</si>
  <si>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</si>
  <si>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</si>
  <si>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</si>
  <si>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</si>
  <si>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</si>
  <si>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</si>
  <si>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Raja Ampat</t>
  </si>
  <si>
    <t>Indonesia</t>
  </si>
  <si>
    <t>BOX(129.25 0.25,131.25 2.25)</t>
  </si>
  <si>
    <t>coral reef</t>
  </si>
  <si>
    <t>WetWeight</t>
  </si>
  <si>
    <t>; 12/4/2006 1:33:10 AM; 12/4/2006 1:33:35 PM; 12/4/2006 6:58:17 PM; 12/6/2006 2:10:30 PM; 12/6/2006 4:31:05 PM; 12/6/2006 4:55:33 PM; 12/6/2006 5:42:00 PM; 12/6/2006 10:21:11 PM; 12/7/2006 6:22:31 PM; 12/7/2006 8:52:21 PM; 12/15/2006 1:27:36 PM; 12/19/2006 3:51:06 PM; 12/19/2006 8:59:50 PM; 8/2/2007 11:09:00 PM; 8/6/2007 10:56:08 PM; 8/7/2007 1:07:45 PM; 8/7/2007 11:37:41 PM; 8/8/2007 1:20:43 PM; 8/8/2007 2:21:36 PM; 8/8/2007 2:49:00 PM; 8/9/2007 8:20:34 PM; 8/13/2007 11:20:47 PM; 8/14/2007 7:59:01 PM; 8/14/2007 11:34:47 PM; 8/15/2007 2:38:01 PM; 8/15/2007 3:17:59 PM; 8/15/2007 4:14:21 PM; 8/15/2007 4:57:57 PM; 8/15/2007 5:15:44 PM; 8/15/2007 10:52:22 PM; 8/16/2007 12:50:05 PM; 8/16/2007 2:06:17 PM; 8/16/2007 4:26:22 PM; 8/16/2007 4:46:28 PM; 8/16/2007 5:49:03 PM; 8/16/2007 8:39:07 PM; 8/16/2007 9:31:43 PM</t>
  </si>
  <si>
    <t>Pitcher T.J.,Ainsworth C.H.,Bailey M.(2007). Ecological and economic analyses of marine ecosystems in the bird's head seascape, Papua, Indonesia: I Fisheries Centre Research Reports</t>
  </si>
  <si>
    <t>Mysticetae</t>
  </si>
  <si>
    <t>Piscivorous odontocetae</t>
  </si>
  <si>
    <t>Deepdiving odontocetae</t>
  </si>
  <si>
    <t>Dugongs</t>
  </si>
  <si>
    <t>Birds</t>
  </si>
  <si>
    <t>Reef associated turtles</t>
  </si>
  <si>
    <t>Green turtles</t>
  </si>
  <si>
    <t>Oceanic turtles</t>
  </si>
  <si>
    <t>Crocodiles</t>
  </si>
  <si>
    <t>Adult groupers</t>
  </si>
  <si>
    <t>Subadult groupers</t>
  </si>
  <si>
    <t>Juvenile groupers</t>
  </si>
  <si>
    <t>Adult snappers</t>
  </si>
  <si>
    <t>Subadult snappers</t>
  </si>
  <si>
    <t>Juvenile snappers</t>
  </si>
  <si>
    <t>Adult Napoleon wrasse</t>
  </si>
  <si>
    <t>Subadult Napoleon wrasse</t>
  </si>
  <si>
    <t>Juvenile Napoleon wrasse</t>
  </si>
  <si>
    <t>Skipjack tuna</t>
  </si>
  <si>
    <t>Other tuna</t>
  </si>
  <si>
    <t>Mackerel</t>
  </si>
  <si>
    <t>Billfish</t>
  </si>
  <si>
    <t>Adult coral trout</t>
  </si>
  <si>
    <t>Juvenile coral trout</t>
  </si>
  <si>
    <t>Adult large sharks</t>
  </si>
  <si>
    <t>Juvenile large sharks</t>
  </si>
  <si>
    <t>Adult small sharks</t>
  </si>
  <si>
    <t>Juvenile small sharks</t>
  </si>
  <si>
    <t>Whale shark</t>
  </si>
  <si>
    <t>Manta ray</t>
  </si>
  <si>
    <t>Adult rays</t>
  </si>
  <si>
    <t>Juvenile rays</t>
  </si>
  <si>
    <t>Adult butterflyfish</t>
  </si>
  <si>
    <t>Juvenile butterflyfish</t>
  </si>
  <si>
    <t>Cleaner wrasse</t>
  </si>
  <si>
    <t>Adult large pelagic</t>
  </si>
  <si>
    <t>Juvenile large pelagic</t>
  </si>
  <si>
    <t>Adult medium pelagic</t>
  </si>
  <si>
    <t>Juvenile medium pelagic</t>
  </si>
  <si>
    <t>Adult small pelagic</t>
  </si>
  <si>
    <t>Juvenile small pelagic</t>
  </si>
  <si>
    <t>Adult large reef associated</t>
  </si>
  <si>
    <t>Juvenile large reef associated</t>
  </si>
  <si>
    <t>Adult medium reef associated</t>
  </si>
  <si>
    <t>Juvenile medium reef associated</t>
  </si>
  <si>
    <t>Adult small reef associated</t>
  </si>
  <si>
    <t>Juvenile small reef asociated</t>
  </si>
  <si>
    <t>Adult large demersal</t>
  </si>
  <si>
    <t>Juvenile large demersal</t>
  </si>
  <si>
    <t>Adult small demersal</t>
  </si>
  <si>
    <t>Juvenile small demersal</t>
  </si>
  <si>
    <t>Adult large planktivore</t>
  </si>
  <si>
    <t>Juvenile large planktivore</t>
  </si>
  <si>
    <t>Adult small planktivore</t>
  </si>
  <si>
    <t>Juvenile small planktivore</t>
  </si>
  <si>
    <t>Adult anchovy</t>
  </si>
  <si>
    <t>Juvenile anchovy</t>
  </si>
  <si>
    <t>Adult deepwater fish</t>
  </si>
  <si>
    <t>Juvenile deepwater fish</t>
  </si>
  <si>
    <t>Adult macro algal browsing</t>
  </si>
  <si>
    <t>Juvenile macro algal browsing</t>
  </si>
  <si>
    <t>Adult eroding grazers</t>
  </si>
  <si>
    <t>Juvenile eroding grazers</t>
  </si>
  <si>
    <t>Adult scraping grazers</t>
  </si>
  <si>
    <t>Juvenile scraping grazers</t>
  </si>
  <si>
    <t>Detritivore fish</t>
  </si>
  <si>
    <t>Azooxanthellate corals</t>
  </si>
  <si>
    <t>Hermatypic scleractinian corals</t>
  </si>
  <si>
    <t>Non reef building scleractinian corals</t>
  </si>
  <si>
    <t>Soft corals</t>
  </si>
  <si>
    <t>Calcareous algae</t>
  </si>
  <si>
    <t>Anemonies</t>
  </si>
  <si>
    <t>Penaeid shrimps</t>
  </si>
  <si>
    <t>Shrimps and prawns</t>
  </si>
  <si>
    <t>Squid</t>
  </si>
  <si>
    <t>Octopus</t>
  </si>
  <si>
    <t>Sea cucumbers</t>
  </si>
  <si>
    <t>Lobsters</t>
  </si>
  <si>
    <t>Large crabs</t>
  </si>
  <si>
    <t>Small crabs</t>
  </si>
  <si>
    <t>Crown of thorns</t>
  </si>
  <si>
    <t>Giant triton</t>
  </si>
  <si>
    <t>Herbivorous echinoids</t>
  </si>
  <si>
    <t>Bivalves</t>
  </si>
  <si>
    <t>Sessile filter feeders</t>
  </si>
  <si>
    <t>Epifaunal detritivorous invertebrates</t>
  </si>
  <si>
    <t>Epifaunal carnivorous invertebrates</t>
  </si>
  <si>
    <t>Infaunal invertebrates</t>
  </si>
  <si>
    <t>Jellyfish and hydroids</t>
  </si>
  <si>
    <t>Carnivorous zooplankton</t>
  </si>
  <si>
    <t>Large herbivorous zooplankton</t>
  </si>
  <si>
    <t>Small herbivorous zooplankton</t>
  </si>
  <si>
    <t>Phytoplankton</t>
  </si>
  <si>
    <t>Macro algae</t>
  </si>
  <si>
    <t>Sea grass</t>
  </si>
  <si>
    <t>Mangroves</t>
  </si>
  <si>
    <t>Fishery discards</t>
  </si>
  <si>
    <t>Detritus</t>
  </si>
  <si>
    <t>detritus_TerminalBenthic</t>
  </si>
  <si>
    <t>Spear and harpoon</t>
  </si>
  <si>
    <t>Reef gleaning</t>
  </si>
  <si>
    <t>Shore gillnet</t>
  </si>
  <si>
    <t>Driftnet</t>
  </si>
  <si>
    <t>Permanent trap</t>
  </si>
  <si>
    <t>Portable trap</t>
  </si>
  <si>
    <t>Diving spear</t>
  </si>
  <si>
    <t>Diving live fish</t>
  </si>
  <si>
    <t>Diving cyanide</t>
  </si>
  <si>
    <t>Blast fishing</t>
  </si>
  <si>
    <t>Trolling</t>
  </si>
  <si>
    <t>Purse seine</t>
  </si>
  <si>
    <t>Pole and line</t>
  </si>
  <si>
    <t>Set line</t>
  </si>
  <si>
    <t>Lift net</t>
  </si>
  <si>
    <t>Foreign fleet</t>
  </si>
  <si>
    <t>Shrimp trawl</t>
  </si>
  <si>
    <t>Import</t>
  </si>
  <si>
    <t>export</t>
  </si>
  <si>
    <t>sum</t>
  </si>
  <si>
    <t>TOTAL</t>
  </si>
  <si>
    <t>F Spear and harpoon</t>
  </si>
  <si>
    <t>F Reef gleaning</t>
  </si>
  <si>
    <t>F Shore gillnet</t>
  </si>
  <si>
    <t>F Driftnet</t>
  </si>
  <si>
    <t>F Permanent trap</t>
  </si>
  <si>
    <t>F Portable trap</t>
  </si>
  <si>
    <t>F Diving spear</t>
  </si>
  <si>
    <t>F Diving live fish</t>
  </si>
  <si>
    <t>F Diving cyanide</t>
  </si>
  <si>
    <t>F Blast fishing</t>
  </si>
  <si>
    <t>F Trolling</t>
  </si>
  <si>
    <t>F Purse seine</t>
  </si>
  <si>
    <t>F Pole and line</t>
  </si>
  <si>
    <t>F Set line</t>
  </si>
  <si>
    <t>F Lift net</t>
  </si>
  <si>
    <t>F Foreign fleet</t>
  </si>
  <si>
    <t>F Shrimp trawl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</si>
</sst>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26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31AEBF"/>
        <bgColor indexed="64"/>
      </patternFill>
    </fill>
    <fill>
      <patternFill patternType="solid">
        <fgColor rgb="FF9DC729"/>
        <bgColor indexed="64"/>
      </patternFill>
    </fill>
    <fill>
      <patternFill patternType="solid">
        <fgColor rgb="FFCE34F4"/>
        <bgColor indexed="64"/>
      </patternFill>
    </fill>
    <fill>
      <patternFill patternType="solid">
        <fgColor rgb="FF1110CA"/>
        <bgColor indexed="64"/>
      </patternFill>
    </fill>
    <fill>
      <patternFill patternType="solid">
        <fgColor rgb="FF61761E"/>
        <bgColor indexed="64"/>
      </patternFill>
    </fill>
    <fill>
      <patternFill patternType="solid">
        <fgColor rgb="FF1D2C0C"/>
        <bgColor indexed="64"/>
      </patternFill>
    </fill>
    <fill>
      <patternFill patternType="solid">
        <fgColor rgb="FFB6888F"/>
        <bgColor indexed="64"/>
      </patternFill>
    </fill>
    <fill>
      <patternFill patternType="solid">
        <fgColor rgb="FF3777BE"/>
        <bgColor indexed="64"/>
      </patternFill>
    </fill>
    <fill>
      <patternFill patternType="solid">
        <fgColor rgb="FFC066E6"/>
        <bgColor indexed="64"/>
      </patternFill>
    </fill>
    <fill>
      <patternFill patternType="solid">
        <fgColor rgb="FFBE17A2"/>
        <bgColor indexed="64"/>
      </patternFill>
    </fill>
    <fill>
      <patternFill patternType="solid">
        <fgColor rgb="FFB6046E"/>
        <bgColor indexed="64"/>
      </patternFill>
    </fill>
    <fill>
      <patternFill patternType="solid">
        <fgColor rgb="FF6746FB"/>
        <bgColor indexed="64"/>
      </patternFill>
    </fill>
    <fill>
      <patternFill patternType="solid">
        <fgColor rgb="FFCDB26A"/>
        <bgColor indexed="64"/>
      </patternFill>
    </fill>
    <fill>
      <patternFill patternType="solid">
        <fgColor rgb="FFBB475B"/>
        <bgColor indexed="64"/>
      </patternFill>
    </fill>
    <fill>
      <patternFill patternType="solid">
        <fgColor rgb="FF6FF11F"/>
        <bgColor indexed="64"/>
      </patternFill>
    </fill>
    <fill>
      <patternFill patternType="solid">
        <fgColor rgb="FFA5591B"/>
        <bgColor indexed="64"/>
      </patternFill>
    </fill>
    <fill>
      <patternFill patternType="solid">
        <fgColor rgb="FF2F146E"/>
        <bgColor indexed="64"/>
      </patternFill>
    </fill>
    <fill>
      <patternFill patternType="solid">
        <fgColor rgb="FFF58A7E"/>
        <bgColor indexed="64"/>
      </patternFill>
    </fill>
    <fill>
      <patternFill patternType="solid">
        <fgColor rgb="FFF83861"/>
        <bgColor indexed="64"/>
      </patternFill>
    </fill>
    <fill>
      <patternFill patternType="solid">
        <fgColor rgb="FF654880"/>
        <bgColor indexed="64"/>
      </patternFill>
    </fill>
    <fill>
      <patternFill patternType="solid">
        <fgColor rgb="FF2384F6"/>
        <bgColor indexed="64"/>
      </patternFill>
    </fill>
    <fill>
      <patternFill patternType="solid">
        <fgColor rgb="FF8EE8A8"/>
        <bgColor indexed="64"/>
      </patternFill>
    </fill>
    <fill>
      <patternFill patternType="solid">
        <fgColor rgb="FF70B110"/>
        <bgColor indexed="64"/>
      </patternFill>
    </fill>
    <fill>
      <patternFill patternType="solid">
        <fgColor rgb="FFC1B37F"/>
        <bgColor indexed="64"/>
      </patternFill>
    </fill>
    <fill>
      <patternFill patternType="solid">
        <fgColor rgb="FF283953"/>
        <bgColor indexed="64"/>
      </patternFill>
    </fill>
    <fill>
      <patternFill patternType="solid">
        <fgColor rgb="FFC80D84"/>
        <bgColor indexed="64"/>
      </patternFill>
    </fill>
    <fill>
      <patternFill patternType="solid">
        <fgColor rgb="FFC1CC53"/>
        <bgColor indexed="64"/>
      </patternFill>
    </fill>
    <fill>
      <patternFill patternType="solid">
        <fgColor rgb="FFF8CDAC"/>
        <bgColor indexed="64"/>
      </patternFill>
    </fill>
    <fill>
      <patternFill patternType="solid">
        <fgColor rgb="FFE7DF6A"/>
        <bgColor indexed="64"/>
      </patternFill>
    </fill>
    <fill>
      <patternFill patternType="solid">
        <fgColor rgb="FF1FF3CB"/>
        <bgColor indexed="64"/>
      </patternFill>
    </fill>
    <fill>
      <patternFill patternType="solid">
        <fgColor rgb="FFB26604"/>
        <bgColor indexed="64"/>
      </patternFill>
    </fill>
    <fill>
      <patternFill patternType="solid">
        <fgColor rgb="FF2B2A82"/>
        <bgColor indexed="64"/>
      </patternFill>
    </fill>
    <fill>
      <patternFill patternType="solid">
        <fgColor rgb="FF681B46"/>
        <bgColor indexed="64"/>
      </patternFill>
    </fill>
    <fill>
      <patternFill patternType="solid">
        <fgColor rgb="FFA4D97F"/>
        <bgColor indexed="64"/>
      </patternFill>
    </fill>
    <fill>
      <patternFill patternType="solid">
        <fgColor rgb="FF30E55F"/>
        <bgColor indexed="64"/>
      </patternFill>
    </fill>
    <fill>
      <patternFill patternType="solid">
        <fgColor rgb="FF53C538"/>
        <bgColor indexed="64"/>
      </patternFill>
    </fill>
    <fill>
      <patternFill patternType="solid">
        <fgColor rgb="FF723CE0"/>
        <bgColor indexed="64"/>
      </patternFill>
    </fill>
    <fill>
      <patternFill patternType="solid">
        <fgColor rgb="FF9C5F63"/>
        <bgColor indexed="64"/>
      </patternFill>
    </fill>
    <fill>
      <patternFill patternType="solid">
        <fgColor rgb="FFDB95EE"/>
        <bgColor indexed="64"/>
      </patternFill>
    </fill>
    <fill>
      <patternFill patternType="solid">
        <fgColor rgb="FF8454DD"/>
        <bgColor indexed="64"/>
      </patternFill>
    </fill>
    <fill>
      <patternFill patternType="solid">
        <fgColor rgb="FF42422E"/>
        <bgColor indexed="64"/>
      </patternFill>
    </fill>
    <fill>
      <patternFill patternType="solid">
        <fgColor rgb="FFFF84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FF91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FD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FFAB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FF3A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F9FF00"/>
        <bgColor indexed="64"/>
      </patternFill>
    </fill>
    <fill>
      <patternFill patternType="solid">
        <fgColor rgb="FFFFC6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4DFF0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81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6" xfId="0" applyFont="1" applyBorder="1"/>
    <xf numFmtId="0" fontId="0" fillId="0" borderId="18" xfId="0" applyFont="1" applyBorder="1"/>
    <xf numFmtId="0" fontId="10" fillId="0" borderId="19" xfId="0" applyFont="1" applyFill="1" applyBorder="1" applyAlignment="1">
      <alignment horizontal="right" wrapText="1"/>
    </xf>
    <xf numFmtId="0" fontId="0" fillId="0" borderId="17" xfId="0" applyFont="1" applyFill="1" applyBorder="1" applyAlignment="1">
      <alignment horizontal="right"/>
    </xf>
    <xf numFmtId="0" fontId="0" fillId="0" borderId="20" xfId="0" applyFont="1" applyBorder="1"/>
    <xf numFmtId="0" fontId="0" fillId="0" borderId="21" xfId="0" applyFont="1" applyBorder="1"/>
    <xf numFmtId="0" fontId="0" fillId="0" borderId="1" xfId="0" applyFont="1" applyBorder="1"/>
    <xf numFmtId="0" fontId="0" fillId="0" borderId="22" xfId="0" applyFont="1" applyBorder="1"/>
    <xf numFmtId="0" fontId="1" fillId="0" borderId="24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0" xfId="0" applyBorder="1" applyAlignment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49" fontId="0" fillId="0" borderId="25" xfId="0" applyNumberFormat="1" applyBorder="1"/>
    <xf numFmtId="49" fontId="0" fillId="0" borderId="26" xfId="0" applyNumberFormat="1" applyBorder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723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0" t="s">
        <v>171</v>
      </c>
      <c r="C53" s="114">
        <v>400</v>
      </c>
      <c r="D53" s="114"/>
    </row>
    <row r="54" spans="2:4" x14ac:dyDescent="0.15">
      <c r="B54" s="180" t="s">
        <v>172</v>
      </c>
      <c r="C54" s="180" t="s">
        <v>185</v>
      </c>
      <c r="D54" s="114"/>
    </row>
    <row r="55" spans="2:4" x14ac:dyDescent="0.15">
      <c r="B55" s="180" t="s">
        <v>173</v>
      </c>
      <c r="C55" s="180" t="s">
        <v>186</v>
      </c>
      <c r="D55" s="114"/>
    </row>
    <row r="56" spans="2:4" x14ac:dyDescent="0.15">
      <c r="B56" s="180" t="s">
        <v>174</v>
      </c>
      <c r="C56" s="114">
        <v>45000</v>
      </c>
      <c r="D56" s="114"/>
    </row>
    <row r="57" spans="2:4" x14ac:dyDescent="0.15">
      <c r="B57" s="180" t="s">
        <v>175</v>
      </c>
      <c r="C57" s="180" t="s">
        <v>187</v>
      </c>
      <c r="D57" s="114"/>
    </row>
    <row r="58" spans="2:4" x14ac:dyDescent="0.15">
      <c r="B58" s="180" t="s">
        <v>176</v>
      </c>
      <c r="C58" s="180" t="s">
        <v>188</v>
      </c>
      <c r="D58" s="114"/>
    </row>
    <row r="59" spans="2:4" x14ac:dyDescent="0.15">
      <c r="B59" s="180" t="s">
        <v>177</v>
      </c>
      <c r="C59" s="180" t="s">
        <v>189</v>
      </c>
      <c r="D59" s="114"/>
    </row>
    <row r="60" spans="2:4" x14ac:dyDescent="0.15">
      <c r="B60" s="180" t="s">
        <v>178</v>
      </c>
      <c r="C60" s="180" t="s">
        <v>190</v>
      </c>
      <c r="D60" s="114"/>
    </row>
    <row r="61" spans="2:4" x14ac:dyDescent="0.15">
      <c r="B61" s="180" t="s">
        <v>179</v>
      </c>
      <c r="C61" s="114">
        <v>98</v>
      </c>
      <c r="D61" s="114"/>
    </row>
    <row r="62" spans="2:4" x14ac:dyDescent="0.15">
      <c r="B62" s="180" t="s">
        <v>180</v>
      </c>
      <c r="C62" s="114">
        <v>17</v>
      </c>
      <c r="D62" s="114"/>
    </row>
    <row r="63" spans="2:4" x14ac:dyDescent="0.15">
      <c r="B63" s="180" t="s">
        <v>181</v>
      </c>
      <c r="C63" s="114">
        <v>1990</v>
      </c>
      <c r="D63" s="114"/>
    </row>
    <row r="64" spans="2:4" x14ac:dyDescent="0.15">
      <c r="B64" s="180" t="s">
        <v>182</v>
      </c>
      <c r="C64" s="114">
        <v>1</v>
      </c>
      <c r="D64" s="114"/>
    </row>
    <row r="65" spans="2:4" x14ac:dyDescent="0.15">
      <c r="B65" s="180" t="s">
        <v>183</v>
      </c>
      <c r="C65" s="180" t="s">
        <v>191</v>
      </c>
      <c r="D65" s="114"/>
    </row>
    <row r="66" spans="2:4" x14ac:dyDescent="0.15">
      <c r="B66" s="180" t="s">
        <v>184</v>
      </c>
      <c r="D66" s="114"/>
    </row>
    <row r="67" spans="2:4" x14ac:dyDescent="0.15">
      <c r="B67" s="114"/>
      <c r="C67" s="114"/>
      <c r="D67" s="114"/>
    </row>
    <row r="68" spans="2:4" x14ac:dyDescent="0.15">
      <c r="B68" s="114"/>
      <c r="C68" s="114"/>
      <c r="D68" s="114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7" sqref="P7"/>
    </sheetView>
  </sheetViews>
  <sheetFormatPr baseColWidth="10" defaultColWidth="8.83203125" defaultRowHeight="15" customHeight="1" x14ac:dyDescent="0.15"/>
  <cols>
    <col min="1" max="1" width="22.5" style="86" customWidth="1"/>
    <col min="2" max="2" width="3.33203125" style="86" customWidth="1"/>
    <col min="3" max="3" width="4.33203125" style="86" customWidth="1"/>
    <col min="4" max="4" width="14.33203125" style="86" customWidth="1"/>
    <col min="5" max="5" width="31.5" style="86" bestFit="1" customWidth="1"/>
    <col min="6" max="6" width="3.83203125" style="86" bestFit="1" customWidth="1"/>
    <col min="7" max="7" width="12.83203125" style="86" bestFit="1" customWidth="1"/>
    <col min="8" max="10" width="12.83203125" style="86" customWidth="1"/>
    <col min="11" max="11" width="13.83203125" style="86" customWidth="1"/>
    <col min="12" max="12" width="13.5" style="86" customWidth="1"/>
    <col min="13" max="13" width="3.83203125" style="86" customWidth="1"/>
    <col min="14" max="14" width="2.33203125" style="86" customWidth="1"/>
    <col min="16" max="25" width="8.83203125" style="86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6"/>
  </cols>
  <sheetData>
    <row r="1" spans="1:46" s="102" customFormat="1" ht="15" customHeight="1" x14ac:dyDescent="0.15">
      <c r="A1" s="82" t="s">
        <v>18</v>
      </c>
      <c r="C1" s="83" t="s">
        <v>8</v>
      </c>
      <c r="D1" s="82" t="s">
        <v>23</v>
      </c>
      <c r="E1" s="82" t="s">
        <v>0</v>
      </c>
      <c r="F1" s="82" t="s">
        <v>7</v>
      </c>
      <c r="G1" s="84" t="s">
        <v>13</v>
      </c>
      <c r="H1" s="82" t="s">
        <v>1</v>
      </c>
      <c r="I1" s="82" t="s">
        <v>2</v>
      </c>
      <c r="J1" s="82" t="s">
        <v>14</v>
      </c>
      <c r="K1" s="82" t="s">
        <v>3</v>
      </c>
      <c r="L1" s="82" t="s">
        <v>4</v>
      </c>
      <c r="M1" s="82" t="s">
        <v>5</v>
      </c>
      <c r="N1" s="82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2">
        <v>1</v>
      </c>
      <c r="D2"/>
      <c r="E2" s="181" t="s">
        <v>192</v>
      </c>
      <c r="F2" s="86">
        <v>0</v>
      </c>
      <c r="G2" s="86">
        <v>3.2924000000000002E-2</v>
      </c>
      <c r="H2" s="86">
        <v>5.5E-2</v>
      </c>
      <c r="I2" s="6">
        <v>4.8499999999999996</v>
      </c>
      <c r="J2" s="6">
        <v>3.1808864300000003E-2</v>
      </c>
      <c r="K2" s="6">
        <v>1.13402065E-2</v>
      </c>
      <c r="L2" s="6">
        <v>0</v>
      </c>
      <c r="M2" s="86">
        <v>0.2</v>
      </c>
      <c r="N2" s="86">
        <v>0</v>
      </c>
    </row>
    <row r="3" spans="1:46" ht="15" customHeight="1" x14ac:dyDescent="0.15">
      <c r="A3" s="1" t="s">
        <v>9</v>
      </c>
      <c r="B3" s="4">
        <v>96</v>
      </c>
      <c r="C3" s="86">
        <v>2</v>
      </c>
      <c r="D3"/>
      <c r="E3" s="181" t="s">
        <v>193</v>
      </c>
      <c r="F3" s="86">
        <v>0</v>
      </c>
      <c r="G3" s="86">
        <v>5.1736999999999998E-2</v>
      </c>
      <c r="H3" s="86">
        <v>3.5000000000000003E-2</v>
      </c>
      <c r="I3" s="86">
        <v>6.1045312899999997</v>
      </c>
      <c r="J3" s="86">
        <v>3.1809303900000002E-2</v>
      </c>
      <c r="K3" s="86">
        <v>5.7334457499999998E-3</v>
      </c>
      <c r="L3" s="86">
        <v>0</v>
      </c>
      <c r="M3" s="86">
        <v>0.2</v>
      </c>
      <c r="N3" s="86">
        <v>0</v>
      </c>
    </row>
    <row r="4" spans="1:46" ht="15" customHeight="1" x14ac:dyDescent="0.15">
      <c r="A4" s="1" t="s">
        <v>10</v>
      </c>
      <c r="B4" s="4">
        <v>3</v>
      </c>
      <c r="C4" s="86">
        <v>3</v>
      </c>
      <c r="D4"/>
      <c r="E4" s="181" t="s">
        <v>194</v>
      </c>
      <c r="F4" s="86">
        <v>0</v>
      </c>
      <c r="G4" s="86">
        <v>9.0539999999999995E-2</v>
      </c>
      <c r="H4" s="86">
        <v>0.02</v>
      </c>
      <c r="I4" s="86">
        <v>3.5990157100000002</v>
      </c>
      <c r="J4" s="86">
        <v>3.1809214500000002E-2</v>
      </c>
      <c r="K4" s="86">
        <v>5.5570746800000003E-3</v>
      </c>
      <c r="L4" s="86">
        <v>0</v>
      </c>
      <c r="M4" s="86">
        <v>0.2</v>
      </c>
      <c r="N4" s="86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17</v>
      </c>
      <c r="C5" s="86">
        <v>4</v>
      </c>
      <c r="D5"/>
      <c r="E5" s="181" t="s">
        <v>195</v>
      </c>
      <c r="F5" s="86">
        <v>0</v>
      </c>
      <c r="G5" s="86">
        <v>5.3999999999999999E-2</v>
      </c>
      <c r="H5" s="86">
        <v>2.5000000000000001E-2</v>
      </c>
      <c r="I5" s="86">
        <v>9.5869999999999997</v>
      </c>
      <c r="J5" s="86">
        <v>0.74074070000000003</v>
      </c>
      <c r="K5" s="86">
        <v>2.6076979999999999E-3</v>
      </c>
      <c r="L5" s="86">
        <v>0</v>
      </c>
      <c r="M5" s="86">
        <v>0.2</v>
      </c>
      <c r="N5" s="86">
        <v>0</v>
      </c>
      <c r="P5" s="73"/>
      <c r="Q5" s="73"/>
      <c r="R5" s="73"/>
    </row>
    <row r="6" spans="1:46" ht="15" customHeight="1" thickBot="1" x14ac:dyDescent="0.2">
      <c r="B6" s="1"/>
      <c r="C6" s="86">
        <v>5</v>
      </c>
      <c r="D6"/>
      <c r="E6" s="181" t="s">
        <v>196</v>
      </c>
      <c r="F6" s="86">
        <v>0</v>
      </c>
      <c r="G6" s="86">
        <v>0.36599999999999999</v>
      </c>
      <c r="H6" s="86">
        <v>0.38100000000000001</v>
      </c>
      <c r="I6" s="86">
        <v>63.948999999999998</v>
      </c>
      <c r="J6" s="86">
        <v>1.74073111E-2</v>
      </c>
      <c r="K6" s="86">
        <v>5.9578726099999996E-3</v>
      </c>
      <c r="L6" s="86">
        <v>0</v>
      </c>
      <c r="M6" s="86">
        <v>0.2</v>
      </c>
      <c r="N6" s="86">
        <v>0</v>
      </c>
      <c r="P6" s="73"/>
      <c r="Q6" s="73"/>
      <c r="R6" s="73"/>
      <c r="W6" s="36" t="s">
        <v>31</v>
      </c>
      <c r="X6" s="52">
        <f>MAX(MainOutputs!G:G)</f>
        <v>0.9995884895324707</v>
      </c>
    </row>
    <row r="7" spans="1:46" ht="15" customHeight="1" x14ac:dyDescent="0.15">
      <c r="A7" s="2" t="s">
        <v>27</v>
      </c>
      <c r="B7" s="86">
        <f ca="1">COUNTIF(OFFSET(cornerDiets,1,1,NumLiving+NumDead+1,NumLiving+NumDead),"&gt;0")+NumLiving+NumDead+1</f>
        <v>2570</v>
      </c>
      <c r="C7" s="86">
        <v>6</v>
      </c>
      <c r="D7"/>
      <c r="E7" s="181" t="s">
        <v>197</v>
      </c>
      <c r="F7" s="86">
        <v>0</v>
      </c>
      <c r="G7" s="86">
        <v>4.3228999999999997E-2</v>
      </c>
      <c r="H7" s="86">
        <v>0.1</v>
      </c>
      <c r="I7" s="86">
        <v>3</v>
      </c>
      <c r="J7" s="86">
        <v>0.99958849999999999</v>
      </c>
      <c r="K7" s="86">
        <v>3.33333351E-2</v>
      </c>
      <c r="L7" s="86">
        <v>0</v>
      </c>
      <c r="M7" s="86">
        <v>0.2</v>
      </c>
      <c r="N7" s="86">
        <v>0</v>
      </c>
      <c r="P7" s="73"/>
      <c r="Q7" s="73"/>
      <c r="R7" s="73"/>
    </row>
    <row r="8" spans="1:46" ht="15" customHeight="1" x14ac:dyDescent="0.15">
      <c r="A8" s="2" t="s">
        <v>28</v>
      </c>
      <c r="B8" s="86">
        <f ca="1">COUNTIF(OFFSET(cornerFishing,1,2,NumLiving+NumDead,NumGears),"&gt;0")+NumDead*COUNTIF(OFFSET(cornerDiscards,1,2,NumLiving+NumDead,NumGears),"&gt;0")+NumLiving+NumDead+1</f>
        <v>446</v>
      </c>
      <c r="C8" s="86">
        <v>7</v>
      </c>
      <c r="D8"/>
      <c r="E8" s="181" t="s">
        <v>198</v>
      </c>
      <c r="F8" s="86">
        <v>0</v>
      </c>
      <c r="G8" s="86">
        <v>8.1666000000000002E-2</v>
      </c>
      <c r="H8" s="86">
        <v>0.03</v>
      </c>
      <c r="I8" s="86">
        <v>3</v>
      </c>
      <c r="J8" s="86">
        <v>0.51434034100000003</v>
      </c>
      <c r="K8" s="86">
        <v>0.01</v>
      </c>
      <c r="L8" s="86">
        <v>0</v>
      </c>
      <c r="M8" s="86">
        <v>0.2</v>
      </c>
      <c r="N8" s="86">
        <v>0</v>
      </c>
      <c r="P8" s="73"/>
      <c r="Q8" s="73"/>
      <c r="R8" s="73"/>
    </row>
    <row r="9" spans="1:46" ht="15" customHeight="1" x14ac:dyDescent="0.15">
      <c r="B9" s="1"/>
      <c r="C9" s="86">
        <v>8</v>
      </c>
      <c r="D9"/>
      <c r="E9" s="181" t="s">
        <v>199</v>
      </c>
      <c r="F9" s="86">
        <v>0</v>
      </c>
      <c r="G9" s="86">
        <v>8.6566000000000004E-2</v>
      </c>
      <c r="H9" s="86">
        <v>0.03</v>
      </c>
      <c r="I9" s="86">
        <v>3</v>
      </c>
      <c r="J9" s="86">
        <v>0.45057088099999998</v>
      </c>
      <c r="K9" s="86">
        <v>0.01</v>
      </c>
      <c r="L9" s="86">
        <v>0</v>
      </c>
      <c r="M9" s="86">
        <v>0.2</v>
      </c>
      <c r="N9" s="86">
        <v>0</v>
      </c>
      <c r="P9" s="73"/>
      <c r="Q9" s="73"/>
      <c r="R9" s="73"/>
    </row>
    <row r="10" spans="1:46" ht="15" customHeight="1" x14ac:dyDescent="0.15">
      <c r="B10" s="1"/>
      <c r="C10" s="86">
        <v>9</v>
      </c>
      <c r="D10"/>
      <c r="E10" s="181" t="s">
        <v>200</v>
      </c>
      <c r="F10" s="86">
        <v>0</v>
      </c>
      <c r="G10" s="86">
        <v>1.3270000000000001E-3</v>
      </c>
      <c r="H10" s="86">
        <v>0.40786499999999998</v>
      </c>
      <c r="I10" s="86">
        <v>6.5</v>
      </c>
      <c r="J10" s="86">
        <v>0.60380409999999995</v>
      </c>
      <c r="K10" s="86">
        <v>6.2748460000000006E-2</v>
      </c>
      <c r="L10" s="86">
        <v>0</v>
      </c>
      <c r="M10" s="86">
        <v>0.2</v>
      </c>
      <c r="N10" s="86">
        <v>0</v>
      </c>
    </row>
    <row r="11" spans="1:46" ht="15" customHeight="1" x14ac:dyDescent="0.15">
      <c r="C11" s="86">
        <v>10</v>
      </c>
      <c r="D11"/>
      <c r="E11" s="181" t="s">
        <v>201</v>
      </c>
      <c r="F11" s="86">
        <v>0</v>
      </c>
      <c r="G11" s="86">
        <v>0.8</v>
      </c>
      <c r="H11" s="86">
        <v>0.16</v>
      </c>
      <c r="I11" s="86">
        <v>9.0860000000000003</v>
      </c>
      <c r="J11" s="86">
        <v>0.69461349999999999</v>
      </c>
      <c r="K11" s="86">
        <v>1.7609508699999998E-2</v>
      </c>
      <c r="L11" s="86">
        <v>-5.00000045E-2</v>
      </c>
      <c r="M11" s="86">
        <v>0.2</v>
      </c>
      <c r="N11" s="86">
        <v>0</v>
      </c>
    </row>
    <row r="12" spans="1:46" ht="15" customHeight="1" x14ac:dyDescent="0.15">
      <c r="C12" s="86">
        <v>11</v>
      </c>
      <c r="D12"/>
      <c r="E12" s="181" t="s">
        <v>202</v>
      </c>
      <c r="F12" s="86">
        <v>0</v>
      </c>
      <c r="G12" s="86">
        <v>9.159043E-2</v>
      </c>
      <c r="H12" s="86">
        <v>0.4</v>
      </c>
      <c r="I12" s="86">
        <v>17.073253600000001</v>
      </c>
      <c r="J12" s="86">
        <v>0.48752641699999999</v>
      </c>
      <c r="K12" s="86">
        <v>2.3428458700000002E-2</v>
      </c>
      <c r="L12" s="86">
        <v>-2.99999975E-2</v>
      </c>
      <c r="M12" s="86">
        <v>0.2</v>
      </c>
      <c r="N12" s="86">
        <v>0</v>
      </c>
    </row>
    <row r="13" spans="1:46" ht="15" customHeight="1" x14ac:dyDescent="0.15">
      <c r="C13" s="86">
        <v>12</v>
      </c>
      <c r="D13"/>
      <c r="E13" s="181" t="s">
        <v>203</v>
      </c>
      <c r="F13" s="86">
        <v>0</v>
      </c>
      <c r="G13" s="86">
        <v>1.8492959999999999E-2</v>
      </c>
      <c r="H13" s="86">
        <v>1.2</v>
      </c>
      <c r="I13" s="86">
        <v>38.844259999999998</v>
      </c>
      <c r="J13" s="86">
        <v>0.41949704300000001</v>
      </c>
      <c r="K13" s="86">
        <v>3.0892595599999999E-2</v>
      </c>
      <c r="L13" s="86">
        <v>-3.0000001200000001E-2</v>
      </c>
      <c r="M13" s="86">
        <v>0.2</v>
      </c>
      <c r="N13" s="86">
        <v>0</v>
      </c>
    </row>
    <row r="14" spans="1:46" ht="15" customHeight="1" x14ac:dyDescent="0.15">
      <c r="C14" s="86">
        <v>13</v>
      </c>
      <c r="D14"/>
      <c r="E14" s="181" t="s">
        <v>204</v>
      </c>
      <c r="F14" s="86">
        <v>0</v>
      </c>
      <c r="G14" s="86">
        <v>0.5</v>
      </c>
      <c r="H14" s="86">
        <v>0.28999999999999998</v>
      </c>
      <c r="I14" s="86">
        <v>7.1050000000000004</v>
      </c>
      <c r="J14" s="86">
        <v>0.5612798</v>
      </c>
      <c r="K14" s="86">
        <v>4.0816325700000003E-2</v>
      </c>
      <c r="L14" s="86">
        <v>0</v>
      </c>
      <c r="M14" s="86">
        <v>0.2</v>
      </c>
      <c r="N14" s="86">
        <v>0</v>
      </c>
    </row>
    <row r="15" spans="1:46" ht="15" customHeight="1" x14ac:dyDescent="0.15">
      <c r="C15" s="86">
        <v>14</v>
      </c>
      <c r="D15"/>
      <c r="E15" s="181" t="s">
        <v>205</v>
      </c>
      <c r="F15" s="86">
        <v>0</v>
      </c>
      <c r="G15" s="86">
        <v>0.27738606900000001</v>
      </c>
      <c r="H15" s="86">
        <v>1.1000000000000001</v>
      </c>
      <c r="I15" s="86">
        <v>11.200173400000001</v>
      </c>
      <c r="J15" s="86">
        <v>0.58597560000000004</v>
      </c>
      <c r="K15" s="86">
        <v>9.8212770000000005E-2</v>
      </c>
      <c r="L15" s="86">
        <v>0</v>
      </c>
      <c r="M15" s="86">
        <v>0.2</v>
      </c>
      <c r="N15" s="86">
        <v>0</v>
      </c>
    </row>
    <row r="16" spans="1:46" ht="15" customHeight="1" x14ac:dyDescent="0.15">
      <c r="C16" s="86">
        <v>15</v>
      </c>
      <c r="D16"/>
      <c r="E16" s="181" t="s">
        <v>206</v>
      </c>
      <c r="F16" s="86">
        <v>0</v>
      </c>
      <c r="G16" s="86">
        <v>0.23275221900000001</v>
      </c>
      <c r="H16" s="86">
        <v>1.4470000000000001</v>
      </c>
      <c r="I16" s="86">
        <v>21.782373400000001</v>
      </c>
      <c r="J16" s="86">
        <v>0.46460214300000002</v>
      </c>
      <c r="K16" s="86">
        <v>6.6429859999999993E-2</v>
      </c>
      <c r="L16" s="86">
        <v>0</v>
      </c>
      <c r="M16" s="86">
        <v>0.2</v>
      </c>
      <c r="N16" s="86">
        <v>0</v>
      </c>
    </row>
    <row r="17" spans="1:22" ht="15" customHeight="1" x14ac:dyDescent="0.15">
      <c r="C17" s="86">
        <v>16</v>
      </c>
      <c r="D17"/>
      <c r="E17" s="181" t="s">
        <v>207</v>
      </c>
      <c r="F17" s="86">
        <v>0</v>
      </c>
      <c r="G17" s="86">
        <v>0.2</v>
      </c>
      <c r="H17" s="86">
        <v>0.4</v>
      </c>
      <c r="I17" s="86">
        <v>8.9</v>
      </c>
      <c r="J17" s="86">
        <v>0.63464194500000004</v>
      </c>
      <c r="K17" s="86">
        <v>4.4943824399999999E-2</v>
      </c>
      <c r="L17" s="86">
        <v>0</v>
      </c>
      <c r="M17" s="86">
        <v>0.2</v>
      </c>
      <c r="N17" s="86">
        <v>0</v>
      </c>
      <c r="V17" s="1" t="s">
        <v>30</v>
      </c>
    </row>
    <row r="18" spans="1:22" ht="15" customHeight="1" x14ac:dyDescent="0.15">
      <c r="C18" s="86">
        <v>17</v>
      </c>
      <c r="D18"/>
      <c r="E18" s="181" t="s">
        <v>208</v>
      </c>
      <c r="F18" s="86">
        <v>0</v>
      </c>
      <c r="G18" s="86">
        <v>0.29624610000000001</v>
      </c>
      <c r="H18" s="86">
        <v>0.5</v>
      </c>
      <c r="I18" s="86">
        <v>13.057422600000001</v>
      </c>
      <c r="J18" s="86">
        <v>0.62304579999999998</v>
      </c>
      <c r="K18" s="86">
        <v>3.8292396800000003E-2</v>
      </c>
      <c r="L18" s="86">
        <v>0</v>
      </c>
      <c r="M18" s="86">
        <v>0.2</v>
      </c>
      <c r="N18" s="86">
        <v>0</v>
      </c>
      <c r="V18" s="1"/>
    </row>
    <row r="19" spans="1:22" ht="15" customHeight="1" x14ac:dyDescent="0.15">
      <c r="C19" s="86">
        <v>18</v>
      </c>
      <c r="D19"/>
      <c r="E19" s="181" t="s">
        <v>209</v>
      </c>
      <c r="F19" s="86">
        <v>0</v>
      </c>
      <c r="G19" s="86">
        <v>5.6924372899999999E-2</v>
      </c>
      <c r="H19" s="86">
        <v>1.2</v>
      </c>
      <c r="I19" s="86">
        <v>30.057379999999998</v>
      </c>
      <c r="J19" s="86">
        <v>0.34772127899999999</v>
      </c>
      <c r="K19" s="86">
        <v>3.9923640000000003E-2</v>
      </c>
      <c r="L19" s="86">
        <v>0</v>
      </c>
      <c r="M19" s="86">
        <v>0.2</v>
      </c>
      <c r="N19" s="86">
        <v>0</v>
      </c>
    </row>
    <row r="20" spans="1:22" ht="15" customHeight="1" thickBot="1" x14ac:dyDescent="0.2">
      <c r="C20" s="86">
        <v>19</v>
      </c>
      <c r="D20"/>
      <c r="E20" s="181" t="s">
        <v>210</v>
      </c>
      <c r="F20" s="86">
        <v>0</v>
      </c>
      <c r="G20" s="86">
        <v>3.1880066399999998</v>
      </c>
      <c r="H20" s="86">
        <v>1.7</v>
      </c>
      <c r="I20" s="86">
        <v>6.6435000000000004</v>
      </c>
      <c r="J20" s="86">
        <v>0.43068096</v>
      </c>
      <c r="K20" s="86">
        <v>0.25588923699999999</v>
      </c>
      <c r="L20" s="86">
        <v>0</v>
      </c>
      <c r="M20" s="86">
        <v>0.2</v>
      </c>
      <c r="N20" s="86">
        <v>0</v>
      </c>
    </row>
    <row r="21" spans="1:22" ht="15" customHeight="1" thickBot="1" x14ac:dyDescent="0.2">
      <c r="A21" s="47" t="s">
        <v>137</v>
      </c>
      <c r="B21" s="103"/>
      <c r="C21" s="86">
        <v>20</v>
      </c>
      <c r="D21"/>
      <c r="E21" s="181" t="s">
        <v>211</v>
      </c>
      <c r="F21" s="86">
        <v>0</v>
      </c>
      <c r="G21" s="86">
        <v>2.5170207000000002</v>
      </c>
      <c r="H21" s="86">
        <v>1</v>
      </c>
      <c r="I21" s="86">
        <v>4.6929999999999996</v>
      </c>
      <c r="J21" s="86">
        <v>0.61771509999999996</v>
      </c>
      <c r="K21" s="86">
        <v>0.21308332699999999</v>
      </c>
      <c r="L21" s="86">
        <v>0</v>
      </c>
      <c r="M21" s="86">
        <v>0.2</v>
      </c>
      <c r="N21" s="86">
        <v>0</v>
      </c>
    </row>
    <row r="22" spans="1:22" ht="15" customHeight="1" x14ac:dyDescent="0.15">
      <c r="A22" s="104" t="s">
        <v>58</v>
      </c>
      <c r="B22" s="105">
        <v>0</v>
      </c>
      <c r="C22" s="86">
        <v>21</v>
      </c>
      <c r="D22"/>
      <c r="E22" s="181" t="s">
        <v>212</v>
      </c>
      <c r="F22" s="86">
        <v>0</v>
      </c>
      <c r="G22" s="86">
        <v>9.8491690000000007E-2</v>
      </c>
      <c r="H22" s="86">
        <v>2.91</v>
      </c>
      <c r="I22" s="86">
        <v>9.7114999999999991</v>
      </c>
      <c r="J22" s="86">
        <v>0.95560294400000001</v>
      </c>
      <c r="K22" s="86">
        <v>0.29964476800000001</v>
      </c>
      <c r="L22" s="86">
        <v>0</v>
      </c>
      <c r="M22" s="86">
        <v>0.2</v>
      </c>
      <c r="N22" s="86">
        <v>0</v>
      </c>
    </row>
    <row r="23" spans="1:22" ht="15" customHeight="1" x14ac:dyDescent="0.15">
      <c r="A23" s="104" t="s">
        <v>59</v>
      </c>
      <c r="B23" s="105">
        <v>1</v>
      </c>
      <c r="C23" s="86">
        <v>22</v>
      </c>
      <c r="D23"/>
      <c r="E23" s="181" t="s">
        <v>213</v>
      </c>
      <c r="F23" s="86">
        <v>0</v>
      </c>
      <c r="G23" s="86">
        <v>0.82498000000000005</v>
      </c>
      <c r="H23" s="86">
        <v>0.5</v>
      </c>
      <c r="I23" s="86">
        <v>2</v>
      </c>
      <c r="J23" s="86">
        <v>0.40070080000000002</v>
      </c>
      <c r="K23" s="86">
        <v>0.25</v>
      </c>
      <c r="L23" s="86">
        <v>0</v>
      </c>
      <c r="M23" s="86">
        <v>0.2</v>
      </c>
      <c r="N23" s="86">
        <v>0</v>
      </c>
    </row>
    <row r="24" spans="1:22" ht="15" customHeight="1" x14ac:dyDescent="0.15">
      <c r="A24" s="104" t="s">
        <v>60</v>
      </c>
      <c r="B24" s="105">
        <v>2</v>
      </c>
      <c r="C24" s="86">
        <v>23</v>
      </c>
      <c r="D24"/>
      <c r="E24" s="181" t="s">
        <v>214</v>
      </c>
      <c r="F24" s="86">
        <v>0</v>
      </c>
      <c r="G24" s="86">
        <v>3.5999999999999997E-2</v>
      </c>
      <c r="H24" s="86">
        <v>0.28000000000000003</v>
      </c>
      <c r="I24" s="86">
        <v>3.3029999999999999</v>
      </c>
      <c r="J24" s="86">
        <v>0.89794770000000002</v>
      </c>
      <c r="K24" s="86">
        <v>8.4771424499999998E-2</v>
      </c>
      <c r="L24" s="86">
        <v>0</v>
      </c>
      <c r="M24" s="86">
        <v>0.2</v>
      </c>
      <c r="N24" s="86">
        <v>0</v>
      </c>
    </row>
    <row r="25" spans="1:22" ht="15" customHeight="1" thickBot="1" x14ac:dyDescent="0.2">
      <c r="A25" s="106" t="s">
        <v>44</v>
      </c>
      <c r="B25" s="107">
        <v>3</v>
      </c>
      <c r="C25" s="86">
        <v>24</v>
      </c>
      <c r="D25"/>
      <c r="E25" s="181" t="s">
        <v>215</v>
      </c>
      <c r="F25" s="86">
        <v>0</v>
      </c>
      <c r="G25" s="86">
        <v>8.6044780000000005E-3</v>
      </c>
      <c r="H25" s="86">
        <v>0.7</v>
      </c>
      <c r="I25" s="86">
        <v>7.6366157499999998</v>
      </c>
      <c r="J25" s="86">
        <v>0.447249383</v>
      </c>
      <c r="K25" s="86">
        <v>9.1663636300000004E-2</v>
      </c>
      <c r="L25" s="86">
        <v>0</v>
      </c>
      <c r="M25" s="86">
        <v>0.2</v>
      </c>
      <c r="N25" s="86">
        <v>0</v>
      </c>
    </row>
    <row r="26" spans="1:22" ht="15" customHeight="1" x14ac:dyDescent="0.15">
      <c r="A26" s="108" t="s">
        <v>140</v>
      </c>
      <c r="C26" s="86">
        <v>25</v>
      </c>
      <c r="D26"/>
      <c r="E26" s="181" t="s">
        <v>216</v>
      </c>
      <c r="F26" s="86">
        <v>0</v>
      </c>
      <c r="G26" s="86">
        <v>0.08</v>
      </c>
      <c r="H26" s="86">
        <v>0.6</v>
      </c>
      <c r="I26" s="86">
        <v>3.6</v>
      </c>
      <c r="J26" s="86">
        <v>0.64206373699999997</v>
      </c>
      <c r="K26" s="86">
        <v>0.16666667199999999</v>
      </c>
      <c r="L26" s="86">
        <v>-5.00000045E-2</v>
      </c>
      <c r="M26" s="86">
        <v>0.2</v>
      </c>
      <c r="N26" s="86">
        <v>0</v>
      </c>
    </row>
    <row r="27" spans="1:22" ht="15" customHeight="1" x14ac:dyDescent="0.15">
      <c r="C27" s="86">
        <v>26</v>
      </c>
      <c r="D27"/>
      <c r="E27" s="181" t="s">
        <v>217</v>
      </c>
      <c r="F27" s="86">
        <v>0</v>
      </c>
      <c r="G27" s="86">
        <v>8.5109249999999997E-2</v>
      </c>
      <c r="H27" s="86">
        <v>0.9</v>
      </c>
      <c r="I27" s="86">
        <v>5.9137635199999998</v>
      </c>
      <c r="J27" s="86">
        <v>0.60803425300000002</v>
      </c>
      <c r="K27" s="86">
        <v>0.152187347</v>
      </c>
      <c r="L27" s="86">
        <v>0</v>
      </c>
      <c r="M27" s="86">
        <v>0.2</v>
      </c>
      <c r="N27" s="86">
        <v>0</v>
      </c>
    </row>
    <row r="28" spans="1:22" ht="15" customHeight="1" x14ac:dyDescent="0.15">
      <c r="C28" s="86">
        <v>27</v>
      </c>
      <c r="D28"/>
      <c r="E28" s="181" t="s">
        <v>218</v>
      </c>
      <c r="F28" s="86">
        <v>0</v>
      </c>
      <c r="G28" s="86">
        <v>8.0000000000000002E-3</v>
      </c>
      <c r="H28" s="86">
        <v>1.2</v>
      </c>
      <c r="I28" s="86">
        <v>4</v>
      </c>
      <c r="J28" s="86">
        <v>0.88103973899999999</v>
      </c>
      <c r="K28" s="86">
        <v>0.3</v>
      </c>
      <c r="L28" s="86">
        <v>-0.01</v>
      </c>
      <c r="M28" s="86">
        <v>0.2</v>
      </c>
      <c r="N28" s="86">
        <v>0</v>
      </c>
    </row>
    <row r="29" spans="1:22" customFormat="1" ht="15" customHeight="1" x14ac:dyDescent="0.15">
      <c r="C29" s="86">
        <v>28</v>
      </c>
      <c r="E29" s="181" t="s">
        <v>219</v>
      </c>
      <c r="F29" s="86">
        <v>0</v>
      </c>
      <c r="G29" s="86">
        <v>4.9770552699999998E-2</v>
      </c>
      <c r="H29" s="86">
        <v>2.4319999999999999</v>
      </c>
      <c r="I29" s="86">
        <v>6.64809275</v>
      </c>
      <c r="J29" s="86">
        <v>0.95082219999999995</v>
      </c>
      <c r="K29" s="86">
        <v>0.36581920000000001</v>
      </c>
      <c r="L29" s="86">
        <v>0</v>
      </c>
      <c r="M29" s="86">
        <v>0.2</v>
      </c>
      <c r="N29" s="86">
        <v>0</v>
      </c>
    </row>
    <row r="30" spans="1:22" customFormat="1" ht="15" customHeight="1" x14ac:dyDescent="0.15">
      <c r="C30" s="86">
        <v>29</v>
      </c>
      <c r="E30" s="181" t="s">
        <v>220</v>
      </c>
      <c r="F30" s="86">
        <v>0</v>
      </c>
      <c r="G30" s="86">
        <v>3.042E-3</v>
      </c>
      <c r="H30" s="86">
        <v>6.8446844800000003E-2</v>
      </c>
      <c r="I30" s="86">
        <v>0.22819999999999999</v>
      </c>
      <c r="J30" s="86">
        <v>2.76637375E-2</v>
      </c>
      <c r="K30" s="86">
        <v>0.29994234400000003</v>
      </c>
      <c r="L30" s="86">
        <v>0</v>
      </c>
      <c r="M30" s="86">
        <v>0.2</v>
      </c>
      <c r="N30" s="86">
        <v>0</v>
      </c>
    </row>
    <row r="31" spans="1:22" customFormat="1" ht="15" customHeight="1" x14ac:dyDescent="0.15">
      <c r="C31" s="86">
        <v>30</v>
      </c>
      <c r="E31" s="181" t="s">
        <v>221</v>
      </c>
      <c r="F31" s="86">
        <v>0</v>
      </c>
      <c r="G31" s="86">
        <v>3.0179999999999998E-3</v>
      </c>
      <c r="H31" s="86">
        <v>0.6</v>
      </c>
      <c r="I31" s="86">
        <v>2</v>
      </c>
      <c r="J31" s="86">
        <v>3.1809214500000002E-2</v>
      </c>
      <c r="K31" s="86">
        <v>0.3</v>
      </c>
      <c r="L31" s="86">
        <v>0</v>
      </c>
      <c r="M31" s="86">
        <v>0.2</v>
      </c>
      <c r="N31" s="86">
        <v>0</v>
      </c>
    </row>
    <row r="32" spans="1:22" customFormat="1" ht="15" customHeight="1" x14ac:dyDescent="0.15">
      <c r="C32" s="86">
        <v>31</v>
      </c>
      <c r="E32" s="181" t="s">
        <v>222</v>
      </c>
      <c r="F32" s="86">
        <v>0</v>
      </c>
      <c r="G32" s="86">
        <v>0.19594983799999999</v>
      </c>
      <c r="H32" s="86">
        <v>0.96</v>
      </c>
      <c r="I32" s="86">
        <v>2.4157571799999999</v>
      </c>
      <c r="J32" s="86">
        <v>0.50722319999999999</v>
      </c>
      <c r="K32" s="86">
        <v>0.39739093199999997</v>
      </c>
      <c r="L32" s="86">
        <v>0</v>
      </c>
      <c r="M32" s="86">
        <v>0.2</v>
      </c>
      <c r="N32" s="86">
        <v>0</v>
      </c>
    </row>
    <row r="33" spans="3:14" customFormat="1" ht="15" customHeight="1" x14ac:dyDescent="0.15">
      <c r="C33" s="86">
        <v>32</v>
      </c>
      <c r="E33" s="181" t="s">
        <v>223</v>
      </c>
      <c r="F33" s="86">
        <v>0</v>
      </c>
      <c r="G33" s="86">
        <v>7.4921210000000002E-2</v>
      </c>
      <c r="H33" s="86">
        <v>1.2</v>
      </c>
      <c r="I33" s="86">
        <v>5.2271943099999998</v>
      </c>
      <c r="J33" s="86">
        <v>0.57006670000000004</v>
      </c>
      <c r="K33" s="86">
        <v>0.229568675</v>
      </c>
      <c r="L33" s="86">
        <v>0</v>
      </c>
      <c r="M33" s="86">
        <v>0.2</v>
      </c>
      <c r="N33" s="86">
        <v>0</v>
      </c>
    </row>
    <row r="34" spans="3:14" customFormat="1" ht="15" customHeight="1" x14ac:dyDescent="0.15">
      <c r="C34" s="86">
        <v>33</v>
      </c>
      <c r="E34" s="181" t="s">
        <v>224</v>
      </c>
      <c r="F34" s="86">
        <v>0</v>
      </c>
      <c r="G34" s="86">
        <v>0.248946682</v>
      </c>
      <c r="H34" s="86">
        <v>1.004</v>
      </c>
      <c r="I34" s="86">
        <v>6.72</v>
      </c>
      <c r="J34" s="86">
        <v>0.95072585300000001</v>
      </c>
      <c r="K34" s="86">
        <v>0.149404764</v>
      </c>
      <c r="L34" s="86">
        <v>0</v>
      </c>
      <c r="M34" s="86">
        <v>0.2</v>
      </c>
      <c r="N34" s="86">
        <v>0</v>
      </c>
    </row>
    <row r="35" spans="3:14" customFormat="1" ht="15" customHeight="1" x14ac:dyDescent="0.15">
      <c r="C35" s="86">
        <v>34</v>
      </c>
      <c r="E35" s="181" t="s">
        <v>225</v>
      </c>
      <c r="F35" s="86">
        <v>0</v>
      </c>
      <c r="G35" s="86">
        <v>8.2997429999999997E-2</v>
      </c>
      <c r="H35" s="86">
        <v>1.6</v>
      </c>
      <c r="I35" s="86">
        <v>10.90596</v>
      </c>
      <c r="J35" s="86">
        <v>0.689523</v>
      </c>
      <c r="K35" s="86">
        <v>0.14670877199999999</v>
      </c>
      <c r="L35" s="86">
        <v>0</v>
      </c>
      <c r="M35" s="86">
        <v>0.2</v>
      </c>
      <c r="N35" s="86">
        <v>0</v>
      </c>
    </row>
    <row r="36" spans="3:14" customFormat="1" ht="15" customHeight="1" x14ac:dyDescent="0.15">
      <c r="C36" s="86">
        <v>35</v>
      </c>
      <c r="E36" s="181" t="s">
        <v>226</v>
      </c>
      <c r="F36" s="86">
        <v>0</v>
      </c>
      <c r="G36" s="86">
        <v>8.9999999999999993E-3</v>
      </c>
      <c r="H36" s="86">
        <v>5.67</v>
      </c>
      <c r="I36" s="86">
        <v>18.899999999999999</v>
      </c>
      <c r="J36" s="86">
        <v>0.77039033199999996</v>
      </c>
      <c r="K36" s="86">
        <v>0.3</v>
      </c>
      <c r="L36" s="86">
        <v>0</v>
      </c>
      <c r="M36" s="86">
        <v>0.2</v>
      </c>
      <c r="N36" s="86">
        <v>0</v>
      </c>
    </row>
    <row r="37" spans="3:14" customFormat="1" ht="15" customHeight="1" x14ac:dyDescent="0.15">
      <c r="C37" s="86">
        <v>36</v>
      </c>
      <c r="E37" s="181" t="s">
        <v>227</v>
      </c>
      <c r="F37" s="86">
        <v>0</v>
      </c>
      <c r="G37" s="86">
        <v>0.125</v>
      </c>
      <c r="H37" s="86">
        <v>0.8</v>
      </c>
      <c r="I37" s="86">
        <v>2.6667000000000001</v>
      </c>
      <c r="J37" s="86">
        <v>0.81250303999999995</v>
      </c>
      <c r="K37" s="86">
        <v>0.29999625699999999</v>
      </c>
      <c r="L37" s="86">
        <v>-0.02</v>
      </c>
      <c r="M37" s="86">
        <v>0.2</v>
      </c>
      <c r="N37" s="86">
        <v>0</v>
      </c>
    </row>
    <row r="38" spans="3:14" customFormat="1" ht="15" customHeight="1" x14ac:dyDescent="0.15">
      <c r="C38" s="86">
        <v>37</v>
      </c>
      <c r="E38" s="181" t="s">
        <v>228</v>
      </c>
      <c r="F38" s="86">
        <v>0</v>
      </c>
      <c r="G38" s="86">
        <v>7.4840760000000006E-2</v>
      </c>
      <c r="H38" s="86">
        <v>1.079</v>
      </c>
      <c r="I38" s="86">
        <v>4.5442004200000001</v>
      </c>
      <c r="J38" s="86">
        <v>0.75613355599999998</v>
      </c>
      <c r="K38" s="86">
        <v>0.23744551799999999</v>
      </c>
      <c r="L38" s="86">
        <v>-0.02</v>
      </c>
      <c r="M38" s="86">
        <v>0.2</v>
      </c>
      <c r="N38" s="86">
        <v>0</v>
      </c>
    </row>
    <row r="39" spans="3:14" customFormat="1" ht="15" customHeight="1" x14ac:dyDescent="0.15">
      <c r="C39" s="86">
        <v>38</v>
      </c>
      <c r="E39" s="181" t="s">
        <v>229</v>
      </c>
      <c r="F39" s="86">
        <v>0</v>
      </c>
      <c r="G39" s="86">
        <v>8.4000000000000005E-2</v>
      </c>
      <c r="H39" s="86">
        <v>1</v>
      </c>
      <c r="I39" s="86">
        <v>5</v>
      </c>
      <c r="J39" s="86">
        <v>0.88942560000000004</v>
      </c>
      <c r="K39" s="86">
        <v>0.2</v>
      </c>
      <c r="L39" s="86">
        <v>-0.01</v>
      </c>
      <c r="M39" s="86">
        <v>0.2</v>
      </c>
      <c r="N39" s="86">
        <v>0</v>
      </c>
    </row>
    <row r="40" spans="3:14" customFormat="1" ht="15" customHeight="1" x14ac:dyDescent="0.15">
      <c r="C40" s="86">
        <v>39</v>
      </c>
      <c r="E40" s="181" t="s">
        <v>230</v>
      </c>
      <c r="F40" s="86">
        <v>0</v>
      </c>
      <c r="G40" s="86">
        <v>0.13832087800000001</v>
      </c>
      <c r="H40" s="86">
        <v>1.5</v>
      </c>
      <c r="I40" s="86">
        <v>7.8843603099999999</v>
      </c>
      <c r="J40" s="86">
        <v>0.37795493000000002</v>
      </c>
      <c r="K40" s="86">
        <v>0.190250054</v>
      </c>
      <c r="L40" s="86">
        <v>-0.01</v>
      </c>
      <c r="M40" s="86">
        <v>0.2</v>
      </c>
      <c r="N40" s="86">
        <v>0</v>
      </c>
    </row>
    <row r="41" spans="3:14" customFormat="1" ht="15" customHeight="1" x14ac:dyDescent="0.15">
      <c r="C41" s="86">
        <v>40</v>
      </c>
      <c r="E41" s="181" t="s">
        <v>231</v>
      </c>
      <c r="F41" s="86">
        <v>0</v>
      </c>
      <c r="G41" s="86">
        <v>0.2</v>
      </c>
      <c r="H41" s="86">
        <v>2</v>
      </c>
      <c r="I41" s="86">
        <v>13.265599999999999</v>
      </c>
      <c r="J41" s="86">
        <v>0.66036546200000001</v>
      </c>
      <c r="K41" s="86">
        <v>0.15076590000000001</v>
      </c>
      <c r="L41" s="86">
        <v>0</v>
      </c>
      <c r="M41" s="86">
        <v>0.2</v>
      </c>
      <c r="N41" s="86">
        <v>0</v>
      </c>
    </row>
    <row r="42" spans="3:14" customFormat="1" ht="15" customHeight="1" x14ac:dyDescent="0.15">
      <c r="C42" s="86">
        <v>41</v>
      </c>
      <c r="E42" s="181" t="s">
        <v>232</v>
      </c>
      <c r="F42" s="86">
        <v>0</v>
      </c>
      <c r="G42" s="86">
        <v>0.30527386099999998</v>
      </c>
      <c r="H42" s="86">
        <v>3.98</v>
      </c>
      <c r="I42" s="86">
        <v>25.284647</v>
      </c>
      <c r="J42" s="86">
        <v>0.61062190000000005</v>
      </c>
      <c r="K42" s="86">
        <v>0.157407776</v>
      </c>
      <c r="L42" s="86">
        <v>0</v>
      </c>
      <c r="M42" s="86">
        <v>0.2</v>
      </c>
      <c r="N42" s="86">
        <v>0</v>
      </c>
    </row>
    <row r="43" spans="3:14" customFormat="1" ht="15" customHeight="1" x14ac:dyDescent="0.15">
      <c r="C43" s="86">
        <v>42</v>
      </c>
      <c r="E43" s="181" t="s">
        <v>233</v>
      </c>
      <c r="F43" s="86">
        <v>0</v>
      </c>
      <c r="G43" s="86">
        <v>7.1</v>
      </c>
      <c r="H43" s="86">
        <v>0.3</v>
      </c>
      <c r="I43" s="86">
        <v>4</v>
      </c>
      <c r="J43" s="86">
        <v>0.92080479999999998</v>
      </c>
      <c r="K43" s="86">
        <v>7.4999999999999997E-2</v>
      </c>
      <c r="L43" s="86">
        <v>0</v>
      </c>
      <c r="M43" s="86">
        <v>0.2</v>
      </c>
      <c r="N43" s="86">
        <v>0</v>
      </c>
    </row>
    <row r="44" spans="3:14" customFormat="1" ht="15" customHeight="1" x14ac:dyDescent="0.15">
      <c r="C44" s="86">
        <v>43</v>
      </c>
      <c r="E44" s="181" t="s">
        <v>234</v>
      </c>
      <c r="F44" s="86">
        <v>0</v>
      </c>
      <c r="G44" s="86">
        <v>6.8713913</v>
      </c>
      <c r="H44" s="86">
        <v>0.6</v>
      </c>
      <c r="I44" s="86">
        <v>5.8542509999999996</v>
      </c>
      <c r="J44" s="86">
        <v>0.32631412100000001</v>
      </c>
      <c r="K44" s="86">
        <v>0.102489635</v>
      </c>
      <c r="L44" s="86">
        <v>0</v>
      </c>
      <c r="M44" s="86">
        <v>0.2</v>
      </c>
      <c r="N44" s="86">
        <v>0</v>
      </c>
    </row>
    <row r="45" spans="3:14" customFormat="1" ht="15" customHeight="1" x14ac:dyDescent="0.15">
      <c r="C45" s="86">
        <v>44</v>
      </c>
      <c r="E45" s="181" t="s">
        <v>235</v>
      </c>
      <c r="F45" s="86">
        <v>0</v>
      </c>
      <c r="G45" s="86">
        <v>4</v>
      </c>
      <c r="H45" s="86">
        <v>0.6</v>
      </c>
      <c r="I45" s="86">
        <v>5</v>
      </c>
      <c r="J45" s="86">
        <v>0.94985586399999999</v>
      </c>
      <c r="K45" s="86">
        <v>0.12000000500000001</v>
      </c>
      <c r="L45" s="86">
        <v>0</v>
      </c>
      <c r="M45" s="86">
        <v>0.2</v>
      </c>
      <c r="N45" s="86">
        <v>0</v>
      </c>
    </row>
    <row r="46" spans="3:14" customFormat="1" ht="15" customHeight="1" x14ac:dyDescent="0.15">
      <c r="C46" s="86">
        <v>45</v>
      </c>
      <c r="E46" s="181" t="s">
        <v>236</v>
      </c>
      <c r="F46" s="86">
        <v>0</v>
      </c>
      <c r="G46" s="86">
        <v>2.5699491499999998</v>
      </c>
      <c r="H46" s="86">
        <v>1.2</v>
      </c>
      <c r="I46" s="86">
        <v>8.0895860000000006</v>
      </c>
      <c r="J46" s="86">
        <v>0.86643773300000004</v>
      </c>
      <c r="K46" s="86">
        <v>0.14833886900000001</v>
      </c>
      <c r="L46" s="86">
        <v>0</v>
      </c>
      <c r="M46" s="86">
        <v>0.2</v>
      </c>
      <c r="N46" s="86">
        <v>0</v>
      </c>
    </row>
    <row r="47" spans="3:14" customFormat="1" ht="15" customHeight="1" x14ac:dyDescent="0.15">
      <c r="C47" s="86">
        <v>46</v>
      </c>
      <c r="E47" s="181" t="s">
        <v>237</v>
      </c>
      <c r="F47" s="86">
        <v>0</v>
      </c>
      <c r="G47" s="86">
        <v>0.9</v>
      </c>
      <c r="H47" s="86">
        <v>2.5</v>
      </c>
      <c r="I47" s="86">
        <v>15</v>
      </c>
      <c r="J47" s="86">
        <v>0.97165820000000003</v>
      </c>
      <c r="K47" s="86">
        <v>0.16666667199999999</v>
      </c>
      <c r="L47" s="86">
        <v>0</v>
      </c>
      <c r="M47" s="86">
        <v>0.2</v>
      </c>
      <c r="N47" s="86">
        <v>0</v>
      </c>
    </row>
    <row r="48" spans="3:14" customFormat="1" ht="15" customHeight="1" x14ac:dyDescent="0.15">
      <c r="C48" s="86">
        <v>47</v>
      </c>
      <c r="E48" s="181" t="s">
        <v>238</v>
      </c>
      <c r="F48" s="86">
        <v>0</v>
      </c>
      <c r="G48" s="86">
        <v>1.05392408</v>
      </c>
      <c r="H48" s="86">
        <v>3</v>
      </c>
      <c r="I48" s="86">
        <v>26.9569321</v>
      </c>
      <c r="J48" s="86">
        <v>0.79815375799999999</v>
      </c>
      <c r="K48" s="86">
        <v>0.111288629</v>
      </c>
      <c r="L48" s="86">
        <v>0</v>
      </c>
      <c r="M48" s="86">
        <v>0.2</v>
      </c>
      <c r="N48" s="86">
        <v>0</v>
      </c>
    </row>
    <row r="49" spans="3:14" customFormat="1" ht="15" customHeight="1" x14ac:dyDescent="0.15">
      <c r="C49" s="86">
        <v>48</v>
      </c>
      <c r="E49" s="181" t="s">
        <v>239</v>
      </c>
      <c r="F49" s="86">
        <v>0</v>
      </c>
      <c r="G49" s="86">
        <v>0.237513</v>
      </c>
      <c r="H49" s="86">
        <v>0.6</v>
      </c>
      <c r="I49" s="86">
        <v>3.0667</v>
      </c>
      <c r="J49" s="86">
        <v>0.93983380000000005</v>
      </c>
      <c r="K49" s="86">
        <v>0.19565005599999999</v>
      </c>
      <c r="L49" s="86">
        <v>0</v>
      </c>
      <c r="M49" s="86">
        <v>0.2</v>
      </c>
      <c r="N49" s="86">
        <v>0</v>
      </c>
    </row>
    <row r="50" spans="3:14" customFormat="1" ht="15" customHeight="1" x14ac:dyDescent="0.15">
      <c r="C50" s="86">
        <v>49</v>
      </c>
      <c r="E50" s="181" t="s">
        <v>240</v>
      </c>
      <c r="F50" s="86">
        <v>0</v>
      </c>
      <c r="G50" s="86">
        <v>0.70708966299999998</v>
      </c>
      <c r="H50" s="86">
        <v>0.92</v>
      </c>
      <c r="I50" s="86">
        <v>4.9199510000000002</v>
      </c>
      <c r="J50" s="86">
        <v>0.43018278500000001</v>
      </c>
      <c r="K50" s="86">
        <v>0.186993733</v>
      </c>
      <c r="L50" s="86">
        <v>0</v>
      </c>
      <c r="M50" s="86">
        <v>0.2</v>
      </c>
      <c r="N50" s="86">
        <v>0</v>
      </c>
    </row>
    <row r="51" spans="3:14" customFormat="1" ht="15" customHeight="1" x14ac:dyDescent="0.15">
      <c r="C51" s="86">
        <v>50</v>
      </c>
      <c r="E51" s="181" t="s">
        <v>241</v>
      </c>
      <c r="F51" s="86">
        <v>0</v>
      </c>
      <c r="G51" s="86">
        <v>0.7</v>
      </c>
      <c r="H51" s="86">
        <v>1.6</v>
      </c>
      <c r="I51" s="86">
        <v>8.56</v>
      </c>
      <c r="J51" s="86">
        <v>0.96775739999999999</v>
      </c>
      <c r="K51" s="86">
        <v>0.18691587400000001</v>
      </c>
      <c r="L51" s="86">
        <v>0</v>
      </c>
      <c r="M51" s="86">
        <v>0.2</v>
      </c>
      <c r="N51" s="86">
        <v>0</v>
      </c>
    </row>
    <row r="52" spans="3:14" customFormat="1" ht="15" customHeight="1" x14ac:dyDescent="0.15">
      <c r="C52" s="86">
        <v>51</v>
      </c>
      <c r="E52" s="181" t="s">
        <v>242</v>
      </c>
      <c r="F52" s="86">
        <v>0</v>
      </c>
      <c r="G52" s="86">
        <v>0.36912729999999999</v>
      </c>
      <c r="H52" s="86">
        <v>2.5680000000000001</v>
      </c>
      <c r="I52" s="86">
        <v>16.114982600000001</v>
      </c>
      <c r="J52" s="86">
        <v>0.90316730000000001</v>
      </c>
      <c r="K52" s="86">
        <v>0.15935482100000001</v>
      </c>
      <c r="L52" s="86">
        <v>0</v>
      </c>
      <c r="M52" s="86">
        <v>0.2</v>
      </c>
      <c r="N52" s="86">
        <v>0</v>
      </c>
    </row>
    <row r="53" spans="3:14" customFormat="1" ht="15" customHeight="1" x14ac:dyDescent="0.15">
      <c r="C53" s="86">
        <v>52</v>
      </c>
      <c r="E53" s="181" t="s">
        <v>243</v>
      </c>
      <c r="F53" s="86">
        <v>0</v>
      </c>
      <c r="G53" s="86">
        <v>1.4955913999999999</v>
      </c>
      <c r="H53" s="86">
        <v>1.1000000000000001</v>
      </c>
      <c r="I53" s="86">
        <v>8</v>
      </c>
      <c r="J53" s="86">
        <v>0.93429636999999999</v>
      </c>
      <c r="K53" s="86">
        <v>0.13750000000000001</v>
      </c>
      <c r="L53" s="86">
        <v>0</v>
      </c>
      <c r="M53" s="86">
        <v>0.2</v>
      </c>
      <c r="N53" s="86">
        <v>0</v>
      </c>
    </row>
    <row r="54" spans="3:14" customFormat="1" ht="15" customHeight="1" x14ac:dyDescent="0.15">
      <c r="C54" s="86">
        <v>53</v>
      </c>
      <c r="E54" s="181" t="s">
        <v>244</v>
      </c>
      <c r="F54" s="86">
        <v>0</v>
      </c>
      <c r="G54" s="86">
        <v>0.76756740000000001</v>
      </c>
      <c r="H54" s="86">
        <v>1.6</v>
      </c>
      <c r="I54" s="86">
        <v>13.2807236</v>
      </c>
      <c r="J54" s="86">
        <v>0.90123790000000004</v>
      </c>
      <c r="K54" s="86">
        <v>0.120475367</v>
      </c>
      <c r="L54" s="86">
        <v>0</v>
      </c>
      <c r="M54" s="86">
        <v>0.2</v>
      </c>
      <c r="N54" s="86">
        <v>0</v>
      </c>
    </row>
    <row r="55" spans="3:14" customFormat="1" ht="15" customHeight="1" x14ac:dyDescent="0.15">
      <c r="C55" s="86">
        <v>54</v>
      </c>
      <c r="E55" s="181" t="s">
        <v>245</v>
      </c>
      <c r="F55" s="86">
        <v>0</v>
      </c>
      <c r="G55" s="86">
        <v>0.3003923</v>
      </c>
      <c r="H55" s="86">
        <v>2</v>
      </c>
      <c r="I55" s="86">
        <v>6.6666999999999996</v>
      </c>
      <c r="J55" s="86">
        <v>0.84783129999999995</v>
      </c>
      <c r="K55" s="86">
        <v>0.2999985</v>
      </c>
      <c r="L55" s="86">
        <v>0</v>
      </c>
      <c r="M55" s="86">
        <v>0.2</v>
      </c>
      <c r="N55" s="86">
        <v>0</v>
      </c>
    </row>
    <row r="56" spans="3:14" customFormat="1" ht="15" customHeight="1" x14ac:dyDescent="0.15">
      <c r="C56" s="86">
        <v>55</v>
      </c>
      <c r="E56" s="181" t="s">
        <v>246</v>
      </c>
      <c r="F56" s="86">
        <v>0</v>
      </c>
      <c r="G56" s="86">
        <v>0.72791439999999996</v>
      </c>
      <c r="H56" s="86">
        <v>2</v>
      </c>
      <c r="I56" s="86">
        <v>8.0008110000000006</v>
      </c>
      <c r="J56" s="86">
        <v>0.86986810000000003</v>
      </c>
      <c r="K56" s="86">
        <v>0.24997466800000001</v>
      </c>
      <c r="L56" s="86">
        <v>0</v>
      </c>
      <c r="M56" s="86">
        <v>0.2</v>
      </c>
      <c r="N56" s="86">
        <v>0</v>
      </c>
    </row>
    <row r="57" spans="3:14" customFormat="1" ht="15" customHeight="1" x14ac:dyDescent="0.15">
      <c r="C57" s="86">
        <v>56</v>
      </c>
      <c r="E57" s="181" t="s">
        <v>247</v>
      </c>
      <c r="F57" s="86">
        <v>0</v>
      </c>
      <c r="G57" s="86">
        <v>2</v>
      </c>
      <c r="H57" s="86">
        <v>1.8</v>
      </c>
      <c r="I57" s="86">
        <v>14.625220000000001</v>
      </c>
      <c r="J57" s="86">
        <v>0.86792780000000003</v>
      </c>
      <c r="K57" s="86">
        <v>0.123075068</v>
      </c>
      <c r="L57" s="86">
        <v>0</v>
      </c>
      <c r="M57" s="86">
        <v>0.2</v>
      </c>
      <c r="N57" s="86">
        <v>0</v>
      </c>
    </row>
    <row r="58" spans="3:14" customFormat="1" ht="15" customHeight="1" x14ac:dyDescent="0.15">
      <c r="C58" s="86">
        <v>57</v>
      </c>
      <c r="E58" s="181" t="s">
        <v>248</v>
      </c>
      <c r="F58" s="86">
        <v>0</v>
      </c>
      <c r="G58" s="86">
        <v>1.1276539999999999</v>
      </c>
      <c r="H58" s="86">
        <v>2.5</v>
      </c>
      <c r="I58" s="86">
        <v>27.5015717</v>
      </c>
      <c r="J58" s="86">
        <v>0.6297123</v>
      </c>
      <c r="K58" s="86">
        <v>9.0903890000000001E-2</v>
      </c>
      <c r="L58" s="86">
        <v>0</v>
      </c>
      <c r="M58" s="86">
        <v>0.2</v>
      </c>
      <c r="N58" s="86">
        <v>0</v>
      </c>
    </row>
    <row r="59" spans="3:14" customFormat="1" ht="15" customHeight="1" x14ac:dyDescent="0.15">
      <c r="C59" s="86">
        <v>58</v>
      </c>
      <c r="E59" s="181" t="s">
        <v>249</v>
      </c>
      <c r="F59" s="86">
        <v>0</v>
      </c>
      <c r="G59" s="86">
        <v>1.5940473100000001</v>
      </c>
      <c r="H59" s="86">
        <v>1.1000000000000001</v>
      </c>
      <c r="I59" s="86">
        <v>3.6667000000000001</v>
      </c>
      <c r="J59" s="86">
        <v>0.84556370000000003</v>
      </c>
      <c r="K59" s="86">
        <v>0.29999730000000002</v>
      </c>
      <c r="L59" s="86">
        <v>0</v>
      </c>
      <c r="M59" s="86">
        <v>0.2</v>
      </c>
      <c r="N59" s="86">
        <v>0</v>
      </c>
    </row>
    <row r="60" spans="3:14" customFormat="1" ht="15" customHeight="1" x14ac:dyDescent="0.15">
      <c r="C60" s="86">
        <v>59</v>
      </c>
      <c r="E60" s="181" t="s">
        <v>250</v>
      </c>
      <c r="F60" s="86">
        <v>0</v>
      </c>
      <c r="G60" s="86">
        <v>1.69756675</v>
      </c>
      <c r="H60" s="86">
        <v>1</v>
      </c>
      <c r="I60" s="86">
        <v>5.6177599999999996</v>
      </c>
      <c r="J60" s="86">
        <v>0.73738300000000001</v>
      </c>
      <c r="K60" s="86">
        <v>0.178006887</v>
      </c>
      <c r="L60" s="86">
        <v>0</v>
      </c>
      <c r="M60" s="86">
        <v>0.2</v>
      </c>
      <c r="N60" s="86">
        <v>0</v>
      </c>
    </row>
    <row r="61" spans="3:14" customFormat="1" ht="15" customHeight="1" x14ac:dyDescent="0.15">
      <c r="C61" s="86">
        <v>60</v>
      </c>
      <c r="E61" s="181" t="s">
        <v>251</v>
      </c>
      <c r="F61" s="86">
        <v>0</v>
      </c>
      <c r="G61" s="86">
        <v>0.16447943400000001</v>
      </c>
      <c r="H61" s="86">
        <v>1.339</v>
      </c>
      <c r="I61" s="86">
        <v>6.6958000000000002</v>
      </c>
      <c r="J61" s="86">
        <v>0.83362895299999995</v>
      </c>
      <c r="K61" s="86">
        <v>0.19997609999999999</v>
      </c>
      <c r="L61" s="86">
        <v>0</v>
      </c>
      <c r="M61" s="86">
        <v>0.2</v>
      </c>
      <c r="N61" s="86">
        <v>0</v>
      </c>
    </row>
    <row r="62" spans="3:14" customFormat="1" ht="15" customHeight="1" x14ac:dyDescent="0.15">
      <c r="C62" s="86">
        <v>61</v>
      </c>
      <c r="E62" s="181" t="s">
        <v>252</v>
      </c>
      <c r="F62" s="86">
        <v>0</v>
      </c>
      <c r="G62" s="86">
        <v>0.5851326</v>
      </c>
      <c r="H62" s="86">
        <v>1.4</v>
      </c>
      <c r="I62" s="86">
        <v>8.9814279999999993</v>
      </c>
      <c r="J62" s="86">
        <v>0.72087690000000004</v>
      </c>
      <c r="K62" s="86">
        <v>0.15587721800000001</v>
      </c>
      <c r="L62" s="86">
        <v>0</v>
      </c>
      <c r="M62" s="86">
        <v>0.2</v>
      </c>
      <c r="N62" s="86">
        <v>0</v>
      </c>
    </row>
    <row r="63" spans="3:14" customFormat="1" ht="15" customHeight="1" x14ac:dyDescent="0.15">
      <c r="C63" s="86">
        <v>62</v>
      </c>
      <c r="E63" s="181" t="s">
        <v>253</v>
      </c>
      <c r="F63" s="86">
        <v>0</v>
      </c>
      <c r="G63" s="86">
        <v>0.52500179999999996</v>
      </c>
      <c r="H63" s="86">
        <v>0.435</v>
      </c>
      <c r="I63" s="86">
        <v>1.4511000000000001</v>
      </c>
      <c r="J63" s="86">
        <v>0.91985934999999996</v>
      </c>
      <c r="K63" s="86">
        <v>0.2997726</v>
      </c>
      <c r="L63" s="86">
        <v>0</v>
      </c>
      <c r="M63" s="86">
        <v>0.2</v>
      </c>
      <c r="N63" s="86">
        <v>0</v>
      </c>
    </row>
    <row r="64" spans="3:14" customFormat="1" ht="15" customHeight="1" x14ac:dyDescent="0.15">
      <c r="C64" s="86">
        <v>63</v>
      </c>
      <c r="E64" s="181" t="s">
        <v>254</v>
      </c>
      <c r="F64" s="86">
        <v>0</v>
      </c>
      <c r="G64" s="86">
        <v>0.25533902600000002</v>
      </c>
      <c r="H64" s="86">
        <v>1</v>
      </c>
      <c r="I64" s="86">
        <v>2.1999664299999999</v>
      </c>
      <c r="J64" s="86">
        <v>0.88810250000000002</v>
      </c>
      <c r="K64" s="86">
        <v>0.45455238199999998</v>
      </c>
      <c r="L64" s="86">
        <v>0</v>
      </c>
      <c r="M64" s="86">
        <v>0.2</v>
      </c>
      <c r="N64" s="86">
        <v>0</v>
      </c>
    </row>
    <row r="65" spans="3:14" customFormat="1" ht="15" customHeight="1" x14ac:dyDescent="0.15">
      <c r="C65" s="86">
        <v>64</v>
      </c>
      <c r="E65" s="181" t="s">
        <v>255</v>
      </c>
      <c r="F65" s="86">
        <v>0</v>
      </c>
      <c r="G65" s="86">
        <v>0.238807827</v>
      </c>
      <c r="H65" s="86">
        <v>2.339</v>
      </c>
      <c r="I65" s="86">
        <v>5</v>
      </c>
      <c r="J65" s="86">
        <v>0.95359249999999995</v>
      </c>
      <c r="K65" s="86">
        <v>0.46779999999999999</v>
      </c>
      <c r="L65" s="86">
        <v>0</v>
      </c>
      <c r="M65" s="86">
        <v>0.2</v>
      </c>
      <c r="N65" s="86">
        <v>0</v>
      </c>
    </row>
    <row r="66" spans="3:14" customFormat="1" ht="15" customHeight="1" x14ac:dyDescent="0.15">
      <c r="C66" s="86">
        <v>65</v>
      </c>
      <c r="E66" s="181" t="s">
        <v>256</v>
      </c>
      <c r="F66" s="86">
        <v>0</v>
      </c>
      <c r="G66" s="86">
        <v>1.13727117</v>
      </c>
      <c r="H66" s="86">
        <v>3</v>
      </c>
      <c r="I66" s="86">
        <v>8.9202250000000003</v>
      </c>
      <c r="J66" s="86">
        <v>0.78505420000000004</v>
      </c>
      <c r="K66" s="86">
        <v>0.33631438000000002</v>
      </c>
      <c r="L66" s="86">
        <v>0</v>
      </c>
      <c r="M66" s="86">
        <v>0.2</v>
      </c>
      <c r="N66" s="86">
        <v>0</v>
      </c>
    </row>
    <row r="67" spans="3:14" customFormat="1" ht="15" customHeight="1" x14ac:dyDescent="0.15">
      <c r="C67" s="86">
        <v>66</v>
      </c>
      <c r="E67" s="181" t="s">
        <v>257</v>
      </c>
      <c r="F67" s="86">
        <v>0</v>
      </c>
      <c r="G67" s="86">
        <v>1.5544000000000001E-2</v>
      </c>
      <c r="H67" s="86">
        <v>2.339</v>
      </c>
      <c r="I67" s="86">
        <v>8.3332999999999995</v>
      </c>
      <c r="J67" s="86">
        <v>0.94667880000000004</v>
      </c>
      <c r="K67" s="86">
        <v>0.28068113300000003</v>
      </c>
      <c r="L67" s="86">
        <v>0</v>
      </c>
      <c r="M67" s="86">
        <v>0.2</v>
      </c>
      <c r="N67" s="86">
        <v>0</v>
      </c>
    </row>
    <row r="68" spans="3:14" customFormat="1" ht="15" customHeight="1" x14ac:dyDescent="0.15">
      <c r="C68" s="86">
        <v>67</v>
      </c>
      <c r="E68" s="181" t="s">
        <v>258</v>
      </c>
      <c r="F68" s="86">
        <v>0</v>
      </c>
      <c r="G68" s="86">
        <v>0.6</v>
      </c>
      <c r="H68" s="86">
        <v>1.44</v>
      </c>
      <c r="I68" s="86">
        <v>2.4</v>
      </c>
      <c r="J68" s="86">
        <v>0.68671780000000004</v>
      </c>
      <c r="K68" s="86">
        <v>0.6</v>
      </c>
      <c r="L68" s="86">
        <v>0</v>
      </c>
      <c r="M68" s="86">
        <v>0.2</v>
      </c>
      <c r="N68" s="86">
        <v>0</v>
      </c>
    </row>
    <row r="69" spans="3:14" customFormat="1" ht="15" customHeight="1" x14ac:dyDescent="0.15">
      <c r="C69" s="86">
        <v>68</v>
      </c>
      <c r="E69" s="181" t="s">
        <v>259</v>
      </c>
      <c r="F69" s="86">
        <v>0.8</v>
      </c>
      <c r="G69" s="86">
        <v>0.87512900000000005</v>
      </c>
      <c r="H69" s="86">
        <v>2.16</v>
      </c>
      <c r="I69" s="86">
        <v>3.6</v>
      </c>
      <c r="J69" s="86">
        <v>0.97709440000000003</v>
      </c>
      <c r="K69" s="86">
        <v>0.6</v>
      </c>
      <c r="L69" s="86">
        <v>0</v>
      </c>
      <c r="M69" s="86">
        <v>0</v>
      </c>
      <c r="N69" s="86">
        <v>0</v>
      </c>
    </row>
    <row r="70" spans="3:14" customFormat="1" ht="15" customHeight="1" x14ac:dyDescent="0.15">
      <c r="C70" s="86">
        <v>69</v>
      </c>
      <c r="E70" s="181" t="s">
        <v>260</v>
      </c>
      <c r="F70" s="86">
        <v>0.8</v>
      </c>
      <c r="G70" s="86">
        <v>0.6</v>
      </c>
      <c r="H70" s="86">
        <v>1.3979999999999999</v>
      </c>
      <c r="I70" s="86">
        <v>2.33</v>
      </c>
      <c r="J70" s="86">
        <v>0.82860344600000002</v>
      </c>
      <c r="K70" s="86">
        <v>0.6</v>
      </c>
      <c r="L70" s="86">
        <v>0</v>
      </c>
      <c r="M70" s="86">
        <v>0</v>
      </c>
      <c r="N70" s="86">
        <v>0</v>
      </c>
    </row>
    <row r="71" spans="3:14" customFormat="1" ht="15" customHeight="1" x14ac:dyDescent="0.15">
      <c r="C71" s="86">
        <v>70</v>
      </c>
      <c r="E71" s="181" t="s">
        <v>261</v>
      </c>
      <c r="F71" s="86">
        <v>0.5</v>
      </c>
      <c r="G71" s="86">
        <v>0.6</v>
      </c>
      <c r="H71" s="86">
        <v>0.9173538</v>
      </c>
      <c r="I71" s="86">
        <v>1.9125000000000001</v>
      </c>
      <c r="J71" s="86">
        <v>0.59976875799999996</v>
      </c>
      <c r="K71" s="86">
        <v>0.47966212000000003</v>
      </c>
      <c r="L71" s="86">
        <v>0</v>
      </c>
      <c r="M71" s="86">
        <v>0.2</v>
      </c>
      <c r="N71" s="86">
        <v>0</v>
      </c>
    </row>
    <row r="72" spans="3:14" customFormat="1" ht="15" customHeight="1" x14ac:dyDescent="0.15">
      <c r="C72" s="86">
        <v>71</v>
      </c>
      <c r="E72" s="181" t="s">
        <v>262</v>
      </c>
      <c r="F72" s="86">
        <v>1</v>
      </c>
      <c r="G72" s="86">
        <v>0.1</v>
      </c>
      <c r="H72" s="86">
        <v>0.4748</v>
      </c>
      <c r="I72" s="86">
        <v>0</v>
      </c>
      <c r="J72" s="86">
        <v>0.95008885899999995</v>
      </c>
      <c r="K72" s="86">
        <v>0</v>
      </c>
      <c r="L72" s="86">
        <v>0</v>
      </c>
      <c r="M72" s="86">
        <v>0</v>
      </c>
      <c r="N72" s="86">
        <v>0</v>
      </c>
    </row>
    <row r="73" spans="3:14" customFormat="1" ht="15" customHeight="1" x14ac:dyDescent="0.15">
      <c r="C73" s="86">
        <v>72</v>
      </c>
      <c r="E73" s="181" t="s">
        <v>263</v>
      </c>
      <c r="F73" s="86">
        <v>0</v>
      </c>
      <c r="G73" s="86">
        <v>0.5</v>
      </c>
      <c r="H73" s="86">
        <v>0.05</v>
      </c>
      <c r="I73" s="86">
        <v>6.88499957E-2</v>
      </c>
      <c r="J73" s="86">
        <v>0.69573766000000004</v>
      </c>
      <c r="K73" s="86">
        <v>0.72621650000000004</v>
      </c>
      <c r="L73" s="86">
        <v>0</v>
      </c>
      <c r="M73" s="86">
        <v>0.2</v>
      </c>
      <c r="N73" s="86">
        <v>0</v>
      </c>
    </row>
    <row r="74" spans="3:14" customFormat="1" ht="15" customHeight="1" x14ac:dyDescent="0.15">
      <c r="C74" s="86">
        <v>73</v>
      </c>
      <c r="E74" s="181" t="s">
        <v>264</v>
      </c>
      <c r="F74" s="86">
        <v>0</v>
      </c>
      <c r="G74" s="86">
        <v>1.42588</v>
      </c>
      <c r="H74" s="86">
        <v>3.8236919999999999</v>
      </c>
      <c r="I74" s="86">
        <v>37.9</v>
      </c>
      <c r="J74" s="86">
        <v>0.85617494599999999</v>
      </c>
      <c r="K74" s="86">
        <v>0.100888968</v>
      </c>
      <c r="L74" s="86">
        <v>0</v>
      </c>
      <c r="M74" s="86">
        <v>0.2</v>
      </c>
      <c r="N74" s="86">
        <v>0</v>
      </c>
    </row>
    <row r="75" spans="3:14" customFormat="1" ht="15" customHeight="1" x14ac:dyDescent="0.15">
      <c r="C75" s="86">
        <v>74</v>
      </c>
      <c r="E75" s="181" t="s">
        <v>265</v>
      </c>
      <c r="F75" s="86">
        <v>0</v>
      </c>
      <c r="G75" s="86">
        <v>1.42588</v>
      </c>
      <c r="H75" s="86">
        <v>2.2280952900000002</v>
      </c>
      <c r="I75" s="86">
        <v>20</v>
      </c>
      <c r="J75" s="86">
        <v>0.82500280000000004</v>
      </c>
      <c r="K75" s="86">
        <v>0.111404762</v>
      </c>
      <c r="L75" s="86">
        <v>0</v>
      </c>
      <c r="M75" s="86">
        <v>0.2</v>
      </c>
      <c r="N75" s="86">
        <v>0</v>
      </c>
    </row>
    <row r="76" spans="3:14" customFormat="1" ht="15" customHeight="1" x14ac:dyDescent="0.15">
      <c r="C76" s="86">
        <v>75</v>
      </c>
      <c r="E76" s="181" t="s">
        <v>266</v>
      </c>
      <c r="F76" s="86">
        <v>0</v>
      </c>
      <c r="G76" s="86">
        <v>0.23136999999999999</v>
      </c>
      <c r="H76" s="86">
        <v>4.3479999999999999</v>
      </c>
      <c r="I76" s="86">
        <v>14.792298300000001</v>
      </c>
      <c r="J76" s="86">
        <v>0.99508935200000004</v>
      </c>
      <c r="K76" s="86">
        <v>0.29393675899999999</v>
      </c>
      <c r="L76" s="86">
        <v>0</v>
      </c>
      <c r="M76" s="86">
        <v>0.2</v>
      </c>
      <c r="N76" s="86">
        <v>0</v>
      </c>
    </row>
    <row r="77" spans="3:14" customFormat="1" ht="15" customHeight="1" x14ac:dyDescent="0.15">
      <c r="C77" s="86">
        <v>76</v>
      </c>
      <c r="E77" s="181" t="s">
        <v>267</v>
      </c>
      <c r="F77" s="86">
        <v>0</v>
      </c>
      <c r="G77" s="86">
        <v>1.0863130000000001</v>
      </c>
      <c r="H77" s="86">
        <v>2.327</v>
      </c>
      <c r="I77" s="86">
        <v>13.24</v>
      </c>
      <c r="J77" s="86">
        <v>0.70998439999999996</v>
      </c>
      <c r="K77" s="86">
        <v>0.17575527699999999</v>
      </c>
      <c r="L77" s="86">
        <v>0</v>
      </c>
      <c r="M77" s="86">
        <v>0.2</v>
      </c>
      <c r="N77" s="86">
        <v>0</v>
      </c>
    </row>
    <row r="78" spans="3:14" customFormat="1" ht="15" customHeight="1" x14ac:dyDescent="0.15">
      <c r="C78" s="86">
        <v>77</v>
      </c>
      <c r="E78" s="181" t="s">
        <v>268</v>
      </c>
      <c r="F78" s="86">
        <v>0</v>
      </c>
      <c r="G78" s="86">
        <v>1.13767</v>
      </c>
      <c r="H78" s="86">
        <v>0.74007000000000001</v>
      </c>
      <c r="I78" s="86">
        <v>8.2475939999999994</v>
      </c>
      <c r="J78" s="86">
        <v>0.96595036999999995</v>
      </c>
      <c r="K78" s="86">
        <v>8.9731626199999998E-2</v>
      </c>
      <c r="L78" s="86">
        <v>0</v>
      </c>
      <c r="M78" s="86">
        <v>0.2</v>
      </c>
      <c r="N78" s="86">
        <v>0</v>
      </c>
    </row>
    <row r="79" spans="3:14" customFormat="1" ht="15" customHeight="1" x14ac:dyDescent="0.15">
      <c r="C79" s="86">
        <v>78</v>
      </c>
      <c r="E79" s="181" t="s">
        <v>269</v>
      </c>
      <c r="F79" s="86">
        <v>0</v>
      </c>
      <c r="G79" s="86">
        <v>0.438</v>
      </c>
      <c r="H79" s="86">
        <v>0.44641500000000001</v>
      </c>
      <c r="I79" s="86">
        <v>15.2066736</v>
      </c>
      <c r="J79" s="86">
        <v>0.97008879999999997</v>
      </c>
      <c r="K79" s="86">
        <v>2.9356518799999998E-2</v>
      </c>
      <c r="L79" s="86">
        <v>0</v>
      </c>
      <c r="M79" s="86">
        <v>0.2</v>
      </c>
      <c r="N79" s="86">
        <v>0</v>
      </c>
    </row>
    <row r="80" spans="3:14" customFormat="1" ht="15" customHeight="1" x14ac:dyDescent="0.15">
      <c r="C80" s="86">
        <v>79</v>
      </c>
      <c r="E80" s="181" t="s">
        <v>270</v>
      </c>
      <c r="F80" s="86">
        <v>0</v>
      </c>
      <c r="G80" s="86">
        <v>0.28633510000000001</v>
      </c>
      <c r="H80" s="86">
        <v>0.95289500000000005</v>
      </c>
      <c r="I80" s="86">
        <v>14.557658200000001</v>
      </c>
      <c r="J80" s="86">
        <v>0.91605840000000005</v>
      </c>
      <c r="K80" s="86">
        <v>6.5456613900000002E-2</v>
      </c>
      <c r="L80" s="86">
        <v>0</v>
      </c>
      <c r="M80" s="86">
        <v>0.2</v>
      </c>
      <c r="N80" s="86">
        <v>0</v>
      </c>
    </row>
    <row r="81" spans="3:14" customFormat="1" ht="15" customHeight="1" x14ac:dyDescent="0.15">
      <c r="C81" s="86">
        <v>80</v>
      </c>
      <c r="E81" s="181" t="s">
        <v>271</v>
      </c>
      <c r="F81" s="86">
        <v>0</v>
      </c>
      <c r="G81" s="86">
        <v>0.28633510000000001</v>
      </c>
      <c r="H81" s="86">
        <v>2.61</v>
      </c>
      <c r="I81" s="86">
        <v>20.20842</v>
      </c>
      <c r="J81" s="86">
        <v>0.96121219999999996</v>
      </c>
      <c r="K81" s="86">
        <v>0.129154086</v>
      </c>
      <c r="L81" s="86">
        <v>0</v>
      </c>
      <c r="M81" s="86">
        <v>0.2</v>
      </c>
      <c r="N81" s="86">
        <v>0</v>
      </c>
    </row>
    <row r="82" spans="3:14" customFormat="1" ht="15" customHeight="1" x14ac:dyDescent="0.15">
      <c r="C82" s="86">
        <v>81</v>
      </c>
      <c r="E82" s="181" t="s">
        <v>272</v>
      </c>
      <c r="F82" s="86">
        <v>0</v>
      </c>
      <c r="G82" s="86">
        <v>0.218782</v>
      </c>
      <c r="H82" s="86">
        <v>0.92</v>
      </c>
      <c r="I82" s="86">
        <v>9.4234500000000008</v>
      </c>
      <c r="J82" s="86">
        <v>0.9105721</v>
      </c>
      <c r="K82" s="86">
        <v>9.7628789999999993E-2</v>
      </c>
      <c r="L82" s="86">
        <v>0</v>
      </c>
      <c r="M82" s="86">
        <v>0.2</v>
      </c>
      <c r="N82" s="86">
        <v>0</v>
      </c>
    </row>
    <row r="83" spans="3:14" customFormat="1" ht="15" customHeight="1" x14ac:dyDescent="0.15">
      <c r="C83" s="86">
        <v>82</v>
      </c>
      <c r="E83" s="181" t="s">
        <v>273</v>
      </c>
      <c r="F83" s="86">
        <v>0</v>
      </c>
      <c r="G83" s="86">
        <v>0.05</v>
      </c>
      <c r="H83" s="86">
        <v>1.224</v>
      </c>
      <c r="I83" s="86">
        <v>4.08</v>
      </c>
      <c r="J83" s="86">
        <v>0.97276633999999995</v>
      </c>
      <c r="K83" s="86">
        <v>0.3</v>
      </c>
      <c r="L83" s="86">
        <v>0</v>
      </c>
      <c r="M83" s="86">
        <v>0.2</v>
      </c>
      <c r="N83" s="86">
        <v>0</v>
      </c>
    </row>
    <row r="84" spans="3:14" customFormat="1" ht="15" customHeight="1" x14ac:dyDescent="0.15">
      <c r="C84" s="86">
        <v>83</v>
      </c>
      <c r="E84" s="181" t="s">
        <v>274</v>
      </c>
      <c r="F84" s="86">
        <v>0</v>
      </c>
      <c r="G84" s="86">
        <v>0.72198099999999998</v>
      </c>
      <c r="H84" s="86">
        <v>0.54100000000000004</v>
      </c>
      <c r="I84" s="86">
        <v>9.4234500000000008</v>
      </c>
      <c r="J84" s="86">
        <v>0.93980399999999997</v>
      </c>
      <c r="K84" s="86">
        <v>5.7409969999999998E-2</v>
      </c>
      <c r="L84" s="86">
        <v>0</v>
      </c>
      <c r="M84" s="86">
        <v>0.2</v>
      </c>
      <c r="N84" s="86">
        <v>0</v>
      </c>
    </row>
    <row r="85" spans="3:14" customFormat="1" ht="15" customHeight="1" x14ac:dyDescent="0.15">
      <c r="C85" s="86">
        <v>84</v>
      </c>
      <c r="E85" s="181" t="s">
        <v>275</v>
      </c>
      <c r="F85" s="86">
        <v>0</v>
      </c>
      <c r="G85" s="86">
        <v>5.9733457599999999</v>
      </c>
      <c r="H85" s="86">
        <v>2.5139999999999998</v>
      </c>
      <c r="I85" s="86">
        <v>5.6174939999999998</v>
      </c>
      <c r="J85" s="86">
        <v>0.99041250000000003</v>
      </c>
      <c r="K85" s="86">
        <v>0.4475305</v>
      </c>
      <c r="L85" s="86">
        <v>0</v>
      </c>
      <c r="M85" s="86">
        <v>0.2</v>
      </c>
      <c r="N85" s="86">
        <v>0</v>
      </c>
    </row>
    <row r="86" spans="3:14" customFormat="1" ht="15" customHeight="1" x14ac:dyDescent="0.15">
      <c r="C86" s="86">
        <v>85</v>
      </c>
      <c r="E86" s="181" t="s">
        <v>276</v>
      </c>
      <c r="F86" s="86">
        <v>0</v>
      </c>
      <c r="G86" s="86">
        <v>4.5797879999999997</v>
      </c>
      <c r="H86" s="86">
        <v>1.48</v>
      </c>
      <c r="I86" s="86">
        <v>5.2676999999999996</v>
      </c>
      <c r="J86" s="86">
        <v>0.99808144600000004</v>
      </c>
      <c r="K86" s="86">
        <v>0.28095752000000002</v>
      </c>
      <c r="L86" s="86">
        <v>0</v>
      </c>
      <c r="M86" s="86">
        <v>0.2</v>
      </c>
      <c r="N86" s="86">
        <v>0</v>
      </c>
    </row>
    <row r="87" spans="3:14" customFormat="1" ht="15" customHeight="1" x14ac:dyDescent="0.15">
      <c r="C87" s="86">
        <v>86</v>
      </c>
      <c r="E87" s="181" t="s">
        <v>277</v>
      </c>
      <c r="F87" s="86">
        <v>0</v>
      </c>
      <c r="G87" s="86">
        <v>2.2000000000000002</v>
      </c>
      <c r="H87" s="86">
        <v>1.1779999999999999</v>
      </c>
      <c r="I87" s="86">
        <v>18.25</v>
      </c>
      <c r="J87" s="86">
        <v>0.96679400000000004</v>
      </c>
      <c r="K87" s="86">
        <v>6.4547939999999998E-2</v>
      </c>
      <c r="L87" s="86">
        <v>0</v>
      </c>
      <c r="M87" s="86">
        <v>0.2</v>
      </c>
      <c r="N87" s="86">
        <v>0</v>
      </c>
    </row>
    <row r="88" spans="3:14" customFormat="1" ht="15" customHeight="1" x14ac:dyDescent="0.15">
      <c r="C88" s="86">
        <v>87</v>
      </c>
      <c r="E88" s="181" t="s">
        <v>278</v>
      </c>
      <c r="F88" s="86">
        <v>0</v>
      </c>
      <c r="G88" s="86">
        <v>9.8171959999999991</v>
      </c>
      <c r="H88" s="86">
        <v>2.64</v>
      </c>
      <c r="I88" s="86">
        <v>10.521058099999999</v>
      </c>
      <c r="J88" s="86">
        <v>0.99</v>
      </c>
      <c r="K88" s="86">
        <v>0.250925332</v>
      </c>
      <c r="L88" s="86">
        <v>0</v>
      </c>
      <c r="M88" s="86">
        <v>0.2</v>
      </c>
      <c r="N88" s="86">
        <v>0</v>
      </c>
    </row>
    <row r="89" spans="3:14" customFormat="1" ht="15" customHeight="1" x14ac:dyDescent="0.15">
      <c r="C89" s="86">
        <v>88</v>
      </c>
      <c r="E89" s="181" t="s">
        <v>279</v>
      </c>
      <c r="F89" s="86">
        <v>0</v>
      </c>
      <c r="G89" s="86">
        <v>35</v>
      </c>
      <c r="H89" s="86">
        <v>4.0138319999999998</v>
      </c>
      <c r="I89" s="86">
        <v>19.2670727</v>
      </c>
      <c r="J89" s="86">
        <v>0.93818900000000005</v>
      </c>
      <c r="K89" s="86">
        <v>0.20832600000000001</v>
      </c>
      <c r="L89" s="86">
        <v>0</v>
      </c>
      <c r="M89" s="86">
        <v>0.2</v>
      </c>
      <c r="N89" s="86">
        <v>0</v>
      </c>
    </row>
    <row r="90" spans="3:14" customFormat="1" ht="15" customHeight="1" x14ac:dyDescent="0.15">
      <c r="C90" s="86">
        <v>89</v>
      </c>
      <c r="E90" s="181" t="s">
        <v>280</v>
      </c>
      <c r="F90" s="86">
        <v>0</v>
      </c>
      <c r="G90" s="86">
        <v>0.22</v>
      </c>
      <c r="H90" s="86">
        <v>10.229836499999999</v>
      </c>
      <c r="I90" s="86">
        <v>26.4621</v>
      </c>
      <c r="J90" s="86">
        <v>0.98077833699999994</v>
      </c>
      <c r="K90" s="86">
        <v>0.38658446099999999</v>
      </c>
      <c r="L90" s="86">
        <v>0</v>
      </c>
      <c r="M90" s="86">
        <v>0.2</v>
      </c>
      <c r="N90" s="86">
        <v>0</v>
      </c>
    </row>
    <row r="91" spans="3:14" customFormat="1" ht="15" customHeight="1" x14ac:dyDescent="0.15">
      <c r="C91" s="86">
        <v>90</v>
      </c>
      <c r="E91" s="181" t="s">
        <v>281</v>
      </c>
      <c r="F91" s="86">
        <v>0</v>
      </c>
      <c r="G91" s="86">
        <v>1.09526908</v>
      </c>
      <c r="H91" s="86">
        <v>63.875</v>
      </c>
      <c r="I91" s="86">
        <v>100</v>
      </c>
      <c r="J91" s="86">
        <v>0.99</v>
      </c>
      <c r="K91" s="86">
        <v>0.63875000000000004</v>
      </c>
      <c r="L91" s="86">
        <v>0</v>
      </c>
      <c r="M91" s="86">
        <v>0.2</v>
      </c>
      <c r="N91" s="86">
        <v>0</v>
      </c>
    </row>
    <row r="92" spans="3:14" customFormat="1" ht="15" customHeight="1" x14ac:dyDescent="0.15">
      <c r="C92" s="86">
        <v>91</v>
      </c>
      <c r="E92" s="181" t="s">
        <v>282</v>
      </c>
      <c r="F92" s="86">
        <v>0</v>
      </c>
      <c r="G92" s="86">
        <v>0.92439729999999998</v>
      </c>
      <c r="H92" s="86">
        <v>32</v>
      </c>
      <c r="I92" s="86">
        <v>256.77325400000001</v>
      </c>
      <c r="J92" s="86">
        <v>0.99</v>
      </c>
      <c r="K92" s="86">
        <v>0.124623574</v>
      </c>
      <c r="L92" s="86">
        <v>0</v>
      </c>
      <c r="M92" s="86">
        <v>0.2</v>
      </c>
      <c r="N92" s="86">
        <v>0</v>
      </c>
    </row>
    <row r="93" spans="3:14" customFormat="1" ht="15" customHeight="1" x14ac:dyDescent="0.15">
      <c r="C93" s="86">
        <v>92</v>
      </c>
      <c r="E93" s="181" t="s">
        <v>283</v>
      </c>
      <c r="F93" s="86">
        <v>0</v>
      </c>
      <c r="G93" s="86">
        <v>1.6209180000000001</v>
      </c>
      <c r="H93" s="86">
        <v>91.25</v>
      </c>
      <c r="I93" s="86">
        <v>265.81</v>
      </c>
      <c r="J93" s="86">
        <v>0.99</v>
      </c>
      <c r="K93" s="86">
        <v>0.34329032900000001</v>
      </c>
      <c r="L93" s="86">
        <v>0</v>
      </c>
      <c r="M93" s="86">
        <v>0.2</v>
      </c>
      <c r="N93" s="86">
        <v>0</v>
      </c>
    </row>
    <row r="94" spans="3:14" customFormat="1" ht="15" customHeight="1" x14ac:dyDescent="0.15">
      <c r="C94" s="86">
        <v>93</v>
      </c>
      <c r="E94" s="181" t="s">
        <v>284</v>
      </c>
      <c r="F94" s="86">
        <v>1</v>
      </c>
      <c r="G94" s="86">
        <v>26.1</v>
      </c>
      <c r="H94" s="86">
        <v>109.118774</v>
      </c>
      <c r="I94" s="86">
        <v>0</v>
      </c>
      <c r="J94" s="86">
        <v>0.26282529999999998</v>
      </c>
      <c r="K94" s="86">
        <v>0</v>
      </c>
      <c r="L94" s="86">
        <v>0</v>
      </c>
      <c r="M94" s="86">
        <v>0</v>
      </c>
      <c r="N94" s="86">
        <v>0</v>
      </c>
    </row>
    <row r="95" spans="3:14" customFormat="1" ht="15" customHeight="1" x14ac:dyDescent="0.15">
      <c r="C95" s="86">
        <v>94</v>
      </c>
      <c r="E95" s="181" t="s">
        <v>285</v>
      </c>
      <c r="F95" s="86">
        <v>1</v>
      </c>
      <c r="G95" s="86">
        <v>39.389122</v>
      </c>
      <c r="H95" s="86">
        <v>10.225</v>
      </c>
      <c r="I95" s="86">
        <v>0</v>
      </c>
      <c r="J95" s="86">
        <v>0.53800225300000004</v>
      </c>
      <c r="K95" s="86">
        <v>0</v>
      </c>
      <c r="L95" s="86">
        <v>0</v>
      </c>
      <c r="M95" s="86">
        <v>0</v>
      </c>
      <c r="N95" s="86">
        <v>0</v>
      </c>
    </row>
    <row r="96" spans="3:14" customFormat="1" ht="15" customHeight="1" x14ac:dyDescent="0.15">
      <c r="C96" s="86">
        <v>95</v>
      </c>
      <c r="E96" s="181" t="s">
        <v>286</v>
      </c>
      <c r="F96" s="86">
        <v>1</v>
      </c>
      <c r="G96" s="86">
        <v>20.156726800000001</v>
      </c>
      <c r="H96" s="86">
        <v>13.7576923</v>
      </c>
      <c r="I96" s="86">
        <v>0</v>
      </c>
      <c r="J96" s="86">
        <v>0.83333426700000002</v>
      </c>
      <c r="K96" s="86">
        <v>0</v>
      </c>
      <c r="L96" s="86">
        <v>0</v>
      </c>
      <c r="M96" s="86">
        <v>0</v>
      </c>
      <c r="N96" s="86">
        <v>0</v>
      </c>
    </row>
    <row r="97" spans="3:14" customFormat="1" ht="15" customHeight="1" x14ac:dyDescent="0.15">
      <c r="C97" s="86">
        <v>96</v>
      </c>
      <c r="E97" s="181" t="s">
        <v>287</v>
      </c>
      <c r="F97" s="86">
        <v>1</v>
      </c>
      <c r="G97" s="86">
        <v>6.1472069999999999</v>
      </c>
      <c r="H97" s="86">
        <v>6.6183000000000006E-2</v>
      </c>
      <c r="I97" s="86">
        <v>0</v>
      </c>
      <c r="J97" s="86">
        <v>9.7106499999999998E-2</v>
      </c>
      <c r="K97" s="86">
        <v>0</v>
      </c>
      <c r="L97" s="86">
        <v>0</v>
      </c>
      <c r="M97" s="86">
        <v>0</v>
      </c>
      <c r="N97" s="86">
        <v>0</v>
      </c>
    </row>
    <row r="98" spans="3:14" customFormat="1" ht="15" customHeight="1" x14ac:dyDescent="0.15">
      <c r="C98" s="86">
        <v>97</v>
      </c>
      <c r="E98" s="181" t="s">
        <v>288</v>
      </c>
      <c r="F98" s="86">
        <v>2</v>
      </c>
      <c r="G98" s="86">
        <v>20</v>
      </c>
      <c r="H98" s="86">
        <v>0</v>
      </c>
      <c r="I98" s="86">
        <v>0</v>
      </c>
      <c r="J98" s="86">
        <v>5.0549660000000001E-4</v>
      </c>
      <c r="K98" s="86">
        <v>0</v>
      </c>
      <c r="L98" s="86">
        <v>0</v>
      </c>
      <c r="M98" s="86">
        <v>0</v>
      </c>
      <c r="N98" s="86">
        <v>0</v>
      </c>
    </row>
    <row r="99" spans="3:14" customFormat="1" ht="15" customHeight="1" x14ac:dyDescent="0.15">
      <c r="C99" s="86">
        <v>98</v>
      </c>
      <c r="E99" s="181" t="s">
        <v>289</v>
      </c>
      <c r="F99" s="86">
        <v>2</v>
      </c>
      <c r="G99" s="86">
        <v>100</v>
      </c>
      <c r="H99" s="86">
        <v>0</v>
      </c>
      <c r="I99" s="86">
        <v>0</v>
      </c>
      <c r="J99" s="86">
        <v>0.17502163400000001</v>
      </c>
      <c r="K99" s="86">
        <v>0</v>
      </c>
      <c r="L99" s="86">
        <v>0</v>
      </c>
      <c r="M99" s="86">
        <v>0</v>
      </c>
      <c r="N99" s="86">
        <v>0</v>
      </c>
    </row>
    <row r="100" spans="3:14" customFormat="1" ht="15" customHeight="1" x14ac:dyDescent="0.15">
      <c r="C100" s="86">
        <v>99</v>
      </c>
      <c r="E100" s="181" t="s">
        <v>290</v>
      </c>
      <c r="F100" s="86">
        <v>2</v>
      </c>
      <c r="G100" s="86">
        <v>5</v>
      </c>
      <c r="H100" s="86">
        <v>0</v>
      </c>
      <c r="I100" s="86">
        <v>0</v>
      </c>
      <c r="J100" s="86">
        <v>0</v>
      </c>
      <c r="K100" s="86">
        <v>0</v>
      </c>
      <c r="L100" s="86">
        <v>0</v>
      </c>
      <c r="M100" s="86">
        <v>0</v>
      </c>
      <c r="N100" s="86">
        <v>0</v>
      </c>
    </row>
    <row r="101" spans="3:14" customFormat="1" ht="15" customHeight="1" x14ac:dyDescent="0.15">
      <c r="C101" s="86">
        <v>100</v>
      </c>
      <c r="E101" s="181" t="s">
        <v>291</v>
      </c>
      <c r="F101" s="86">
        <v>3</v>
      </c>
      <c r="G101" s="86">
        <v>0</v>
      </c>
      <c r="H101" s="86">
        <v>0</v>
      </c>
      <c r="I101" s="86">
        <v>0</v>
      </c>
      <c r="J101" s="86">
        <v>0</v>
      </c>
      <c r="K101" s="86">
        <v>0</v>
      </c>
      <c r="L101" s="86">
        <v>0</v>
      </c>
      <c r="M101" s="86">
        <v>0</v>
      </c>
      <c r="N101" s="86">
        <v>0</v>
      </c>
    </row>
    <row r="102" spans="3:14" customFormat="1" ht="15" customHeight="1" x14ac:dyDescent="0.15">
      <c r="C102" s="86">
        <v>101</v>
      </c>
      <c r="E102" s="181" t="s">
        <v>292</v>
      </c>
      <c r="F102" s="86">
        <v>3</v>
      </c>
      <c r="G102" s="86">
        <v>0</v>
      </c>
      <c r="H102" s="86">
        <v>0</v>
      </c>
      <c r="I102" s="86">
        <v>0</v>
      </c>
      <c r="J102" s="86">
        <v>0</v>
      </c>
      <c r="K102" s="86">
        <v>0</v>
      </c>
      <c r="L102" s="86">
        <v>0</v>
      </c>
      <c r="M102" s="86">
        <v>0</v>
      </c>
      <c r="N102" s="86">
        <v>0</v>
      </c>
    </row>
    <row r="103" spans="3:14" customFormat="1" ht="15" customHeight="1" x14ac:dyDescent="0.15">
      <c r="C103" s="86">
        <v>102</v>
      </c>
      <c r="E103" s="181" t="s">
        <v>293</v>
      </c>
      <c r="F103" s="86">
        <v>3</v>
      </c>
      <c r="G103" s="86">
        <v>0</v>
      </c>
      <c r="H103" s="86">
        <v>0</v>
      </c>
      <c r="I103" s="86">
        <v>0</v>
      </c>
      <c r="J103" s="86">
        <v>0</v>
      </c>
      <c r="K103" s="86">
        <v>0</v>
      </c>
      <c r="L103" s="86">
        <v>0</v>
      </c>
      <c r="M103" s="86">
        <v>0</v>
      </c>
      <c r="N103" s="86">
        <v>0</v>
      </c>
    </row>
    <row r="104" spans="3:14" customFormat="1" ht="15" customHeight="1" x14ac:dyDescent="0.15">
      <c r="C104" s="86">
        <v>103</v>
      </c>
      <c r="E104" s="181" t="s">
        <v>294</v>
      </c>
      <c r="F104" s="86">
        <v>3</v>
      </c>
      <c r="G104" s="86">
        <v>0</v>
      </c>
      <c r="H104" s="86">
        <v>0</v>
      </c>
      <c r="I104" s="86">
        <v>0</v>
      </c>
      <c r="J104" s="86">
        <v>0</v>
      </c>
      <c r="K104" s="86">
        <v>0</v>
      </c>
      <c r="L104" s="86">
        <v>0</v>
      </c>
      <c r="M104" s="86">
        <v>0</v>
      </c>
      <c r="N104" s="86">
        <v>0</v>
      </c>
    </row>
    <row r="105" spans="3:14" customFormat="1" ht="15" customHeight="1" x14ac:dyDescent="0.15">
      <c r="C105" s="86">
        <v>104</v>
      </c>
      <c r="E105" s="181" t="s">
        <v>295</v>
      </c>
      <c r="F105" s="86">
        <v>3</v>
      </c>
      <c r="G105" s="86">
        <v>0</v>
      </c>
      <c r="H105" s="86">
        <v>0</v>
      </c>
      <c r="I105" s="86">
        <v>0</v>
      </c>
      <c r="J105" s="86">
        <v>0</v>
      </c>
      <c r="K105" s="86">
        <v>0</v>
      </c>
      <c r="L105" s="86">
        <v>0</v>
      </c>
      <c r="M105" s="86">
        <v>0</v>
      </c>
      <c r="N105" s="86">
        <v>0</v>
      </c>
    </row>
    <row r="106" spans="3:14" customFormat="1" ht="15" customHeight="1" x14ac:dyDescent="0.15">
      <c r="C106" s="86">
        <v>105</v>
      </c>
      <c r="E106" s="181" t="s">
        <v>296</v>
      </c>
      <c r="F106" s="86">
        <v>3</v>
      </c>
      <c r="G106" s="86">
        <v>0</v>
      </c>
      <c r="H106" s="86">
        <v>0</v>
      </c>
      <c r="I106" s="86">
        <v>0</v>
      </c>
      <c r="J106" s="86">
        <v>0</v>
      </c>
      <c r="K106" s="86">
        <v>0</v>
      </c>
      <c r="L106" s="86">
        <v>0</v>
      </c>
      <c r="M106" s="86">
        <v>0</v>
      </c>
      <c r="N106" s="86">
        <v>0</v>
      </c>
    </row>
    <row r="107" spans="3:14" customFormat="1" ht="15" customHeight="1" x14ac:dyDescent="0.15">
      <c r="C107" s="86">
        <v>106</v>
      </c>
      <c r="E107" s="181" t="s">
        <v>297</v>
      </c>
      <c r="F107" s="86">
        <v>3</v>
      </c>
      <c r="G107" s="86">
        <v>0</v>
      </c>
      <c r="H107" s="86">
        <v>0</v>
      </c>
      <c r="I107" s="86">
        <v>0</v>
      </c>
      <c r="J107" s="86">
        <v>0</v>
      </c>
      <c r="K107" s="86">
        <v>0</v>
      </c>
      <c r="L107" s="86">
        <v>0</v>
      </c>
      <c r="M107" s="86">
        <v>0</v>
      </c>
      <c r="N107" s="86">
        <v>0</v>
      </c>
    </row>
    <row r="108" spans="3:14" customFormat="1" ht="15" customHeight="1" x14ac:dyDescent="0.15">
      <c r="C108" s="86">
        <v>107</v>
      </c>
      <c r="E108" s="181" t="s">
        <v>298</v>
      </c>
      <c r="F108" s="86">
        <v>3</v>
      </c>
      <c r="G108" s="86">
        <v>0</v>
      </c>
      <c r="H108" s="86">
        <v>0</v>
      </c>
      <c r="I108" s="86">
        <v>0</v>
      </c>
      <c r="J108" s="86">
        <v>0</v>
      </c>
      <c r="K108" s="86">
        <v>0</v>
      </c>
      <c r="L108" s="86">
        <v>0</v>
      </c>
      <c r="M108" s="86">
        <v>0</v>
      </c>
      <c r="N108" s="86">
        <v>0</v>
      </c>
    </row>
    <row r="109" spans="3:14" customFormat="1" ht="15" customHeight="1" x14ac:dyDescent="0.15">
      <c r="C109" s="86">
        <v>108</v>
      </c>
      <c r="E109" s="181" t="s">
        <v>299</v>
      </c>
      <c r="F109" s="86">
        <v>3</v>
      </c>
      <c r="G109" s="86">
        <v>0</v>
      </c>
      <c r="H109" s="86">
        <v>0</v>
      </c>
      <c r="I109" s="86">
        <v>0</v>
      </c>
      <c r="J109" s="86">
        <v>0</v>
      </c>
      <c r="K109" s="86">
        <v>0</v>
      </c>
      <c r="L109" s="86">
        <v>0</v>
      </c>
      <c r="M109" s="86">
        <v>0</v>
      </c>
      <c r="N109" s="86">
        <v>0</v>
      </c>
    </row>
    <row r="110" spans="3:14" customFormat="1" ht="15" customHeight="1" x14ac:dyDescent="0.15">
      <c r="C110" s="86">
        <v>109</v>
      </c>
      <c r="E110" s="181" t="s">
        <v>300</v>
      </c>
      <c r="F110" s="86">
        <v>3</v>
      </c>
      <c r="G110" s="86">
        <v>0</v>
      </c>
      <c r="H110" s="86">
        <v>0</v>
      </c>
      <c r="I110" s="86">
        <v>0</v>
      </c>
      <c r="J110" s="86">
        <v>0</v>
      </c>
      <c r="K110" s="86">
        <v>0</v>
      </c>
      <c r="L110" s="86">
        <v>0</v>
      </c>
      <c r="M110" s="86">
        <v>0</v>
      </c>
      <c r="N110" s="86">
        <v>0</v>
      </c>
    </row>
    <row r="111" spans="3:14" customFormat="1" ht="15" customHeight="1" x14ac:dyDescent="0.15">
      <c r="C111" s="86">
        <v>110</v>
      </c>
      <c r="E111" s="181" t="s">
        <v>301</v>
      </c>
      <c r="F111" s="86">
        <v>3</v>
      </c>
      <c r="G111" s="86">
        <v>0</v>
      </c>
      <c r="H111" s="86">
        <v>0</v>
      </c>
      <c r="I111" s="86">
        <v>0</v>
      </c>
      <c r="J111" s="86">
        <v>0</v>
      </c>
      <c r="K111" s="86">
        <v>0</v>
      </c>
      <c r="L111" s="86">
        <v>0</v>
      </c>
      <c r="M111" s="86">
        <v>0</v>
      </c>
      <c r="N111" s="86">
        <v>0</v>
      </c>
    </row>
    <row r="112" spans="3:14" customFormat="1" ht="15" customHeight="1" x14ac:dyDescent="0.15">
      <c r="C112" s="86">
        <v>111</v>
      </c>
      <c r="E112" s="181" t="s">
        <v>302</v>
      </c>
      <c r="F112" s="86">
        <v>3</v>
      </c>
      <c r="G112" s="86">
        <v>0</v>
      </c>
      <c r="H112" s="86">
        <v>0</v>
      </c>
      <c r="I112" s="86">
        <v>0</v>
      </c>
      <c r="J112" s="86">
        <v>0</v>
      </c>
      <c r="K112" s="86">
        <v>0</v>
      </c>
      <c r="L112" s="86">
        <v>0</v>
      </c>
      <c r="M112" s="86">
        <v>0</v>
      </c>
      <c r="N112" s="86">
        <v>0</v>
      </c>
    </row>
    <row r="113" spans="3:14" customFormat="1" ht="15" customHeight="1" x14ac:dyDescent="0.15">
      <c r="C113" s="86">
        <v>112</v>
      </c>
      <c r="E113" s="181" t="s">
        <v>303</v>
      </c>
      <c r="F113" s="86">
        <v>3</v>
      </c>
      <c r="G113" s="86">
        <v>0</v>
      </c>
      <c r="H113" s="86">
        <v>0</v>
      </c>
      <c r="I113" s="86">
        <v>0</v>
      </c>
      <c r="J113" s="86">
        <v>0</v>
      </c>
      <c r="K113" s="86">
        <v>0</v>
      </c>
      <c r="L113" s="86">
        <v>0</v>
      </c>
      <c r="M113" s="86">
        <v>0</v>
      </c>
      <c r="N113" s="86">
        <v>0</v>
      </c>
    </row>
    <row r="114" spans="3:14" customFormat="1" ht="15" customHeight="1" x14ac:dyDescent="0.15">
      <c r="C114" s="86">
        <v>113</v>
      </c>
      <c r="E114" s="181" t="s">
        <v>304</v>
      </c>
      <c r="F114" s="86">
        <v>3</v>
      </c>
      <c r="G114" s="86">
        <v>0</v>
      </c>
      <c r="H114" s="86">
        <v>0</v>
      </c>
      <c r="I114" s="86">
        <v>0</v>
      </c>
      <c r="J114" s="86">
        <v>0</v>
      </c>
      <c r="K114" s="86">
        <v>0</v>
      </c>
      <c r="L114" s="86">
        <v>0</v>
      </c>
      <c r="M114" s="86">
        <v>0</v>
      </c>
      <c r="N114" s="86">
        <v>0</v>
      </c>
    </row>
    <row r="115" spans="3:14" customFormat="1" ht="15" customHeight="1" x14ac:dyDescent="0.15">
      <c r="C115" s="86">
        <v>114</v>
      </c>
      <c r="E115" s="181" t="s">
        <v>305</v>
      </c>
      <c r="F115" s="86">
        <v>3</v>
      </c>
      <c r="G115" s="86">
        <v>0</v>
      </c>
      <c r="H115" s="86">
        <v>0</v>
      </c>
      <c r="I115" s="86">
        <v>0</v>
      </c>
      <c r="J115" s="86">
        <v>0</v>
      </c>
      <c r="K115" s="86">
        <v>0</v>
      </c>
      <c r="L115" s="86">
        <v>0</v>
      </c>
      <c r="M115" s="86">
        <v>0</v>
      </c>
      <c r="N115" s="86">
        <v>0</v>
      </c>
    </row>
    <row r="116" spans="3:14" customFormat="1" ht="15" customHeight="1" x14ac:dyDescent="0.15">
      <c r="C116" s="86">
        <v>115</v>
      </c>
      <c r="E116" s="181" t="s">
        <v>306</v>
      </c>
      <c r="F116" s="86">
        <v>3</v>
      </c>
      <c r="G116" s="86">
        <v>0</v>
      </c>
      <c r="H116" s="86">
        <v>0</v>
      </c>
      <c r="I116" s="86">
        <v>0</v>
      </c>
      <c r="J116" s="86">
        <v>0</v>
      </c>
      <c r="K116" s="86">
        <v>0</v>
      </c>
      <c r="L116" s="86">
        <v>0</v>
      </c>
      <c r="M116" s="86">
        <v>0</v>
      </c>
      <c r="N116" s="86">
        <v>0</v>
      </c>
    </row>
    <row r="117" spans="3:14" customFormat="1" ht="15" customHeight="1" x14ac:dyDescent="0.15">
      <c r="C117" s="86">
        <v>116</v>
      </c>
      <c r="E117" s="181" t="s">
        <v>307</v>
      </c>
      <c r="F117" s="86">
        <v>3</v>
      </c>
      <c r="G117" s="86">
        <v>0</v>
      </c>
      <c r="H117" s="86">
        <v>0</v>
      </c>
      <c r="I117" s="86">
        <v>0</v>
      </c>
      <c r="J117" s="86">
        <v>0</v>
      </c>
      <c r="K117" s="86">
        <v>0</v>
      </c>
      <c r="L117" s="86">
        <v>0</v>
      </c>
      <c r="M117" s="86">
        <v>0</v>
      </c>
      <c r="N117" s="86">
        <v>0</v>
      </c>
    </row>
    <row r="118" spans="3:14" customFormat="1" ht="15" customHeight="1" x14ac:dyDescent="0.15"/>
    <row r="119" spans="3:14" customFormat="1" ht="15" customHeight="1" x14ac:dyDescent="0.15"/>
    <row r="120" spans="3:14" customFormat="1" ht="15" customHeight="1" x14ac:dyDescent="0.15"/>
    <row r="121" spans="3:14" customFormat="1" ht="15" customHeight="1" x14ac:dyDescent="0.15"/>
    <row r="122" spans="3:14" customFormat="1" ht="15" customHeight="1" x14ac:dyDescent="0.15"/>
    <row r="123" spans="3:14" customFormat="1" ht="15" customHeight="1" x14ac:dyDescent="0.15"/>
    <row r="124" spans="3:14" customFormat="1" ht="15" customHeight="1" x14ac:dyDescent="0.15"/>
    <row r="125" spans="3:14" customFormat="1" ht="15" customHeight="1" x14ac:dyDescent="0.15"/>
    <row r="126" spans="3:14" customFormat="1" ht="15" customHeight="1" x14ac:dyDescent="0.15"/>
    <row r="127" spans="3:14" customFormat="1" ht="15" customHeight="1" x14ac:dyDescent="0.15"/>
    <row r="128" spans="3:14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CV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1.5" style="146" bestFit="1" customWidth="1"/>
    <col min="2" max="2" width="13.83203125" style="146" bestFit="1" customWidth="1"/>
    <col min="3" max="4" width="14.83203125" style="146" bestFit="1" customWidth="1"/>
    <col min="5" max="5" width="2.33203125" style="146" bestFit="1" customWidth="1"/>
    <col min="6" max="6" width="14.83203125" style="146" bestFit="1" customWidth="1"/>
    <col min="7" max="8" width="7.83203125" style="146" bestFit="1" customWidth="1"/>
    <col min="9" max="9" width="14.83203125" style="146" bestFit="1" customWidth="1"/>
    <col min="10" max="12" width="15.83203125" style="146" bestFit="1" customWidth="1"/>
    <col min="13" max="13" width="7.83203125" style="146" bestFit="1" customWidth="1"/>
    <col min="14" max="16" width="15.83203125" style="146" bestFit="1" customWidth="1"/>
    <col min="17" max="18" width="7.83203125" style="146" bestFit="1" customWidth="1"/>
    <col min="19" max="19" width="15.83203125" style="146" bestFit="1" customWidth="1"/>
    <col min="20" max="20" width="7.83203125" style="146" bestFit="1" customWidth="1"/>
    <col min="21" max="23" width="15.83203125" style="146" bestFit="1" customWidth="1"/>
    <col min="24" max="24" width="7.83203125" style="146" bestFit="1" customWidth="1"/>
    <col min="25" max="27" width="15.83203125" style="146" bestFit="1" customWidth="1"/>
    <col min="28" max="29" width="7.83203125" style="146" bestFit="1" customWidth="1"/>
    <col min="30" max="31" width="7.83203125" style="146" customWidth="1"/>
    <col min="32" max="32" width="15.83203125" style="146" customWidth="1"/>
    <col min="33" max="33" width="7.83203125" style="146" customWidth="1"/>
    <col min="34" max="38" width="15.83203125" style="146" customWidth="1"/>
    <col min="39" max="39" width="7.83203125" style="146" customWidth="1"/>
    <col min="40" max="40" width="15.83203125" style="146" customWidth="1"/>
    <col min="41" max="42" width="7.83203125" style="146" customWidth="1"/>
    <col min="43" max="47" width="15.83203125" style="146" customWidth="1"/>
    <col min="48" max="49" width="7.83203125" style="146" customWidth="1"/>
    <col min="50" max="56" width="15.83203125" style="146" customWidth="1"/>
    <col min="57" max="58" width="7.83203125" style="146" customWidth="1"/>
    <col min="59" max="59" width="15.83203125" style="146" customWidth="1"/>
    <col min="60" max="60" width="7.83203125" style="146" customWidth="1"/>
    <col min="61" max="61" width="15.5" style="146" customWidth="1"/>
    <col min="62" max="62" width="15.83203125" style="146" customWidth="1"/>
    <col min="63" max="64" width="7.83203125" style="146" customWidth="1"/>
    <col min="65" max="66" width="15.83203125" style="146" customWidth="1"/>
    <col min="67" max="67" width="15.5" style="146" customWidth="1"/>
    <col min="68" max="71" width="7.83203125" style="146" customWidth="1"/>
    <col min="72" max="72" width="2.33203125" style="146" customWidth="1"/>
    <col min="73" max="76" width="7.83203125" style="146" customWidth="1"/>
    <col min="77" max="77" width="15.83203125" style="146" customWidth="1"/>
    <col min="78" max="78" width="3.83203125" style="146" customWidth="1"/>
    <col min="79" max="79" width="7.83203125" style="146" customWidth="1"/>
    <col min="80" max="80" width="14.83203125" style="146" customWidth="1"/>
    <col min="81" max="82" width="7.83203125" style="146" customWidth="1"/>
    <col min="83" max="83" width="11.83203125" style="146" customWidth="1"/>
    <col min="84" max="87" width="7.83203125" style="146" customWidth="1"/>
    <col min="88" max="88" width="15.83203125" style="146" customWidth="1"/>
    <col min="89" max="89" width="7.83203125" style="146" customWidth="1"/>
    <col min="90" max="90" width="15.83203125" style="146" customWidth="1"/>
    <col min="91" max="91" width="5.83203125" style="146" customWidth="1"/>
    <col min="92" max="100" width="2.33203125" style="146" customWidth="1"/>
    <col min="101" max="16384" width="8.83203125" style="146"/>
  </cols>
  <sheetData>
    <row r="1" spans="1:100" x14ac:dyDescent="0.15">
      <c r="A1" s="145" t="s">
        <v>19</v>
      </c>
      <c r="B1" s="183" t="s">
        <v>192</v>
      </c>
      <c r="C1" s="183" t="s">
        <v>193</v>
      </c>
      <c r="D1" s="183" t="s">
        <v>194</v>
      </c>
      <c r="E1" s="183" t="s">
        <v>195</v>
      </c>
      <c r="F1" s="183" t="s">
        <v>196</v>
      </c>
      <c r="G1" s="183" t="s">
        <v>197</v>
      </c>
      <c r="H1" s="183" t="s">
        <v>198</v>
      </c>
      <c r="I1" s="183" t="s">
        <v>199</v>
      </c>
      <c r="J1" s="183" t="s">
        <v>200</v>
      </c>
      <c r="K1" s="183" t="s">
        <v>201</v>
      </c>
      <c r="L1" s="183" t="s">
        <v>202</v>
      </c>
      <c r="M1" s="183" t="s">
        <v>203</v>
      </c>
      <c r="N1" s="183" t="s">
        <v>204</v>
      </c>
      <c r="O1" s="183" t="s">
        <v>205</v>
      </c>
      <c r="P1" s="183" t="s">
        <v>206</v>
      </c>
      <c r="Q1" s="183" t="s">
        <v>207</v>
      </c>
      <c r="R1" s="183" t="s">
        <v>208</v>
      </c>
      <c r="S1" s="183" t="s">
        <v>209</v>
      </c>
      <c r="T1" s="183" t="s">
        <v>210</v>
      </c>
      <c r="U1" s="183" t="s">
        <v>211</v>
      </c>
      <c r="V1" s="183" t="s">
        <v>212</v>
      </c>
      <c r="W1" s="183" t="s">
        <v>213</v>
      </c>
      <c r="X1" s="183" t="s">
        <v>214</v>
      </c>
      <c r="Y1" s="183" t="s">
        <v>215</v>
      </c>
      <c r="Z1" s="183" t="s">
        <v>216</v>
      </c>
      <c r="AA1" s="183" t="s">
        <v>217</v>
      </c>
      <c r="AB1" s="183" t="s">
        <v>218</v>
      </c>
      <c r="AC1" s="183" t="s">
        <v>219</v>
      </c>
      <c r="AD1" s="183" t="s">
        <v>220</v>
      </c>
      <c r="AE1" s="183" t="s">
        <v>221</v>
      </c>
      <c r="AF1" s="183" t="s">
        <v>222</v>
      </c>
      <c r="AG1" s="183" t="s">
        <v>223</v>
      </c>
      <c r="AH1" s="183" t="s">
        <v>224</v>
      </c>
      <c r="AI1" s="183" t="s">
        <v>225</v>
      </c>
      <c r="AJ1" s="183" t="s">
        <v>226</v>
      </c>
      <c r="AK1" s="183" t="s">
        <v>227</v>
      </c>
      <c r="AL1" s="183" t="s">
        <v>228</v>
      </c>
      <c r="AM1" s="183" t="s">
        <v>229</v>
      </c>
      <c r="AN1" s="183" t="s">
        <v>230</v>
      </c>
      <c r="AO1" s="183" t="s">
        <v>231</v>
      </c>
      <c r="AP1" s="183" t="s">
        <v>232</v>
      </c>
      <c r="AQ1" s="183" t="s">
        <v>233</v>
      </c>
      <c r="AR1" s="183" t="s">
        <v>234</v>
      </c>
      <c r="AS1" s="183" t="s">
        <v>235</v>
      </c>
      <c r="AT1" s="183" t="s">
        <v>236</v>
      </c>
      <c r="AU1" s="183" t="s">
        <v>237</v>
      </c>
      <c r="AV1" s="183" t="s">
        <v>238</v>
      </c>
      <c r="AW1" s="183" t="s">
        <v>239</v>
      </c>
      <c r="AX1" s="183" t="s">
        <v>240</v>
      </c>
      <c r="AY1" s="183" t="s">
        <v>241</v>
      </c>
      <c r="AZ1" s="183" t="s">
        <v>242</v>
      </c>
      <c r="BA1" s="183" t="s">
        <v>243</v>
      </c>
      <c r="BB1" s="183" t="s">
        <v>244</v>
      </c>
      <c r="BC1" s="183" t="s">
        <v>245</v>
      </c>
      <c r="BD1" s="183" t="s">
        <v>246</v>
      </c>
      <c r="BE1" s="183" t="s">
        <v>247</v>
      </c>
      <c r="BF1" s="183" t="s">
        <v>248</v>
      </c>
      <c r="BG1" s="183" t="s">
        <v>249</v>
      </c>
      <c r="BH1" s="183" t="s">
        <v>250</v>
      </c>
      <c r="BI1" s="183" t="s">
        <v>251</v>
      </c>
      <c r="BJ1" s="183" t="s">
        <v>252</v>
      </c>
      <c r="BK1" s="183" t="s">
        <v>253</v>
      </c>
      <c r="BL1" s="183" t="s">
        <v>254</v>
      </c>
      <c r="BM1" s="183" t="s">
        <v>255</v>
      </c>
      <c r="BN1" s="183" t="s">
        <v>256</v>
      </c>
      <c r="BO1" s="183" t="s">
        <v>257</v>
      </c>
      <c r="BP1" s="183" t="s">
        <v>258</v>
      </c>
      <c r="BQ1" s="183" t="s">
        <v>259</v>
      </c>
      <c r="BR1" s="183" t="s">
        <v>260</v>
      </c>
      <c r="BS1" s="183" t="s">
        <v>261</v>
      </c>
      <c r="BT1" s="183" t="s">
        <v>262</v>
      </c>
      <c r="BU1" s="183" t="s">
        <v>263</v>
      </c>
      <c r="BV1" s="183" t="s">
        <v>264</v>
      </c>
      <c r="BW1" s="183" t="s">
        <v>265</v>
      </c>
      <c r="BX1" s="183" t="s">
        <v>266</v>
      </c>
      <c r="BY1" s="183" t="s">
        <v>267</v>
      </c>
      <c r="BZ1" s="183" t="s">
        <v>268</v>
      </c>
      <c r="CA1" s="183" t="s">
        <v>269</v>
      </c>
      <c r="CB1" s="183" t="s">
        <v>270</v>
      </c>
      <c r="CC1" s="183" t="s">
        <v>271</v>
      </c>
      <c r="CD1" s="183" t="s">
        <v>272</v>
      </c>
      <c r="CE1" s="183" t="s">
        <v>273</v>
      </c>
      <c r="CF1" s="183" t="s">
        <v>274</v>
      </c>
      <c r="CG1" s="183" t="s">
        <v>275</v>
      </c>
      <c r="CH1" s="183" t="s">
        <v>276</v>
      </c>
      <c r="CI1" s="183" t="s">
        <v>277</v>
      </c>
      <c r="CJ1" s="183" t="s">
        <v>278</v>
      </c>
      <c r="CK1" s="183" t="s">
        <v>279</v>
      </c>
      <c r="CL1" s="183" t="s">
        <v>280</v>
      </c>
      <c r="CM1" s="183" t="s">
        <v>281</v>
      </c>
      <c r="CN1" s="183" t="s">
        <v>282</v>
      </c>
      <c r="CO1" s="183" t="s">
        <v>283</v>
      </c>
      <c r="CP1" s="183" t="s">
        <v>284</v>
      </c>
      <c r="CQ1" s="183" t="s">
        <v>285</v>
      </c>
      <c r="CR1" s="183" t="s">
        <v>286</v>
      </c>
      <c r="CS1" s="183" t="s">
        <v>287</v>
      </c>
      <c r="CT1" s="183" t="s">
        <v>288</v>
      </c>
      <c r="CU1" s="183" t="s">
        <v>289</v>
      </c>
      <c r="CV1" s="183" t="s">
        <v>290</v>
      </c>
    </row>
    <row r="2" spans="1:100" customFormat="1" x14ac:dyDescent="0.15">
      <c r="A2" s="182" t="s">
        <v>192</v>
      </c>
      <c r="B2" s="146">
        <v>0</v>
      </c>
      <c r="C2" s="146">
        <v>0</v>
      </c>
      <c r="D2" s="146">
        <v>0</v>
      </c>
      <c r="E2" s="146">
        <v>0</v>
      </c>
      <c r="F2" s="146">
        <v>0</v>
      </c>
      <c r="G2" s="146">
        <v>0</v>
      </c>
      <c r="H2" s="146">
        <v>0</v>
      </c>
      <c r="I2" s="146">
        <v>0</v>
      </c>
      <c r="J2" s="146">
        <v>0</v>
      </c>
      <c r="K2" s="146">
        <v>0</v>
      </c>
      <c r="L2" s="146">
        <v>0</v>
      </c>
      <c r="M2" s="146">
        <v>0</v>
      </c>
      <c r="N2" s="146">
        <v>0</v>
      </c>
      <c r="O2" s="146">
        <v>0</v>
      </c>
      <c r="P2" s="146">
        <v>0</v>
      </c>
      <c r="Q2" s="146">
        <v>0</v>
      </c>
      <c r="R2" s="146">
        <v>0</v>
      </c>
      <c r="S2" s="146">
        <v>0</v>
      </c>
      <c r="T2" s="146">
        <v>0</v>
      </c>
      <c r="U2" s="146">
        <v>0</v>
      </c>
      <c r="V2" s="146">
        <v>0</v>
      </c>
      <c r="W2" s="146">
        <v>0</v>
      </c>
      <c r="X2" s="146">
        <v>0</v>
      </c>
      <c r="Y2" s="146">
        <v>0</v>
      </c>
      <c r="Z2" s="146">
        <v>2.0000045110677743E-4</v>
      </c>
      <c r="AA2" s="146">
        <v>0</v>
      </c>
      <c r="AB2" s="146">
        <v>0</v>
      </c>
      <c r="AC2" s="146">
        <v>0</v>
      </c>
      <c r="AD2" s="146">
        <v>0</v>
      </c>
      <c r="AE2" s="146">
        <v>0</v>
      </c>
      <c r="AF2" s="146">
        <v>0</v>
      </c>
      <c r="AG2" s="146">
        <v>0</v>
      </c>
      <c r="AH2" s="146">
        <v>0</v>
      </c>
      <c r="AI2" s="146">
        <v>0</v>
      </c>
      <c r="AJ2" s="146">
        <v>0</v>
      </c>
      <c r="AK2" s="146">
        <v>0</v>
      </c>
      <c r="AL2" s="146">
        <v>0</v>
      </c>
      <c r="AM2" s="146">
        <v>0</v>
      </c>
      <c r="AN2" s="146">
        <v>0</v>
      </c>
      <c r="AO2" s="146">
        <v>0</v>
      </c>
      <c r="AP2" s="146">
        <v>0</v>
      </c>
      <c r="AQ2" s="146">
        <v>0</v>
      </c>
      <c r="AR2" s="146">
        <v>0</v>
      </c>
      <c r="AS2" s="146">
        <v>0</v>
      </c>
      <c r="AT2" s="146">
        <v>0</v>
      </c>
      <c r="AU2" s="146">
        <v>0</v>
      </c>
      <c r="AV2" s="146">
        <v>0</v>
      </c>
      <c r="AW2" s="146">
        <v>0</v>
      </c>
      <c r="AX2" s="146">
        <v>0</v>
      </c>
      <c r="AY2" s="146">
        <v>0</v>
      </c>
      <c r="AZ2" s="146">
        <v>0</v>
      </c>
      <c r="BA2" s="146">
        <v>0</v>
      </c>
      <c r="BB2" s="146">
        <v>0</v>
      </c>
      <c r="BC2" s="146">
        <v>0</v>
      </c>
      <c r="BD2" s="146">
        <v>0</v>
      </c>
      <c r="BE2" s="146">
        <v>0</v>
      </c>
      <c r="BF2" s="146">
        <v>0</v>
      </c>
      <c r="BG2" s="146">
        <v>0</v>
      </c>
      <c r="BH2" s="146">
        <v>0</v>
      </c>
      <c r="BI2" s="146">
        <v>0</v>
      </c>
      <c r="BJ2" s="146">
        <v>0</v>
      </c>
      <c r="BK2" s="146">
        <v>0</v>
      </c>
      <c r="BL2" s="146">
        <v>0</v>
      </c>
      <c r="BM2" s="146">
        <v>0</v>
      </c>
      <c r="BN2" s="146">
        <v>0</v>
      </c>
      <c r="BO2" s="146">
        <v>0</v>
      </c>
      <c r="BP2" s="146">
        <v>0</v>
      </c>
      <c r="BQ2" s="146">
        <v>0</v>
      </c>
      <c r="BR2" s="146">
        <v>0</v>
      </c>
      <c r="BS2" s="146">
        <v>0</v>
      </c>
      <c r="BT2" s="146">
        <v>0</v>
      </c>
      <c r="BU2" s="146">
        <v>0</v>
      </c>
      <c r="BV2" s="146">
        <v>0</v>
      </c>
      <c r="BW2" s="146">
        <v>0</v>
      </c>
      <c r="BX2" s="146">
        <v>0</v>
      </c>
      <c r="BY2" s="146">
        <v>0</v>
      </c>
      <c r="BZ2" s="146">
        <v>0</v>
      </c>
      <c r="CA2" s="146">
        <v>0</v>
      </c>
      <c r="CB2" s="146">
        <v>0</v>
      </c>
      <c r="CC2" s="146">
        <v>0</v>
      </c>
      <c r="CD2" s="146">
        <v>0</v>
      </c>
      <c r="CE2" s="146">
        <v>0</v>
      </c>
      <c r="CF2" s="146">
        <v>0</v>
      </c>
      <c r="CG2" s="146">
        <v>0</v>
      </c>
      <c r="CH2" s="146">
        <v>0</v>
      </c>
      <c r="CI2" s="146">
        <v>0</v>
      </c>
      <c r="CJ2" s="146">
        <v>0</v>
      </c>
      <c r="CK2" s="146">
        <v>0</v>
      </c>
      <c r="CL2" s="146">
        <v>0</v>
      </c>
      <c r="CM2" s="146">
        <v>0</v>
      </c>
      <c r="CN2" s="146">
        <v>0</v>
      </c>
      <c r="CO2" s="146">
        <v>0</v>
      </c>
      <c r="CP2" s="146">
        <v>0</v>
      </c>
      <c r="CQ2" s="146">
        <v>0</v>
      </c>
      <c r="CR2" s="146">
        <v>0</v>
      </c>
      <c r="CS2" s="146">
        <v>0</v>
      </c>
      <c r="CT2" s="146">
        <v>0</v>
      </c>
      <c r="CU2" s="146">
        <v>0</v>
      </c>
      <c r="CV2" s="146">
        <v>0</v>
      </c>
    </row>
    <row r="3" spans="1:100" customFormat="1" x14ac:dyDescent="0.15">
      <c r="A3" s="182" t="s">
        <v>193</v>
      </c>
      <c r="B3" s="146">
        <v>0</v>
      </c>
      <c r="C3" s="146">
        <v>0</v>
      </c>
      <c r="D3" s="146">
        <v>0</v>
      </c>
      <c r="E3" s="146">
        <v>0</v>
      </c>
      <c r="F3" s="146">
        <v>0</v>
      </c>
      <c r="G3" s="146">
        <v>0</v>
      </c>
      <c r="H3" s="146">
        <v>0</v>
      </c>
      <c r="I3" s="146">
        <v>0</v>
      </c>
      <c r="J3" s="146">
        <v>0</v>
      </c>
      <c r="K3" s="146">
        <v>0</v>
      </c>
      <c r="L3" s="146">
        <v>0</v>
      </c>
      <c r="M3" s="146">
        <v>0</v>
      </c>
      <c r="N3" s="146">
        <v>0</v>
      </c>
      <c r="O3" s="146">
        <v>0</v>
      </c>
      <c r="P3" s="146">
        <v>0</v>
      </c>
      <c r="Q3" s="146">
        <v>0</v>
      </c>
      <c r="R3" s="146">
        <v>0</v>
      </c>
      <c r="S3" s="146">
        <v>0</v>
      </c>
      <c r="T3" s="146">
        <v>0</v>
      </c>
      <c r="U3" s="146">
        <v>0</v>
      </c>
      <c r="V3" s="146">
        <v>0</v>
      </c>
      <c r="W3" s="146">
        <v>0</v>
      </c>
      <c r="X3" s="146">
        <v>0</v>
      </c>
      <c r="Y3" s="146">
        <v>0</v>
      </c>
      <c r="Z3" s="146">
        <v>2.0000045110677743E-4</v>
      </c>
      <c r="AA3" s="146">
        <v>0</v>
      </c>
      <c r="AB3" s="146">
        <v>0</v>
      </c>
      <c r="AC3" s="146">
        <v>0</v>
      </c>
      <c r="AD3" s="146">
        <v>0</v>
      </c>
      <c r="AE3" s="146">
        <v>0</v>
      </c>
      <c r="AF3" s="146">
        <v>0</v>
      </c>
      <c r="AG3" s="146">
        <v>0</v>
      </c>
      <c r="AH3" s="146">
        <v>0</v>
      </c>
      <c r="AI3" s="146">
        <v>0</v>
      </c>
      <c r="AJ3" s="146">
        <v>0</v>
      </c>
      <c r="AK3" s="146">
        <v>0</v>
      </c>
      <c r="AL3" s="146">
        <v>0</v>
      </c>
      <c r="AM3" s="146">
        <v>0</v>
      </c>
      <c r="AN3" s="146">
        <v>0</v>
      </c>
      <c r="AO3" s="146">
        <v>0</v>
      </c>
      <c r="AP3" s="146">
        <v>0</v>
      </c>
      <c r="AQ3" s="146">
        <v>0</v>
      </c>
      <c r="AR3" s="146">
        <v>0</v>
      </c>
      <c r="AS3" s="146">
        <v>0</v>
      </c>
      <c r="AT3" s="146">
        <v>0</v>
      </c>
      <c r="AU3" s="146">
        <v>0</v>
      </c>
      <c r="AV3" s="146">
        <v>0</v>
      </c>
      <c r="AW3" s="146">
        <v>0</v>
      </c>
      <c r="AX3" s="146">
        <v>0</v>
      </c>
      <c r="AY3" s="146">
        <v>0</v>
      </c>
      <c r="AZ3" s="146">
        <v>0</v>
      </c>
      <c r="BA3" s="146">
        <v>0</v>
      </c>
      <c r="BB3" s="146">
        <v>0</v>
      </c>
      <c r="BC3" s="146">
        <v>0</v>
      </c>
      <c r="BD3" s="146">
        <v>0</v>
      </c>
      <c r="BE3" s="146">
        <v>0</v>
      </c>
      <c r="BF3" s="146">
        <v>0</v>
      </c>
      <c r="BG3" s="146">
        <v>0</v>
      </c>
      <c r="BH3" s="146">
        <v>0</v>
      </c>
      <c r="BI3" s="146">
        <v>0</v>
      </c>
      <c r="BJ3" s="146">
        <v>0</v>
      </c>
      <c r="BK3" s="146">
        <v>0</v>
      </c>
      <c r="BL3" s="146">
        <v>0</v>
      </c>
      <c r="BM3" s="146">
        <v>0</v>
      </c>
      <c r="BN3" s="146">
        <v>0</v>
      </c>
      <c r="BO3" s="146">
        <v>0</v>
      </c>
      <c r="BP3" s="146">
        <v>0</v>
      </c>
      <c r="BQ3" s="146">
        <v>0</v>
      </c>
      <c r="BR3" s="146">
        <v>0</v>
      </c>
      <c r="BS3" s="146">
        <v>0</v>
      </c>
      <c r="BT3" s="146">
        <v>0</v>
      </c>
      <c r="BU3" s="146">
        <v>0</v>
      </c>
      <c r="BV3" s="146">
        <v>0</v>
      </c>
      <c r="BW3" s="146">
        <v>0</v>
      </c>
      <c r="BX3" s="146">
        <v>0</v>
      </c>
      <c r="BY3" s="146">
        <v>0</v>
      </c>
      <c r="BZ3" s="146">
        <v>0</v>
      </c>
      <c r="CA3" s="146">
        <v>0</v>
      </c>
      <c r="CB3" s="146">
        <v>0</v>
      </c>
      <c r="CC3" s="146">
        <v>0</v>
      </c>
      <c r="CD3" s="146">
        <v>0</v>
      </c>
      <c r="CE3" s="146">
        <v>0</v>
      </c>
      <c r="CF3" s="146">
        <v>0</v>
      </c>
      <c r="CG3" s="146">
        <v>0</v>
      </c>
      <c r="CH3" s="146">
        <v>0</v>
      </c>
      <c r="CI3" s="146">
        <v>0</v>
      </c>
      <c r="CJ3" s="146">
        <v>0</v>
      </c>
      <c r="CK3" s="146">
        <v>0</v>
      </c>
      <c r="CL3" s="146">
        <v>0</v>
      </c>
      <c r="CM3" s="146">
        <v>0</v>
      </c>
      <c r="CN3" s="146">
        <v>0</v>
      </c>
      <c r="CO3" s="146">
        <v>0</v>
      </c>
      <c r="CP3" s="146">
        <v>0</v>
      </c>
      <c r="CQ3" s="146">
        <v>0</v>
      </c>
      <c r="CR3" s="146">
        <v>0</v>
      </c>
      <c r="CS3" s="146">
        <v>0</v>
      </c>
      <c r="CT3" s="146">
        <v>0</v>
      </c>
      <c r="CU3" s="146">
        <v>0</v>
      </c>
      <c r="CV3" s="146">
        <v>0</v>
      </c>
    </row>
    <row r="4" spans="1:100" customFormat="1" x14ac:dyDescent="0.15">
      <c r="A4" s="182" t="s">
        <v>194</v>
      </c>
      <c r="B4" s="146">
        <v>0</v>
      </c>
      <c r="C4" s="146">
        <v>0</v>
      </c>
      <c r="D4" s="146">
        <v>0</v>
      </c>
      <c r="E4" s="146">
        <v>0</v>
      </c>
      <c r="F4" s="146">
        <v>0</v>
      </c>
      <c r="G4" s="146">
        <v>0</v>
      </c>
      <c r="H4" s="146">
        <v>0</v>
      </c>
      <c r="I4" s="146">
        <v>0</v>
      </c>
      <c r="J4" s="146">
        <v>0</v>
      </c>
      <c r="K4" s="146">
        <v>0</v>
      </c>
      <c r="L4" s="146">
        <v>0</v>
      </c>
      <c r="M4" s="146">
        <v>0</v>
      </c>
      <c r="N4" s="146">
        <v>0</v>
      </c>
      <c r="O4" s="146">
        <v>0</v>
      </c>
      <c r="P4" s="146">
        <v>0</v>
      </c>
      <c r="Q4" s="146">
        <v>0</v>
      </c>
      <c r="R4" s="146">
        <v>0</v>
      </c>
      <c r="S4" s="146">
        <v>0</v>
      </c>
      <c r="T4" s="146">
        <v>0</v>
      </c>
      <c r="U4" s="146">
        <v>0</v>
      </c>
      <c r="V4" s="146">
        <v>0</v>
      </c>
      <c r="W4" s="146">
        <v>0</v>
      </c>
      <c r="X4" s="146">
        <v>0</v>
      </c>
      <c r="Y4" s="146">
        <v>0</v>
      </c>
      <c r="Z4" s="146">
        <v>2.0000045110677743E-4</v>
      </c>
      <c r="AA4" s="146">
        <v>0</v>
      </c>
      <c r="AB4" s="146">
        <v>0</v>
      </c>
      <c r="AC4" s="146">
        <v>0</v>
      </c>
      <c r="AD4" s="146">
        <v>0</v>
      </c>
      <c r="AE4" s="146">
        <v>0</v>
      </c>
      <c r="AF4" s="146">
        <v>0</v>
      </c>
      <c r="AG4" s="146">
        <v>0</v>
      </c>
      <c r="AH4" s="146">
        <v>0</v>
      </c>
      <c r="AI4" s="146">
        <v>0</v>
      </c>
      <c r="AJ4" s="146">
        <v>0</v>
      </c>
      <c r="AK4" s="146">
        <v>0</v>
      </c>
      <c r="AL4" s="146">
        <v>0</v>
      </c>
      <c r="AM4" s="146">
        <v>0</v>
      </c>
      <c r="AN4" s="146">
        <v>0</v>
      </c>
      <c r="AO4" s="146">
        <v>0</v>
      </c>
      <c r="AP4" s="146">
        <v>0</v>
      </c>
      <c r="AQ4" s="146">
        <v>0</v>
      </c>
      <c r="AR4" s="146">
        <v>0</v>
      </c>
      <c r="AS4" s="146">
        <v>0</v>
      </c>
      <c r="AT4" s="146">
        <v>0</v>
      </c>
      <c r="AU4" s="146">
        <v>0</v>
      </c>
      <c r="AV4" s="146">
        <v>0</v>
      </c>
      <c r="AW4" s="146">
        <v>0</v>
      </c>
      <c r="AX4" s="146">
        <v>0</v>
      </c>
      <c r="AY4" s="146">
        <v>0</v>
      </c>
      <c r="AZ4" s="146">
        <v>0</v>
      </c>
      <c r="BA4" s="146">
        <v>0</v>
      </c>
      <c r="BB4" s="146">
        <v>0</v>
      </c>
      <c r="BC4" s="146">
        <v>0</v>
      </c>
      <c r="BD4" s="146">
        <v>0</v>
      </c>
      <c r="BE4" s="146">
        <v>0</v>
      </c>
      <c r="BF4" s="146">
        <v>0</v>
      </c>
      <c r="BG4" s="146">
        <v>0</v>
      </c>
      <c r="BH4" s="146">
        <v>0</v>
      </c>
      <c r="BI4" s="146">
        <v>0</v>
      </c>
      <c r="BJ4" s="146">
        <v>0</v>
      </c>
      <c r="BK4" s="146">
        <v>0</v>
      </c>
      <c r="BL4" s="146">
        <v>0</v>
      </c>
      <c r="BM4" s="146">
        <v>0</v>
      </c>
      <c r="BN4" s="146">
        <v>0</v>
      </c>
      <c r="BO4" s="146">
        <v>0</v>
      </c>
      <c r="BP4" s="146">
        <v>0</v>
      </c>
      <c r="BQ4" s="146">
        <v>0</v>
      </c>
      <c r="BR4" s="146">
        <v>0</v>
      </c>
      <c r="BS4" s="146">
        <v>0</v>
      </c>
      <c r="BT4" s="146">
        <v>0</v>
      </c>
      <c r="BU4" s="146">
        <v>0</v>
      </c>
      <c r="BV4" s="146">
        <v>0</v>
      </c>
      <c r="BW4" s="146">
        <v>0</v>
      </c>
      <c r="BX4" s="146">
        <v>0</v>
      </c>
      <c r="BY4" s="146">
        <v>0</v>
      </c>
      <c r="BZ4" s="146">
        <v>0</v>
      </c>
      <c r="CA4" s="146">
        <v>0</v>
      </c>
      <c r="CB4" s="146">
        <v>0</v>
      </c>
      <c r="CC4" s="146">
        <v>0</v>
      </c>
      <c r="CD4" s="146">
        <v>0</v>
      </c>
      <c r="CE4" s="146">
        <v>0</v>
      </c>
      <c r="CF4" s="146">
        <v>0</v>
      </c>
      <c r="CG4" s="146">
        <v>0</v>
      </c>
      <c r="CH4" s="146">
        <v>0</v>
      </c>
      <c r="CI4" s="146">
        <v>0</v>
      </c>
      <c r="CJ4" s="146">
        <v>0</v>
      </c>
      <c r="CK4" s="146">
        <v>0</v>
      </c>
      <c r="CL4" s="146">
        <v>0</v>
      </c>
      <c r="CM4" s="146">
        <v>0</v>
      </c>
      <c r="CN4" s="146">
        <v>0</v>
      </c>
      <c r="CO4" s="146">
        <v>0</v>
      </c>
      <c r="CP4" s="146">
        <v>0</v>
      </c>
      <c r="CQ4" s="146">
        <v>0</v>
      </c>
      <c r="CR4" s="146">
        <v>0</v>
      </c>
      <c r="CS4" s="146">
        <v>0</v>
      </c>
      <c r="CT4" s="146">
        <v>0</v>
      </c>
      <c r="CU4" s="146">
        <v>0</v>
      </c>
      <c r="CV4" s="146">
        <v>0</v>
      </c>
    </row>
    <row r="5" spans="1:100" customFormat="1" x14ac:dyDescent="0.15">
      <c r="A5" s="182" t="s">
        <v>195</v>
      </c>
      <c r="B5" s="146">
        <v>0</v>
      </c>
      <c r="C5" s="146">
        <v>0</v>
      </c>
      <c r="D5" s="146">
        <v>0</v>
      </c>
      <c r="E5" s="146">
        <v>0</v>
      </c>
      <c r="F5" s="146">
        <v>0</v>
      </c>
      <c r="G5" s="146">
        <v>0</v>
      </c>
      <c r="H5" s="146">
        <v>0</v>
      </c>
      <c r="I5" s="146">
        <v>0</v>
      </c>
      <c r="J5" s="146">
        <v>0</v>
      </c>
      <c r="K5" s="146">
        <v>0</v>
      </c>
      <c r="L5" s="146">
        <v>0</v>
      </c>
      <c r="M5" s="146">
        <v>0</v>
      </c>
      <c r="N5" s="146">
        <v>0</v>
      </c>
      <c r="O5" s="146">
        <v>0</v>
      </c>
      <c r="P5" s="146">
        <v>0</v>
      </c>
      <c r="Q5" s="146">
        <v>0</v>
      </c>
      <c r="R5" s="146">
        <v>0</v>
      </c>
      <c r="S5" s="146">
        <v>0</v>
      </c>
      <c r="T5" s="146">
        <v>0</v>
      </c>
      <c r="U5" s="146">
        <v>0</v>
      </c>
      <c r="V5" s="146">
        <v>0</v>
      </c>
      <c r="W5" s="146">
        <v>0</v>
      </c>
      <c r="X5" s="146">
        <v>0</v>
      </c>
      <c r="Y5" s="146">
        <v>0</v>
      </c>
      <c r="Z5" s="146">
        <v>0</v>
      </c>
      <c r="AA5" s="146">
        <v>0</v>
      </c>
      <c r="AB5" s="146">
        <v>0</v>
      </c>
      <c r="AC5" s="146">
        <v>0</v>
      </c>
      <c r="AD5" s="146">
        <v>0</v>
      </c>
      <c r="AE5" s="146">
        <v>0</v>
      </c>
      <c r="AF5" s="146">
        <v>0</v>
      </c>
      <c r="AG5" s="146">
        <v>0</v>
      </c>
      <c r="AH5" s="146">
        <v>0</v>
      </c>
      <c r="AI5" s="146">
        <v>0</v>
      </c>
      <c r="AJ5" s="146">
        <v>0</v>
      </c>
      <c r="AK5" s="146">
        <v>0</v>
      </c>
      <c r="AL5" s="146">
        <v>0</v>
      </c>
      <c r="AM5" s="146">
        <v>0</v>
      </c>
      <c r="AN5" s="146">
        <v>0</v>
      </c>
      <c r="AO5" s="146">
        <v>0</v>
      </c>
      <c r="AP5" s="146">
        <v>0</v>
      </c>
      <c r="AQ5" s="146">
        <v>0</v>
      </c>
      <c r="AR5" s="146">
        <v>0</v>
      </c>
      <c r="AS5" s="146">
        <v>0</v>
      </c>
      <c r="AT5" s="146">
        <v>0</v>
      </c>
      <c r="AU5" s="146">
        <v>0</v>
      </c>
      <c r="AV5" s="146">
        <v>0</v>
      </c>
      <c r="AW5" s="146">
        <v>0</v>
      </c>
      <c r="AX5" s="146">
        <v>0</v>
      </c>
      <c r="AY5" s="146">
        <v>0</v>
      </c>
      <c r="AZ5" s="146">
        <v>0</v>
      </c>
      <c r="BA5" s="146">
        <v>0</v>
      </c>
      <c r="BB5" s="146">
        <v>0</v>
      </c>
      <c r="BC5" s="146">
        <v>0</v>
      </c>
      <c r="BD5" s="146">
        <v>0</v>
      </c>
      <c r="BE5" s="146">
        <v>0</v>
      </c>
      <c r="BF5" s="146">
        <v>0</v>
      </c>
      <c r="BG5" s="146">
        <v>0</v>
      </c>
      <c r="BH5" s="146">
        <v>0</v>
      </c>
      <c r="BI5" s="146">
        <v>0</v>
      </c>
      <c r="BJ5" s="146">
        <v>0</v>
      </c>
      <c r="BK5" s="146">
        <v>0</v>
      </c>
      <c r="BL5" s="146">
        <v>0</v>
      </c>
      <c r="BM5" s="146">
        <v>0</v>
      </c>
      <c r="BN5" s="146">
        <v>0</v>
      </c>
      <c r="BO5" s="146">
        <v>0</v>
      </c>
      <c r="BP5" s="146">
        <v>0</v>
      </c>
      <c r="BQ5" s="146">
        <v>0</v>
      </c>
      <c r="BR5" s="146">
        <v>0</v>
      </c>
      <c r="BS5" s="146">
        <v>0</v>
      </c>
      <c r="BT5" s="146">
        <v>0</v>
      </c>
      <c r="BU5" s="146">
        <v>0</v>
      </c>
      <c r="BV5" s="146">
        <v>0</v>
      </c>
      <c r="BW5" s="146">
        <v>0</v>
      </c>
      <c r="BX5" s="146">
        <v>0</v>
      </c>
      <c r="BY5" s="146">
        <v>0</v>
      </c>
      <c r="BZ5" s="146">
        <v>0</v>
      </c>
      <c r="CA5" s="146">
        <v>0</v>
      </c>
      <c r="CB5" s="146">
        <v>0</v>
      </c>
      <c r="CC5" s="146">
        <v>0</v>
      </c>
      <c r="CD5" s="146">
        <v>0</v>
      </c>
      <c r="CE5" s="146">
        <v>0</v>
      </c>
      <c r="CF5" s="146">
        <v>0</v>
      </c>
      <c r="CG5" s="146">
        <v>0</v>
      </c>
      <c r="CH5" s="146">
        <v>0</v>
      </c>
      <c r="CI5" s="146">
        <v>0</v>
      </c>
      <c r="CJ5" s="146">
        <v>0</v>
      </c>
      <c r="CK5" s="146">
        <v>0</v>
      </c>
      <c r="CL5" s="146">
        <v>0</v>
      </c>
      <c r="CM5" s="146">
        <v>0</v>
      </c>
      <c r="CN5" s="146">
        <v>0</v>
      </c>
      <c r="CO5" s="146">
        <v>0</v>
      </c>
      <c r="CP5" s="146">
        <v>0</v>
      </c>
      <c r="CQ5" s="146">
        <v>0</v>
      </c>
      <c r="CR5" s="146">
        <v>0</v>
      </c>
      <c r="CS5" s="146">
        <v>0</v>
      </c>
      <c r="CT5" s="146">
        <v>0</v>
      </c>
      <c r="CU5" s="146">
        <v>0</v>
      </c>
      <c r="CV5" s="146">
        <v>0</v>
      </c>
    </row>
    <row r="6" spans="1:100" customFormat="1" x14ac:dyDescent="0.15">
      <c r="A6" s="182" t="s">
        <v>196</v>
      </c>
      <c r="B6" s="146">
        <v>0</v>
      </c>
      <c r="C6" s="146">
        <v>0</v>
      </c>
      <c r="D6" s="146">
        <v>0</v>
      </c>
      <c r="E6" s="146">
        <v>0</v>
      </c>
      <c r="F6" s="146">
        <v>0</v>
      </c>
      <c r="G6" s="146">
        <v>0</v>
      </c>
      <c r="H6" s="146">
        <v>0</v>
      </c>
      <c r="I6" s="146">
        <v>0</v>
      </c>
      <c r="J6" s="146">
        <v>6.1542621035946946E-2</v>
      </c>
      <c r="K6" s="146">
        <v>0</v>
      </c>
      <c r="L6" s="146">
        <v>0</v>
      </c>
      <c r="M6" s="146">
        <v>0</v>
      </c>
      <c r="N6" s="146">
        <v>0</v>
      </c>
      <c r="O6" s="146">
        <v>0</v>
      </c>
      <c r="P6" s="146">
        <v>0</v>
      </c>
      <c r="Q6" s="146">
        <v>0</v>
      </c>
      <c r="R6" s="146">
        <v>0</v>
      </c>
      <c r="S6" s="146">
        <v>0</v>
      </c>
      <c r="T6" s="146">
        <v>0</v>
      </c>
      <c r="U6" s="146">
        <v>0</v>
      </c>
      <c r="V6" s="146">
        <v>0</v>
      </c>
      <c r="W6" s="146">
        <v>0</v>
      </c>
      <c r="X6" s="146">
        <v>0</v>
      </c>
      <c r="Y6" s="146">
        <v>0</v>
      </c>
      <c r="Z6" s="146">
        <v>8.0000298342713984E-5</v>
      </c>
      <c r="AA6" s="146">
        <v>0</v>
      </c>
      <c r="AB6" s="146">
        <v>0</v>
      </c>
      <c r="AC6" s="146">
        <v>0</v>
      </c>
      <c r="AD6" s="146">
        <v>0</v>
      </c>
      <c r="AE6" s="146">
        <v>0</v>
      </c>
      <c r="AF6" s="146">
        <v>0</v>
      </c>
      <c r="AG6" s="146">
        <v>0</v>
      </c>
      <c r="AH6" s="146">
        <v>0</v>
      </c>
      <c r="AI6" s="146">
        <v>0</v>
      </c>
      <c r="AJ6" s="146">
        <v>0</v>
      </c>
      <c r="AK6" s="146">
        <v>0</v>
      </c>
      <c r="AL6" s="146">
        <v>0</v>
      </c>
      <c r="AM6" s="146">
        <v>0</v>
      </c>
      <c r="AN6" s="146">
        <v>0</v>
      </c>
      <c r="AO6" s="146">
        <v>0</v>
      </c>
      <c r="AP6" s="146">
        <v>0</v>
      </c>
      <c r="AQ6" s="146">
        <v>0</v>
      </c>
      <c r="AR6" s="146">
        <v>0</v>
      </c>
      <c r="AS6" s="146">
        <v>0</v>
      </c>
      <c r="AT6" s="146">
        <v>0</v>
      </c>
      <c r="AU6" s="146">
        <v>0</v>
      </c>
      <c r="AV6" s="146">
        <v>0</v>
      </c>
      <c r="AW6" s="146">
        <v>0</v>
      </c>
      <c r="AX6" s="146">
        <v>0</v>
      </c>
      <c r="AY6" s="146">
        <v>0</v>
      </c>
      <c r="AZ6" s="146">
        <v>0</v>
      </c>
      <c r="BA6" s="146">
        <v>0</v>
      </c>
      <c r="BB6" s="146">
        <v>0</v>
      </c>
      <c r="BC6" s="146">
        <v>0</v>
      </c>
      <c r="BD6" s="146">
        <v>0</v>
      </c>
      <c r="BE6" s="146">
        <v>0</v>
      </c>
      <c r="BF6" s="146">
        <v>0</v>
      </c>
      <c r="BG6" s="146">
        <v>0</v>
      </c>
      <c r="BH6" s="146">
        <v>0</v>
      </c>
      <c r="BI6" s="146">
        <v>0</v>
      </c>
      <c r="BJ6" s="146">
        <v>0</v>
      </c>
      <c r="BK6" s="146">
        <v>0</v>
      </c>
      <c r="BL6" s="146">
        <v>0</v>
      </c>
      <c r="BM6" s="146">
        <v>0</v>
      </c>
      <c r="BN6" s="146">
        <v>0</v>
      </c>
      <c r="BO6" s="146">
        <v>0</v>
      </c>
      <c r="BP6" s="146">
        <v>0</v>
      </c>
      <c r="BQ6" s="146">
        <v>0</v>
      </c>
      <c r="BR6" s="146">
        <v>0</v>
      </c>
      <c r="BS6" s="146">
        <v>0</v>
      </c>
      <c r="BT6" s="146">
        <v>0</v>
      </c>
      <c r="BU6" s="146">
        <v>0</v>
      </c>
      <c r="BV6" s="146">
        <v>0</v>
      </c>
      <c r="BW6" s="146">
        <v>0</v>
      </c>
      <c r="BX6" s="146">
        <v>0</v>
      </c>
      <c r="BY6" s="146">
        <v>0</v>
      </c>
      <c r="BZ6" s="146">
        <v>0</v>
      </c>
      <c r="CA6" s="146">
        <v>0</v>
      </c>
      <c r="CB6" s="146">
        <v>0</v>
      </c>
      <c r="CC6" s="146">
        <v>0</v>
      </c>
      <c r="CD6" s="146">
        <v>0</v>
      </c>
      <c r="CE6" s="146">
        <v>0</v>
      </c>
      <c r="CF6" s="146">
        <v>0</v>
      </c>
      <c r="CG6" s="146">
        <v>0</v>
      </c>
      <c r="CH6" s="146">
        <v>0</v>
      </c>
      <c r="CI6" s="146">
        <v>0</v>
      </c>
      <c r="CJ6" s="146">
        <v>0</v>
      </c>
      <c r="CK6" s="146">
        <v>0</v>
      </c>
      <c r="CL6" s="146">
        <v>0</v>
      </c>
      <c r="CM6" s="146">
        <v>0</v>
      </c>
      <c r="CN6" s="146">
        <v>0</v>
      </c>
      <c r="CO6" s="146">
        <v>0</v>
      </c>
      <c r="CP6" s="146">
        <v>0</v>
      </c>
      <c r="CQ6" s="146">
        <v>0</v>
      </c>
      <c r="CR6" s="146">
        <v>0</v>
      </c>
      <c r="CS6" s="146">
        <v>0</v>
      </c>
      <c r="CT6" s="146">
        <v>0</v>
      </c>
      <c r="CU6" s="146">
        <v>0</v>
      </c>
      <c r="CV6" s="146">
        <v>0</v>
      </c>
    </row>
    <row r="7" spans="1:100" customFormat="1" x14ac:dyDescent="0.15">
      <c r="A7" s="182" t="s">
        <v>197</v>
      </c>
      <c r="B7" s="146">
        <v>0</v>
      </c>
      <c r="C7" s="146">
        <v>0</v>
      </c>
      <c r="D7" s="146">
        <v>0</v>
      </c>
      <c r="E7" s="146">
        <v>0</v>
      </c>
      <c r="F7" s="146">
        <v>0</v>
      </c>
      <c r="G7" s="146">
        <v>0</v>
      </c>
      <c r="H7" s="146">
        <v>0</v>
      </c>
      <c r="I7" s="146">
        <v>0</v>
      </c>
      <c r="J7" s="146">
        <v>5.0081377543019837E-4</v>
      </c>
      <c r="K7" s="146">
        <v>0</v>
      </c>
      <c r="L7" s="146">
        <v>0</v>
      </c>
      <c r="M7" s="146">
        <v>0</v>
      </c>
      <c r="N7" s="146">
        <v>0</v>
      </c>
      <c r="O7" s="146">
        <v>0</v>
      </c>
      <c r="P7" s="146">
        <v>0</v>
      </c>
      <c r="Q7" s="146">
        <v>0</v>
      </c>
      <c r="R7" s="146">
        <v>0</v>
      </c>
      <c r="S7" s="146">
        <v>0</v>
      </c>
      <c r="T7" s="146">
        <v>0</v>
      </c>
      <c r="U7" s="146">
        <v>0</v>
      </c>
      <c r="V7" s="146">
        <v>0</v>
      </c>
      <c r="W7" s="146">
        <v>0</v>
      </c>
      <c r="X7" s="146">
        <v>0</v>
      </c>
      <c r="Y7" s="146">
        <v>0</v>
      </c>
      <c r="Z7" s="146">
        <v>1.1000036280873053E-3</v>
      </c>
      <c r="AA7" s="146">
        <v>0</v>
      </c>
      <c r="AB7" s="146">
        <v>0</v>
      </c>
      <c r="AC7" s="146">
        <v>0</v>
      </c>
      <c r="AD7" s="146">
        <v>0</v>
      </c>
      <c r="AE7" s="146">
        <v>0</v>
      </c>
      <c r="AF7" s="146">
        <v>0</v>
      </c>
      <c r="AG7" s="146">
        <v>0</v>
      </c>
      <c r="AH7" s="146">
        <v>0</v>
      </c>
      <c r="AI7" s="146">
        <v>0</v>
      </c>
      <c r="AJ7" s="146">
        <v>0</v>
      </c>
      <c r="AK7" s="146">
        <v>0</v>
      </c>
      <c r="AL7" s="146">
        <v>0</v>
      </c>
      <c r="AM7" s="146">
        <v>0</v>
      </c>
      <c r="AN7" s="146">
        <v>0</v>
      </c>
      <c r="AO7" s="146">
        <v>0</v>
      </c>
      <c r="AP7" s="146">
        <v>0</v>
      </c>
      <c r="AQ7" s="146">
        <v>0</v>
      </c>
      <c r="AR7" s="146">
        <v>0</v>
      </c>
      <c r="AS7" s="146">
        <v>0</v>
      </c>
      <c r="AT7" s="146">
        <v>0</v>
      </c>
      <c r="AU7" s="146">
        <v>0</v>
      </c>
      <c r="AV7" s="146">
        <v>0</v>
      </c>
      <c r="AW7" s="146">
        <v>0</v>
      </c>
      <c r="AX7" s="146">
        <v>0</v>
      </c>
      <c r="AY7" s="146">
        <v>0</v>
      </c>
      <c r="AZ7" s="146">
        <v>0</v>
      </c>
      <c r="BA7" s="146">
        <v>0</v>
      </c>
      <c r="BB7" s="146">
        <v>0</v>
      </c>
      <c r="BC7" s="146">
        <v>0</v>
      </c>
      <c r="BD7" s="146">
        <v>0</v>
      </c>
      <c r="BE7" s="146">
        <v>0</v>
      </c>
      <c r="BF7" s="146">
        <v>0</v>
      </c>
      <c r="BG7" s="146">
        <v>0</v>
      </c>
      <c r="BH7" s="146">
        <v>0</v>
      </c>
      <c r="BI7" s="146">
        <v>0</v>
      </c>
      <c r="BJ7" s="146">
        <v>0</v>
      </c>
      <c r="BK7" s="146">
        <v>0</v>
      </c>
      <c r="BL7" s="146">
        <v>0</v>
      </c>
      <c r="BM7" s="146">
        <v>0</v>
      </c>
      <c r="BN7" s="146">
        <v>0</v>
      </c>
      <c r="BO7" s="146">
        <v>0</v>
      </c>
      <c r="BP7" s="146">
        <v>0</v>
      </c>
      <c r="BQ7" s="146">
        <v>0</v>
      </c>
      <c r="BR7" s="146">
        <v>0</v>
      </c>
      <c r="BS7" s="146">
        <v>0</v>
      </c>
      <c r="BT7" s="146">
        <v>0</v>
      </c>
      <c r="BU7" s="146">
        <v>0</v>
      </c>
      <c r="BV7" s="146">
        <v>0</v>
      </c>
      <c r="BW7" s="146">
        <v>0</v>
      </c>
      <c r="BX7" s="146">
        <v>0</v>
      </c>
      <c r="BY7" s="146">
        <v>0</v>
      </c>
      <c r="BZ7" s="146">
        <v>0</v>
      </c>
      <c r="CA7" s="146">
        <v>0</v>
      </c>
      <c r="CB7" s="146">
        <v>0</v>
      </c>
      <c r="CC7" s="146">
        <v>0</v>
      </c>
      <c r="CD7" s="146">
        <v>0</v>
      </c>
      <c r="CE7" s="146">
        <v>0</v>
      </c>
      <c r="CF7" s="146">
        <v>0</v>
      </c>
      <c r="CG7" s="146">
        <v>0</v>
      </c>
      <c r="CH7" s="146">
        <v>0</v>
      </c>
      <c r="CI7" s="146">
        <v>0</v>
      </c>
      <c r="CJ7" s="146">
        <v>0</v>
      </c>
      <c r="CK7" s="146">
        <v>0</v>
      </c>
      <c r="CL7" s="146">
        <v>0</v>
      </c>
      <c r="CM7" s="146">
        <v>0</v>
      </c>
      <c r="CN7" s="146">
        <v>0</v>
      </c>
      <c r="CO7" s="146">
        <v>0</v>
      </c>
      <c r="CP7" s="146">
        <v>0</v>
      </c>
      <c r="CQ7" s="146">
        <v>0</v>
      </c>
      <c r="CR7" s="146">
        <v>0</v>
      </c>
      <c r="CS7" s="146">
        <v>0</v>
      </c>
      <c r="CT7" s="146">
        <v>0</v>
      </c>
      <c r="CU7" s="146">
        <v>0</v>
      </c>
      <c r="CV7" s="146">
        <v>0</v>
      </c>
    </row>
    <row r="8" spans="1:100" customFormat="1" x14ac:dyDescent="0.15">
      <c r="A8" s="182" t="s">
        <v>198</v>
      </c>
      <c r="B8" s="146">
        <v>0</v>
      </c>
      <c r="C8" s="146">
        <v>0</v>
      </c>
      <c r="D8" s="146">
        <v>0</v>
      </c>
      <c r="E8" s="146">
        <v>0</v>
      </c>
      <c r="F8" s="146">
        <v>0</v>
      </c>
      <c r="G8" s="146">
        <v>0</v>
      </c>
      <c r="H8" s="146">
        <v>0</v>
      </c>
      <c r="I8" s="146">
        <v>0</v>
      </c>
      <c r="J8" s="146">
        <v>1.2290241406881635E-2</v>
      </c>
      <c r="K8" s="146">
        <v>0</v>
      </c>
      <c r="L8" s="146">
        <v>0</v>
      </c>
      <c r="M8" s="146">
        <v>0</v>
      </c>
      <c r="N8" s="146">
        <v>0</v>
      </c>
      <c r="O8" s="146">
        <v>0</v>
      </c>
      <c r="P8" s="146">
        <v>0</v>
      </c>
      <c r="Q8" s="146">
        <v>0</v>
      </c>
      <c r="R8" s="146">
        <v>0</v>
      </c>
      <c r="S8" s="146">
        <v>0</v>
      </c>
      <c r="T8" s="146">
        <v>0</v>
      </c>
      <c r="U8" s="146">
        <v>0</v>
      </c>
      <c r="V8" s="146">
        <v>0</v>
      </c>
      <c r="W8" s="146">
        <v>0</v>
      </c>
      <c r="X8" s="146">
        <v>0</v>
      </c>
      <c r="Y8" s="146">
        <v>0</v>
      </c>
      <c r="Z8" s="146">
        <v>1.1000036280873053E-3</v>
      </c>
      <c r="AA8" s="146">
        <v>0</v>
      </c>
      <c r="AB8" s="146">
        <v>0</v>
      </c>
      <c r="AC8" s="146">
        <v>0</v>
      </c>
      <c r="AD8" s="146">
        <v>0</v>
      </c>
      <c r="AE8" s="146">
        <v>0</v>
      </c>
      <c r="AF8" s="146">
        <v>0</v>
      </c>
      <c r="AG8" s="146">
        <v>0</v>
      </c>
      <c r="AH8" s="146">
        <v>0</v>
      </c>
      <c r="AI8" s="146">
        <v>0</v>
      </c>
      <c r="AJ8" s="146">
        <v>0</v>
      </c>
      <c r="AK8" s="146">
        <v>0</v>
      </c>
      <c r="AL8" s="146">
        <v>0</v>
      </c>
      <c r="AM8" s="146">
        <v>0</v>
      </c>
      <c r="AN8" s="146">
        <v>0</v>
      </c>
      <c r="AO8" s="146">
        <v>0</v>
      </c>
      <c r="AP8" s="146">
        <v>0</v>
      </c>
      <c r="AQ8" s="146">
        <v>0</v>
      </c>
      <c r="AR8" s="146">
        <v>0</v>
      </c>
      <c r="AS8" s="146">
        <v>0</v>
      </c>
      <c r="AT8" s="146">
        <v>0</v>
      </c>
      <c r="AU8" s="146">
        <v>0</v>
      </c>
      <c r="AV8" s="146">
        <v>0</v>
      </c>
      <c r="AW8" s="146">
        <v>0</v>
      </c>
      <c r="AX8" s="146">
        <v>0</v>
      </c>
      <c r="AY8" s="146">
        <v>0</v>
      </c>
      <c r="AZ8" s="146">
        <v>0</v>
      </c>
      <c r="BA8" s="146">
        <v>0</v>
      </c>
      <c r="BB8" s="146">
        <v>0</v>
      </c>
      <c r="BC8" s="146">
        <v>0</v>
      </c>
      <c r="BD8" s="146">
        <v>0</v>
      </c>
      <c r="BE8" s="146">
        <v>0</v>
      </c>
      <c r="BF8" s="146">
        <v>0</v>
      </c>
      <c r="BG8" s="146">
        <v>0</v>
      </c>
      <c r="BH8" s="146">
        <v>0</v>
      </c>
      <c r="BI8" s="146">
        <v>0</v>
      </c>
      <c r="BJ8" s="146">
        <v>0</v>
      </c>
      <c r="BK8" s="146">
        <v>0</v>
      </c>
      <c r="BL8" s="146">
        <v>0</v>
      </c>
      <c r="BM8" s="146">
        <v>0</v>
      </c>
      <c r="BN8" s="146">
        <v>0</v>
      </c>
      <c r="BO8" s="146">
        <v>0</v>
      </c>
      <c r="BP8" s="146">
        <v>0</v>
      </c>
      <c r="BQ8" s="146">
        <v>0</v>
      </c>
      <c r="BR8" s="146">
        <v>0</v>
      </c>
      <c r="BS8" s="146">
        <v>0</v>
      </c>
      <c r="BT8" s="146">
        <v>0</v>
      </c>
      <c r="BU8" s="146">
        <v>0</v>
      </c>
      <c r="BV8" s="146">
        <v>0</v>
      </c>
      <c r="BW8" s="146">
        <v>0</v>
      </c>
      <c r="BX8" s="146">
        <v>0</v>
      </c>
      <c r="BY8" s="146">
        <v>0</v>
      </c>
      <c r="BZ8" s="146">
        <v>0</v>
      </c>
      <c r="CA8" s="146">
        <v>0</v>
      </c>
      <c r="CB8" s="146">
        <v>0</v>
      </c>
      <c r="CC8" s="146">
        <v>0</v>
      </c>
      <c r="CD8" s="146">
        <v>0</v>
      </c>
      <c r="CE8" s="146">
        <v>0</v>
      </c>
      <c r="CF8" s="146">
        <v>0</v>
      </c>
      <c r="CG8" s="146">
        <v>0</v>
      </c>
      <c r="CH8" s="146">
        <v>0</v>
      </c>
      <c r="CI8" s="146">
        <v>0</v>
      </c>
      <c r="CJ8" s="146">
        <v>0</v>
      </c>
      <c r="CK8" s="146">
        <v>0</v>
      </c>
      <c r="CL8" s="146">
        <v>0</v>
      </c>
      <c r="CM8" s="146">
        <v>0</v>
      </c>
      <c r="CN8" s="146">
        <v>0</v>
      </c>
      <c r="CO8" s="146">
        <v>0</v>
      </c>
      <c r="CP8" s="146">
        <v>0</v>
      </c>
      <c r="CQ8" s="146">
        <v>0</v>
      </c>
      <c r="CR8" s="146">
        <v>0</v>
      </c>
      <c r="CS8" s="146">
        <v>0</v>
      </c>
      <c r="CT8" s="146">
        <v>0</v>
      </c>
      <c r="CU8" s="146">
        <v>0</v>
      </c>
      <c r="CV8" s="146">
        <v>0</v>
      </c>
    </row>
    <row r="9" spans="1:100" customFormat="1" x14ac:dyDescent="0.15">
      <c r="A9" s="182" t="s">
        <v>199</v>
      </c>
      <c r="B9" s="146">
        <v>0</v>
      </c>
      <c r="C9" s="146">
        <v>0</v>
      </c>
      <c r="D9" s="146">
        <v>0</v>
      </c>
      <c r="E9" s="146">
        <v>0</v>
      </c>
      <c r="F9" s="146">
        <v>0</v>
      </c>
      <c r="G9" s="146">
        <v>0</v>
      </c>
      <c r="H9" s="146">
        <v>0</v>
      </c>
      <c r="I9" s="146">
        <v>0</v>
      </c>
      <c r="J9" s="146">
        <v>1.2290241406881635E-2</v>
      </c>
      <c r="K9" s="146">
        <v>0</v>
      </c>
      <c r="L9" s="146">
        <v>0</v>
      </c>
      <c r="M9" s="146">
        <v>0</v>
      </c>
      <c r="N9" s="146">
        <v>0</v>
      </c>
      <c r="O9" s="146">
        <v>0</v>
      </c>
      <c r="P9" s="146">
        <v>0</v>
      </c>
      <c r="Q9" s="146">
        <v>0</v>
      </c>
      <c r="R9" s="146">
        <v>0</v>
      </c>
      <c r="S9" s="146">
        <v>0</v>
      </c>
      <c r="T9" s="146">
        <v>0</v>
      </c>
      <c r="U9" s="146">
        <v>0</v>
      </c>
      <c r="V9" s="146">
        <v>0</v>
      </c>
      <c r="W9" s="146">
        <v>0</v>
      </c>
      <c r="X9" s="146">
        <v>0</v>
      </c>
      <c r="Y9" s="146">
        <v>0</v>
      </c>
      <c r="Z9" s="146">
        <v>1.1000036280873053E-3</v>
      </c>
      <c r="AA9" s="146">
        <v>0</v>
      </c>
      <c r="AB9" s="146">
        <v>0</v>
      </c>
      <c r="AC9" s="146">
        <v>0</v>
      </c>
      <c r="AD9" s="146">
        <v>0</v>
      </c>
      <c r="AE9" s="146">
        <v>0</v>
      </c>
      <c r="AF9" s="146">
        <v>0</v>
      </c>
      <c r="AG9" s="146">
        <v>0</v>
      </c>
      <c r="AH9" s="146">
        <v>0</v>
      </c>
      <c r="AI9" s="146">
        <v>0</v>
      </c>
      <c r="AJ9" s="146">
        <v>0</v>
      </c>
      <c r="AK9" s="146">
        <v>0</v>
      </c>
      <c r="AL9" s="146">
        <v>0</v>
      </c>
      <c r="AM9" s="146">
        <v>0</v>
      </c>
      <c r="AN9" s="146">
        <v>0</v>
      </c>
      <c r="AO9" s="146">
        <v>0</v>
      </c>
      <c r="AP9" s="146">
        <v>0</v>
      </c>
      <c r="AQ9" s="146">
        <v>0</v>
      </c>
      <c r="AR9" s="146">
        <v>0</v>
      </c>
      <c r="AS9" s="146">
        <v>0</v>
      </c>
      <c r="AT9" s="146">
        <v>0</v>
      </c>
      <c r="AU9" s="146">
        <v>0</v>
      </c>
      <c r="AV9" s="146">
        <v>0</v>
      </c>
      <c r="AW9" s="146">
        <v>0</v>
      </c>
      <c r="AX9" s="146">
        <v>0</v>
      </c>
      <c r="AY9" s="146">
        <v>0</v>
      </c>
      <c r="AZ9" s="146">
        <v>0</v>
      </c>
      <c r="BA9" s="146">
        <v>0</v>
      </c>
      <c r="BB9" s="146">
        <v>0</v>
      </c>
      <c r="BC9" s="146">
        <v>0</v>
      </c>
      <c r="BD9" s="146">
        <v>0</v>
      </c>
      <c r="BE9" s="146">
        <v>0</v>
      </c>
      <c r="BF9" s="146">
        <v>0</v>
      </c>
      <c r="BG9" s="146">
        <v>0</v>
      </c>
      <c r="BH9" s="146">
        <v>0</v>
      </c>
      <c r="BI9" s="146">
        <v>0</v>
      </c>
      <c r="BJ9" s="146">
        <v>0</v>
      </c>
      <c r="BK9" s="146">
        <v>0</v>
      </c>
      <c r="BL9" s="146">
        <v>0</v>
      </c>
      <c r="BM9" s="146">
        <v>0</v>
      </c>
      <c r="BN9" s="146">
        <v>0</v>
      </c>
      <c r="BO9" s="146">
        <v>0</v>
      </c>
      <c r="BP9" s="146">
        <v>0</v>
      </c>
      <c r="BQ9" s="146">
        <v>0</v>
      </c>
      <c r="BR9" s="146">
        <v>0</v>
      </c>
      <c r="BS9" s="146">
        <v>0</v>
      </c>
      <c r="BT9" s="146">
        <v>0</v>
      </c>
      <c r="BU9" s="146">
        <v>0</v>
      </c>
      <c r="BV9" s="146">
        <v>0</v>
      </c>
      <c r="BW9" s="146">
        <v>0</v>
      </c>
      <c r="BX9" s="146">
        <v>0</v>
      </c>
      <c r="BY9" s="146">
        <v>0</v>
      </c>
      <c r="BZ9" s="146">
        <v>0</v>
      </c>
      <c r="CA9" s="146">
        <v>0</v>
      </c>
      <c r="CB9" s="146">
        <v>0</v>
      </c>
      <c r="CC9" s="146">
        <v>0</v>
      </c>
      <c r="CD9" s="146">
        <v>0</v>
      </c>
      <c r="CE9" s="146">
        <v>0</v>
      </c>
      <c r="CF9" s="146">
        <v>0</v>
      </c>
      <c r="CG9" s="146">
        <v>0</v>
      </c>
      <c r="CH9" s="146">
        <v>0</v>
      </c>
      <c r="CI9" s="146">
        <v>0</v>
      </c>
      <c r="CJ9" s="146">
        <v>0</v>
      </c>
      <c r="CK9" s="146">
        <v>0</v>
      </c>
      <c r="CL9" s="146">
        <v>0</v>
      </c>
      <c r="CM9" s="146">
        <v>0</v>
      </c>
      <c r="CN9" s="146">
        <v>0</v>
      </c>
      <c r="CO9" s="146">
        <v>0</v>
      </c>
      <c r="CP9" s="146">
        <v>0</v>
      </c>
      <c r="CQ9" s="146">
        <v>0</v>
      </c>
      <c r="CR9" s="146">
        <v>0</v>
      </c>
      <c r="CS9" s="146">
        <v>0</v>
      </c>
      <c r="CT9" s="146">
        <v>0</v>
      </c>
      <c r="CU9" s="146">
        <v>0</v>
      </c>
      <c r="CV9" s="146">
        <v>0</v>
      </c>
    </row>
    <row r="10" spans="1:100" customFormat="1" x14ac:dyDescent="0.15">
      <c r="A10" s="182" t="s">
        <v>200</v>
      </c>
      <c r="B10" s="146">
        <v>0</v>
      </c>
      <c r="C10" s="146">
        <v>0</v>
      </c>
      <c r="D10" s="146">
        <v>0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146">
        <v>0</v>
      </c>
      <c r="W10" s="146">
        <v>0</v>
      </c>
      <c r="X10" s="146">
        <v>0</v>
      </c>
      <c r="Y10" s="146">
        <v>0</v>
      </c>
      <c r="Z10" s="146">
        <v>1.1000036280873053E-3</v>
      </c>
      <c r="AA10" s="146">
        <v>0</v>
      </c>
      <c r="AB10" s="146">
        <v>0</v>
      </c>
      <c r="AC10" s="146">
        <v>0</v>
      </c>
      <c r="AD10" s="146">
        <v>0</v>
      </c>
      <c r="AE10" s="146">
        <v>0</v>
      </c>
      <c r="AF10" s="146">
        <v>0</v>
      </c>
      <c r="AG10" s="146">
        <v>0</v>
      </c>
      <c r="AH10" s="146">
        <v>0</v>
      </c>
      <c r="AI10" s="146">
        <v>0</v>
      </c>
      <c r="AJ10" s="146">
        <v>0</v>
      </c>
      <c r="AK10" s="146">
        <v>0</v>
      </c>
      <c r="AL10" s="146">
        <v>0</v>
      </c>
      <c r="AM10" s="146">
        <v>0</v>
      </c>
      <c r="AN10" s="146">
        <v>0</v>
      </c>
      <c r="AO10" s="146">
        <v>0</v>
      </c>
      <c r="AP10" s="146">
        <v>0</v>
      </c>
      <c r="AQ10" s="146">
        <v>0</v>
      </c>
      <c r="AR10" s="146">
        <v>0</v>
      </c>
      <c r="AS10" s="146">
        <v>0</v>
      </c>
      <c r="AT10" s="146">
        <v>0</v>
      </c>
      <c r="AU10" s="146">
        <v>0</v>
      </c>
      <c r="AV10" s="146">
        <v>0</v>
      </c>
      <c r="AW10" s="146">
        <v>0</v>
      </c>
      <c r="AX10" s="146">
        <v>0</v>
      </c>
      <c r="AY10" s="146">
        <v>0</v>
      </c>
      <c r="AZ10" s="146">
        <v>0</v>
      </c>
      <c r="BA10" s="146">
        <v>0</v>
      </c>
      <c r="BB10" s="146">
        <v>0</v>
      </c>
      <c r="BC10" s="146">
        <v>0</v>
      </c>
      <c r="BD10" s="146">
        <v>0</v>
      </c>
      <c r="BE10" s="146">
        <v>0</v>
      </c>
      <c r="BF10" s="146">
        <v>0</v>
      </c>
      <c r="BG10" s="146">
        <v>0</v>
      </c>
      <c r="BH10" s="146">
        <v>0</v>
      </c>
      <c r="BI10" s="146">
        <v>0</v>
      </c>
      <c r="BJ10" s="146">
        <v>0</v>
      </c>
      <c r="BK10" s="146">
        <v>0</v>
      </c>
      <c r="BL10" s="146">
        <v>0</v>
      </c>
      <c r="BM10" s="146">
        <v>0</v>
      </c>
      <c r="BN10" s="146">
        <v>0</v>
      </c>
      <c r="BO10" s="146">
        <v>0</v>
      </c>
      <c r="BP10" s="146">
        <v>0</v>
      </c>
      <c r="BQ10" s="146">
        <v>0</v>
      </c>
      <c r="BR10" s="146">
        <v>0</v>
      </c>
      <c r="BS10" s="146">
        <v>0</v>
      </c>
      <c r="BT10" s="146">
        <v>0</v>
      </c>
      <c r="BU10" s="146">
        <v>0</v>
      </c>
      <c r="BV10" s="146">
        <v>0</v>
      </c>
      <c r="BW10" s="146">
        <v>0</v>
      </c>
      <c r="BX10" s="146">
        <v>0</v>
      </c>
      <c r="BY10" s="146">
        <v>0</v>
      </c>
      <c r="BZ10" s="146">
        <v>0</v>
      </c>
      <c r="CA10" s="146">
        <v>0</v>
      </c>
      <c r="CB10" s="146">
        <v>0</v>
      </c>
      <c r="CC10" s="146">
        <v>0</v>
      </c>
      <c r="CD10" s="146">
        <v>0</v>
      </c>
      <c r="CE10" s="146">
        <v>0</v>
      </c>
      <c r="CF10" s="146">
        <v>0</v>
      </c>
      <c r="CG10" s="146">
        <v>0</v>
      </c>
      <c r="CH10" s="146">
        <v>0</v>
      </c>
      <c r="CI10" s="146">
        <v>0</v>
      </c>
      <c r="CJ10" s="146">
        <v>0</v>
      </c>
      <c r="CK10" s="146">
        <v>0</v>
      </c>
      <c r="CL10" s="146">
        <v>0</v>
      </c>
      <c r="CM10" s="146">
        <v>0</v>
      </c>
      <c r="CN10" s="146">
        <v>0</v>
      </c>
      <c r="CO10" s="146">
        <v>0</v>
      </c>
      <c r="CP10" s="146">
        <v>0</v>
      </c>
      <c r="CQ10" s="146">
        <v>0</v>
      </c>
      <c r="CR10" s="146">
        <v>0</v>
      </c>
      <c r="CS10" s="146">
        <v>0</v>
      </c>
      <c r="CT10" s="146">
        <v>0</v>
      </c>
      <c r="CU10" s="146">
        <v>0</v>
      </c>
      <c r="CV10" s="146">
        <v>0</v>
      </c>
    </row>
    <row r="11" spans="1:100" customFormat="1" x14ac:dyDescent="0.15">
      <c r="A11" s="182" t="s">
        <v>201</v>
      </c>
      <c r="B11" s="146">
        <v>0</v>
      </c>
      <c r="C11" s="146">
        <v>0</v>
      </c>
      <c r="D11" s="146">
        <v>0</v>
      </c>
      <c r="E11" s="146">
        <v>0</v>
      </c>
      <c r="F11" s="146">
        <v>0</v>
      </c>
      <c r="G11" s="146">
        <v>0</v>
      </c>
      <c r="H11" s="146">
        <v>0</v>
      </c>
      <c r="I11" s="146">
        <v>0</v>
      </c>
      <c r="J11" s="146">
        <v>0</v>
      </c>
      <c r="K11" s="146">
        <v>2.0279721018376211E-3</v>
      </c>
      <c r="L11" s="146">
        <v>1.2464634985163317E-3</v>
      </c>
      <c r="M11" s="146">
        <v>2.9999999999999997E-4</v>
      </c>
      <c r="N11" s="146">
        <v>2.4700616457296841E-3</v>
      </c>
      <c r="O11" s="146">
        <v>2.0168773342374229E-4</v>
      </c>
      <c r="P11" s="146">
        <v>1.0260554628572175E-4</v>
      </c>
      <c r="Q11" s="146">
        <v>1.2999999999999997E-3</v>
      </c>
      <c r="R11" s="146">
        <v>1.4E-3</v>
      </c>
      <c r="S11" s="146">
        <v>9.9999999990000002E-5</v>
      </c>
      <c r="T11" s="146">
        <v>0</v>
      </c>
      <c r="U11" s="146">
        <v>0</v>
      </c>
      <c r="V11" s="146">
        <v>2.9999713521316513E-6</v>
      </c>
      <c r="W11" s="146">
        <v>0</v>
      </c>
      <c r="X11" s="146">
        <v>1.1000000000000001E-3</v>
      </c>
      <c r="Y11" s="146">
        <v>9.9999999992300015E-5</v>
      </c>
      <c r="Z11" s="146">
        <v>2.0000045110677743E-4</v>
      </c>
      <c r="AA11" s="146">
        <v>2.0999986153472629E-7</v>
      </c>
      <c r="AB11" s="146">
        <v>0</v>
      </c>
      <c r="AC11" s="146">
        <v>0</v>
      </c>
      <c r="AD11" s="146">
        <v>0</v>
      </c>
      <c r="AE11" s="146">
        <v>0</v>
      </c>
      <c r="AF11" s="146">
        <v>2.3999999902008E-7</v>
      </c>
      <c r="AG11" s="146">
        <v>0</v>
      </c>
      <c r="AH11" s="146">
        <v>0</v>
      </c>
      <c r="AI11" s="146">
        <v>0</v>
      </c>
      <c r="AJ11" s="146">
        <v>2.0000079893375571E-5</v>
      </c>
      <c r="AK11" s="146">
        <v>9.9999679817459029E-6</v>
      </c>
      <c r="AL11" s="146">
        <v>1.0999955877420723E-7</v>
      </c>
      <c r="AM11" s="146">
        <v>0</v>
      </c>
      <c r="AN11" s="146">
        <v>0</v>
      </c>
      <c r="AO11" s="146">
        <v>0</v>
      </c>
      <c r="AP11" s="146">
        <v>0</v>
      </c>
      <c r="AQ11" s="146">
        <v>1.0000009213094902E-4</v>
      </c>
      <c r="AR11" s="146">
        <v>1.0238878595945027E-6</v>
      </c>
      <c r="AS11" s="146">
        <v>9.9999430986094089E-6</v>
      </c>
      <c r="AT11" s="146">
        <v>1.0999994486446412E-7</v>
      </c>
      <c r="AU11" s="146">
        <v>0</v>
      </c>
      <c r="AV11" s="146">
        <v>0</v>
      </c>
      <c r="AW11" s="146">
        <v>2.0000000000000001E-4</v>
      </c>
      <c r="AX11" s="146">
        <v>1.0000018018844411E-5</v>
      </c>
      <c r="AY11" s="146">
        <v>0</v>
      </c>
      <c r="AZ11" s="146">
        <v>0</v>
      </c>
      <c r="BA11" s="146">
        <v>1.0079934505367542E-5</v>
      </c>
      <c r="BB11" s="146">
        <v>0</v>
      </c>
      <c r="BC11" s="146">
        <v>0</v>
      </c>
      <c r="BD11" s="146">
        <v>0</v>
      </c>
      <c r="BE11" s="146">
        <v>0</v>
      </c>
      <c r="BF11" s="146">
        <v>0</v>
      </c>
      <c r="BG11" s="146">
        <v>2.0000031775472958E-6</v>
      </c>
      <c r="BH11" s="146">
        <v>0</v>
      </c>
      <c r="BI11" s="146">
        <v>0</v>
      </c>
      <c r="BJ11" s="146">
        <v>0</v>
      </c>
      <c r="BK11" s="146">
        <v>0</v>
      </c>
      <c r="BL11" s="146">
        <v>0</v>
      </c>
      <c r="BM11" s="146">
        <v>0</v>
      </c>
      <c r="BN11" s="146">
        <v>0</v>
      </c>
      <c r="BO11" s="146">
        <v>0</v>
      </c>
      <c r="BP11" s="146">
        <v>0</v>
      </c>
      <c r="BQ11" s="146">
        <v>0</v>
      </c>
      <c r="BR11" s="146">
        <v>0</v>
      </c>
      <c r="BS11" s="146">
        <v>0</v>
      </c>
      <c r="BT11" s="146">
        <v>0</v>
      </c>
      <c r="BU11" s="146">
        <v>0</v>
      </c>
      <c r="BV11" s="146">
        <v>0</v>
      </c>
      <c r="BW11" s="146">
        <v>0</v>
      </c>
      <c r="BX11" s="146">
        <v>0</v>
      </c>
      <c r="BY11" s="146">
        <v>0</v>
      </c>
      <c r="BZ11" s="146">
        <v>0</v>
      </c>
      <c r="CA11" s="146">
        <v>0</v>
      </c>
      <c r="CB11" s="146">
        <v>0</v>
      </c>
      <c r="CC11" s="146">
        <v>0</v>
      </c>
      <c r="CD11" s="146">
        <v>0</v>
      </c>
      <c r="CE11" s="146">
        <v>0</v>
      </c>
      <c r="CF11" s="146">
        <v>0</v>
      </c>
      <c r="CG11" s="146">
        <v>0</v>
      </c>
      <c r="CH11" s="146">
        <v>0</v>
      </c>
      <c r="CI11" s="146">
        <v>0</v>
      </c>
      <c r="CJ11" s="146">
        <v>0</v>
      </c>
      <c r="CK11" s="146">
        <v>0</v>
      </c>
      <c r="CL11" s="146">
        <v>0</v>
      </c>
      <c r="CM11" s="146">
        <v>0</v>
      </c>
      <c r="CN11" s="146">
        <v>0</v>
      </c>
      <c r="CO11" s="146">
        <v>0</v>
      </c>
      <c r="CP11" s="146">
        <v>0</v>
      </c>
      <c r="CQ11" s="146">
        <v>0</v>
      </c>
      <c r="CR11" s="146">
        <v>0</v>
      </c>
      <c r="CS11" s="146">
        <v>0</v>
      </c>
      <c r="CT11" s="146">
        <v>0</v>
      </c>
      <c r="CU11" s="146">
        <v>0</v>
      </c>
      <c r="CV11" s="146">
        <v>0</v>
      </c>
    </row>
    <row r="12" spans="1:100" customFormat="1" x14ac:dyDescent="0.15">
      <c r="A12" s="182" t="s">
        <v>202</v>
      </c>
      <c r="B12" s="146">
        <v>0</v>
      </c>
      <c r="C12" s="146">
        <v>0</v>
      </c>
      <c r="D12" s="146">
        <v>0</v>
      </c>
      <c r="E12" s="146">
        <v>0</v>
      </c>
      <c r="F12" s="146">
        <v>0</v>
      </c>
      <c r="G12" s="146">
        <v>0</v>
      </c>
      <c r="H12" s="146">
        <v>0</v>
      </c>
      <c r="I12" s="146">
        <v>0</v>
      </c>
      <c r="J12" s="146">
        <v>0</v>
      </c>
      <c r="K12" s="146">
        <v>1.0139859809188118E-4</v>
      </c>
      <c r="L12" s="146">
        <v>5.6657409478015272E-4</v>
      </c>
      <c r="M12" s="146">
        <v>1E-3</v>
      </c>
      <c r="N12" s="146">
        <v>1.000004268271163E-4</v>
      </c>
      <c r="O12" s="146">
        <v>1.0084367371186404E-6</v>
      </c>
      <c r="P12" s="146">
        <v>9.9999559303863073E-5</v>
      </c>
      <c r="Q12" s="146">
        <v>9.999999999999998E-4</v>
      </c>
      <c r="R12" s="146">
        <v>2.0000000000000001E-4</v>
      </c>
      <c r="S12" s="146">
        <v>9.9999999989999993E-4</v>
      </c>
      <c r="T12" s="146">
        <v>0</v>
      </c>
      <c r="U12" s="146">
        <v>0</v>
      </c>
      <c r="V12" s="146">
        <v>9.999908640438689E-5</v>
      </c>
      <c r="W12" s="146">
        <v>0</v>
      </c>
      <c r="X12" s="146">
        <v>2E-3</v>
      </c>
      <c r="Y12" s="146">
        <v>1.4999999998845002E-3</v>
      </c>
      <c r="Z12" s="146">
        <v>9.0000309298052554E-4</v>
      </c>
      <c r="AA12" s="146">
        <v>1.9999989384259568E-5</v>
      </c>
      <c r="AB12" s="146">
        <v>0</v>
      </c>
      <c r="AC12" s="146">
        <v>0</v>
      </c>
      <c r="AD12" s="146">
        <v>0</v>
      </c>
      <c r="AE12" s="146">
        <v>0</v>
      </c>
      <c r="AF12" s="146">
        <v>1.9999999918340002E-4</v>
      </c>
      <c r="AG12" s="146">
        <v>0</v>
      </c>
      <c r="AH12" s="146">
        <v>0</v>
      </c>
      <c r="AI12" s="146">
        <v>0</v>
      </c>
      <c r="AJ12" s="146">
        <v>1.5000060620031675E-3</v>
      </c>
      <c r="AK12" s="146">
        <v>5.0999835306904102E-4</v>
      </c>
      <c r="AL12" s="146">
        <v>9.9999597976552053E-5</v>
      </c>
      <c r="AM12" s="146">
        <v>0</v>
      </c>
      <c r="AN12" s="146">
        <v>0</v>
      </c>
      <c r="AO12" s="146">
        <v>0</v>
      </c>
      <c r="AP12" s="146">
        <v>0</v>
      </c>
      <c r="AQ12" s="146">
        <v>5.0000050065474511E-6</v>
      </c>
      <c r="AR12" s="146">
        <v>2.0477858491888036E-5</v>
      </c>
      <c r="AS12" s="146">
        <v>9.9999440986094176E-7</v>
      </c>
      <c r="AT12" s="146">
        <v>9.9999639876785952E-6</v>
      </c>
      <c r="AU12" s="146">
        <v>0</v>
      </c>
      <c r="AV12" s="146">
        <v>0</v>
      </c>
      <c r="AW12" s="146">
        <v>1E-3</v>
      </c>
      <c r="AX12" s="146">
        <v>1.0000018018844411E-4</v>
      </c>
      <c r="AY12" s="146">
        <v>0</v>
      </c>
      <c r="AZ12" s="146">
        <v>0</v>
      </c>
      <c r="BA12" s="146">
        <v>1.0079935705367568E-6</v>
      </c>
      <c r="BB12" s="146">
        <v>0</v>
      </c>
      <c r="BC12" s="146">
        <v>0</v>
      </c>
      <c r="BD12" s="146">
        <v>0</v>
      </c>
      <c r="BE12" s="146">
        <v>0</v>
      </c>
      <c r="BF12" s="146">
        <v>0</v>
      </c>
      <c r="BG12" s="146">
        <v>2.0000031475472959E-4</v>
      </c>
      <c r="BH12" s="146">
        <v>0</v>
      </c>
      <c r="BI12" s="146">
        <v>0</v>
      </c>
      <c r="BJ12" s="146">
        <v>0</v>
      </c>
      <c r="BK12" s="146">
        <v>0</v>
      </c>
      <c r="BL12" s="146">
        <v>0</v>
      </c>
      <c r="BM12" s="146">
        <v>0</v>
      </c>
      <c r="BN12" s="146">
        <v>0</v>
      </c>
      <c r="BO12" s="146">
        <v>0</v>
      </c>
      <c r="BP12" s="146">
        <v>0</v>
      </c>
      <c r="BQ12" s="146">
        <v>0</v>
      </c>
      <c r="BR12" s="146">
        <v>0</v>
      </c>
      <c r="BS12" s="146">
        <v>0</v>
      </c>
      <c r="BT12" s="146">
        <v>0</v>
      </c>
      <c r="BU12" s="146">
        <v>0</v>
      </c>
      <c r="BV12" s="146">
        <v>0</v>
      </c>
      <c r="BW12" s="146">
        <v>0</v>
      </c>
      <c r="BX12" s="146">
        <v>0</v>
      </c>
      <c r="BY12" s="146">
        <v>0</v>
      </c>
      <c r="BZ12" s="146">
        <v>0</v>
      </c>
      <c r="CA12" s="146">
        <v>0</v>
      </c>
      <c r="CB12" s="146">
        <v>0</v>
      </c>
      <c r="CC12" s="146">
        <v>0</v>
      </c>
      <c r="CD12" s="146">
        <v>0</v>
      </c>
      <c r="CE12" s="146">
        <v>0</v>
      </c>
      <c r="CF12" s="146">
        <v>0</v>
      </c>
      <c r="CG12" s="146">
        <v>0</v>
      </c>
      <c r="CH12" s="146">
        <v>0</v>
      </c>
      <c r="CI12" s="146">
        <v>0</v>
      </c>
      <c r="CJ12" s="146">
        <v>0</v>
      </c>
      <c r="CK12" s="146">
        <v>0</v>
      </c>
      <c r="CL12" s="146">
        <v>0</v>
      </c>
      <c r="CM12" s="146">
        <v>0</v>
      </c>
      <c r="CN12" s="146">
        <v>0</v>
      </c>
      <c r="CO12" s="146">
        <v>0</v>
      </c>
      <c r="CP12" s="146">
        <v>0</v>
      </c>
      <c r="CQ12" s="146">
        <v>0</v>
      </c>
      <c r="CR12" s="146">
        <v>0</v>
      </c>
      <c r="CS12" s="146">
        <v>0</v>
      </c>
      <c r="CT12" s="146">
        <v>0</v>
      </c>
      <c r="CU12" s="146">
        <v>0</v>
      </c>
      <c r="CV12" s="146">
        <v>0</v>
      </c>
    </row>
    <row r="13" spans="1:100" customFormat="1" x14ac:dyDescent="0.15">
      <c r="A13" s="182" t="s">
        <v>203</v>
      </c>
      <c r="B13" s="146">
        <v>0</v>
      </c>
      <c r="C13" s="146">
        <v>0</v>
      </c>
      <c r="D13" s="146">
        <v>0</v>
      </c>
      <c r="E13" s="146">
        <v>0</v>
      </c>
      <c r="F13" s="146">
        <v>0</v>
      </c>
      <c r="G13" s="146">
        <v>0</v>
      </c>
      <c r="H13" s="146">
        <v>0</v>
      </c>
      <c r="I13" s="146">
        <v>0</v>
      </c>
      <c r="J13" s="146">
        <v>0</v>
      </c>
      <c r="K13" s="146">
        <v>5.0699299045940588E-5</v>
      </c>
      <c r="L13" s="146">
        <v>5.0000179539348342E-4</v>
      </c>
      <c r="M13" s="146">
        <v>1E-3</v>
      </c>
      <c r="N13" s="146">
        <v>1.000004268271163E-4</v>
      </c>
      <c r="O13" s="146">
        <v>0</v>
      </c>
      <c r="P13" s="146">
        <v>0</v>
      </c>
      <c r="Q13" s="146">
        <v>1.9999999999999996E-4</v>
      </c>
      <c r="R13" s="146">
        <v>1.0000000000000001E-5</v>
      </c>
      <c r="S13" s="146">
        <v>0</v>
      </c>
      <c r="T13" s="146">
        <v>0</v>
      </c>
      <c r="U13" s="146">
        <v>0</v>
      </c>
      <c r="V13" s="146">
        <v>0</v>
      </c>
      <c r="W13" s="146">
        <v>0</v>
      </c>
      <c r="X13" s="146">
        <v>0</v>
      </c>
      <c r="Y13" s="146">
        <v>0</v>
      </c>
      <c r="Z13" s="146">
        <v>0</v>
      </c>
      <c r="AA13" s="146">
        <v>0</v>
      </c>
      <c r="AB13" s="146">
        <v>0</v>
      </c>
      <c r="AC13" s="146">
        <v>0</v>
      </c>
      <c r="AD13" s="146">
        <v>0</v>
      </c>
      <c r="AE13" s="146">
        <v>0</v>
      </c>
      <c r="AF13" s="146">
        <v>0</v>
      </c>
      <c r="AG13" s="146">
        <v>0</v>
      </c>
      <c r="AH13" s="146">
        <v>2.9999999204657982E-4</v>
      </c>
      <c r="AI13" s="146">
        <v>9.9999769631680858E-5</v>
      </c>
      <c r="AJ13" s="146">
        <v>0</v>
      </c>
      <c r="AK13" s="146">
        <v>0</v>
      </c>
      <c r="AL13" s="146">
        <v>0</v>
      </c>
      <c r="AM13" s="146">
        <v>0</v>
      </c>
      <c r="AN13" s="146">
        <v>0</v>
      </c>
      <c r="AO13" s="146">
        <v>0</v>
      </c>
      <c r="AP13" s="146">
        <v>0</v>
      </c>
      <c r="AQ13" s="146">
        <v>1.0000010013094902E-9</v>
      </c>
      <c r="AR13" s="146">
        <v>2.0477858491888036E-5</v>
      </c>
      <c r="AS13" s="146">
        <v>9.9999430986094089E-6</v>
      </c>
      <c r="AT13" s="146">
        <v>9.9999639876785952E-6</v>
      </c>
      <c r="AU13" s="146">
        <v>1.0000499542957145E-11</v>
      </c>
      <c r="AV13" s="146">
        <v>9.9999999999999995E-7</v>
      </c>
      <c r="AW13" s="146">
        <v>0</v>
      </c>
      <c r="AX13" s="146">
        <v>0</v>
      </c>
      <c r="AY13" s="146">
        <v>1.0000895631288801E-5</v>
      </c>
      <c r="AZ13" s="146">
        <v>2.0000176405326261E-5</v>
      </c>
      <c r="BA13" s="146">
        <v>1.0079934505367542E-5</v>
      </c>
      <c r="BB13" s="146">
        <v>9.999999261040692E-6</v>
      </c>
      <c r="BC13" s="146">
        <v>1.0000000146959997E-4</v>
      </c>
      <c r="BD13" s="146">
        <v>9.9999699473301585E-6</v>
      </c>
      <c r="BE13" s="146">
        <v>0</v>
      </c>
      <c r="BF13" s="146">
        <v>0</v>
      </c>
      <c r="BG13" s="146">
        <v>0</v>
      </c>
      <c r="BH13" s="146">
        <v>0</v>
      </c>
      <c r="BI13" s="146">
        <v>0</v>
      </c>
      <c r="BJ13" s="146">
        <v>0</v>
      </c>
      <c r="BK13" s="146">
        <v>0</v>
      </c>
      <c r="BL13" s="146">
        <v>0</v>
      </c>
      <c r="BM13" s="146">
        <v>0</v>
      </c>
      <c r="BN13" s="146">
        <v>9.9999999909000006E-6</v>
      </c>
      <c r="BO13" s="146">
        <v>0</v>
      </c>
      <c r="BP13" s="146">
        <v>0</v>
      </c>
      <c r="BQ13" s="146">
        <v>0</v>
      </c>
      <c r="BR13" s="146">
        <v>0</v>
      </c>
      <c r="BS13" s="146">
        <v>0</v>
      </c>
      <c r="BT13" s="146">
        <v>0</v>
      </c>
      <c r="BU13" s="146">
        <v>0</v>
      </c>
      <c r="BV13" s="146">
        <v>0</v>
      </c>
      <c r="BW13" s="146">
        <v>0</v>
      </c>
      <c r="BX13" s="146">
        <v>0</v>
      </c>
      <c r="BY13" s="146">
        <v>0</v>
      </c>
      <c r="BZ13" s="146">
        <v>0</v>
      </c>
      <c r="CA13" s="146">
        <v>0</v>
      </c>
      <c r="CB13" s="146">
        <v>0</v>
      </c>
      <c r="CC13" s="146">
        <v>0</v>
      </c>
      <c r="CD13" s="146">
        <v>0</v>
      </c>
      <c r="CE13" s="146">
        <v>0</v>
      </c>
      <c r="CF13" s="146">
        <v>0</v>
      </c>
      <c r="CG13" s="146">
        <v>0</v>
      </c>
      <c r="CH13" s="146">
        <v>0</v>
      </c>
      <c r="CI13" s="146">
        <v>0</v>
      </c>
      <c r="CJ13" s="146">
        <v>0</v>
      </c>
      <c r="CK13" s="146">
        <v>0</v>
      </c>
      <c r="CL13" s="146">
        <v>5.0002497186859398E-5</v>
      </c>
      <c r="CM13" s="146">
        <v>0</v>
      </c>
      <c r="CN13" s="146">
        <v>0</v>
      </c>
      <c r="CO13" s="146">
        <v>0</v>
      </c>
      <c r="CP13" s="146">
        <v>0</v>
      </c>
      <c r="CQ13" s="146">
        <v>0</v>
      </c>
      <c r="CR13" s="146">
        <v>0</v>
      </c>
      <c r="CS13" s="146">
        <v>0</v>
      </c>
      <c r="CT13" s="146">
        <v>0</v>
      </c>
      <c r="CU13" s="146">
        <v>0</v>
      </c>
      <c r="CV13" s="146">
        <v>0</v>
      </c>
    </row>
    <row r="14" spans="1:100" customFormat="1" x14ac:dyDescent="0.15">
      <c r="A14" s="182" t="s">
        <v>204</v>
      </c>
      <c r="B14" s="146">
        <v>0</v>
      </c>
      <c r="C14" s="146">
        <v>0</v>
      </c>
      <c r="D14" s="146">
        <v>0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1.0139860509188105E-3</v>
      </c>
      <c r="L14" s="146">
        <v>1.1331441695603427E-4</v>
      </c>
      <c r="M14" s="146">
        <v>5.0000000000000001E-4</v>
      </c>
      <c r="N14" s="146">
        <v>2.0000087065423252E-3</v>
      </c>
      <c r="O14" s="146">
        <v>1.0084386771187118E-3</v>
      </c>
      <c r="P14" s="146">
        <v>5.1302869642860208E-4</v>
      </c>
      <c r="Q14" s="146">
        <v>4.9999999999999992E-3</v>
      </c>
      <c r="R14" s="146">
        <v>1E-3</v>
      </c>
      <c r="S14" s="146">
        <v>1.9999999997999999E-3</v>
      </c>
      <c r="T14" s="146">
        <v>0</v>
      </c>
      <c r="U14" s="146">
        <v>0</v>
      </c>
      <c r="V14" s="146">
        <v>2.9999708921316678E-5</v>
      </c>
      <c r="W14" s="146">
        <v>0</v>
      </c>
      <c r="X14" s="146">
        <v>6.7999999999999996E-3</v>
      </c>
      <c r="Y14" s="146">
        <v>1.4999999998845002E-3</v>
      </c>
      <c r="Z14" s="146">
        <v>7.0000267087374894E-4</v>
      </c>
      <c r="AA14" s="146">
        <v>1.9999989384259568E-5</v>
      </c>
      <c r="AB14" s="146">
        <v>0</v>
      </c>
      <c r="AC14" s="146">
        <v>0</v>
      </c>
      <c r="AD14" s="146">
        <v>0</v>
      </c>
      <c r="AE14" s="146">
        <v>0</v>
      </c>
      <c r="AF14" s="146">
        <v>1.9999999918340002E-4</v>
      </c>
      <c r="AG14" s="146">
        <v>0</v>
      </c>
      <c r="AH14" s="146">
        <v>0</v>
      </c>
      <c r="AI14" s="146">
        <v>0</v>
      </c>
      <c r="AJ14" s="146">
        <v>0</v>
      </c>
      <c r="AK14" s="146">
        <v>9.9999679817459029E-6</v>
      </c>
      <c r="AL14" s="146">
        <v>9.9999597976552043E-6</v>
      </c>
      <c r="AM14" s="146">
        <v>0</v>
      </c>
      <c r="AN14" s="146">
        <v>0</v>
      </c>
      <c r="AO14" s="146">
        <v>0</v>
      </c>
      <c r="AP14" s="146">
        <v>0</v>
      </c>
      <c r="AQ14" s="146">
        <v>5.000004606547451E-5</v>
      </c>
      <c r="AR14" s="146">
        <v>1.0238878595945027E-6</v>
      </c>
      <c r="AS14" s="146">
        <v>1.9999848397218446E-4</v>
      </c>
      <c r="AT14" s="146">
        <v>0</v>
      </c>
      <c r="AU14" s="146">
        <v>0</v>
      </c>
      <c r="AV14" s="146">
        <v>0</v>
      </c>
      <c r="AW14" s="146">
        <v>3.8999999999999998E-3</v>
      </c>
      <c r="AX14" s="146">
        <v>0</v>
      </c>
      <c r="AY14" s="146">
        <v>0</v>
      </c>
      <c r="AZ14" s="146">
        <v>0</v>
      </c>
      <c r="BA14" s="146">
        <v>1.0079934505367542E-5</v>
      </c>
      <c r="BB14" s="146">
        <v>0</v>
      </c>
      <c r="BC14" s="146">
        <v>0</v>
      </c>
      <c r="BD14" s="146">
        <v>0</v>
      </c>
      <c r="BE14" s="146">
        <v>0</v>
      </c>
      <c r="BF14" s="146">
        <v>0</v>
      </c>
      <c r="BG14" s="146">
        <v>1.6000024280378368E-4</v>
      </c>
      <c r="BH14" s="146">
        <v>0</v>
      </c>
      <c r="BI14" s="146">
        <v>0</v>
      </c>
      <c r="BJ14" s="146">
        <v>0</v>
      </c>
      <c r="BK14" s="146">
        <v>0</v>
      </c>
      <c r="BL14" s="146">
        <v>0</v>
      </c>
      <c r="BM14" s="146">
        <v>0</v>
      </c>
      <c r="BN14" s="146">
        <v>0</v>
      </c>
      <c r="BO14" s="146">
        <v>0</v>
      </c>
      <c r="BP14" s="146">
        <v>0</v>
      </c>
      <c r="BQ14" s="146">
        <v>0</v>
      </c>
      <c r="BR14" s="146">
        <v>0</v>
      </c>
      <c r="BS14" s="146">
        <v>0</v>
      </c>
      <c r="BT14" s="146">
        <v>0</v>
      </c>
      <c r="BU14" s="146">
        <v>0</v>
      </c>
      <c r="BV14" s="146">
        <v>0</v>
      </c>
      <c r="BW14" s="146">
        <v>0</v>
      </c>
      <c r="BX14" s="146">
        <v>0</v>
      </c>
      <c r="BY14" s="146">
        <v>0</v>
      </c>
      <c r="BZ14" s="146">
        <v>0</v>
      </c>
      <c r="CA14" s="146">
        <v>0</v>
      </c>
      <c r="CB14" s="146">
        <v>0</v>
      </c>
      <c r="CC14" s="146">
        <v>0</v>
      </c>
      <c r="CD14" s="146">
        <v>0</v>
      </c>
      <c r="CE14" s="146">
        <v>0</v>
      </c>
      <c r="CF14" s="146">
        <v>0</v>
      </c>
      <c r="CG14" s="146">
        <v>0</v>
      </c>
      <c r="CH14" s="146">
        <v>0</v>
      </c>
      <c r="CI14" s="146">
        <v>0</v>
      </c>
      <c r="CJ14" s="146">
        <v>0</v>
      </c>
      <c r="CK14" s="146">
        <v>0</v>
      </c>
      <c r="CL14" s="146">
        <v>0</v>
      </c>
      <c r="CM14" s="146">
        <v>0</v>
      </c>
      <c r="CN14" s="146">
        <v>0</v>
      </c>
      <c r="CO14" s="146">
        <v>0</v>
      </c>
      <c r="CP14" s="146">
        <v>0</v>
      </c>
      <c r="CQ14" s="146">
        <v>0</v>
      </c>
      <c r="CR14" s="146">
        <v>0</v>
      </c>
      <c r="CS14" s="146">
        <v>0</v>
      </c>
      <c r="CT14" s="146">
        <v>0</v>
      </c>
      <c r="CU14" s="146">
        <v>0</v>
      </c>
      <c r="CV14" s="146">
        <v>0</v>
      </c>
    </row>
    <row r="15" spans="1:100" customFormat="1" x14ac:dyDescent="0.15">
      <c r="A15" s="182" t="s">
        <v>205</v>
      </c>
      <c r="B15" s="146">
        <v>0</v>
      </c>
      <c r="C15" s="146">
        <v>0</v>
      </c>
      <c r="D15" s="146">
        <v>0</v>
      </c>
      <c r="E15" s="146">
        <v>0</v>
      </c>
      <c r="F15" s="146">
        <v>0</v>
      </c>
      <c r="G15" s="146">
        <v>0</v>
      </c>
      <c r="H15" s="146">
        <v>0</v>
      </c>
      <c r="I15" s="146">
        <v>0</v>
      </c>
      <c r="J15" s="146">
        <v>0</v>
      </c>
      <c r="K15" s="146">
        <v>1.9265733037457434E-3</v>
      </c>
      <c r="L15" s="146">
        <v>2.400008977888717E-3</v>
      </c>
      <c r="M15" s="146">
        <v>1E-3</v>
      </c>
      <c r="N15" s="146">
        <v>3.0000129948134883E-3</v>
      </c>
      <c r="O15" s="146">
        <v>5.0623621863359345E-3</v>
      </c>
      <c r="P15" s="146">
        <v>4.7299789670727241E-3</v>
      </c>
      <c r="Q15" s="146">
        <v>1.5599999999999996E-2</v>
      </c>
      <c r="R15" s="146">
        <v>5.0000000000000001E-3</v>
      </c>
      <c r="S15" s="146">
        <v>6.3999999993600001E-3</v>
      </c>
      <c r="T15" s="146">
        <v>0</v>
      </c>
      <c r="U15" s="146">
        <v>0</v>
      </c>
      <c r="V15" s="146">
        <v>2.9999712221316557E-4</v>
      </c>
      <c r="W15" s="146">
        <v>0</v>
      </c>
      <c r="X15" s="146">
        <v>2.93E-2</v>
      </c>
      <c r="Y15" s="146">
        <v>2.9999999997690004E-3</v>
      </c>
      <c r="Z15" s="146">
        <v>3.0000100766017462E-3</v>
      </c>
      <c r="AA15" s="146">
        <v>3.9999974468519264E-4</v>
      </c>
      <c r="AB15" s="146">
        <v>0</v>
      </c>
      <c r="AC15" s="146">
        <v>0</v>
      </c>
      <c r="AD15" s="146">
        <v>0</v>
      </c>
      <c r="AE15" s="146">
        <v>0</v>
      </c>
      <c r="AF15" s="146">
        <v>1.9999999918340002E-4</v>
      </c>
      <c r="AG15" s="146">
        <v>0</v>
      </c>
      <c r="AH15" s="146">
        <v>0</v>
      </c>
      <c r="AI15" s="146">
        <v>0</v>
      </c>
      <c r="AJ15" s="146">
        <v>0</v>
      </c>
      <c r="AK15" s="146">
        <v>1.1999962178095083E-3</v>
      </c>
      <c r="AL15" s="146">
        <v>5.9999762985931142E-4</v>
      </c>
      <c r="AM15" s="146">
        <v>0</v>
      </c>
      <c r="AN15" s="146">
        <v>0</v>
      </c>
      <c r="AO15" s="146">
        <v>0</v>
      </c>
      <c r="AP15" s="146">
        <v>0</v>
      </c>
      <c r="AQ15" s="146">
        <v>1.0000009213094902E-4</v>
      </c>
      <c r="AR15" s="146">
        <v>1.0238878595945027E-6</v>
      </c>
      <c r="AS15" s="146">
        <v>1.9999848397218446E-4</v>
      </c>
      <c r="AT15" s="146">
        <v>0</v>
      </c>
      <c r="AU15" s="146">
        <v>0</v>
      </c>
      <c r="AV15" s="146">
        <v>0</v>
      </c>
      <c r="AW15" s="146">
        <v>3.8999999999999998E-3</v>
      </c>
      <c r="AX15" s="146">
        <v>0</v>
      </c>
      <c r="AY15" s="146">
        <v>0</v>
      </c>
      <c r="AZ15" s="146">
        <v>0</v>
      </c>
      <c r="BA15" s="146">
        <v>1.0079935105367554E-4</v>
      </c>
      <c r="BB15" s="146">
        <v>0</v>
      </c>
      <c r="BC15" s="146">
        <v>0</v>
      </c>
      <c r="BD15" s="146">
        <v>0</v>
      </c>
      <c r="BE15" s="146">
        <v>0</v>
      </c>
      <c r="BF15" s="146">
        <v>0</v>
      </c>
      <c r="BG15" s="146">
        <v>1.1300037086142199E-3</v>
      </c>
      <c r="BH15" s="146">
        <v>0</v>
      </c>
      <c r="BI15" s="146">
        <v>0</v>
      </c>
      <c r="BJ15" s="146">
        <v>0</v>
      </c>
      <c r="BK15" s="146">
        <v>0</v>
      </c>
      <c r="BL15" s="146">
        <v>0</v>
      </c>
      <c r="BM15" s="146">
        <v>0</v>
      </c>
      <c r="BN15" s="146">
        <v>0</v>
      </c>
      <c r="BO15" s="146">
        <v>0</v>
      </c>
      <c r="BP15" s="146">
        <v>0</v>
      </c>
      <c r="BQ15" s="146">
        <v>0</v>
      </c>
      <c r="BR15" s="146">
        <v>0</v>
      </c>
      <c r="BS15" s="146">
        <v>0</v>
      </c>
      <c r="BT15" s="146">
        <v>0</v>
      </c>
      <c r="BU15" s="146">
        <v>0</v>
      </c>
      <c r="BV15" s="146">
        <v>0</v>
      </c>
      <c r="BW15" s="146">
        <v>0</v>
      </c>
      <c r="BX15" s="146">
        <v>0</v>
      </c>
      <c r="BY15" s="146">
        <v>0</v>
      </c>
      <c r="BZ15" s="146">
        <v>0</v>
      </c>
      <c r="CA15" s="146">
        <v>0</v>
      </c>
      <c r="CB15" s="146">
        <v>0</v>
      </c>
      <c r="CC15" s="146">
        <v>0</v>
      </c>
      <c r="CD15" s="146">
        <v>0</v>
      </c>
      <c r="CE15" s="146">
        <v>0</v>
      </c>
      <c r="CF15" s="146">
        <v>0</v>
      </c>
      <c r="CG15" s="146">
        <v>0</v>
      </c>
      <c r="CH15" s="146">
        <v>0</v>
      </c>
      <c r="CI15" s="146">
        <v>0</v>
      </c>
      <c r="CJ15" s="146">
        <v>0</v>
      </c>
      <c r="CK15" s="146">
        <v>0</v>
      </c>
      <c r="CL15" s="146">
        <v>0</v>
      </c>
      <c r="CM15" s="146">
        <v>0</v>
      </c>
      <c r="CN15" s="146">
        <v>0</v>
      </c>
      <c r="CO15" s="146">
        <v>0</v>
      </c>
      <c r="CP15" s="146">
        <v>0</v>
      </c>
      <c r="CQ15" s="146">
        <v>0</v>
      </c>
      <c r="CR15" s="146">
        <v>0</v>
      </c>
      <c r="CS15" s="146">
        <v>0</v>
      </c>
      <c r="CT15" s="146">
        <v>0</v>
      </c>
      <c r="CU15" s="146">
        <v>0</v>
      </c>
      <c r="CV15" s="146">
        <v>0</v>
      </c>
    </row>
    <row r="16" spans="1:100" customFormat="1" x14ac:dyDescent="0.15">
      <c r="A16" s="182" t="s">
        <v>206</v>
      </c>
      <c r="B16" s="146">
        <v>0</v>
      </c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1.2000052979253952E-3</v>
      </c>
      <c r="O16" s="146">
        <v>1.1496201623153341E-2</v>
      </c>
      <c r="P16" s="146">
        <v>7.9999649443090442E-3</v>
      </c>
      <c r="Q16" s="146">
        <v>6.0999999999999987E-3</v>
      </c>
      <c r="R16" s="146">
        <v>2.5899999999999999E-3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0</v>
      </c>
      <c r="AB16" s="146">
        <v>0</v>
      </c>
      <c r="AC16" s="146">
        <v>0</v>
      </c>
      <c r="AD16" s="146">
        <v>0</v>
      </c>
      <c r="AE16" s="146">
        <v>0</v>
      </c>
      <c r="AF16" s="146">
        <v>0</v>
      </c>
      <c r="AG16" s="146">
        <v>0</v>
      </c>
      <c r="AH16" s="146">
        <v>5.9999891409313454E-4</v>
      </c>
      <c r="AI16" s="146">
        <v>9.9999769631680858E-5</v>
      </c>
      <c r="AJ16" s="146">
        <v>0</v>
      </c>
      <c r="AK16" s="146">
        <v>0</v>
      </c>
      <c r="AL16" s="146">
        <v>0</v>
      </c>
      <c r="AM16" s="146">
        <v>0</v>
      </c>
      <c r="AN16" s="146">
        <v>0</v>
      </c>
      <c r="AO16" s="146">
        <v>0</v>
      </c>
      <c r="AP16" s="146">
        <v>0</v>
      </c>
      <c r="AQ16" s="146">
        <v>1.0000010013094902E-3</v>
      </c>
      <c r="AR16" s="146">
        <v>2.0477858491888036E-5</v>
      </c>
      <c r="AS16" s="146">
        <v>1.9999848397218446E-4</v>
      </c>
      <c r="AT16" s="146">
        <v>9.9999649876785919E-5</v>
      </c>
      <c r="AU16" s="146">
        <v>5.0002499714785708E-4</v>
      </c>
      <c r="AV16" s="146">
        <v>9.9999999999999995E-7</v>
      </c>
      <c r="AW16" s="146">
        <v>0</v>
      </c>
      <c r="AX16" s="146">
        <v>0</v>
      </c>
      <c r="AY16" s="146">
        <v>1.0000896931288805E-3</v>
      </c>
      <c r="AZ16" s="146">
        <v>2.0000177505326289E-4</v>
      </c>
      <c r="BA16" s="146">
        <v>1.0079935105367554E-4</v>
      </c>
      <c r="BB16" s="146">
        <v>3.9999996444162752E-5</v>
      </c>
      <c r="BC16" s="146">
        <v>1.0000000146959999E-5</v>
      </c>
      <c r="BD16" s="146">
        <v>9.9999699473301585E-6</v>
      </c>
      <c r="BE16" s="146">
        <v>0</v>
      </c>
      <c r="BF16" s="146">
        <v>0</v>
      </c>
      <c r="BG16" s="146">
        <v>0</v>
      </c>
      <c r="BH16" s="146">
        <v>0</v>
      </c>
      <c r="BI16" s="146">
        <v>0</v>
      </c>
      <c r="BJ16" s="146">
        <v>0</v>
      </c>
      <c r="BK16" s="146">
        <v>0</v>
      </c>
      <c r="BL16" s="146">
        <v>0</v>
      </c>
      <c r="BM16" s="146">
        <v>0</v>
      </c>
      <c r="BN16" s="146">
        <v>9.9999999908999985E-7</v>
      </c>
      <c r="BO16" s="146">
        <v>0</v>
      </c>
      <c r="BP16" s="146">
        <v>0</v>
      </c>
      <c r="BQ16" s="146">
        <v>0</v>
      </c>
      <c r="BR16" s="146">
        <v>0</v>
      </c>
      <c r="BS16" s="146">
        <v>0</v>
      </c>
      <c r="BT16" s="146">
        <v>0</v>
      </c>
      <c r="BU16" s="146">
        <v>0</v>
      </c>
      <c r="BV16" s="146">
        <v>0</v>
      </c>
      <c r="BW16" s="146">
        <v>0</v>
      </c>
      <c r="BX16" s="146">
        <v>0</v>
      </c>
      <c r="BY16" s="146">
        <v>0</v>
      </c>
      <c r="BZ16" s="146">
        <v>0</v>
      </c>
      <c r="CA16" s="146">
        <v>0</v>
      </c>
      <c r="CB16" s="146">
        <v>0</v>
      </c>
      <c r="CC16" s="146">
        <v>0</v>
      </c>
      <c r="CD16" s="146">
        <v>0</v>
      </c>
      <c r="CE16" s="146">
        <v>0</v>
      </c>
      <c r="CF16" s="146">
        <v>0</v>
      </c>
      <c r="CG16" s="146">
        <v>0</v>
      </c>
      <c r="CH16" s="146">
        <v>0</v>
      </c>
      <c r="CI16" s="146">
        <v>0</v>
      </c>
      <c r="CJ16" s="146">
        <v>0</v>
      </c>
      <c r="CK16" s="146">
        <v>0</v>
      </c>
      <c r="CL16" s="146">
        <v>1.000049943737188E-4</v>
      </c>
      <c r="CM16" s="146">
        <v>0</v>
      </c>
      <c r="CN16" s="146">
        <v>0</v>
      </c>
      <c r="CO16" s="146">
        <v>0</v>
      </c>
      <c r="CP16" s="146">
        <v>0</v>
      </c>
      <c r="CQ16" s="146">
        <v>0</v>
      </c>
      <c r="CR16" s="146">
        <v>0</v>
      </c>
      <c r="CS16" s="146">
        <v>0</v>
      </c>
      <c r="CT16" s="146">
        <v>0</v>
      </c>
      <c r="CU16" s="146">
        <v>0</v>
      </c>
      <c r="CV16" s="146">
        <v>0</v>
      </c>
    </row>
    <row r="17" spans="1:100" customFormat="1" x14ac:dyDescent="0.15">
      <c r="A17" s="182" t="s">
        <v>207</v>
      </c>
      <c r="B17" s="146">
        <v>0</v>
      </c>
      <c r="C17" s="146">
        <v>0</v>
      </c>
      <c r="D17" s="146">
        <v>0</v>
      </c>
      <c r="E17" s="146">
        <v>0</v>
      </c>
      <c r="F17" s="146">
        <v>0</v>
      </c>
      <c r="G17" s="146">
        <v>0</v>
      </c>
      <c r="H17" s="146">
        <v>0</v>
      </c>
      <c r="I17" s="146">
        <v>0</v>
      </c>
      <c r="J17" s="146">
        <v>0</v>
      </c>
      <c r="K17" s="146">
        <v>0</v>
      </c>
      <c r="L17" s="146">
        <v>0</v>
      </c>
      <c r="M17" s="146">
        <v>0</v>
      </c>
      <c r="N17" s="146">
        <v>0</v>
      </c>
      <c r="O17" s="146">
        <v>0</v>
      </c>
      <c r="P17" s="146">
        <v>0</v>
      </c>
      <c r="Q17" s="146">
        <v>9.999999999999998E-4</v>
      </c>
      <c r="R17" s="146">
        <v>3.0000000000000001E-3</v>
      </c>
      <c r="S17" s="146">
        <v>2.9999999997E-3</v>
      </c>
      <c r="T17" s="146">
        <v>0</v>
      </c>
      <c r="U17" s="146">
        <v>0</v>
      </c>
      <c r="V17" s="146">
        <v>2.9999810621313019E-3</v>
      </c>
      <c r="W17" s="146">
        <v>0</v>
      </c>
      <c r="X17" s="146">
        <v>1.1000000000000001E-3</v>
      </c>
      <c r="Y17" s="146">
        <v>0</v>
      </c>
      <c r="Z17" s="146">
        <v>1.0000024255338915E-2</v>
      </c>
      <c r="AA17" s="146">
        <v>1.9999989384259568E-5</v>
      </c>
      <c r="AB17" s="146">
        <v>0</v>
      </c>
      <c r="AC17" s="146">
        <v>0</v>
      </c>
      <c r="AD17" s="146">
        <v>0</v>
      </c>
      <c r="AE17" s="146">
        <v>0</v>
      </c>
      <c r="AF17" s="146">
        <v>0</v>
      </c>
      <c r="AG17" s="146">
        <v>0</v>
      </c>
      <c r="AH17" s="146">
        <v>0</v>
      </c>
      <c r="AI17" s="146">
        <v>0</v>
      </c>
      <c r="AJ17" s="146">
        <v>0</v>
      </c>
      <c r="AK17" s="146">
        <v>5.0999835706904098E-7</v>
      </c>
      <c r="AL17" s="146">
        <v>0</v>
      </c>
      <c r="AM17" s="146">
        <v>0</v>
      </c>
      <c r="AN17" s="146">
        <v>0</v>
      </c>
      <c r="AO17" s="146">
        <v>0</v>
      </c>
      <c r="AP17" s="146">
        <v>0</v>
      </c>
      <c r="AQ17" s="146">
        <v>3.0000028339284706E-5</v>
      </c>
      <c r="AR17" s="146">
        <v>1.0238878595945027E-6</v>
      </c>
      <c r="AS17" s="146">
        <v>6.9999616890266007E-5</v>
      </c>
      <c r="AT17" s="146">
        <v>0</v>
      </c>
      <c r="AU17" s="146">
        <v>0</v>
      </c>
      <c r="AV17" s="146">
        <v>0</v>
      </c>
      <c r="AW17" s="146">
        <v>0</v>
      </c>
      <c r="AX17" s="146">
        <v>0</v>
      </c>
      <c r="AY17" s="146">
        <v>0</v>
      </c>
      <c r="AZ17" s="146">
        <v>0</v>
      </c>
      <c r="BA17" s="146">
        <v>0</v>
      </c>
      <c r="BB17" s="146">
        <v>0</v>
      </c>
      <c r="BC17" s="146">
        <v>0</v>
      </c>
      <c r="BD17" s="146">
        <v>0</v>
      </c>
      <c r="BE17" s="146">
        <v>0</v>
      </c>
      <c r="BF17" s="146">
        <v>0</v>
      </c>
      <c r="BG17" s="146">
        <v>1.6000024280378368E-4</v>
      </c>
      <c r="BH17" s="146">
        <v>0</v>
      </c>
      <c r="BI17" s="146">
        <v>0</v>
      </c>
      <c r="BJ17" s="146">
        <v>0</v>
      </c>
      <c r="BK17" s="146">
        <v>0</v>
      </c>
      <c r="BL17" s="146">
        <v>0</v>
      </c>
      <c r="BM17" s="146">
        <v>0</v>
      </c>
      <c r="BN17" s="146">
        <v>0</v>
      </c>
      <c r="BO17" s="146">
        <v>0</v>
      </c>
      <c r="BP17" s="146">
        <v>0</v>
      </c>
      <c r="BQ17" s="146">
        <v>0</v>
      </c>
      <c r="BR17" s="146">
        <v>0</v>
      </c>
      <c r="BS17" s="146">
        <v>0</v>
      </c>
      <c r="BT17" s="146">
        <v>0</v>
      </c>
      <c r="BU17" s="146">
        <v>0</v>
      </c>
      <c r="BV17" s="146">
        <v>0</v>
      </c>
      <c r="BW17" s="146">
        <v>0</v>
      </c>
      <c r="BX17" s="146">
        <v>0</v>
      </c>
      <c r="BY17" s="146">
        <v>0</v>
      </c>
      <c r="BZ17" s="146">
        <v>0</v>
      </c>
      <c r="CA17" s="146">
        <v>0</v>
      </c>
      <c r="CB17" s="146">
        <v>0</v>
      </c>
      <c r="CC17" s="146">
        <v>0</v>
      </c>
      <c r="CD17" s="146">
        <v>0</v>
      </c>
      <c r="CE17" s="146">
        <v>0</v>
      </c>
      <c r="CF17" s="146">
        <v>0</v>
      </c>
      <c r="CG17" s="146">
        <v>0</v>
      </c>
      <c r="CH17" s="146">
        <v>0</v>
      </c>
      <c r="CI17" s="146">
        <v>0</v>
      </c>
      <c r="CJ17" s="146">
        <v>0</v>
      </c>
      <c r="CK17" s="146">
        <v>0</v>
      </c>
      <c r="CL17" s="146">
        <v>0</v>
      </c>
      <c r="CM17" s="146">
        <v>0</v>
      </c>
      <c r="CN17" s="146">
        <v>0</v>
      </c>
      <c r="CO17" s="146">
        <v>0</v>
      </c>
      <c r="CP17" s="146">
        <v>0</v>
      </c>
      <c r="CQ17" s="146">
        <v>0</v>
      </c>
      <c r="CR17" s="146">
        <v>0</v>
      </c>
      <c r="CS17" s="146">
        <v>0</v>
      </c>
      <c r="CT17" s="146">
        <v>0</v>
      </c>
      <c r="CU17" s="146">
        <v>0</v>
      </c>
      <c r="CV17" s="146">
        <v>0</v>
      </c>
    </row>
    <row r="18" spans="1:100" customFormat="1" x14ac:dyDescent="0.15">
      <c r="A18" s="182" t="s">
        <v>208</v>
      </c>
      <c r="B18" s="146">
        <v>0</v>
      </c>
      <c r="C18" s="146">
        <v>0</v>
      </c>
      <c r="D18" s="146">
        <v>0</v>
      </c>
      <c r="E18" s="146">
        <v>0</v>
      </c>
      <c r="F18" s="146">
        <v>0</v>
      </c>
      <c r="G18" s="146">
        <v>0</v>
      </c>
      <c r="H18" s="146">
        <v>0</v>
      </c>
      <c r="I18" s="146">
        <v>0</v>
      </c>
      <c r="J18" s="146">
        <v>0</v>
      </c>
      <c r="K18" s="146">
        <v>0</v>
      </c>
      <c r="L18" s="146">
        <v>0</v>
      </c>
      <c r="M18" s="146">
        <v>0</v>
      </c>
      <c r="N18" s="146">
        <v>0</v>
      </c>
      <c r="O18" s="146">
        <v>0</v>
      </c>
      <c r="P18" s="146">
        <v>0</v>
      </c>
      <c r="Q18" s="146">
        <v>9.9999999999999985E-3</v>
      </c>
      <c r="R18" s="146">
        <v>1.2880000000000001E-2</v>
      </c>
      <c r="S18" s="146">
        <v>3.6999999996300001E-3</v>
      </c>
      <c r="T18" s="146">
        <v>0</v>
      </c>
      <c r="U18" s="146">
        <v>0</v>
      </c>
      <c r="V18" s="146">
        <v>9.999908640438689E-5</v>
      </c>
      <c r="W18" s="146">
        <v>0</v>
      </c>
      <c r="X18" s="146">
        <v>1.1000000000000001E-3</v>
      </c>
      <c r="Y18" s="146">
        <v>0</v>
      </c>
      <c r="Z18" s="146">
        <v>5.000012127669458E-4</v>
      </c>
      <c r="AA18" s="146">
        <v>1.9999989384259568E-5</v>
      </c>
      <c r="AB18" s="146">
        <v>0</v>
      </c>
      <c r="AC18" s="146">
        <v>0</v>
      </c>
      <c r="AD18" s="146">
        <v>0</v>
      </c>
      <c r="AE18" s="146">
        <v>0</v>
      </c>
      <c r="AF18" s="146">
        <v>0</v>
      </c>
      <c r="AG18" s="146">
        <v>0</v>
      </c>
      <c r="AH18" s="146">
        <v>0</v>
      </c>
      <c r="AI18" s="146">
        <v>0</v>
      </c>
      <c r="AJ18" s="146">
        <v>0</v>
      </c>
      <c r="AK18" s="146">
        <v>5.0999835706904098E-7</v>
      </c>
      <c r="AL18" s="146">
        <v>0</v>
      </c>
      <c r="AM18" s="146">
        <v>0</v>
      </c>
      <c r="AN18" s="146">
        <v>0</v>
      </c>
      <c r="AO18" s="146">
        <v>0</v>
      </c>
      <c r="AP18" s="146">
        <v>0</v>
      </c>
      <c r="AQ18" s="146">
        <v>1.0000009213094902E-4</v>
      </c>
      <c r="AR18" s="146">
        <v>2.0477858491888036E-5</v>
      </c>
      <c r="AS18" s="146">
        <v>6.9999616890266007E-5</v>
      </c>
      <c r="AT18" s="146">
        <v>0</v>
      </c>
      <c r="AU18" s="146">
        <v>0</v>
      </c>
      <c r="AV18" s="146">
        <v>0</v>
      </c>
      <c r="AW18" s="146">
        <v>0</v>
      </c>
      <c r="AX18" s="146">
        <v>0</v>
      </c>
      <c r="AY18" s="146">
        <v>0</v>
      </c>
      <c r="AZ18" s="146">
        <v>0</v>
      </c>
      <c r="BA18" s="146">
        <v>0</v>
      </c>
      <c r="BB18" s="146">
        <v>0</v>
      </c>
      <c r="BC18" s="146">
        <v>0</v>
      </c>
      <c r="BD18" s="146">
        <v>0</v>
      </c>
      <c r="BE18" s="146">
        <v>0</v>
      </c>
      <c r="BF18" s="146">
        <v>0</v>
      </c>
      <c r="BG18" s="146">
        <v>1.6000024280378368E-4</v>
      </c>
      <c r="BH18" s="146">
        <v>0</v>
      </c>
      <c r="BI18" s="146">
        <v>0</v>
      </c>
      <c r="BJ18" s="146">
        <v>0</v>
      </c>
      <c r="BK18" s="146">
        <v>0</v>
      </c>
      <c r="BL18" s="146">
        <v>0</v>
      </c>
      <c r="BM18" s="146">
        <v>0</v>
      </c>
      <c r="BN18" s="146">
        <v>0</v>
      </c>
      <c r="BO18" s="146">
        <v>0</v>
      </c>
      <c r="BP18" s="146">
        <v>0</v>
      </c>
      <c r="BQ18" s="146">
        <v>0</v>
      </c>
      <c r="BR18" s="146">
        <v>0</v>
      </c>
      <c r="BS18" s="146">
        <v>0</v>
      </c>
      <c r="BT18" s="146">
        <v>0</v>
      </c>
      <c r="BU18" s="146">
        <v>0</v>
      </c>
      <c r="BV18" s="146">
        <v>0</v>
      </c>
      <c r="BW18" s="146">
        <v>0</v>
      </c>
      <c r="BX18" s="146">
        <v>0</v>
      </c>
      <c r="BY18" s="146">
        <v>0</v>
      </c>
      <c r="BZ18" s="146">
        <v>0</v>
      </c>
      <c r="CA18" s="146">
        <v>0</v>
      </c>
      <c r="CB18" s="146">
        <v>0</v>
      </c>
      <c r="CC18" s="146">
        <v>0</v>
      </c>
      <c r="CD18" s="146">
        <v>0</v>
      </c>
      <c r="CE18" s="146">
        <v>0</v>
      </c>
      <c r="CF18" s="146">
        <v>0</v>
      </c>
      <c r="CG18" s="146">
        <v>0</v>
      </c>
      <c r="CH18" s="146">
        <v>0</v>
      </c>
      <c r="CI18" s="146">
        <v>0</v>
      </c>
      <c r="CJ18" s="146">
        <v>0</v>
      </c>
      <c r="CK18" s="146">
        <v>0</v>
      </c>
      <c r="CL18" s="146">
        <v>0</v>
      </c>
      <c r="CM18" s="146">
        <v>0</v>
      </c>
      <c r="CN18" s="146">
        <v>0</v>
      </c>
      <c r="CO18" s="146">
        <v>0</v>
      </c>
      <c r="CP18" s="146">
        <v>0</v>
      </c>
      <c r="CQ18" s="146">
        <v>0</v>
      </c>
      <c r="CR18" s="146">
        <v>0</v>
      </c>
      <c r="CS18" s="146">
        <v>0</v>
      </c>
      <c r="CT18" s="146">
        <v>0</v>
      </c>
      <c r="CU18" s="146">
        <v>0</v>
      </c>
      <c r="CV18" s="146">
        <v>0</v>
      </c>
    </row>
    <row r="19" spans="1:100" customFormat="1" x14ac:dyDescent="0.15">
      <c r="A19" s="182" t="s">
        <v>209</v>
      </c>
      <c r="B19" s="146">
        <v>0</v>
      </c>
      <c r="C19" s="146">
        <v>0</v>
      </c>
      <c r="D19" s="146">
        <v>0</v>
      </c>
      <c r="E19" s="146">
        <v>0</v>
      </c>
      <c r="F19" s="146">
        <v>0</v>
      </c>
      <c r="G19" s="146">
        <v>0</v>
      </c>
      <c r="H19" s="146">
        <v>0</v>
      </c>
      <c r="I19" s="146">
        <v>0</v>
      </c>
      <c r="J19" s="146">
        <v>0</v>
      </c>
      <c r="K19" s="146">
        <v>0</v>
      </c>
      <c r="L19" s="146">
        <v>0</v>
      </c>
      <c r="M19" s="146">
        <v>0</v>
      </c>
      <c r="N19" s="146">
        <v>1.0291925882207013E-3</v>
      </c>
      <c r="O19" s="146">
        <v>7.0590702598309651E-4</v>
      </c>
      <c r="P19" s="146">
        <v>0</v>
      </c>
      <c r="Q19" s="146">
        <v>4.9999999999999992E-3</v>
      </c>
      <c r="R19" s="146">
        <v>8.9999999999999998E-4</v>
      </c>
      <c r="S19" s="146">
        <v>0</v>
      </c>
      <c r="T19" s="146">
        <v>0</v>
      </c>
      <c r="U19" s="146">
        <v>0</v>
      </c>
      <c r="V19" s="146">
        <v>0</v>
      </c>
      <c r="W19" s="146">
        <v>0</v>
      </c>
      <c r="X19" s="146">
        <v>0</v>
      </c>
      <c r="Y19" s="146">
        <v>0</v>
      </c>
      <c r="Z19" s="146">
        <v>0</v>
      </c>
      <c r="AA19" s="146">
        <v>0</v>
      </c>
      <c r="AB19" s="146">
        <v>0</v>
      </c>
      <c r="AC19" s="146">
        <v>0</v>
      </c>
      <c r="AD19" s="146">
        <v>0</v>
      </c>
      <c r="AE19" s="146">
        <v>0</v>
      </c>
      <c r="AF19" s="146">
        <v>0</v>
      </c>
      <c r="AG19" s="146">
        <v>0</v>
      </c>
      <c r="AH19" s="146">
        <v>2.9999998104657956E-5</v>
      </c>
      <c r="AI19" s="146">
        <v>1.9999993926336023E-5</v>
      </c>
      <c r="AJ19" s="146">
        <v>0</v>
      </c>
      <c r="AK19" s="146">
        <v>0</v>
      </c>
      <c r="AL19" s="146">
        <v>0</v>
      </c>
      <c r="AM19" s="146">
        <v>0</v>
      </c>
      <c r="AN19" s="146">
        <v>0</v>
      </c>
      <c r="AO19" s="146">
        <v>0</v>
      </c>
      <c r="AP19" s="146">
        <v>0</v>
      </c>
      <c r="AQ19" s="146">
        <v>1.0000010013094902E-5</v>
      </c>
      <c r="AR19" s="146">
        <v>1.0238878595945027E-6</v>
      </c>
      <c r="AS19" s="146">
        <v>4.9999668193046575E-5</v>
      </c>
      <c r="AT19" s="146">
        <v>9.9999639876785952E-6</v>
      </c>
      <c r="AU19" s="146">
        <v>1.0000499942957142E-5</v>
      </c>
      <c r="AV19" s="146">
        <v>9.9999999999999995E-7</v>
      </c>
      <c r="AW19" s="146">
        <v>0</v>
      </c>
      <c r="AX19" s="146">
        <v>0</v>
      </c>
      <c r="AY19" s="146">
        <v>3.0002786793866714E-4</v>
      </c>
      <c r="AZ19" s="146">
        <v>2.0000176405326261E-5</v>
      </c>
      <c r="BA19" s="146">
        <v>1.0079935105367554E-4</v>
      </c>
      <c r="BB19" s="146">
        <v>1.2999999239352907E-7</v>
      </c>
      <c r="BC19" s="146">
        <v>1.0000000146959999E-5</v>
      </c>
      <c r="BD19" s="146">
        <v>1.0999999942063001E-7</v>
      </c>
      <c r="BE19" s="146">
        <v>0</v>
      </c>
      <c r="BF19" s="146">
        <v>0</v>
      </c>
      <c r="BG19" s="146">
        <v>0</v>
      </c>
      <c r="BH19" s="146">
        <v>0</v>
      </c>
      <c r="BI19" s="146">
        <v>0</v>
      </c>
      <c r="BJ19" s="146">
        <v>0</v>
      </c>
      <c r="BK19" s="146">
        <v>0</v>
      </c>
      <c r="BL19" s="146">
        <v>0</v>
      </c>
      <c r="BM19" s="146">
        <v>0</v>
      </c>
      <c r="BN19" s="146">
        <v>9.9999999908999985E-7</v>
      </c>
      <c r="BO19" s="146">
        <v>0</v>
      </c>
      <c r="BP19" s="146">
        <v>0</v>
      </c>
      <c r="BQ19" s="146">
        <v>0</v>
      </c>
      <c r="BR19" s="146">
        <v>0</v>
      </c>
      <c r="BS19" s="146">
        <v>0</v>
      </c>
      <c r="BT19" s="146">
        <v>0</v>
      </c>
      <c r="BU19" s="146">
        <v>0</v>
      </c>
      <c r="BV19" s="146">
        <v>0</v>
      </c>
      <c r="BW19" s="146">
        <v>0</v>
      </c>
      <c r="BX19" s="146">
        <v>0</v>
      </c>
      <c r="BY19" s="146">
        <v>0</v>
      </c>
      <c r="BZ19" s="146">
        <v>0</v>
      </c>
      <c r="CA19" s="146">
        <v>0</v>
      </c>
      <c r="CB19" s="146">
        <v>0</v>
      </c>
      <c r="CC19" s="146">
        <v>0</v>
      </c>
      <c r="CD19" s="146">
        <v>0</v>
      </c>
      <c r="CE19" s="146">
        <v>0</v>
      </c>
      <c r="CF19" s="146">
        <v>0</v>
      </c>
      <c r="CG19" s="146">
        <v>0</v>
      </c>
      <c r="CH19" s="146">
        <v>0</v>
      </c>
      <c r="CI19" s="146">
        <v>0</v>
      </c>
      <c r="CJ19" s="146">
        <v>0</v>
      </c>
      <c r="CK19" s="146">
        <v>0</v>
      </c>
      <c r="CL19" s="146">
        <v>1.000049943737188E-4</v>
      </c>
      <c r="CM19" s="146">
        <v>0</v>
      </c>
      <c r="CN19" s="146">
        <v>0</v>
      </c>
      <c r="CO19" s="146">
        <v>0</v>
      </c>
      <c r="CP19" s="146">
        <v>0</v>
      </c>
      <c r="CQ19" s="146">
        <v>0</v>
      </c>
      <c r="CR19" s="146">
        <v>0</v>
      </c>
      <c r="CS19" s="146">
        <v>0</v>
      </c>
      <c r="CT19" s="146">
        <v>0</v>
      </c>
      <c r="CU19" s="146">
        <v>0</v>
      </c>
      <c r="CV19" s="146">
        <v>0</v>
      </c>
    </row>
    <row r="20" spans="1:100" customFormat="1" x14ac:dyDescent="0.15">
      <c r="A20" s="182" t="s">
        <v>210</v>
      </c>
      <c r="B20" s="146">
        <v>0</v>
      </c>
      <c r="C20" s="146">
        <v>2.4709302738895343E-2</v>
      </c>
      <c r="D20" s="146">
        <v>0</v>
      </c>
      <c r="E20" s="146">
        <v>0</v>
      </c>
      <c r="F20" s="146">
        <v>0</v>
      </c>
      <c r="G20" s="146">
        <v>0</v>
      </c>
      <c r="H20" s="146">
        <v>0</v>
      </c>
      <c r="I20" s="146">
        <v>0</v>
      </c>
      <c r="J20" s="146">
        <v>0</v>
      </c>
      <c r="K20" s="146">
        <v>0</v>
      </c>
      <c r="L20" s="146">
        <v>0</v>
      </c>
      <c r="M20" s="146">
        <v>0</v>
      </c>
      <c r="N20" s="146">
        <v>5.1459629911035061E-4</v>
      </c>
      <c r="O20" s="146">
        <v>0</v>
      </c>
      <c r="P20" s="146">
        <v>0</v>
      </c>
      <c r="Q20" s="146">
        <v>0</v>
      </c>
      <c r="R20" s="146">
        <v>0</v>
      </c>
      <c r="S20" s="146">
        <v>0</v>
      </c>
      <c r="T20" s="146">
        <v>0.03</v>
      </c>
      <c r="U20" s="146">
        <v>1.9999844322949312E-2</v>
      </c>
      <c r="V20" s="146">
        <v>0</v>
      </c>
      <c r="W20" s="146">
        <v>5.0000117242044444E-2</v>
      </c>
      <c r="X20" s="146">
        <v>0</v>
      </c>
      <c r="Y20" s="146">
        <v>0</v>
      </c>
      <c r="Z20" s="146">
        <v>2.0000045110677743E-4</v>
      </c>
      <c r="AA20" s="146">
        <v>0</v>
      </c>
      <c r="AB20" s="146">
        <v>2.3999999999999998E-3</v>
      </c>
      <c r="AC20" s="146">
        <v>2.0999999999999999E-3</v>
      </c>
      <c r="AD20" s="146">
        <v>1E-3</v>
      </c>
      <c r="AE20" s="146">
        <v>0</v>
      </c>
      <c r="AF20" s="146">
        <v>0</v>
      </c>
      <c r="AG20" s="146">
        <v>0</v>
      </c>
      <c r="AH20" s="146">
        <v>0</v>
      </c>
      <c r="AI20" s="146">
        <v>0</v>
      </c>
      <c r="AJ20" s="146">
        <v>0</v>
      </c>
      <c r="AK20" s="146">
        <v>9.9999679817459025E-2</v>
      </c>
      <c r="AL20" s="146">
        <v>1.0999955477420731E-3</v>
      </c>
      <c r="AM20" s="146">
        <v>0</v>
      </c>
      <c r="AN20" s="146">
        <v>0</v>
      </c>
      <c r="AO20" s="146">
        <v>0</v>
      </c>
      <c r="AP20" s="146">
        <v>0</v>
      </c>
      <c r="AQ20" s="146">
        <v>2.0000018226189804E-2</v>
      </c>
      <c r="AR20" s="146">
        <v>0</v>
      </c>
      <c r="AS20" s="146">
        <v>9.9999440986094201E-5</v>
      </c>
      <c r="AT20" s="146">
        <v>0</v>
      </c>
      <c r="AU20" s="146">
        <v>0</v>
      </c>
      <c r="AV20" s="146">
        <v>0</v>
      </c>
      <c r="AW20" s="146">
        <v>0</v>
      </c>
      <c r="AX20" s="146">
        <v>0</v>
      </c>
      <c r="AY20" s="146">
        <v>0</v>
      </c>
      <c r="AZ20" s="146">
        <v>0</v>
      </c>
      <c r="BA20" s="146">
        <v>8.0639481642940465E-4</v>
      </c>
      <c r="BB20" s="146">
        <v>0</v>
      </c>
      <c r="BC20" s="146">
        <v>0</v>
      </c>
      <c r="BD20" s="146">
        <v>0</v>
      </c>
      <c r="BE20" s="146">
        <v>0</v>
      </c>
      <c r="BF20" s="146">
        <v>0</v>
      </c>
      <c r="BG20" s="146">
        <v>2.9290106064080074E-2</v>
      </c>
      <c r="BH20" s="146">
        <v>0</v>
      </c>
      <c r="BI20" s="146">
        <v>0</v>
      </c>
      <c r="BJ20" s="146">
        <v>0</v>
      </c>
      <c r="BK20" s="146">
        <v>0</v>
      </c>
      <c r="BL20" s="146">
        <v>0</v>
      </c>
      <c r="BM20" s="146">
        <v>0</v>
      </c>
      <c r="BN20" s="146">
        <v>0</v>
      </c>
      <c r="BO20" s="146">
        <v>0</v>
      </c>
      <c r="BP20" s="146">
        <v>0</v>
      </c>
      <c r="BQ20" s="146">
        <v>0</v>
      </c>
      <c r="BR20" s="146">
        <v>0</v>
      </c>
      <c r="BS20" s="146">
        <v>0</v>
      </c>
      <c r="BT20" s="146">
        <v>0</v>
      </c>
      <c r="BU20" s="146">
        <v>0</v>
      </c>
      <c r="BV20" s="146">
        <v>0</v>
      </c>
      <c r="BW20" s="146">
        <v>0</v>
      </c>
      <c r="BX20" s="146">
        <v>0</v>
      </c>
      <c r="BY20" s="146">
        <v>0</v>
      </c>
      <c r="BZ20" s="146">
        <v>0</v>
      </c>
      <c r="CA20" s="146">
        <v>0</v>
      </c>
      <c r="CB20" s="146">
        <v>0</v>
      </c>
      <c r="CC20" s="146">
        <v>0</v>
      </c>
      <c r="CD20" s="146">
        <v>0</v>
      </c>
      <c r="CE20" s="146">
        <v>0</v>
      </c>
      <c r="CF20" s="146">
        <v>0</v>
      </c>
      <c r="CG20" s="146">
        <v>0</v>
      </c>
      <c r="CH20" s="146">
        <v>0</v>
      </c>
      <c r="CI20" s="146">
        <v>0</v>
      </c>
      <c r="CJ20" s="146">
        <v>0</v>
      </c>
      <c r="CK20" s="146">
        <v>0</v>
      </c>
      <c r="CL20" s="146">
        <v>0</v>
      </c>
      <c r="CM20" s="146">
        <v>0</v>
      </c>
      <c r="CN20" s="146">
        <v>0</v>
      </c>
      <c r="CO20" s="146">
        <v>0</v>
      </c>
      <c r="CP20" s="146">
        <v>0</v>
      </c>
      <c r="CQ20" s="146">
        <v>0</v>
      </c>
      <c r="CR20" s="146">
        <v>0</v>
      </c>
      <c r="CS20" s="146">
        <v>0</v>
      </c>
      <c r="CT20" s="146">
        <v>0</v>
      </c>
      <c r="CU20" s="146">
        <v>0</v>
      </c>
      <c r="CV20" s="146">
        <v>0</v>
      </c>
    </row>
    <row r="21" spans="1:100" customFormat="1" x14ac:dyDescent="0.15">
      <c r="A21" s="182" t="s">
        <v>211</v>
      </c>
      <c r="B21" s="146">
        <v>0</v>
      </c>
      <c r="C21" s="146">
        <v>0</v>
      </c>
      <c r="D21" s="146">
        <v>0</v>
      </c>
      <c r="E21" s="146">
        <v>0</v>
      </c>
      <c r="F21" s="146">
        <v>0</v>
      </c>
      <c r="G21" s="146">
        <v>0</v>
      </c>
      <c r="H21" s="146">
        <v>0</v>
      </c>
      <c r="I21" s="146">
        <v>0</v>
      </c>
      <c r="J21" s="146">
        <v>0</v>
      </c>
      <c r="K21" s="146">
        <v>0</v>
      </c>
      <c r="L21" s="146">
        <v>0</v>
      </c>
      <c r="M21" s="146">
        <v>0</v>
      </c>
      <c r="N21" s="146">
        <v>5.8663952998580012E-3</v>
      </c>
      <c r="O21" s="146">
        <v>2.0168773642374239E-3</v>
      </c>
      <c r="P21" s="146">
        <v>0</v>
      </c>
      <c r="Q21" s="146">
        <v>0</v>
      </c>
      <c r="R21" s="146">
        <v>0</v>
      </c>
      <c r="S21" s="146">
        <v>0</v>
      </c>
      <c r="T21" s="146">
        <v>1.5299999999999999E-2</v>
      </c>
      <c r="U21" s="146">
        <v>1.9999844322949312E-2</v>
      </c>
      <c r="V21" s="146">
        <v>5.6999472750500759E-3</v>
      </c>
      <c r="W21" s="146">
        <v>7.5258171568443513E-2</v>
      </c>
      <c r="X21" s="146">
        <v>0</v>
      </c>
      <c r="Y21" s="146">
        <v>0</v>
      </c>
      <c r="Z21" s="146">
        <v>2.3000073287279951E-3</v>
      </c>
      <c r="AA21" s="146">
        <v>0</v>
      </c>
      <c r="AB21" s="146">
        <v>2.3599999999999999E-2</v>
      </c>
      <c r="AC21" s="146">
        <v>1.17E-2</v>
      </c>
      <c r="AD21" s="146">
        <v>1.5100000000000001E-2</v>
      </c>
      <c r="AE21" s="146">
        <v>0</v>
      </c>
      <c r="AF21" s="146">
        <v>0</v>
      </c>
      <c r="AG21" s="146">
        <v>0</v>
      </c>
      <c r="AH21" s="146">
        <v>0</v>
      </c>
      <c r="AI21" s="146">
        <v>0</v>
      </c>
      <c r="AJ21" s="146">
        <v>0</v>
      </c>
      <c r="AK21" s="146">
        <v>6.7099779877515017E-2</v>
      </c>
      <c r="AL21" s="146">
        <v>2.2789904338856293E-2</v>
      </c>
      <c r="AM21" s="146">
        <v>2.0899999999999995E-2</v>
      </c>
      <c r="AN21" s="146">
        <v>2.1999989815530085E-3</v>
      </c>
      <c r="AO21" s="146">
        <v>0</v>
      </c>
      <c r="AP21" s="146">
        <v>0</v>
      </c>
      <c r="AQ21" s="146">
        <v>1.6360016521423264E-2</v>
      </c>
      <c r="AR21" s="146">
        <v>0</v>
      </c>
      <c r="AS21" s="146">
        <v>9.9999440986094201E-5</v>
      </c>
      <c r="AT21" s="146">
        <v>0</v>
      </c>
      <c r="AU21" s="146">
        <v>0</v>
      </c>
      <c r="AV21" s="146">
        <v>0</v>
      </c>
      <c r="AW21" s="146">
        <v>0</v>
      </c>
      <c r="AX21" s="146">
        <v>0</v>
      </c>
      <c r="AY21" s="146">
        <v>0</v>
      </c>
      <c r="AZ21" s="146">
        <v>0</v>
      </c>
      <c r="BA21" s="146">
        <v>9.1727401868844597E-3</v>
      </c>
      <c r="BB21" s="146">
        <v>0</v>
      </c>
      <c r="BC21" s="146">
        <v>0</v>
      </c>
      <c r="BD21" s="146">
        <v>0</v>
      </c>
      <c r="BE21" s="146">
        <v>0</v>
      </c>
      <c r="BF21" s="146">
        <v>0</v>
      </c>
      <c r="BG21" s="146">
        <v>2.8290102265306431E-2</v>
      </c>
      <c r="BH21" s="146">
        <v>0</v>
      </c>
      <c r="BI21" s="146">
        <v>0</v>
      </c>
      <c r="BJ21" s="146">
        <v>0</v>
      </c>
      <c r="BK21" s="146">
        <v>0</v>
      </c>
      <c r="BL21" s="146">
        <v>0</v>
      </c>
      <c r="BM21" s="146">
        <v>0</v>
      </c>
      <c r="BN21" s="146">
        <v>0</v>
      </c>
      <c r="BO21" s="146">
        <v>0</v>
      </c>
      <c r="BP21" s="146">
        <v>0</v>
      </c>
      <c r="BQ21" s="146">
        <v>0</v>
      </c>
      <c r="BR21" s="146">
        <v>0</v>
      </c>
      <c r="BS21" s="146">
        <v>0</v>
      </c>
      <c r="BT21" s="146">
        <v>0</v>
      </c>
      <c r="BU21" s="146">
        <v>0</v>
      </c>
      <c r="BV21" s="146">
        <v>0</v>
      </c>
      <c r="BW21" s="146">
        <v>0</v>
      </c>
      <c r="BX21" s="146">
        <v>0</v>
      </c>
      <c r="BY21" s="146">
        <v>0</v>
      </c>
      <c r="BZ21" s="146">
        <v>0</v>
      </c>
      <c r="CA21" s="146">
        <v>0</v>
      </c>
      <c r="CB21" s="146">
        <v>0</v>
      </c>
      <c r="CC21" s="146">
        <v>0</v>
      </c>
      <c r="CD21" s="146">
        <v>0</v>
      </c>
      <c r="CE21" s="146">
        <v>0</v>
      </c>
      <c r="CF21" s="146">
        <v>0</v>
      </c>
      <c r="CG21" s="146">
        <v>0</v>
      </c>
      <c r="CH21" s="146">
        <v>0</v>
      </c>
      <c r="CI21" s="146">
        <v>0</v>
      </c>
      <c r="CJ21" s="146">
        <v>0</v>
      </c>
      <c r="CK21" s="146">
        <v>0</v>
      </c>
      <c r="CL21" s="146">
        <v>0</v>
      </c>
      <c r="CM21" s="146">
        <v>0</v>
      </c>
      <c r="CN21" s="146">
        <v>0</v>
      </c>
      <c r="CO21" s="146">
        <v>0</v>
      </c>
      <c r="CP21" s="146">
        <v>0</v>
      </c>
      <c r="CQ21" s="146">
        <v>0</v>
      </c>
      <c r="CR21" s="146">
        <v>0</v>
      </c>
      <c r="CS21" s="146">
        <v>0</v>
      </c>
      <c r="CT21" s="146">
        <v>0</v>
      </c>
      <c r="CU21" s="146">
        <v>0</v>
      </c>
      <c r="CV21" s="146">
        <v>0</v>
      </c>
    </row>
    <row r="22" spans="1:100" customFormat="1" x14ac:dyDescent="0.15">
      <c r="A22" s="182" t="s">
        <v>212</v>
      </c>
      <c r="B22" s="146">
        <v>0</v>
      </c>
      <c r="C22" s="146">
        <v>0</v>
      </c>
      <c r="D22" s="146">
        <v>0</v>
      </c>
      <c r="E22" s="146">
        <v>0</v>
      </c>
      <c r="F22" s="146">
        <v>1.9018238700981868E-3</v>
      </c>
      <c r="G22" s="146">
        <v>0</v>
      </c>
      <c r="H22" s="146">
        <v>0</v>
      </c>
      <c r="I22" s="146">
        <v>0</v>
      </c>
      <c r="J22" s="146">
        <v>0</v>
      </c>
      <c r="K22" s="146">
        <v>0</v>
      </c>
      <c r="L22" s="146">
        <v>0</v>
      </c>
      <c r="M22" s="146">
        <v>0</v>
      </c>
      <c r="N22" s="146">
        <v>4.2196884727048771E-3</v>
      </c>
      <c r="O22" s="146">
        <v>1.0084386771187118E-3</v>
      </c>
      <c r="P22" s="146">
        <v>0</v>
      </c>
      <c r="Q22" s="146">
        <v>0</v>
      </c>
      <c r="R22" s="146">
        <v>0</v>
      </c>
      <c r="S22" s="146">
        <v>0</v>
      </c>
      <c r="T22" s="146">
        <v>2E-3</v>
      </c>
      <c r="U22" s="146">
        <v>0</v>
      </c>
      <c r="V22" s="146">
        <v>8.8999156799905426E-3</v>
      </c>
      <c r="W22" s="146">
        <v>1.0000013808408688E-6</v>
      </c>
      <c r="X22" s="146">
        <v>0</v>
      </c>
      <c r="Y22" s="146">
        <v>0</v>
      </c>
      <c r="Z22" s="146">
        <v>1.6000057008542729E-3</v>
      </c>
      <c r="AA22" s="146">
        <v>0</v>
      </c>
      <c r="AB22" s="146">
        <v>1.7899999999999999E-2</v>
      </c>
      <c r="AC22" s="146">
        <v>3.0999999999999999E-3</v>
      </c>
      <c r="AD22" s="146">
        <v>8.8999999999999999E-3</v>
      </c>
      <c r="AE22" s="146">
        <v>0</v>
      </c>
      <c r="AF22" s="146">
        <v>0</v>
      </c>
      <c r="AG22" s="146">
        <v>0</v>
      </c>
      <c r="AH22" s="146">
        <v>0</v>
      </c>
      <c r="AI22" s="146">
        <v>0</v>
      </c>
      <c r="AJ22" s="146">
        <v>0</v>
      </c>
      <c r="AK22" s="146">
        <v>2.0399935462761639E-2</v>
      </c>
      <c r="AL22" s="146">
        <v>1.4799939200529728E-2</v>
      </c>
      <c r="AM22" s="146">
        <v>1.5799999999999998E-2</v>
      </c>
      <c r="AN22" s="146">
        <v>2.1999989815530085E-3</v>
      </c>
      <c r="AO22" s="146">
        <v>0</v>
      </c>
      <c r="AP22" s="146">
        <v>0</v>
      </c>
      <c r="AQ22" s="146">
        <v>5.000005006547451E-4</v>
      </c>
      <c r="AR22" s="146">
        <v>0</v>
      </c>
      <c r="AS22" s="146">
        <v>9.9999440986094201E-5</v>
      </c>
      <c r="AT22" s="146">
        <v>0</v>
      </c>
      <c r="AU22" s="146">
        <v>0</v>
      </c>
      <c r="AV22" s="146">
        <v>0</v>
      </c>
      <c r="AW22" s="146">
        <v>0</v>
      </c>
      <c r="AX22" s="146">
        <v>0</v>
      </c>
      <c r="AY22" s="146">
        <v>0</v>
      </c>
      <c r="AZ22" s="146">
        <v>0</v>
      </c>
      <c r="BA22" s="146">
        <v>2.0159872210735153E-3</v>
      </c>
      <c r="BB22" s="146">
        <v>0</v>
      </c>
      <c r="BC22" s="146">
        <v>3.0000100440881461E-6</v>
      </c>
      <c r="BD22" s="146">
        <v>0</v>
      </c>
      <c r="BE22" s="146">
        <v>0</v>
      </c>
      <c r="BF22" s="146">
        <v>0</v>
      </c>
      <c r="BG22" s="146">
        <v>1.0000036087736454E-2</v>
      </c>
      <c r="BH22" s="146">
        <v>0</v>
      </c>
      <c r="BI22" s="146">
        <v>0</v>
      </c>
      <c r="BJ22" s="146">
        <v>0</v>
      </c>
      <c r="BK22" s="146">
        <v>0</v>
      </c>
      <c r="BL22" s="146">
        <v>0</v>
      </c>
      <c r="BM22" s="146">
        <v>0</v>
      </c>
      <c r="BN22" s="146">
        <v>0</v>
      </c>
      <c r="BO22" s="146">
        <v>0</v>
      </c>
      <c r="BP22" s="146">
        <v>0</v>
      </c>
      <c r="BQ22" s="146">
        <v>0</v>
      </c>
      <c r="BR22" s="146">
        <v>0</v>
      </c>
      <c r="BS22" s="146">
        <v>0</v>
      </c>
      <c r="BT22" s="146">
        <v>0</v>
      </c>
      <c r="BU22" s="146">
        <v>0</v>
      </c>
      <c r="BV22" s="146">
        <v>0</v>
      </c>
      <c r="BW22" s="146">
        <v>0</v>
      </c>
      <c r="BX22" s="146">
        <v>0</v>
      </c>
      <c r="BY22" s="146">
        <v>0</v>
      </c>
      <c r="BZ22" s="146">
        <v>0</v>
      </c>
      <c r="CA22" s="146">
        <v>0</v>
      </c>
      <c r="CB22" s="146">
        <v>0</v>
      </c>
      <c r="CC22" s="146">
        <v>0</v>
      </c>
      <c r="CD22" s="146">
        <v>0</v>
      </c>
      <c r="CE22" s="146">
        <v>0</v>
      </c>
      <c r="CF22" s="146">
        <v>0</v>
      </c>
      <c r="CG22" s="146">
        <v>0</v>
      </c>
      <c r="CH22" s="146">
        <v>0</v>
      </c>
      <c r="CI22" s="146">
        <v>0</v>
      </c>
      <c r="CJ22" s="146">
        <v>0</v>
      </c>
      <c r="CK22" s="146">
        <v>0</v>
      </c>
      <c r="CL22" s="146">
        <v>0</v>
      </c>
      <c r="CM22" s="146">
        <v>0</v>
      </c>
      <c r="CN22" s="146">
        <v>0</v>
      </c>
      <c r="CO22" s="146">
        <v>0</v>
      </c>
      <c r="CP22" s="146">
        <v>0</v>
      </c>
      <c r="CQ22" s="146">
        <v>0</v>
      </c>
      <c r="CR22" s="146">
        <v>0</v>
      </c>
      <c r="CS22" s="146">
        <v>0</v>
      </c>
      <c r="CT22" s="146">
        <v>0</v>
      </c>
      <c r="CU22" s="146">
        <v>0</v>
      </c>
      <c r="CV22" s="146">
        <v>0</v>
      </c>
    </row>
    <row r="23" spans="1:100" customFormat="1" x14ac:dyDescent="0.15">
      <c r="A23" s="182" t="s">
        <v>213</v>
      </c>
      <c r="B23" s="146">
        <v>0</v>
      </c>
      <c r="C23" s="146">
        <v>0</v>
      </c>
      <c r="D23" s="146">
        <v>0</v>
      </c>
      <c r="E23" s="146">
        <v>0</v>
      </c>
      <c r="F23" s="146">
        <v>0</v>
      </c>
      <c r="G23" s="146">
        <v>0</v>
      </c>
      <c r="H23" s="146">
        <v>0</v>
      </c>
      <c r="I23" s="146">
        <v>0</v>
      </c>
      <c r="J23" s="146">
        <v>0</v>
      </c>
      <c r="K23" s="146">
        <v>0</v>
      </c>
      <c r="L23" s="146">
        <v>0</v>
      </c>
      <c r="M23" s="146">
        <v>0</v>
      </c>
      <c r="N23" s="146">
        <v>9.2627299839863168E-4</v>
      </c>
      <c r="O23" s="146">
        <v>0</v>
      </c>
      <c r="P23" s="146">
        <v>0</v>
      </c>
      <c r="Q23" s="146">
        <v>0</v>
      </c>
      <c r="R23" s="146">
        <v>0</v>
      </c>
      <c r="S23" s="146">
        <v>0</v>
      </c>
      <c r="T23" s="146">
        <v>0</v>
      </c>
      <c r="U23" s="146">
        <v>0</v>
      </c>
      <c r="V23" s="146">
        <v>0</v>
      </c>
      <c r="W23" s="146">
        <v>2.0000044716817732E-2</v>
      </c>
      <c r="X23" s="146">
        <v>0</v>
      </c>
      <c r="Y23" s="146">
        <v>0</v>
      </c>
      <c r="Z23" s="146">
        <v>4.0000097021355659E-2</v>
      </c>
      <c r="AA23" s="146">
        <v>0</v>
      </c>
      <c r="AB23" s="146">
        <v>1.0699999999999999E-2</v>
      </c>
      <c r="AC23" s="146">
        <v>8.6999999999999994E-3</v>
      </c>
      <c r="AD23" s="146">
        <v>0</v>
      </c>
      <c r="AE23" s="146">
        <v>0</v>
      </c>
      <c r="AF23" s="146">
        <v>0</v>
      </c>
      <c r="AG23" s="146">
        <v>0</v>
      </c>
      <c r="AH23" s="146">
        <v>0</v>
      </c>
      <c r="AI23" s="146">
        <v>0</v>
      </c>
      <c r="AJ23" s="146">
        <v>0</v>
      </c>
      <c r="AK23" s="146">
        <v>1.3199957075904592E-2</v>
      </c>
      <c r="AL23" s="146">
        <v>9.0999628158662492E-3</v>
      </c>
      <c r="AM23" s="146">
        <v>1.9999999999999998E-5</v>
      </c>
      <c r="AN23" s="146">
        <v>0</v>
      </c>
      <c r="AO23" s="146">
        <v>0</v>
      </c>
      <c r="AP23" s="146">
        <v>0</v>
      </c>
      <c r="AQ23" s="146">
        <v>5.000005006547451E-4</v>
      </c>
      <c r="AR23" s="146">
        <v>0</v>
      </c>
      <c r="AS23" s="146">
        <v>9.9999440986094201E-5</v>
      </c>
      <c r="AT23" s="146">
        <v>0</v>
      </c>
      <c r="AU23" s="146">
        <v>0</v>
      </c>
      <c r="AV23" s="146">
        <v>0</v>
      </c>
      <c r="AW23" s="146">
        <v>0</v>
      </c>
      <c r="AX23" s="146">
        <v>0</v>
      </c>
      <c r="AY23" s="146">
        <v>0</v>
      </c>
      <c r="AZ23" s="146">
        <v>0</v>
      </c>
      <c r="BA23" s="146">
        <v>3.4271780698249712E-3</v>
      </c>
      <c r="BB23" s="146">
        <v>0</v>
      </c>
      <c r="BC23" s="146">
        <v>0</v>
      </c>
      <c r="BD23" s="146">
        <v>0</v>
      </c>
      <c r="BE23" s="146">
        <v>0</v>
      </c>
      <c r="BF23" s="146">
        <v>0</v>
      </c>
      <c r="BG23" s="146">
        <v>1.0000015587736479E-3</v>
      </c>
      <c r="BH23" s="146">
        <v>0</v>
      </c>
      <c r="BI23" s="146">
        <v>0</v>
      </c>
      <c r="BJ23" s="146">
        <v>0</v>
      </c>
      <c r="BK23" s="146">
        <v>0</v>
      </c>
      <c r="BL23" s="146">
        <v>0</v>
      </c>
      <c r="BM23" s="146">
        <v>0</v>
      </c>
      <c r="BN23" s="146">
        <v>0</v>
      </c>
      <c r="BO23" s="146">
        <v>0</v>
      </c>
      <c r="BP23" s="146">
        <v>0</v>
      </c>
      <c r="BQ23" s="146">
        <v>0</v>
      </c>
      <c r="BR23" s="146">
        <v>0</v>
      </c>
      <c r="BS23" s="146">
        <v>0</v>
      </c>
      <c r="BT23" s="146">
        <v>0</v>
      </c>
      <c r="BU23" s="146">
        <v>0</v>
      </c>
      <c r="BV23" s="146">
        <v>0</v>
      </c>
      <c r="BW23" s="146">
        <v>0</v>
      </c>
      <c r="BX23" s="146">
        <v>0</v>
      </c>
      <c r="BY23" s="146">
        <v>0</v>
      </c>
      <c r="BZ23" s="146">
        <v>0</v>
      </c>
      <c r="CA23" s="146">
        <v>0</v>
      </c>
      <c r="CB23" s="146">
        <v>0</v>
      </c>
      <c r="CC23" s="146">
        <v>0</v>
      </c>
      <c r="CD23" s="146">
        <v>0</v>
      </c>
      <c r="CE23" s="146">
        <v>0</v>
      </c>
      <c r="CF23" s="146">
        <v>0</v>
      </c>
      <c r="CG23" s="146">
        <v>0</v>
      </c>
      <c r="CH23" s="146">
        <v>0</v>
      </c>
      <c r="CI23" s="146">
        <v>0</v>
      </c>
      <c r="CJ23" s="146">
        <v>0</v>
      </c>
      <c r="CK23" s="146">
        <v>0</v>
      </c>
      <c r="CL23" s="146">
        <v>0</v>
      </c>
      <c r="CM23" s="146">
        <v>0</v>
      </c>
      <c r="CN23" s="146">
        <v>0</v>
      </c>
      <c r="CO23" s="146">
        <v>0</v>
      </c>
      <c r="CP23" s="146">
        <v>0</v>
      </c>
      <c r="CQ23" s="146">
        <v>0</v>
      </c>
      <c r="CR23" s="146">
        <v>0</v>
      </c>
      <c r="CS23" s="146">
        <v>0</v>
      </c>
      <c r="CT23" s="146">
        <v>0</v>
      </c>
      <c r="CU23" s="146">
        <v>0</v>
      </c>
      <c r="CV23" s="146">
        <v>0</v>
      </c>
    </row>
    <row r="24" spans="1:100" customFormat="1" x14ac:dyDescent="0.15">
      <c r="A24" s="182" t="s">
        <v>214</v>
      </c>
      <c r="B24" s="146">
        <v>0</v>
      </c>
      <c r="C24" s="146">
        <v>0</v>
      </c>
      <c r="D24" s="146">
        <v>0</v>
      </c>
      <c r="E24" s="146">
        <v>0</v>
      </c>
      <c r="F24" s="146">
        <v>0</v>
      </c>
      <c r="G24" s="146">
        <v>0</v>
      </c>
      <c r="H24" s="146">
        <v>0</v>
      </c>
      <c r="I24" s="146">
        <v>0</v>
      </c>
      <c r="J24" s="146">
        <v>0</v>
      </c>
      <c r="K24" s="146">
        <v>0</v>
      </c>
      <c r="L24" s="146">
        <v>0</v>
      </c>
      <c r="M24" s="146">
        <v>0</v>
      </c>
      <c r="N24" s="146">
        <v>0</v>
      </c>
      <c r="O24" s="146">
        <v>0</v>
      </c>
      <c r="P24" s="146">
        <v>0</v>
      </c>
      <c r="Q24" s="146">
        <v>0</v>
      </c>
      <c r="R24" s="146">
        <v>0</v>
      </c>
      <c r="S24" s="146">
        <v>0</v>
      </c>
      <c r="T24" s="146">
        <v>0</v>
      </c>
      <c r="U24" s="146">
        <v>0</v>
      </c>
      <c r="V24" s="146">
        <v>0</v>
      </c>
      <c r="W24" s="146">
        <v>0</v>
      </c>
      <c r="X24" s="146">
        <v>0</v>
      </c>
      <c r="Y24" s="146">
        <v>0</v>
      </c>
      <c r="Z24" s="146">
        <v>0</v>
      </c>
      <c r="AA24" s="146">
        <v>0</v>
      </c>
      <c r="AB24" s="146">
        <v>0</v>
      </c>
      <c r="AC24" s="146">
        <v>5.9999999999999995E-4</v>
      </c>
      <c r="AD24" s="146">
        <v>0</v>
      </c>
      <c r="AE24" s="146">
        <v>0</v>
      </c>
      <c r="AF24" s="146">
        <v>0</v>
      </c>
      <c r="AG24" s="146">
        <v>0</v>
      </c>
      <c r="AH24" s="146">
        <v>0</v>
      </c>
      <c r="AI24" s="146">
        <v>0</v>
      </c>
      <c r="AJ24" s="146">
        <v>0</v>
      </c>
      <c r="AK24" s="146">
        <v>0</v>
      </c>
      <c r="AL24" s="146">
        <v>0</v>
      </c>
      <c r="AM24" s="146">
        <v>0</v>
      </c>
      <c r="AN24" s="146">
        <v>0</v>
      </c>
      <c r="AO24" s="146">
        <v>0</v>
      </c>
      <c r="AP24" s="146">
        <v>0</v>
      </c>
      <c r="AQ24" s="146">
        <v>2.0000018426189804E-4</v>
      </c>
      <c r="AR24" s="146">
        <v>0</v>
      </c>
      <c r="AS24" s="146">
        <v>0</v>
      </c>
      <c r="AT24" s="146">
        <v>0</v>
      </c>
      <c r="AU24" s="146">
        <v>0</v>
      </c>
      <c r="AV24" s="146">
        <v>0</v>
      </c>
      <c r="AW24" s="146">
        <v>0</v>
      </c>
      <c r="AX24" s="146">
        <v>0</v>
      </c>
      <c r="AY24" s="146">
        <v>0</v>
      </c>
      <c r="AZ24" s="146">
        <v>0</v>
      </c>
      <c r="BA24" s="146">
        <v>0</v>
      </c>
      <c r="BB24" s="146">
        <v>0</v>
      </c>
      <c r="BC24" s="146">
        <v>0</v>
      </c>
      <c r="BD24" s="146">
        <v>0</v>
      </c>
      <c r="BE24" s="146">
        <v>0</v>
      </c>
      <c r="BF24" s="146">
        <v>0</v>
      </c>
      <c r="BG24" s="146">
        <v>0</v>
      </c>
      <c r="BH24" s="146">
        <v>0</v>
      </c>
      <c r="BI24" s="146">
        <v>0</v>
      </c>
      <c r="BJ24" s="146">
        <v>0</v>
      </c>
      <c r="BK24" s="146">
        <v>0</v>
      </c>
      <c r="BL24" s="146">
        <v>0</v>
      </c>
      <c r="BM24" s="146">
        <v>0</v>
      </c>
      <c r="BN24" s="146">
        <v>0</v>
      </c>
      <c r="BO24" s="146">
        <v>0</v>
      </c>
      <c r="BP24" s="146">
        <v>0</v>
      </c>
      <c r="BQ24" s="146">
        <v>0</v>
      </c>
      <c r="BR24" s="146">
        <v>0</v>
      </c>
      <c r="BS24" s="146">
        <v>0</v>
      </c>
      <c r="BT24" s="146">
        <v>0</v>
      </c>
      <c r="BU24" s="146">
        <v>0</v>
      </c>
      <c r="BV24" s="146">
        <v>0</v>
      </c>
      <c r="BW24" s="146">
        <v>0</v>
      </c>
      <c r="BX24" s="146">
        <v>0</v>
      </c>
      <c r="BY24" s="146">
        <v>0</v>
      </c>
      <c r="BZ24" s="146">
        <v>0</v>
      </c>
      <c r="CA24" s="146">
        <v>0</v>
      </c>
      <c r="CB24" s="146">
        <v>0</v>
      </c>
      <c r="CC24" s="146">
        <v>0</v>
      </c>
      <c r="CD24" s="146">
        <v>0</v>
      </c>
      <c r="CE24" s="146">
        <v>0</v>
      </c>
      <c r="CF24" s="146">
        <v>0</v>
      </c>
      <c r="CG24" s="146">
        <v>0</v>
      </c>
      <c r="CH24" s="146">
        <v>0</v>
      </c>
      <c r="CI24" s="146">
        <v>0</v>
      </c>
      <c r="CJ24" s="146">
        <v>0</v>
      </c>
      <c r="CK24" s="146">
        <v>0</v>
      </c>
      <c r="CL24" s="146">
        <v>0</v>
      </c>
      <c r="CM24" s="146">
        <v>0</v>
      </c>
      <c r="CN24" s="146">
        <v>0</v>
      </c>
      <c r="CO24" s="146">
        <v>0</v>
      </c>
      <c r="CP24" s="146">
        <v>0</v>
      </c>
      <c r="CQ24" s="146">
        <v>0</v>
      </c>
      <c r="CR24" s="146">
        <v>0</v>
      </c>
      <c r="CS24" s="146">
        <v>0</v>
      </c>
      <c r="CT24" s="146">
        <v>0</v>
      </c>
      <c r="CU24" s="146">
        <v>0</v>
      </c>
      <c r="CV24" s="146">
        <v>0</v>
      </c>
    </row>
    <row r="25" spans="1:100" customFormat="1" x14ac:dyDescent="0.15">
      <c r="A25" s="182" t="s">
        <v>215</v>
      </c>
      <c r="B25" s="146">
        <v>0</v>
      </c>
      <c r="C25" s="146">
        <v>0</v>
      </c>
      <c r="D25" s="146">
        <v>0</v>
      </c>
      <c r="E25" s="146">
        <v>0</v>
      </c>
      <c r="F25" s="146">
        <v>0</v>
      </c>
      <c r="G25" s="146">
        <v>0</v>
      </c>
      <c r="H25" s="146">
        <v>0</v>
      </c>
      <c r="I25" s="146">
        <v>0</v>
      </c>
      <c r="J25" s="146">
        <v>0</v>
      </c>
      <c r="K25" s="146">
        <v>0</v>
      </c>
      <c r="L25" s="146">
        <v>0</v>
      </c>
      <c r="M25" s="146">
        <v>0</v>
      </c>
      <c r="N25" s="146">
        <v>1.000004268271163E-4</v>
      </c>
      <c r="O25" s="146">
        <v>1.0084386671187115E-4</v>
      </c>
      <c r="P25" s="146">
        <v>0</v>
      </c>
      <c r="Q25" s="146">
        <v>9.9999999999999978E-5</v>
      </c>
      <c r="R25" s="146">
        <v>1E-4</v>
      </c>
      <c r="S25" s="146">
        <v>0</v>
      </c>
      <c r="T25" s="146">
        <v>0</v>
      </c>
      <c r="U25" s="146">
        <v>0</v>
      </c>
      <c r="V25" s="146">
        <v>0</v>
      </c>
      <c r="W25" s="146">
        <v>0</v>
      </c>
      <c r="X25" s="146">
        <v>0</v>
      </c>
      <c r="Y25" s="146">
        <v>0</v>
      </c>
      <c r="Z25" s="146">
        <v>0</v>
      </c>
      <c r="AA25" s="146">
        <v>0</v>
      </c>
      <c r="AB25" s="146">
        <v>0</v>
      </c>
      <c r="AC25" s="146">
        <v>0</v>
      </c>
      <c r="AD25" s="146">
        <v>0</v>
      </c>
      <c r="AE25" s="146">
        <v>0</v>
      </c>
      <c r="AF25" s="146">
        <v>0</v>
      </c>
      <c r="AG25" s="146">
        <v>0</v>
      </c>
      <c r="AH25" s="146">
        <v>9.9999892348857488E-6</v>
      </c>
      <c r="AI25" s="146">
        <v>9.999976963168086E-7</v>
      </c>
      <c r="AJ25" s="146">
        <v>0</v>
      </c>
      <c r="AK25" s="146">
        <v>0</v>
      </c>
      <c r="AL25" s="146">
        <v>0</v>
      </c>
      <c r="AM25" s="146">
        <v>0</v>
      </c>
      <c r="AN25" s="146">
        <v>0</v>
      </c>
      <c r="AO25" s="146">
        <v>0</v>
      </c>
      <c r="AP25" s="146">
        <v>0</v>
      </c>
      <c r="AQ25" s="146">
        <v>5.0000050065474511E-6</v>
      </c>
      <c r="AR25" s="146">
        <v>1.0238878595945027E-6</v>
      </c>
      <c r="AS25" s="146">
        <v>9.9999440986094176E-7</v>
      </c>
      <c r="AT25" s="146">
        <v>9.9999649876785925E-7</v>
      </c>
      <c r="AU25" s="146">
        <v>1.0000499942957142E-5</v>
      </c>
      <c r="AV25" s="146">
        <v>0</v>
      </c>
      <c r="AW25" s="146">
        <v>0</v>
      </c>
      <c r="AX25" s="146">
        <v>0</v>
      </c>
      <c r="AY25" s="146">
        <v>5.0004677356444627E-5</v>
      </c>
      <c r="AZ25" s="146">
        <v>1.0000038152661864E-5</v>
      </c>
      <c r="BA25" s="146">
        <v>1.0079934505367542E-5</v>
      </c>
      <c r="BB25" s="146">
        <v>9.9999992610406912E-7</v>
      </c>
      <c r="BC25" s="146">
        <v>1.0000000146959997E-4</v>
      </c>
      <c r="BD25" s="146">
        <v>9.9999699473301602E-7</v>
      </c>
      <c r="BE25" s="146">
        <v>0</v>
      </c>
      <c r="BF25" s="146">
        <v>0</v>
      </c>
      <c r="BG25" s="146">
        <v>0</v>
      </c>
      <c r="BH25" s="146">
        <v>0</v>
      </c>
      <c r="BI25" s="146">
        <v>0</v>
      </c>
      <c r="BJ25" s="146">
        <v>0</v>
      </c>
      <c r="BK25" s="146">
        <v>0</v>
      </c>
      <c r="BL25" s="146">
        <v>0</v>
      </c>
      <c r="BM25" s="146">
        <v>0</v>
      </c>
      <c r="BN25" s="146">
        <v>9.9999999908999985E-7</v>
      </c>
      <c r="BO25" s="146">
        <v>0</v>
      </c>
      <c r="BP25" s="146">
        <v>0</v>
      </c>
      <c r="BQ25" s="146">
        <v>0</v>
      </c>
      <c r="BR25" s="146">
        <v>0</v>
      </c>
      <c r="BS25" s="146">
        <v>0</v>
      </c>
      <c r="BT25" s="146">
        <v>0</v>
      </c>
      <c r="BU25" s="146">
        <v>0</v>
      </c>
      <c r="BV25" s="146">
        <v>0</v>
      </c>
      <c r="BW25" s="146">
        <v>0</v>
      </c>
      <c r="BX25" s="146">
        <v>0</v>
      </c>
      <c r="BY25" s="146">
        <v>0</v>
      </c>
      <c r="BZ25" s="146">
        <v>0</v>
      </c>
      <c r="CA25" s="146">
        <v>0</v>
      </c>
      <c r="CB25" s="146">
        <v>0</v>
      </c>
      <c r="CC25" s="146">
        <v>0</v>
      </c>
      <c r="CD25" s="146">
        <v>0</v>
      </c>
      <c r="CE25" s="146">
        <v>0</v>
      </c>
      <c r="CF25" s="146">
        <v>0</v>
      </c>
      <c r="CG25" s="146">
        <v>0</v>
      </c>
      <c r="CH25" s="146">
        <v>0</v>
      </c>
      <c r="CI25" s="146">
        <v>0</v>
      </c>
      <c r="CJ25" s="146">
        <v>0</v>
      </c>
      <c r="CK25" s="146">
        <v>0</v>
      </c>
      <c r="CL25" s="146">
        <v>0</v>
      </c>
      <c r="CM25" s="146">
        <v>0</v>
      </c>
      <c r="CN25" s="146">
        <v>0</v>
      </c>
      <c r="CO25" s="146">
        <v>0</v>
      </c>
      <c r="CP25" s="146">
        <v>0</v>
      </c>
      <c r="CQ25" s="146">
        <v>0</v>
      </c>
      <c r="CR25" s="146">
        <v>0</v>
      </c>
      <c r="CS25" s="146">
        <v>0</v>
      </c>
      <c r="CT25" s="146">
        <v>0</v>
      </c>
      <c r="CU25" s="146">
        <v>0</v>
      </c>
      <c r="CV25" s="146">
        <v>0</v>
      </c>
    </row>
    <row r="26" spans="1:100" customFormat="1" x14ac:dyDescent="0.15">
      <c r="A26" s="182" t="s">
        <v>216</v>
      </c>
      <c r="B26" s="146">
        <v>0</v>
      </c>
      <c r="C26" s="146">
        <v>0</v>
      </c>
      <c r="D26" s="146">
        <v>0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146">
        <v>0</v>
      </c>
      <c r="W26" s="146">
        <v>0</v>
      </c>
      <c r="X26" s="146">
        <v>0</v>
      </c>
      <c r="Y26" s="146">
        <v>0</v>
      </c>
      <c r="Z26" s="146">
        <v>1.0000022555338872E-4</v>
      </c>
      <c r="AA26" s="146">
        <v>0</v>
      </c>
      <c r="AB26" s="146">
        <v>0</v>
      </c>
      <c r="AC26" s="146">
        <v>0</v>
      </c>
      <c r="AD26" s="146">
        <v>0</v>
      </c>
      <c r="AE26" s="146">
        <v>0</v>
      </c>
      <c r="AF26" s="146">
        <v>0</v>
      </c>
      <c r="AG26" s="146">
        <v>0</v>
      </c>
      <c r="AH26" s="146">
        <v>0</v>
      </c>
      <c r="AI26" s="146">
        <v>0</v>
      </c>
      <c r="AJ26" s="146">
        <v>0</v>
      </c>
      <c r="AK26" s="146">
        <v>8.7999719839363942E-11</v>
      </c>
      <c r="AL26" s="146">
        <v>0</v>
      </c>
      <c r="AM26" s="146">
        <v>0</v>
      </c>
      <c r="AN26" s="146">
        <v>0</v>
      </c>
      <c r="AO26" s="146">
        <v>0</v>
      </c>
      <c r="AP26" s="146">
        <v>0</v>
      </c>
      <c r="AQ26" s="146">
        <v>1.0000010013094903E-8</v>
      </c>
      <c r="AR26" s="146">
        <v>0</v>
      </c>
      <c r="AS26" s="146">
        <v>9.2999456317067361E-11</v>
      </c>
      <c r="AT26" s="146">
        <v>0</v>
      </c>
      <c r="AU26" s="146">
        <v>0</v>
      </c>
      <c r="AV26" s="146">
        <v>0</v>
      </c>
      <c r="AW26" s="146">
        <v>0</v>
      </c>
      <c r="AX26" s="146">
        <v>0</v>
      </c>
      <c r="AY26" s="146">
        <v>0</v>
      </c>
      <c r="AZ26" s="146">
        <v>0</v>
      </c>
      <c r="BA26" s="146">
        <v>0</v>
      </c>
      <c r="BB26" s="146">
        <v>0</v>
      </c>
      <c r="BC26" s="146">
        <v>0</v>
      </c>
      <c r="BD26" s="146">
        <v>0</v>
      </c>
      <c r="BE26" s="146">
        <v>0</v>
      </c>
      <c r="BF26" s="146">
        <v>0</v>
      </c>
      <c r="BG26" s="146">
        <v>0</v>
      </c>
      <c r="BH26" s="146">
        <v>0</v>
      </c>
      <c r="BI26" s="146">
        <v>0</v>
      </c>
      <c r="BJ26" s="146">
        <v>0</v>
      </c>
      <c r="BK26" s="146">
        <v>0</v>
      </c>
      <c r="BL26" s="146">
        <v>0</v>
      </c>
      <c r="BM26" s="146">
        <v>0</v>
      </c>
      <c r="BN26" s="146">
        <v>0</v>
      </c>
      <c r="BO26" s="146">
        <v>0</v>
      </c>
      <c r="BP26" s="146">
        <v>0</v>
      </c>
      <c r="BQ26" s="146">
        <v>0</v>
      </c>
      <c r="BR26" s="146">
        <v>0</v>
      </c>
      <c r="BS26" s="146">
        <v>0</v>
      </c>
      <c r="BT26" s="146">
        <v>0</v>
      </c>
      <c r="BU26" s="146">
        <v>0</v>
      </c>
      <c r="BV26" s="146">
        <v>0</v>
      </c>
      <c r="BW26" s="146">
        <v>0</v>
      </c>
      <c r="BX26" s="146">
        <v>0</v>
      </c>
      <c r="BY26" s="146">
        <v>0</v>
      </c>
      <c r="BZ26" s="146">
        <v>0</v>
      </c>
      <c r="CA26" s="146">
        <v>0</v>
      </c>
      <c r="CB26" s="146">
        <v>0</v>
      </c>
      <c r="CC26" s="146">
        <v>0</v>
      </c>
      <c r="CD26" s="146">
        <v>0</v>
      </c>
      <c r="CE26" s="146">
        <v>0</v>
      </c>
      <c r="CF26" s="146">
        <v>0</v>
      </c>
      <c r="CG26" s="146">
        <v>0</v>
      </c>
      <c r="CH26" s="146">
        <v>0</v>
      </c>
      <c r="CI26" s="146">
        <v>0</v>
      </c>
      <c r="CJ26" s="146">
        <v>0</v>
      </c>
      <c r="CK26" s="146">
        <v>0</v>
      </c>
      <c r="CL26" s="146">
        <v>0</v>
      </c>
      <c r="CM26" s="146">
        <v>0</v>
      </c>
      <c r="CN26" s="146">
        <v>0</v>
      </c>
      <c r="CO26" s="146">
        <v>0</v>
      </c>
      <c r="CP26" s="146">
        <v>0</v>
      </c>
      <c r="CQ26" s="146">
        <v>0</v>
      </c>
      <c r="CR26" s="146">
        <v>0</v>
      </c>
      <c r="CS26" s="146">
        <v>0</v>
      </c>
      <c r="CT26" s="146">
        <v>0</v>
      </c>
      <c r="CU26" s="146">
        <v>0</v>
      </c>
      <c r="CV26" s="146">
        <v>0</v>
      </c>
    </row>
    <row r="27" spans="1:100" customFormat="1" x14ac:dyDescent="0.15">
      <c r="A27" s="182" t="s">
        <v>217</v>
      </c>
      <c r="B27" s="146">
        <v>0</v>
      </c>
      <c r="C27" s="146">
        <v>0</v>
      </c>
      <c r="D27" s="146">
        <v>0</v>
      </c>
      <c r="E27" s="146">
        <v>0</v>
      </c>
      <c r="F27" s="146">
        <v>0</v>
      </c>
      <c r="G27" s="146">
        <v>0</v>
      </c>
      <c r="H27" s="146">
        <v>0</v>
      </c>
      <c r="I27" s="146">
        <v>0</v>
      </c>
      <c r="J27" s="146">
        <v>0</v>
      </c>
      <c r="K27" s="146">
        <v>0</v>
      </c>
      <c r="L27" s="146">
        <v>0</v>
      </c>
      <c r="M27" s="146">
        <v>0</v>
      </c>
      <c r="N27" s="146">
        <v>0</v>
      </c>
      <c r="O27" s="146">
        <v>0</v>
      </c>
      <c r="P27" s="146">
        <v>0</v>
      </c>
      <c r="Q27" s="146">
        <v>0</v>
      </c>
      <c r="R27" s="146">
        <v>0</v>
      </c>
      <c r="S27" s="146">
        <v>0</v>
      </c>
      <c r="T27" s="146">
        <v>0</v>
      </c>
      <c r="U27" s="146">
        <v>9.9999211914746892E-6</v>
      </c>
      <c r="V27" s="146">
        <v>0</v>
      </c>
      <c r="W27" s="146">
        <v>0</v>
      </c>
      <c r="X27" s="146">
        <v>0</v>
      </c>
      <c r="Y27" s="146">
        <v>0</v>
      </c>
      <c r="Z27" s="146">
        <v>1.0000024255338915E-2</v>
      </c>
      <c r="AA27" s="146">
        <v>0</v>
      </c>
      <c r="AB27" s="146">
        <v>0.02</v>
      </c>
      <c r="AC27" s="146">
        <v>3.0999999999999999E-3</v>
      </c>
      <c r="AD27" s="146">
        <v>0</v>
      </c>
      <c r="AE27" s="146">
        <v>0</v>
      </c>
      <c r="AF27" s="146">
        <v>0</v>
      </c>
      <c r="AG27" s="146">
        <v>0</v>
      </c>
      <c r="AH27" s="146">
        <v>0</v>
      </c>
      <c r="AI27" s="146">
        <v>0</v>
      </c>
      <c r="AJ27" s="146">
        <v>0</v>
      </c>
      <c r="AK27" s="146">
        <v>3.9999869926983613E-5</v>
      </c>
      <c r="AL27" s="146">
        <v>0</v>
      </c>
      <c r="AM27" s="146">
        <v>0</v>
      </c>
      <c r="AN27" s="146">
        <v>2.1999989815530085E-3</v>
      </c>
      <c r="AO27" s="146">
        <v>4.0000000000000002E-4</v>
      </c>
      <c r="AP27" s="146">
        <v>2E-3</v>
      </c>
      <c r="AQ27" s="146">
        <v>1.0000010013094903E-6</v>
      </c>
      <c r="AR27" s="146">
        <v>0</v>
      </c>
      <c r="AS27" s="146">
        <v>0</v>
      </c>
      <c r="AT27" s="146">
        <v>0</v>
      </c>
      <c r="AU27" s="146">
        <v>0</v>
      </c>
      <c r="AV27" s="146">
        <v>0</v>
      </c>
      <c r="AW27" s="146">
        <v>0</v>
      </c>
      <c r="AX27" s="146">
        <v>0</v>
      </c>
      <c r="AY27" s="146">
        <v>0</v>
      </c>
      <c r="AZ27" s="146">
        <v>0</v>
      </c>
      <c r="BA27" s="146">
        <v>1.0079934505367542E-5</v>
      </c>
      <c r="BB27" s="146">
        <v>2.9999999283122111E-4</v>
      </c>
      <c r="BC27" s="146">
        <v>4.2100130618703503E-3</v>
      </c>
      <c r="BD27" s="146">
        <v>1.0999969942063158E-3</v>
      </c>
      <c r="BE27" s="146">
        <v>0</v>
      </c>
      <c r="BF27" s="146">
        <v>0</v>
      </c>
      <c r="BG27" s="146">
        <v>0</v>
      </c>
      <c r="BH27" s="146">
        <v>0</v>
      </c>
      <c r="BI27" s="146">
        <v>0</v>
      </c>
      <c r="BJ27" s="146">
        <v>0</v>
      </c>
      <c r="BK27" s="146">
        <v>0</v>
      </c>
      <c r="BL27" s="146">
        <v>0</v>
      </c>
      <c r="BM27" s="146">
        <v>0</v>
      </c>
      <c r="BN27" s="146">
        <v>0</v>
      </c>
      <c r="BO27" s="146">
        <v>0</v>
      </c>
      <c r="BP27" s="146">
        <v>0</v>
      </c>
      <c r="BQ27" s="146">
        <v>0</v>
      </c>
      <c r="BR27" s="146">
        <v>0</v>
      </c>
      <c r="BS27" s="146">
        <v>0</v>
      </c>
      <c r="BT27" s="146">
        <v>0</v>
      </c>
      <c r="BU27" s="146">
        <v>0</v>
      </c>
      <c r="BV27" s="146">
        <v>0</v>
      </c>
      <c r="BW27" s="146">
        <v>0</v>
      </c>
      <c r="BX27" s="146">
        <v>0</v>
      </c>
      <c r="BY27" s="146">
        <v>0</v>
      </c>
      <c r="BZ27" s="146">
        <v>0</v>
      </c>
      <c r="CA27" s="146">
        <v>0</v>
      </c>
      <c r="CB27" s="146">
        <v>0</v>
      </c>
      <c r="CC27" s="146">
        <v>0</v>
      </c>
      <c r="CD27" s="146">
        <v>0</v>
      </c>
      <c r="CE27" s="146">
        <v>0</v>
      </c>
      <c r="CF27" s="146">
        <v>0</v>
      </c>
      <c r="CG27" s="146">
        <v>0</v>
      </c>
      <c r="CH27" s="146">
        <v>0</v>
      </c>
      <c r="CI27" s="146">
        <v>0</v>
      </c>
      <c r="CJ27" s="146">
        <v>0</v>
      </c>
      <c r="CK27" s="146">
        <v>0</v>
      </c>
      <c r="CL27" s="146">
        <v>0</v>
      </c>
      <c r="CM27" s="146">
        <v>0</v>
      </c>
      <c r="CN27" s="146">
        <v>0</v>
      </c>
      <c r="CO27" s="146">
        <v>0</v>
      </c>
      <c r="CP27" s="146">
        <v>0</v>
      </c>
      <c r="CQ27" s="146">
        <v>0</v>
      </c>
      <c r="CR27" s="146">
        <v>0</v>
      </c>
      <c r="CS27" s="146">
        <v>0</v>
      </c>
      <c r="CT27" s="146">
        <v>0</v>
      </c>
      <c r="CU27" s="146">
        <v>0</v>
      </c>
      <c r="CV27" s="146">
        <v>0</v>
      </c>
    </row>
    <row r="28" spans="1:100" customFormat="1" x14ac:dyDescent="0.15">
      <c r="A28" s="182" t="s">
        <v>218</v>
      </c>
      <c r="B28" s="146">
        <v>0</v>
      </c>
      <c r="C28" s="146">
        <v>0</v>
      </c>
      <c r="D28" s="146">
        <v>0</v>
      </c>
      <c r="E28" s="146">
        <v>0</v>
      </c>
      <c r="F28" s="146">
        <v>0</v>
      </c>
      <c r="G28" s="146">
        <v>0</v>
      </c>
      <c r="H28" s="146">
        <v>0</v>
      </c>
      <c r="I28" s="146">
        <v>0</v>
      </c>
      <c r="J28" s="146">
        <v>0</v>
      </c>
      <c r="K28" s="146">
        <v>0</v>
      </c>
      <c r="L28" s="146">
        <v>0</v>
      </c>
      <c r="M28" s="146">
        <v>0</v>
      </c>
      <c r="N28" s="146">
        <v>0</v>
      </c>
      <c r="O28" s="146">
        <v>0</v>
      </c>
      <c r="P28" s="146">
        <v>0</v>
      </c>
      <c r="Q28" s="146">
        <v>0</v>
      </c>
      <c r="R28" s="146">
        <v>0</v>
      </c>
      <c r="S28" s="146">
        <v>0</v>
      </c>
      <c r="T28" s="146">
        <v>0</v>
      </c>
      <c r="U28" s="146">
        <v>0</v>
      </c>
      <c r="V28" s="146">
        <v>0</v>
      </c>
      <c r="W28" s="146">
        <v>0</v>
      </c>
      <c r="X28" s="146">
        <v>0</v>
      </c>
      <c r="Y28" s="146">
        <v>0</v>
      </c>
      <c r="Z28" s="146">
        <v>8.0000282042713562E-6</v>
      </c>
      <c r="AA28" s="146">
        <v>3.9999974468519264E-4</v>
      </c>
      <c r="AB28" s="146">
        <v>0</v>
      </c>
      <c r="AC28" s="146">
        <v>2E-3</v>
      </c>
      <c r="AD28" s="146">
        <v>0</v>
      </c>
      <c r="AE28" s="146">
        <v>0</v>
      </c>
      <c r="AF28" s="146">
        <v>0</v>
      </c>
      <c r="AG28" s="146">
        <v>0</v>
      </c>
      <c r="AH28" s="146">
        <v>0</v>
      </c>
      <c r="AI28" s="146">
        <v>0</v>
      </c>
      <c r="AJ28" s="146">
        <v>0</v>
      </c>
      <c r="AK28" s="146">
        <v>9.9999669817459048E-7</v>
      </c>
      <c r="AL28" s="146">
        <v>0</v>
      </c>
      <c r="AM28" s="146">
        <v>0</v>
      </c>
      <c r="AN28" s="146">
        <v>0</v>
      </c>
      <c r="AO28" s="146">
        <v>0</v>
      </c>
      <c r="AP28" s="146">
        <v>0</v>
      </c>
      <c r="AQ28" s="146">
        <v>2.0000020026189804E-5</v>
      </c>
      <c r="AR28" s="146">
        <v>0</v>
      </c>
      <c r="AS28" s="146">
        <v>4.9999667293046569E-6</v>
      </c>
      <c r="AT28" s="146">
        <v>0</v>
      </c>
      <c r="AU28" s="146">
        <v>0</v>
      </c>
      <c r="AV28" s="146">
        <v>0</v>
      </c>
      <c r="AW28" s="146">
        <v>0</v>
      </c>
      <c r="AX28" s="146">
        <v>0</v>
      </c>
      <c r="AY28" s="146">
        <v>0</v>
      </c>
      <c r="AZ28" s="146">
        <v>0</v>
      </c>
      <c r="BA28" s="146">
        <v>0</v>
      </c>
      <c r="BB28" s="146">
        <v>0</v>
      </c>
      <c r="BC28" s="146">
        <v>0</v>
      </c>
      <c r="BD28" s="146">
        <v>0</v>
      </c>
      <c r="BE28" s="146">
        <v>0</v>
      </c>
      <c r="BF28" s="146">
        <v>0</v>
      </c>
      <c r="BG28" s="146">
        <v>1.0000015187736481E-5</v>
      </c>
      <c r="BH28" s="146">
        <v>0</v>
      </c>
      <c r="BI28" s="146">
        <v>0</v>
      </c>
      <c r="BJ28" s="146">
        <v>0</v>
      </c>
      <c r="BK28" s="146">
        <v>0</v>
      </c>
      <c r="BL28" s="146">
        <v>0</v>
      </c>
      <c r="BM28" s="146">
        <v>0</v>
      </c>
      <c r="BN28" s="146">
        <v>0</v>
      </c>
      <c r="BO28" s="146">
        <v>0</v>
      </c>
      <c r="BP28" s="146">
        <v>0</v>
      </c>
      <c r="BQ28" s="146">
        <v>0</v>
      </c>
      <c r="BR28" s="146">
        <v>0</v>
      </c>
      <c r="BS28" s="146">
        <v>0</v>
      </c>
      <c r="BT28" s="146">
        <v>0</v>
      </c>
      <c r="BU28" s="146">
        <v>0</v>
      </c>
      <c r="BV28" s="146">
        <v>0</v>
      </c>
      <c r="BW28" s="146">
        <v>0</v>
      </c>
      <c r="BX28" s="146">
        <v>0</v>
      </c>
      <c r="BY28" s="146">
        <v>0</v>
      </c>
      <c r="BZ28" s="146">
        <v>0</v>
      </c>
      <c r="CA28" s="146">
        <v>0</v>
      </c>
      <c r="CB28" s="146">
        <v>0</v>
      </c>
      <c r="CC28" s="146">
        <v>0</v>
      </c>
      <c r="CD28" s="146">
        <v>0</v>
      </c>
      <c r="CE28" s="146">
        <v>0</v>
      </c>
      <c r="CF28" s="146">
        <v>0</v>
      </c>
      <c r="CG28" s="146">
        <v>0</v>
      </c>
      <c r="CH28" s="146">
        <v>0</v>
      </c>
      <c r="CI28" s="146">
        <v>0</v>
      </c>
      <c r="CJ28" s="146">
        <v>0</v>
      </c>
      <c r="CK28" s="146">
        <v>0</v>
      </c>
      <c r="CL28" s="146">
        <v>0</v>
      </c>
      <c r="CM28" s="146">
        <v>0</v>
      </c>
      <c r="CN28" s="146">
        <v>0</v>
      </c>
      <c r="CO28" s="146">
        <v>0</v>
      </c>
      <c r="CP28" s="146">
        <v>0</v>
      </c>
      <c r="CQ28" s="146">
        <v>0</v>
      </c>
      <c r="CR28" s="146">
        <v>0</v>
      </c>
      <c r="CS28" s="146">
        <v>0</v>
      </c>
      <c r="CT28" s="146">
        <v>0</v>
      </c>
      <c r="CU28" s="146">
        <v>0</v>
      </c>
      <c r="CV28" s="146">
        <v>0</v>
      </c>
    </row>
    <row r="29" spans="1:100" customFormat="1" x14ac:dyDescent="0.15">
      <c r="A29" s="182" t="s">
        <v>219</v>
      </c>
      <c r="B29" s="146">
        <v>0</v>
      </c>
      <c r="C29" s="146">
        <v>0</v>
      </c>
      <c r="D29" s="146">
        <v>0</v>
      </c>
      <c r="E29" s="146">
        <v>0</v>
      </c>
      <c r="F29" s="146">
        <v>0</v>
      </c>
      <c r="G29" s="146">
        <v>0</v>
      </c>
      <c r="H29" s="146">
        <v>0</v>
      </c>
      <c r="I29" s="146">
        <v>0</v>
      </c>
      <c r="J29" s="146">
        <v>0</v>
      </c>
      <c r="K29" s="146">
        <v>0</v>
      </c>
      <c r="L29" s="146">
        <v>0</v>
      </c>
      <c r="M29" s="146">
        <v>0</v>
      </c>
      <c r="N29" s="146">
        <v>0</v>
      </c>
      <c r="O29" s="146">
        <v>0</v>
      </c>
      <c r="P29" s="146">
        <v>0</v>
      </c>
      <c r="Q29" s="146">
        <v>0</v>
      </c>
      <c r="R29" s="146">
        <v>0</v>
      </c>
      <c r="S29" s="146">
        <v>0</v>
      </c>
      <c r="T29" s="146">
        <v>0</v>
      </c>
      <c r="U29" s="146">
        <v>3.9999692045898508E-4</v>
      </c>
      <c r="V29" s="146">
        <v>0</v>
      </c>
      <c r="W29" s="146">
        <v>0</v>
      </c>
      <c r="X29" s="146">
        <v>0</v>
      </c>
      <c r="Y29" s="146">
        <v>0</v>
      </c>
      <c r="Z29" s="146">
        <v>5.0000117476694479E-2</v>
      </c>
      <c r="AA29" s="146">
        <v>1.9999989384259564E-2</v>
      </c>
      <c r="AB29" s="146">
        <v>0.05</v>
      </c>
      <c r="AC29" s="146">
        <v>0.05</v>
      </c>
      <c r="AD29" s="146">
        <v>0</v>
      </c>
      <c r="AE29" s="146">
        <v>0</v>
      </c>
      <c r="AF29" s="146">
        <v>0</v>
      </c>
      <c r="AG29" s="146">
        <v>0</v>
      </c>
      <c r="AH29" s="146">
        <v>0</v>
      </c>
      <c r="AI29" s="146">
        <v>0</v>
      </c>
      <c r="AJ29" s="146">
        <v>0</v>
      </c>
      <c r="AK29" s="146">
        <v>3.9999869926983613E-5</v>
      </c>
      <c r="AL29" s="146">
        <v>0</v>
      </c>
      <c r="AM29" s="146">
        <v>0</v>
      </c>
      <c r="AN29" s="146">
        <v>2.1999989815530085E-3</v>
      </c>
      <c r="AO29" s="146">
        <v>4.0000000000000002E-4</v>
      </c>
      <c r="AP29" s="146">
        <v>1E-3</v>
      </c>
      <c r="AQ29" s="146">
        <v>0</v>
      </c>
      <c r="AR29" s="146">
        <v>5.1194393479725127E-4</v>
      </c>
      <c r="AS29" s="146">
        <v>0</v>
      </c>
      <c r="AT29" s="146">
        <v>0</v>
      </c>
      <c r="AU29" s="146">
        <v>0</v>
      </c>
      <c r="AV29" s="146">
        <v>0</v>
      </c>
      <c r="AW29" s="146">
        <v>0</v>
      </c>
      <c r="AX29" s="146">
        <v>0</v>
      </c>
      <c r="AY29" s="146">
        <v>0</v>
      </c>
      <c r="AZ29" s="146">
        <v>0</v>
      </c>
      <c r="BA29" s="146">
        <v>2.0159870410735116E-4</v>
      </c>
      <c r="BB29" s="146">
        <v>2.9999999283122111E-4</v>
      </c>
      <c r="BC29" s="146">
        <v>3.0000090440881317E-3</v>
      </c>
      <c r="BD29" s="146">
        <v>1.0999969942063158E-3</v>
      </c>
      <c r="BE29" s="146">
        <v>0</v>
      </c>
      <c r="BF29" s="146">
        <v>0</v>
      </c>
      <c r="BG29" s="146">
        <v>3.0000107363209365E-3</v>
      </c>
      <c r="BH29" s="146">
        <v>0</v>
      </c>
      <c r="BI29" s="146">
        <v>0</v>
      </c>
      <c r="BJ29" s="146">
        <v>0</v>
      </c>
      <c r="BK29" s="146">
        <v>0</v>
      </c>
      <c r="BL29" s="146">
        <v>0</v>
      </c>
      <c r="BM29" s="146">
        <v>0</v>
      </c>
      <c r="BN29" s="146">
        <v>0</v>
      </c>
      <c r="BO29" s="146">
        <v>0</v>
      </c>
      <c r="BP29" s="146">
        <v>0</v>
      </c>
      <c r="BQ29" s="146">
        <v>0</v>
      </c>
      <c r="BR29" s="146">
        <v>0</v>
      </c>
      <c r="BS29" s="146">
        <v>0</v>
      </c>
      <c r="BT29" s="146">
        <v>0</v>
      </c>
      <c r="BU29" s="146">
        <v>0</v>
      </c>
      <c r="BV29" s="146">
        <v>0</v>
      </c>
      <c r="BW29" s="146">
        <v>0</v>
      </c>
      <c r="BX29" s="146">
        <v>0</v>
      </c>
      <c r="BY29" s="146">
        <v>0</v>
      </c>
      <c r="BZ29" s="146">
        <v>0</v>
      </c>
      <c r="CA29" s="146">
        <v>0</v>
      </c>
      <c r="CB29" s="146">
        <v>0</v>
      </c>
      <c r="CC29" s="146">
        <v>0</v>
      </c>
      <c r="CD29" s="146">
        <v>0</v>
      </c>
      <c r="CE29" s="146">
        <v>0</v>
      </c>
      <c r="CF29" s="146">
        <v>0</v>
      </c>
      <c r="CG29" s="146">
        <v>0</v>
      </c>
      <c r="CH29" s="146">
        <v>0</v>
      </c>
      <c r="CI29" s="146">
        <v>0</v>
      </c>
      <c r="CJ29" s="146">
        <v>0</v>
      </c>
      <c r="CK29" s="146">
        <v>0</v>
      </c>
      <c r="CL29" s="146">
        <v>0</v>
      </c>
      <c r="CM29" s="146">
        <v>0</v>
      </c>
      <c r="CN29" s="146">
        <v>0</v>
      </c>
      <c r="CO29" s="146">
        <v>0</v>
      </c>
      <c r="CP29" s="146">
        <v>0</v>
      </c>
      <c r="CQ29" s="146">
        <v>0</v>
      </c>
      <c r="CR29" s="146">
        <v>0</v>
      </c>
      <c r="CS29" s="146">
        <v>0</v>
      </c>
      <c r="CT29" s="146">
        <v>0</v>
      </c>
      <c r="CU29" s="146">
        <v>0</v>
      </c>
      <c r="CV29" s="146">
        <v>0</v>
      </c>
    </row>
    <row r="30" spans="1:100" customFormat="1" x14ac:dyDescent="0.15">
      <c r="A30" s="182" t="s">
        <v>220</v>
      </c>
      <c r="B30" s="146">
        <v>0</v>
      </c>
      <c r="C30" s="146">
        <v>0</v>
      </c>
      <c r="D30" s="146">
        <v>0</v>
      </c>
      <c r="E30" s="146">
        <v>0</v>
      </c>
      <c r="F30" s="146">
        <v>0</v>
      </c>
      <c r="G30" s="146">
        <v>0</v>
      </c>
      <c r="H30" s="146">
        <v>0</v>
      </c>
      <c r="I30" s="146">
        <v>0</v>
      </c>
      <c r="J30" s="146">
        <v>0</v>
      </c>
      <c r="K30" s="146">
        <v>0</v>
      </c>
      <c r="L30" s="146">
        <v>0</v>
      </c>
      <c r="M30" s="146">
        <v>0</v>
      </c>
      <c r="N30" s="146">
        <v>0</v>
      </c>
      <c r="O30" s="146">
        <v>0</v>
      </c>
      <c r="P30" s="146">
        <v>0</v>
      </c>
      <c r="Q30" s="146">
        <v>0</v>
      </c>
      <c r="R30" s="146">
        <v>0</v>
      </c>
      <c r="S30" s="146">
        <v>0</v>
      </c>
      <c r="T30" s="146">
        <v>0</v>
      </c>
      <c r="U30" s="146">
        <v>0</v>
      </c>
      <c r="V30" s="146">
        <v>0</v>
      </c>
      <c r="W30" s="146">
        <v>0</v>
      </c>
      <c r="X30" s="146">
        <v>0</v>
      </c>
      <c r="Y30" s="146">
        <v>0</v>
      </c>
      <c r="Z30" s="146">
        <v>2.0000049110677847E-5</v>
      </c>
      <c r="AA30" s="146">
        <v>0</v>
      </c>
      <c r="AB30" s="146">
        <v>0</v>
      </c>
      <c r="AC30" s="146">
        <v>0</v>
      </c>
      <c r="AD30" s="146">
        <v>0</v>
      </c>
      <c r="AE30" s="146">
        <v>0</v>
      </c>
      <c r="AF30" s="146">
        <v>0</v>
      </c>
      <c r="AG30" s="146">
        <v>0</v>
      </c>
      <c r="AH30" s="146">
        <v>0</v>
      </c>
      <c r="AI30" s="146">
        <v>0</v>
      </c>
      <c r="AJ30" s="146">
        <v>0</v>
      </c>
      <c r="AK30" s="146">
        <v>0</v>
      </c>
      <c r="AL30" s="146">
        <v>0</v>
      </c>
      <c r="AM30" s="146">
        <v>0</v>
      </c>
      <c r="AN30" s="146">
        <v>0</v>
      </c>
      <c r="AO30" s="146">
        <v>0</v>
      </c>
      <c r="AP30" s="146">
        <v>0</v>
      </c>
      <c r="AQ30" s="146">
        <v>0</v>
      </c>
      <c r="AR30" s="146">
        <v>0</v>
      </c>
      <c r="AS30" s="146">
        <v>0</v>
      </c>
      <c r="AT30" s="146">
        <v>0</v>
      </c>
      <c r="AU30" s="146">
        <v>0</v>
      </c>
      <c r="AV30" s="146">
        <v>0</v>
      </c>
      <c r="AW30" s="146">
        <v>0</v>
      </c>
      <c r="AX30" s="146">
        <v>0</v>
      </c>
      <c r="AY30" s="146">
        <v>0</v>
      </c>
      <c r="AZ30" s="146">
        <v>0</v>
      </c>
      <c r="BA30" s="146">
        <v>0</v>
      </c>
      <c r="BB30" s="146">
        <v>0</v>
      </c>
      <c r="BC30" s="146">
        <v>0</v>
      </c>
      <c r="BD30" s="146">
        <v>0</v>
      </c>
      <c r="BE30" s="146">
        <v>0</v>
      </c>
      <c r="BF30" s="146">
        <v>0</v>
      </c>
      <c r="BG30" s="146">
        <v>0</v>
      </c>
      <c r="BH30" s="146">
        <v>0</v>
      </c>
      <c r="BI30" s="146">
        <v>0</v>
      </c>
      <c r="BJ30" s="146">
        <v>0</v>
      </c>
      <c r="BK30" s="146">
        <v>0</v>
      </c>
      <c r="BL30" s="146">
        <v>0</v>
      </c>
      <c r="BM30" s="146">
        <v>0</v>
      </c>
      <c r="BN30" s="146">
        <v>0</v>
      </c>
      <c r="BO30" s="146">
        <v>0</v>
      </c>
      <c r="BP30" s="146">
        <v>0</v>
      </c>
      <c r="BQ30" s="146">
        <v>0</v>
      </c>
      <c r="BR30" s="146">
        <v>0</v>
      </c>
      <c r="BS30" s="146">
        <v>0</v>
      </c>
      <c r="BT30" s="146">
        <v>0</v>
      </c>
      <c r="BU30" s="146">
        <v>0</v>
      </c>
      <c r="BV30" s="146">
        <v>0</v>
      </c>
      <c r="BW30" s="146">
        <v>0</v>
      </c>
      <c r="BX30" s="146">
        <v>0</v>
      </c>
      <c r="BY30" s="146">
        <v>0</v>
      </c>
      <c r="BZ30" s="146">
        <v>0</v>
      </c>
      <c r="CA30" s="146">
        <v>0</v>
      </c>
      <c r="CB30" s="146">
        <v>0</v>
      </c>
      <c r="CC30" s="146">
        <v>0</v>
      </c>
      <c r="CD30" s="146">
        <v>0</v>
      </c>
      <c r="CE30" s="146">
        <v>0</v>
      </c>
      <c r="CF30" s="146">
        <v>0</v>
      </c>
      <c r="CG30" s="146">
        <v>0</v>
      </c>
      <c r="CH30" s="146">
        <v>0</v>
      </c>
      <c r="CI30" s="146">
        <v>0</v>
      </c>
      <c r="CJ30" s="146">
        <v>0</v>
      </c>
      <c r="CK30" s="146">
        <v>0</v>
      </c>
      <c r="CL30" s="146">
        <v>0</v>
      </c>
      <c r="CM30" s="146">
        <v>0</v>
      </c>
      <c r="CN30" s="146">
        <v>0</v>
      </c>
      <c r="CO30" s="146">
        <v>0</v>
      </c>
      <c r="CP30" s="146">
        <v>0</v>
      </c>
      <c r="CQ30" s="146">
        <v>0</v>
      </c>
      <c r="CR30" s="146">
        <v>0</v>
      </c>
      <c r="CS30" s="146">
        <v>0</v>
      </c>
      <c r="CT30" s="146">
        <v>0</v>
      </c>
      <c r="CU30" s="146">
        <v>0</v>
      </c>
      <c r="CV30" s="146">
        <v>0</v>
      </c>
    </row>
    <row r="31" spans="1:100" customFormat="1" x14ac:dyDescent="0.15">
      <c r="A31" s="182" t="s">
        <v>221</v>
      </c>
      <c r="B31" s="146">
        <v>0</v>
      </c>
      <c r="C31" s="146">
        <v>0</v>
      </c>
      <c r="D31" s="146">
        <v>0</v>
      </c>
      <c r="E31" s="146">
        <v>0</v>
      </c>
      <c r="F31" s="146">
        <v>0</v>
      </c>
      <c r="G31" s="146">
        <v>0</v>
      </c>
      <c r="H31" s="146">
        <v>0</v>
      </c>
      <c r="I31" s="146">
        <v>0</v>
      </c>
      <c r="J31" s="146">
        <v>0</v>
      </c>
      <c r="K31" s="146">
        <v>0</v>
      </c>
      <c r="L31" s="146">
        <v>0</v>
      </c>
      <c r="M31" s="146">
        <v>0</v>
      </c>
      <c r="N31" s="146">
        <v>0</v>
      </c>
      <c r="O31" s="146">
        <v>0</v>
      </c>
      <c r="P31" s="146">
        <v>0</v>
      </c>
      <c r="Q31" s="146">
        <v>0</v>
      </c>
      <c r="R31" s="146">
        <v>0</v>
      </c>
      <c r="S31" s="146">
        <v>0</v>
      </c>
      <c r="T31" s="146">
        <v>0</v>
      </c>
      <c r="U31" s="146">
        <v>0</v>
      </c>
      <c r="V31" s="146">
        <v>0</v>
      </c>
      <c r="W31" s="146">
        <v>0</v>
      </c>
      <c r="X31" s="146">
        <v>0</v>
      </c>
      <c r="Y31" s="146">
        <v>0</v>
      </c>
      <c r="Z31" s="146">
        <v>2.0000045110677743E-4</v>
      </c>
      <c r="AA31" s="146">
        <v>0</v>
      </c>
      <c r="AB31" s="146">
        <v>0</v>
      </c>
      <c r="AC31" s="146">
        <v>0</v>
      </c>
      <c r="AD31" s="146">
        <v>0</v>
      </c>
      <c r="AE31" s="146">
        <v>0</v>
      </c>
      <c r="AF31" s="146">
        <v>0</v>
      </c>
      <c r="AG31" s="146">
        <v>0</v>
      </c>
      <c r="AH31" s="146">
        <v>0</v>
      </c>
      <c r="AI31" s="146">
        <v>0</v>
      </c>
      <c r="AJ31" s="146">
        <v>0</v>
      </c>
      <c r="AK31" s="146">
        <v>0</v>
      </c>
      <c r="AL31" s="146">
        <v>0</v>
      </c>
      <c r="AM31" s="146">
        <v>0</v>
      </c>
      <c r="AN31" s="146">
        <v>0</v>
      </c>
      <c r="AO31" s="146">
        <v>0</v>
      </c>
      <c r="AP31" s="146">
        <v>0</v>
      </c>
      <c r="AQ31" s="146">
        <v>0</v>
      </c>
      <c r="AR31" s="146">
        <v>0</v>
      </c>
      <c r="AS31" s="146">
        <v>0</v>
      </c>
      <c r="AT31" s="146">
        <v>0</v>
      </c>
      <c r="AU31" s="146">
        <v>0</v>
      </c>
      <c r="AV31" s="146">
        <v>0</v>
      </c>
      <c r="AW31" s="146">
        <v>0</v>
      </c>
      <c r="AX31" s="146">
        <v>0</v>
      </c>
      <c r="AY31" s="146">
        <v>0</v>
      </c>
      <c r="AZ31" s="146">
        <v>0</v>
      </c>
      <c r="BA31" s="146">
        <v>0</v>
      </c>
      <c r="BB31" s="146">
        <v>0</v>
      </c>
      <c r="BC31" s="146">
        <v>0</v>
      </c>
      <c r="BD31" s="146">
        <v>0</v>
      </c>
      <c r="BE31" s="146">
        <v>0</v>
      </c>
      <c r="BF31" s="146">
        <v>0</v>
      </c>
      <c r="BG31" s="146">
        <v>0</v>
      </c>
      <c r="BH31" s="146">
        <v>0</v>
      </c>
      <c r="BI31" s="146">
        <v>0</v>
      </c>
      <c r="BJ31" s="146">
        <v>0</v>
      </c>
      <c r="BK31" s="146">
        <v>0</v>
      </c>
      <c r="BL31" s="146">
        <v>0</v>
      </c>
      <c r="BM31" s="146">
        <v>0</v>
      </c>
      <c r="BN31" s="146">
        <v>0</v>
      </c>
      <c r="BO31" s="146">
        <v>0</v>
      </c>
      <c r="BP31" s="146">
        <v>0</v>
      </c>
      <c r="BQ31" s="146">
        <v>0</v>
      </c>
      <c r="BR31" s="146">
        <v>0</v>
      </c>
      <c r="BS31" s="146">
        <v>0</v>
      </c>
      <c r="BT31" s="146">
        <v>0</v>
      </c>
      <c r="BU31" s="146">
        <v>0</v>
      </c>
      <c r="BV31" s="146">
        <v>0</v>
      </c>
      <c r="BW31" s="146">
        <v>0</v>
      </c>
      <c r="BX31" s="146">
        <v>0</v>
      </c>
      <c r="BY31" s="146">
        <v>0</v>
      </c>
      <c r="BZ31" s="146">
        <v>0</v>
      </c>
      <c r="CA31" s="146">
        <v>0</v>
      </c>
      <c r="CB31" s="146">
        <v>0</v>
      </c>
      <c r="CC31" s="146">
        <v>0</v>
      </c>
      <c r="CD31" s="146">
        <v>0</v>
      </c>
      <c r="CE31" s="146">
        <v>0</v>
      </c>
      <c r="CF31" s="146">
        <v>0</v>
      </c>
      <c r="CG31" s="146">
        <v>0</v>
      </c>
      <c r="CH31" s="146">
        <v>0</v>
      </c>
      <c r="CI31" s="146">
        <v>0</v>
      </c>
      <c r="CJ31" s="146">
        <v>0</v>
      </c>
      <c r="CK31" s="146">
        <v>0</v>
      </c>
      <c r="CL31" s="146">
        <v>0</v>
      </c>
      <c r="CM31" s="146">
        <v>0</v>
      </c>
      <c r="CN31" s="146">
        <v>0</v>
      </c>
      <c r="CO31" s="146">
        <v>0</v>
      </c>
      <c r="CP31" s="146">
        <v>0</v>
      </c>
      <c r="CQ31" s="146">
        <v>0</v>
      </c>
      <c r="CR31" s="146">
        <v>0</v>
      </c>
      <c r="CS31" s="146">
        <v>0</v>
      </c>
      <c r="CT31" s="146">
        <v>0</v>
      </c>
      <c r="CU31" s="146">
        <v>0</v>
      </c>
      <c r="CV31" s="146">
        <v>0</v>
      </c>
    </row>
    <row r="32" spans="1:100" customFormat="1" x14ac:dyDescent="0.15">
      <c r="A32" s="182" t="s">
        <v>222</v>
      </c>
      <c r="B32" s="146">
        <v>0</v>
      </c>
      <c r="C32" s="146">
        <v>0</v>
      </c>
      <c r="D32" s="146">
        <v>0</v>
      </c>
      <c r="E32" s="146">
        <v>0</v>
      </c>
      <c r="F32" s="146">
        <v>0</v>
      </c>
      <c r="G32" s="146">
        <v>0</v>
      </c>
      <c r="H32" s="146">
        <v>0</v>
      </c>
      <c r="I32" s="146">
        <v>0</v>
      </c>
      <c r="J32" s="146">
        <v>0</v>
      </c>
      <c r="K32" s="146">
        <v>0</v>
      </c>
      <c r="L32" s="146">
        <v>0</v>
      </c>
      <c r="M32" s="146">
        <v>0</v>
      </c>
      <c r="N32" s="146">
        <v>0</v>
      </c>
      <c r="O32" s="146">
        <v>0</v>
      </c>
      <c r="P32" s="146">
        <v>0</v>
      </c>
      <c r="Q32" s="146">
        <v>0</v>
      </c>
      <c r="R32" s="146">
        <v>0</v>
      </c>
      <c r="S32" s="146">
        <v>0</v>
      </c>
      <c r="T32" s="146">
        <v>0</v>
      </c>
      <c r="U32" s="146">
        <v>0</v>
      </c>
      <c r="V32" s="146">
        <v>0</v>
      </c>
      <c r="W32" s="146">
        <v>0</v>
      </c>
      <c r="X32" s="146">
        <v>0</v>
      </c>
      <c r="Y32" s="146">
        <v>0</v>
      </c>
      <c r="Z32" s="146">
        <v>5.0000121276694573E-3</v>
      </c>
      <c r="AA32" s="146">
        <v>0</v>
      </c>
      <c r="AB32" s="146">
        <v>0</v>
      </c>
      <c r="AC32" s="146">
        <v>0</v>
      </c>
      <c r="AD32" s="146">
        <v>0</v>
      </c>
      <c r="AE32" s="146">
        <v>0</v>
      </c>
      <c r="AF32" s="146">
        <v>0</v>
      </c>
      <c r="AG32" s="146">
        <v>0</v>
      </c>
      <c r="AH32" s="146">
        <v>0</v>
      </c>
      <c r="AI32" s="146">
        <v>0</v>
      </c>
      <c r="AJ32" s="146">
        <v>0</v>
      </c>
      <c r="AK32" s="146">
        <v>9.9999669817459048E-7</v>
      </c>
      <c r="AL32" s="146">
        <v>0</v>
      </c>
      <c r="AM32" s="146">
        <v>0</v>
      </c>
      <c r="AN32" s="146">
        <v>0</v>
      </c>
      <c r="AO32" s="146">
        <v>0</v>
      </c>
      <c r="AP32" s="146">
        <v>0</v>
      </c>
      <c r="AQ32" s="146">
        <v>4.0000036852379608E-4</v>
      </c>
      <c r="AR32" s="146">
        <v>0</v>
      </c>
      <c r="AS32" s="146">
        <v>9.9999440986094201E-5</v>
      </c>
      <c r="AT32" s="146">
        <v>0</v>
      </c>
      <c r="AU32" s="146">
        <v>0</v>
      </c>
      <c r="AV32" s="146">
        <v>0</v>
      </c>
      <c r="AW32" s="146">
        <v>0</v>
      </c>
      <c r="AX32" s="146">
        <v>0</v>
      </c>
      <c r="AY32" s="146">
        <v>0</v>
      </c>
      <c r="AZ32" s="146">
        <v>0</v>
      </c>
      <c r="BA32" s="146">
        <v>0</v>
      </c>
      <c r="BB32" s="146">
        <v>0</v>
      </c>
      <c r="BC32" s="146">
        <v>0</v>
      </c>
      <c r="BD32" s="146">
        <v>0</v>
      </c>
      <c r="BE32" s="146">
        <v>0</v>
      </c>
      <c r="BF32" s="146">
        <v>0</v>
      </c>
      <c r="BG32" s="146">
        <v>1.0000036087736454E-2</v>
      </c>
      <c r="BH32" s="146">
        <v>0</v>
      </c>
      <c r="BI32" s="146">
        <v>0</v>
      </c>
      <c r="BJ32" s="146">
        <v>0</v>
      </c>
      <c r="BK32" s="146">
        <v>0</v>
      </c>
      <c r="BL32" s="146">
        <v>0</v>
      </c>
      <c r="BM32" s="146">
        <v>0</v>
      </c>
      <c r="BN32" s="146">
        <v>0</v>
      </c>
      <c r="BO32" s="146">
        <v>0</v>
      </c>
      <c r="BP32" s="146">
        <v>0</v>
      </c>
      <c r="BQ32" s="146">
        <v>0</v>
      </c>
      <c r="BR32" s="146">
        <v>0</v>
      </c>
      <c r="BS32" s="146">
        <v>0</v>
      </c>
      <c r="BT32" s="146">
        <v>0</v>
      </c>
      <c r="BU32" s="146">
        <v>0</v>
      </c>
      <c r="BV32" s="146">
        <v>0</v>
      </c>
      <c r="BW32" s="146">
        <v>0</v>
      </c>
      <c r="BX32" s="146">
        <v>0</v>
      </c>
      <c r="BY32" s="146">
        <v>0</v>
      </c>
      <c r="BZ32" s="146">
        <v>0</v>
      </c>
      <c r="CA32" s="146">
        <v>0</v>
      </c>
      <c r="CB32" s="146">
        <v>0</v>
      </c>
      <c r="CC32" s="146">
        <v>0</v>
      </c>
      <c r="CD32" s="146">
        <v>0</v>
      </c>
      <c r="CE32" s="146">
        <v>0</v>
      </c>
      <c r="CF32" s="146">
        <v>0</v>
      </c>
      <c r="CG32" s="146">
        <v>0</v>
      </c>
      <c r="CH32" s="146">
        <v>0</v>
      </c>
      <c r="CI32" s="146">
        <v>0</v>
      </c>
      <c r="CJ32" s="146">
        <v>0</v>
      </c>
      <c r="CK32" s="146">
        <v>0</v>
      </c>
      <c r="CL32" s="146">
        <v>0</v>
      </c>
      <c r="CM32" s="146">
        <v>0</v>
      </c>
      <c r="CN32" s="146">
        <v>0</v>
      </c>
      <c r="CO32" s="146">
        <v>0</v>
      </c>
      <c r="CP32" s="146">
        <v>0</v>
      </c>
      <c r="CQ32" s="146">
        <v>0</v>
      </c>
      <c r="CR32" s="146">
        <v>0</v>
      </c>
      <c r="CS32" s="146">
        <v>0</v>
      </c>
      <c r="CT32" s="146">
        <v>0</v>
      </c>
      <c r="CU32" s="146">
        <v>0</v>
      </c>
      <c r="CV32" s="146">
        <v>0</v>
      </c>
    </row>
    <row r="33" spans="1:100" customFormat="1" x14ac:dyDescent="0.15">
      <c r="A33" s="182" t="s">
        <v>223</v>
      </c>
      <c r="B33" s="146">
        <v>0</v>
      </c>
      <c r="C33" s="146">
        <v>0</v>
      </c>
      <c r="D33" s="146">
        <v>0</v>
      </c>
      <c r="E33" s="146">
        <v>0</v>
      </c>
      <c r="F33" s="146">
        <v>0</v>
      </c>
      <c r="G33" s="146">
        <v>0</v>
      </c>
      <c r="H33" s="146">
        <v>0</v>
      </c>
      <c r="I33" s="146">
        <v>0</v>
      </c>
      <c r="J33" s="146">
        <v>0</v>
      </c>
      <c r="K33" s="146">
        <v>0</v>
      </c>
      <c r="L33" s="146">
        <v>0</v>
      </c>
      <c r="M33" s="146">
        <v>0</v>
      </c>
      <c r="N33" s="146">
        <v>9.2627299839863168E-4</v>
      </c>
      <c r="O33" s="146">
        <v>1.6135018693899383E-3</v>
      </c>
      <c r="P33" s="146">
        <v>0</v>
      </c>
      <c r="Q33" s="146">
        <v>1.2999999999999997E-3</v>
      </c>
      <c r="R33" s="146">
        <v>1.1999999999999999E-3</v>
      </c>
      <c r="S33" s="146">
        <v>0</v>
      </c>
      <c r="T33" s="146">
        <v>0</v>
      </c>
      <c r="U33" s="146">
        <v>9.9999226614746393E-5</v>
      </c>
      <c r="V33" s="146">
        <v>0</v>
      </c>
      <c r="W33" s="146">
        <v>0</v>
      </c>
      <c r="X33" s="146">
        <v>0</v>
      </c>
      <c r="Y33" s="146">
        <v>0</v>
      </c>
      <c r="Z33" s="146">
        <v>5.0000121276694573E-3</v>
      </c>
      <c r="AA33" s="146">
        <v>0</v>
      </c>
      <c r="AB33" s="146">
        <v>0</v>
      </c>
      <c r="AC33" s="146">
        <v>0</v>
      </c>
      <c r="AD33" s="146">
        <v>0</v>
      </c>
      <c r="AE33" s="146">
        <v>0</v>
      </c>
      <c r="AF33" s="146">
        <v>0</v>
      </c>
      <c r="AG33" s="146">
        <v>0</v>
      </c>
      <c r="AH33" s="146">
        <v>3.9999997039543935E-4</v>
      </c>
      <c r="AI33" s="146">
        <v>9.9999769631680858E-5</v>
      </c>
      <c r="AJ33" s="146">
        <v>0</v>
      </c>
      <c r="AK33" s="146">
        <v>3.9999869926983613E-5</v>
      </c>
      <c r="AL33" s="146">
        <v>0</v>
      </c>
      <c r="AM33" s="146">
        <v>0</v>
      </c>
      <c r="AN33" s="146">
        <v>9.9999999161500013E-5</v>
      </c>
      <c r="AO33" s="146">
        <v>4.0000000000000002E-4</v>
      </c>
      <c r="AP33" s="146">
        <v>1E-4</v>
      </c>
      <c r="AQ33" s="146">
        <v>5.000005006547451E-4</v>
      </c>
      <c r="AR33" s="146">
        <v>2.0477858491888036E-5</v>
      </c>
      <c r="AS33" s="146">
        <v>9.9999440986094201E-5</v>
      </c>
      <c r="AT33" s="146">
        <v>9.9999639876785952E-6</v>
      </c>
      <c r="AU33" s="146">
        <v>1.0000499542957145E-4</v>
      </c>
      <c r="AV33" s="146">
        <v>1.0000000000000001E-5</v>
      </c>
      <c r="AW33" s="146">
        <v>0</v>
      </c>
      <c r="AX33" s="146">
        <v>0</v>
      </c>
      <c r="AY33" s="146">
        <v>5.0004680156444641E-4</v>
      </c>
      <c r="AZ33" s="146">
        <v>1.0000038152661864E-5</v>
      </c>
      <c r="BA33" s="146">
        <v>2.0159870410735116E-4</v>
      </c>
      <c r="BB33" s="146">
        <v>9.9999992610406931E-5</v>
      </c>
      <c r="BC33" s="146">
        <v>1.5000040220440585E-3</v>
      </c>
      <c r="BD33" s="146">
        <v>9.9999699473301585E-6</v>
      </c>
      <c r="BE33" s="146">
        <v>0</v>
      </c>
      <c r="BF33" s="146">
        <v>0</v>
      </c>
      <c r="BG33" s="146">
        <v>0</v>
      </c>
      <c r="BH33" s="146">
        <v>0</v>
      </c>
      <c r="BI33" s="146">
        <v>0</v>
      </c>
      <c r="BJ33" s="146">
        <v>0</v>
      </c>
      <c r="BK33" s="146">
        <v>0</v>
      </c>
      <c r="BL33" s="146">
        <v>0</v>
      </c>
      <c r="BM33" s="146">
        <v>0</v>
      </c>
      <c r="BN33" s="146">
        <v>9.9999999909000003E-5</v>
      </c>
      <c r="BO33" s="146">
        <v>0</v>
      </c>
      <c r="BP33" s="146">
        <v>0</v>
      </c>
      <c r="BQ33" s="146">
        <v>0</v>
      </c>
      <c r="BR33" s="146">
        <v>0</v>
      </c>
      <c r="BS33" s="146">
        <v>0</v>
      </c>
      <c r="BT33" s="146">
        <v>0</v>
      </c>
      <c r="BU33" s="146">
        <v>0</v>
      </c>
      <c r="BV33" s="146">
        <v>0</v>
      </c>
      <c r="BW33" s="146">
        <v>0</v>
      </c>
      <c r="BX33" s="146">
        <v>0</v>
      </c>
      <c r="BY33" s="146">
        <v>0</v>
      </c>
      <c r="BZ33" s="146">
        <v>0</v>
      </c>
      <c r="CA33" s="146">
        <v>0</v>
      </c>
      <c r="CB33" s="146">
        <v>0</v>
      </c>
      <c r="CC33" s="146">
        <v>0</v>
      </c>
      <c r="CD33" s="146">
        <v>0</v>
      </c>
      <c r="CE33" s="146">
        <v>0</v>
      </c>
      <c r="CF33" s="146">
        <v>0</v>
      </c>
      <c r="CG33" s="146">
        <v>0</v>
      </c>
      <c r="CH33" s="146">
        <v>0</v>
      </c>
      <c r="CI33" s="146">
        <v>0</v>
      </c>
      <c r="CJ33" s="146">
        <v>0</v>
      </c>
      <c r="CK33" s="146">
        <v>0</v>
      </c>
      <c r="CL33" s="146">
        <v>0</v>
      </c>
      <c r="CM33" s="146">
        <v>0</v>
      </c>
      <c r="CN33" s="146">
        <v>0</v>
      </c>
      <c r="CO33" s="146">
        <v>0</v>
      </c>
      <c r="CP33" s="146">
        <v>0</v>
      </c>
      <c r="CQ33" s="146">
        <v>0</v>
      </c>
      <c r="CR33" s="146">
        <v>0</v>
      </c>
      <c r="CS33" s="146">
        <v>0</v>
      </c>
      <c r="CT33" s="146">
        <v>0</v>
      </c>
      <c r="CU33" s="146">
        <v>0</v>
      </c>
      <c r="CV33" s="146">
        <v>0</v>
      </c>
    </row>
    <row r="34" spans="1:100" customFormat="1" x14ac:dyDescent="0.15">
      <c r="A34" s="182" t="s">
        <v>224</v>
      </c>
      <c r="B34" s="146">
        <v>0</v>
      </c>
      <c r="C34" s="146">
        <v>0</v>
      </c>
      <c r="D34" s="146">
        <v>0</v>
      </c>
      <c r="E34" s="146">
        <v>0</v>
      </c>
      <c r="F34" s="146">
        <v>0</v>
      </c>
      <c r="G34" s="146">
        <v>0</v>
      </c>
      <c r="H34" s="146">
        <v>0</v>
      </c>
      <c r="I34" s="146">
        <v>0</v>
      </c>
      <c r="J34" s="146">
        <v>0</v>
      </c>
      <c r="K34" s="146">
        <v>6.0839158855128701E-3</v>
      </c>
      <c r="L34" s="146">
        <v>1.0000036007869667E-2</v>
      </c>
      <c r="M34" s="146">
        <v>1.7999999999999999E-2</v>
      </c>
      <c r="N34" s="146">
        <v>3.0000129948134883E-3</v>
      </c>
      <c r="O34" s="146">
        <v>5.0421931855935522E-3</v>
      </c>
      <c r="P34" s="146">
        <v>1.0260555328572171E-5</v>
      </c>
      <c r="Q34" s="146">
        <v>7.6999999999999985E-3</v>
      </c>
      <c r="R34" s="146">
        <v>3.6900000000000001E-3</v>
      </c>
      <c r="S34" s="146">
        <v>3.09999999969E-3</v>
      </c>
      <c r="T34" s="146">
        <v>0</v>
      </c>
      <c r="U34" s="146">
        <v>0</v>
      </c>
      <c r="V34" s="146">
        <v>2.9999708921316678E-5</v>
      </c>
      <c r="W34" s="146">
        <v>0</v>
      </c>
      <c r="X34" s="146">
        <v>0.01</v>
      </c>
      <c r="Y34" s="146">
        <v>1.4999999998845002E-3</v>
      </c>
      <c r="Z34" s="146">
        <v>4.1000136246890492E-3</v>
      </c>
      <c r="AA34" s="146">
        <v>1.9999987284259632E-4</v>
      </c>
      <c r="AB34" s="146">
        <v>0</v>
      </c>
      <c r="AC34" s="146">
        <v>0</v>
      </c>
      <c r="AD34" s="146">
        <v>0</v>
      </c>
      <c r="AE34" s="146">
        <v>0</v>
      </c>
      <c r="AF34" s="146">
        <v>1.9999999918340002E-4</v>
      </c>
      <c r="AG34" s="146">
        <v>0</v>
      </c>
      <c r="AH34" s="146">
        <v>0</v>
      </c>
      <c r="AI34" s="146">
        <v>0</v>
      </c>
      <c r="AJ34" s="146">
        <v>7.0000285226814465E-5</v>
      </c>
      <c r="AK34" s="146">
        <v>9.9999679817459015E-5</v>
      </c>
      <c r="AL34" s="146">
        <v>1.0999955477420731E-3</v>
      </c>
      <c r="AM34" s="146">
        <v>0</v>
      </c>
      <c r="AN34" s="146">
        <v>0</v>
      </c>
      <c r="AO34" s="146">
        <v>0</v>
      </c>
      <c r="AP34" s="146">
        <v>0</v>
      </c>
      <c r="AQ34" s="146">
        <v>1.0000010013094902E-3</v>
      </c>
      <c r="AR34" s="146">
        <v>2.0477858491888036E-5</v>
      </c>
      <c r="AS34" s="146">
        <v>1.9999848397218446E-4</v>
      </c>
      <c r="AT34" s="146">
        <v>0</v>
      </c>
      <c r="AU34" s="146">
        <v>0</v>
      </c>
      <c r="AV34" s="146">
        <v>0</v>
      </c>
      <c r="AW34" s="146">
        <v>1.059E-2</v>
      </c>
      <c r="AX34" s="146">
        <v>5.0000293994224485E-4</v>
      </c>
      <c r="AY34" s="146">
        <v>0</v>
      </c>
      <c r="AZ34" s="146">
        <v>0</v>
      </c>
      <c r="BA34" s="146">
        <v>2.0159872210735153E-3</v>
      </c>
      <c r="BB34" s="146">
        <v>0</v>
      </c>
      <c r="BC34" s="146">
        <v>0</v>
      </c>
      <c r="BD34" s="146">
        <v>0</v>
      </c>
      <c r="BE34" s="146">
        <v>0</v>
      </c>
      <c r="BF34" s="146">
        <v>0</v>
      </c>
      <c r="BG34" s="146">
        <v>1.0000015587736479E-3</v>
      </c>
      <c r="BH34" s="146">
        <v>0</v>
      </c>
      <c r="BI34" s="146">
        <v>0</v>
      </c>
      <c r="BJ34" s="146">
        <v>0</v>
      </c>
      <c r="BK34" s="146">
        <v>0</v>
      </c>
      <c r="BL34" s="146">
        <v>0</v>
      </c>
      <c r="BM34" s="146">
        <v>0</v>
      </c>
      <c r="BN34" s="146">
        <v>0</v>
      </c>
      <c r="BO34" s="146">
        <v>0</v>
      </c>
      <c r="BP34" s="146">
        <v>0</v>
      </c>
      <c r="BQ34" s="146">
        <v>0</v>
      </c>
      <c r="BR34" s="146">
        <v>0</v>
      </c>
      <c r="BS34" s="146">
        <v>0</v>
      </c>
      <c r="BT34" s="146">
        <v>0</v>
      </c>
      <c r="BU34" s="146">
        <v>0</v>
      </c>
      <c r="BV34" s="146">
        <v>0</v>
      </c>
      <c r="BW34" s="146">
        <v>0</v>
      </c>
      <c r="BX34" s="146">
        <v>0</v>
      </c>
      <c r="BY34" s="146">
        <v>0</v>
      </c>
      <c r="BZ34" s="146">
        <v>0</v>
      </c>
      <c r="CA34" s="146">
        <v>0</v>
      </c>
      <c r="CB34" s="146">
        <v>0</v>
      </c>
      <c r="CC34" s="146">
        <v>0</v>
      </c>
      <c r="CD34" s="146">
        <v>0</v>
      </c>
      <c r="CE34" s="146">
        <v>0</v>
      </c>
      <c r="CF34" s="146">
        <v>0</v>
      </c>
      <c r="CG34" s="146">
        <v>0</v>
      </c>
      <c r="CH34" s="146">
        <v>0</v>
      </c>
      <c r="CI34" s="146">
        <v>0</v>
      </c>
      <c r="CJ34" s="146">
        <v>0</v>
      </c>
      <c r="CK34" s="146">
        <v>0</v>
      </c>
      <c r="CL34" s="146">
        <v>0</v>
      </c>
      <c r="CM34" s="146">
        <v>0</v>
      </c>
      <c r="CN34" s="146">
        <v>0</v>
      </c>
      <c r="CO34" s="146">
        <v>0</v>
      </c>
      <c r="CP34" s="146">
        <v>0</v>
      </c>
      <c r="CQ34" s="146">
        <v>0</v>
      </c>
      <c r="CR34" s="146">
        <v>0</v>
      </c>
      <c r="CS34" s="146">
        <v>0</v>
      </c>
      <c r="CT34" s="146">
        <v>0</v>
      </c>
      <c r="CU34" s="146">
        <v>0</v>
      </c>
      <c r="CV34" s="146">
        <v>0</v>
      </c>
    </row>
    <row r="35" spans="1:100" customFormat="1" x14ac:dyDescent="0.15">
      <c r="A35" s="182" t="s">
        <v>225</v>
      </c>
      <c r="B35" s="146">
        <v>0</v>
      </c>
      <c r="C35" s="146">
        <v>0</v>
      </c>
      <c r="D35" s="146">
        <v>0</v>
      </c>
      <c r="E35" s="146">
        <v>0</v>
      </c>
      <c r="F35" s="146">
        <v>0</v>
      </c>
      <c r="G35" s="146">
        <v>0</v>
      </c>
      <c r="H35" s="146">
        <v>0</v>
      </c>
      <c r="I35" s="146">
        <v>0</v>
      </c>
      <c r="J35" s="146">
        <v>0</v>
      </c>
      <c r="K35" s="146">
        <v>5.0699299045940588E-5</v>
      </c>
      <c r="L35" s="146">
        <v>2.2662973291206023E-3</v>
      </c>
      <c r="M35" s="146">
        <v>1E-3</v>
      </c>
      <c r="N35" s="146">
        <v>1.0291944582206981E-4</v>
      </c>
      <c r="O35" s="146">
        <v>1.0084386671187115E-4</v>
      </c>
      <c r="P35" s="146">
        <v>1.0260554628572175E-4</v>
      </c>
      <c r="Q35" s="146">
        <v>9.999999999999998E-4</v>
      </c>
      <c r="R35" s="146">
        <v>1.0000000000000001E-5</v>
      </c>
      <c r="S35" s="146">
        <v>9.9999999989999993E-4</v>
      </c>
      <c r="T35" s="146">
        <v>0</v>
      </c>
      <c r="U35" s="146">
        <v>0</v>
      </c>
      <c r="V35" s="146">
        <v>3.9999623261755164E-3</v>
      </c>
      <c r="W35" s="146">
        <v>0</v>
      </c>
      <c r="X35" s="146">
        <v>5.0000000000000001E-3</v>
      </c>
      <c r="Y35" s="146">
        <v>9.9999999992299998E-3</v>
      </c>
      <c r="Z35" s="146">
        <v>3.7000130944755036E-3</v>
      </c>
      <c r="AA35" s="146">
        <v>4.999996476064918E-3</v>
      </c>
      <c r="AB35" s="146">
        <v>0</v>
      </c>
      <c r="AC35" s="146">
        <v>5.0000000000000001E-3</v>
      </c>
      <c r="AD35" s="146">
        <v>0</v>
      </c>
      <c r="AE35" s="146">
        <v>0</v>
      </c>
      <c r="AF35" s="146">
        <v>1.9999999918340002E-4</v>
      </c>
      <c r="AG35" s="146">
        <v>0</v>
      </c>
      <c r="AH35" s="146">
        <v>5.9999891409313454E-4</v>
      </c>
      <c r="AI35" s="146">
        <v>2.9999889889504406E-4</v>
      </c>
      <c r="AJ35" s="146">
        <v>7.0000285226814465E-5</v>
      </c>
      <c r="AK35" s="146">
        <v>1.4999951172618856E-2</v>
      </c>
      <c r="AL35" s="146">
        <v>1.9999917195310458E-2</v>
      </c>
      <c r="AM35" s="146">
        <v>3.2999999999999991E-3</v>
      </c>
      <c r="AN35" s="146">
        <v>3.0999989740065083E-3</v>
      </c>
      <c r="AO35" s="146">
        <v>0</v>
      </c>
      <c r="AP35" s="146">
        <v>0</v>
      </c>
      <c r="AQ35" s="146">
        <v>2.0000020026189804E-5</v>
      </c>
      <c r="AR35" s="146">
        <v>2.047785779188805E-4</v>
      </c>
      <c r="AS35" s="146">
        <v>9.999944098609419E-9</v>
      </c>
      <c r="AT35" s="146">
        <v>9.9999649876785925E-7</v>
      </c>
      <c r="AU35" s="146">
        <v>1.0000499542957145E-4</v>
      </c>
      <c r="AV35" s="146">
        <v>5.0000000000000002E-5</v>
      </c>
      <c r="AW35" s="146">
        <v>5.0000000000000001E-3</v>
      </c>
      <c r="AX35" s="146">
        <v>5.0000293994224485E-4</v>
      </c>
      <c r="AY35" s="146">
        <v>5.0004680156444641E-4</v>
      </c>
      <c r="AZ35" s="146">
        <v>2.0000177505326289E-4</v>
      </c>
      <c r="BA35" s="146">
        <v>3.0239808916102741E-4</v>
      </c>
      <c r="BB35" s="146">
        <v>9.9999992610406931E-5</v>
      </c>
      <c r="BC35" s="146">
        <v>2.100006030861688E-3</v>
      </c>
      <c r="BD35" s="146">
        <v>4.9999799736651052E-4</v>
      </c>
      <c r="BE35" s="146">
        <v>0</v>
      </c>
      <c r="BF35" s="146">
        <v>0</v>
      </c>
      <c r="BG35" s="146">
        <v>2.0000031175472959E-3</v>
      </c>
      <c r="BH35" s="146">
        <v>0</v>
      </c>
      <c r="BI35" s="146">
        <v>2.1999999996260003E-3</v>
      </c>
      <c r="BJ35" s="146">
        <v>0</v>
      </c>
      <c r="BK35" s="146">
        <v>0</v>
      </c>
      <c r="BL35" s="146">
        <v>0</v>
      </c>
      <c r="BM35" s="146">
        <v>0</v>
      </c>
      <c r="BN35" s="146">
        <v>9.9999999909000003E-5</v>
      </c>
      <c r="BO35" s="146">
        <v>0</v>
      </c>
      <c r="BP35" s="146">
        <v>0</v>
      </c>
      <c r="BQ35" s="146">
        <v>0</v>
      </c>
      <c r="BR35" s="146">
        <v>0</v>
      </c>
      <c r="BS35" s="146">
        <v>0</v>
      </c>
      <c r="BT35" s="146">
        <v>0</v>
      </c>
      <c r="BU35" s="146">
        <v>0</v>
      </c>
      <c r="BV35" s="146">
        <v>0</v>
      </c>
      <c r="BW35" s="146">
        <v>0</v>
      </c>
      <c r="BX35" s="146">
        <v>0</v>
      </c>
      <c r="BY35" s="146">
        <v>0</v>
      </c>
      <c r="BZ35" s="146">
        <v>0</v>
      </c>
      <c r="CA35" s="146">
        <v>0</v>
      </c>
      <c r="CB35" s="146">
        <v>0</v>
      </c>
      <c r="CC35" s="146">
        <v>0</v>
      </c>
      <c r="CD35" s="146">
        <v>0</v>
      </c>
      <c r="CE35" s="146">
        <v>0</v>
      </c>
      <c r="CF35" s="146">
        <v>0</v>
      </c>
      <c r="CG35" s="146">
        <v>0</v>
      </c>
      <c r="CH35" s="146">
        <v>0</v>
      </c>
      <c r="CI35" s="146">
        <v>0</v>
      </c>
      <c r="CJ35" s="146">
        <v>0</v>
      </c>
      <c r="CK35" s="146">
        <v>0</v>
      </c>
      <c r="CL35" s="146">
        <v>5.0002504486859275E-4</v>
      </c>
      <c r="CM35" s="146">
        <v>0</v>
      </c>
      <c r="CN35" s="146">
        <v>0</v>
      </c>
      <c r="CO35" s="146">
        <v>0</v>
      </c>
      <c r="CP35" s="146">
        <v>0</v>
      </c>
      <c r="CQ35" s="146">
        <v>0</v>
      </c>
      <c r="CR35" s="146">
        <v>0</v>
      </c>
      <c r="CS35" s="146">
        <v>0</v>
      </c>
      <c r="CT35" s="146">
        <v>0</v>
      </c>
      <c r="CU35" s="146">
        <v>0</v>
      </c>
      <c r="CV35" s="146">
        <v>0</v>
      </c>
    </row>
    <row r="36" spans="1:100" customFormat="1" x14ac:dyDescent="0.15">
      <c r="A36" s="182" t="s">
        <v>226</v>
      </c>
      <c r="B36" s="146">
        <v>0</v>
      </c>
      <c r="C36" s="146">
        <v>0</v>
      </c>
      <c r="D36" s="146">
        <v>0</v>
      </c>
      <c r="E36" s="146">
        <v>0</v>
      </c>
      <c r="F36" s="146">
        <v>0</v>
      </c>
      <c r="G36" s="146">
        <v>0</v>
      </c>
      <c r="H36" s="146">
        <v>0</v>
      </c>
      <c r="I36" s="146">
        <v>0</v>
      </c>
      <c r="J36" s="146">
        <v>0</v>
      </c>
      <c r="K36" s="146">
        <v>5.0699302445940527E-4</v>
      </c>
      <c r="L36" s="146">
        <v>2.7195569749447215E-3</v>
      </c>
      <c r="M36" s="146">
        <v>4.1999999999999997E-3</v>
      </c>
      <c r="N36" s="146">
        <v>1.0291944582206981E-4</v>
      </c>
      <c r="O36" s="146">
        <v>9.0759483340684154E-4</v>
      </c>
      <c r="P36" s="146">
        <v>7.1823986400004509E-4</v>
      </c>
      <c r="Q36" s="146">
        <v>0</v>
      </c>
      <c r="R36" s="146">
        <v>0</v>
      </c>
      <c r="S36" s="146">
        <v>0</v>
      </c>
      <c r="T36" s="146">
        <v>0</v>
      </c>
      <c r="U36" s="146">
        <v>0</v>
      </c>
      <c r="V36" s="146">
        <v>9.999908640438689E-5</v>
      </c>
      <c r="W36" s="146">
        <v>0</v>
      </c>
      <c r="X36" s="146">
        <v>1.8E-3</v>
      </c>
      <c r="Y36" s="146">
        <v>1.0899999999160701E-2</v>
      </c>
      <c r="Z36" s="146">
        <v>1.0000022555338872E-4</v>
      </c>
      <c r="AA36" s="146">
        <v>1.9999987284259632E-4</v>
      </c>
      <c r="AB36" s="146">
        <v>0</v>
      </c>
      <c r="AC36" s="146">
        <v>0</v>
      </c>
      <c r="AD36" s="146">
        <v>0</v>
      </c>
      <c r="AE36" s="146">
        <v>0</v>
      </c>
      <c r="AF36" s="146">
        <v>9.9999999591700024E-6</v>
      </c>
      <c r="AG36" s="146">
        <v>0</v>
      </c>
      <c r="AH36" s="146">
        <v>0</v>
      </c>
      <c r="AI36" s="146">
        <v>0</v>
      </c>
      <c r="AJ36" s="146">
        <v>0</v>
      </c>
      <c r="AK36" s="146">
        <v>5.9999809890475409E-4</v>
      </c>
      <c r="AL36" s="146">
        <v>5.9999762985931142E-4</v>
      </c>
      <c r="AM36" s="146">
        <v>0</v>
      </c>
      <c r="AN36" s="146">
        <v>0</v>
      </c>
      <c r="AO36" s="146">
        <v>0</v>
      </c>
      <c r="AP36" s="146">
        <v>6.9999999999999999E-4</v>
      </c>
      <c r="AQ36" s="146">
        <v>1.0000010013094902E-5</v>
      </c>
      <c r="AR36" s="146">
        <v>2.0477858491888036E-5</v>
      </c>
      <c r="AS36" s="146">
        <v>4.9999668193046575E-5</v>
      </c>
      <c r="AT36" s="146">
        <v>0</v>
      </c>
      <c r="AU36" s="146">
        <v>0</v>
      </c>
      <c r="AV36" s="146">
        <v>0</v>
      </c>
      <c r="AW36" s="146">
        <v>8.9999999999999998E-4</v>
      </c>
      <c r="AX36" s="146">
        <v>0</v>
      </c>
      <c r="AY36" s="146">
        <v>0</v>
      </c>
      <c r="AZ36" s="146">
        <v>0</v>
      </c>
      <c r="BA36" s="146">
        <v>3.0239808916102741E-4</v>
      </c>
      <c r="BB36" s="146">
        <v>6.9999996427284886E-5</v>
      </c>
      <c r="BC36" s="146">
        <v>0</v>
      </c>
      <c r="BD36" s="146">
        <v>0</v>
      </c>
      <c r="BE36" s="146">
        <v>0</v>
      </c>
      <c r="BF36" s="146">
        <v>0</v>
      </c>
      <c r="BG36" s="146">
        <v>1.0000015587736479E-3</v>
      </c>
      <c r="BH36" s="146">
        <v>0</v>
      </c>
      <c r="BI36" s="146">
        <v>0</v>
      </c>
      <c r="BJ36" s="146">
        <v>0</v>
      </c>
      <c r="BK36" s="146">
        <v>0</v>
      </c>
      <c r="BL36" s="146">
        <v>0</v>
      </c>
      <c r="BM36" s="146">
        <v>0</v>
      </c>
      <c r="BN36" s="146">
        <v>0</v>
      </c>
      <c r="BO36" s="146">
        <v>0</v>
      </c>
      <c r="BP36" s="146">
        <v>0</v>
      </c>
      <c r="BQ36" s="146">
        <v>0</v>
      </c>
      <c r="BR36" s="146">
        <v>0</v>
      </c>
      <c r="BS36" s="146">
        <v>0</v>
      </c>
      <c r="BT36" s="146">
        <v>0</v>
      </c>
      <c r="BU36" s="146">
        <v>0</v>
      </c>
      <c r="BV36" s="146">
        <v>0</v>
      </c>
      <c r="BW36" s="146">
        <v>0</v>
      </c>
      <c r="BX36" s="146">
        <v>0</v>
      </c>
      <c r="BY36" s="146">
        <v>0</v>
      </c>
      <c r="BZ36" s="146">
        <v>0</v>
      </c>
      <c r="CA36" s="146">
        <v>0</v>
      </c>
      <c r="CB36" s="146">
        <v>0</v>
      </c>
      <c r="CC36" s="146">
        <v>0</v>
      </c>
      <c r="CD36" s="146">
        <v>0</v>
      </c>
      <c r="CE36" s="146">
        <v>0</v>
      </c>
      <c r="CF36" s="146">
        <v>0</v>
      </c>
      <c r="CG36" s="146">
        <v>0</v>
      </c>
      <c r="CH36" s="146">
        <v>0</v>
      </c>
      <c r="CI36" s="146">
        <v>0</v>
      </c>
      <c r="CJ36" s="146">
        <v>0</v>
      </c>
      <c r="CK36" s="146">
        <v>0</v>
      </c>
      <c r="CL36" s="146">
        <v>0</v>
      </c>
      <c r="CM36" s="146">
        <v>0</v>
      </c>
      <c r="CN36" s="146">
        <v>0</v>
      </c>
      <c r="CO36" s="146">
        <v>0</v>
      </c>
      <c r="CP36" s="146">
        <v>0</v>
      </c>
      <c r="CQ36" s="146">
        <v>0</v>
      </c>
      <c r="CR36" s="146">
        <v>0</v>
      </c>
      <c r="CS36" s="146">
        <v>0</v>
      </c>
      <c r="CT36" s="146">
        <v>0</v>
      </c>
      <c r="CU36" s="146">
        <v>0</v>
      </c>
      <c r="CV36" s="146">
        <v>0</v>
      </c>
    </row>
    <row r="37" spans="1:100" customFormat="1" x14ac:dyDescent="0.15">
      <c r="A37" s="182" t="s">
        <v>227</v>
      </c>
      <c r="B37" s="146">
        <v>0</v>
      </c>
      <c r="C37" s="146">
        <v>7.2674419526162779E-3</v>
      </c>
      <c r="D37" s="146">
        <v>6.1879325975981794E-3</v>
      </c>
      <c r="E37" s="146">
        <v>0</v>
      </c>
      <c r="F37" s="146">
        <v>0</v>
      </c>
      <c r="G37" s="146">
        <v>0</v>
      </c>
      <c r="H37" s="146">
        <v>0</v>
      </c>
      <c r="I37" s="146">
        <v>0</v>
      </c>
      <c r="J37" s="146">
        <v>0</v>
      </c>
      <c r="K37" s="146">
        <v>0</v>
      </c>
      <c r="L37" s="146">
        <v>0</v>
      </c>
      <c r="M37" s="146">
        <v>0</v>
      </c>
      <c r="N37" s="146">
        <v>5.9693149896800713E-3</v>
      </c>
      <c r="O37" s="146">
        <v>1.0079096870992408E-3</v>
      </c>
      <c r="P37" s="146">
        <v>0</v>
      </c>
      <c r="Q37" s="146">
        <v>0</v>
      </c>
      <c r="R37" s="146">
        <v>0</v>
      </c>
      <c r="S37" s="146">
        <v>0</v>
      </c>
      <c r="T37" s="146">
        <v>1E-4</v>
      </c>
      <c r="U37" s="146">
        <v>9.9999236614746055E-4</v>
      </c>
      <c r="V37" s="146">
        <v>1.3999870896614208E-3</v>
      </c>
      <c r="W37" s="146">
        <v>1.0000025108408924E-3</v>
      </c>
      <c r="X37" s="146">
        <v>0</v>
      </c>
      <c r="Y37" s="146">
        <v>0</v>
      </c>
      <c r="Z37" s="146">
        <v>3.9000090995821673E-4</v>
      </c>
      <c r="AA37" s="146">
        <v>0</v>
      </c>
      <c r="AB37" s="146">
        <v>2.3999999999999998E-3</v>
      </c>
      <c r="AC37" s="146">
        <v>6.0000000000000002E-5</v>
      </c>
      <c r="AD37" s="146">
        <v>0</v>
      </c>
      <c r="AE37" s="146">
        <v>0</v>
      </c>
      <c r="AF37" s="146">
        <v>0</v>
      </c>
      <c r="AG37" s="146">
        <v>0</v>
      </c>
      <c r="AH37" s="146">
        <v>0</v>
      </c>
      <c r="AI37" s="146">
        <v>0</v>
      </c>
      <c r="AJ37" s="146">
        <v>0</v>
      </c>
      <c r="AK37" s="146">
        <v>5.4999822699602465E-3</v>
      </c>
      <c r="AL37" s="146">
        <v>3.9999839190620821E-4</v>
      </c>
      <c r="AM37" s="146">
        <v>8.9999999999999976E-4</v>
      </c>
      <c r="AN37" s="146">
        <v>9.9999999161500013E-5</v>
      </c>
      <c r="AO37" s="146">
        <v>0</v>
      </c>
      <c r="AP37" s="146">
        <v>0</v>
      </c>
      <c r="AQ37" s="146">
        <v>3.0000028339284706E-5</v>
      </c>
      <c r="AR37" s="146">
        <v>0</v>
      </c>
      <c r="AS37" s="146">
        <v>9.9999430986094089E-6</v>
      </c>
      <c r="AT37" s="146">
        <v>0</v>
      </c>
      <c r="AU37" s="146">
        <v>0</v>
      </c>
      <c r="AV37" s="146">
        <v>0</v>
      </c>
      <c r="AW37" s="146">
        <v>0</v>
      </c>
      <c r="AX37" s="146">
        <v>0</v>
      </c>
      <c r="AY37" s="146">
        <v>0</v>
      </c>
      <c r="AZ37" s="146">
        <v>0</v>
      </c>
      <c r="BA37" s="146">
        <v>3.0239808916102741E-4</v>
      </c>
      <c r="BB37" s="146">
        <v>0</v>
      </c>
      <c r="BC37" s="146">
        <v>0</v>
      </c>
      <c r="BD37" s="146">
        <v>0</v>
      </c>
      <c r="BE37" s="146">
        <v>0</v>
      </c>
      <c r="BF37" s="146">
        <v>0</v>
      </c>
      <c r="BG37" s="146">
        <v>2.0000031175472959E-3</v>
      </c>
      <c r="BH37" s="146">
        <v>0</v>
      </c>
      <c r="BI37" s="146">
        <v>1.99999999966E-4</v>
      </c>
      <c r="BJ37" s="146">
        <v>0</v>
      </c>
      <c r="BK37" s="146">
        <v>0</v>
      </c>
      <c r="BL37" s="146">
        <v>0</v>
      </c>
      <c r="BM37" s="146">
        <v>0</v>
      </c>
      <c r="BN37" s="146">
        <v>0</v>
      </c>
      <c r="BO37" s="146">
        <v>0</v>
      </c>
      <c r="BP37" s="146">
        <v>0</v>
      </c>
      <c r="BQ37" s="146">
        <v>0</v>
      </c>
      <c r="BR37" s="146">
        <v>0</v>
      </c>
      <c r="BS37" s="146">
        <v>0</v>
      </c>
      <c r="BT37" s="146">
        <v>0</v>
      </c>
      <c r="BU37" s="146">
        <v>0</v>
      </c>
      <c r="BV37" s="146">
        <v>0</v>
      </c>
      <c r="BW37" s="146">
        <v>0</v>
      </c>
      <c r="BX37" s="146">
        <v>0</v>
      </c>
      <c r="BY37" s="146">
        <v>0</v>
      </c>
      <c r="BZ37" s="146">
        <v>0</v>
      </c>
      <c r="CA37" s="146">
        <v>0</v>
      </c>
      <c r="CB37" s="146">
        <v>0</v>
      </c>
      <c r="CC37" s="146">
        <v>0</v>
      </c>
      <c r="CD37" s="146">
        <v>0</v>
      </c>
      <c r="CE37" s="146">
        <v>0</v>
      </c>
      <c r="CF37" s="146">
        <v>0</v>
      </c>
      <c r="CG37" s="146">
        <v>0</v>
      </c>
      <c r="CH37" s="146">
        <v>0</v>
      </c>
      <c r="CI37" s="146">
        <v>0</v>
      </c>
      <c r="CJ37" s="146">
        <v>0</v>
      </c>
      <c r="CK37" s="146">
        <v>0</v>
      </c>
      <c r="CL37" s="146">
        <v>0</v>
      </c>
      <c r="CM37" s="146">
        <v>0</v>
      </c>
      <c r="CN37" s="146">
        <v>0</v>
      </c>
      <c r="CO37" s="146">
        <v>0</v>
      </c>
      <c r="CP37" s="146">
        <v>0</v>
      </c>
      <c r="CQ37" s="146">
        <v>0</v>
      </c>
      <c r="CR37" s="146">
        <v>0</v>
      </c>
      <c r="CS37" s="146">
        <v>0</v>
      </c>
      <c r="CT37" s="146">
        <v>0</v>
      </c>
      <c r="CU37" s="146">
        <v>0</v>
      </c>
      <c r="CV37" s="146">
        <v>0</v>
      </c>
    </row>
    <row r="38" spans="1:100" customFormat="1" x14ac:dyDescent="0.15">
      <c r="A38" s="182" t="s">
        <v>228</v>
      </c>
      <c r="B38" s="146">
        <v>0</v>
      </c>
      <c r="C38" s="146">
        <v>1.5573088898463459E-2</v>
      </c>
      <c r="D38" s="146">
        <v>6.1879325975981794E-3</v>
      </c>
      <c r="E38" s="146">
        <v>0</v>
      </c>
      <c r="F38" s="146">
        <v>0</v>
      </c>
      <c r="G38" s="146">
        <v>0</v>
      </c>
      <c r="H38" s="146">
        <v>0</v>
      </c>
      <c r="I38" s="146">
        <v>0</v>
      </c>
      <c r="J38" s="146">
        <v>5.5753000938490269E-2</v>
      </c>
      <c r="K38" s="146">
        <v>0</v>
      </c>
      <c r="L38" s="146">
        <v>0</v>
      </c>
      <c r="M38" s="146">
        <v>0</v>
      </c>
      <c r="N38" s="146">
        <v>1.0291925882207013E-3</v>
      </c>
      <c r="O38" s="146">
        <v>1.0084386671187115E-4</v>
      </c>
      <c r="P38" s="146">
        <v>0</v>
      </c>
      <c r="Q38" s="146">
        <v>0</v>
      </c>
      <c r="R38" s="146">
        <v>0</v>
      </c>
      <c r="S38" s="146">
        <v>0</v>
      </c>
      <c r="T38" s="146">
        <v>2.0000000000000001E-4</v>
      </c>
      <c r="U38" s="146">
        <v>4.9999618307373028E-4</v>
      </c>
      <c r="V38" s="146">
        <v>1.2999879532570357E-3</v>
      </c>
      <c r="W38" s="146">
        <v>0</v>
      </c>
      <c r="X38" s="146">
        <v>0</v>
      </c>
      <c r="Y38" s="146">
        <v>0</v>
      </c>
      <c r="Z38" s="146">
        <v>0</v>
      </c>
      <c r="AA38" s="146">
        <v>0</v>
      </c>
      <c r="AB38" s="146">
        <v>0</v>
      </c>
      <c r="AC38" s="146">
        <v>0</v>
      </c>
      <c r="AD38" s="146">
        <v>0</v>
      </c>
      <c r="AE38" s="146">
        <v>0</v>
      </c>
      <c r="AF38" s="146">
        <v>0</v>
      </c>
      <c r="AG38" s="146">
        <v>0</v>
      </c>
      <c r="AH38" s="146">
        <v>0</v>
      </c>
      <c r="AI38" s="146">
        <v>0</v>
      </c>
      <c r="AJ38" s="146">
        <v>0</v>
      </c>
      <c r="AK38" s="146">
        <v>2.6999914550713934E-3</v>
      </c>
      <c r="AL38" s="146">
        <v>0</v>
      </c>
      <c r="AM38" s="146">
        <v>4.1999999999999989E-3</v>
      </c>
      <c r="AN38" s="146">
        <v>8.9999999245349998E-4</v>
      </c>
      <c r="AO38" s="146">
        <v>2.0000000000000001E-4</v>
      </c>
      <c r="AP38" s="146">
        <v>2.9999999999999997E-4</v>
      </c>
      <c r="AQ38" s="146">
        <v>1.0000009213094902E-4</v>
      </c>
      <c r="AR38" s="146">
        <v>0</v>
      </c>
      <c r="AS38" s="146">
        <v>1.9999846897218433E-5</v>
      </c>
      <c r="AT38" s="146">
        <v>0</v>
      </c>
      <c r="AU38" s="146">
        <v>0</v>
      </c>
      <c r="AV38" s="146">
        <v>0</v>
      </c>
      <c r="AW38" s="146">
        <v>0</v>
      </c>
      <c r="AX38" s="146">
        <v>0</v>
      </c>
      <c r="AY38" s="146">
        <v>0</v>
      </c>
      <c r="AZ38" s="146">
        <v>0</v>
      </c>
      <c r="BA38" s="146">
        <v>3.0239808916102741E-4</v>
      </c>
      <c r="BB38" s="146">
        <v>3.9999996444162752E-5</v>
      </c>
      <c r="BC38" s="146">
        <v>1.800005026452873E-3</v>
      </c>
      <c r="BD38" s="146">
        <v>2.9999899841990529E-4</v>
      </c>
      <c r="BE38" s="146">
        <v>0</v>
      </c>
      <c r="BF38" s="146">
        <v>0</v>
      </c>
      <c r="BG38" s="146">
        <v>2.0000031175472959E-3</v>
      </c>
      <c r="BH38" s="146">
        <v>0</v>
      </c>
      <c r="BI38" s="146">
        <v>1.399999999762E-3</v>
      </c>
      <c r="BJ38" s="146">
        <v>0</v>
      </c>
      <c r="BK38" s="146">
        <v>0</v>
      </c>
      <c r="BL38" s="146">
        <v>0</v>
      </c>
      <c r="BM38" s="146">
        <v>0</v>
      </c>
      <c r="BN38" s="146">
        <v>0</v>
      </c>
      <c r="BO38" s="146">
        <v>0</v>
      </c>
      <c r="BP38" s="146">
        <v>0</v>
      </c>
      <c r="BQ38" s="146">
        <v>0</v>
      </c>
      <c r="BR38" s="146">
        <v>0</v>
      </c>
      <c r="BS38" s="146">
        <v>0</v>
      </c>
      <c r="BT38" s="146">
        <v>0</v>
      </c>
      <c r="BU38" s="146">
        <v>0</v>
      </c>
      <c r="BV38" s="146">
        <v>0</v>
      </c>
      <c r="BW38" s="146">
        <v>0</v>
      </c>
      <c r="BX38" s="146">
        <v>0</v>
      </c>
      <c r="BY38" s="146">
        <v>0</v>
      </c>
      <c r="BZ38" s="146">
        <v>0</v>
      </c>
      <c r="CA38" s="146">
        <v>0</v>
      </c>
      <c r="CB38" s="146">
        <v>0</v>
      </c>
      <c r="CC38" s="146">
        <v>0</v>
      </c>
      <c r="CD38" s="146">
        <v>0</v>
      </c>
      <c r="CE38" s="146">
        <v>0</v>
      </c>
      <c r="CF38" s="146">
        <v>0</v>
      </c>
      <c r="CG38" s="146">
        <v>0</v>
      </c>
      <c r="CH38" s="146">
        <v>0</v>
      </c>
      <c r="CI38" s="146">
        <v>0</v>
      </c>
      <c r="CJ38" s="146">
        <v>0</v>
      </c>
      <c r="CK38" s="146">
        <v>0</v>
      </c>
      <c r="CL38" s="146">
        <v>4.0001997749487518E-4</v>
      </c>
      <c r="CM38" s="146">
        <v>0</v>
      </c>
      <c r="CN38" s="146">
        <v>0</v>
      </c>
      <c r="CO38" s="146">
        <v>0</v>
      </c>
      <c r="CP38" s="146">
        <v>0</v>
      </c>
      <c r="CQ38" s="146">
        <v>0</v>
      </c>
      <c r="CR38" s="146">
        <v>0</v>
      </c>
      <c r="CS38" s="146">
        <v>0</v>
      </c>
      <c r="CT38" s="146">
        <v>0</v>
      </c>
      <c r="CU38" s="146">
        <v>0</v>
      </c>
      <c r="CV38" s="146">
        <v>0</v>
      </c>
    </row>
    <row r="39" spans="1:100" x14ac:dyDescent="0.15">
      <c r="A39" s="182" t="s">
        <v>229</v>
      </c>
      <c r="B39" s="146">
        <v>0</v>
      </c>
      <c r="C39" s="146">
        <v>1.038205993230897E-3</v>
      </c>
      <c r="D39" s="146">
        <v>0</v>
      </c>
      <c r="E39" s="146">
        <v>0</v>
      </c>
      <c r="F39" s="146">
        <v>0</v>
      </c>
      <c r="G39" s="146">
        <v>0</v>
      </c>
      <c r="H39" s="146">
        <v>0</v>
      </c>
      <c r="I39" s="146">
        <v>0</v>
      </c>
      <c r="J39" s="146">
        <v>0</v>
      </c>
      <c r="K39" s="146">
        <v>0</v>
      </c>
      <c r="L39" s="146">
        <v>0</v>
      </c>
      <c r="M39" s="146">
        <v>0</v>
      </c>
      <c r="N39" s="146">
        <v>5.1459629911035061E-4</v>
      </c>
      <c r="O39" s="146">
        <v>1.0084386771187118E-3</v>
      </c>
      <c r="P39" s="146">
        <v>0</v>
      </c>
      <c r="Q39" s="146">
        <v>0</v>
      </c>
      <c r="R39" s="146">
        <v>0</v>
      </c>
      <c r="S39" s="146">
        <v>0</v>
      </c>
      <c r="T39" s="146">
        <v>1E-3</v>
      </c>
      <c r="U39" s="146">
        <v>9.9999236614746055E-4</v>
      </c>
      <c r="V39" s="146">
        <v>4.9999478202195785E-4</v>
      </c>
      <c r="W39" s="146">
        <v>6.0000131250453137E-3</v>
      </c>
      <c r="X39" s="146">
        <v>0</v>
      </c>
      <c r="Y39" s="146">
        <v>0</v>
      </c>
      <c r="Z39" s="146">
        <v>1.0000022555338872E-4</v>
      </c>
      <c r="AA39" s="146">
        <v>0</v>
      </c>
      <c r="AB39" s="146">
        <v>1E-4</v>
      </c>
      <c r="AC39" s="146">
        <v>1E-4</v>
      </c>
      <c r="AD39" s="146">
        <v>1E-4</v>
      </c>
      <c r="AE39" s="146">
        <v>1.0000000000000002E-4</v>
      </c>
      <c r="AF39" s="146">
        <v>0</v>
      </c>
      <c r="AG39" s="146">
        <v>0</v>
      </c>
      <c r="AH39" s="146">
        <v>0</v>
      </c>
      <c r="AI39" s="146">
        <v>0</v>
      </c>
      <c r="AJ39" s="146">
        <v>0</v>
      </c>
      <c r="AK39" s="146">
        <v>1.9999936163491803E-2</v>
      </c>
      <c r="AL39" s="146">
        <v>6.3999738704993391E-3</v>
      </c>
      <c r="AM39" s="146">
        <v>9.9999999999999985E-3</v>
      </c>
      <c r="AN39" s="146">
        <v>8.4999999287275003E-11</v>
      </c>
      <c r="AO39" s="146">
        <v>0</v>
      </c>
      <c r="AP39" s="146">
        <v>0</v>
      </c>
      <c r="AQ39" s="146">
        <v>3.0000030039284713E-4</v>
      </c>
      <c r="AR39" s="146">
        <v>0</v>
      </c>
      <c r="AS39" s="146">
        <v>8.3999480828318636E-11</v>
      </c>
      <c r="AT39" s="146">
        <v>0</v>
      </c>
      <c r="AU39" s="146">
        <v>0</v>
      </c>
      <c r="AV39" s="146">
        <v>0</v>
      </c>
      <c r="AW39" s="146">
        <v>0</v>
      </c>
      <c r="AX39" s="146">
        <v>0</v>
      </c>
      <c r="AY39" s="146">
        <v>0</v>
      </c>
      <c r="AZ39" s="146">
        <v>0</v>
      </c>
      <c r="BA39" s="146">
        <v>8.8703431807234546E-11</v>
      </c>
      <c r="BB39" s="146">
        <v>0</v>
      </c>
      <c r="BC39" s="146">
        <v>8.4000301234468384E-11</v>
      </c>
      <c r="BD39" s="146">
        <v>0</v>
      </c>
      <c r="BE39" s="146">
        <v>0</v>
      </c>
      <c r="BF39" s="146">
        <v>0</v>
      </c>
      <c r="BG39" s="146">
        <v>1.5000023381604717E-10</v>
      </c>
      <c r="BH39" s="146">
        <v>0</v>
      </c>
      <c r="BI39" s="146">
        <v>8.3999999985719988E-11</v>
      </c>
      <c r="BJ39" s="146">
        <v>0</v>
      </c>
      <c r="BK39" s="146">
        <v>0</v>
      </c>
      <c r="BL39" s="146">
        <v>0</v>
      </c>
      <c r="BM39" s="146">
        <v>0</v>
      </c>
      <c r="BN39" s="146">
        <v>0</v>
      </c>
      <c r="BO39" s="146">
        <v>0</v>
      </c>
      <c r="BP39" s="146">
        <v>0</v>
      </c>
      <c r="BQ39" s="146">
        <v>0</v>
      </c>
      <c r="BR39" s="146">
        <v>0</v>
      </c>
      <c r="BS39" s="146">
        <v>0</v>
      </c>
      <c r="BT39" s="146">
        <v>0</v>
      </c>
      <c r="BU39" s="146">
        <v>0</v>
      </c>
      <c r="BV39" s="146">
        <v>0</v>
      </c>
      <c r="BW39" s="146">
        <v>0</v>
      </c>
      <c r="BX39" s="146">
        <v>0</v>
      </c>
      <c r="BY39" s="146">
        <v>0</v>
      </c>
      <c r="BZ39" s="146">
        <v>0</v>
      </c>
      <c r="CA39" s="146">
        <v>0</v>
      </c>
      <c r="CB39" s="146">
        <v>0</v>
      </c>
      <c r="CC39" s="146">
        <v>0</v>
      </c>
      <c r="CD39" s="146">
        <v>0</v>
      </c>
      <c r="CE39" s="146">
        <v>0</v>
      </c>
      <c r="CF39" s="146">
        <v>0</v>
      </c>
      <c r="CG39" s="146">
        <v>0</v>
      </c>
      <c r="CH39" s="146">
        <v>0</v>
      </c>
      <c r="CI39" s="146">
        <v>0</v>
      </c>
      <c r="CJ39" s="146">
        <v>0</v>
      </c>
      <c r="CK39" s="146">
        <v>0</v>
      </c>
      <c r="CL39" s="146">
        <v>0</v>
      </c>
      <c r="CM39" s="146">
        <v>0</v>
      </c>
      <c r="CN39" s="146">
        <v>0</v>
      </c>
      <c r="CO39" s="146">
        <v>0</v>
      </c>
      <c r="CP39" s="146">
        <v>0</v>
      </c>
      <c r="CQ39" s="146">
        <v>0</v>
      </c>
      <c r="CR39" s="146">
        <v>0</v>
      </c>
      <c r="CS39" s="146">
        <v>0</v>
      </c>
      <c r="CT39" s="146">
        <v>0</v>
      </c>
      <c r="CU39" s="146">
        <v>0</v>
      </c>
      <c r="CV39" s="146">
        <v>0</v>
      </c>
    </row>
    <row r="40" spans="1:100" x14ac:dyDescent="0.15">
      <c r="A40" s="182" t="s">
        <v>230</v>
      </c>
      <c r="B40" s="146">
        <v>1.7081275897214202E-2</v>
      </c>
      <c r="C40" s="146">
        <v>1.0382058932308976E-2</v>
      </c>
      <c r="D40" s="146">
        <v>0</v>
      </c>
      <c r="E40" s="146">
        <v>0</v>
      </c>
      <c r="F40" s="146">
        <v>0</v>
      </c>
      <c r="G40" s="146">
        <v>0</v>
      </c>
      <c r="H40" s="146">
        <v>0</v>
      </c>
      <c r="I40" s="146">
        <v>0</v>
      </c>
      <c r="J40" s="146">
        <v>0</v>
      </c>
      <c r="K40" s="146">
        <v>1.0139860509188105E-3</v>
      </c>
      <c r="L40" s="146">
        <v>0</v>
      </c>
      <c r="M40" s="146">
        <v>0</v>
      </c>
      <c r="N40" s="146">
        <v>3.0000129948134883E-3</v>
      </c>
      <c r="O40" s="146">
        <v>1.0084386771187118E-3</v>
      </c>
      <c r="P40" s="146">
        <v>0</v>
      </c>
      <c r="Q40" s="146">
        <v>0</v>
      </c>
      <c r="R40" s="146">
        <v>0</v>
      </c>
      <c r="S40" s="146">
        <v>0</v>
      </c>
      <c r="T40" s="146">
        <v>1.0000000000000001E-5</v>
      </c>
      <c r="U40" s="146">
        <v>4.9999718307369647E-4</v>
      </c>
      <c r="V40" s="146">
        <v>2.8999728957272417E-3</v>
      </c>
      <c r="W40" s="146">
        <v>0</v>
      </c>
      <c r="X40" s="146">
        <v>1.7999999999999999E-2</v>
      </c>
      <c r="Y40" s="146">
        <v>0</v>
      </c>
      <c r="Z40" s="146">
        <v>0</v>
      </c>
      <c r="AA40" s="146">
        <v>0</v>
      </c>
      <c r="AB40" s="146">
        <v>0</v>
      </c>
      <c r="AC40" s="146">
        <v>0</v>
      </c>
      <c r="AD40" s="146">
        <v>0</v>
      </c>
      <c r="AE40" s="146">
        <v>0</v>
      </c>
      <c r="AF40" s="146">
        <v>0</v>
      </c>
      <c r="AG40" s="146">
        <v>0</v>
      </c>
      <c r="AH40" s="146">
        <v>0</v>
      </c>
      <c r="AI40" s="146">
        <v>0</v>
      </c>
      <c r="AJ40" s="146">
        <v>0</v>
      </c>
      <c r="AK40" s="146">
        <v>4.9999839908729515E-6</v>
      </c>
      <c r="AL40" s="146">
        <v>0</v>
      </c>
      <c r="AM40" s="146">
        <v>7.9999999999999982E-4</v>
      </c>
      <c r="AN40" s="146">
        <v>2.9999999748450001E-4</v>
      </c>
      <c r="AO40" s="146">
        <v>1E-4</v>
      </c>
      <c r="AP40" s="146">
        <v>4.0000000000000002E-4</v>
      </c>
      <c r="AQ40" s="146">
        <v>9.0000085917854122E-4</v>
      </c>
      <c r="AR40" s="146">
        <v>0</v>
      </c>
      <c r="AS40" s="146">
        <v>0</v>
      </c>
      <c r="AT40" s="146">
        <v>0</v>
      </c>
      <c r="AU40" s="146">
        <v>0</v>
      </c>
      <c r="AV40" s="146">
        <v>0</v>
      </c>
      <c r="AW40" s="146">
        <v>0</v>
      </c>
      <c r="AX40" s="146">
        <v>0</v>
      </c>
      <c r="AY40" s="146">
        <v>0</v>
      </c>
      <c r="AZ40" s="146">
        <v>0</v>
      </c>
      <c r="BA40" s="146">
        <v>5.0399675426837774E-5</v>
      </c>
      <c r="BB40" s="146">
        <v>9.9999992610406931E-5</v>
      </c>
      <c r="BC40" s="146">
        <v>5.0000100734801458E-4</v>
      </c>
      <c r="BD40" s="146">
        <v>9.9999699473301589E-5</v>
      </c>
      <c r="BE40" s="146">
        <v>0</v>
      </c>
      <c r="BF40" s="146">
        <v>0</v>
      </c>
      <c r="BG40" s="146">
        <v>0</v>
      </c>
      <c r="BH40" s="146">
        <v>0</v>
      </c>
      <c r="BI40" s="146">
        <v>0</v>
      </c>
      <c r="BJ40" s="146">
        <v>0</v>
      </c>
      <c r="BK40" s="146">
        <v>0</v>
      </c>
      <c r="BL40" s="146">
        <v>0</v>
      </c>
      <c r="BM40" s="146">
        <v>0</v>
      </c>
      <c r="BN40" s="146">
        <v>0</v>
      </c>
      <c r="BO40" s="146">
        <v>0</v>
      </c>
      <c r="BP40" s="146">
        <v>0</v>
      </c>
      <c r="BQ40" s="146">
        <v>0</v>
      </c>
      <c r="BR40" s="146">
        <v>0</v>
      </c>
      <c r="BS40" s="146">
        <v>0</v>
      </c>
      <c r="BT40" s="146">
        <v>0</v>
      </c>
      <c r="BU40" s="146">
        <v>0</v>
      </c>
      <c r="BV40" s="146">
        <v>0</v>
      </c>
      <c r="BW40" s="146">
        <v>0</v>
      </c>
      <c r="BX40" s="146">
        <v>2.0000000000000004E-4</v>
      </c>
      <c r="BY40" s="146">
        <v>0</v>
      </c>
      <c r="BZ40" s="146">
        <v>0</v>
      </c>
      <c r="CA40" s="146">
        <v>0</v>
      </c>
      <c r="CB40" s="146">
        <v>0</v>
      </c>
      <c r="CC40" s="146">
        <v>0</v>
      </c>
      <c r="CD40" s="146">
        <v>0</v>
      </c>
      <c r="CE40" s="146">
        <v>0</v>
      </c>
      <c r="CF40" s="146">
        <v>0</v>
      </c>
      <c r="CG40" s="146">
        <v>0</v>
      </c>
      <c r="CH40" s="146">
        <v>0</v>
      </c>
      <c r="CI40" s="146">
        <v>0</v>
      </c>
      <c r="CJ40" s="146">
        <v>0</v>
      </c>
      <c r="CK40" s="146">
        <v>0</v>
      </c>
      <c r="CL40" s="146">
        <v>7.0003494661603164E-4</v>
      </c>
      <c r="CM40" s="146">
        <v>0</v>
      </c>
      <c r="CN40" s="146">
        <v>0</v>
      </c>
      <c r="CO40" s="146">
        <v>0</v>
      </c>
      <c r="CP40" s="146">
        <v>0</v>
      </c>
      <c r="CQ40" s="146">
        <v>0</v>
      </c>
      <c r="CR40" s="146">
        <v>0</v>
      </c>
      <c r="CS40" s="146">
        <v>0</v>
      </c>
      <c r="CT40" s="146">
        <v>0</v>
      </c>
      <c r="CU40" s="146">
        <v>0</v>
      </c>
      <c r="CV40" s="146">
        <v>0</v>
      </c>
    </row>
    <row r="41" spans="1:100" x14ac:dyDescent="0.15">
      <c r="A41" s="182" t="s">
        <v>231</v>
      </c>
      <c r="B41" s="146">
        <v>0</v>
      </c>
      <c r="C41" s="146">
        <v>2.0764117964617947E-2</v>
      </c>
      <c r="D41" s="146">
        <v>0</v>
      </c>
      <c r="E41" s="146">
        <v>0</v>
      </c>
      <c r="F41" s="146">
        <v>1.0565686222766559E-3</v>
      </c>
      <c r="G41" s="146">
        <v>0</v>
      </c>
      <c r="H41" s="146">
        <v>0</v>
      </c>
      <c r="I41" s="146">
        <v>0</v>
      </c>
      <c r="J41" s="146">
        <v>0</v>
      </c>
      <c r="K41" s="146">
        <v>0</v>
      </c>
      <c r="L41" s="146">
        <v>0</v>
      </c>
      <c r="M41" s="146">
        <v>0</v>
      </c>
      <c r="N41" s="146">
        <v>1.0291922782207018E-2</v>
      </c>
      <c r="O41" s="146">
        <v>5.0421931855935522E-3</v>
      </c>
      <c r="P41" s="146">
        <v>0</v>
      </c>
      <c r="Q41" s="146">
        <v>0</v>
      </c>
      <c r="R41" s="146">
        <v>0</v>
      </c>
      <c r="S41" s="146">
        <v>0</v>
      </c>
      <c r="T41" s="146">
        <v>2.0000000000000001E-4</v>
      </c>
      <c r="U41" s="146">
        <v>4.9999718307369647E-5</v>
      </c>
      <c r="V41" s="146">
        <v>7.1999321011159325E-3</v>
      </c>
      <c r="W41" s="146">
        <v>1.0000025108408924E-3</v>
      </c>
      <c r="X41" s="146">
        <v>0</v>
      </c>
      <c r="Y41" s="146">
        <v>0</v>
      </c>
      <c r="Z41" s="146">
        <v>3.0000070766016693E-4</v>
      </c>
      <c r="AA41" s="146">
        <v>0</v>
      </c>
      <c r="AB41" s="146">
        <v>8.6E-3</v>
      </c>
      <c r="AC41" s="146">
        <v>1.2999999999999999E-3</v>
      </c>
      <c r="AD41" s="146">
        <v>4.4000000000000003E-3</v>
      </c>
      <c r="AE41" s="146">
        <v>5.1000000000000012E-3</v>
      </c>
      <c r="AF41" s="146">
        <v>0</v>
      </c>
      <c r="AG41" s="146">
        <v>0</v>
      </c>
      <c r="AH41" s="146">
        <v>0</v>
      </c>
      <c r="AI41" s="146">
        <v>0</v>
      </c>
      <c r="AJ41" s="146">
        <v>0</v>
      </c>
      <c r="AK41" s="146">
        <v>9.9999679817459025E-2</v>
      </c>
      <c r="AL41" s="146">
        <v>4.6999802748979623E-3</v>
      </c>
      <c r="AM41" s="146">
        <v>7.9999999999999988E-2</v>
      </c>
      <c r="AN41" s="146">
        <v>1.1999995299380039E-2</v>
      </c>
      <c r="AO41" s="146">
        <v>0</v>
      </c>
      <c r="AP41" s="146">
        <v>0</v>
      </c>
      <c r="AQ41" s="146">
        <v>1.0000010013094902E-3</v>
      </c>
      <c r="AR41" s="146">
        <v>0</v>
      </c>
      <c r="AS41" s="146">
        <v>9.9999750986097253E-4</v>
      </c>
      <c r="AT41" s="146">
        <v>0</v>
      </c>
      <c r="AU41" s="146">
        <v>0</v>
      </c>
      <c r="AV41" s="146">
        <v>0</v>
      </c>
      <c r="AW41" s="146">
        <v>0</v>
      </c>
      <c r="AX41" s="146">
        <v>0</v>
      </c>
      <c r="AY41" s="146">
        <v>0</v>
      </c>
      <c r="AZ41" s="146">
        <v>0</v>
      </c>
      <c r="BA41" s="146">
        <v>5.0399681026837891E-4</v>
      </c>
      <c r="BB41" s="146">
        <v>0</v>
      </c>
      <c r="BC41" s="146">
        <v>7.0000201028722918E-5</v>
      </c>
      <c r="BD41" s="146">
        <v>0</v>
      </c>
      <c r="BE41" s="146">
        <v>0</v>
      </c>
      <c r="BF41" s="146">
        <v>0</v>
      </c>
      <c r="BG41" s="146">
        <v>2.0000069975472908E-3</v>
      </c>
      <c r="BH41" s="146">
        <v>0</v>
      </c>
      <c r="BI41" s="146">
        <v>4.1999999992859997E-3</v>
      </c>
      <c r="BJ41" s="146">
        <v>9.9999897358002713E-7</v>
      </c>
      <c r="BK41" s="146">
        <v>0</v>
      </c>
      <c r="BL41" s="146">
        <v>0</v>
      </c>
      <c r="BM41" s="146">
        <v>0</v>
      </c>
      <c r="BN41" s="146">
        <v>0</v>
      </c>
      <c r="BO41" s="146">
        <v>0</v>
      </c>
      <c r="BP41" s="146">
        <v>0</v>
      </c>
      <c r="BQ41" s="146">
        <v>0</v>
      </c>
      <c r="BR41" s="146">
        <v>0</v>
      </c>
      <c r="BS41" s="146">
        <v>0</v>
      </c>
      <c r="BT41" s="146">
        <v>0</v>
      </c>
      <c r="BU41" s="146">
        <v>0</v>
      </c>
      <c r="BV41" s="146">
        <v>0</v>
      </c>
      <c r="BW41" s="146">
        <v>0</v>
      </c>
      <c r="BX41" s="146">
        <v>0</v>
      </c>
      <c r="BY41" s="146">
        <v>0</v>
      </c>
      <c r="BZ41" s="146">
        <v>0</v>
      </c>
      <c r="CA41" s="146">
        <v>0</v>
      </c>
      <c r="CB41" s="146">
        <v>0</v>
      </c>
      <c r="CC41" s="146">
        <v>0</v>
      </c>
      <c r="CD41" s="146">
        <v>0</v>
      </c>
      <c r="CE41" s="146">
        <v>0</v>
      </c>
      <c r="CF41" s="146">
        <v>0</v>
      </c>
      <c r="CG41" s="146">
        <v>0</v>
      </c>
      <c r="CH41" s="146">
        <v>0</v>
      </c>
      <c r="CI41" s="146">
        <v>0</v>
      </c>
      <c r="CJ41" s="146">
        <v>0</v>
      </c>
      <c r="CK41" s="146">
        <v>0</v>
      </c>
      <c r="CL41" s="146">
        <v>0</v>
      </c>
      <c r="CM41" s="146">
        <v>0</v>
      </c>
      <c r="CN41" s="146">
        <v>0</v>
      </c>
      <c r="CO41" s="146">
        <v>0</v>
      </c>
      <c r="CP41" s="146">
        <v>0</v>
      </c>
      <c r="CQ41" s="146">
        <v>0</v>
      </c>
      <c r="CR41" s="146">
        <v>0</v>
      </c>
      <c r="CS41" s="146">
        <v>0</v>
      </c>
      <c r="CT41" s="146">
        <v>0</v>
      </c>
      <c r="CU41" s="146">
        <v>0</v>
      </c>
      <c r="CV41" s="146">
        <v>0</v>
      </c>
    </row>
    <row r="42" spans="1:100" x14ac:dyDescent="0.15">
      <c r="A42" s="182" t="s">
        <v>232</v>
      </c>
      <c r="B42" s="146">
        <v>4.6906220816168243E-2</v>
      </c>
      <c r="C42" s="146">
        <v>0.20764119864617936</v>
      </c>
      <c r="D42" s="146">
        <v>0</v>
      </c>
      <c r="E42" s="146">
        <v>0</v>
      </c>
      <c r="F42" s="146">
        <v>1.0565686222766559E-3</v>
      </c>
      <c r="G42" s="146">
        <v>0</v>
      </c>
      <c r="H42" s="146">
        <v>0</v>
      </c>
      <c r="I42" s="146">
        <v>0</v>
      </c>
      <c r="J42" s="146">
        <v>0.12298366607018407</v>
      </c>
      <c r="K42" s="146">
        <v>0</v>
      </c>
      <c r="L42" s="146">
        <v>0</v>
      </c>
      <c r="M42" s="146">
        <v>0</v>
      </c>
      <c r="N42" s="146">
        <v>0</v>
      </c>
      <c r="O42" s="146">
        <v>0</v>
      </c>
      <c r="P42" s="146">
        <v>0</v>
      </c>
      <c r="Q42" s="146">
        <v>0</v>
      </c>
      <c r="R42" s="146">
        <v>0</v>
      </c>
      <c r="S42" s="146">
        <v>0</v>
      </c>
      <c r="T42" s="146">
        <v>0.02</v>
      </c>
      <c r="U42" s="146">
        <v>1.0999915727622075E-3</v>
      </c>
      <c r="V42" s="146">
        <v>1.0899897308078282E-2</v>
      </c>
      <c r="W42" s="146">
        <v>2.0000030416817438E-3</v>
      </c>
      <c r="X42" s="146">
        <v>0</v>
      </c>
      <c r="Y42" s="146">
        <v>0</v>
      </c>
      <c r="Z42" s="146">
        <v>0</v>
      </c>
      <c r="AA42" s="146">
        <v>0</v>
      </c>
      <c r="AB42" s="146">
        <v>5.1000000000000004E-3</v>
      </c>
      <c r="AC42" s="146">
        <v>4.6899999999999997E-2</v>
      </c>
      <c r="AD42" s="146">
        <v>0</v>
      </c>
      <c r="AE42" s="146">
        <v>0</v>
      </c>
      <c r="AF42" s="146">
        <v>0</v>
      </c>
      <c r="AG42" s="146">
        <v>0</v>
      </c>
      <c r="AH42" s="146">
        <v>0</v>
      </c>
      <c r="AI42" s="146">
        <v>0</v>
      </c>
      <c r="AJ42" s="146">
        <v>0</v>
      </c>
      <c r="AK42" s="146">
        <v>1.200996057807683E-2</v>
      </c>
      <c r="AL42" s="146">
        <v>3.9999842790620745E-3</v>
      </c>
      <c r="AM42" s="146">
        <v>0.19628999999999994</v>
      </c>
      <c r="AN42" s="146">
        <v>7.9999999329200011E-4</v>
      </c>
      <c r="AO42" s="146">
        <v>9.0000000000000006E-5</v>
      </c>
      <c r="AP42" s="146">
        <v>1.6000000000000001E-3</v>
      </c>
      <c r="AQ42" s="146">
        <v>0</v>
      </c>
      <c r="AR42" s="146">
        <v>1.0238878295945034E-5</v>
      </c>
      <c r="AS42" s="146">
        <v>0</v>
      </c>
      <c r="AT42" s="146">
        <v>0</v>
      </c>
      <c r="AU42" s="146">
        <v>0</v>
      </c>
      <c r="AV42" s="146">
        <v>0</v>
      </c>
      <c r="AW42" s="146">
        <v>0</v>
      </c>
      <c r="AX42" s="146">
        <v>0</v>
      </c>
      <c r="AY42" s="146">
        <v>0</v>
      </c>
      <c r="AZ42" s="146">
        <v>0</v>
      </c>
      <c r="BA42" s="146">
        <v>3.0239806316102685E-5</v>
      </c>
      <c r="BB42" s="146">
        <v>8.9999992349366204E-4</v>
      </c>
      <c r="BC42" s="146">
        <v>8.000020117568292E-4</v>
      </c>
      <c r="BD42" s="146">
        <v>1.9999899894660526E-4</v>
      </c>
      <c r="BE42" s="146">
        <v>0</v>
      </c>
      <c r="BF42" s="146">
        <v>0</v>
      </c>
      <c r="BG42" s="146">
        <v>3.2700119959898203E-3</v>
      </c>
      <c r="BH42" s="146">
        <v>0</v>
      </c>
      <c r="BI42" s="146">
        <v>0</v>
      </c>
      <c r="BJ42" s="146">
        <v>0</v>
      </c>
      <c r="BK42" s="146">
        <v>0</v>
      </c>
      <c r="BL42" s="146">
        <v>0</v>
      </c>
      <c r="BM42" s="146">
        <v>0</v>
      </c>
      <c r="BN42" s="146">
        <v>0</v>
      </c>
      <c r="BO42" s="146">
        <v>0</v>
      </c>
      <c r="BP42" s="146">
        <v>0</v>
      </c>
      <c r="BQ42" s="146">
        <v>0</v>
      </c>
      <c r="BR42" s="146">
        <v>0</v>
      </c>
      <c r="BS42" s="146">
        <v>0</v>
      </c>
      <c r="BT42" s="146">
        <v>0</v>
      </c>
      <c r="BU42" s="146">
        <v>0</v>
      </c>
      <c r="BV42" s="146">
        <v>0</v>
      </c>
      <c r="BW42" s="146">
        <v>0</v>
      </c>
      <c r="BX42" s="146">
        <v>4.000000000000001E-3</v>
      </c>
      <c r="BY42" s="146">
        <v>0</v>
      </c>
      <c r="BZ42" s="146">
        <v>0</v>
      </c>
      <c r="CA42" s="146">
        <v>0</v>
      </c>
      <c r="CB42" s="146">
        <v>0</v>
      </c>
      <c r="CC42" s="146">
        <v>0</v>
      </c>
      <c r="CD42" s="146">
        <v>0</v>
      </c>
      <c r="CE42" s="146">
        <v>0</v>
      </c>
      <c r="CF42" s="146">
        <v>0</v>
      </c>
      <c r="CG42" s="146">
        <v>0</v>
      </c>
      <c r="CH42" s="146">
        <v>0</v>
      </c>
      <c r="CI42" s="146">
        <v>0</v>
      </c>
      <c r="CJ42" s="146">
        <v>0</v>
      </c>
      <c r="CK42" s="146">
        <v>0</v>
      </c>
      <c r="CL42" s="146">
        <v>4.6002299251910617E-3</v>
      </c>
      <c r="CM42" s="146">
        <v>0</v>
      </c>
      <c r="CN42" s="146">
        <v>0</v>
      </c>
      <c r="CO42" s="146">
        <v>0</v>
      </c>
      <c r="CP42" s="146">
        <v>0</v>
      </c>
      <c r="CQ42" s="146">
        <v>0</v>
      </c>
      <c r="CR42" s="146">
        <v>0</v>
      </c>
      <c r="CS42" s="146">
        <v>0</v>
      </c>
      <c r="CT42" s="146">
        <v>0</v>
      </c>
      <c r="CU42" s="146">
        <v>0</v>
      </c>
      <c r="CV42" s="146">
        <v>0</v>
      </c>
    </row>
    <row r="43" spans="1:100" x14ac:dyDescent="0.15">
      <c r="A43" s="182" t="s">
        <v>233</v>
      </c>
      <c r="B43" s="146">
        <v>0</v>
      </c>
      <c r="C43" s="146">
        <v>0</v>
      </c>
      <c r="D43" s="146">
        <v>0</v>
      </c>
      <c r="E43" s="146">
        <v>0</v>
      </c>
      <c r="F43" s="146">
        <v>0</v>
      </c>
      <c r="G43" s="146">
        <v>0</v>
      </c>
      <c r="H43" s="146">
        <v>0</v>
      </c>
      <c r="I43" s="146">
        <v>0</v>
      </c>
      <c r="J43" s="146">
        <v>0</v>
      </c>
      <c r="K43" s="146">
        <v>3.0419578227564376E-2</v>
      </c>
      <c r="L43" s="146">
        <v>3.9660199634610573E-2</v>
      </c>
      <c r="M43" s="146">
        <v>3.4500000000000003E-2</v>
      </c>
      <c r="N43" s="146">
        <v>5.0000216713558136E-2</v>
      </c>
      <c r="O43" s="146">
        <v>4.5702444182220144E-2</v>
      </c>
      <c r="P43" s="146">
        <v>3.6322433247145021E-2</v>
      </c>
      <c r="Q43" s="146">
        <v>6.3999999999999986E-3</v>
      </c>
      <c r="R43" s="146">
        <v>0</v>
      </c>
      <c r="S43" s="146">
        <v>0</v>
      </c>
      <c r="T43" s="146">
        <v>0</v>
      </c>
      <c r="U43" s="146">
        <v>0</v>
      </c>
      <c r="V43" s="146">
        <v>2.8999728957272417E-3</v>
      </c>
      <c r="W43" s="146">
        <v>0</v>
      </c>
      <c r="X43" s="146">
        <v>0.20280999999999999</v>
      </c>
      <c r="Y43" s="146">
        <v>1.4999999998845002E-3</v>
      </c>
      <c r="Z43" s="146">
        <v>3.0800106786444681E-2</v>
      </c>
      <c r="AA43" s="146">
        <v>2.8419978025033057E-2</v>
      </c>
      <c r="AB43" s="146">
        <v>0</v>
      </c>
      <c r="AC43" s="146">
        <v>0</v>
      </c>
      <c r="AD43" s="146">
        <v>0</v>
      </c>
      <c r="AE43" s="146">
        <v>0</v>
      </c>
      <c r="AF43" s="146">
        <v>1.1999999951004001E-3</v>
      </c>
      <c r="AG43" s="146">
        <v>0</v>
      </c>
      <c r="AH43" s="146">
        <v>0</v>
      </c>
      <c r="AI43" s="146">
        <v>0</v>
      </c>
      <c r="AJ43" s="146">
        <v>3.6000143508076029E-3</v>
      </c>
      <c r="AK43" s="146">
        <v>5.9999804790475423E-3</v>
      </c>
      <c r="AL43" s="146">
        <v>2.2999909534606928E-3</v>
      </c>
      <c r="AM43" s="146">
        <v>0</v>
      </c>
      <c r="AN43" s="146">
        <v>0</v>
      </c>
      <c r="AO43" s="146">
        <v>0</v>
      </c>
      <c r="AP43" s="146">
        <v>0</v>
      </c>
      <c r="AQ43" s="146">
        <v>1.5000014619642354E-2</v>
      </c>
      <c r="AR43" s="146">
        <v>2.047785779188805E-4</v>
      </c>
      <c r="AS43" s="146">
        <v>1.1999928518331259E-3</v>
      </c>
      <c r="AT43" s="146">
        <v>0</v>
      </c>
      <c r="AU43" s="146">
        <v>0</v>
      </c>
      <c r="AV43" s="146">
        <v>0</v>
      </c>
      <c r="AW43" s="146">
        <v>2.7560000000000001E-2</v>
      </c>
      <c r="AX43" s="146">
        <v>6.1000350724953779E-3</v>
      </c>
      <c r="AY43" s="146">
        <v>7.200674022528027E-3</v>
      </c>
      <c r="AZ43" s="146">
        <v>0</v>
      </c>
      <c r="BA43" s="146">
        <v>1.0079936105367576E-3</v>
      </c>
      <c r="BB43" s="146">
        <v>0</v>
      </c>
      <c r="BC43" s="146">
        <v>0</v>
      </c>
      <c r="BD43" s="146">
        <v>0</v>
      </c>
      <c r="BE43" s="146">
        <v>0</v>
      </c>
      <c r="BF43" s="146">
        <v>0</v>
      </c>
      <c r="BG43" s="146">
        <v>6.3890099921648374E-2</v>
      </c>
      <c r="BH43" s="146">
        <v>0</v>
      </c>
      <c r="BI43" s="146">
        <v>5.3999999990820002E-3</v>
      </c>
      <c r="BJ43" s="146">
        <v>0</v>
      </c>
      <c r="BK43" s="146">
        <v>0</v>
      </c>
      <c r="BL43" s="146">
        <v>0</v>
      </c>
      <c r="BM43" s="146">
        <v>0</v>
      </c>
      <c r="BN43" s="146">
        <v>0</v>
      </c>
      <c r="BO43" s="146">
        <v>0</v>
      </c>
      <c r="BP43" s="146">
        <v>0</v>
      </c>
      <c r="BQ43" s="146">
        <v>0</v>
      </c>
      <c r="BR43" s="146">
        <v>0</v>
      </c>
      <c r="BS43" s="146">
        <v>0</v>
      </c>
      <c r="BT43" s="146">
        <v>0</v>
      </c>
      <c r="BU43" s="146">
        <v>0</v>
      </c>
      <c r="BV43" s="146">
        <v>0</v>
      </c>
      <c r="BW43" s="146">
        <v>0</v>
      </c>
      <c r="BX43" s="146">
        <v>0</v>
      </c>
      <c r="BY43" s="146">
        <v>0</v>
      </c>
      <c r="BZ43" s="146">
        <v>0</v>
      </c>
      <c r="CA43" s="146">
        <v>0</v>
      </c>
      <c r="CB43" s="146">
        <v>0</v>
      </c>
      <c r="CC43" s="146">
        <v>0</v>
      </c>
      <c r="CD43" s="146">
        <v>0</v>
      </c>
      <c r="CE43" s="146">
        <v>0</v>
      </c>
      <c r="CF43" s="146">
        <v>0</v>
      </c>
      <c r="CG43" s="146">
        <v>0</v>
      </c>
      <c r="CH43" s="146">
        <v>0</v>
      </c>
      <c r="CI43" s="146">
        <v>0</v>
      </c>
      <c r="CJ43" s="146">
        <v>0</v>
      </c>
      <c r="CK43" s="146">
        <v>0</v>
      </c>
      <c r="CL43" s="146">
        <v>0</v>
      </c>
      <c r="CM43" s="146">
        <v>0</v>
      </c>
      <c r="CN43" s="146">
        <v>0</v>
      </c>
      <c r="CO43" s="146">
        <v>0</v>
      </c>
      <c r="CP43" s="146">
        <v>0</v>
      </c>
      <c r="CQ43" s="146">
        <v>0</v>
      </c>
      <c r="CR43" s="146">
        <v>0</v>
      </c>
      <c r="CS43" s="146">
        <v>0</v>
      </c>
      <c r="CT43" s="146">
        <v>0</v>
      </c>
      <c r="CU43" s="146">
        <v>0</v>
      </c>
      <c r="CV43" s="146">
        <v>0</v>
      </c>
    </row>
    <row r="44" spans="1:100" x14ac:dyDescent="0.15">
      <c r="A44" s="182" t="s">
        <v>234</v>
      </c>
      <c r="B44" s="146">
        <v>0</v>
      </c>
      <c r="C44" s="146">
        <v>0</v>
      </c>
      <c r="D44" s="146">
        <v>0</v>
      </c>
      <c r="E44" s="146">
        <v>0</v>
      </c>
      <c r="F44" s="146">
        <v>0</v>
      </c>
      <c r="G44" s="146">
        <v>0</v>
      </c>
      <c r="H44" s="146">
        <v>0</v>
      </c>
      <c r="I44" s="146">
        <v>0</v>
      </c>
      <c r="J44" s="146">
        <v>0</v>
      </c>
      <c r="K44" s="146">
        <v>1.0139859809188119E-2</v>
      </c>
      <c r="L44" s="146">
        <v>2.2662972791206028E-2</v>
      </c>
      <c r="M44" s="146">
        <v>0.05</v>
      </c>
      <c r="N44" s="146">
        <v>1.0000043482711628E-2</v>
      </c>
      <c r="O44" s="146">
        <v>2.0168772742374209E-2</v>
      </c>
      <c r="P44" s="146">
        <v>1.0260575428572031E-2</v>
      </c>
      <c r="Q44" s="146">
        <v>7.6999999999999985E-3</v>
      </c>
      <c r="R44" s="146">
        <v>3.0000000000000001E-3</v>
      </c>
      <c r="S44" s="146">
        <v>0</v>
      </c>
      <c r="T44" s="146">
        <v>0</v>
      </c>
      <c r="U44" s="146">
        <v>0</v>
      </c>
      <c r="V44" s="146">
        <v>1.7199839381554671E-2</v>
      </c>
      <c r="W44" s="146">
        <v>0</v>
      </c>
      <c r="X44" s="146">
        <v>0.15</v>
      </c>
      <c r="Y44" s="146">
        <v>0.33205999997443142</v>
      </c>
      <c r="Z44" s="146">
        <v>5.4700185996705231E-2</v>
      </c>
      <c r="AA44" s="146">
        <v>6.9689942254453088E-2</v>
      </c>
      <c r="AB44" s="146">
        <v>0</v>
      </c>
      <c r="AC44" s="146">
        <v>0</v>
      </c>
      <c r="AD44" s="146">
        <v>0</v>
      </c>
      <c r="AE44" s="146">
        <v>0</v>
      </c>
      <c r="AF44" s="146">
        <v>1.3999999942838001E-3</v>
      </c>
      <c r="AG44" s="146">
        <v>0</v>
      </c>
      <c r="AH44" s="146">
        <v>5.9999891409313454E-4</v>
      </c>
      <c r="AI44" s="146">
        <v>9.9999769631680858E-5</v>
      </c>
      <c r="AJ44" s="146">
        <v>3.6000143508076029E-3</v>
      </c>
      <c r="AK44" s="146">
        <v>9.5899686024943212E-2</v>
      </c>
      <c r="AL44" s="146">
        <v>0.21704909560810684</v>
      </c>
      <c r="AM44" s="146">
        <v>0</v>
      </c>
      <c r="AN44" s="146">
        <v>0</v>
      </c>
      <c r="AO44" s="146">
        <v>0</v>
      </c>
      <c r="AP44" s="146">
        <v>0</v>
      </c>
      <c r="AQ44" s="146">
        <v>1.3000012817023373E-3</v>
      </c>
      <c r="AR44" s="146">
        <v>2.0477757391890051E-3</v>
      </c>
      <c r="AS44" s="146">
        <v>9.9999450986094289E-4</v>
      </c>
      <c r="AT44" s="146">
        <v>4.9999769938393029E-4</v>
      </c>
      <c r="AU44" s="146">
        <v>3.4001699806054286E-3</v>
      </c>
      <c r="AV44" s="146">
        <v>1E-4</v>
      </c>
      <c r="AW44" s="146">
        <v>2.1190000000000001E-2</v>
      </c>
      <c r="AX44" s="146">
        <v>3.1000180368419155E-2</v>
      </c>
      <c r="AY44" s="146">
        <v>7.7006896240923769E-3</v>
      </c>
      <c r="AZ44" s="146">
        <v>6.0000231515971256E-3</v>
      </c>
      <c r="BA44" s="146">
        <v>2.0159872210735153E-3</v>
      </c>
      <c r="BB44" s="146">
        <v>3.9999984344162437E-3</v>
      </c>
      <c r="BC44" s="146">
        <v>2.100006030861688E-3</v>
      </c>
      <c r="BD44" s="146">
        <v>9.9999699473301597E-4</v>
      </c>
      <c r="BE44" s="146">
        <v>0</v>
      </c>
      <c r="BF44" s="146">
        <v>0</v>
      </c>
      <c r="BG44" s="146">
        <v>1.0000036087736454E-2</v>
      </c>
      <c r="BH44" s="146">
        <v>0</v>
      </c>
      <c r="BI44" s="146">
        <v>5.3999999990820002E-3</v>
      </c>
      <c r="BJ44" s="146">
        <v>0</v>
      </c>
      <c r="BK44" s="146">
        <v>0</v>
      </c>
      <c r="BL44" s="146">
        <v>0</v>
      </c>
      <c r="BM44" s="146">
        <v>0</v>
      </c>
      <c r="BN44" s="146">
        <v>3.400002996905997E-3</v>
      </c>
      <c r="BO44" s="146">
        <v>0</v>
      </c>
      <c r="BP44" s="146">
        <v>0</v>
      </c>
      <c r="BQ44" s="146">
        <v>0</v>
      </c>
      <c r="BR44" s="146">
        <v>0</v>
      </c>
      <c r="BS44" s="146">
        <v>0</v>
      </c>
      <c r="BT44" s="146">
        <v>0</v>
      </c>
      <c r="BU44" s="146">
        <v>6.4199999999999993E-2</v>
      </c>
      <c r="BV44" s="146">
        <v>0</v>
      </c>
      <c r="BW44" s="146">
        <v>0</v>
      </c>
      <c r="BX44" s="146">
        <v>1.0000000000000002E-2</v>
      </c>
      <c r="BY44" s="146">
        <v>2.026342242850857E-3</v>
      </c>
      <c r="BZ44" s="146">
        <v>0</v>
      </c>
      <c r="CA44" s="146">
        <v>0</v>
      </c>
      <c r="CB44" s="146">
        <v>0</v>
      </c>
      <c r="CC44" s="146">
        <v>0</v>
      </c>
      <c r="CD44" s="146">
        <v>0</v>
      </c>
      <c r="CE44" s="146">
        <v>0</v>
      </c>
      <c r="CF44" s="146">
        <v>0</v>
      </c>
      <c r="CG44" s="146">
        <v>0</v>
      </c>
      <c r="CH44" s="146">
        <v>0</v>
      </c>
      <c r="CI44" s="146">
        <v>0</v>
      </c>
      <c r="CJ44" s="146">
        <v>9.9999899462950535E-5</v>
      </c>
      <c r="CK44" s="146">
        <v>0</v>
      </c>
      <c r="CL44" s="146">
        <v>1.1000550421109048E-3</v>
      </c>
      <c r="CM44" s="146">
        <v>0</v>
      </c>
      <c r="CN44" s="146">
        <v>0</v>
      </c>
      <c r="CO44" s="146">
        <v>0</v>
      </c>
      <c r="CP44" s="146">
        <v>0</v>
      </c>
      <c r="CQ44" s="146">
        <v>0</v>
      </c>
      <c r="CR44" s="146">
        <v>0</v>
      </c>
      <c r="CS44" s="146">
        <v>0</v>
      </c>
      <c r="CT44" s="146">
        <v>0</v>
      </c>
      <c r="CU44" s="146">
        <v>0</v>
      </c>
      <c r="CV44" s="146">
        <v>0</v>
      </c>
    </row>
    <row r="45" spans="1:100" x14ac:dyDescent="0.15">
      <c r="A45" s="182" t="s">
        <v>235</v>
      </c>
      <c r="B45" s="146">
        <v>0</v>
      </c>
      <c r="C45" s="146">
        <v>0</v>
      </c>
      <c r="D45" s="146">
        <v>0</v>
      </c>
      <c r="E45" s="146">
        <v>0</v>
      </c>
      <c r="F45" s="146">
        <v>0</v>
      </c>
      <c r="G45" s="146">
        <v>0</v>
      </c>
      <c r="H45" s="146">
        <v>0</v>
      </c>
      <c r="I45" s="146">
        <v>0</v>
      </c>
      <c r="J45" s="146">
        <v>0</v>
      </c>
      <c r="K45" s="146">
        <v>5.0699303845940492E-2</v>
      </c>
      <c r="L45" s="146">
        <v>4.5325945682412057E-2</v>
      </c>
      <c r="M45" s="146">
        <v>2.1000000000000001E-2</v>
      </c>
      <c r="N45" s="146">
        <v>3.0000129948134883E-2</v>
      </c>
      <c r="O45" s="146">
        <v>2.0168772742374209E-2</v>
      </c>
      <c r="P45" s="146">
        <v>1.4999933395579465E-2</v>
      </c>
      <c r="Q45" s="146">
        <v>9.9999999999999985E-3</v>
      </c>
      <c r="R45" s="146">
        <v>5.7999999999999996E-3</v>
      </c>
      <c r="S45" s="146">
        <v>9.9999999989999997E-11</v>
      </c>
      <c r="T45" s="146">
        <v>0</v>
      </c>
      <c r="U45" s="146">
        <v>0</v>
      </c>
      <c r="V45" s="146">
        <v>6.6999377590939597E-11</v>
      </c>
      <c r="W45" s="146">
        <v>0</v>
      </c>
      <c r="X45" s="146">
        <v>7.0000000000000001E-3</v>
      </c>
      <c r="Y45" s="146">
        <v>7.6999999994071008E-11</v>
      </c>
      <c r="Z45" s="146">
        <v>9.7000322476789716E-11</v>
      </c>
      <c r="AA45" s="146">
        <v>8.2999957444677155E-11</v>
      </c>
      <c r="AB45" s="146">
        <v>0</v>
      </c>
      <c r="AC45" s="146">
        <v>0</v>
      </c>
      <c r="AD45" s="146">
        <v>0</v>
      </c>
      <c r="AE45" s="146">
        <v>0</v>
      </c>
      <c r="AF45" s="146">
        <v>8.2999999661111003E-11</v>
      </c>
      <c r="AG45" s="146">
        <v>0</v>
      </c>
      <c r="AH45" s="146">
        <v>0</v>
      </c>
      <c r="AI45" s="146">
        <v>0</v>
      </c>
      <c r="AJ45" s="146">
        <v>1.0000039946687787E-3</v>
      </c>
      <c r="AK45" s="146">
        <v>9.9999679817459018E-4</v>
      </c>
      <c r="AL45" s="146">
        <v>9.9999607976551837E-4</v>
      </c>
      <c r="AM45" s="146">
        <v>0</v>
      </c>
      <c r="AN45" s="146">
        <v>0</v>
      </c>
      <c r="AO45" s="146">
        <v>0</v>
      </c>
      <c r="AP45" s="146">
        <v>0</v>
      </c>
      <c r="AQ45" s="146">
        <v>2.0000018226189804E-2</v>
      </c>
      <c r="AR45" s="146">
        <v>1.0238878695945025E-3</v>
      </c>
      <c r="AS45" s="146">
        <v>9.9999740986097142E-3</v>
      </c>
      <c r="AT45" s="146">
        <v>1.1699957785583956E-2</v>
      </c>
      <c r="AU45" s="146">
        <v>0</v>
      </c>
      <c r="AV45" s="146">
        <v>1E-4</v>
      </c>
      <c r="AW45" s="146">
        <v>0.02</v>
      </c>
      <c r="AX45" s="146">
        <v>2.0000035137688815E-2</v>
      </c>
      <c r="AY45" s="146">
        <v>1.0000895731288801E-2</v>
      </c>
      <c r="AZ45" s="146">
        <v>2.0000076405323735E-2</v>
      </c>
      <c r="BA45" s="146">
        <v>2.0159872210735153E-3</v>
      </c>
      <c r="BB45" s="146">
        <v>1.9999999122081403E-3</v>
      </c>
      <c r="BC45" s="146">
        <v>0</v>
      </c>
      <c r="BD45" s="146">
        <v>0</v>
      </c>
      <c r="BE45" s="146">
        <v>0</v>
      </c>
      <c r="BF45" s="146">
        <v>0</v>
      </c>
      <c r="BG45" s="146">
        <v>1.000001558773648E-2</v>
      </c>
      <c r="BH45" s="146">
        <v>0</v>
      </c>
      <c r="BI45" s="146">
        <v>8.5999999985379997E-11</v>
      </c>
      <c r="BJ45" s="146">
        <v>0</v>
      </c>
      <c r="BK45" s="146">
        <v>0</v>
      </c>
      <c r="BL45" s="146">
        <v>0</v>
      </c>
      <c r="BM45" s="146">
        <v>0</v>
      </c>
      <c r="BN45" s="146">
        <v>0</v>
      </c>
      <c r="BO45" s="146">
        <v>0</v>
      </c>
      <c r="BP45" s="146">
        <v>0</v>
      </c>
      <c r="BQ45" s="146">
        <v>0</v>
      </c>
      <c r="BR45" s="146">
        <v>0</v>
      </c>
      <c r="BS45" s="146">
        <v>0</v>
      </c>
      <c r="BT45" s="146">
        <v>0</v>
      </c>
      <c r="BU45" s="146">
        <v>0</v>
      </c>
      <c r="BV45" s="146">
        <v>0</v>
      </c>
      <c r="BW45" s="146">
        <v>0</v>
      </c>
      <c r="BX45" s="146">
        <v>0</v>
      </c>
      <c r="BY45" s="146">
        <v>0</v>
      </c>
      <c r="BZ45" s="146">
        <v>0</v>
      </c>
      <c r="CA45" s="146">
        <v>0</v>
      </c>
      <c r="CB45" s="146">
        <v>0</v>
      </c>
      <c r="CC45" s="146">
        <v>0</v>
      </c>
      <c r="CD45" s="146">
        <v>0</v>
      </c>
      <c r="CE45" s="146">
        <v>0</v>
      </c>
      <c r="CF45" s="146">
        <v>0</v>
      </c>
      <c r="CG45" s="146">
        <v>0</v>
      </c>
      <c r="CH45" s="146">
        <v>0</v>
      </c>
      <c r="CI45" s="146">
        <v>0</v>
      </c>
      <c r="CJ45" s="146">
        <v>0</v>
      </c>
      <c r="CK45" s="146">
        <v>0</v>
      </c>
      <c r="CL45" s="146">
        <v>0</v>
      </c>
      <c r="CM45" s="146">
        <v>0</v>
      </c>
      <c r="CN45" s="146">
        <v>0</v>
      </c>
      <c r="CO45" s="146">
        <v>0</v>
      </c>
      <c r="CP45" s="146">
        <v>0</v>
      </c>
      <c r="CQ45" s="146">
        <v>0</v>
      </c>
      <c r="CR45" s="146">
        <v>0</v>
      </c>
      <c r="CS45" s="146">
        <v>0</v>
      </c>
      <c r="CT45" s="146">
        <v>0</v>
      </c>
      <c r="CU45" s="146">
        <v>0</v>
      </c>
      <c r="CV45" s="146">
        <v>0</v>
      </c>
    </row>
    <row r="46" spans="1:100" x14ac:dyDescent="0.15">
      <c r="A46" s="182" t="s">
        <v>236</v>
      </c>
      <c r="B46" s="146">
        <v>0</v>
      </c>
      <c r="C46" s="146">
        <v>0</v>
      </c>
      <c r="D46" s="146">
        <v>0</v>
      </c>
      <c r="E46" s="146">
        <v>0</v>
      </c>
      <c r="F46" s="146">
        <v>0</v>
      </c>
      <c r="G46" s="146">
        <v>0</v>
      </c>
      <c r="H46" s="146">
        <v>0</v>
      </c>
      <c r="I46" s="146">
        <v>0</v>
      </c>
      <c r="J46" s="146">
        <v>0</v>
      </c>
      <c r="K46" s="146">
        <v>1.0139859809188119E-2</v>
      </c>
      <c r="L46" s="146">
        <v>0.2060064211020628</v>
      </c>
      <c r="M46" s="146">
        <v>8.5599999999999996E-2</v>
      </c>
      <c r="N46" s="146">
        <v>5.4217845106266579E-2</v>
      </c>
      <c r="O46" s="146">
        <v>9.6810128363396912E-3</v>
      </c>
      <c r="P46" s="146">
        <v>5.1200269643574452E-3</v>
      </c>
      <c r="Q46" s="146">
        <v>4.8359999999999986E-2</v>
      </c>
      <c r="R46" s="146">
        <v>0.05</v>
      </c>
      <c r="S46" s="146">
        <v>0</v>
      </c>
      <c r="T46" s="146">
        <v>0</v>
      </c>
      <c r="U46" s="146">
        <v>2.7139834181240677E-2</v>
      </c>
      <c r="V46" s="146">
        <v>1.699984358874581E-3</v>
      </c>
      <c r="W46" s="146">
        <v>0</v>
      </c>
      <c r="X46" s="146">
        <v>0</v>
      </c>
      <c r="Y46" s="146">
        <v>7.2999999994378992E-2</v>
      </c>
      <c r="Z46" s="146">
        <v>0</v>
      </c>
      <c r="AA46" s="146">
        <v>1.9999985884259674E-2</v>
      </c>
      <c r="AB46" s="146">
        <v>0</v>
      </c>
      <c r="AC46" s="146">
        <v>0</v>
      </c>
      <c r="AD46" s="146">
        <v>0</v>
      </c>
      <c r="AE46" s="146">
        <v>0</v>
      </c>
      <c r="AF46" s="146">
        <v>0</v>
      </c>
      <c r="AG46" s="146">
        <v>0</v>
      </c>
      <c r="AH46" s="146">
        <v>9.9999897648857597E-3</v>
      </c>
      <c r="AI46" s="146">
        <v>3.6999919863721892E-2</v>
      </c>
      <c r="AJ46" s="146">
        <v>0</v>
      </c>
      <c r="AK46" s="146">
        <v>6.499978988134837E-3</v>
      </c>
      <c r="AL46" s="146">
        <v>9.999959797655205E-3</v>
      </c>
      <c r="AM46" s="146">
        <v>0</v>
      </c>
      <c r="AN46" s="146">
        <v>0</v>
      </c>
      <c r="AO46" s="146">
        <v>0</v>
      </c>
      <c r="AP46" s="146">
        <v>0</v>
      </c>
      <c r="AQ46" s="146">
        <v>1.0000009113094902E-2</v>
      </c>
      <c r="AR46" s="146">
        <v>7.1672478571608656E-4</v>
      </c>
      <c r="AS46" s="146">
        <v>9.9999740986097142E-3</v>
      </c>
      <c r="AT46" s="146">
        <v>1.4999992181517834E-2</v>
      </c>
      <c r="AU46" s="146">
        <v>6.8003399612108571E-4</v>
      </c>
      <c r="AV46" s="146">
        <v>4.0000000000000002E-4</v>
      </c>
      <c r="AW46" s="146">
        <v>0</v>
      </c>
      <c r="AX46" s="146">
        <v>1.0000057618844881E-2</v>
      </c>
      <c r="AY46" s="146">
        <v>1.0000895731288801E-2</v>
      </c>
      <c r="AZ46" s="146">
        <v>2.0000076405323735E-2</v>
      </c>
      <c r="BA46" s="146">
        <v>9.0719421848308123E-6</v>
      </c>
      <c r="BB46" s="146">
        <v>1.6099997320275474E-2</v>
      </c>
      <c r="BC46" s="146">
        <v>2.0000100293921465E-4</v>
      </c>
      <c r="BD46" s="146">
        <v>7.9999799578641068E-5</v>
      </c>
      <c r="BE46" s="146">
        <v>0</v>
      </c>
      <c r="BF46" s="146">
        <v>0</v>
      </c>
      <c r="BG46" s="146">
        <v>1.0000036087736454E-2</v>
      </c>
      <c r="BH46" s="146">
        <v>0</v>
      </c>
      <c r="BI46" s="146">
        <v>0</v>
      </c>
      <c r="BJ46" s="146">
        <v>0</v>
      </c>
      <c r="BK46" s="146">
        <v>0</v>
      </c>
      <c r="BL46" s="146">
        <v>0</v>
      </c>
      <c r="BM46" s="146">
        <v>0</v>
      </c>
      <c r="BN46" s="146">
        <v>2.9999999972699993E-4</v>
      </c>
      <c r="BO46" s="146">
        <v>0</v>
      </c>
      <c r="BP46" s="146">
        <v>0</v>
      </c>
      <c r="BQ46" s="146">
        <v>0</v>
      </c>
      <c r="BR46" s="146">
        <v>0</v>
      </c>
      <c r="BS46" s="146">
        <v>0</v>
      </c>
      <c r="BT46" s="146">
        <v>0</v>
      </c>
      <c r="BU46" s="146">
        <v>5.5999999999999999E-3</v>
      </c>
      <c r="BV46" s="146">
        <v>0</v>
      </c>
      <c r="BW46" s="146">
        <v>0</v>
      </c>
      <c r="BX46" s="146">
        <v>0</v>
      </c>
      <c r="BY46" s="146">
        <v>0</v>
      </c>
      <c r="BZ46" s="146">
        <v>0</v>
      </c>
      <c r="CA46" s="146">
        <v>0</v>
      </c>
      <c r="CB46" s="146">
        <v>0</v>
      </c>
      <c r="CC46" s="146">
        <v>0</v>
      </c>
      <c r="CD46" s="146">
        <v>0</v>
      </c>
      <c r="CE46" s="146">
        <v>0</v>
      </c>
      <c r="CF46" s="146">
        <v>0</v>
      </c>
      <c r="CG46" s="146">
        <v>0</v>
      </c>
      <c r="CH46" s="146">
        <v>0</v>
      </c>
      <c r="CI46" s="146">
        <v>0</v>
      </c>
      <c r="CJ46" s="146">
        <v>0</v>
      </c>
      <c r="CK46" s="146">
        <v>0</v>
      </c>
      <c r="CL46" s="146">
        <v>1.000049943737188E-4</v>
      </c>
      <c r="CM46" s="146">
        <v>0</v>
      </c>
      <c r="CN46" s="146">
        <v>0</v>
      </c>
      <c r="CO46" s="146">
        <v>0</v>
      </c>
      <c r="CP46" s="146">
        <v>0</v>
      </c>
      <c r="CQ46" s="146">
        <v>0</v>
      </c>
      <c r="CR46" s="146">
        <v>0</v>
      </c>
      <c r="CS46" s="146">
        <v>0</v>
      </c>
      <c r="CT46" s="146">
        <v>0</v>
      </c>
      <c r="CU46" s="146">
        <v>0</v>
      </c>
      <c r="CV46" s="146">
        <v>0</v>
      </c>
    </row>
    <row r="47" spans="1:100" x14ac:dyDescent="0.15">
      <c r="A47" s="182" t="s">
        <v>237</v>
      </c>
      <c r="B47" s="146">
        <v>0</v>
      </c>
      <c r="C47" s="146">
        <v>0</v>
      </c>
      <c r="D47" s="146">
        <v>0</v>
      </c>
      <c r="E47" s="146">
        <v>0</v>
      </c>
      <c r="F47" s="146">
        <v>0</v>
      </c>
      <c r="G47" s="146">
        <v>0</v>
      </c>
      <c r="H47" s="146">
        <v>0</v>
      </c>
      <c r="I47" s="146">
        <v>0</v>
      </c>
      <c r="J47" s="146">
        <v>0</v>
      </c>
      <c r="K47" s="146">
        <v>3.0419578227564376E-2</v>
      </c>
      <c r="L47" s="146">
        <v>7.1388359342299031E-3</v>
      </c>
      <c r="M47" s="146">
        <v>1.0500000000000001E-2</v>
      </c>
      <c r="N47" s="146">
        <v>2.1407199962990599E-2</v>
      </c>
      <c r="O47" s="146">
        <v>1.6235862497611251E-2</v>
      </c>
      <c r="P47" s="146">
        <v>8.003247944286189E-3</v>
      </c>
      <c r="Q47" s="146">
        <v>2.6379999999999994E-2</v>
      </c>
      <c r="R47" s="146">
        <v>3.6150000000000002E-2</v>
      </c>
      <c r="S47" s="146">
        <v>1.3379999998661999E-2</v>
      </c>
      <c r="T47" s="146">
        <v>0</v>
      </c>
      <c r="U47" s="146">
        <v>0</v>
      </c>
      <c r="V47" s="146">
        <v>1.9999872180875406E-3</v>
      </c>
      <c r="W47" s="146">
        <v>0</v>
      </c>
      <c r="X47" s="146">
        <v>6.2109999999999999E-2</v>
      </c>
      <c r="Y47" s="146">
        <v>2.0199999998444601E-2</v>
      </c>
      <c r="Z47" s="146">
        <v>2.2000072661746105E-3</v>
      </c>
      <c r="AA47" s="146">
        <v>3.0999969045602776E-3</v>
      </c>
      <c r="AB47" s="146">
        <v>0</v>
      </c>
      <c r="AC47" s="146">
        <v>0</v>
      </c>
      <c r="AD47" s="146">
        <v>0</v>
      </c>
      <c r="AE47" s="146">
        <v>0</v>
      </c>
      <c r="AF47" s="146">
        <v>1.9999999918340002E-4</v>
      </c>
      <c r="AG47" s="146">
        <v>2.7000000000000001E-3</v>
      </c>
      <c r="AH47" s="146">
        <v>0</v>
      </c>
      <c r="AI47" s="146">
        <v>0</v>
      </c>
      <c r="AJ47" s="146">
        <v>3.1700126631000282E-2</v>
      </c>
      <c r="AK47" s="146">
        <v>1.9999936163491803E-2</v>
      </c>
      <c r="AL47" s="146">
        <v>4.899979470851067E-3</v>
      </c>
      <c r="AM47" s="146">
        <v>0</v>
      </c>
      <c r="AN47" s="146">
        <v>0</v>
      </c>
      <c r="AO47" s="146">
        <v>0</v>
      </c>
      <c r="AP47" s="146">
        <v>0</v>
      </c>
      <c r="AQ47" s="146">
        <v>2.1000020027499296E-2</v>
      </c>
      <c r="AR47" s="146">
        <v>1.0238878695945025E-3</v>
      </c>
      <c r="AS47" s="146">
        <v>1.9999947597219424E-2</v>
      </c>
      <c r="AT47" s="146">
        <v>9.999963987678594E-4</v>
      </c>
      <c r="AU47" s="146">
        <v>1.1980598731662658E-2</v>
      </c>
      <c r="AV47" s="146">
        <v>5.0000000000000002E-5</v>
      </c>
      <c r="AW47" s="146">
        <v>1.8089999999999998E-2</v>
      </c>
      <c r="AX47" s="146">
        <v>2.3000130273343202E-3</v>
      </c>
      <c r="AY47" s="146">
        <v>7.9007400247182533E-3</v>
      </c>
      <c r="AZ47" s="146">
        <v>1.3000050328460444E-2</v>
      </c>
      <c r="BA47" s="146">
        <v>3.4271780698249712E-3</v>
      </c>
      <c r="BB47" s="146">
        <v>0</v>
      </c>
      <c r="BC47" s="146">
        <v>0</v>
      </c>
      <c r="BD47" s="146">
        <v>0</v>
      </c>
      <c r="BE47" s="146">
        <v>0</v>
      </c>
      <c r="BF47" s="146">
        <v>0</v>
      </c>
      <c r="BG47" s="146">
        <v>7.0600253413419366E-3</v>
      </c>
      <c r="BH47" s="146">
        <v>0</v>
      </c>
      <c r="BI47" s="146">
        <v>5.6999999990310002E-3</v>
      </c>
      <c r="BJ47" s="146">
        <v>9.9999892958002831E-5</v>
      </c>
      <c r="BK47" s="146">
        <v>0</v>
      </c>
      <c r="BL47" s="146">
        <v>0</v>
      </c>
      <c r="BM47" s="146">
        <v>0</v>
      </c>
      <c r="BN47" s="146">
        <v>0</v>
      </c>
      <c r="BO47" s="146">
        <v>0</v>
      </c>
      <c r="BP47" s="146">
        <v>0</v>
      </c>
      <c r="BQ47" s="146">
        <v>0</v>
      </c>
      <c r="BR47" s="146">
        <v>0</v>
      </c>
      <c r="BS47" s="146">
        <v>0</v>
      </c>
      <c r="BT47" s="146">
        <v>0</v>
      </c>
      <c r="BU47" s="146">
        <v>2.6599999999999999E-2</v>
      </c>
      <c r="BV47" s="146">
        <v>0</v>
      </c>
      <c r="BW47" s="146">
        <v>0</v>
      </c>
      <c r="BX47" s="146">
        <v>0</v>
      </c>
      <c r="BY47" s="146">
        <v>0</v>
      </c>
      <c r="BZ47" s="146">
        <v>0</v>
      </c>
      <c r="CA47" s="146">
        <v>0</v>
      </c>
      <c r="CB47" s="146">
        <v>0</v>
      </c>
      <c r="CC47" s="146">
        <v>0</v>
      </c>
      <c r="CD47" s="146">
        <v>0</v>
      </c>
      <c r="CE47" s="146">
        <v>0</v>
      </c>
      <c r="CF47" s="146">
        <v>0</v>
      </c>
      <c r="CG47" s="146">
        <v>0</v>
      </c>
      <c r="CH47" s="146">
        <v>0</v>
      </c>
      <c r="CI47" s="146">
        <v>0</v>
      </c>
      <c r="CJ47" s="146">
        <v>0</v>
      </c>
      <c r="CK47" s="146">
        <v>0</v>
      </c>
      <c r="CL47" s="146">
        <v>0</v>
      </c>
      <c r="CM47" s="146">
        <v>0</v>
      </c>
      <c r="CN47" s="146">
        <v>0</v>
      </c>
      <c r="CO47" s="146">
        <v>0</v>
      </c>
      <c r="CP47" s="146">
        <v>0</v>
      </c>
      <c r="CQ47" s="146">
        <v>0</v>
      </c>
      <c r="CR47" s="146">
        <v>0</v>
      </c>
      <c r="CS47" s="146">
        <v>0</v>
      </c>
      <c r="CT47" s="146">
        <v>0</v>
      </c>
      <c r="CU47" s="146">
        <v>0</v>
      </c>
      <c r="CV47" s="146">
        <v>0</v>
      </c>
    </row>
    <row r="48" spans="1:100" x14ac:dyDescent="0.15">
      <c r="A48" s="182" t="s">
        <v>238</v>
      </c>
      <c r="B48" s="146">
        <v>0</v>
      </c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2.0279719618376237E-2</v>
      </c>
      <c r="L48" s="146">
        <v>4.0794149624163493E-2</v>
      </c>
      <c r="M48" s="146">
        <v>0.06</v>
      </c>
      <c r="N48" s="146">
        <v>3.0000129948134883E-2</v>
      </c>
      <c r="O48" s="146">
        <v>9.458953348166102E-2</v>
      </c>
      <c r="P48" s="146">
        <v>3.8537833531722729E-2</v>
      </c>
      <c r="Q48" s="146">
        <v>2.9999999999999992E-2</v>
      </c>
      <c r="R48" s="146">
        <v>1.2540000000000001E-2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6.7919999999999994E-2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1.7999997822794749E-2</v>
      </c>
      <c r="AI48" s="146">
        <v>1.259999695359169E-3</v>
      </c>
      <c r="AJ48" s="146">
        <v>3.0006121640031361E-2</v>
      </c>
      <c r="AK48" s="146">
        <v>1.7999941467142629E-2</v>
      </c>
      <c r="AL48" s="146">
        <v>2.0453918286123945E-2</v>
      </c>
      <c r="AM48" s="146">
        <v>0</v>
      </c>
      <c r="AN48" s="146">
        <v>0</v>
      </c>
      <c r="AO48" s="146">
        <v>0</v>
      </c>
      <c r="AP48" s="146">
        <v>0</v>
      </c>
      <c r="AQ48" s="146">
        <v>5.0000045465474511E-3</v>
      </c>
      <c r="AR48" s="146">
        <v>1.0238877295945054E-2</v>
      </c>
      <c r="AS48" s="146">
        <v>9.9999740986097142E-3</v>
      </c>
      <c r="AT48" s="146">
        <v>9.9999939876785574E-3</v>
      </c>
      <c r="AU48" s="146">
        <v>8.0003999543657132E-3</v>
      </c>
      <c r="AV48" s="146">
        <v>5.0000000000000001E-3</v>
      </c>
      <c r="AW48" s="146">
        <v>0.03</v>
      </c>
      <c r="AX48" s="146">
        <v>1.05600190254997E-2</v>
      </c>
      <c r="AY48" s="146">
        <v>1.0000895731288801E-2</v>
      </c>
      <c r="AZ48" s="146">
        <v>9.0000342273956757E-3</v>
      </c>
      <c r="BA48" s="146">
        <v>3.0239807116102702E-3</v>
      </c>
      <c r="BB48" s="146">
        <v>7.1999997179493047E-4</v>
      </c>
      <c r="BC48" s="146">
        <v>5.4000000793583982E-4</v>
      </c>
      <c r="BD48" s="146">
        <v>1.1999999936796001E-4</v>
      </c>
      <c r="BE48" s="146">
        <v>0</v>
      </c>
      <c r="BF48" s="146">
        <v>0</v>
      </c>
      <c r="BG48" s="146">
        <v>1.0080016187638371E-2</v>
      </c>
      <c r="BH48" s="146">
        <v>5.9999999999999995E-4</v>
      </c>
      <c r="BI48" s="146">
        <v>2.1599999996327998E-3</v>
      </c>
      <c r="BJ48" s="146">
        <v>1.1399997998812054E-3</v>
      </c>
      <c r="BK48" s="146">
        <v>0</v>
      </c>
      <c r="BL48" s="146">
        <v>0</v>
      </c>
      <c r="BM48" s="146">
        <v>0</v>
      </c>
      <c r="BN48" s="146">
        <v>4.1999999961779999E-4</v>
      </c>
      <c r="BO48" s="146">
        <v>0</v>
      </c>
      <c r="BP48" s="146">
        <v>0</v>
      </c>
      <c r="BQ48" s="146">
        <v>0</v>
      </c>
      <c r="BR48" s="146">
        <v>0</v>
      </c>
      <c r="BS48" s="146">
        <v>0</v>
      </c>
      <c r="BT48" s="146">
        <v>0</v>
      </c>
      <c r="BU48" s="146">
        <v>1.8419999999999999E-2</v>
      </c>
      <c r="BV48" s="146">
        <v>0</v>
      </c>
      <c r="BW48" s="146">
        <v>0</v>
      </c>
      <c r="BX48" s="146">
        <v>0</v>
      </c>
      <c r="BY48" s="146">
        <v>0</v>
      </c>
      <c r="BZ48" s="146">
        <v>0</v>
      </c>
      <c r="CA48" s="146">
        <v>0</v>
      </c>
      <c r="CB48" s="146">
        <v>0</v>
      </c>
      <c r="CC48" s="146">
        <v>0</v>
      </c>
      <c r="CD48" s="146">
        <v>0</v>
      </c>
      <c r="CE48" s="146">
        <v>0</v>
      </c>
      <c r="CF48" s="146">
        <v>0</v>
      </c>
      <c r="CG48" s="146">
        <v>0</v>
      </c>
      <c r="CH48" s="146">
        <v>0</v>
      </c>
      <c r="CI48" s="146">
        <v>0</v>
      </c>
      <c r="CJ48" s="146">
        <v>0</v>
      </c>
      <c r="CK48" s="146">
        <v>0</v>
      </c>
      <c r="CL48" s="146">
        <v>3.6001801514538704E-4</v>
      </c>
      <c r="CM48" s="146">
        <v>0</v>
      </c>
      <c r="CN48" s="146">
        <v>0</v>
      </c>
      <c r="CO48" s="146">
        <v>0</v>
      </c>
      <c r="CP48" s="146">
        <v>0</v>
      </c>
      <c r="CQ48" s="146">
        <v>0</v>
      </c>
      <c r="CR48" s="146">
        <v>0</v>
      </c>
      <c r="CS48" s="146">
        <v>0</v>
      </c>
      <c r="CT48" s="146">
        <v>0</v>
      </c>
      <c r="CU48" s="146">
        <v>0</v>
      </c>
      <c r="CV48" s="146">
        <v>0</v>
      </c>
    </row>
    <row r="49" spans="1:100" x14ac:dyDescent="0.15">
      <c r="A49" s="182" t="s">
        <v>239</v>
      </c>
      <c r="B49" s="146">
        <v>0</v>
      </c>
      <c r="C49" s="146">
        <v>5.191029486154488E-3</v>
      </c>
      <c r="D49" s="146">
        <v>0</v>
      </c>
      <c r="E49" s="146">
        <v>0</v>
      </c>
      <c r="F49" s="146">
        <v>0</v>
      </c>
      <c r="G49" s="146">
        <v>0</v>
      </c>
      <c r="H49" s="146">
        <v>0</v>
      </c>
      <c r="I49" s="146">
        <v>0</v>
      </c>
      <c r="J49" s="146">
        <v>0</v>
      </c>
      <c r="K49" s="146">
        <v>2.0279721018376211E-3</v>
      </c>
      <c r="L49" s="146">
        <v>2.2662982291205943E-4</v>
      </c>
      <c r="M49" s="146">
        <v>2.0000000000000001E-4</v>
      </c>
      <c r="N49" s="146">
        <v>9.2627299839863168E-4</v>
      </c>
      <c r="O49" s="146">
        <v>3.0253165113561535E-4</v>
      </c>
      <c r="P49" s="146">
        <v>2.0521109857144347E-4</v>
      </c>
      <c r="Q49" s="146">
        <v>2.7999999999999995E-3</v>
      </c>
      <c r="R49" s="146">
        <v>0</v>
      </c>
      <c r="S49" s="146">
        <v>0</v>
      </c>
      <c r="T49" s="146">
        <v>0</v>
      </c>
      <c r="U49" s="146">
        <v>0</v>
      </c>
      <c r="V49" s="146">
        <v>2.9999708921316678E-5</v>
      </c>
      <c r="W49" s="146">
        <v>0</v>
      </c>
      <c r="X49" s="146">
        <v>3.5999999999999999E-3</v>
      </c>
      <c r="Y49" s="146">
        <v>1.9999999998460001E-5</v>
      </c>
      <c r="Z49" s="146">
        <v>5.000012127669458E-4</v>
      </c>
      <c r="AA49" s="146">
        <v>1.9999989384259568E-5</v>
      </c>
      <c r="AB49" s="146">
        <v>2.0999999999999999E-3</v>
      </c>
      <c r="AC49" s="146">
        <v>0</v>
      </c>
      <c r="AD49" s="146">
        <v>0</v>
      </c>
      <c r="AE49" s="146">
        <v>0</v>
      </c>
      <c r="AF49" s="146">
        <v>3.999999983668001E-5</v>
      </c>
      <c r="AG49" s="146">
        <v>0</v>
      </c>
      <c r="AH49" s="146">
        <v>0</v>
      </c>
      <c r="AI49" s="146">
        <v>0</v>
      </c>
      <c r="AJ49" s="146">
        <v>1.0000039946687787E-3</v>
      </c>
      <c r="AK49" s="146">
        <v>9.9999679817459015E-5</v>
      </c>
      <c r="AL49" s="146">
        <v>9.9999597976552053E-5</v>
      </c>
      <c r="AM49" s="146">
        <v>0</v>
      </c>
      <c r="AN49" s="146">
        <v>0</v>
      </c>
      <c r="AO49" s="146">
        <v>0</v>
      </c>
      <c r="AP49" s="146">
        <v>0</v>
      </c>
      <c r="AQ49" s="146">
        <v>1.0000010013094902E-3</v>
      </c>
      <c r="AR49" s="146">
        <v>5.1194596279721093E-6</v>
      </c>
      <c r="AS49" s="146">
        <v>9.9999440986094201E-5</v>
      </c>
      <c r="AT49" s="146">
        <v>0</v>
      </c>
      <c r="AU49" s="146">
        <v>0</v>
      </c>
      <c r="AV49" s="146">
        <v>0</v>
      </c>
      <c r="AW49" s="146">
        <v>8.0000000000000004E-4</v>
      </c>
      <c r="AX49" s="146">
        <v>8.0000450950758946E-5</v>
      </c>
      <c r="AY49" s="146">
        <v>1.00008954312888E-4</v>
      </c>
      <c r="AZ49" s="146">
        <v>0</v>
      </c>
      <c r="BA49" s="146">
        <v>4.031973812147018E-5</v>
      </c>
      <c r="BB49" s="146">
        <v>0</v>
      </c>
      <c r="BC49" s="146">
        <v>0</v>
      </c>
      <c r="BD49" s="146">
        <v>0</v>
      </c>
      <c r="BE49" s="146">
        <v>0</v>
      </c>
      <c r="BF49" s="146">
        <v>0</v>
      </c>
      <c r="BG49" s="146">
        <v>1.000001558773648E-2</v>
      </c>
      <c r="BH49" s="146">
        <v>0</v>
      </c>
      <c r="BI49" s="146">
        <v>1.99999999966E-4</v>
      </c>
      <c r="BJ49" s="146">
        <v>0</v>
      </c>
      <c r="BK49" s="146">
        <v>0</v>
      </c>
      <c r="BL49" s="146">
        <v>0</v>
      </c>
      <c r="BM49" s="146">
        <v>0</v>
      </c>
      <c r="BN49" s="146">
        <v>0</v>
      </c>
      <c r="BO49" s="146">
        <v>0</v>
      </c>
      <c r="BP49" s="146">
        <v>0</v>
      </c>
      <c r="BQ49" s="146">
        <v>0</v>
      </c>
      <c r="BR49" s="146">
        <v>0</v>
      </c>
      <c r="BS49" s="146">
        <v>0</v>
      </c>
      <c r="BT49" s="146">
        <v>0</v>
      </c>
      <c r="BU49" s="146">
        <v>0</v>
      </c>
      <c r="BV49" s="146">
        <v>0</v>
      </c>
      <c r="BW49" s="146">
        <v>0</v>
      </c>
      <c r="BX49" s="146">
        <v>0</v>
      </c>
      <c r="BY49" s="146">
        <v>0</v>
      </c>
      <c r="BZ49" s="146">
        <v>0</v>
      </c>
      <c r="CA49" s="146">
        <v>0</v>
      </c>
      <c r="CB49" s="146">
        <v>0</v>
      </c>
      <c r="CC49" s="146">
        <v>0</v>
      </c>
      <c r="CD49" s="146">
        <v>0</v>
      </c>
      <c r="CE49" s="146">
        <v>0</v>
      </c>
      <c r="CF49" s="146">
        <v>0</v>
      </c>
      <c r="CG49" s="146">
        <v>0</v>
      </c>
      <c r="CH49" s="146">
        <v>0</v>
      </c>
      <c r="CI49" s="146">
        <v>0</v>
      </c>
      <c r="CJ49" s="146">
        <v>0</v>
      </c>
      <c r="CK49" s="146">
        <v>0</v>
      </c>
      <c r="CL49" s="146">
        <v>0</v>
      </c>
      <c r="CM49" s="146">
        <v>0</v>
      </c>
      <c r="CN49" s="146">
        <v>0</v>
      </c>
      <c r="CO49" s="146">
        <v>0</v>
      </c>
      <c r="CP49" s="146">
        <v>0</v>
      </c>
      <c r="CQ49" s="146">
        <v>0</v>
      </c>
      <c r="CR49" s="146">
        <v>0</v>
      </c>
      <c r="CS49" s="146">
        <v>0</v>
      </c>
      <c r="CT49" s="146">
        <v>0</v>
      </c>
      <c r="CU49" s="146">
        <v>0</v>
      </c>
      <c r="CV49" s="146">
        <v>0</v>
      </c>
    </row>
    <row r="50" spans="1:100" x14ac:dyDescent="0.15">
      <c r="A50" s="182" t="s">
        <v>240</v>
      </c>
      <c r="B50" s="146">
        <v>0</v>
      </c>
      <c r="C50" s="146">
        <v>0</v>
      </c>
      <c r="D50" s="146">
        <v>3.7127595565589075E-2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7.2043406375449219E-4</v>
      </c>
      <c r="O50" s="146">
        <v>9.0759483340684154E-4</v>
      </c>
      <c r="P50" s="146">
        <v>0</v>
      </c>
      <c r="Q50" s="146">
        <v>1.2999999999999997E-3</v>
      </c>
      <c r="R50" s="146">
        <v>1.1999999999999999E-3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1.9999989384259568E-5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5.9999891409313454E-4</v>
      </c>
      <c r="AI50" s="146">
        <v>9.9999769631680858E-5</v>
      </c>
      <c r="AJ50" s="146">
        <v>0</v>
      </c>
      <c r="AK50" s="146">
        <v>0</v>
      </c>
      <c r="AL50" s="146">
        <v>5.6999762346634838E-3</v>
      </c>
      <c r="AM50" s="146">
        <v>0</v>
      </c>
      <c r="AN50" s="146">
        <v>0</v>
      </c>
      <c r="AO50" s="146">
        <v>0</v>
      </c>
      <c r="AP50" s="146">
        <v>0</v>
      </c>
      <c r="AQ50" s="146">
        <v>1.0000009213094902E-4</v>
      </c>
      <c r="AR50" s="146">
        <v>1.023887799594504E-4</v>
      </c>
      <c r="AS50" s="146">
        <v>9.9999450986094289E-4</v>
      </c>
      <c r="AT50" s="146">
        <v>4.9999769938393029E-4</v>
      </c>
      <c r="AU50" s="146">
        <v>3.4001699806054286E-3</v>
      </c>
      <c r="AV50" s="146">
        <v>1E-4</v>
      </c>
      <c r="AW50" s="146">
        <v>0</v>
      </c>
      <c r="AX50" s="146">
        <v>0</v>
      </c>
      <c r="AY50" s="146">
        <v>2.0001791462577603E-2</v>
      </c>
      <c r="AZ50" s="146">
        <v>3.0000233857988613E-3</v>
      </c>
      <c r="BA50" s="146">
        <v>1.0079935105367554E-4</v>
      </c>
      <c r="BB50" s="146">
        <v>9.9999992610406931E-5</v>
      </c>
      <c r="BC50" s="146">
        <v>2.100006030861688E-3</v>
      </c>
      <c r="BD50" s="146">
        <v>9.9999699473301589E-5</v>
      </c>
      <c r="BE50" s="146">
        <v>0</v>
      </c>
      <c r="BF50" s="146">
        <v>0</v>
      </c>
      <c r="BG50" s="146">
        <v>0</v>
      </c>
      <c r="BH50" s="146">
        <v>0</v>
      </c>
      <c r="BI50" s="146">
        <v>0</v>
      </c>
      <c r="BJ50" s="146">
        <v>0</v>
      </c>
      <c r="BK50" s="146">
        <v>0</v>
      </c>
      <c r="BL50" s="146">
        <v>0</v>
      </c>
      <c r="BM50" s="146">
        <v>0</v>
      </c>
      <c r="BN50" s="146">
        <v>5.0000099954499908E-4</v>
      </c>
      <c r="BO50" s="146">
        <v>0</v>
      </c>
      <c r="BP50" s="146">
        <v>0</v>
      </c>
      <c r="BQ50" s="146">
        <v>0</v>
      </c>
      <c r="BR50" s="146">
        <v>0</v>
      </c>
      <c r="BS50" s="146">
        <v>0</v>
      </c>
      <c r="BT50" s="146">
        <v>0</v>
      </c>
      <c r="BU50" s="146">
        <v>0</v>
      </c>
      <c r="BV50" s="146">
        <v>0</v>
      </c>
      <c r="BW50" s="146">
        <v>0</v>
      </c>
      <c r="BX50" s="146">
        <v>0</v>
      </c>
      <c r="BY50" s="146">
        <v>0</v>
      </c>
      <c r="BZ50" s="146">
        <v>0</v>
      </c>
      <c r="CA50" s="146">
        <v>0</v>
      </c>
      <c r="CB50" s="146">
        <v>0</v>
      </c>
      <c r="CC50" s="146">
        <v>0</v>
      </c>
      <c r="CD50" s="146">
        <v>0</v>
      </c>
      <c r="CE50" s="146">
        <v>0</v>
      </c>
      <c r="CF50" s="146">
        <v>0</v>
      </c>
      <c r="CG50" s="146">
        <v>0</v>
      </c>
      <c r="CH50" s="146">
        <v>0</v>
      </c>
      <c r="CI50" s="146">
        <v>0</v>
      </c>
      <c r="CJ50" s="146">
        <v>0</v>
      </c>
      <c r="CK50" s="146">
        <v>1.0000000000000001E-5</v>
      </c>
      <c r="CL50" s="146">
        <v>1.0000500937371853E-3</v>
      </c>
      <c r="CM50" s="146">
        <v>0</v>
      </c>
      <c r="CN50" s="146">
        <v>0</v>
      </c>
      <c r="CO50" s="146">
        <v>0</v>
      </c>
      <c r="CP50" s="146">
        <v>0</v>
      </c>
      <c r="CQ50" s="146">
        <v>0</v>
      </c>
      <c r="CR50" s="146">
        <v>0</v>
      </c>
      <c r="CS50" s="146">
        <v>0</v>
      </c>
      <c r="CT50" s="146">
        <v>0</v>
      </c>
      <c r="CU50" s="146">
        <v>0</v>
      </c>
      <c r="CV50" s="146">
        <v>0</v>
      </c>
    </row>
    <row r="51" spans="1:100" x14ac:dyDescent="0.15">
      <c r="A51" s="182" t="s">
        <v>241</v>
      </c>
      <c r="B51" s="146">
        <v>0</v>
      </c>
      <c r="C51" s="146">
        <v>0.10382059932308968</v>
      </c>
      <c r="D51" s="146">
        <v>0</v>
      </c>
      <c r="E51" s="146">
        <v>0</v>
      </c>
      <c r="F51" s="146">
        <v>0</v>
      </c>
      <c r="G51" s="146">
        <v>0</v>
      </c>
      <c r="H51" s="146">
        <v>0</v>
      </c>
      <c r="I51" s="146">
        <v>0</v>
      </c>
      <c r="J51" s="146">
        <v>0</v>
      </c>
      <c r="K51" s="146">
        <v>8.1118888473504756E-3</v>
      </c>
      <c r="L51" s="146">
        <v>1.495756196219598E-2</v>
      </c>
      <c r="M51" s="146">
        <v>1.8499999999999999E-2</v>
      </c>
      <c r="N51" s="146">
        <v>5.6708496901960665E-3</v>
      </c>
      <c r="O51" s="146">
        <v>1.1828986435402518E-2</v>
      </c>
      <c r="P51" s="146">
        <v>3.1807780978573316E-3</v>
      </c>
      <c r="Q51" s="146">
        <v>7.9999999999999988E-2</v>
      </c>
      <c r="R51" s="146">
        <v>0.03</v>
      </c>
      <c r="S51" s="146">
        <v>8.6099999991389991E-3</v>
      </c>
      <c r="T51" s="146">
        <v>0</v>
      </c>
      <c r="U51" s="146">
        <v>0</v>
      </c>
      <c r="V51" s="146">
        <v>5.9999424442633113E-4</v>
      </c>
      <c r="W51" s="146">
        <v>0</v>
      </c>
      <c r="X51" s="146">
        <v>5.7000000000000002E-3</v>
      </c>
      <c r="Y51" s="146">
        <v>1.999999999846E-2</v>
      </c>
      <c r="Z51" s="146">
        <v>5.000012127669458E-4</v>
      </c>
      <c r="AA51" s="146">
        <v>5.9999971852778592E-4</v>
      </c>
      <c r="AB51" s="146">
        <v>0</v>
      </c>
      <c r="AC51" s="146">
        <v>0</v>
      </c>
      <c r="AD51" s="146">
        <v>0</v>
      </c>
      <c r="AE51" s="146">
        <v>0</v>
      </c>
      <c r="AF51" s="146">
        <v>3.999999983668001E-5</v>
      </c>
      <c r="AG51" s="146">
        <v>6.4000000000000003E-3</v>
      </c>
      <c r="AH51" s="146">
        <v>0</v>
      </c>
      <c r="AI51" s="146">
        <v>0</v>
      </c>
      <c r="AJ51" s="146">
        <v>2.9000115845394577E-3</v>
      </c>
      <c r="AK51" s="146">
        <v>2.3999924256190167E-3</v>
      </c>
      <c r="AL51" s="146">
        <v>2.2999909534606928E-3</v>
      </c>
      <c r="AM51" s="146">
        <v>0</v>
      </c>
      <c r="AN51" s="146">
        <v>0</v>
      </c>
      <c r="AO51" s="146">
        <v>0</v>
      </c>
      <c r="AP51" s="146">
        <v>0</v>
      </c>
      <c r="AQ51" s="146">
        <v>3.0000028239284705E-3</v>
      </c>
      <c r="AR51" s="146">
        <v>2.0477836591888472E-3</v>
      </c>
      <c r="AS51" s="146">
        <v>1.9999950197219451E-3</v>
      </c>
      <c r="AT51" s="146">
        <v>8.9999659889107364E-5</v>
      </c>
      <c r="AU51" s="146">
        <v>0</v>
      </c>
      <c r="AV51" s="146">
        <v>1E-4</v>
      </c>
      <c r="AW51" s="146">
        <v>8.6999999999999994E-3</v>
      </c>
      <c r="AX51" s="146">
        <v>4.0000235175379588E-3</v>
      </c>
      <c r="AY51" s="146">
        <v>1.0000895731288801E-2</v>
      </c>
      <c r="AZ51" s="146">
        <v>5.0000191263309332E-3</v>
      </c>
      <c r="BA51" s="146">
        <v>1.1087928625904311E-3</v>
      </c>
      <c r="BB51" s="146">
        <v>0</v>
      </c>
      <c r="BC51" s="146">
        <v>0</v>
      </c>
      <c r="BD51" s="146">
        <v>0</v>
      </c>
      <c r="BE51" s="146">
        <v>0</v>
      </c>
      <c r="BF51" s="146">
        <v>0</v>
      </c>
      <c r="BG51" s="146">
        <v>3.6010056655839062E-2</v>
      </c>
      <c r="BH51" s="146">
        <v>0</v>
      </c>
      <c r="BI51" s="146">
        <v>1.0799999998164E-2</v>
      </c>
      <c r="BJ51" s="146">
        <v>9.9999892958002831E-5</v>
      </c>
      <c r="BK51" s="146">
        <v>0</v>
      </c>
      <c r="BL51" s="146">
        <v>0</v>
      </c>
      <c r="BM51" s="146">
        <v>0</v>
      </c>
      <c r="BN51" s="146">
        <v>0</v>
      </c>
      <c r="BO51" s="146">
        <v>0</v>
      </c>
      <c r="BP51" s="146">
        <v>0</v>
      </c>
      <c r="BQ51" s="146">
        <v>0</v>
      </c>
      <c r="BR51" s="146">
        <v>0</v>
      </c>
      <c r="BS51" s="146">
        <v>0</v>
      </c>
      <c r="BT51" s="146">
        <v>0</v>
      </c>
      <c r="BU51" s="146">
        <v>0</v>
      </c>
      <c r="BV51" s="146">
        <v>0</v>
      </c>
      <c r="BW51" s="146">
        <v>0</v>
      </c>
      <c r="BX51" s="146">
        <v>0</v>
      </c>
      <c r="BY51" s="146">
        <v>0</v>
      </c>
      <c r="BZ51" s="146">
        <v>0</v>
      </c>
      <c r="CA51" s="146">
        <v>0</v>
      </c>
      <c r="CB51" s="146">
        <v>0</v>
      </c>
      <c r="CC51" s="146">
        <v>0</v>
      </c>
      <c r="CD51" s="146">
        <v>0</v>
      </c>
      <c r="CE51" s="146">
        <v>0</v>
      </c>
      <c r="CF51" s="146">
        <v>0</v>
      </c>
      <c r="CG51" s="146">
        <v>0</v>
      </c>
      <c r="CH51" s="146">
        <v>0</v>
      </c>
      <c r="CI51" s="146">
        <v>0</v>
      </c>
      <c r="CJ51" s="146">
        <v>0</v>
      </c>
      <c r="CK51" s="146">
        <v>0</v>
      </c>
      <c r="CL51" s="146">
        <v>0</v>
      </c>
      <c r="CM51" s="146">
        <v>0</v>
      </c>
      <c r="CN51" s="146">
        <v>0</v>
      </c>
      <c r="CO51" s="146">
        <v>0</v>
      </c>
      <c r="CP51" s="146">
        <v>0</v>
      </c>
      <c r="CQ51" s="146">
        <v>0</v>
      </c>
      <c r="CR51" s="146">
        <v>0</v>
      </c>
      <c r="CS51" s="146">
        <v>0</v>
      </c>
      <c r="CT51" s="146">
        <v>0</v>
      </c>
      <c r="CU51" s="146">
        <v>0</v>
      </c>
      <c r="CV51" s="146">
        <v>0</v>
      </c>
    </row>
    <row r="52" spans="1:100" x14ac:dyDescent="0.15">
      <c r="A52" s="182" t="s">
        <v>242</v>
      </c>
      <c r="B52" s="146">
        <v>0</v>
      </c>
      <c r="C52" s="146">
        <v>0</v>
      </c>
      <c r="D52" s="146">
        <v>0</v>
      </c>
      <c r="E52" s="146">
        <v>0</v>
      </c>
      <c r="F52" s="146">
        <v>0</v>
      </c>
      <c r="G52" s="146">
        <v>0</v>
      </c>
      <c r="H52" s="146">
        <v>0</v>
      </c>
      <c r="I52" s="146">
        <v>0</v>
      </c>
      <c r="J52" s="146">
        <v>0</v>
      </c>
      <c r="K52" s="146">
        <v>0</v>
      </c>
      <c r="L52" s="146">
        <v>0</v>
      </c>
      <c r="M52" s="146">
        <v>0</v>
      </c>
      <c r="N52" s="146">
        <v>7.2043406375449219E-4</v>
      </c>
      <c r="O52" s="146">
        <v>9.0759483340684154E-4</v>
      </c>
      <c r="P52" s="146">
        <v>0</v>
      </c>
      <c r="Q52" s="146">
        <v>1.2999999999999997E-3</v>
      </c>
      <c r="R52" s="146">
        <v>8.9999999999999998E-4</v>
      </c>
      <c r="S52" s="146">
        <v>0</v>
      </c>
      <c r="T52" s="146">
        <v>0</v>
      </c>
      <c r="U52" s="146">
        <v>0</v>
      </c>
      <c r="V52" s="146">
        <v>0</v>
      </c>
      <c r="W52" s="146">
        <v>0</v>
      </c>
      <c r="X52" s="146">
        <v>0</v>
      </c>
      <c r="Y52" s="146">
        <v>0</v>
      </c>
      <c r="Z52" s="146">
        <v>0</v>
      </c>
      <c r="AA52" s="146">
        <v>0</v>
      </c>
      <c r="AB52" s="146">
        <v>0</v>
      </c>
      <c r="AC52" s="146">
        <v>0</v>
      </c>
      <c r="AD52" s="146">
        <v>0</v>
      </c>
      <c r="AE52" s="146">
        <v>0</v>
      </c>
      <c r="AF52" s="146">
        <v>0</v>
      </c>
      <c r="AG52" s="146">
        <v>0</v>
      </c>
      <c r="AH52" s="146">
        <v>5.9999891409313454E-4</v>
      </c>
      <c r="AI52" s="146">
        <v>9.9999769631680858E-5</v>
      </c>
      <c r="AJ52" s="146">
        <v>0</v>
      </c>
      <c r="AK52" s="146">
        <v>0</v>
      </c>
      <c r="AL52" s="146">
        <v>0</v>
      </c>
      <c r="AM52" s="146">
        <v>0</v>
      </c>
      <c r="AN52" s="146">
        <v>0</v>
      </c>
      <c r="AO52" s="146">
        <v>0</v>
      </c>
      <c r="AP52" s="146">
        <v>0</v>
      </c>
      <c r="AQ52" s="146">
        <v>5.0000045465474511E-3</v>
      </c>
      <c r="AR52" s="146">
        <v>2.0477836591888472E-3</v>
      </c>
      <c r="AS52" s="146">
        <v>0</v>
      </c>
      <c r="AT52" s="146">
        <v>0</v>
      </c>
      <c r="AU52" s="146">
        <v>3.4001699806054286E-3</v>
      </c>
      <c r="AV52" s="146">
        <v>1.1000000000000001E-3</v>
      </c>
      <c r="AW52" s="146">
        <v>0.05</v>
      </c>
      <c r="AX52" s="146">
        <v>0</v>
      </c>
      <c r="AY52" s="146">
        <v>2.5002240078222004E-2</v>
      </c>
      <c r="AZ52" s="146">
        <v>2.0000076405323735E-2</v>
      </c>
      <c r="BA52" s="146">
        <v>1.0079935105367554E-4</v>
      </c>
      <c r="BB52" s="146">
        <v>8.9999992349366204E-4</v>
      </c>
      <c r="BC52" s="146">
        <v>2.100006030861688E-3</v>
      </c>
      <c r="BD52" s="146">
        <v>9.9999699473301597E-4</v>
      </c>
      <c r="BE52" s="146">
        <v>0</v>
      </c>
      <c r="BF52" s="146">
        <v>0</v>
      </c>
      <c r="BG52" s="146">
        <v>1.000001558773648E-2</v>
      </c>
      <c r="BH52" s="146">
        <v>0</v>
      </c>
      <c r="BI52" s="146">
        <v>0</v>
      </c>
      <c r="BJ52" s="146">
        <v>9.9999892958002831E-5</v>
      </c>
      <c r="BK52" s="146">
        <v>0</v>
      </c>
      <c r="BL52" s="146">
        <v>0</v>
      </c>
      <c r="BM52" s="146">
        <v>0</v>
      </c>
      <c r="BN52" s="146">
        <v>1.100000998998999E-3</v>
      </c>
      <c r="BO52" s="146">
        <v>0</v>
      </c>
      <c r="BP52" s="146">
        <v>0</v>
      </c>
      <c r="BQ52" s="146">
        <v>0</v>
      </c>
      <c r="BR52" s="146">
        <v>0</v>
      </c>
      <c r="BS52" s="146">
        <v>0</v>
      </c>
      <c r="BT52" s="146">
        <v>0</v>
      </c>
      <c r="BU52" s="146">
        <v>0</v>
      </c>
      <c r="BV52" s="146">
        <v>0</v>
      </c>
      <c r="BW52" s="146">
        <v>0</v>
      </c>
      <c r="BX52" s="146">
        <v>0</v>
      </c>
      <c r="BY52" s="146">
        <v>0</v>
      </c>
      <c r="BZ52" s="146">
        <v>0</v>
      </c>
      <c r="CA52" s="146">
        <v>0</v>
      </c>
      <c r="CB52" s="146">
        <v>0</v>
      </c>
      <c r="CC52" s="146">
        <v>0</v>
      </c>
      <c r="CD52" s="146">
        <v>0</v>
      </c>
      <c r="CE52" s="146">
        <v>0</v>
      </c>
      <c r="CF52" s="146">
        <v>0</v>
      </c>
      <c r="CG52" s="146">
        <v>0</v>
      </c>
      <c r="CH52" s="146">
        <v>0</v>
      </c>
      <c r="CI52" s="146">
        <v>0</v>
      </c>
      <c r="CJ52" s="146">
        <v>4.999995553147524E-4</v>
      </c>
      <c r="CK52" s="146">
        <v>1E-4</v>
      </c>
      <c r="CL52" s="146">
        <v>3.3001649463327174E-3</v>
      </c>
      <c r="CM52" s="146">
        <v>0</v>
      </c>
      <c r="CN52" s="146">
        <v>0</v>
      </c>
      <c r="CO52" s="146">
        <v>0</v>
      </c>
      <c r="CP52" s="146">
        <v>0</v>
      </c>
      <c r="CQ52" s="146">
        <v>0</v>
      </c>
      <c r="CR52" s="146">
        <v>0</v>
      </c>
      <c r="CS52" s="146">
        <v>0</v>
      </c>
      <c r="CT52" s="146">
        <v>0</v>
      </c>
      <c r="CU52" s="146">
        <v>0</v>
      </c>
      <c r="CV52" s="146">
        <v>0</v>
      </c>
    </row>
    <row r="53" spans="1:100" x14ac:dyDescent="0.15">
      <c r="A53" s="182" t="s">
        <v>243</v>
      </c>
      <c r="B53" s="146">
        <v>0</v>
      </c>
      <c r="C53" s="146">
        <v>0</v>
      </c>
      <c r="D53" s="146">
        <v>0</v>
      </c>
      <c r="E53" s="146">
        <v>0</v>
      </c>
      <c r="F53" s="146">
        <v>0</v>
      </c>
      <c r="G53" s="146">
        <v>0</v>
      </c>
      <c r="H53" s="146">
        <v>0</v>
      </c>
      <c r="I53" s="146">
        <v>0</v>
      </c>
      <c r="J53" s="146">
        <v>0</v>
      </c>
      <c r="K53" s="146">
        <v>4.0559439236752474E-2</v>
      </c>
      <c r="L53" s="146">
        <v>3.7393904855489948E-2</v>
      </c>
      <c r="M53" s="146">
        <v>4.2500000000000003E-2</v>
      </c>
      <c r="N53" s="146">
        <v>3.5239539939076837E-2</v>
      </c>
      <c r="O53" s="146">
        <v>3.5486961306207626E-2</v>
      </c>
      <c r="P53" s="146">
        <v>9.4397289342862713E-3</v>
      </c>
      <c r="Q53" s="146">
        <v>3.1879999999999992E-2</v>
      </c>
      <c r="R53" s="146">
        <v>0</v>
      </c>
      <c r="S53" s="146">
        <v>0</v>
      </c>
      <c r="T53" s="146">
        <v>8.9999999999999998E-4</v>
      </c>
      <c r="U53" s="146">
        <v>9.9999226614746393E-5</v>
      </c>
      <c r="V53" s="146">
        <v>2.9999712221316557E-4</v>
      </c>
      <c r="W53" s="146">
        <v>5.0000125642044621E-4</v>
      </c>
      <c r="X53" s="146">
        <v>3.27E-2</v>
      </c>
      <c r="Y53" s="146">
        <v>3.5389999997274969E-2</v>
      </c>
      <c r="Z53" s="146">
        <v>7.6000268640577908E-3</v>
      </c>
      <c r="AA53" s="146">
        <v>9.9999956921297526E-4</v>
      </c>
      <c r="AB53" s="146">
        <v>5.0000000000000001E-4</v>
      </c>
      <c r="AC53" s="146">
        <v>4.0000000000000002E-4</v>
      </c>
      <c r="AD53" s="146">
        <v>0</v>
      </c>
      <c r="AE53" s="146">
        <v>2.5000000000000005E-3</v>
      </c>
      <c r="AF53" s="146">
        <v>1.9999999918340002E-4</v>
      </c>
      <c r="AG53" s="146">
        <v>0</v>
      </c>
      <c r="AH53" s="146">
        <v>0</v>
      </c>
      <c r="AI53" s="146">
        <v>0</v>
      </c>
      <c r="AJ53" s="146">
        <v>2.9000115845394577E-3</v>
      </c>
      <c r="AK53" s="146">
        <v>2.9999902445237711E-3</v>
      </c>
      <c r="AL53" s="146">
        <v>2.7999886633434589E-3</v>
      </c>
      <c r="AM53" s="146">
        <v>1.2999999999999997E-3</v>
      </c>
      <c r="AN53" s="146">
        <v>1.0999999907765001E-3</v>
      </c>
      <c r="AO53" s="146">
        <v>0</v>
      </c>
      <c r="AP53" s="146">
        <v>0</v>
      </c>
      <c r="AQ53" s="146">
        <v>1.0000009113094902E-2</v>
      </c>
      <c r="AR53" s="146">
        <v>1.0238878595945027E-6</v>
      </c>
      <c r="AS53" s="146">
        <v>9.9999750986097253E-4</v>
      </c>
      <c r="AT53" s="146">
        <v>9.9999649876785925E-7</v>
      </c>
      <c r="AU53" s="146">
        <v>0</v>
      </c>
      <c r="AV53" s="146">
        <v>0</v>
      </c>
      <c r="AW53" s="146">
        <v>0.01</v>
      </c>
      <c r="AX53" s="146">
        <v>4.7100275359759445E-3</v>
      </c>
      <c r="AY53" s="146">
        <v>3.7233483116488664E-2</v>
      </c>
      <c r="AZ53" s="146">
        <v>0</v>
      </c>
      <c r="BA53" s="146">
        <v>5.0399677026837803E-3</v>
      </c>
      <c r="BB53" s="146">
        <v>0</v>
      </c>
      <c r="BC53" s="146">
        <v>1.0000000146959999E-5</v>
      </c>
      <c r="BD53" s="146">
        <v>0</v>
      </c>
      <c r="BE53" s="146">
        <v>0</v>
      </c>
      <c r="BF53" s="146">
        <v>0</v>
      </c>
      <c r="BG53" s="146">
        <v>4.5200159944568776E-3</v>
      </c>
      <c r="BH53" s="146">
        <v>0</v>
      </c>
      <c r="BI53" s="146">
        <v>5.3999999990820002E-3</v>
      </c>
      <c r="BJ53" s="146">
        <v>0</v>
      </c>
      <c r="BK53" s="146">
        <v>0</v>
      </c>
      <c r="BL53" s="146">
        <v>0</v>
      </c>
      <c r="BM53" s="146">
        <v>0</v>
      </c>
      <c r="BN53" s="146">
        <v>0</v>
      </c>
      <c r="BO53" s="146">
        <v>0</v>
      </c>
      <c r="BP53" s="146">
        <v>0</v>
      </c>
      <c r="BQ53" s="146">
        <v>0</v>
      </c>
      <c r="BR53" s="146">
        <v>0</v>
      </c>
      <c r="BS53" s="146">
        <v>0</v>
      </c>
      <c r="BT53" s="146">
        <v>0</v>
      </c>
      <c r="BU53" s="146">
        <v>0</v>
      </c>
      <c r="BV53" s="146">
        <v>0</v>
      </c>
      <c r="BW53" s="146">
        <v>0</v>
      </c>
      <c r="BX53" s="146">
        <v>0</v>
      </c>
      <c r="BY53" s="146">
        <v>0</v>
      </c>
      <c r="BZ53" s="146">
        <v>0</v>
      </c>
      <c r="CA53" s="146">
        <v>0</v>
      </c>
      <c r="CB53" s="146">
        <v>0</v>
      </c>
      <c r="CC53" s="146">
        <v>0</v>
      </c>
      <c r="CD53" s="146">
        <v>0</v>
      </c>
      <c r="CE53" s="146">
        <v>0</v>
      </c>
      <c r="CF53" s="146">
        <v>0</v>
      </c>
      <c r="CG53" s="146">
        <v>0</v>
      </c>
      <c r="CH53" s="146">
        <v>0</v>
      </c>
      <c r="CI53" s="146">
        <v>0</v>
      </c>
      <c r="CJ53" s="146">
        <v>0</v>
      </c>
      <c r="CK53" s="146">
        <v>0</v>
      </c>
      <c r="CL53" s="146">
        <v>0</v>
      </c>
      <c r="CM53" s="146">
        <v>0</v>
      </c>
      <c r="CN53" s="146">
        <v>0</v>
      </c>
      <c r="CO53" s="146">
        <v>0</v>
      </c>
      <c r="CP53" s="146">
        <v>0</v>
      </c>
      <c r="CQ53" s="146">
        <v>0</v>
      </c>
      <c r="CR53" s="146">
        <v>0</v>
      </c>
      <c r="CS53" s="146">
        <v>0</v>
      </c>
      <c r="CT53" s="146">
        <v>0</v>
      </c>
      <c r="CU53" s="146">
        <v>0</v>
      </c>
      <c r="CV53" s="146">
        <v>0</v>
      </c>
    </row>
    <row r="54" spans="1:100" x14ac:dyDescent="0.15">
      <c r="A54" s="182" t="s">
        <v>244</v>
      </c>
      <c r="B54" s="146">
        <v>0</v>
      </c>
      <c r="C54" s="146">
        <v>0.24262873641806063</v>
      </c>
      <c r="D54" s="146">
        <v>0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0.122993821070355</v>
      </c>
      <c r="K54" s="146">
        <v>0</v>
      </c>
      <c r="L54" s="146">
        <v>0</v>
      </c>
      <c r="M54" s="146">
        <v>0</v>
      </c>
      <c r="N54" s="146">
        <v>7.5131025970111244E-4</v>
      </c>
      <c r="O54" s="146">
        <v>1.0084386771187118E-3</v>
      </c>
      <c r="P54" s="146">
        <v>0</v>
      </c>
      <c r="Q54" s="146">
        <v>1.2799999999999999E-3</v>
      </c>
      <c r="R54" s="146">
        <v>8.5999999999999998E-4</v>
      </c>
      <c r="S54" s="146">
        <v>0</v>
      </c>
      <c r="T54" s="146">
        <v>5.0000000000000001E-3</v>
      </c>
      <c r="U54" s="146">
        <v>9.9999236614746055E-4</v>
      </c>
      <c r="V54" s="146">
        <v>0</v>
      </c>
      <c r="W54" s="146">
        <v>0</v>
      </c>
      <c r="X54" s="146">
        <v>0</v>
      </c>
      <c r="Y54" s="146">
        <v>0</v>
      </c>
      <c r="Z54" s="146">
        <v>0</v>
      </c>
      <c r="AA54" s="146">
        <v>1.969998639349577E-2</v>
      </c>
      <c r="AB54" s="146">
        <v>0</v>
      </c>
      <c r="AC54" s="146">
        <v>6.2700000000000006E-2</v>
      </c>
      <c r="AD54" s="146">
        <v>0</v>
      </c>
      <c r="AE54" s="146">
        <v>0</v>
      </c>
      <c r="AF54" s="146">
        <v>0</v>
      </c>
      <c r="AG54" s="146">
        <v>0</v>
      </c>
      <c r="AH54" s="146">
        <v>5.899989768582501E-4</v>
      </c>
      <c r="AI54" s="146">
        <v>3.0199935588767598E-2</v>
      </c>
      <c r="AJ54" s="146">
        <v>0</v>
      </c>
      <c r="AK54" s="146">
        <v>3.9999869926983613E-5</v>
      </c>
      <c r="AL54" s="146">
        <v>0</v>
      </c>
      <c r="AM54" s="146">
        <v>0</v>
      </c>
      <c r="AN54" s="146">
        <v>2.1599989818884085E-3</v>
      </c>
      <c r="AO54" s="146">
        <v>4.4999999999999999E-4</v>
      </c>
      <c r="AP54" s="146">
        <v>3.0699999999999998E-3</v>
      </c>
      <c r="AQ54" s="146">
        <v>2.0000038226189827E-3</v>
      </c>
      <c r="AR54" s="146">
        <v>4.0955514783780102E-3</v>
      </c>
      <c r="AS54" s="146">
        <v>9.9999750986097253E-4</v>
      </c>
      <c r="AT54" s="146">
        <v>6.7799959916460617E-3</v>
      </c>
      <c r="AU54" s="146">
        <v>3.3701686007765563E-3</v>
      </c>
      <c r="AV54" s="146">
        <v>1E-3</v>
      </c>
      <c r="AW54" s="146">
        <v>0</v>
      </c>
      <c r="AX54" s="146">
        <v>0</v>
      </c>
      <c r="AY54" s="146">
        <v>5.0004480156444009E-3</v>
      </c>
      <c r="AZ54" s="146">
        <v>5.0000191263309332E-3</v>
      </c>
      <c r="BA54" s="146">
        <v>7.0559546237572887E-5</v>
      </c>
      <c r="BB54" s="146">
        <v>9.999998261040666E-3</v>
      </c>
      <c r="BC54" s="146">
        <v>3.2400100476151863E-3</v>
      </c>
      <c r="BD54" s="146">
        <v>6.9999799631311052E-4</v>
      </c>
      <c r="BE54" s="146">
        <v>0</v>
      </c>
      <c r="BF54" s="146">
        <v>0</v>
      </c>
      <c r="BG54" s="146">
        <v>0</v>
      </c>
      <c r="BH54" s="146">
        <v>0</v>
      </c>
      <c r="BI54" s="146">
        <v>0</v>
      </c>
      <c r="BJ54" s="146">
        <v>0</v>
      </c>
      <c r="BK54" s="146">
        <v>0</v>
      </c>
      <c r="BL54" s="146">
        <v>0</v>
      </c>
      <c r="BM54" s="146">
        <v>0</v>
      </c>
      <c r="BN54" s="146">
        <v>3.3700029969332967E-3</v>
      </c>
      <c r="BO54" s="146">
        <v>0</v>
      </c>
      <c r="BP54" s="146">
        <v>0</v>
      </c>
      <c r="BQ54" s="146">
        <v>0</v>
      </c>
      <c r="BR54" s="146">
        <v>0</v>
      </c>
      <c r="BS54" s="146">
        <v>0</v>
      </c>
      <c r="BT54" s="146">
        <v>0</v>
      </c>
      <c r="BU54" s="146">
        <v>0</v>
      </c>
      <c r="BV54" s="146">
        <v>0</v>
      </c>
      <c r="BW54" s="146">
        <v>0</v>
      </c>
      <c r="BX54" s="146">
        <v>0</v>
      </c>
      <c r="BY54" s="146">
        <v>0</v>
      </c>
      <c r="BZ54" s="146">
        <v>0</v>
      </c>
      <c r="CA54" s="146">
        <v>0</v>
      </c>
      <c r="CB54" s="146">
        <v>0</v>
      </c>
      <c r="CC54" s="146">
        <v>0</v>
      </c>
      <c r="CD54" s="146">
        <v>0</v>
      </c>
      <c r="CE54" s="146">
        <v>0</v>
      </c>
      <c r="CF54" s="146">
        <v>0</v>
      </c>
      <c r="CG54" s="146">
        <v>0</v>
      </c>
      <c r="CH54" s="146">
        <v>0</v>
      </c>
      <c r="CI54" s="146">
        <v>0</v>
      </c>
      <c r="CJ54" s="146">
        <v>0</v>
      </c>
      <c r="CK54" s="146">
        <v>0</v>
      </c>
      <c r="CL54" s="146">
        <v>5.5302769100666373E-3</v>
      </c>
      <c r="CM54" s="146">
        <v>0</v>
      </c>
      <c r="CN54" s="146">
        <v>0</v>
      </c>
      <c r="CO54" s="146">
        <v>0</v>
      </c>
      <c r="CP54" s="146">
        <v>0</v>
      </c>
      <c r="CQ54" s="146">
        <v>0</v>
      </c>
      <c r="CR54" s="146">
        <v>0</v>
      </c>
      <c r="CS54" s="146">
        <v>0</v>
      </c>
      <c r="CT54" s="146">
        <v>0</v>
      </c>
      <c r="CU54" s="146">
        <v>0</v>
      </c>
      <c r="CV54" s="146">
        <v>0</v>
      </c>
    </row>
    <row r="55" spans="1:100" x14ac:dyDescent="0.15">
      <c r="A55" s="182" t="s">
        <v>245</v>
      </c>
      <c r="B55" s="146">
        <v>0</v>
      </c>
      <c r="C55" s="146">
        <v>0</v>
      </c>
      <c r="D55" s="146">
        <v>0</v>
      </c>
      <c r="E55" s="146">
        <v>0</v>
      </c>
      <c r="F55" s="146">
        <v>0</v>
      </c>
      <c r="G55" s="146">
        <v>0</v>
      </c>
      <c r="H55" s="146">
        <v>0</v>
      </c>
      <c r="I55" s="146">
        <v>0</v>
      </c>
      <c r="J55" s="146">
        <v>0</v>
      </c>
      <c r="K55" s="146">
        <v>1.0139860509188105E-3</v>
      </c>
      <c r="L55" s="146">
        <v>1.3144524678899492E-2</v>
      </c>
      <c r="M55" s="146">
        <v>8.6099999999999996E-3</v>
      </c>
      <c r="N55" s="146">
        <v>1.0000043382711627E-5</v>
      </c>
      <c r="O55" s="146">
        <v>1.0084386771187118E-3</v>
      </c>
      <c r="P55" s="146">
        <v>1.0568391426429201E-2</v>
      </c>
      <c r="Q55" s="146">
        <v>4.9959999999999984E-2</v>
      </c>
      <c r="R55" s="146">
        <v>0.01</v>
      </c>
      <c r="S55" s="146">
        <v>4.1699999995830003E-3</v>
      </c>
      <c r="T55" s="146">
        <v>1.1999999999999999E-3</v>
      </c>
      <c r="U55" s="146">
        <v>7.2999540528761314E-4</v>
      </c>
      <c r="V55" s="146">
        <v>2.8599732471654873E-3</v>
      </c>
      <c r="W55" s="146">
        <v>1.0000014608408704E-3</v>
      </c>
      <c r="X55" s="146">
        <v>2.257E-2</v>
      </c>
      <c r="Y55" s="146">
        <v>5.1239999996054525E-2</v>
      </c>
      <c r="Z55" s="146">
        <v>3.1800103211978418E-3</v>
      </c>
      <c r="AA55" s="146">
        <v>3.9999974468519264E-4</v>
      </c>
      <c r="AB55" s="146">
        <v>2.571E-2</v>
      </c>
      <c r="AC55" s="146">
        <v>6.7000000000000002E-4</v>
      </c>
      <c r="AD55" s="146">
        <v>1.6920000000000001E-2</v>
      </c>
      <c r="AE55" s="146">
        <v>1.5920000000000004E-2</v>
      </c>
      <c r="AF55" s="146">
        <v>1.5999999934672004E-4</v>
      </c>
      <c r="AG55" s="146">
        <v>0</v>
      </c>
      <c r="AH55" s="146">
        <v>0</v>
      </c>
      <c r="AI55" s="146">
        <v>0</v>
      </c>
      <c r="AJ55" s="146">
        <v>2.1150084087244666E-2</v>
      </c>
      <c r="AK55" s="146">
        <v>2.3899923456372706E-3</v>
      </c>
      <c r="AL55" s="146">
        <v>6.0199744681884602E-3</v>
      </c>
      <c r="AM55" s="146">
        <v>6.1599999999999979E-3</v>
      </c>
      <c r="AN55" s="146">
        <v>1.4099989881771586E-3</v>
      </c>
      <c r="AO55" s="146">
        <v>0</v>
      </c>
      <c r="AP55" s="146">
        <v>0</v>
      </c>
      <c r="AQ55" s="146">
        <v>1.0000019113094913E-3</v>
      </c>
      <c r="AR55" s="146">
        <v>1.0238878295945034E-5</v>
      </c>
      <c r="AS55" s="146">
        <v>9.9999440986094201E-5</v>
      </c>
      <c r="AT55" s="146">
        <v>2.1999888072892949E-4</v>
      </c>
      <c r="AU55" s="146">
        <v>0</v>
      </c>
      <c r="AV55" s="146">
        <v>3.6000000000000002E-4</v>
      </c>
      <c r="AW55" s="146">
        <v>1.5640000000000001E-2</v>
      </c>
      <c r="AX55" s="146">
        <v>3.2800191889811249E-3</v>
      </c>
      <c r="AY55" s="146">
        <v>5.0004680156444633E-3</v>
      </c>
      <c r="AZ55" s="146">
        <v>7.0000271768633172E-3</v>
      </c>
      <c r="BA55" s="146">
        <v>1.0078923305346943E-3</v>
      </c>
      <c r="BB55" s="146">
        <v>0</v>
      </c>
      <c r="BC55" s="146">
        <v>0</v>
      </c>
      <c r="BD55" s="146">
        <v>0</v>
      </c>
      <c r="BE55" s="146">
        <v>0</v>
      </c>
      <c r="BF55" s="146">
        <v>0</v>
      </c>
      <c r="BG55" s="146">
        <v>8.0000279901891631E-3</v>
      </c>
      <c r="BH55" s="146">
        <v>0</v>
      </c>
      <c r="BI55" s="146">
        <v>1.38199999976506E-2</v>
      </c>
      <c r="BJ55" s="146">
        <v>7.99998939864028E-5</v>
      </c>
      <c r="BK55" s="146">
        <v>0</v>
      </c>
      <c r="BL55" s="146">
        <v>0</v>
      </c>
      <c r="BM55" s="146">
        <v>0</v>
      </c>
      <c r="BN55" s="146">
        <v>0</v>
      </c>
      <c r="BO55" s="146">
        <v>0</v>
      </c>
      <c r="BP55" s="146">
        <v>0</v>
      </c>
      <c r="BQ55" s="146">
        <v>0</v>
      </c>
      <c r="BR55" s="146">
        <v>0</v>
      </c>
      <c r="BS55" s="146">
        <v>0</v>
      </c>
      <c r="BT55" s="146">
        <v>0</v>
      </c>
      <c r="BU55" s="146">
        <v>0</v>
      </c>
      <c r="BV55" s="146">
        <v>0</v>
      </c>
      <c r="BW55" s="146">
        <v>0</v>
      </c>
      <c r="BX55" s="146">
        <v>0</v>
      </c>
      <c r="BY55" s="146">
        <v>0</v>
      </c>
      <c r="BZ55" s="146">
        <v>0</v>
      </c>
      <c r="CA55" s="146">
        <v>0</v>
      </c>
      <c r="CB55" s="146">
        <v>0</v>
      </c>
      <c r="CC55" s="146">
        <v>0</v>
      </c>
      <c r="CD55" s="146">
        <v>0</v>
      </c>
      <c r="CE55" s="146">
        <v>0</v>
      </c>
      <c r="CF55" s="146">
        <v>0</v>
      </c>
      <c r="CG55" s="146">
        <v>0</v>
      </c>
      <c r="CH55" s="146">
        <v>0</v>
      </c>
      <c r="CI55" s="146">
        <v>0</v>
      </c>
      <c r="CJ55" s="146">
        <v>0</v>
      </c>
      <c r="CK55" s="146">
        <v>0</v>
      </c>
      <c r="CL55" s="146">
        <v>0</v>
      </c>
      <c r="CM55" s="146">
        <v>0</v>
      </c>
      <c r="CN55" s="146">
        <v>0</v>
      </c>
      <c r="CO55" s="146">
        <v>0</v>
      </c>
      <c r="CP55" s="146">
        <v>0</v>
      </c>
      <c r="CQ55" s="146">
        <v>0</v>
      </c>
      <c r="CR55" s="146">
        <v>0</v>
      </c>
      <c r="CS55" s="146">
        <v>0</v>
      </c>
      <c r="CT55" s="146">
        <v>0</v>
      </c>
      <c r="CU55" s="146">
        <v>0</v>
      </c>
      <c r="CV55" s="146">
        <v>0</v>
      </c>
    </row>
    <row r="56" spans="1:100" x14ac:dyDescent="0.15">
      <c r="A56" s="182" t="s">
        <v>246</v>
      </c>
      <c r="B56" s="146">
        <v>0</v>
      </c>
      <c r="C56" s="146">
        <v>0.15334302100020347</v>
      </c>
      <c r="D56" s="146">
        <v>0</v>
      </c>
      <c r="E56" s="146">
        <v>0</v>
      </c>
      <c r="F56" s="146">
        <v>6.3394131236607539E-3</v>
      </c>
      <c r="G56" s="146">
        <v>0</v>
      </c>
      <c r="H56" s="146">
        <v>0</v>
      </c>
      <c r="I56" s="146">
        <v>0</v>
      </c>
      <c r="J56" s="146">
        <v>0.122993821070355</v>
      </c>
      <c r="K56" s="146">
        <v>0</v>
      </c>
      <c r="L56" s="146">
        <v>0</v>
      </c>
      <c r="M56" s="146">
        <v>0</v>
      </c>
      <c r="N56" s="146">
        <v>1.1321118780427714E-3</v>
      </c>
      <c r="O56" s="146">
        <v>9.4793233489158819E-3</v>
      </c>
      <c r="P56" s="146">
        <v>0</v>
      </c>
      <c r="Q56" s="146">
        <v>1.2799999999999999E-3</v>
      </c>
      <c r="R56" s="146">
        <v>1E-3</v>
      </c>
      <c r="S56" s="146">
        <v>0</v>
      </c>
      <c r="T56" s="146">
        <v>1E-3</v>
      </c>
      <c r="U56" s="146">
        <v>9.9999376614741311E-3</v>
      </c>
      <c r="V56" s="146">
        <v>4.0939618527956266E-2</v>
      </c>
      <c r="W56" s="146">
        <v>2.0010024717025721E-2</v>
      </c>
      <c r="X56" s="146">
        <v>0</v>
      </c>
      <c r="Y56" s="146">
        <v>0</v>
      </c>
      <c r="Z56" s="146">
        <v>0</v>
      </c>
      <c r="AA56" s="146">
        <v>8.1099937503173146E-3</v>
      </c>
      <c r="AB56" s="146">
        <v>0</v>
      </c>
      <c r="AC56" s="146">
        <v>1.771E-2</v>
      </c>
      <c r="AD56" s="146">
        <v>0</v>
      </c>
      <c r="AE56" s="146">
        <v>0</v>
      </c>
      <c r="AF56" s="146">
        <v>0</v>
      </c>
      <c r="AG56" s="146">
        <v>0</v>
      </c>
      <c r="AH56" s="146">
        <v>2.5000000587215016E-4</v>
      </c>
      <c r="AI56" s="146">
        <v>5.9999885479008428E-5</v>
      </c>
      <c r="AJ56" s="146">
        <v>0</v>
      </c>
      <c r="AK56" s="146">
        <v>4.5569849916816084E-2</v>
      </c>
      <c r="AL56" s="146">
        <v>2.7269888148205787E-2</v>
      </c>
      <c r="AM56" s="146">
        <v>0.11773999999999997</v>
      </c>
      <c r="AN56" s="146">
        <v>2.1599989818884085E-3</v>
      </c>
      <c r="AO56" s="146">
        <v>1.8000000000000001E-4</v>
      </c>
      <c r="AP56" s="146">
        <v>1.6900000000000001E-3</v>
      </c>
      <c r="AQ56" s="146">
        <v>1.1200020014666301E-3</v>
      </c>
      <c r="AR56" s="146">
        <v>3.07167454878329E-3</v>
      </c>
      <c r="AS56" s="146">
        <v>9.9999750986097253E-4</v>
      </c>
      <c r="AT56" s="146">
        <v>1.9999928775357185E-3</v>
      </c>
      <c r="AU56" s="146">
        <v>3.3701686007765563E-3</v>
      </c>
      <c r="AV56" s="146">
        <v>1E-3</v>
      </c>
      <c r="AW56" s="146">
        <v>0</v>
      </c>
      <c r="AX56" s="146">
        <v>0</v>
      </c>
      <c r="AY56" s="146">
        <v>2.5002240078222004E-2</v>
      </c>
      <c r="AZ56" s="146">
        <v>1.0000078252662879E-2</v>
      </c>
      <c r="BA56" s="146">
        <v>7.0559546237572887E-5</v>
      </c>
      <c r="BB56" s="146">
        <v>9.9999992610406931E-5</v>
      </c>
      <c r="BC56" s="146">
        <v>2.1100060310086477E-3</v>
      </c>
      <c r="BD56" s="146">
        <v>2.8999899847257526E-4</v>
      </c>
      <c r="BE56" s="146">
        <v>0</v>
      </c>
      <c r="BF56" s="146">
        <v>0</v>
      </c>
      <c r="BG56" s="146">
        <v>1.0000036087736454E-2</v>
      </c>
      <c r="BH56" s="146">
        <v>1E-3</v>
      </c>
      <c r="BI56" s="146">
        <v>2.05099999965133E-2</v>
      </c>
      <c r="BJ56" s="146">
        <v>2.4799976344784627E-3</v>
      </c>
      <c r="BK56" s="146">
        <v>0</v>
      </c>
      <c r="BL56" s="146">
        <v>0</v>
      </c>
      <c r="BM56" s="146">
        <v>0</v>
      </c>
      <c r="BN56" s="146">
        <v>5.5500059949494937E-3</v>
      </c>
      <c r="BO56" s="146">
        <v>0</v>
      </c>
      <c r="BP56" s="146">
        <v>0</v>
      </c>
      <c r="BQ56" s="146">
        <v>0</v>
      </c>
      <c r="BR56" s="146">
        <v>0</v>
      </c>
      <c r="BS56" s="146">
        <v>0</v>
      </c>
      <c r="BT56" s="146">
        <v>0</v>
      </c>
      <c r="BU56" s="146">
        <v>0</v>
      </c>
      <c r="BV56" s="146">
        <v>0</v>
      </c>
      <c r="BW56" s="146">
        <v>0</v>
      </c>
      <c r="BX56" s="146">
        <v>1.0000000000000002E-2</v>
      </c>
      <c r="BY56" s="146">
        <v>0</v>
      </c>
      <c r="BZ56" s="146">
        <v>0</v>
      </c>
      <c r="CA56" s="146">
        <v>0</v>
      </c>
      <c r="CB56" s="146">
        <v>0</v>
      </c>
      <c r="CC56" s="146">
        <v>0</v>
      </c>
      <c r="CD56" s="146">
        <v>0</v>
      </c>
      <c r="CE56" s="146">
        <v>0</v>
      </c>
      <c r="CF56" s="146">
        <v>0</v>
      </c>
      <c r="CG56" s="146">
        <v>0</v>
      </c>
      <c r="CH56" s="146">
        <v>0</v>
      </c>
      <c r="CI56" s="146">
        <v>0</v>
      </c>
      <c r="CJ56" s="146">
        <v>0</v>
      </c>
      <c r="CK56" s="146">
        <v>0</v>
      </c>
      <c r="CL56" s="146">
        <v>1.0000500937371853E-3</v>
      </c>
      <c r="CM56" s="146">
        <v>0</v>
      </c>
      <c r="CN56" s="146">
        <v>0</v>
      </c>
      <c r="CO56" s="146">
        <v>0</v>
      </c>
      <c r="CP56" s="146">
        <v>0</v>
      </c>
      <c r="CQ56" s="146">
        <v>0</v>
      </c>
      <c r="CR56" s="146">
        <v>0</v>
      </c>
      <c r="CS56" s="146">
        <v>0</v>
      </c>
      <c r="CT56" s="146">
        <v>0</v>
      </c>
      <c r="CU56" s="146">
        <v>0</v>
      </c>
      <c r="CV56" s="146">
        <v>0</v>
      </c>
    </row>
    <row r="57" spans="1:100" x14ac:dyDescent="0.15">
      <c r="A57" s="182" t="s">
        <v>247</v>
      </c>
      <c r="B57" s="146">
        <v>0</v>
      </c>
      <c r="C57" s="146">
        <v>0</v>
      </c>
      <c r="D57" s="146">
        <v>0</v>
      </c>
      <c r="E57" s="146">
        <v>0</v>
      </c>
      <c r="F57" s="146">
        <v>8.4525489782132472E-3</v>
      </c>
      <c r="G57" s="146">
        <v>0</v>
      </c>
      <c r="H57" s="146">
        <v>0</v>
      </c>
      <c r="I57" s="146">
        <v>0</v>
      </c>
      <c r="J57" s="146">
        <v>0</v>
      </c>
      <c r="K57" s="146">
        <v>2.5349651922970246E-2</v>
      </c>
      <c r="L57" s="146">
        <v>2.0000072015739334E-2</v>
      </c>
      <c r="M57" s="146">
        <v>1.4999999999999999E-2</v>
      </c>
      <c r="N57" s="146">
        <v>1.0000043482711628E-2</v>
      </c>
      <c r="O57" s="146">
        <v>1.0084386371187104E-2</v>
      </c>
      <c r="P57" s="146">
        <v>1.0260574028572041E-3</v>
      </c>
      <c r="Q57" s="146">
        <v>0</v>
      </c>
      <c r="R57" s="146">
        <v>0</v>
      </c>
      <c r="S57" s="146">
        <v>0</v>
      </c>
      <c r="T57" s="146">
        <v>0.02</v>
      </c>
      <c r="U57" s="146">
        <v>1.9999844322949312E-2</v>
      </c>
      <c r="V57" s="146">
        <v>7.9999487123501675E-2</v>
      </c>
      <c r="W57" s="146">
        <v>5.0000117242044444E-2</v>
      </c>
      <c r="X57" s="146">
        <v>3.2820000000000002E-2</v>
      </c>
      <c r="Y57" s="146">
        <v>7.3699999994325102E-3</v>
      </c>
      <c r="Z57" s="146">
        <v>6.9000261761840921E-4</v>
      </c>
      <c r="AA57" s="146">
        <v>6.1999968091204624E-4</v>
      </c>
      <c r="AB57" s="146">
        <v>3.48E-3</v>
      </c>
      <c r="AC57" s="146">
        <v>2.5000000000000001E-3</v>
      </c>
      <c r="AD57" s="146">
        <v>1.0200000000000001E-3</v>
      </c>
      <c r="AE57" s="146">
        <v>1.9950000000000002E-2</v>
      </c>
      <c r="AF57" s="146">
        <v>3.999999983668001E-5</v>
      </c>
      <c r="AG57" s="146">
        <v>0</v>
      </c>
      <c r="AH57" s="146">
        <v>0</v>
      </c>
      <c r="AI57" s="146">
        <v>0</v>
      </c>
      <c r="AJ57" s="146">
        <v>8.7200349535117468E-3</v>
      </c>
      <c r="AK57" s="146">
        <v>5.0169836608419192E-2</v>
      </c>
      <c r="AL57" s="146">
        <v>8.1819658344415139E-2</v>
      </c>
      <c r="AM57" s="146">
        <v>0.14651999999999998</v>
      </c>
      <c r="AN57" s="146">
        <v>0.1188099450037786</v>
      </c>
      <c r="AO57" s="146">
        <v>0</v>
      </c>
      <c r="AP57" s="146">
        <v>0</v>
      </c>
      <c r="AQ57" s="146">
        <v>1.0000009113094902E-2</v>
      </c>
      <c r="AR57" s="146">
        <v>1.0238918295944236E-3</v>
      </c>
      <c r="AS57" s="146">
        <v>9.9999740986097142E-3</v>
      </c>
      <c r="AT57" s="146">
        <v>2.3999887270428658E-4</v>
      </c>
      <c r="AU57" s="146">
        <v>0</v>
      </c>
      <c r="AV57" s="146">
        <v>1E-3</v>
      </c>
      <c r="AW57" s="146">
        <v>3.8500000000000001E-3</v>
      </c>
      <c r="AX57" s="146">
        <v>8.0600465657889777E-3</v>
      </c>
      <c r="AY57" s="146">
        <v>1.0000895731288801E-2</v>
      </c>
      <c r="AZ57" s="146">
        <v>1.0000038252661866E-2</v>
      </c>
      <c r="BA57" s="146">
        <v>3.4574180704410782E-3</v>
      </c>
      <c r="BB57" s="146">
        <v>1.9999996322081326E-2</v>
      </c>
      <c r="BC57" s="146">
        <v>8.0000201175682917E-5</v>
      </c>
      <c r="BD57" s="146">
        <v>0</v>
      </c>
      <c r="BE57" s="146">
        <v>0</v>
      </c>
      <c r="BF57" s="146">
        <v>0</v>
      </c>
      <c r="BG57" s="146">
        <v>2.0000031175472961E-2</v>
      </c>
      <c r="BH57" s="146">
        <v>0</v>
      </c>
      <c r="BI57" s="146">
        <v>1.0789999998165699E-2</v>
      </c>
      <c r="BJ57" s="146">
        <v>9.999988735800299E-6</v>
      </c>
      <c r="BK57" s="146">
        <v>0</v>
      </c>
      <c r="BL57" s="146">
        <v>0</v>
      </c>
      <c r="BM57" s="146">
        <v>0</v>
      </c>
      <c r="BN57" s="146">
        <v>0</v>
      </c>
      <c r="BO57" s="146">
        <v>0</v>
      </c>
      <c r="BP57" s="146">
        <v>0</v>
      </c>
      <c r="BQ57" s="146">
        <v>0</v>
      </c>
      <c r="BR57" s="146">
        <v>0</v>
      </c>
      <c r="BS57" s="146">
        <v>0</v>
      </c>
      <c r="BT57" s="146">
        <v>0</v>
      </c>
      <c r="BU57" s="146">
        <v>0</v>
      </c>
      <c r="BV57" s="146">
        <v>0</v>
      </c>
      <c r="BW57" s="146">
        <v>0</v>
      </c>
      <c r="BX57" s="146">
        <v>0</v>
      </c>
      <c r="BY57" s="146">
        <v>0</v>
      </c>
      <c r="BZ57" s="146">
        <v>0</v>
      </c>
      <c r="CA57" s="146">
        <v>0</v>
      </c>
      <c r="CB57" s="146">
        <v>0</v>
      </c>
      <c r="CC57" s="146">
        <v>0</v>
      </c>
      <c r="CD57" s="146">
        <v>0</v>
      </c>
      <c r="CE57" s="146">
        <v>0</v>
      </c>
      <c r="CF57" s="146">
        <v>0</v>
      </c>
      <c r="CG57" s="146">
        <v>0</v>
      </c>
      <c r="CH57" s="146">
        <v>0</v>
      </c>
      <c r="CI57" s="146">
        <v>0</v>
      </c>
      <c r="CJ57" s="146">
        <v>0</v>
      </c>
      <c r="CK57" s="146">
        <v>0</v>
      </c>
      <c r="CL57" s="146">
        <v>0</v>
      </c>
      <c r="CM57" s="146">
        <v>0</v>
      </c>
      <c r="CN57" s="146">
        <v>0</v>
      </c>
      <c r="CO57" s="146">
        <v>0</v>
      </c>
      <c r="CP57" s="146">
        <v>0</v>
      </c>
      <c r="CQ57" s="146">
        <v>0</v>
      </c>
      <c r="CR57" s="146">
        <v>0</v>
      </c>
      <c r="CS57" s="146">
        <v>0</v>
      </c>
      <c r="CT57" s="146">
        <v>0</v>
      </c>
      <c r="CU57" s="146">
        <v>0</v>
      </c>
      <c r="CV57" s="146">
        <v>0</v>
      </c>
    </row>
    <row r="58" spans="1:100" x14ac:dyDescent="0.15">
      <c r="A58" s="182" t="s">
        <v>248</v>
      </c>
      <c r="B58" s="146">
        <v>0</v>
      </c>
      <c r="C58" s="146">
        <v>0</v>
      </c>
      <c r="D58" s="146">
        <v>0</v>
      </c>
      <c r="E58" s="146">
        <v>0</v>
      </c>
      <c r="F58" s="146">
        <v>5.2828441113838684E-3</v>
      </c>
      <c r="G58" s="146">
        <v>0</v>
      </c>
      <c r="H58" s="146">
        <v>0</v>
      </c>
      <c r="I58" s="146">
        <v>0</v>
      </c>
      <c r="J58" s="146">
        <v>0</v>
      </c>
      <c r="K58" s="146">
        <v>2.0279719618376237E-2</v>
      </c>
      <c r="L58" s="146">
        <v>1.0000036007869667E-2</v>
      </c>
      <c r="M58" s="146">
        <v>0.02</v>
      </c>
      <c r="N58" s="146">
        <v>1.0000043482711628E-2</v>
      </c>
      <c r="O58" s="146">
        <v>1.0084386371187104E-2</v>
      </c>
      <c r="P58" s="146">
        <v>1.9999911860772619E-2</v>
      </c>
      <c r="Q58" s="146">
        <v>9.9999999999999985E-3</v>
      </c>
      <c r="R58" s="146">
        <v>0</v>
      </c>
      <c r="S58" s="146">
        <v>0</v>
      </c>
      <c r="T58" s="146">
        <v>1E-3</v>
      </c>
      <c r="U58" s="146">
        <v>9.9999226614746393E-5</v>
      </c>
      <c r="V58" s="146">
        <v>3.9999744361750807E-2</v>
      </c>
      <c r="W58" s="146">
        <v>2.0000050416817852E-3</v>
      </c>
      <c r="X58" s="146">
        <v>3.2669999999999998E-2</v>
      </c>
      <c r="Y58" s="146">
        <v>0.14999999998845001</v>
      </c>
      <c r="Z58" s="146">
        <v>4.6000161174560277E-3</v>
      </c>
      <c r="AA58" s="146">
        <v>9.3599927118335497E-3</v>
      </c>
      <c r="AB58" s="146">
        <v>4.6339999999999999E-2</v>
      </c>
      <c r="AC58" s="146">
        <v>2.7539999999999999E-2</v>
      </c>
      <c r="AD58" s="146">
        <v>0</v>
      </c>
      <c r="AE58" s="146">
        <v>1.0000000000000002E-4</v>
      </c>
      <c r="AF58" s="146">
        <v>2.3999999902008003E-4</v>
      </c>
      <c r="AG58" s="146">
        <v>0</v>
      </c>
      <c r="AH58" s="146">
        <v>0</v>
      </c>
      <c r="AI58" s="146">
        <v>0</v>
      </c>
      <c r="AJ58" s="146">
        <v>2.9100116644861455E-3</v>
      </c>
      <c r="AK58" s="146">
        <v>6.8769775174466585E-2</v>
      </c>
      <c r="AL58" s="146">
        <v>0.44322819103147221</v>
      </c>
      <c r="AM58" s="146">
        <v>0.34479999999999994</v>
      </c>
      <c r="AN58" s="146">
        <v>3.2399989728326083E-3</v>
      </c>
      <c r="AO58" s="146">
        <v>1E-4</v>
      </c>
      <c r="AP58" s="146">
        <v>1E-3</v>
      </c>
      <c r="AQ58" s="146">
        <v>1.0000009213094902E-4</v>
      </c>
      <c r="AR58" s="146">
        <v>1.0238878695945025E-3</v>
      </c>
      <c r="AS58" s="146">
        <v>4.9999870493048571E-3</v>
      </c>
      <c r="AT58" s="146">
        <v>0</v>
      </c>
      <c r="AU58" s="146">
        <v>0</v>
      </c>
      <c r="AV58" s="146">
        <v>1E-4</v>
      </c>
      <c r="AW58" s="146">
        <v>8.6700000000000006E-3</v>
      </c>
      <c r="AX58" s="146">
        <v>4.7100275359759445E-3</v>
      </c>
      <c r="AY58" s="146">
        <v>7.2306767326218938E-3</v>
      </c>
      <c r="AZ58" s="146">
        <v>1.0000038252661866E-2</v>
      </c>
      <c r="BA58" s="146">
        <v>1.7135890349124857E-4</v>
      </c>
      <c r="BB58" s="146">
        <v>9.999998261040666E-3</v>
      </c>
      <c r="BC58" s="146">
        <v>4.2300130621642706E-3</v>
      </c>
      <c r="BD58" s="146">
        <v>1.1399959939956412E-3</v>
      </c>
      <c r="BE58" s="146">
        <v>0</v>
      </c>
      <c r="BF58" s="146">
        <v>0</v>
      </c>
      <c r="BG58" s="146">
        <v>5.0000079938682393E-3</v>
      </c>
      <c r="BH58" s="146">
        <v>0.01</v>
      </c>
      <c r="BI58" s="146">
        <v>5.3999999990820002E-3</v>
      </c>
      <c r="BJ58" s="146">
        <v>1.2899988459182305E-3</v>
      </c>
      <c r="BK58" s="146">
        <v>0</v>
      </c>
      <c r="BL58" s="146">
        <v>0</v>
      </c>
      <c r="BM58" s="146">
        <v>0</v>
      </c>
      <c r="BN58" s="146">
        <v>0</v>
      </c>
      <c r="BO58" s="146">
        <v>0</v>
      </c>
      <c r="BP58" s="146">
        <v>0</v>
      </c>
      <c r="BQ58" s="146">
        <v>0</v>
      </c>
      <c r="BR58" s="146">
        <v>0</v>
      </c>
      <c r="BS58" s="146">
        <v>0</v>
      </c>
      <c r="BT58" s="146">
        <v>0</v>
      </c>
      <c r="BU58" s="146">
        <v>0</v>
      </c>
      <c r="BV58" s="146">
        <v>0</v>
      </c>
      <c r="BW58" s="146">
        <v>0</v>
      </c>
      <c r="BX58" s="146">
        <v>5.000000000000001E-2</v>
      </c>
      <c r="BY58" s="146">
        <v>0</v>
      </c>
      <c r="BZ58" s="146">
        <v>0</v>
      </c>
      <c r="CA58" s="146">
        <v>0</v>
      </c>
      <c r="CB58" s="146">
        <v>0</v>
      </c>
      <c r="CC58" s="146">
        <v>0</v>
      </c>
      <c r="CD58" s="146">
        <v>0</v>
      </c>
      <c r="CE58" s="146">
        <v>0</v>
      </c>
      <c r="CF58" s="146">
        <v>0</v>
      </c>
      <c r="CG58" s="146">
        <v>0</v>
      </c>
      <c r="CH58" s="146">
        <v>0</v>
      </c>
      <c r="CI58" s="146">
        <v>0</v>
      </c>
      <c r="CJ58" s="146">
        <v>0</v>
      </c>
      <c r="CK58" s="146">
        <v>0</v>
      </c>
      <c r="CL58" s="146">
        <v>2.500124959342968E-2</v>
      </c>
      <c r="CM58" s="146">
        <v>0</v>
      </c>
      <c r="CN58" s="146">
        <v>0</v>
      </c>
      <c r="CO58" s="146">
        <v>0</v>
      </c>
      <c r="CP58" s="146">
        <v>0</v>
      </c>
      <c r="CQ58" s="146">
        <v>0</v>
      </c>
      <c r="CR58" s="146">
        <v>0</v>
      </c>
      <c r="CS58" s="146">
        <v>0</v>
      </c>
      <c r="CT58" s="146">
        <v>0</v>
      </c>
      <c r="CU58" s="146">
        <v>0</v>
      </c>
      <c r="CV58" s="146">
        <v>0</v>
      </c>
    </row>
    <row r="59" spans="1:100" x14ac:dyDescent="0.15">
      <c r="A59" s="182" t="s">
        <v>249</v>
      </c>
      <c r="B59" s="146">
        <v>0</v>
      </c>
      <c r="C59" s="146">
        <v>0.10382059932308968</v>
      </c>
      <c r="D59" s="146">
        <v>0</v>
      </c>
      <c r="E59" s="146">
        <v>0</v>
      </c>
      <c r="F59" s="146">
        <v>0</v>
      </c>
      <c r="G59" s="146">
        <v>0</v>
      </c>
      <c r="H59" s="146">
        <v>0</v>
      </c>
      <c r="I59" s="146">
        <v>0</v>
      </c>
      <c r="J59" s="146">
        <v>0</v>
      </c>
      <c r="K59" s="146">
        <v>4.0559439236752474E-2</v>
      </c>
      <c r="L59" s="146">
        <v>3.419012548500637E-2</v>
      </c>
      <c r="M59" s="146">
        <v>1.3299999999999999E-2</v>
      </c>
      <c r="N59" s="146">
        <v>3.6680409936585813E-2</v>
      </c>
      <c r="O59" s="146">
        <v>3.0253158113561274E-2</v>
      </c>
      <c r="P59" s="146">
        <v>1.1060899023000659E-2</v>
      </c>
      <c r="Q59" s="146">
        <v>1.2759999999999997E-2</v>
      </c>
      <c r="R59" s="146">
        <v>6.79E-3</v>
      </c>
      <c r="S59" s="146">
        <v>3.0499999996950002E-3</v>
      </c>
      <c r="T59" s="146">
        <v>1E-3</v>
      </c>
      <c r="U59" s="146">
        <v>9.9999221414746563E-3</v>
      </c>
      <c r="V59" s="146">
        <v>2.899971895727278E-4</v>
      </c>
      <c r="W59" s="146">
        <v>8.0000181667270992E-2</v>
      </c>
      <c r="X59" s="146">
        <v>3.0419999999999999E-2</v>
      </c>
      <c r="Y59" s="146">
        <v>1.3289999998976671E-2</v>
      </c>
      <c r="Z59" s="146">
        <v>8.9700302290392237E-3</v>
      </c>
      <c r="AA59" s="146">
        <v>2.0999986053472631E-4</v>
      </c>
      <c r="AB59" s="146">
        <v>3.7499999999999999E-3</v>
      </c>
      <c r="AC59" s="146">
        <v>2.0000000000000002E-5</v>
      </c>
      <c r="AD59" s="146">
        <v>7.6400000000000001E-3</v>
      </c>
      <c r="AE59" s="146">
        <v>0</v>
      </c>
      <c r="AF59" s="146">
        <v>2.3999999902008003E-4</v>
      </c>
      <c r="AG59" s="146">
        <v>0</v>
      </c>
      <c r="AH59" s="146">
        <v>0</v>
      </c>
      <c r="AI59" s="146">
        <v>0</v>
      </c>
      <c r="AJ59" s="146">
        <v>5.1000206428107693E-3</v>
      </c>
      <c r="AK59" s="146">
        <v>5.9999804790475423E-3</v>
      </c>
      <c r="AL59" s="146">
        <v>1.139995386932694E-3</v>
      </c>
      <c r="AM59" s="146">
        <v>5.2299999999999994E-3</v>
      </c>
      <c r="AN59" s="146">
        <v>2.6999989773605084E-3</v>
      </c>
      <c r="AO59" s="146">
        <v>0</v>
      </c>
      <c r="AP59" s="146">
        <v>0</v>
      </c>
      <c r="AQ59" s="146">
        <v>5.0000045465474511E-3</v>
      </c>
      <c r="AR59" s="146">
        <v>1.023887799594504E-4</v>
      </c>
      <c r="AS59" s="146">
        <v>8.9999766487487427E-4</v>
      </c>
      <c r="AT59" s="146">
        <v>9.9999639876785952E-6</v>
      </c>
      <c r="AU59" s="146">
        <v>0</v>
      </c>
      <c r="AV59" s="146">
        <v>1.0000000000000001E-5</v>
      </c>
      <c r="AW59" s="146">
        <v>7.7099999999999998E-3</v>
      </c>
      <c r="AX59" s="146">
        <v>6.0600345720199953E-3</v>
      </c>
      <c r="AY59" s="146">
        <v>1.0000935831288926E-2</v>
      </c>
      <c r="AZ59" s="146">
        <v>6.0000231515971256E-3</v>
      </c>
      <c r="BA59" s="146">
        <v>5.0399677026837803E-3</v>
      </c>
      <c r="BB59" s="146">
        <v>4.9999986205203194E-3</v>
      </c>
      <c r="BC59" s="146">
        <v>1.0000000146959999E-5</v>
      </c>
      <c r="BD59" s="146">
        <v>0</v>
      </c>
      <c r="BE59" s="146">
        <v>0</v>
      </c>
      <c r="BF59" s="146">
        <v>0</v>
      </c>
      <c r="BG59" s="146">
        <v>1.0000036087736454E-2</v>
      </c>
      <c r="BH59" s="146">
        <v>0</v>
      </c>
      <c r="BI59" s="146">
        <v>0</v>
      </c>
      <c r="BJ59" s="146">
        <v>0</v>
      </c>
      <c r="BK59" s="146">
        <v>0</v>
      </c>
      <c r="BL59" s="146">
        <v>0</v>
      </c>
      <c r="BM59" s="146">
        <v>0</v>
      </c>
      <c r="BN59" s="146">
        <v>0</v>
      </c>
      <c r="BO59" s="146">
        <v>0</v>
      </c>
      <c r="BP59" s="146">
        <v>0</v>
      </c>
      <c r="BQ59" s="146">
        <v>0</v>
      </c>
      <c r="BR59" s="146">
        <v>0</v>
      </c>
      <c r="BS59" s="146">
        <v>0</v>
      </c>
      <c r="BT59" s="146">
        <v>0</v>
      </c>
      <c r="BU59" s="146">
        <v>0</v>
      </c>
      <c r="BV59" s="146">
        <v>0</v>
      </c>
      <c r="BW59" s="146">
        <v>0</v>
      </c>
      <c r="BX59" s="146">
        <v>0</v>
      </c>
      <c r="BY59" s="146">
        <v>0</v>
      </c>
      <c r="BZ59" s="146">
        <v>0</v>
      </c>
      <c r="CA59" s="146">
        <v>0</v>
      </c>
      <c r="CB59" s="146">
        <v>0</v>
      </c>
      <c r="CC59" s="146">
        <v>0</v>
      </c>
      <c r="CD59" s="146">
        <v>0</v>
      </c>
      <c r="CE59" s="146">
        <v>0</v>
      </c>
      <c r="CF59" s="146">
        <v>0</v>
      </c>
      <c r="CG59" s="146">
        <v>0</v>
      </c>
      <c r="CH59" s="146">
        <v>0</v>
      </c>
      <c r="CI59" s="146">
        <v>0</v>
      </c>
      <c r="CJ59" s="146">
        <v>0</v>
      </c>
      <c r="CK59" s="146">
        <v>0</v>
      </c>
      <c r="CL59" s="146">
        <v>0</v>
      </c>
      <c r="CM59" s="146">
        <v>0</v>
      </c>
      <c r="CN59" s="146">
        <v>0</v>
      </c>
      <c r="CO59" s="146">
        <v>0</v>
      </c>
      <c r="CP59" s="146">
        <v>0</v>
      </c>
      <c r="CQ59" s="146">
        <v>0</v>
      </c>
      <c r="CR59" s="146">
        <v>0</v>
      </c>
      <c r="CS59" s="146">
        <v>0</v>
      </c>
      <c r="CT59" s="146">
        <v>0</v>
      </c>
      <c r="CU59" s="146">
        <v>0</v>
      </c>
      <c r="CV59" s="146">
        <v>0</v>
      </c>
    </row>
    <row r="60" spans="1:100" x14ac:dyDescent="0.15">
      <c r="A60" s="182" t="s">
        <v>250</v>
      </c>
      <c r="B60" s="146">
        <v>0</v>
      </c>
      <c r="C60" s="146">
        <v>0</v>
      </c>
      <c r="D60" s="146">
        <v>0.12000875953523908</v>
      </c>
      <c r="E60" s="146">
        <v>0</v>
      </c>
      <c r="F60" s="146">
        <v>0</v>
      </c>
      <c r="G60" s="146">
        <v>0</v>
      </c>
      <c r="H60" s="146">
        <v>0</v>
      </c>
      <c r="I60" s="146">
        <v>0</v>
      </c>
      <c r="J60" s="146">
        <v>0</v>
      </c>
      <c r="K60" s="146">
        <v>1.0139859809188119E-2</v>
      </c>
      <c r="L60" s="146">
        <v>3.7280589656533927E-2</v>
      </c>
      <c r="M60" s="146">
        <v>6.3719999999999999E-2</v>
      </c>
      <c r="N60" s="146">
        <v>5.1459606611035102E-2</v>
      </c>
      <c r="O60" s="146">
        <v>3.3933957449044504E-2</v>
      </c>
      <c r="P60" s="146">
        <v>9.4807709340005621E-3</v>
      </c>
      <c r="Q60" s="146">
        <v>2.6879999999999994E-2</v>
      </c>
      <c r="R60" s="146">
        <v>6.79E-3</v>
      </c>
      <c r="S60" s="146">
        <v>7.3299999992669992E-3</v>
      </c>
      <c r="T60" s="146">
        <v>1E-3</v>
      </c>
      <c r="U60" s="146">
        <v>9.9999236614746055E-4</v>
      </c>
      <c r="V60" s="146">
        <v>1.9999872180875403E-2</v>
      </c>
      <c r="W60" s="146">
        <v>8.0000181667270992E-2</v>
      </c>
      <c r="X60" s="146">
        <v>3.0419999999999999E-2</v>
      </c>
      <c r="Y60" s="146">
        <v>6.4999999994995006E-2</v>
      </c>
      <c r="Z60" s="146">
        <v>4.6000161174560277E-3</v>
      </c>
      <c r="AA60" s="146">
        <v>2.4999977730324734E-3</v>
      </c>
      <c r="AB60" s="146">
        <v>2.223E-2</v>
      </c>
      <c r="AC60" s="146">
        <v>1.25E-3</v>
      </c>
      <c r="AD60" s="146">
        <v>3.0000000000000001E-3</v>
      </c>
      <c r="AE60" s="146">
        <v>0</v>
      </c>
      <c r="AF60" s="146">
        <v>2.3999999902008003E-4</v>
      </c>
      <c r="AG60" s="146">
        <v>0</v>
      </c>
      <c r="AH60" s="146">
        <v>0</v>
      </c>
      <c r="AI60" s="146">
        <v>0</v>
      </c>
      <c r="AJ60" s="146">
        <v>5.1000206428107693E-3</v>
      </c>
      <c r="AK60" s="146">
        <v>7.3149759866471278E-2</v>
      </c>
      <c r="AL60" s="146">
        <v>5.6799758850681814E-3</v>
      </c>
      <c r="AM60" s="146">
        <v>1.7009999999999997E-2</v>
      </c>
      <c r="AN60" s="146">
        <v>1.025999511396994E-2</v>
      </c>
      <c r="AO60" s="146">
        <v>4.4999999999999999E-4</v>
      </c>
      <c r="AP60" s="146">
        <v>7.2100000000000003E-3</v>
      </c>
      <c r="AQ60" s="146">
        <v>2.0000020026189804E-3</v>
      </c>
      <c r="AR60" s="146">
        <v>1.0238918295944236E-3</v>
      </c>
      <c r="AS60" s="146">
        <v>4.9999670493046594E-4</v>
      </c>
      <c r="AT60" s="146">
        <v>0</v>
      </c>
      <c r="AU60" s="146">
        <v>0</v>
      </c>
      <c r="AV60" s="146">
        <v>0</v>
      </c>
      <c r="AW60" s="146">
        <v>7.7099999999999998E-3</v>
      </c>
      <c r="AX60" s="146">
        <v>1.0770063027995951E-2</v>
      </c>
      <c r="AY60" s="146">
        <v>1.0000936531288928E-3</v>
      </c>
      <c r="AZ60" s="146">
        <v>1.0000038552661876E-4</v>
      </c>
      <c r="BA60" s="146">
        <v>1.0079936105367576E-3</v>
      </c>
      <c r="BB60" s="146">
        <v>9.9999992610406931E-5</v>
      </c>
      <c r="BC60" s="146">
        <v>4.2300130621642706E-3</v>
      </c>
      <c r="BD60" s="146">
        <v>1.1499959939429711E-3</v>
      </c>
      <c r="BE60" s="146">
        <v>0</v>
      </c>
      <c r="BF60" s="146">
        <v>0</v>
      </c>
      <c r="BG60" s="146">
        <v>1.0000035387736454E-3</v>
      </c>
      <c r="BH60" s="146">
        <v>0.01</v>
      </c>
      <c r="BI60" s="146">
        <v>0</v>
      </c>
      <c r="BJ60" s="146">
        <v>0</v>
      </c>
      <c r="BK60" s="146">
        <v>0</v>
      </c>
      <c r="BL60" s="146">
        <v>0</v>
      </c>
      <c r="BM60" s="146">
        <v>0</v>
      </c>
      <c r="BN60" s="146">
        <v>0</v>
      </c>
      <c r="BO60" s="146">
        <v>0</v>
      </c>
      <c r="BP60" s="146">
        <v>0</v>
      </c>
      <c r="BQ60" s="146">
        <v>0</v>
      </c>
      <c r="BR60" s="146">
        <v>0</v>
      </c>
      <c r="BS60" s="146">
        <v>0</v>
      </c>
      <c r="BT60" s="146">
        <v>0</v>
      </c>
      <c r="BU60" s="146">
        <v>0</v>
      </c>
      <c r="BV60" s="146">
        <v>0</v>
      </c>
      <c r="BW60" s="146">
        <v>0</v>
      </c>
      <c r="BX60" s="146">
        <v>0</v>
      </c>
      <c r="BY60" s="146">
        <v>1.0131711214254285E-3</v>
      </c>
      <c r="BZ60" s="146">
        <v>0</v>
      </c>
      <c r="CA60" s="146">
        <v>0</v>
      </c>
      <c r="CB60" s="146">
        <v>0</v>
      </c>
      <c r="CC60" s="146">
        <v>0</v>
      </c>
      <c r="CD60" s="146">
        <v>0</v>
      </c>
      <c r="CE60" s="146">
        <v>0</v>
      </c>
      <c r="CF60" s="146">
        <v>0</v>
      </c>
      <c r="CG60" s="146">
        <v>0</v>
      </c>
      <c r="CH60" s="146">
        <v>0</v>
      </c>
      <c r="CI60" s="146">
        <v>0</v>
      </c>
      <c r="CJ60" s="146">
        <v>9.9999799462951053E-7</v>
      </c>
      <c r="CK60" s="146">
        <v>0</v>
      </c>
      <c r="CL60" s="146">
        <v>1.0000500937371853E-3</v>
      </c>
      <c r="CM60" s="146">
        <v>0</v>
      </c>
      <c r="CN60" s="146">
        <v>0</v>
      </c>
      <c r="CO60" s="146">
        <v>0</v>
      </c>
      <c r="CP60" s="146">
        <v>0</v>
      </c>
      <c r="CQ60" s="146">
        <v>0</v>
      </c>
      <c r="CR60" s="146">
        <v>0</v>
      </c>
      <c r="CS60" s="146">
        <v>0</v>
      </c>
      <c r="CT60" s="146">
        <v>0</v>
      </c>
      <c r="CU60" s="146">
        <v>0</v>
      </c>
      <c r="CV60" s="146">
        <v>0</v>
      </c>
    </row>
    <row r="61" spans="1:100" x14ac:dyDescent="0.15">
      <c r="A61" s="182" t="s">
        <v>251</v>
      </c>
      <c r="B61" s="146">
        <v>0</v>
      </c>
      <c r="C61" s="146">
        <v>0</v>
      </c>
      <c r="D61" s="146">
        <v>0</v>
      </c>
      <c r="E61" s="146">
        <v>0</v>
      </c>
      <c r="F61" s="146">
        <v>0</v>
      </c>
      <c r="G61" s="146">
        <v>0</v>
      </c>
      <c r="H61" s="146">
        <v>0</v>
      </c>
      <c r="I61" s="146">
        <v>0</v>
      </c>
      <c r="J61" s="146">
        <v>0</v>
      </c>
      <c r="K61" s="146">
        <v>2.0279721018376211E-3</v>
      </c>
      <c r="L61" s="146">
        <v>1.0198337206042719E-3</v>
      </c>
      <c r="M61" s="146">
        <v>1.9000000000000001E-4</v>
      </c>
      <c r="N61" s="146">
        <v>5.6605539902138656E-4</v>
      </c>
      <c r="O61" s="146">
        <v>1.7143457731018109E-4</v>
      </c>
      <c r="P61" s="146">
        <v>3.1807759778573465E-4</v>
      </c>
      <c r="Q61" s="146">
        <v>2.5609999999999994E-2</v>
      </c>
      <c r="R61" s="146">
        <v>2.6800000000000001E-3</v>
      </c>
      <c r="S61" s="146">
        <v>1.2099999998789999E-3</v>
      </c>
      <c r="T61" s="146">
        <v>0</v>
      </c>
      <c r="U61" s="146">
        <v>0</v>
      </c>
      <c r="V61" s="146">
        <v>3.3999687277491621E-4</v>
      </c>
      <c r="W61" s="146">
        <v>0</v>
      </c>
      <c r="X61" s="146">
        <v>1.1199999999999999E-3</v>
      </c>
      <c r="Y61" s="146">
        <v>9.9999999992299998E-4</v>
      </c>
      <c r="Z61" s="146">
        <v>9.0000316498052734E-5</v>
      </c>
      <c r="AA61" s="146">
        <v>2.4999989230324382E-4</v>
      </c>
      <c r="AB61" s="146">
        <v>0</v>
      </c>
      <c r="AC61" s="146">
        <v>0</v>
      </c>
      <c r="AD61" s="146">
        <v>0</v>
      </c>
      <c r="AE61" s="146">
        <v>0</v>
      </c>
      <c r="AF61" s="146">
        <v>6.9999999714190008E-6</v>
      </c>
      <c r="AG61" s="146">
        <v>0</v>
      </c>
      <c r="AH61" s="146">
        <v>0</v>
      </c>
      <c r="AI61" s="146">
        <v>0</v>
      </c>
      <c r="AJ61" s="146">
        <v>0</v>
      </c>
      <c r="AK61" s="146">
        <v>1.6599945969698199E-3</v>
      </c>
      <c r="AL61" s="146">
        <v>4.5999816769213902E-4</v>
      </c>
      <c r="AM61" s="146">
        <v>0</v>
      </c>
      <c r="AN61" s="146">
        <v>0</v>
      </c>
      <c r="AO61" s="146">
        <v>0</v>
      </c>
      <c r="AP61" s="146">
        <v>0</v>
      </c>
      <c r="AQ61" s="146">
        <v>8.0000180104759355E-4</v>
      </c>
      <c r="AR61" s="146">
        <v>5.119459357972114E-5</v>
      </c>
      <c r="AS61" s="146">
        <v>2.9999821295828149E-5</v>
      </c>
      <c r="AT61" s="146">
        <v>0</v>
      </c>
      <c r="AU61" s="146">
        <v>0</v>
      </c>
      <c r="AV61" s="146">
        <v>0</v>
      </c>
      <c r="AW61" s="146">
        <v>1.2999999999999999E-4</v>
      </c>
      <c r="AX61" s="146">
        <v>0</v>
      </c>
      <c r="AY61" s="146">
        <v>0</v>
      </c>
      <c r="AZ61" s="146">
        <v>0</v>
      </c>
      <c r="BA61" s="146">
        <v>1.5119904408051368E-4</v>
      </c>
      <c r="BB61" s="146">
        <v>0</v>
      </c>
      <c r="BC61" s="146">
        <v>0</v>
      </c>
      <c r="BD61" s="146">
        <v>0</v>
      </c>
      <c r="BE61" s="146">
        <v>0</v>
      </c>
      <c r="BF61" s="146">
        <v>0</v>
      </c>
      <c r="BG61" s="146">
        <v>8.7100139893184735E-3</v>
      </c>
      <c r="BH61" s="146">
        <v>0</v>
      </c>
      <c r="BI61" s="146">
        <v>0</v>
      </c>
      <c r="BJ61" s="146">
        <v>0</v>
      </c>
      <c r="BK61" s="146">
        <v>0</v>
      </c>
      <c r="BL61" s="146">
        <v>0</v>
      </c>
      <c r="BM61" s="146">
        <v>0</v>
      </c>
      <c r="BN61" s="146">
        <v>0</v>
      </c>
      <c r="BO61" s="146">
        <v>0</v>
      </c>
      <c r="BP61" s="146">
        <v>0</v>
      </c>
      <c r="BQ61" s="146">
        <v>0</v>
      </c>
      <c r="BR61" s="146">
        <v>0</v>
      </c>
      <c r="BS61" s="146">
        <v>0</v>
      </c>
      <c r="BT61" s="146">
        <v>0</v>
      </c>
      <c r="BU61" s="146">
        <v>0</v>
      </c>
      <c r="BV61" s="146">
        <v>0</v>
      </c>
      <c r="BW61" s="146">
        <v>0</v>
      </c>
      <c r="BX61" s="146">
        <v>0</v>
      </c>
      <c r="BY61" s="146">
        <v>0</v>
      </c>
      <c r="BZ61" s="146">
        <v>0</v>
      </c>
      <c r="CA61" s="146">
        <v>0</v>
      </c>
      <c r="CB61" s="146">
        <v>0</v>
      </c>
      <c r="CC61" s="146">
        <v>0</v>
      </c>
      <c r="CD61" s="146">
        <v>0</v>
      </c>
      <c r="CE61" s="146">
        <v>0</v>
      </c>
      <c r="CF61" s="146">
        <v>0</v>
      </c>
      <c r="CG61" s="146">
        <v>0</v>
      </c>
      <c r="CH61" s="146">
        <v>0</v>
      </c>
      <c r="CI61" s="146">
        <v>0</v>
      </c>
      <c r="CJ61" s="146">
        <v>9.9999899462950535E-5</v>
      </c>
      <c r="CK61" s="146">
        <v>2.0000000000000002E-5</v>
      </c>
      <c r="CL61" s="146">
        <v>0</v>
      </c>
      <c r="CM61" s="146">
        <v>0</v>
      </c>
      <c r="CN61" s="146">
        <v>0</v>
      </c>
      <c r="CO61" s="146">
        <v>0</v>
      </c>
      <c r="CP61" s="146">
        <v>0</v>
      </c>
      <c r="CQ61" s="146">
        <v>0</v>
      </c>
      <c r="CR61" s="146">
        <v>0</v>
      </c>
      <c r="CS61" s="146">
        <v>0</v>
      </c>
      <c r="CT61" s="146">
        <v>0</v>
      </c>
      <c r="CU61" s="146">
        <v>0</v>
      </c>
      <c r="CV61" s="146">
        <v>0</v>
      </c>
    </row>
    <row r="62" spans="1:100" x14ac:dyDescent="0.15">
      <c r="A62" s="182" t="s">
        <v>252</v>
      </c>
      <c r="B62" s="146">
        <v>0</v>
      </c>
      <c r="C62" s="146">
        <v>0</v>
      </c>
      <c r="D62" s="146">
        <v>0</v>
      </c>
      <c r="E62" s="146">
        <v>0</v>
      </c>
      <c r="F62" s="146">
        <v>0</v>
      </c>
      <c r="G62" s="146">
        <v>0</v>
      </c>
      <c r="H62" s="146">
        <v>0</v>
      </c>
      <c r="I62" s="146">
        <v>0</v>
      </c>
      <c r="J62" s="146">
        <v>0</v>
      </c>
      <c r="K62" s="146">
        <v>0</v>
      </c>
      <c r="L62" s="146">
        <v>0</v>
      </c>
      <c r="M62" s="146">
        <v>0</v>
      </c>
      <c r="N62" s="146">
        <v>5.1459629911035061E-4</v>
      </c>
      <c r="O62" s="146">
        <v>5.0421931855935509E-4</v>
      </c>
      <c r="P62" s="146">
        <v>0</v>
      </c>
      <c r="Q62" s="146">
        <v>9.999999999999998E-4</v>
      </c>
      <c r="R62" s="146">
        <v>1E-3</v>
      </c>
      <c r="S62" s="146">
        <v>0</v>
      </c>
      <c r="T62" s="146">
        <v>0</v>
      </c>
      <c r="U62" s="146">
        <v>0</v>
      </c>
      <c r="V62" s="146">
        <v>0</v>
      </c>
      <c r="W62" s="146">
        <v>0</v>
      </c>
      <c r="X62" s="146">
        <v>0</v>
      </c>
      <c r="Y62" s="146">
        <v>6.5299999994971894E-2</v>
      </c>
      <c r="Z62" s="146">
        <v>0</v>
      </c>
      <c r="AA62" s="146">
        <v>9.9999926921298457E-3</v>
      </c>
      <c r="AB62" s="146">
        <v>0</v>
      </c>
      <c r="AC62" s="146">
        <v>0</v>
      </c>
      <c r="AD62" s="146">
        <v>0</v>
      </c>
      <c r="AE62" s="146">
        <v>0</v>
      </c>
      <c r="AF62" s="146">
        <v>0</v>
      </c>
      <c r="AG62" s="146">
        <v>0</v>
      </c>
      <c r="AH62" s="146">
        <v>1.399998932884015E-3</v>
      </c>
      <c r="AI62" s="146">
        <v>9.9999769631680858E-5</v>
      </c>
      <c r="AJ62" s="146">
        <v>0</v>
      </c>
      <c r="AK62" s="146">
        <v>0</v>
      </c>
      <c r="AL62" s="146">
        <v>0</v>
      </c>
      <c r="AM62" s="146">
        <v>0</v>
      </c>
      <c r="AN62" s="146">
        <v>0</v>
      </c>
      <c r="AO62" s="146">
        <v>0</v>
      </c>
      <c r="AP62" s="146">
        <v>0</v>
      </c>
      <c r="AQ62" s="146">
        <v>5.000005006547451E-4</v>
      </c>
      <c r="AR62" s="146">
        <v>2.0477757391890051E-3</v>
      </c>
      <c r="AS62" s="146">
        <v>1.9999890197218858E-3</v>
      </c>
      <c r="AT62" s="146">
        <v>9.999963987678594E-4</v>
      </c>
      <c r="AU62" s="146">
        <v>3.3801689807195141E-3</v>
      </c>
      <c r="AV62" s="146">
        <v>1E-3</v>
      </c>
      <c r="AW62" s="146">
        <v>0</v>
      </c>
      <c r="AX62" s="146">
        <v>0</v>
      </c>
      <c r="AY62" s="146">
        <v>3.0002687193866402E-2</v>
      </c>
      <c r="AZ62" s="146">
        <v>1.0000078752662892E-3</v>
      </c>
      <c r="BA62" s="146">
        <v>1.108792952590433E-4</v>
      </c>
      <c r="BB62" s="146">
        <v>1.2999999239352905E-3</v>
      </c>
      <c r="BC62" s="146">
        <v>2.1100060310086477E-3</v>
      </c>
      <c r="BD62" s="146">
        <v>1.0099969946803459E-3</v>
      </c>
      <c r="BE62" s="146">
        <v>0</v>
      </c>
      <c r="BF62" s="146">
        <v>0</v>
      </c>
      <c r="BG62" s="146">
        <v>1.0000036087736454E-2</v>
      </c>
      <c r="BH62" s="146">
        <v>5.0000000000000001E-4</v>
      </c>
      <c r="BI62" s="146">
        <v>0</v>
      </c>
      <c r="BJ62" s="146">
        <v>0</v>
      </c>
      <c r="BK62" s="146">
        <v>0</v>
      </c>
      <c r="BL62" s="146">
        <v>0</v>
      </c>
      <c r="BM62" s="146">
        <v>0</v>
      </c>
      <c r="BN62" s="146">
        <v>1.0000009990899989E-3</v>
      </c>
      <c r="BO62" s="146">
        <v>0</v>
      </c>
      <c r="BP62" s="146">
        <v>0</v>
      </c>
      <c r="BQ62" s="146">
        <v>0</v>
      </c>
      <c r="BR62" s="146">
        <v>0</v>
      </c>
      <c r="BS62" s="146">
        <v>0</v>
      </c>
      <c r="BT62" s="146">
        <v>0</v>
      </c>
      <c r="BU62" s="146">
        <v>0</v>
      </c>
      <c r="BV62" s="146">
        <v>0</v>
      </c>
      <c r="BW62" s="146">
        <v>0</v>
      </c>
      <c r="BX62" s="146">
        <v>0</v>
      </c>
      <c r="BY62" s="146">
        <v>2.8368788919912093E-3</v>
      </c>
      <c r="BZ62" s="146">
        <v>0</v>
      </c>
      <c r="CA62" s="146">
        <v>0</v>
      </c>
      <c r="CB62" s="146">
        <v>0</v>
      </c>
      <c r="CC62" s="146">
        <v>0</v>
      </c>
      <c r="CD62" s="146">
        <v>0</v>
      </c>
      <c r="CE62" s="146">
        <v>0</v>
      </c>
      <c r="CF62" s="146">
        <v>0</v>
      </c>
      <c r="CG62" s="146">
        <v>0</v>
      </c>
      <c r="CH62" s="146">
        <v>0</v>
      </c>
      <c r="CI62" s="146">
        <v>0</v>
      </c>
      <c r="CJ62" s="146">
        <v>9.999979946295107E-6</v>
      </c>
      <c r="CK62" s="146">
        <v>1.0000000000000001E-5</v>
      </c>
      <c r="CL62" s="146">
        <v>1.0000500937371853E-3</v>
      </c>
      <c r="CM62" s="146">
        <v>0</v>
      </c>
      <c r="CN62" s="146">
        <v>0</v>
      </c>
      <c r="CO62" s="146">
        <v>0</v>
      </c>
      <c r="CP62" s="146">
        <v>0</v>
      </c>
      <c r="CQ62" s="146">
        <v>0</v>
      </c>
      <c r="CR62" s="146">
        <v>0</v>
      </c>
      <c r="CS62" s="146">
        <v>0</v>
      </c>
      <c r="CT62" s="146">
        <v>0</v>
      </c>
      <c r="CU62" s="146">
        <v>0</v>
      </c>
      <c r="CV62" s="146">
        <v>0</v>
      </c>
    </row>
    <row r="63" spans="1:100" x14ac:dyDescent="0.15">
      <c r="A63" s="182" t="s">
        <v>253</v>
      </c>
      <c r="B63" s="146">
        <v>0</v>
      </c>
      <c r="C63" s="146">
        <v>0</v>
      </c>
      <c r="D63" s="146">
        <v>0</v>
      </c>
      <c r="E63" s="146">
        <v>0</v>
      </c>
      <c r="F63" s="146">
        <v>0</v>
      </c>
      <c r="G63" s="146">
        <v>0</v>
      </c>
      <c r="H63" s="146">
        <v>0</v>
      </c>
      <c r="I63" s="146">
        <v>0</v>
      </c>
      <c r="J63" s="146">
        <v>0</v>
      </c>
      <c r="K63" s="146">
        <v>5.0699299045940593E-3</v>
      </c>
      <c r="L63" s="146">
        <v>1.1558115393515082E-2</v>
      </c>
      <c r="M63" s="146">
        <v>0</v>
      </c>
      <c r="N63" s="146">
        <v>1.9554684666193281E-4</v>
      </c>
      <c r="O63" s="146">
        <v>5.0421931855935518E-5</v>
      </c>
      <c r="P63" s="146">
        <v>1.0260554628572175E-4</v>
      </c>
      <c r="Q63" s="146">
        <v>9.9999999999999985E-3</v>
      </c>
      <c r="R63" s="146">
        <v>2.7E-4</v>
      </c>
      <c r="S63" s="146">
        <v>2.39999999976E-4</v>
      </c>
      <c r="T63" s="146">
        <v>0</v>
      </c>
      <c r="U63" s="146">
        <v>0</v>
      </c>
      <c r="V63" s="146">
        <v>3.999964856175425E-5</v>
      </c>
      <c r="W63" s="146">
        <v>0</v>
      </c>
      <c r="X63" s="146">
        <v>4.4999999999999999E-4</v>
      </c>
      <c r="Y63" s="146">
        <v>9.9999999992299998E-4</v>
      </c>
      <c r="Z63" s="146">
        <v>4.0000098221355694E-5</v>
      </c>
      <c r="AA63" s="146">
        <v>3.9999978768519137E-6</v>
      </c>
      <c r="AB63" s="146">
        <v>0</v>
      </c>
      <c r="AC63" s="146">
        <v>0</v>
      </c>
      <c r="AD63" s="146">
        <v>0</v>
      </c>
      <c r="AE63" s="146">
        <v>0</v>
      </c>
      <c r="AF63" s="146">
        <v>2.9999999877510003E-6</v>
      </c>
      <c r="AG63" s="146">
        <v>0</v>
      </c>
      <c r="AH63" s="146">
        <v>0</v>
      </c>
      <c r="AI63" s="146">
        <v>0</v>
      </c>
      <c r="AJ63" s="146">
        <v>0</v>
      </c>
      <c r="AK63" s="146">
        <v>1.4999952672618854E-4</v>
      </c>
      <c r="AL63" s="146">
        <v>1.9999919595310409E-5</v>
      </c>
      <c r="AM63" s="146">
        <v>0</v>
      </c>
      <c r="AN63" s="146">
        <v>0</v>
      </c>
      <c r="AO63" s="146">
        <v>0</v>
      </c>
      <c r="AP63" s="146">
        <v>0</v>
      </c>
      <c r="AQ63" s="146">
        <v>1.0000010013094902E-5</v>
      </c>
      <c r="AR63" s="146">
        <v>1.023887799594504E-4</v>
      </c>
      <c r="AS63" s="146">
        <v>5.9999846291658313E-4</v>
      </c>
      <c r="AT63" s="146">
        <v>0</v>
      </c>
      <c r="AU63" s="146">
        <v>0</v>
      </c>
      <c r="AV63" s="146">
        <v>0</v>
      </c>
      <c r="AW63" s="146">
        <v>0</v>
      </c>
      <c r="AX63" s="146">
        <v>0</v>
      </c>
      <c r="AY63" s="146">
        <v>0</v>
      </c>
      <c r="AZ63" s="146">
        <v>0</v>
      </c>
      <c r="BA63" s="146">
        <v>5.0399675426837774E-5</v>
      </c>
      <c r="BB63" s="146">
        <v>0</v>
      </c>
      <c r="BC63" s="146">
        <v>0</v>
      </c>
      <c r="BD63" s="146">
        <v>0</v>
      </c>
      <c r="BE63" s="146">
        <v>0</v>
      </c>
      <c r="BF63" s="146">
        <v>0</v>
      </c>
      <c r="BG63" s="146">
        <v>1.0000015187736481E-5</v>
      </c>
      <c r="BH63" s="146">
        <v>0</v>
      </c>
      <c r="BI63" s="146">
        <v>0</v>
      </c>
      <c r="BJ63" s="146">
        <v>0</v>
      </c>
      <c r="BK63" s="146">
        <v>0</v>
      </c>
      <c r="BL63" s="146">
        <v>0</v>
      </c>
      <c r="BM63" s="146">
        <v>0</v>
      </c>
      <c r="BN63" s="146">
        <v>0</v>
      </c>
      <c r="BO63" s="146">
        <v>0</v>
      </c>
      <c r="BP63" s="146">
        <v>0</v>
      </c>
      <c r="BQ63" s="146">
        <v>0</v>
      </c>
      <c r="BR63" s="146">
        <v>0</v>
      </c>
      <c r="BS63" s="146">
        <v>0</v>
      </c>
      <c r="BT63" s="146">
        <v>0</v>
      </c>
      <c r="BU63" s="146">
        <v>0</v>
      </c>
      <c r="BV63" s="146">
        <v>0</v>
      </c>
      <c r="BW63" s="146">
        <v>0</v>
      </c>
      <c r="BX63" s="146">
        <v>0</v>
      </c>
      <c r="BY63" s="146">
        <v>0</v>
      </c>
      <c r="BZ63" s="146">
        <v>0</v>
      </c>
      <c r="CA63" s="146">
        <v>0</v>
      </c>
      <c r="CB63" s="146">
        <v>0</v>
      </c>
      <c r="CC63" s="146">
        <v>0</v>
      </c>
      <c r="CD63" s="146">
        <v>0</v>
      </c>
      <c r="CE63" s="146">
        <v>0</v>
      </c>
      <c r="CF63" s="146">
        <v>0</v>
      </c>
      <c r="CG63" s="146">
        <v>0</v>
      </c>
      <c r="CH63" s="146">
        <v>0</v>
      </c>
      <c r="CI63" s="146">
        <v>0</v>
      </c>
      <c r="CJ63" s="146">
        <v>9.9999809462951016E-4</v>
      </c>
      <c r="CK63" s="146">
        <v>2.0000000000000002E-5</v>
      </c>
      <c r="CL63" s="146">
        <v>0</v>
      </c>
      <c r="CM63" s="146">
        <v>0</v>
      </c>
      <c r="CN63" s="146">
        <v>0</v>
      </c>
      <c r="CO63" s="146">
        <v>0</v>
      </c>
      <c r="CP63" s="146">
        <v>0</v>
      </c>
      <c r="CQ63" s="146">
        <v>0</v>
      </c>
      <c r="CR63" s="146">
        <v>0</v>
      </c>
      <c r="CS63" s="146">
        <v>0</v>
      </c>
      <c r="CT63" s="146">
        <v>0</v>
      </c>
      <c r="CU63" s="146">
        <v>0</v>
      </c>
      <c r="CV63" s="146">
        <v>0</v>
      </c>
    </row>
    <row r="64" spans="1:100" x14ac:dyDescent="0.15">
      <c r="A64" s="182" t="s">
        <v>254</v>
      </c>
      <c r="B64" s="146">
        <v>0</v>
      </c>
      <c r="C64" s="146">
        <v>0</v>
      </c>
      <c r="D64" s="146">
        <v>0</v>
      </c>
      <c r="E64" s="146">
        <v>0</v>
      </c>
      <c r="F64" s="146">
        <v>0</v>
      </c>
      <c r="G64" s="146">
        <v>0</v>
      </c>
      <c r="H64" s="146">
        <v>0</v>
      </c>
      <c r="I64" s="146">
        <v>0</v>
      </c>
      <c r="J64" s="146">
        <v>0</v>
      </c>
      <c r="K64" s="146">
        <v>0</v>
      </c>
      <c r="L64" s="146">
        <v>0</v>
      </c>
      <c r="M64" s="146">
        <v>0</v>
      </c>
      <c r="N64" s="146">
        <v>1.0291925882207013E-3</v>
      </c>
      <c r="O64" s="146">
        <v>1.0084386771187118E-3</v>
      </c>
      <c r="P64" s="146">
        <v>0</v>
      </c>
      <c r="Q64" s="146">
        <v>2.5999999999999992E-4</v>
      </c>
      <c r="R64" s="146">
        <v>1.7000000000000001E-4</v>
      </c>
      <c r="S64" s="146">
        <v>0</v>
      </c>
      <c r="T64" s="146">
        <v>0</v>
      </c>
      <c r="U64" s="146">
        <v>0</v>
      </c>
      <c r="V64" s="146">
        <v>0</v>
      </c>
      <c r="W64" s="146">
        <v>0</v>
      </c>
      <c r="X64" s="146">
        <v>0</v>
      </c>
      <c r="Y64" s="146">
        <v>4.9999999996150006E-2</v>
      </c>
      <c r="Z64" s="146">
        <v>0</v>
      </c>
      <c r="AA64" s="146">
        <v>0</v>
      </c>
      <c r="AB64" s="146">
        <v>0</v>
      </c>
      <c r="AC64" s="146">
        <v>0</v>
      </c>
      <c r="AD64" s="146">
        <v>0</v>
      </c>
      <c r="AE64" s="146">
        <v>0</v>
      </c>
      <c r="AF64" s="146">
        <v>0</v>
      </c>
      <c r="AG64" s="146">
        <v>0</v>
      </c>
      <c r="AH64" s="146">
        <v>1.1999999281863185E-4</v>
      </c>
      <c r="AI64" s="146">
        <v>6.9999879742176438E-5</v>
      </c>
      <c r="AJ64" s="146">
        <v>0</v>
      </c>
      <c r="AK64" s="146">
        <v>0</v>
      </c>
      <c r="AL64" s="146">
        <v>0</v>
      </c>
      <c r="AM64" s="146">
        <v>0</v>
      </c>
      <c r="AN64" s="146">
        <v>0</v>
      </c>
      <c r="AO64" s="146">
        <v>0</v>
      </c>
      <c r="AP64" s="146">
        <v>0</v>
      </c>
      <c r="AQ64" s="146">
        <v>2.0000020026189804E-3</v>
      </c>
      <c r="AR64" s="146">
        <v>1.023887799594504E-4</v>
      </c>
      <c r="AS64" s="146">
        <v>1.9999848397218446E-4</v>
      </c>
      <c r="AT64" s="146">
        <v>0</v>
      </c>
      <c r="AU64" s="146">
        <v>2.0000999885914285E-5</v>
      </c>
      <c r="AV64" s="146">
        <v>1.9999999999999999E-6</v>
      </c>
      <c r="AW64" s="146">
        <v>0</v>
      </c>
      <c r="AX64" s="146">
        <v>0</v>
      </c>
      <c r="AY64" s="146">
        <v>5.0004480156444009E-3</v>
      </c>
      <c r="AZ64" s="146">
        <v>3.0000214657988129E-5</v>
      </c>
      <c r="BA64" s="146">
        <v>3.0239806316102685E-5</v>
      </c>
      <c r="BB64" s="146">
        <v>2.9999999583122122E-6</v>
      </c>
      <c r="BC64" s="146">
        <v>4.0000100587841458E-5</v>
      </c>
      <c r="BD64" s="146">
        <v>1.9999899894660527E-6</v>
      </c>
      <c r="BE64" s="146">
        <v>0</v>
      </c>
      <c r="BF64" s="146">
        <v>0</v>
      </c>
      <c r="BG64" s="146">
        <v>0</v>
      </c>
      <c r="BH64" s="146">
        <v>0</v>
      </c>
      <c r="BI64" s="146">
        <v>0</v>
      </c>
      <c r="BJ64" s="146">
        <v>0</v>
      </c>
      <c r="BK64" s="146">
        <v>0</v>
      </c>
      <c r="BL64" s="146">
        <v>0</v>
      </c>
      <c r="BM64" s="146">
        <v>0</v>
      </c>
      <c r="BN64" s="146">
        <v>9.9999999909000006E-6</v>
      </c>
      <c r="BO64" s="146">
        <v>0</v>
      </c>
      <c r="BP64" s="146">
        <v>0</v>
      </c>
      <c r="BQ64" s="146">
        <v>0</v>
      </c>
      <c r="BR64" s="146">
        <v>0</v>
      </c>
      <c r="BS64" s="146">
        <v>0</v>
      </c>
      <c r="BT64" s="146">
        <v>0</v>
      </c>
      <c r="BU64" s="146">
        <v>0</v>
      </c>
      <c r="BV64" s="146">
        <v>0</v>
      </c>
      <c r="BW64" s="146">
        <v>0</v>
      </c>
      <c r="BX64" s="146">
        <v>0</v>
      </c>
      <c r="BY64" s="146">
        <v>0</v>
      </c>
      <c r="BZ64" s="146">
        <v>0</v>
      </c>
      <c r="CA64" s="146">
        <v>0</v>
      </c>
      <c r="CB64" s="146">
        <v>0</v>
      </c>
      <c r="CC64" s="146">
        <v>0</v>
      </c>
      <c r="CD64" s="146">
        <v>0</v>
      </c>
      <c r="CE64" s="146">
        <v>0</v>
      </c>
      <c r="CF64" s="146">
        <v>0</v>
      </c>
      <c r="CG64" s="146">
        <v>0</v>
      </c>
      <c r="CH64" s="146">
        <v>0</v>
      </c>
      <c r="CI64" s="146">
        <v>0</v>
      </c>
      <c r="CJ64" s="146">
        <v>9.9999809462951016E-4</v>
      </c>
      <c r="CK64" s="146">
        <v>2.0000000000000002E-5</v>
      </c>
      <c r="CL64" s="146">
        <v>4.4002199284436236E-4</v>
      </c>
      <c r="CM64" s="146">
        <v>0</v>
      </c>
      <c r="CN64" s="146">
        <v>0</v>
      </c>
      <c r="CO64" s="146">
        <v>0</v>
      </c>
      <c r="CP64" s="146">
        <v>0</v>
      </c>
      <c r="CQ64" s="146">
        <v>0</v>
      </c>
      <c r="CR64" s="146">
        <v>0</v>
      </c>
      <c r="CS64" s="146">
        <v>0</v>
      </c>
      <c r="CT64" s="146">
        <v>0</v>
      </c>
      <c r="CU64" s="146">
        <v>0</v>
      </c>
      <c r="CV64" s="146">
        <v>0</v>
      </c>
    </row>
    <row r="65" spans="1:100" x14ac:dyDescent="0.15">
      <c r="A65" s="182" t="s">
        <v>255</v>
      </c>
      <c r="B65" s="146">
        <v>0</v>
      </c>
      <c r="C65" s="146">
        <v>0</v>
      </c>
      <c r="D65" s="146">
        <v>0</v>
      </c>
      <c r="E65" s="146">
        <v>0</v>
      </c>
      <c r="F65" s="146">
        <v>0</v>
      </c>
      <c r="G65" s="146">
        <v>0</v>
      </c>
      <c r="H65" s="146">
        <v>0</v>
      </c>
      <c r="I65" s="146">
        <v>0</v>
      </c>
      <c r="J65" s="146">
        <v>0</v>
      </c>
      <c r="K65" s="146">
        <v>2.2307691680213855E-2</v>
      </c>
      <c r="L65" s="146">
        <v>3.0000109723608986E-2</v>
      </c>
      <c r="M65" s="146">
        <v>4.4699999999999997E-2</v>
      </c>
      <c r="N65" s="146">
        <v>1.0000043482711628E-2</v>
      </c>
      <c r="O65" s="146">
        <v>1.0084386371187104E-2</v>
      </c>
      <c r="P65" s="146">
        <v>9.9999559303863073E-5</v>
      </c>
      <c r="Q65" s="146">
        <v>6.3999999999999986E-3</v>
      </c>
      <c r="R65" s="146">
        <v>1.3600000000000001E-3</v>
      </c>
      <c r="S65" s="146">
        <v>9.8999999990099998E-4</v>
      </c>
      <c r="T65" s="146">
        <v>0</v>
      </c>
      <c r="U65" s="146">
        <v>0</v>
      </c>
      <c r="V65" s="146">
        <v>1.1499897386504404E-3</v>
      </c>
      <c r="W65" s="146">
        <v>0</v>
      </c>
      <c r="X65" s="146">
        <v>0.11716</v>
      </c>
      <c r="Y65" s="146">
        <v>1.2299999999052899E-3</v>
      </c>
      <c r="Z65" s="146">
        <v>1.3700046949814665E-2</v>
      </c>
      <c r="AA65" s="146">
        <v>7.9999957537038271E-5</v>
      </c>
      <c r="AB65" s="146">
        <v>0</v>
      </c>
      <c r="AC65" s="146">
        <v>0</v>
      </c>
      <c r="AD65" s="146">
        <v>0</v>
      </c>
      <c r="AE65" s="146">
        <v>0</v>
      </c>
      <c r="AF65" s="146">
        <v>7.7999999681526008E-4</v>
      </c>
      <c r="AG65" s="146">
        <v>0</v>
      </c>
      <c r="AH65" s="146">
        <v>0</v>
      </c>
      <c r="AI65" s="146">
        <v>0</v>
      </c>
      <c r="AJ65" s="146">
        <v>1.1900047436558465E-3</v>
      </c>
      <c r="AK65" s="146">
        <v>1.9799934163856892E-3</v>
      </c>
      <c r="AL65" s="146">
        <v>9.2999623618193446E-4</v>
      </c>
      <c r="AM65" s="146">
        <v>0</v>
      </c>
      <c r="AN65" s="146">
        <v>0</v>
      </c>
      <c r="AO65" s="146">
        <v>0</v>
      </c>
      <c r="AP65" s="146">
        <v>0</v>
      </c>
      <c r="AQ65" s="146">
        <v>2.0000038226189827E-3</v>
      </c>
      <c r="AR65" s="146">
        <v>1.023887799594504E-4</v>
      </c>
      <c r="AS65" s="146">
        <v>4.9999874793048619E-4</v>
      </c>
      <c r="AT65" s="146">
        <v>0</v>
      </c>
      <c r="AU65" s="146">
        <v>0</v>
      </c>
      <c r="AV65" s="146">
        <v>0</v>
      </c>
      <c r="AW65" s="146">
        <v>1.8880000000000001E-2</v>
      </c>
      <c r="AX65" s="146">
        <v>5.480032065127002E-3</v>
      </c>
      <c r="AY65" s="146">
        <v>0</v>
      </c>
      <c r="AZ65" s="146">
        <v>0</v>
      </c>
      <c r="BA65" s="146">
        <v>2.0159872210735153E-3</v>
      </c>
      <c r="BB65" s="146">
        <v>0</v>
      </c>
      <c r="BC65" s="146">
        <v>0</v>
      </c>
      <c r="BD65" s="146">
        <v>0</v>
      </c>
      <c r="BE65" s="146">
        <v>0</v>
      </c>
      <c r="BF65" s="146">
        <v>0</v>
      </c>
      <c r="BG65" s="146">
        <v>2.5600089968605324E-3</v>
      </c>
      <c r="BH65" s="146">
        <v>0</v>
      </c>
      <c r="BI65" s="146">
        <v>0</v>
      </c>
      <c r="BJ65" s="146">
        <v>0</v>
      </c>
      <c r="BK65" s="146">
        <v>0</v>
      </c>
      <c r="BL65" s="146">
        <v>0</v>
      </c>
      <c r="BM65" s="146">
        <v>0</v>
      </c>
      <c r="BN65" s="146">
        <v>0</v>
      </c>
      <c r="BO65" s="146">
        <v>0</v>
      </c>
      <c r="BP65" s="146">
        <v>0</v>
      </c>
      <c r="BQ65" s="146">
        <v>0</v>
      </c>
      <c r="BR65" s="146">
        <v>0</v>
      </c>
      <c r="BS65" s="146">
        <v>0</v>
      </c>
      <c r="BT65" s="146">
        <v>0</v>
      </c>
      <c r="BU65" s="146">
        <v>0</v>
      </c>
      <c r="BV65" s="146">
        <v>0</v>
      </c>
      <c r="BW65" s="146">
        <v>0</v>
      </c>
      <c r="BX65" s="146">
        <v>0</v>
      </c>
      <c r="BY65" s="146">
        <v>0</v>
      </c>
      <c r="BZ65" s="146">
        <v>0</v>
      </c>
      <c r="CA65" s="146">
        <v>0</v>
      </c>
      <c r="CB65" s="146">
        <v>0</v>
      </c>
      <c r="CC65" s="146">
        <v>0</v>
      </c>
      <c r="CD65" s="146">
        <v>0</v>
      </c>
      <c r="CE65" s="146">
        <v>0</v>
      </c>
      <c r="CF65" s="146">
        <v>0</v>
      </c>
      <c r="CG65" s="146">
        <v>0</v>
      </c>
      <c r="CH65" s="146">
        <v>0</v>
      </c>
      <c r="CI65" s="146">
        <v>0</v>
      </c>
      <c r="CJ65" s="146">
        <v>0</v>
      </c>
      <c r="CK65" s="146">
        <v>0</v>
      </c>
      <c r="CL65" s="146">
        <v>0</v>
      </c>
      <c r="CM65" s="146">
        <v>0</v>
      </c>
      <c r="CN65" s="146">
        <v>0</v>
      </c>
      <c r="CO65" s="146">
        <v>0</v>
      </c>
      <c r="CP65" s="146">
        <v>0</v>
      </c>
      <c r="CQ65" s="146">
        <v>0</v>
      </c>
      <c r="CR65" s="146">
        <v>0</v>
      </c>
      <c r="CS65" s="146">
        <v>0</v>
      </c>
      <c r="CT65" s="146">
        <v>0</v>
      </c>
      <c r="CU65" s="146">
        <v>0</v>
      </c>
      <c r="CV65" s="146">
        <v>0</v>
      </c>
    </row>
    <row r="66" spans="1:100" x14ac:dyDescent="0.15">
      <c r="A66" s="182" t="s">
        <v>256</v>
      </c>
      <c r="B66" s="146">
        <v>0</v>
      </c>
      <c r="C66" s="146">
        <v>0</v>
      </c>
      <c r="D66" s="146">
        <v>0</v>
      </c>
      <c r="E66" s="146">
        <v>0</v>
      </c>
      <c r="F66" s="146">
        <v>0</v>
      </c>
      <c r="G66" s="146">
        <v>0</v>
      </c>
      <c r="H66" s="146">
        <v>0</v>
      </c>
      <c r="I66" s="146">
        <v>0</v>
      </c>
      <c r="J66" s="146">
        <v>0</v>
      </c>
      <c r="K66" s="146">
        <v>0</v>
      </c>
      <c r="L66" s="146">
        <v>0</v>
      </c>
      <c r="M66" s="146">
        <v>0</v>
      </c>
      <c r="N66" s="146">
        <v>7.5131025970111244E-4</v>
      </c>
      <c r="O66" s="146">
        <v>8.9751053303565751E-4</v>
      </c>
      <c r="P66" s="146">
        <v>0</v>
      </c>
      <c r="Q66" s="146">
        <v>1.3499999999999999E-3</v>
      </c>
      <c r="R66" s="146">
        <v>1E-3</v>
      </c>
      <c r="S66" s="146">
        <v>0</v>
      </c>
      <c r="T66" s="146">
        <v>0</v>
      </c>
      <c r="U66" s="146">
        <v>0</v>
      </c>
      <c r="V66" s="146">
        <v>0</v>
      </c>
      <c r="W66" s="146">
        <v>0</v>
      </c>
      <c r="X66" s="146">
        <v>0</v>
      </c>
      <c r="Y66" s="146">
        <v>0</v>
      </c>
      <c r="Z66" s="146">
        <v>0</v>
      </c>
      <c r="AA66" s="146">
        <v>1.9799986290417071E-2</v>
      </c>
      <c r="AB66" s="146">
        <v>0</v>
      </c>
      <c r="AC66" s="146">
        <v>0</v>
      </c>
      <c r="AD66" s="146">
        <v>0</v>
      </c>
      <c r="AE66" s="146">
        <v>0</v>
      </c>
      <c r="AF66" s="146">
        <v>0</v>
      </c>
      <c r="AG66" s="146">
        <v>0</v>
      </c>
      <c r="AH66" s="146">
        <v>5.899989768582501E-4</v>
      </c>
      <c r="AI66" s="146">
        <v>2.1459953820958697E-2</v>
      </c>
      <c r="AJ66" s="146">
        <v>0</v>
      </c>
      <c r="AK66" s="146">
        <v>0</v>
      </c>
      <c r="AL66" s="146">
        <v>2.4999895594138087E-2</v>
      </c>
      <c r="AM66" s="146">
        <v>0</v>
      </c>
      <c r="AN66" s="146">
        <v>0</v>
      </c>
      <c r="AO66" s="146">
        <v>0</v>
      </c>
      <c r="AP66" s="146">
        <v>0</v>
      </c>
      <c r="AQ66" s="146">
        <v>3.2000060041903725E-3</v>
      </c>
      <c r="AR66" s="146">
        <v>3.8907879224588304E-3</v>
      </c>
      <c r="AS66" s="146">
        <v>3.4799808943160814E-3</v>
      </c>
      <c r="AT66" s="146">
        <v>5.7199792829521557E-3</v>
      </c>
      <c r="AU66" s="146">
        <v>1.574078751021454E-2</v>
      </c>
      <c r="AV66" s="146">
        <v>1.1E-4</v>
      </c>
      <c r="AW66" s="146">
        <v>0</v>
      </c>
      <c r="AX66" s="146">
        <v>0</v>
      </c>
      <c r="AY66" s="146">
        <v>1.0000895731288801E-2</v>
      </c>
      <c r="AZ66" s="146">
        <v>1.0650084669085999E-2</v>
      </c>
      <c r="BA66" s="146">
        <v>1.108792952590433E-4</v>
      </c>
      <c r="BB66" s="146">
        <v>8.6099982247560061E-3</v>
      </c>
      <c r="BC66" s="146">
        <v>7.5700231112490564E-3</v>
      </c>
      <c r="BD66" s="146">
        <v>1.0099969946803459E-3</v>
      </c>
      <c r="BE66" s="146">
        <v>0</v>
      </c>
      <c r="BF66" s="146">
        <v>0</v>
      </c>
      <c r="BG66" s="146">
        <v>0</v>
      </c>
      <c r="BH66" s="146">
        <v>0</v>
      </c>
      <c r="BI66" s="146">
        <v>0</v>
      </c>
      <c r="BJ66" s="146">
        <v>0</v>
      </c>
      <c r="BK66" s="146">
        <v>0</v>
      </c>
      <c r="BL66" s="146">
        <v>0</v>
      </c>
      <c r="BM66" s="146">
        <v>0</v>
      </c>
      <c r="BN66" s="146">
        <v>3.3700029969332967E-3</v>
      </c>
      <c r="BO66" s="146">
        <v>0</v>
      </c>
      <c r="BP66" s="146">
        <v>0</v>
      </c>
      <c r="BQ66" s="146">
        <v>0</v>
      </c>
      <c r="BR66" s="146">
        <v>0</v>
      </c>
      <c r="BS66" s="146">
        <v>0</v>
      </c>
      <c r="BT66" s="146">
        <v>0</v>
      </c>
      <c r="BU66" s="146">
        <v>0</v>
      </c>
      <c r="BV66" s="146">
        <v>0</v>
      </c>
      <c r="BW66" s="146">
        <v>0</v>
      </c>
      <c r="BX66" s="146">
        <v>0</v>
      </c>
      <c r="BY66" s="146">
        <v>8.5916906728876509E-3</v>
      </c>
      <c r="BZ66" s="146">
        <v>0</v>
      </c>
      <c r="CA66" s="146">
        <v>0</v>
      </c>
      <c r="CB66" s="146">
        <v>0</v>
      </c>
      <c r="CC66" s="146">
        <v>0</v>
      </c>
      <c r="CD66" s="146">
        <v>0</v>
      </c>
      <c r="CE66" s="146">
        <v>0</v>
      </c>
      <c r="CF66" s="146">
        <v>0</v>
      </c>
      <c r="CG66" s="146">
        <v>0</v>
      </c>
      <c r="CH66" s="146">
        <v>0</v>
      </c>
      <c r="CI66" s="146">
        <v>0</v>
      </c>
      <c r="CJ66" s="146">
        <v>7.9999849570360805E-3</v>
      </c>
      <c r="CK66" s="146">
        <v>1.1000000000000001E-3</v>
      </c>
      <c r="CL66" s="146">
        <v>2.210110624059181E-3</v>
      </c>
      <c r="CM66" s="146">
        <v>0</v>
      </c>
      <c r="CN66" s="146">
        <v>0</v>
      </c>
      <c r="CO66" s="146">
        <v>0</v>
      </c>
      <c r="CP66" s="146">
        <v>0</v>
      </c>
      <c r="CQ66" s="146">
        <v>0</v>
      </c>
      <c r="CR66" s="146">
        <v>0</v>
      </c>
      <c r="CS66" s="146">
        <v>0</v>
      </c>
      <c r="CT66" s="146">
        <v>0</v>
      </c>
      <c r="CU66" s="146">
        <v>0</v>
      </c>
      <c r="CV66" s="146">
        <v>0</v>
      </c>
    </row>
    <row r="67" spans="1:100" x14ac:dyDescent="0.15">
      <c r="A67" s="182" t="s">
        <v>257</v>
      </c>
      <c r="B67" s="146">
        <v>0</v>
      </c>
      <c r="C67" s="146">
        <v>0</v>
      </c>
      <c r="D67" s="146">
        <v>0</v>
      </c>
      <c r="E67" s="146">
        <v>0</v>
      </c>
      <c r="F67" s="146">
        <v>0</v>
      </c>
      <c r="G67" s="146">
        <v>0</v>
      </c>
      <c r="H67" s="146">
        <v>0</v>
      </c>
      <c r="I67" s="146">
        <v>0</v>
      </c>
      <c r="J67" s="146">
        <v>0</v>
      </c>
      <c r="K67" s="146">
        <v>5.0699302445940527E-4</v>
      </c>
      <c r="L67" s="146">
        <v>1.4730933964283903E-3</v>
      </c>
      <c r="M67" s="146">
        <v>1.25E-3</v>
      </c>
      <c r="N67" s="146">
        <v>1.0000044282711625E-6</v>
      </c>
      <c r="O67" s="146">
        <v>1.0084387571187148E-5</v>
      </c>
      <c r="P67" s="146">
        <v>9.999955930386308E-6</v>
      </c>
      <c r="Q67" s="146">
        <v>9.9999999999999991E-6</v>
      </c>
      <c r="R67" s="146">
        <v>1E-4</v>
      </c>
      <c r="S67" s="146">
        <v>9.9999999989999993E-4</v>
      </c>
      <c r="T67" s="146">
        <v>0</v>
      </c>
      <c r="U67" s="146">
        <v>0</v>
      </c>
      <c r="V67" s="146">
        <v>2.3999748237054023E-4</v>
      </c>
      <c r="W67" s="146">
        <v>0</v>
      </c>
      <c r="X67" s="146">
        <v>1.0000000000000001E-5</v>
      </c>
      <c r="Y67" s="146">
        <v>1.24999999990375E-3</v>
      </c>
      <c r="Z67" s="146">
        <v>7.5000276115044274E-4</v>
      </c>
      <c r="AA67" s="146">
        <v>1.6999992176620595E-4</v>
      </c>
      <c r="AB67" s="146">
        <v>0</v>
      </c>
      <c r="AC67" s="146">
        <v>0</v>
      </c>
      <c r="AD67" s="146">
        <v>0</v>
      </c>
      <c r="AE67" s="146">
        <v>0</v>
      </c>
      <c r="AF67" s="146">
        <v>4.9999999795850005E-5</v>
      </c>
      <c r="AG67" s="146">
        <v>0</v>
      </c>
      <c r="AH67" s="146">
        <v>0</v>
      </c>
      <c r="AI67" s="146">
        <v>0</v>
      </c>
      <c r="AJ67" s="146">
        <v>5.2000209722776478E-4</v>
      </c>
      <c r="AK67" s="146">
        <v>9.7999689821109829E-4</v>
      </c>
      <c r="AL67" s="146">
        <v>4.6999812648979429E-4</v>
      </c>
      <c r="AM67" s="146">
        <v>0</v>
      </c>
      <c r="AN67" s="146">
        <v>0</v>
      </c>
      <c r="AO67" s="146">
        <v>0</v>
      </c>
      <c r="AP67" s="146">
        <v>0</v>
      </c>
      <c r="AQ67" s="146">
        <v>5.000004606547451E-5</v>
      </c>
      <c r="AR67" s="146">
        <v>1.0238878295945034E-5</v>
      </c>
      <c r="AS67" s="146">
        <v>9.9999440986094176E-7</v>
      </c>
      <c r="AT67" s="146">
        <v>1.9999888475357237E-5</v>
      </c>
      <c r="AU67" s="146">
        <v>0</v>
      </c>
      <c r="AV67" s="146">
        <v>0</v>
      </c>
      <c r="AW67" s="146">
        <v>1.6000000000000001E-3</v>
      </c>
      <c r="AX67" s="146">
        <v>4.9000290582340024E-4</v>
      </c>
      <c r="AY67" s="146">
        <v>2.00017908625776E-4</v>
      </c>
      <c r="AZ67" s="146">
        <v>2.0000077105323752E-4</v>
      </c>
      <c r="BA67" s="146">
        <v>3.0239808916102741E-4</v>
      </c>
      <c r="BB67" s="146">
        <v>0</v>
      </c>
      <c r="BC67" s="146">
        <v>0</v>
      </c>
      <c r="BD67" s="146">
        <v>0</v>
      </c>
      <c r="BE67" s="146">
        <v>0</v>
      </c>
      <c r="BF67" s="146">
        <v>0</v>
      </c>
      <c r="BG67" s="146">
        <v>5.0000176938682272E-4</v>
      </c>
      <c r="BH67" s="146">
        <v>0</v>
      </c>
      <c r="BI67" s="146">
        <v>0</v>
      </c>
      <c r="BJ67" s="146">
        <v>0</v>
      </c>
      <c r="BK67" s="146">
        <v>0</v>
      </c>
      <c r="BL67" s="146">
        <v>0</v>
      </c>
      <c r="BM67" s="146">
        <v>0</v>
      </c>
      <c r="BN67" s="146">
        <v>0</v>
      </c>
      <c r="BO67" s="146">
        <v>0</v>
      </c>
      <c r="BP67" s="146">
        <v>0</v>
      </c>
      <c r="BQ67" s="146">
        <v>0</v>
      </c>
      <c r="BR67" s="146">
        <v>0</v>
      </c>
      <c r="BS67" s="146">
        <v>0</v>
      </c>
      <c r="BT67" s="146">
        <v>0</v>
      </c>
      <c r="BU67" s="146">
        <v>0</v>
      </c>
      <c r="BV67" s="146">
        <v>0</v>
      </c>
      <c r="BW67" s="146">
        <v>0</v>
      </c>
      <c r="BX67" s="146">
        <v>0</v>
      </c>
      <c r="BY67" s="146">
        <v>1.6210736882806896E-4</v>
      </c>
      <c r="BZ67" s="146">
        <v>0</v>
      </c>
      <c r="CA67" s="146">
        <v>0</v>
      </c>
      <c r="CB67" s="146">
        <v>0</v>
      </c>
      <c r="CC67" s="146">
        <v>0</v>
      </c>
      <c r="CD67" s="146">
        <v>0</v>
      </c>
      <c r="CE67" s="146">
        <v>0</v>
      </c>
      <c r="CF67" s="146">
        <v>0</v>
      </c>
      <c r="CG67" s="146">
        <v>0</v>
      </c>
      <c r="CH67" s="146">
        <v>0</v>
      </c>
      <c r="CI67" s="146">
        <v>0</v>
      </c>
      <c r="CJ67" s="146">
        <v>3.9999959785180214E-5</v>
      </c>
      <c r="CK67" s="146">
        <v>0</v>
      </c>
      <c r="CL67" s="146">
        <v>0</v>
      </c>
      <c r="CM67" s="146">
        <v>0</v>
      </c>
      <c r="CN67" s="146">
        <v>0</v>
      </c>
      <c r="CO67" s="146">
        <v>0</v>
      </c>
      <c r="CP67" s="146">
        <v>0</v>
      </c>
      <c r="CQ67" s="146">
        <v>0</v>
      </c>
      <c r="CR67" s="146">
        <v>0</v>
      </c>
      <c r="CS67" s="146">
        <v>0</v>
      </c>
      <c r="CT67" s="146">
        <v>0</v>
      </c>
      <c r="CU67" s="146">
        <v>0</v>
      </c>
      <c r="CV67" s="146">
        <v>0</v>
      </c>
    </row>
    <row r="68" spans="1:100" x14ac:dyDescent="0.15">
      <c r="A68" s="182" t="s">
        <v>258</v>
      </c>
      <c r="B68" s="146">
        <v>0</v>
      </c>
      <c r="C68" s="146">
        <v>0</v>
      </c>
      <c r="D68" s="146">
        <v>0</v>
      </c>
      <c r="E68" s="146">
        <v>0</v>
      </c>
      <c r="F68" s="146">
        <v>0</v>
      </c>
      <c r="G68" s="146">
        <v>0</v>
      </c>
      <c r="H68" s="146">
        <v>0</v>
      </c>
      <c r="I68" s="146">
        <v>0</v>
      </c>
      <c r="J68" s="146">
        <v>0</v>
      </c>
      <c r="K68" s="146">
        <v>0</v>
      </c>
      <c r="L68" s="146">
        <v>0</v>
      </c>
      <c r="M68" s="146">
        <v>0</v>
      </c>
      <c r="N68" s="146">
        <v>0</v>
      </c>
      <c r="O68" s="146">
        <v>0</v>
      </c>
      <c r="P68" s="146">
        <v>0</v>
      </c>
      <c r="Q68" s="146">
        <v>0</v>
      </c>
      <c r="R68" s="146">
        <v>0</v>
      </c>
      <c r="S68" s="146">
        <v>0</v>
      </c>
      <c r="T68" s="146">
        <v>0</v>
      </c>
      <c r="U68" s="146">
        <v>0</v>
      </c>
      <c r="V68" s="146">
        <v>0</v>
      </c>
      <c r="W68" s="146">
        <v>0</v>
      </c>
      <c r="X68" s="146">
        <v>0</v>
      </c>
      <c r="Y68" s="146">
        <v>0</v>
      </c>
      <c r="Z68" s="146">
        <v>0</v>
      </c>
      <c r="AA68" s="146">
        <v>0</v>
      </c>
      <c r="AB68" s="146">
        <v>0</v>
      </c>
      <c r="AC68" s="146">
        <v>0</v>
      </c>
      <c r="AD68" s="146">
        <v>0</v>
      </c>
      <c r="AE68" s="146">
        <v>0</v>
      </c>
      <c r="AF68" s="146">
        <v>0</v>
      </c>
      <c r="AG68" s="146">
        <v>0</v>
      </c>
      <c r="AH68" s="146">
        <v>4.9999948874428803E-3</v>
      </c>
      <c r="AI68" s="146">
        <v>3.2199929881401219E-3</v>
      </c>
      <c r="AJ68" s="146">
        <v>0.14561058522372081</v>
      </c>
      <c r="AK68" s="146">
        <v>0</v>
      </c>
      <c r="AL68" s="146">
        <v>0</v>
      </c>
      <c r="AM68" s="146">
        <v>0</v>
      </c>
      <c r="AN68" s="146">
        <v>0</v>
      </c>
      <c r="AO68" s="146">
        <v>0</v>
      </c>
      <c r="AP68" s="146">
        <v>0</v>
      </c>
      <c r="AQ68" s="146">
        <v>4.0000040052379609E-5</v>
      </c>
      <c r="AR68" s="146">
        <v>1.0238878295945034E-5</v>
      </c>
      <c r="AS68" s="146">
        <v>1.9999848397218446E-4</v>
      </c>
      <c r="AT68" s="146">
        <v>1.1399954085953604E-3</v>
      </c>
      <c r="AU68" s="146">
        <v>1.0000499942957142E-3</v>
      </c>
      <c r="AV68" s="146">
        <v>5.5999999999999995E-4</v>
      </c>
      <c r="AW68" s="146">
        <v>0</v>
      </c>
      <c r="AX68" s="146">
        <v>0</v>
      </c>
      <c r="AY68" s="146">
        <v>0</v>
      </c>
      <c r="AZ68" s="146">
        <v>0</v>
      </c>
      <c r="BA68" s="146">
        <v>0</v>
      </c>
      <c r="BB68" s="146">
        <v>0</v>
      </c>
      <c r="BC68" s="146">
        <v>0</v>
      </c>
      <c r="BD68" s="146">
        <v>5.1999799726117058E-4</v>
      </c>
      <c r="BE68" s="146">
        <v>0</v>
      </c>
      <c r="BF68" s="146">
        <v>0</v>
      </c>
      <c r="BG68" s="146">
        <v>0</v>
      </c>
      <c r="BH68" s="146">
        <v>0</v>
      </c>
      <c r="BI68" s="146">
        <v>0</v>
      </c>
      <c r="BJ68" s="146">
        <v>0</v>
      </c>
      <c r="BK68" s="146">
        <v>0.15457000000000001</v>
      </c>
      <c r="BL68" s="146">
        <v>0.18490000000000001</v>
      </c>
      <c r="BM68" s="146">
        <v>2.9999970120029879E-2</v>
      </c>
      <c r="BN68" s="146">
        <v>1.120000998980799E-3</v>
      </c>
      <c r="BO68" s="146">
        <v>0</v>
      </c>
      <c r="BP68" s="146">
        <v>0</v>
      </c>
      <c r="BQ68" s="146">
        <v>0</v>
      </c>
      <c r="BR68" s="146">
        <v>0</v>
      </c>
      <c r="BS68" s="146">
        <v>0</v>
      </c>
      <c r="BT68" s="146">
        <v>0</v>
      </c>
      <c r="BU68" s="146">
        <v>0</v>
      </c>
      <c r="BV68" s="146">
        <v>0</v>
      </c>
      <c r="BW68" s="146">
        <v>0</v>
      </c>
      <c r="BX68" s="146">
        <v>0</v>
      </c>
      <c r="BY68" s="146">
        <v>0</v>
      </c>
      <c r="BZ68" s="146">
        <v>0</v>
      </c>
      <c r="CA68" s="146">
        <v>0</v>
      </c>
      <c r="CB68" s="146">
        <v>0</v>
      </c>
      <c r="CC68" s="146">
        <v>0</v>
      </c>
      <c r="CD68" s="146">
        <v>0.11</v>
      </c>
      <c r="CE68" s="146">
        <v>0</v>
      </c>
      <c r="CF68" s="146">
        <v>0</v>
      </c>
      <c r="CG68" s="146">
        <v>0</v>
      </c>
      <c r="CH68" s="146">
        <v>0</v>
      </c>
      <c r="CI68" s="146">
        <v>0</v>
      </c>
      <c r="CJ68" s="146">
        <v>0</v>
      </c>
      <c r="CK68" s="146">
        <v>0</v>
      </c>
      <c r="CL68" s="146">
        <v>0</v>
      </c>
      <c r="CM68" s="146">
        <v>0</v>
      </c>
      <c r="CN68" s="146">
        <v>0</v>
      </c>
      <c r="CO68" s="146">
        <v>0</v>
      </c>
      <c r="CP68" s="146">
        <v>0</v>
      </c>
      <c r="CQ68" s="146">
        <v>0</v>
      </c>
      <c r="CR68" s="146">
        <v>0</v>
      </c>
      <c r="CS68" s="146">
        <v>0</v>
      </c>
      <c r="CT68" s="146">
        <v>0</v>
      </c>
      <c r="CU68" s="146">
        <v>0</v>
      </c>
      <c r="CV68" s="146">
        <v>0</v>
      </c>
    </row>
    <row r="69" spans="1:100" x14ac:dyDescent="0.15">
      <c r="A69" s="182" t="s">
        <v>259</v>
      </c>
      <c r="B69" s="146">
        <v>0</v>
      </c>
      <c r="C69" s="146">
        <v>0</v>
      </c>
      <c r="D69" s="146">
        <v>0</v>
      </c>
      <c r="E69" s="146">
        <v>0</v>
      </c>
      <c r="F69" s="146">
        <v>0</v>
      </c>
      <c r="G69" s="146">
        <v>0</v>
      </c>
      <c r="H69" s="146">
        <v>0</v>
      </c>
      <c r="I69" s="146">
        <v>0</v>
      </c>
      <c r="J69" s="146">
        <v>0</v>
      </c>
      <c r="K69" s="146">
        <v>0</v>
      </c>
      <c r="L69" s="146">
        <v>0</v>
      </c>
      <c r="M69" s="146">
        <v>0</v>
      </c>
      <c r="N69" s="146">
        <v>0</v>
      </c>
      <c r="O69" s="146">
        <v>0</v>
      </c>
      <c r="P69" s="146">
        <v>0</v>
      </c>
      <c r="Q69" s="146">
        <v>0</v>
      </c>
      <c r="R69" s="146">
        <v>0</v>
      </c>
      <c r="S69" s="146">
        <v>0</v>
      </c>
      <c r="T69" s="146">
        <v>0</v>
      </c>
      <c r="U69" s="146">
        <v>0</v>
      </c>
      <c r="V69" s="146">
        <v>0</v>
      </c>
      <c r="W69" s="146">
        <v>0</v>
      </c>
      <c r="X69" s="146">
        <v>0</v>
      </c>
      <c r="Y69" s="146">
        <v>0</v>
      </c>
      <c r="Z69" s="146">
        <v>0</v>
      </c>
      <c r="AA69" s="146">
        <v>0</v>
      </c>
      <c r="AB69" s="146">
        <v>0</v>
      </c>
      <c r="AC69" s="146">
        <v>0</v>
      </c>
      <c r="AD69" s="146">
        <v>0</v>
      </c>
      <c r="AE69" s="146">
        <v>0</v>
      </c>
      <c r="AF69" s="146">
        <v>0</v>
      </c>
      <c r="AG69" s="146">
        <v>0</v>
      </c>
      <c r="AH69" s="146">
        <v>1.2999988705351536E-3</v>
      </c>
      <c r="AI69" s="146">
        <v>2.0999993922652822E-4</v>
      </c>
      <c r="AJ69" s="146">
        <v>4.4360179763507E-2</v>
      </c>
      <c r="AK69" s="146">
        <v>0</v>
      </c>
      <c r="AL69" s="146">
        <v>0</v>
      </c>
      <c r="AM69" s="146">
        <v>0</v>
      </c>
      <c r="AN69" s="146">
        <v>0</v>
      </c>
      <c r="AO69" s="146">
        <v>0</v>
      </c>
      <c r="AP69" s="146">
        <v>0</v>
      </c>
      <c r="AQ69" s="146">
        <v>9.9000190129639659E-7</v>
      </c>
      <c r="AR69" s="146">
        <v>2.3549523130671523E-7</v>
      </c>
      <c r="AS69" s="146">
        <v>2.599983445638429E-4</v>
      </c>
      <c r="AT69" s="146">
        <v>6.9999759913750149E-5</v>
      </c>
      <c r="AU69" s="146">
        <v>6.5003249629221429E-4</v>
      </c>
      <c r="AV69" s="146">
        <v>2.0000000000000002E-5</v>
      </c>
      <c r="AW69" s="146">
        <v>0</v>
      </c>
      <c r="AX69" s="146">
        <v>0</v>
      </c>
      <c r="AY69" s="146">
        <v>0</v>
      </c>
      <c r="AZ69" s="146">
        <v>0</v>
      </c>
      <c r="BA69" s="146">
        <v>0</v>
      </c>
      <c r="BB69" s="146">
        <v>0</v>
      </c>
      <c r="BC69" s="146">
        <v>0</v>
      </c>
      <c r="BD69" s="146">
        <v>9.9999699473301585E-6</v>
      </c>
      <c r="BE69" s="146">
        <v>0</v>
      </c>
      <c r="BF69" s="146">
        <v>0</v>
      </c>
      <c r="BG69" s="146">
        <v>0</v>
      </c>
      <c r="BH69" s="146">
        <v>0</v>
      </c>
      <c r="BI69" s="146">
        <v>0</v>
      </c>
      <c r="BJ69" s="146">
        <v>0</v>
      </c>
      <c r="BK69" s="146">
        <v>9.511E-2</v>
      </c>
      <c r="BL69" s="146">
        <v>0.111</v>
      </c>
      <c r="BM69" s="146">
        <v>9.5999900384095599E-4</v>
      </c>
      <c r="BN69" s="146">
        <v>1.9999999981800001E-5</v>
      </c>
      <c r="BO69" s="146">
        <v>0</v>
      </c>
      <c r="BP69" s="146">
        <v>0</v>
      </c>
      <c r="BQ69" s="146">
        <v>0</v>
      </c>
      <c r="BR69" s="146">
        <v>0</v>
      </c>
      <c r="BS69" s="146">
        <v>0</v>
      </c>
      <c r="BT69" s="146">
        <v>0</v>
      </c>
      <c r="BU69" s="146">
        <v>0</v>
      </c>
      <c r="BV69" s="146">
        <v>0</v>
      </c>
      <c r="BW69" s="146">
        <v>0</v>
      </c>
      <c r="BX69" s="146">
        <v>0</v>
      </c>
      <c r="BY69" s="146">
        <v>0</v>
      </c>
      <c r="BZ69" s="146">
        <v>0</v>
      </c>
      <c r="CA69" s="146">
        <v>0</v>
      </c>
      <c r="CB69" s="146">
        <v>0</v>
      </c>
      <c r="CC69" s="146">
        <v>0</v>
      </c>
      <c r="CD69" s="146">
        <v>0.81267999999999996</v>
      </c>
      <c r="CE69" s="146">
        <v>0</v>
      </c>
      <c r="CF69" s="146">
        <v>0</v>
      </c>
      <c r="CG69" s="146">
        <v>0</v>
      </c>
      <c r="CH69" s="146">
        <v>0</v>
      </c>
      <c r="CI69" s="146">
        <v>0</v>
      </c>
      <c r="CJ69" s="146">
        <v>6.9999834124065898E-5</v>
      </c>
      <c r="CK69" s="146">
        <v>0</v>
      </c>
      <c r="CL69" s="146">
        <v>0</v>
      </c>
      <c r="CM69" s="146">
        <v>0</v>
      </c>
      <c r="CN69" s="146">
        <v>0</v>
      </c>
      <c r="CO69" s="146">
        <v>0</v>
      </c>
      <c r="CP69" s="146">
        <v>0</v>
      </c>
      <c r="CQ69" s="146">
        <v>0</v>
      </c>
      <c r="CR69" s="146">
        <v>0</v>
      </c>
      <c r="CS69" s="146">
        <v>0</v>
      </c>
      <c r="CT69" s="146">
        <v>0</v>
      </c>
      <c r="CU69" s="146">
        <v>0</v>
      </c>
      <c r="CV69" s="146">
        <v>0</v>
      </c>
    </row>
    <row r="70" spans="1:100" x14ac:dyDescent="0.15">
      <c r="A70" s="182" t="s">
        <v>260</v>
      </c>
      <c r="B70" s="146">
        <v>0</v>
      </c>
      <c r="C70" s="146">
        <v>0</v>
      </c>
      <c r="D70" s="146">
        <v>0</v>
      </c>
      <c r="E70" s="146">
        <v>0</v>
      </c>
      <c r="F70" s="146">
        <v>0</v>
      </c>
      <c r="G70" s="146">
        <v>0</v>
      </c>
      <c r="H70" s="146">
        <v>0</v>
      </c>
      <c r="I70" s="146">
        <v>0</v>
      </c>
      <c r="J70" s="146">
        <v>0</v>
      </c>
      <c r="K70" s="146">
        <v>0</v>
      </c>
      <c r="L70" s="146">
        <v>0</v>
      </c>
      <c r="M70" s="146">
        <v>0</v>
      </c>
      <c r="N70" s="146">
        <v>0</v>
      </c>
      <c r="O70" s="146">
        <v>0</v>
      </c>
      <c r="P70" s="146">
        <v>0</v>
      </c>
      <c r="Q70" s="146">
        <v>0</v>
      </c>
      <c r="R70" s="146">
        <v>0</v>
      </c>
      <c r="S70" s="146">
        <v>0</v>
      </c>
      <c r="T70" s="146">
        <v>0</v>
      </c>
      <c r="U70" s="146">
        <v>0</v>
      </c>
      <c r="V70" s="146">
        <v>0</v>
      </c>
      <c r="W70" s="146">
        <v>0</v>
      </c>
      <c r="X70" s="146">
        <v>0</v>
      </c>
      <c r="Y70" s="146">
        <v>0</v>
      </c>
      <c r="Z70" s="146">
        <v>0</v>
      </c>
      <c r="AA70" s="146">
        <v>0</v>
      </c>
      <c r="AB70" s="146">
        <v>0</v>
      </c>
      <c r="AC70" s="146">
        <v>0</v>
      </c>
      <c r="AD70" s="146">
        <v>0</v>
      </c>
      <c r="AE70" s="146">
        <v>0</v>
      </c>
      <c r="AF70" s="146">
        <v>0</v>
      </c>
      <c r="AG70" s="146">
        <v>0</v>
      </c>
      <c r="AH70" s="146">
        <v>4.9999948874428803E-3</v>
      </c>
      <c r="AI70" s="146">
        <v>3.1799929882874497E-3</v>
      </c>
      <c r="AJ70" s="146">
        <v>0.11780046637198215</v>
      </c>
      <c r="AK70" s="146">
        <v>0</v>
      </c>
      <c r="AL70" s="146">
        <v>0</v>
      </c>
      <c r="AM70" s="146">
        <v>0</v>
      </c>
      <c r="AN70" s="146">
        <v>0</v>
      </c>
      <c r="AO70" s="146">
        <v>0</v>
      </c>
      <c r="AP70" s="146">
        <v>0</v>
      </c>
      <c r="AQ70" s="146">
        <v>2.0000020026189804E-5</v>
      </c>
      <c r="AR70" s="146">
        <v>6.1433478775666033E-6</v>
      </c>
      <c r="AS70" s="146">
        <v>7.999959078887573E-4</v>
      </c>
      <c r="AT70" s="146">
        <v>8.9999654889107367E-4</v>
      </c>
      <c r="AU70" s="146">
        <v>5.0002499714785712E-3</v>
      </c>
      <c r="AV70" s="146">
        <v>5.5999999999999995E-4</v>
      </c>
      <c r="AW70" s="146">
        <v>0</v>
      </c>
      <c r="AX70" s="146">
        <v>0</v>
      </c>
      <c r="AY70" s="146">
        <v>0</v>
      </c>
      <c r="AZ70" s="146">
        <v>0</v>
      </c>
      <c r="BA70" s="146">
        <v>0</v>
      </c>
      <c r="BB70" s="146">
        <v>0</v>
      </c>
      <c r="BC70" s="146">
        <v>0</v>
      </c>
      <c r="BD70" s="146">
        <v>2.5999899863058529E-4</v>
      </c>
      <c r="BE70" s="146">
        <v>0</v>
      </c>
      <c r="BF70" s="146">
        <v>0</v>
      </c>
      <c r="BG70" s="146">
        <v>0</v>
      </c>
      <c r="BH70" s="146">
        <v>0</v>
      </c>
      <c r="BI70" s="146">
        <v>0</v>
      </c>
      <c r="BJ70" s="146">
        <v>0</v>
      </c>
      <c r="BK70" s="146">
        <v>0.15</v>
      </c>
      <c r="BL70" s="146">
        <v>0.18490000000000001</v>
      </c>
      <c r="BM70" s="146">
        <v>2.3749975595023651E-2</v>
      </c>
      <c r="BN70" s="146">
        <v>5.7000099948129903E-4</v>
      </c>
      <c r="BO70" s="146">
        <v>0</v>
      </c>
      <c r="BP70" s="146">
        <v>0</v>
      </c>
      <c r="BQ70" s="146">
        <v>0</v>
      </c>
      <c r="BR70" s="146">
        <v>0</v>
      </c>
      <c r="BS70" s="146">
        <v>0</v>
      </c>
      <c r="BT70" s="146">
        <v>0</v>
      </c>
      <c r="BU70" s="146">
        <v>0</v>
      </c>
      <c r="BV70" s="146">
        <v>0</v>
      </c>
      <c r="BW70" s="146">
        <v>0</v>
      </c>
      <c r="BX70" s="146">
        <v>0</v>
      </c>
      <c r="BY70" s="146">
        <v>0</v>
      </c>
      <c r="BZ70" s="146">
        <v>0</v>
      </c>
      <c r="CA70" s="146">
        <v>0</v>
      </c>
      <c r="CB70" s="146">
        <v>0</v>
      </c>
      <c r="CC70" s="146">
        <v>0</v>
      </c>
      <c r="CD70" s="146">
        <v>6.2E-2</v>
      </c>
      <c r="CE70" s="146">
        <v>0</v>
      </c>
      <c r="CF70" s="146">
        <v>0</v>
      </c>
      <c r="CG70" s="146">
        <v>0</v>
      </c>
      <c r="CH70" s="146">
        <v>0</v>
      </c>
      <c r="CI70" s="146">
        <v>0</v>
      </c>
      <c r="CJ70" s="146">
        <v>1.5799964215146292E-3</v>
      </c>
      <c r="CK70" s="146">
        <v>0</v>
      </c>
      <c r="CL70" s="146">
        <v>0</v>
      </c>
      <c r="CM70" s="146">
        <v>0</v>
      </c>
      <c r="CN70" s="146">
        <v>0</v>
      </c>
      <c r="CO70" s="146">
        <v>0</v>
      </c>
      <c r="CP70" s="146">
        <v>0</v>
      </c>
      <c r="CQ70" s="146">
        <v>0</v>
      </c>
      <c r="CR70" s="146">
        <v>0</v>
      </c>
      <c r="CS70" s="146">
        <v>0</v>
      </c>
      <c r="CT70" s="146">
        <v>0</v>
      </c>
      <c r="CU70" s="146">
        <v>0</v>
      </c>
      <c r="CV70" s="146">
        <v>0</v>
      </c>
    </row>
    <row r="71" spans="1:100" x14ac:dyDescent="0.15">
      <c r="A71" s="182" t="s">
        <v>261</v>
      </c>
      <c r="B71" s="146">
        <v>0</v>
      </c>
      <c r="C71" s="146">
        <v>0</v>
      </c>
      <c r="D71" s="146">
        <v>0</v>
      </c>
      <c r="E71" s="146">
        <v>0</v>
      </c>
      <c r="F71" s="146">
        <v>0</v>
      </c>
      <c r="G71" s="146">
        <v>0</v>
      </c>
      <c r="H71" s="146">
        <v>0</v>
      </c>
      <c r="I71" s="146">
        <v>0</v>
      </c>
      <c r="J71" s="146">
        <v>0</v>
      </c>
      <c r="K71" s="146">
        <v>0</v>
      </c>
      <c r="L71" s="146">
        <v>0</v>
      </c>
      <c r="M71" s="146">
        <v>0</v>
      </c>
      <c r="N71" s="146">
        <v>0</v>
      </c>
      <c r="O71" s="146">
        <v>0</v>
      </c>
      <c r="P71" s="146">
        <v>0</v>
      </c>
      <c r="Q71" s="146">
        <v>0</v>
      </c>
      <c r="R71" s="146">
        <v>0</v>
      </c>
      <c r="S71" s="146">
        <v>0</v>
      </c>
      <c r="T71" s="146">
        <v>0</v>
      </c>
      <c r="U71" s="146">
        <v>0</v>
      </c>
      <c r="V71" s="146">
        <v>0</v>
      </c>
      <c r="W71" s="146">
        <v>0</v>
      </c>
      <c r="X71" s="146">
        <v>0</v>
      </c>
      <c r="Y71" s="146">
        <v>0</v>
      </c>
      <c r="Z71" s="146">
        <v>0</v>
      </c>
      <c r="AA71" s="146">
        <v>0</v>
      </c>
      <c r="AB71" s="146">
        <v>0</v>
      </c>
      <c r="AC71" s="146">
        <v>0</v>
      </c>
      <c r="AD71" s="146">
        <v>0</v>
      </c>
      <c r="AE71" s="146">
        <v>0</v>
      </c>
      <c r="AF71" s="146">
        <v>0</v>
      </c>
      <c r="AG71" s="146">
        <v>0</v>
      </c>
      <c r="AH71" s="146">
        <v>4.9999948874428803E-3</v>
      </c>
      <c r="AI71" s="146">
        <v>3.2199929881401219E-3</v>
      </c>
      <c r="AJ71" s="146">
        <v>0</v>
      </c>
      <c r="AK71" s="146">
        <v>0</v>
      </c>
      <c r="AL71" s="146">
        <v>0</v>
      </c>
      <c r="AM71" s="146">
        <v>0</v>
      </c>
      <c r="AN71" s="146">
        <v>0</v>
      </c>
      <c r="AO71" s="146">
        <v>0</v>
      </c>
      <c r="AP71" s="146">
        <v>0</v>
      </c>
      <c r="AQ71" s="146">
        <v>4.0000040052379609E-5</v>
      </c>
      <c r="AR71" s="146">
        <v>1.0238878295945034E-5</v>
      </c>
      <c r="AS71" s="146">
        <v>1.4999960147914562E-3</v>
      </c>
      <c r="AT71" s="146">
        <v>9.999963987678594E-4</v>
      </c>
      <c r="AU71" s="146">
        <v>2.4001199863097142E-4</v>
      </c>
      <c r="AV71" s="146">
        <v>1.1199999999999999E-3</v>
      </c>
      <c r="AW71" s="146">
        <v>0</v>
      </c>
      <c r="AX71" s="146">
        <v>0</v>
      </c>
      <c r="AY71" s="146">
        <v>0</v>
      </c>
      <c r="AZ71" s="146">
        <v>0</v>
      </c>
      <c r="BA71" s="146">
        <v>0</v>
      </c>
      <c r="BB71" s="146">
        <v>0</v>
      </c>
      <c r="BC71" s="146">
        <v>0</v>
      </c>
      <c r="BD71" s="146">
        <v>5.1999799726117058E-4</v>
      </c>
      <c r="BE71" s="146">
        <v>0</v>
      </c>
      <c r="BF71" s="146">
        <v>0</v>
      </c>
      <c r="BG71" s="146">
        <v>0</v>
      </c>
      <c r="BH71" s="146">
        <v>0</v>
      </c>
      <c r="BI71" s="146">
        <v>0</v>
      </c>
      <c r="BJ71" s="146">
        <v>0</v>
      </c>
      <c r="BK71" s="146">
        <v>0.14000000000000001</v>
      </c>
      <c r="BL71" s="146">
        <v>0.18490000000000001</v>
      </c>
      <c r="BM71" s="146">
        <v>5.4699950218854501E-3</v>
      </c>
      <c r="BN71" s="146">
        <v>1.120000998980799E-3</v>
      </c>
      <c r="BO71" s="146">
        <v>0</v>
      </c>
      <c r="BP71" s="146">
        <v>0</v>
      </c>
      <c r="BQ71" s="146">
        <v>0</v>
      </c>
      <c r="BR71" s="146">
        <v>0</v>
      </c>
      <c r="BS71" s="146">
        <v>0</v>
      </c>
      <c r="BT71" s="146">
        <v>0</v>
      </c>
      <c r="BU71" s="146">
        <v>0</v>
      </c>
      <c r="BV71" s="146">
        <v>0</v>
      </c>
      <c r="BW71" s="146">
        <v>0</v>
      </c>
      <c r="BX71" s="146">
        <v>0</v>
      </c>
      <c r="BY71" s="146">
        <v>0</v>
      </c>
      <c r="BZ71" s="146">
        <v>0</v>
      </c>
      <c r="CA71" s="146">
        <v>0</v>
      </c>
      <c r="CB71" s="146">
        <v>0</v>
      </c>
      <c r="CC71" s="146">
        <v>0</v>
      </c>
      <c r="CD71" s="146">
        <v>0</v>
      </c>
      <c r="CE71" s="146">
        <v>0</v>
      </c>
      <c r="CF71" s="146">
        <v>0</v>
      </c>
      <c r="CG71" s="146">
        <v>0</v>
      </c>
      <c r="CH71" s="146">
        <v>0</v>
      </c>
      <c r="CI71" s="146">
        <v>0</v>
      </c>
      <c r="CJ71" s="146">
        <v>0</v>
      </c>
      <c r="CK71" s="146">
        <v>0</v>
      </c>
      <c r="CL71" s="146">
        <v>0</v>
      </c>
      <c r="CM71" s="146">
        <v>0</v>
      </c>
      <c r="CN71" s="146">
        <v>0</v>
      </c>
      <c r="CO71" s="146">
        <v>0</v>
      </c>
      <c r="CP71" s="146">
        <v>0</v>
      </c>
      <c r="CQ71" s="146">
        <v>0</v>
      </c>
      <c r="CR71" s="146">
        <v>0</v>
      </c>
      <c r="CS71" s="146">
        <v>0</v>
      </c>
      <c r="CT71" s="146">
        <v>0</v>
      </c>
      <c r="CU71" s="146">
        <v>0</v>
      </c>
      <c r="CV71" s="146">
        <v>0</v>
      </c>
    </row>
    <row r="72" spans="1:100" x14ac:dyDescent="0.15">
      <c r="A72" s="182" t="s">
        <v>262</v>
      </c>
      <c r="B72" s="146">
        <v>0</v>
      </c>
      <c r="C72" s="146">
        <v>0</v>
      </c>
      <c r="D72" s="146">
        <v>0</v>
      </c>
      <c r="E72" s="146">
        <v>0</v>
      </c>
      <c r="F72" s="146">
        <v>0</v>
      </c>
      <c r="G72" s="146">
        <v>0</v>
      </c>
      <c r="H72" s="146">
        <v>0</v>
      </c>
      <c r="I72" s="146">
        <v>0</v>
      </c>
      <c r="J72" s="146">
        <v>0</v>
      </c>
      <c r="K72" s="146">
        <v>0</v>
      </c>
      <c r="L72" s="146">
        <v>0</v>
      </c>
      <c r="M72" s="146">
        <v>0</v>
      </c>
      <c r="N72" s="146">
        <v>0</v>
      </c>
      <c r="O72" s="146">
        <v>0</v>
      </c>
      <c r="P72" s="146">
        <v>0</v>
      </c>
      <c r="Q72" s="146">
        <v>0</v>
      </c>
      <c r="R72" s="146">
        <v>0</v>
      </c>
      <c r="S72" s="146">
        <v>0</v>
      </c>
      <c r="T72" s="146">
        <v>0</v>
      </c>
      <c r="U72" s="146">
        <v>0</v>
      </c>
      <c r="V72" s="146">
        <v>0</v>
      </c>
      <c r="W72" s="146">
        <v>0</v>
      </c>
      <c r="X72" s="146">
        <v>0</v>
      </c>
      <c r="Y72" s="146">
        <v>0</v>
      </c>
      <c r="Z72" s="146">
        <v>0</v>
      </c>
      <c r="AA72" s="146">
        <v>0</v>
      </c>
      <c r="AB72" s="146">
        <v>0</v>
      </c>
      <c r="AC72" s="146">
        <v>0</v>
      </c>
      <c r="AD72" s="146">
        <v>0</v>
      </c>
      <c r="AE72" s="146">
        <v>0</v>
      </c>
      <c r="AF72" s="146">
        <v>0</v>
      </c>
      <c r="AG72" s="146">
        <v>0</v>
      </c>
      <c r="AH72" s="146">
        <v>0</v>
      </c>
      <c r="AI72" s="146">
        <v>0</v>
      </c>
      <c r="AJ72" s="146">
        <v>0</v>
      </c>
      <c r="AK72" s="146">
        <v>0</v>
      </c>
      <c r="AL72" s="146">
        <v>0</v>
      </c>
      <c r="AM72" s="146">
        <v>0</v>
      </c>
      <c r="AN72" s="146">
        <v>0</v>
      </c>
      <c r="AO72" s="146">
        <v>0</v>
      </c>
      <c r="AP72" s="146">
        <v>0</v>
      </c>
      <c r="AQ72" s="146">
        <v>0</v>
      </c>
      <c r="AR72" s="146">
        <v>0</v>
      </c>
      <c r="AS72" s="146">
        <v>0</v>
      </c>
      <c r="AT72" s="146">
        <v>0</v>
      </c>
      <c r="AU72" s="146">
        <v>0</v>
      </c>
      <c r="AV72" s="146">
        <v>0</v>
      </c>
      <c r="AW72" s="146">
        <v>0</v>
      </c>
      <c r="AX72" s="146">
        <v>0</v>
      </c>
      <c r="AY72" s="146">
        <v>0</v>
      </c>
      <c r="AZ72" s="146">
        <v>0</v>
      </c>
      <c r="BA72" s="146">
        <v>0</v>
      </c>
      <c r="BB72" s="146">
        <v>0</v>
      </c>
      <c r="BC72" s="146">
        <v>0</v>
      </c>
      <c r="BD72" s="146">
        <v>0</v>
      </c>
      <c r="BE72" s="146">
        <v>0</v>
      </c>
      <c r="BF72" s="146">
        <v>0</v>
      </c>
      <c r="BG72" s="146">
        <v>0</v>
      </c>
      <c r="BH72" s="146">
        <v>0</v>
      </c>
      <c r="BI72" s="146">
        <v>0</v>
      </c>
      <c r="BJ72" s="146">
        <v>0</v>
      </c>
      <c r="BK72" s="146">
        <v>1.0970000000000001E-2</v>
      </c>
      <c r="BL72" s="146">
        <v>9.1999999999999998E-3</v>
      </c>
      <c r="BM72" s="146">
        <v>0</v>
      </c>
      <c r="BN72" s="146">
        <v>0</v>
      </c>
      <c r="BO72" s="146">
        <v>0</v>
      </c>
      <c r="BP72" s="146">
        <v>0</v>
      </c>
      <c r="BQ72" s="146">
        <v>0</v>
      </c>
      <c r="BR72" s="146">
        <v>0</v>
      </c>
      <c r="BS72" s="146">
        <v>0</v>
      </c>
      <c r="BT72" s="146">
        <v>0</v>
      </c>
      <c r="BU72" s="146">
        <v>0</v>
      </c>
      <c r="BV72" s="146">
        <v>0</v>
      </c>
      <c r="BW72" s="146">
        <v>0</v>
      </c>
      <c r="BX72" s="146">
        <v>0</v>
      </c>
      <c r="BY72" s="146">
        <v>0</v>
      </c>
      <c r="BZ72" s="146">
        <v>0</v>
      </c>
      <c r="CA72" s="146">
        <v>0</v>
      </c>
      <c r="CB72" s="146">
        <v>0</v>
      </c>
      <c r="CC72" s="146">
        <v>0</v>
      </c>
      <c r="CD72" s="146">
        <v>1.532E-2</v>
      </c>
      <c r="CE72" s="146">
        <v>0</v>
      </c>
      <c r="CF72" s="146">
        <v>0</v>
      </c>
      <c r="CG72" s="146">
        <v>0</v>
      </c>
      <c r="CH72" s="146">
        <v>0</v>
      </c>
      <c r="CI72" s="146">
        <v>0</v>
      </c>
      <c r="CJ72" s="146">
        <v>0</v>
      </c>
      <c r="CK72" s="146">
        <v>0</v>
      </c>
      <c r="CL72" s="146">
        <v>0</v>
      </c>
      <c r="CM72" s="146">
        <v>0</v>
      </c>
      <c r="CN72" s="146">
        <v>0</v>
      </c>
      <c r="CO72" s="146">
        <v>0</v>
      </c>
      <c r="CP72" s="146">
        <v>0</v>
      </c>
      <c r="CQ72" s="146">
        <v>0</v>
      </c>
      <c r="CR72" s="146">
        <v>0</v>
      </c>
      <c r="CS72" s="146">
        <v>0</v>
      </c>
      <c r="CT72" s="146">
        <v>0</v>
      </c>
      <c r="CU72" s="146">
        <v>0</v>
      </c>
      <c r="CV72" s="146">
        <v>0</v>
      </c>
    </row>
    <row r="73" spans="1:100" x14ac:dyDescent="0.15">
      <c r="A73" s="182" t="s">
        <v>263</v>
      </c>
      <c r="B73" s="146">
        <v>0</v>
      </c>
      <c r="C73" s="146">
        <v>0</v>
      </c>
      <c r="D73" s="146">
        <v>0</v>
      </c>
      <c r="E73" s="146">
        <v>0</v>
      </c>
      <c r="F73" s="146">
        <v>0</v>
      </c>
      <c r="G73" s="146">
        <v>0</v>
      </c>
      <c r="H73" s="146">
        <v>0</v>
      </c>
      <c r="I73" s="146">
        <v>0</v>
      </c>
      <c r="J73" s="146">
        <v>0</v>
      </c>
      <c r="K73" s="146">
        <v>0</v>
      </c>
      <c r="L73" s="146">
        <v>0</v>
      </c>
      <c r="M73" s="146">
        <v>0</v>
      </c>
      <c r="N73" s="146">
        <v>0</v>
      </c>
      <c r="O73" s="146">
        <v>0</v>
      </c>
      <c r="P73" s="146">
        <v>0</v>
      </c>
      <c r="Q73" s="146">
        <v>0</v>
      </c>
      <c r="R73" s="146">
        <v>0</v>
      </c>
      <c r="S73" s="146">
        <v>0</v>
      </c>
      <c r="T73" s="146">
        <v>0</v>
      </c>
      <c r="U73" s="146">
        <v>2.9999765384424007E-5</v>
      </c>
      <c r="V73" s="146">
        <v>0</v>
      </c>
      <c r="W73" s="146">
        <v>0</v>
      </c>
      <c r="X73" s="146">
        <v>0</v>
      </c>
      <c r="Y73" s="146">
        <v>0</v>
      </c>
      <c r="Z73" s="146">
        <v>7.0000261787374758E-5</v>
      </c>
      <c r="AA73" s="146">
        <v>0</v>
      </c>
      <c r="AB73" s="146">
        <v>0</v>
      </c>
      <c r="AC73" s="146">
        <v>0</v>
      </c>
      <c r="AD73" s="146">
        <v>0</v>
      </c>
      <c r="AE73" s="146">
        <v>0</v>
      </c>
      <c r="AF73" s="146">
        <v>0</v>
      </c>
      <c r="AG73" s="146">
        <v>0</v>
      </c>
      <c r="AH73" s="146">
        <v>4.9999948874428803E-3</v>
      </c>
      <c r="AI73" s="146">
        <v>9.9999769631680858E-5</v>
      </c>
      <c r="AJ73" s="146">
        <v>0</v>
      </c>
      <c r="AK73" s="146">
        <v>0</v>
      </c>
      <c r="AL73" s="146">
        <v>0</v>
      </c>
      <c r="AM73" s="146">
        <v>0</v>
      </c>
      <c r="AN73" s="146">
        <v>0</v>
      </c>
      <c r="AO73" s="146">
        <v>0</v>
      </c>
      <c r="AP73" s="146">
        <v>0</v>
      </c>
      <c r="AQ73" s="146">
        <v>1.0000009213094902E-4</v>
      </c>
      <c r="AR73" s="146">
        <v>2.0477858491888036E-5</v>
      </c>
      <c r="AS73" s="146">
        <v>7.9999590788875738E-5</v>
      </c>
      <c r="AT73" s="146">
        <v>9.9999639876785952E-6</v>
      </c>
      <c r="AU73" s="146">
        <v>1.0000499542957145E-4</v>
      </c>
      <c r="AV73" s="146">
        <v>0</v>
      </c>
      <c r="AW73" s="146">
        <v>0</v>
      </c>
      <c r="AX73" s="146">
        <v>0</v>
      </c>
      <c r="AY73" s="146">
        <v>0</v>
      </c>
      <c r="AZ73" s="146">
        <v>0</v>
      </c>
      <c r="BA73" s="146">
        <v>0</v>
      </c>
      <c r="BB73" s="146">
        <v>0</v>
      </c>
      <c r="BC73" s="146">
        <v>2.2000100323313465E-4</v>
      </c>
      <c r="BD73" s="146">
        <v>0</v>
      </c>
      <c r="BE73" s="146">
        <v>0</v>
      </c>
      <c r="BF73" s="146">
        <v>0</v>
      </c>
      <c r="BG73" s="146">
        <v>0</v>
      </c>
      <c r="BH73" s="146">
        <v>0</v>
      </c>
      <c r="BI73" s="146">
        <v>0</v>
      </c>
      <c r="BJ73" s="146">
        <v>0</v>
      </c>
      <c r="BK73" s="146">
        <v>0</v>
      </c>
      <c r="BL73" s="146">
        <v>0</v>
      </c>
      <c r="BM73" s="146">
        <v>1.0899990043610858E-3</v>
      </c>
      <c r="BN73" s="146">
        <v>0</v>
      </c>
      <c r="BO73" s="146">
        <v>0</v>
      </c>
      <c r="BP73" s="146">
        <v>0</v>
      </c>
      <c r="BQ73" s="146">
        <v>0</v>
      </c>
      <c r="BR73" s="146">
        <v>0</v>
      </c>
      <c r="BS73" s="146">
        <v>0</v>
      </c>
      <c r="BT73" s="146">
        <v>0</v>
      </c>
      <c r="BU73" s="146">
        <v>0</v>
      </c>
      <c r="BV73" s="146">
        <v>0</v>
      </c>
      <c r="BW73" s="146">
        <v>0</v>
      </c>
      <c r="BX73" s="146">
        <v>0</v>
      </c>
      <c r="BY73" s="146">
        <v>0</v>
      </c>
      <c r="BZ73" s="146">
        <v>0</v>
      </c>
      <c r="CA73" s="146">
        <v>0</v>
      </c>
      <c r="CB73" s="146">
        <v>0</v>
      </c>
      <c r="CC73" s="146">
        <v>0</v>
      </c>
      <c r="CD73" s="146">
        <v>0</v>
      </c>
      <c r="CE73" s="146">
        <v>0</v>
      </c>
      <c r="CF73" s="146">
        <v>0</v>
      </c>
      <c r="CG73" s="146">
        <v>0</v>
      </c>
      <c r="CH73" s="146">
        <v>0</v>
      </c>
      <c r="CI73" s="146">
        <v>0</v>
      </c>
      <c r="CJ73" s="146">
        <v>0</v>
      </c>
      <c r="CK73" s="146">
        <v>0</v>
      </c>
      <c r="CL73" s="146">
        <v>0</v>
      </c>
      <c r="CM73" s="146">
        <v>0</v>
      </c>
      <c r="CN73" s="146">
        <v>0</v>
      </c>
      <c r="CO73" s="146">
        <v>0</v>
      </c>
      <c r="CP73" s="146">
        <v>0</v>
      </c>
      <c r="CQ73" s="146">
        <v>0</v>
      </c>
      <c r="CR73" s="146">
        <v>0</v>
      </c>
      <c r="CS73" s="146">
        <v>0</v>
      </c>
      <c r="CT73" s="146">
        <v>0</v>
      </c>
      <c r="CU73" s="146">
        <v>0</v>
      </c>
      <c r="CV73" s="146">
        <v>0</v>
      </c>
    </row>
    <row r="74" spans="1:100" x14ac:dyDescent="0.15">
      <c r="A74" s="182" t="s">
        <v>264</v>
      </c>
      <c r="B74" s="146">
        <v>0</v>
      </c>
      <c r="C74" s="146">
        <v>0</v>
      </c>
      <c r="D74" s="146">
        <v>0</v>
      </c>
      <c r="E74" s="146">
        <v>0</v>
      </c>
      <c r="F74" s="146">
        <v>0</v>
      </c>
      <c r="G74" s="146">
        <v>4.4319999999999998E-2</v>
      </c>
      <c r="H74" s="146">
        <v>0</v>
      </c>
      <c r="I74" s="146">
        <v>0</v>
      </c>
      <c r="J74" s="146">
        <v>0.12300397707052596</v>
      </c>
      <c r="K74" s="146">
        <v>1.0139859809188119E-2</v>
      </c>
      <c r="L74" s="146">
        <v>7.2521514531859274E-2</v>
      </c>
      <c r="M74" s="146">
        <v>1.0619999999999999E-2</v>
      </c>
      <c r="N74" s="146">
        <v>0.14305062575268981</v>
      </c>
      <c r="O74" s="146">
        <v>7.2486582668093394E-2</v>
      </c>
      <c r="P74" s="146">
        <v>7.7499659460493878E-2</v>
      </c>
      <c r="Q74" s="146">
        <v>0</v>
      </c>
      <c r="R74" s="146">
        <v>0</v>
      </c>
      <c r="S74" s="146">
        <v>0</v>
      </c>
      <c r="T74" s="146">
        <v>1.478E-2</v>
      </c>
      <c r="U74" s="146">
        <v>1.2269906284629341E-2</v>
      </c>
      <c r="V74" s="146">
        <v>0</v>
      </c>
      <c r="W74" s="146">
        <v>1.0700025822997526E-2</v>
      </c>
      <c r="X74" s="146">
        <v>1.014E-2</v>
      </c>
      <c r="Y74" s="146">
        <v>0</v>
      </c>
      <c r="Z74" s="146">
        <v>0</v>
      </c>
      <c r="AA74" s="146">
        <v>3.3299968974792589E-3</v>
      </c>
      <c r="AB74" s="146">
        <v>1.07E-3</v>
      </c>
      <c r="AC74" s="146">
        <v>0</v>
      </c>
      <c r="AD74" s="146">
        <v>0</v>
      </c>
      <c r="AE74" s="146">
        <v>2.2450000000000005E-2</v>
      </c>
      <c r="AF74" s="146">
        <v>1.5859996835243632E-2</v>
      </c>
      <c r="AG74" s="146">
        <v>5.0000000000000001E-3</v>
      </c>
      <c r="AH74" s="146">
        <v>8.6999902043505897E-3</v>
      </c>
      <c r="AI74" s="146">
        <v>0</v>
      </c>
      <c r="AJ74" s="146">
        <v>0</v>
      </c>
      <c r="AK74" s="146">
        <v>0</v>
      </c>
      <c r="AL74" s="146">
        <v>0</v>
      </c>
      <c r="AM74" s="146">
        <v>0</v>
      </c>
      <c r="AN74" s="146">
        <v>0</v>
      </c>
      <c r="AO74" s="146">
        <v>0</v>
      </c>
      <c r="AP74" s="146">
        <v>0</v>
      </c>
      <c r="AQ74" s="146">
        <v>0</v>
      </c>
      <c r="AR74" s="146">
        <v>0</v>
      </c>
      <c r="AS74" s="146">
        <v>0</v>
      </c>
      <c r="AT74" s="146">
        <v>0</v>
      </c>
      <c r="AU74" s="146">
        <v>0</v>
      </c>
      <c r="AV74" s="146">
        <v>0</v>
      </c>
      <c r="AW74" s="146">
        <v>0</v>
      </c>
      <c r="AX74" s="146">
        <v>0</v>
      </c>
      <c r="AY74" s="146">
        <v>0</v>
      </c>
      <c r="AZ74" s="146">
        <v>0</v>
      </c>
      <c r="BA74" s="146">
        <v>0</v>
      </c>
      <c r="BB74" s="146">
        <v>0</v>
      </c>
      <c r="BC74" s="146">
        <v>0</v>
      </c>
      <c r="BD74" s="146">
        <v>0</v>
      </c>
      <c r="BE74" s="146">
        <v>1E-4</v>
      </c>
      <c r="BF74" s="146">
        <v>0</v>
      </c>
      <c r="BG74" s="146">
        <v>0</v>
      </c>
      <c r="BH74" s="146">
        <v>0</v>
      </c>
      <c r="BI74" s="146">
        <v>0</v>
      </c>
      <c r="BJ74" s="146">
        <v>0</v>
      </c>
      <c r="BK74" s="146">
        <v>0</v>
      </c>
      <c r="BL74" s="146">
        <v>0</v>
      </c>
      <c r="BM74" s="146">
        <v>0</v>
      </c>
      <c r="BN74" s="146">
        <v>0</v>
      </c>
      <c r="BO74" s="146">
        <v>0</v>
      </c>
      <c r="BP74" s="146">
        <v>0</v>
      </c>
      <c r="BQ74" s="146">
        <v>0</v>
      </c>
      <c r="BR74" s="146">
        <v>0</v>
      </c>
      <c r="BS74" s="146">
        <v>0</v>
      </c>
      <c r="BT74" s="146">
        <v>0</v>
      </c>
      <c r="BU74" s="146">
        <v>0</v>
      </c>
      <c r="BV74" s="146">
        <v>0.01</v>
      </c>
      <c r="BW74" s="146">
        <v>0</v>
      </c>
      <c r="BX74" s="146">
        <v>0.15148000000000003</v>
      </c>
      <c r="BY74" s="146">
        <v>2.0263421528508605E-2</v>
      </c>
      <c r="BZ74" s="146">
        <v>0</v>
      </c>
      <c r="CA74" s="146">
        <v>0</v>
      </c>
      <c r="CB74" s="146">
        <v>0.26512410282092042</v>
      </c>
      <c r="CC74" s="146">
        <v>0</v>
      </c>
      <c r="CD74" s="146">
        <v>0</v>
      </c>
      <c r="CE74" s="146">
        <v>0</v>
      </c>
      <c r="CF74" s="146">
        <v>0</v>
      </c>
      <c r="CG74" s="146">
        <v>0</v>
      </c>
      <c r="CH74" s="146">
        <v>0</v>
      </c>
      <c r="CI74" s="146">
        <v>0</v>
      </c>
      <c r="CJ74" s="146">
        <v>0</v>
      </c>
      <c r="CK74" s="146">
        <v>1.1E-4</v>
      </c>
      <c r="CL74" s="146">
        <v>0</v>
      </c>
      <c r="CM74" s="146">
        <v>0</v>
      </c>
      <c r="CN74" s="146">
        <v>0</v>
      </c>
      <c r="CO74" s="146">
        <v>0</v>
      </c>
      <c r="CP74" s="146">
        <v>0</v>
      </c>
      <c r="CQ74" s="146">
        <v>0</v>
      </c>
      <c r="CR74" s="146">
        <v>0</v>
      </c>
      <c r="CS74" s="146">
        <v>0</v>
      </c>
      <c r="CT74" s="146">
        <v>0</v>
      </c>
      <c r="CU74" s="146">
        <v>0</v>
      </c>
      <c r="CV74" s="146">
        <v>0</v>
      </c>
    </row>
    <row r="75" spans="1:100" x14ac:dyDescent="0.15">
      <c r="A75" s="182" t="s">
        <v>265</v>
      </c>
      <c r="B75" s="146">
        <v>0</v>
      </c>
      <c r="C75" s="146">
        <v>0</v>
      </c>
      <c r="D75" s="146">
        <v>0</v>
      </c>
      <c r="E75" s="146">
        <v>0</v>
      </c>
      <c r="F75" s="146">
        <v>0</v>
      </c>
      <c r="G75" s="146">
        <v>4.4319999999999998E-2</v>
      </c>
      <c r="H75" s="146">
        <v>0</v>
      </c>
      <c r="I75" s="146">
        <v>0</v>
      </c>
      <c r="J75" s="146">
        <v>0</v>
      </c>
      <c r="K75" s="146">
        <v>1.0139859809188119E-2</v>
      </c>
      <c r="L75" s="146">
        <v>2.9050105932361368E-2</v>
      </c>
      <c r="M75" s="146">
        <v>1.3270000000000001E-2</v>
      </c>
      <c r="N75" s="146">
        <v>2.6800164953667077E-2</v>
      </c>
      <c r="O75" s="146">
        <v>3.214902548334455E-2</v>
      </c>
      <c r="P75" s="146">
        <v>1.9999911860772619E-2</v>
      </c>
      <c r="Q75" s="146">
        <v>0</v>
      </c>
      <c r="R75" s="146">
        <v>0</v>
      </c>
      <c r="S75" s="146">
        <v>0</v>
      </c>
      <c r="T75" s="146">
        <v>1.48E-3</v>
      </c>
      <c r="U75" s="146">
        <v>5.3999693371959302E-4</v>
      </c>
      <c r="V75" s="146">
        <v>7.9999307123508146E-4</v>
      </c>
      <c r="W75" s="146">
        <v>4.0000090833635496E-2</v>
      </c>
      <c r="X75" s="146">
        <v>1.014E-2</v>
      </c>
      <c r="Y75" s="146">
        <v>2.9999999997689999E-2</v>
      </c>
      <c r="Z75" s="146">
        <v>1.3800041452367907E-3</v>
      </c>
      <c r="AA75" s="146">
        <v>3.3299968974792589E-3</v>
      </c>
      <c r="AB75" s="146">
        <v>1.3699999999999999E-3</v>
      </c>
      <c r="AC75" s="146">
        <v>2.1000000000000001E-4</v>
      </c>
      <c r="AD75" s="146">
        <v>2.97E-3</v>
      </c>
      <c r="AE75" s="146">
        <v>1.2470000000000002E-2</v>
      </c>
      <c r="AF75" s="146">
        <v>9.9999999591700011E-3</v>
      </c>
      <c r="AG75" s="146">
        <v>5.1399999999999996E-3</v>
      </c>
      <c r="AH75" s="146">
        <v>9.9999902348857708E-4</v>
      </c>
      <c r="AI75" s="146">
        <v>1.1599976557274967E-3</v>
      </c>
      <c r="AJ75" s="146">
        <v>0</v>
      </c>
      <c r="AK75" s="146">
        <v>9.9999679817459025E-2</v>
      </c>
      <c r="AL75" s="146">
        <v>1.3999944816717264E-4</v>
      </c>
      <c r="AM75" s="146">
        <v>1.0489999999999998E-2</v>
      </c>
      <c r="AN75" s="146">
        <v>4.2999999639444999E-4</v>
      </c>
      <c r="AO75" s="146">
        <v>4.8999999999999998E-4</v>
      </c>
      <c r="AP75" s="146">
        <v>4.0999999999999999E-4</v>
      </c>
      <c r="AQ75" s="146">
        <v>1.0000009113094902E-2</v>
      </c>
      <c r="AR75" s="146">
        <v>1.0238918295944236E-3</v>
      </c>
      <c r="AS75" s="146">
        <v>9.9999450986094289E-4</v>
      </c>
      <c r="AT75" s="146">
        <v>9.0999649887875227E-4</v>
      </c>
      <c r="AU75" s="146">
        <v>5.0002499714785712E-3</v>
      </c>
      <c r="AV75" s="146">
        <v>8.8999999999999995E-4</v>
      </c>
      <c r="AW75" s="146">
        <v>0.4</v>
      </c>
      <c r="AX75" s="146">
        <v>1.3710080162936348E-2</v>
      </c>
      <c r="AY75" s="146">
        <v>3.0002808293866784E-2</v>
      </c>
      <c r="AZ75" s="146">
        <v>9.7500772463463298E-3</v>
      </c>
      <c r="BA75" s="146">
        <v>2.5199838513418903E-2</v>
      </c>
      <c r="BB75" s="146">
        <v>1.0639998377747276E-2</v>
      </c>
      <c r="BC75" s="146">
        <v>2.0500060301268876E-3</v>
      </c>
      <c r="BD75" s="146">
        <v>9.0999699520704583E-4</v>
      </c>
      <c r="BE75" s="146">
        <v>2.0100000000000001E-3</v>
      </c>
      <c r="BF75" s="146">
        <v>1.2999999999999999E-4</v>
      </c>
      <c r="BG75" s="146">
        <v>1.000001558773648E-2</v>
      </c>
      <c r="BH75" s="146">
        <v>1.3799999999999999E-3</v>
      </c>
      <c r="BI75" s="146">
        <v>0</v>
      </c>
      <c r="BJ75" s="146">
        <v>0</v>
      </c>
      <c r="BK75" s="146">
        <v>0</v>
      </c>
      <c r="BL75" s="146">
        <v>0</v>
      </c>
      <c r="BM75" s="146">
        <v>1.0399990041610359E-3</v>
      </c>
      <c r="BN75" s="146">
        <v>1.610001998534898E-3</v>
      </c>
      <c r="BO75" s="146">
        <v>0</v>
      </c>
      <c r="BP75" s="146">
        <v>0</v>
      </c>
      <c r="BQ75" s="146">
        <v>0</v>
      </c>
      <c r="BR75" s="146">
        <v>0</v>
      </c>
      <c r="BS75" s="146">
        <v>0</v>
      </c>
      <c r="BT75" s="146">
        <v>0</v>
      </c>
      <c r="BU75" s="146">
        <v>0</v>
      </c>
      <c r="BV75" s="146">
        <v>1E-3</v>
      </c>
      <c r="BW75" s="146">
        <v>0</v>
      </c>
      <c r="BX75" s="146">
        <v>2.3070000000000004E-2</v>
      </c>
      <c r="BY75" s="146">
        <v>3.5562302046032706E-3</v>
      </c>
      <c r="BZ75" s="146">
        <v>0</v>
      </c>
      <c r="CA75" s="146">
        <v>0</v>
      </c>
      <c r="CB75" s="146">
        <v>1.4943360158997351E-2</v>
      </c>
      <c r="CC75" s="146">
        <v>0</v>
      </c>
      <c r="CD75" s="146">
        <v>0</v>
      </c>
      <c r="CE75" s="146">
        <v>0</v>
      </c>
      <c r="CF75" s="146">
        <v>0</v>
      </c>
      <c r="CG75" s="146">
        <v>0</v>
      </c>
      <c r="CH75" s="146">
        <v>0</v>
      </c>
      <c r="CI75" s="146">
        <v>0</v>
      </c>
      <c r="CJ75" s="146">
        <v>8.3999819548878966E-4</v>
      </c>
      <c r="CK75" s="146">
        <v>8.0000000000000007E-5</v>
      </c>
      <c r="CL75" s="146">
        <v>0</v>
      </c>
      <c r="CM75" s="146">
        <v>0</v>
      </c>
      <c r="CN75" s="146">
        <v>0</v>
      </c>
      <c r="CO75" s="146">
        <v>0</v>
      </c>
      <c r="CP75" s="146">
        <v>0</v>
      </c>
      <c r="CQ75" s="146">
        <v>0</v>
      </c>
      <c r="CR75" s="146">
        <v>0</v>
      </c>
      <c r="CS75" s="146">
        <v>0</v>
      </c>
      <c r="CT75" s="146">
        <v>0</v>
      </c>
      <c r="CU75" s="146">
        <v>0</v>
      </c>
      <c r="CV75" s="146">
        <v>0</v>
      </c>
    </row>
    <row r="76" spans="1:100" x14ac:dyDescent="0.15">
      <c r="A76" s="182" t="s">
        <v>266</v>
      </c>
      <c r="B76" s="146">
        <v>0.10352288380129819</v>
      </c>
      <c r="C76" s="146">
        <v>0.10382059932308968</v>
      </c>
      <c r="D76" s="146">
        <v>0.17453563277842893</v>
      </c>
      <c r="E76" s="146">
        <v>0</v>
      </c>
      <c r="F76" s="146">
        <v>0</v>
      </c>
      <c r="G76" s="146">
        <v>0</v>
      </c>
      <c r="H76" s="146">
        <v>0</v>
      </c>
      <c r="I76" s="146">
        <v>0</v>
      </c>
      <c r="J76" s="146">
        <v>0</v>
      </c>
      <c r="K76" s="146">
        <v>2.3118879564948923E-3</v>
      </c>
      <c r="L76" s="146">
        <v>1.9263530622525089E-3</v>
      </c>
      <c r="M76" s="146">
        <v>0.05</v>
      </c>
      <c r="N76" s="146">
        <v>1.0000043482711628E-2</v>
      </c>
      <c r="O76" s="146">
        <v>2.0168772742374209E-2</v>
      </c>
      <c r="P76" s="146">
        <v>0</v>
      </c>
      <c r="Q76" s="146">
        <v>9.9999999999999985E-3</v>
      </c>
      <c r="R76" s="146">
        <v>1.4999999999999999E-2</v>
      </c>
      <c r="S76" s="146">
        <v>1.2219999998778E-2</v>
      </c>
      <c r="T76" s="146">
        <v>5.9000000000000003E-4</v>
      </c>
      <c r="U76" s="146">
        <v>4.5999746242779887E-4</v>
      </c>
      <c r="V76" s="146">
        <v>3.7019768668900187E-2</v>
      </c>
      <c r="W76" s="146">
        <v>1.170002644383838E-3</v>
      </c>
      <c r="X76" s="146">
        <v>2.3E-2</v>
      </c>
      <c r="Y76" s="146">
        <v>3.6649999997177954E-2</v>
      </c>
      <c r="Z76" s="146">
        <v>2.8520096828227294E-2</v>
      </c>
      <c r="AA76" s="146">
        <v>8.2999942644677611E-4</v>
      </c>
      <c r="AB76" s="146">
        <v>5.0899999999999999E-3</v>
      </c>
      <c r="AC76" s="146">
        <v>0</v>
      </c>
      <c r="AD76" s="146">
        <v>5.5199999999999999E-2</v>
      </c>
      <c r="AE76" s="146">
        <v>2.2450000000000005E-2</v>
      </c>
      <c r="AF76" s="146">
        <v>1.3999999942838001E-4</v>
      </c>
      <c r="AG76" s="146">
        <v>0</v>
      </c>
      <c r="AH76" s="146">
        <v>4.9999948874428803E-3</v>
      </c>
      <c r="AI76" s="146">
        <v>1.9999993926336023E-5</v>
      </c>
      <c r="AJ76" s="146">
        <v>0</v>
      </c>
      <c r="AK76" s="146">
        <v>2.3999924256190167E-3</v>
      </c>
      <c r="AL76" s="146">
        <v>1.1799953361233124E-3</v>
      </c>
      <c r="AM76" s="146">
        <v>1.6999999999999999E-4</v>
      </c>
      <c r="AN76" s="146">
        <v>2.1599989818884085E-3</v>
      </c>
      <c r="AO76" s="146">
        <v>6.0999999999999997E-4</v>
      </c>
      <c r="AP76" s="146">
        <v>1.0000000000000001E-5</v>
      </c>
      <c r="AQ76" s="146">
        <v>3.0000058539284748E-3</v>
      </c>
      <c r="AR76" s="146">
        <v>5.1194582079721372E-3</v>
      </c>
      <c r="AS76" s="146">
        <v>9.9999440986094201E-5</v>
      </c>
      <c r="AT76" s="146">
        <v>9.9999639876785952E-6</v>
      </c>
      <c r="AU76" s="146">
        <v>1.1300564435541575E-3</v>
      </c>
      <c r="AV76" s="146">
        <v>1.1E-4</v>
      </c>
      <c r="AW76" s="146">
        <v>0</v>
      </c>
      <c r="AX76" s="146">
        <v>0</v>
      </c>
      <c r="AY76" s="146">
        <v>1.0000895731288801E-2</v>
      </c>
      <c r="AZ76" s="146">
        <v>1.5200118484047563E-3</v>
      </c>
      <c r="BA76" s="146">
        <v>5.0399677026837803E-3</v>
      </c>
      <c r="BB76" s="146">
        <v>9.999999261040692E-6</v>
      </c>
      <c r="BC76" s="146">
        <v>1.0600030155778037E-3</v>
      </c>
      <c r="BD76" s="146">
        <v>0</v>
      </c>
      <c r="BE76" s="146">
        <v>0</v>
      </c>
      <c r="BF76" s="146">
        <v>0</v>
      </c>
      <c r="BG76" s="146">
        <v>1.000001558773648E-2</v>
      </c>
      <c r="BH76" s="146">
        <v>6.2E-4</v>
      </c>
      <c r="BI76" s="146">
        <v>0</v>
      </c>
      <c r="BJ76" s="146">
        <v>0</v>
      </c>
      <c r="BK76" s="146">
        <v>0</v>
      </c>
      <c r="BL76" s="146">
        <v>0</v>
      </c>
      <c r="BM76" s="146">
        <v>5.4699950218854501E-3</v>
      </c>
      <c r="BN76" s="146">
        <v>5.6000099949039903E-4</v>
      </c>
      <c r="BO76" s="146">
        <v>0</v>
      </c>
      <c r="BP76" s="146">
        <v>0</v>
      </c>
      <c r="BQ76" s="146">
        <v>0</v>
      </c>
      <c r="BR76" s="146">
        <v>0</v>
      </c>
      <c r="BS76" s="146">
        <v>0</v>
      </c>
      <c r="BT76" s="146">
        <v>0</v>
      </c>
      <c r="BU76" s="146">
        <v>0</v>
      </c>
      <c r="BV76" s="146">
        <v>0</v>
      </c>
      <c r="BW76" s="146">
        <v>0</v>
      </c>
      <c r="BX76" s="146">
        <v>5.000000000000001E-3</v>
      </c>
      <c r="BY76" s="146">
        <v>1.0131710614254308E-5</v>
      </c>
      <c r="BZ76" s="146">
        <v>0</v>
      </c>
      <c r="CA76" s="146">
        <v>0</v>
      </c>
      <c r="CB76" s="146">
        <v>0</v>
      </c>
      <c r="CC76" s="146">
        <v>0</v>
      </c>
      <c r="CD76" s="146">
        <v>0</v>
      </c>
      <c r="CE76" s="146">
        <v>0</v>
      </c>
      <c r="CF76" s="146">
        <v>0</v>
      </c>
      <c r="CG76" s="146">
        <v>0</v>
      </c>
      <c r="CH76" s="146">
        <v>0</v>
      </c>
      <c r="CI76" s="146">
        <v>0</v>
      </c>
      <c r="CJ76" s="146">
        <v>0</v>
      </c>
      <c r="CK76" s="146">
        <v>0</v>
      </c>
      <c r="CL76" s="146">
        <v>0</v>
      </c>
      <c r="CM76" s="146">
        <v>0</v>
      </c>
      <c r="CN76" s="146">
        <v>0</v>
      </c>
      <c r="CO76" s="146">
        <v>0</v>
      </c>
      <c r="CP76" s="146">
        <v>0</v>
      </c>
      <c r="CQ76" s="146">
        <v>0</v>
      </c>
      <c r="CR76" s="146">
        <v>0</v>
      </c>
      <c r="CS76" s="146">
        <v>0</v>
      </c>
      <c r="CT76" s="146">
        <v>0</v>
      </c>
      <c r="CU76" s="146">
        <v>0</v>
      </c>
      <c r="CV76" s="146">
        <v>0</v>
      </c>
    </row>
    <row r="77" spans="1:100" x14ac:dyDescent="0.15">
      <c r="A77" s="182" t="s">
        <v>267</v>
      </c>
      <c r="B77" s="146">
        <v>0</v>
      </c>
      <c r="C77" s="146">
        <v>0</v>
      </c>
      <c r="D77" s="146">
        <v>0.12000875953523908</v>
      </c>
      <c r="E77" s="146">
        <v>0</v>
      </c>
      <c r="F77" s="146">
        <v>0</v>
      </c>
      <c r="G77" s="146">
        <v>0</v>
      </c>
      <c r="H77" s="146">
        <v>0</v>
      </c>
      <c r="I77" s="146">
        <v>0</v>
      </c>
      <c r="J77" s="146">
        <v>0</v>
      </c>
      <c r="K77" s="146">
        <v>1.3993006136679611E-3</v>
      </c>
      <c r="L77" s="146">
        <v>1.9263530622525089E-3</v>
      </c>
      <c r="M77" s="146">
        <v>0</v>
      </c>
      <c r="N77" s="146">
        <v>1.2041552679182205E-3</v>
      </c>
      <c r="O77" s="146">
        <v>1.4420673830797606E-3</v>
      </c>
      <c r="P77" s="146">
        <v>0</v>
      </c>
      <c r="Q77" s="146">
        <v>2.5609999999999994E-2</v>
      </c>
      <c r="R77" s="146">
        <v>2.7150000000000001E-2</v>
      </c>
      <c r="S77" s="146">
        <v>2.4359999997564E-2</v>
      </c>
      <c r="T77" s="146">
        <v>2.3600000000000001E-3</v>
      </c>
      <c r="U77" s="146">
        <v>6.8999567664171585E-4</v>
      </c>
      <c r="V77" s="146">
        <v>0</v>
      </c>
      <c r="W77" s="146">
        <v>0</v>
      </c>
      <c r="X77" s="146">
        <v>0</v>
      </c>
      <c r="Y77" s="146">
        <v>0</v>
      </c>
      <c r="Z77" s="146">
        <v>3.910013099837609E-3</v>
      </c>
      <c r="AA77" s="146">
        <v>6.1999968091204624E-4</v>
      </c>
      <c r="AB77" s="146">
        <v>8.0400000000000003E-3</v>
      </c>
      <c r="AC77" s="146">
        <v>0</v>
      </c>
      <c r="AD77" s="146">
        <v>0</v>
      </c>
      <c r="AE77" s="146">
        <v>0</v>
      </c>
      <c r="AF77" s="146">
        <v>1.9999999918340005E-5</v>
      </c>
      <c r="AG77" s="146">
        <v>1.9230000000000001E-2</v>
      </c>
      <c r="AH77" s="146">
        <v>5.6199935620057815E-3</v>
      </c>
      <c r="AI77" s="146">
        <v>5.7199876589321417E-3</v>
      </c>
      <c r="AJ77" s="146">
        <v>0</v>
      </c>
      <c r="AK77" s="146">
        <v>1.3199957075904592E-2</v>
      </c>
      <c r="AL77" s="146">
        <v>0</v>
      </c>
      <c r="AM77" s="146">
        <v>0</v>
      </c>
      <c r="AN77" s="146">
        <v>0</v>
      </c>
      <c r="AO77" s="146">
        <v>0</v>
      </c>
      <c r="AP77" s="146">
        <v>0</v>
      </c>
      <c r="AQ77" s="146">
        <v>2.0000038726189832E-2</v>
      </c>
      <c r="AR77" s="146">
        <v>4.0955514783780102E-3</v>
      </c>
      <c r="AS77" s="146">
        <v>3.4699810342174726E-3</v>
      </c>
      <c r="AT77" s="146">
        <v>9.999963987678594E-4</v>
      </c>
      <c r="AU77" s="146">
        <v>3.2001599817462856E-4</v>
      </c>
      <c r="AV77" s="146">
        <v>0</v>
      </c>
      <c r="AW77" s="146">
        <v>0</v>
      </c>
      <c r="AX77" s="146">
        <v>0</v>
      </c>
      <c r="AY77" s="146">
        <v>3.5003136909510811E-2</v>
      </c>
      <c r="AZ77" s="146">
        <v>2.0000076405323735E-2</v>
      </c>
      <c r="BA77" s="146">
        <v>1.0079935105367554E-4</v>
      </c>
      <c r="BB77" s="146">
        <v>0</v>
      </c>
      <c r="BC77" s="146">
        <v>2.2000100323313465E-4</v>
      </c>
      <c r="BD77" s="146">
        <v>0</v>
      </c>
      <c r="BE77" s="146">
        <v>0</v>
      </c>
      <c r="BF77" s="146">
        <v>0</v>
      </c>
      <c r="BG77" s="146">
        <v>0</v>
      </c>
      <c r="BH77" s="146">
        <v>0</v>
      </c>
      <c r="BI77" s="146">
        <v>0</v>
      </c>
      <c r="BJ77" s="146">
        <v>0</v>
      </c>
      <c r="BK77" s="146">
        <v>0</v>
      </c>
      <c r="BL77" s="146">
        <v>0</v>
      </c>
      <c r="BM77" s="146">
        <v>3.2799970131232683E-3</v>
      </c>
      <c r="BN77" s="146">
        <v>2.2500019979524982E-3</v>
      </c>
      <c r="BO77" s="146">
        <v>1.2979987210342872E-2</v>
      </c>
      <c r="BP77" s="146">
        <v>0</v>
      </c>
      <c r="BQ77" s="146">
        <v>0</v>
      </c>
      <c r="BR77" s="146">
        <v>0</v>
      </c>
      <c r="BS77" s="146">
        <v>0</v>
      </c>
      <c r="BT77" s="146">
        <v>0</v>
      </c>
      <c r="BU77" s="146">
        <v>0</v>
      </c>
      <c r="BV77" s="146">
        <v>0</v>
      </c>
      <c r="BW77" s="146">
        <v>0</v>
      </c>
      <c r="BX77" s="146">
        <v>0</v>
      </c>
      <c r="BY77" s="146">
        <v>1.0131710714254304E-2</v>
      </c>
      <c r="BZ77" s="146">
        <v>0</v>
      </c>
      <c r="CA77" s="146">
        <v>0</v>
      </c>
      <c r="CB77" s="146">
        <v>0</v>
      </c>
      <c r="CC77" s="146">
        <v>0</v>
      </c>
      <c r="CD77" s="146">
        <v>0</v>
      </c>
      <c r="CE77" s="146">
        <v>0</v>
      </c>
      <c r="CF77" s="146">
        <v>0</v>
      </c>
      <c r="CG77" s="146">
        <v>0</v>
      </c>
      <c r="CH77" s="146">
        <v>0</v>
      </c>
      <c r="CI77" s="146">
        <v>0</v>
      </c>
      <c r="CJ77" s="146">
        <v>9.9999909462950465E-4</v>
      </c>
      <c r="CK77" s="146">
        <v>0</v>
      </c>
      <c r="CL77" s="146">
        <v>0</v>
      </c>
      <c r="CM77" s="146">
        <v>0</v>
      </c>
      <c r="CN77" s="146">
        <v>0</v>
      </c>
      <c r="CO77" s="146">
        <v>0</v>
      </c>
      <c r="CP77" s="146">
        <v>0</v>
      </c>
      <c r="CQ77" s="146">
        <v>0</v>
      </c>
      <c r="CR77" s="146">
        <v>0</v>
      </c>
      <c r="CS77" s="146">
        <v>0</v>
      </c>
      <c r="CT77" s="146">
        <v>0</v>
      </c>
      <c r="CU77" s="146">
        <v>0</v>
      </c>
      <c r="CV77" s="146">
        <v>0</v>
      </c>
    </row>
    <row r="78" spans="1:100" x14ac:dyDescent="0.15">
      <c r="A78" s="182" t="s">
        <v>268</v>
      </c>
      <c r="B78" s="146">
        <v>0</v>
      </c>
      <c r="C78" s="146">
        <v>0</v>
      </c>
      <c r="D78" s="146">
        <v>0</v>
      </c>
      <c r="E78" s="146">
        <v>0</v>
      </c>
      <c r="F78" s="146">
        <v>0</v>
      </c>
      <c r="G78" s="146">
        <v>0.11079</v>
      </c>
      <c r="H78" s="146">
        <v>0</v>
      </c>
      <c r="I78" s="146">
        <v>0.13483957923731765</v>
      </c>
      <c r="J78" s="146">
        <v>0</v>
      </c>
      <c r="K78" s="146">
        <v>0</v>
      </c>
      <c r="L78" s="146">
        <v>0</v>
      </c>
      <c r="M78" s="146">
        <v>0</v>
      </c>
      <c r="N78" s="146">
        <v>5.5576339903917976E-4</v>
      </c>
      <c r="O78" s="146">
        <v>6.5548512412716203E-4</v>
      </c>
      <c r="P78" s="146">
        <v>0</v>
      </c>
      <c r="Q78" s="146">
        <v>2.9999999999999992E-2</v>
      </c>
      <c r="R78" s="146">
        <v>0.02</v>
      </c>
      <c r="S78" s="146">
        <v>2.9999999996999999E-2</v>
      </c>
      <c r="T78" s="146">
        <v>0</v>
      </c>
      <c r="U78" s="146">
        <v>2.9999765384424007E-5</v>
      </c>
      <c r="V78" s="146">
        <v>0</v>
      </c>
      <c r="W78" s="146">
        <v>0</v>
      </c>
      <c r="X78" s="146">
        <v>0</v>
      </c>
      <c r="Y78" s="146">
        <v>0</v>
      </c>
      <c r="Z78" s="146">
        <v>7.0000261787374758E-5</v>
      </c>
      <c r="AA78" s="146">
        <v>0</v>
      </c>
      <c r="AB78" s="146">
        <v>0</v>
      </c>
      <c r="AC78" s="146">
        <v>0</v>
      </c>
      <c r="AD78" s="146">
        <v>0</v>
      </c>
      <c r="AE78" s="146">
        <v>0</v>
      </c>
      <c r="AF78" s="146">
        <v>0</v>
      </c>
      <c r="AG78" s="146">
        <v>1.2840000000000001E-2</v>
      </c>
      <c r="AH78" s="146">
        <v>6.9999891644199463E-4</v>
      </c>
      <c r="AI78" s="146">
        <v>2.0999993922652822E-4</v>
      </c>
      <c r="AJ78" s="146">
        <v>0</v>
      </c>
      <c r="AK78" s="146">
        <v>0</v>
      </c>
      <c r="AL78" s="146">
        <v>0</v>
      </c>
      <c r="AM78" s="146">
        <v>0</v>
      </c>
      <c r="AN78" s="146">
        <v>0</v>
      </c>
      <c r="AO78" s="146">
        <v>0</v>
      </c>
      <c r="AP78" s="146">
        <v>0</v>
      </c>
      <c r="AQ78" s="146">
        <v>5.0000045465474511E-3</v>
      </c>
      <c r="AR78" s="146">
        <v>9.2149902363505354E-4</v>
      </c>
      <c r="AS78" s="146">
        <v>7.999959078887573E-4</v>
      </c>
      <c r="AT78" s="146">
        <v>1.1399954085953604E-3</v>
      </c>
      <c r="AU78" s="146">
        <v>3.2001599817462856E-4</v>
      </c>
      <c r="AV78" s="146">
        <v>0</v>
      </c>
      <c r="AW78" s="146">
        <v>0</v>
      </c>
      <c r="AX78" s="146">
        <v>0</v>
      </c>
      <c r="AY78" s="146">
        <v>1.3461206142114726E-2</v>
      </c>
      <c r="AZ78" s="146">
        <v>5.0000391263314396E-3</v>
      </c>
      <c r="BA78" s="146">
        <v>5.0399675426837774E-5</v>
      </c>
      <c r="BB78" s="146">
        <v>0</v>
      </c>
      <c r="BC78" s="146">
        <v>2.2000100323313465E-4</v>
      </c>
      <c r="BD78" s="146">
        <v>0</v>
      </c>
      <c r="BE78" s="146">
        <v>0</v>
      </c>
      <c r="BF78" s="146">
        <v>0</v>
      </c>
      <c r="BG78" s="146">
        <v>0</v>
      </c>
      <c r="BH78" s="146">
        <v>0</v>
      </c>
      <c r="BI78" s="146">
        <v>0</v>
      </c>
      <c r="BJ78" s="146">
        <v>0</v>
      </c>
      <c r="BK78" s="146">
        <v>0</v>
      </c>
      <c r="BL78" s="146">
        <v>0</v>
      </c>
      <c r="BM78" s="146">
        <v>1.0899990043610858E-3</v>
      </c>
      <c r="BN78" s="146">
        <v>1.0999999989989999E-4</v>
      </c>
      <c r="BO78" s="146">
        <v>2.5959974420685743E-2</v>
      </c>
      <c r="BP78" s="146">
        <v>0</v>
      </c>
      <c r="BQ78" s="146">
        <v>0</v>
      </c>
      <c r="BR78" s="146">
        <v>0</v>
      </c>
      <c r="BS78" s="146">
        <v>0</v>
      </c>
      <c r="BT78" s="146">
        <v>0</v>
      </c>
      <c r="BU78" s="146">
        <v>0</v>
      </c>
      <c r="BV78" s="146">
        <v>0</v>
      </c>
      <c r="BW78" s="146">
        <v>0</v>
      </c>
      <c r="BX78" s="146">
        <v>0</v>
      </c>
      <c r="BY78" s="146">
        <v>1.0131710714254304E-2</v>
      </c>
      <c r="BZ78" s="146">
        <v>0</v>
      </c>
      <c r="CA78" s="146">
        <v>0</v>
      </c>
      <c r="CB78" s="146">
        <v>0</v>
      </c>
      <c r="CC78" s="146">
        <v>0</v>
      </c>
      <c r="CD78" s="146">
        <v>0</v>
      </c>
      <c r="CE78" s="146">
        <v>0</v>
      </c>
      <c r="CF78" s="146">
        <v>0</v>
      </c>
      <c r="CG78" s="146">
        <v>0</v>
      </c>
      <c r="CH78" s="146">
        <v>0</v>
      </c>
      <c r="CI78" s="146">
        <v>0</v>
      </c>
      <c r="CJ78" s="146">
        <v>9.9999899462950535E-5</v>
      </c>
      <c r="CK78" s="146">
        <v>1E-4</v>
      </c>
      <c r="CL78" s="146">
        <v>0</v>
      </c>
      <c r="CM78" s="146">
        <v>0</v>
      </c>
      <c r="CN78" s="146">
        <v>0</v>
      </c>
      <c r="CO78" s="146">
        <v>0</v>
      </c>
      <c r="CP78" s="146">
        <v>0</v>
      </c>
      <c r="CQ78" s="146">
        <v>0</v>
      </c>
      <c r="CR78" s="146">
        <v>0</v>
      </c>
      <c r="CS78" s="146">
        <v>0</v>
      </c>
      <c r="CT78" s="146">
        <v>0</v>
      </c>
      <c r="CU78" s="146">
        <v>0</v>
      </c>
      <c r="CV78" s="146">
        <v>0</v>
      </c>
    </row>
    <row r="79" spans="1:100" x14ac:dyDescent="0.15">
      <c r="A79" s="182" t="s">
        <v>269</v>
      </c>
      <c r="B79" s="146">
        <v>0</v>
      </c>
      <c r="C79" s="146">
        <v>0</v>
      </c>
      <c r="D79" s="146">
        <v>0</v>
      </c>
      <c r="E79" s="146">
        <v>0</v>
      </c>
      <c r="F79" s="146">
        <v>0</v>
      </c>
      <c r="G79" s="146">
        <v>0</v>
      </c>
      <c r="H79" s="146">
        <v>0</v>
      </c>
      <c r="I79" s="146">
        <v>0</v>
      </c>
      <c r="J79" s="146">
        <v>8.1481251371573915E-2</v>
      </c>
      <c r="K79" s="146">
        <v>1.0139860509188105E-3</v>
      </c>
      <c r="L79" s="146">
        <v>1.2464634985163317E-3</v>
      </c>
      <c r="M79" s="146">
        <v>1E-3</v>
      </c>
      <c r="N79" s="146">
        <v>1.0000043482711626E-3</v>
      </c>
      <c r="O79" s="146">
        <v>2.1580586494340387E-3</v>
      </c>
      <c r="P79" s="146">
        <v>0</v>
      </c>
      <c r="Q79" s="146">
        <v>3.9999999999999992E-3</v>
      </c>
      <c r="R79" s="146">
        <v>2.0000000000000001E-4</v>
      </c>
      <c r="S79" s="146">
        <v>2.9999999997E-3</v>
      </c>
      <c r="T79" s="146">
        <v>1.6000000000000001E-4</v>
      </c>
      <c r="U79" s="146">
        <v>6.9999567630318785E-5</v>
      </c>
      <c r="V79" s="146">
        <v>0</v>
      </c>
      <c r="W79" s="146">
        <v>7.0000071458860294E-5</v>
      </c>
      <c r="X79" s="146">
        <v>1.57E-3</v>
      </c>
      <c r="Y79" s="146">
        <v>0</v>
      </c>
      <c r="Z79" s="146">
        <v>4.1000097846889515E-4</v>
      </c>
      <c r="AA79" s="146">
        <v>5.9999963852778836E-6</v>
      </c>
      <c r="AB79" s="146">
        <v>8.4000000000000003E-4</v>
      </c>
      <c r="AC79" s="146">
        <v>0</v>
      </c>
      <c r="AD79" s="146">
        <v>0</v>
      </c>
      <c r="AE79" s="146">
        <v>0</v>
      </c>
      <c r="AF79" s="146">
        <v>6.9999999714190006E-4</v>
      </c>
      <c r="AG79" s="146">
        <v>9.7999999999999997E-4</v>
      </c>
      <c r="AH79" s="146">
        <v>1.9999998469771965E-4</v>
      </c>
      <c r="AI79" s="146">
        <v>4.9999885815840418E-5</v>
      </c>
      <c r="AJ79" s="146">
        <v>0</v>
      </c>
      <c r="AK79" s="146">
        <v>2.5999915652539347E-4</v>
      </c>
      <c r="AL79" s="146">
        <v>2.2999908334606954E-4</v>
      </c>
      <c r="AM79" s="146">
        <v>1.3699999999999997E-3</v>
      </c>
      <c r="AN79" s="146">
        <v>7.0999999404665001E-4</v>
      </c>
      <c r="AO79" s="146">
        <v>3.3E-4</v>
      </c>
      <c r="AP79" s="146">
        <v>1.7000000000000001E-4</v>
      </c>
      <c r="AQ79" s="146">
        <v>5.000005006547451E-4</v>
      </c>
      <c r="AR79" s="146">
        <v>1.023887799594504E-4</v>
      </c>
      <c r="AS79" s="146">
        <v>9.9999430986094089E-6</v>
      </c>
      <c r="AT79" s="146">
        <v>9.9999639876785952E-6</v>
      </c>
      <c r="AU79" s="146">
        <v>1.0000499542957145E-4</v>
      </c>
      <c r="AV79" s="146">
        <v>8.0000000000000007E-5</v>
      </c>
      <c r="AW79" s="146">
        <v>3.6999999999999999E-4</v>
      </c>
      <c r="AX79" s="146">
        <v>3.6000163927841057E-4</v>
      </c>
      <c r="AY79" s="146">
        <v>5.0004484556444024E-4</v>
      </c>
      <c r="AZ79" s="146">
        <v>3.50002353843191E-4</v>
      </c>
      <c r="BA79" s="146">
        <v>4.5359708924154018E-4</v>
      </c>
      <c r="BB79" s="146">
        <v>1.9999998222081376E-5</v>
      </c>
      <c r="BC79" s="146">
        <v>5.4000200793586934E-4</v>
      </c>
      <c r="BD79" s="146">
        <v>1.4999999920995E-4</v>
      </c>
      <c r="BE79" s="146">
        <v>0</v>
      </c>
      <c r="BF79" s="146">
        <v>0</v>
      </c>
      <c r="BG79" s="146">
        <v>9.9000349878590921E-4</v>
      </c>
      <c r="BH79" s="146">
        <v>6.9999999999999994E-5</v>
      </c>
      <c r="BI79" s="146">
        <v>0</v>
      </c>
      <c r="BJ79" s="146">
        <v>0</v>
      </c>
      <c r="BK79" s="146">
        <v>0</v>
      </c>
      <c r="BL79" s="146">
        <v>0</v>
      </c>
      <c r="BM79" s="146">
        <v>1.139999004561136E-3</v>
      </c>
      <c r="BN79" s="146">
        <v>1.199999998908E-4</v>
      </c>
      <c r="BO79" s="146">
        <v>9.7599900829696759E-3</v>
      </c>
      <c r="BP79" s="146">
        <v>0</v>
      </c>
      <c r="BQ79" s="146">
        <v>0</v>
      </c>
      <c r="BR79" s="146">
        <v>0</v>
      </c>
      <c r="BS79" s="146">
        <v>0</v>
      </c>
      <c r="BT79" s="146">
        <v>0</v>
      </c>
      <c r="BU79" s="146">
        <v>0</v>
      </c>
      <c r="BV79" s="146">
        <v>0</v>
      </c>
      <c r="BW79" s="146">
        <v>0</v>
      </c>
      <c r="BX79" s="146">
        <v>0</v>
      </c>
      <c r="BY79" s="146">
        <v>1.0131710214254322E-7</v>
      </c>
      <c r="BZ79" s="146">
        <v>0</v>
      </c>
      <c r="CA79" s="146">
        <v>0</v>
      </c>
      <c r="CB79" s="146">
        <v>0</v>
      </c>
      <c r="CC79" s="146">
        <v>0</v>
      </c>
      <c r="CD79" s="146">
        <v>0</v>
      </c>
      <c r="CE79" s="146">
        <v>0</v>
      </c>
      <c r="CF79" s="146">
        <v>0</v>
      </c>
      <c r="CG79" s="146">
        <v>0</v>
      </c>
      <c r="CH79" s="146">
        <v>0</v>
      </c>
      <c r="CI79" s="146">
        <v>0</v>
      </c>
      <c r="CJ79" s="146">
        <v>9.999979946295107E-6</v>
      </c>
      <c r="CK79" s="146">
        <v>0</v>
      </c>
      <c r="CL79" s="146">
        <v>0</v>
      </c>
      <c r="CM79" s="146">
        <v>0</v>
      </c>
      <c r="CN79" s="146">
        <v>0</v>
      </c>
      <c r="CO79" s="146">
        <v>0</v>
      </c>
      <c r="CP79" s="146">
        <v>0</v>
      </c>
      <c r="CQ79" s="146">
        <v>0</v>
      </c>
      <c r="CR79" s="146">
        <v>0</v>
      </c>
      <c r="CS79" s="146">
        <v>0</v>
      </c>
      <c r="CT79" s="146">
        <v>0</v>
      </c>
      <c r="CU79" s="146">
        <v>0</v>
      </c>
      <c r="CV79" s="146">
        <v>0</v>
      </c>
    </row>
    <row r="80" spans="1:100" x14ac:dyDescent="0.15">
      <c r="A80" s="182" t="s">
        <v>270</v>
      </c>
      <c r="B80" s="146">
        <v>0</v>
      </c>
      <c r="C80" s="146">
        <v>0</v>
      </c>
      <c r="D80" s="146">
        <v>0</v>
      </c>
      <c r="E80" s="146">
        <v>0</v>
      </c>
      <c r="F80" s="146">
        <v>0</v>
      </c>
      <c r="G80" s="146">
        <v>2.3500000000000001E-3</v>
      </c>
      <c r="H80" s="146">
        <v>0</v>
      </c>
      <c r="I80" s="146">
        <v>6.3551012511849792E-3</v>
      </c>
      <c r="J80" s="146">
        <v>3.401654057260043E-2</v>
      </c>
      <c r="K80" s="146">
        <v>2.0279721018376211E-3</v>
      </c>
      <c r="L80" s="146">
        <v>1.3597779874723653E-3</v>
      </c>
      <c r="M80" s="146">
        <v>1E-3</v>
      </c>
      <c r="N80" s="146">
        <v>5.0000219913558129E-3</v>
      </c>
      <c r="O80" s="146">
        <v>1.8454427579272417E-3</v>
      </c>
      <c r="P80" s="146">
        <v>1.0978812323572096E-3</v>
      </c>
      <c r="Q80" s="146">
        <v>3.439999999999999E-3</v>
      </c>
      <c r="R80" s="146">
        <v>6.0000000000000001E-3</v>
      </c>
      <c r="S80" s="146">
        <v>3.5899999996409997E-3</v>
      </c>
      <c r="T80" s="146">
        <v>5.0000000000000002E-5</v>
      </c>
      <c r="U80" s="146">
        <v>6.9999567630318785E-5</v>
      </c>
      <c r="V80" s="146">
        <v>0</v>
      </c>
      <c r="W80" s="146">
        <v>1.0000012708408665E-5</v>
      </c>
      <c r="X80" s="146">
        <v>2.5999999999999998E-4</v>
      </c>
      <c r="Y80" s="146">
        <v>0</v>
      </c>
      <c r="Z80" s="146">
        <v>7.0000261787374758E-5</v>
      </c>
      <c r="AA80" s="146">
        <v>2.9999932876390924E-5</v>
      </c>
      <c r="AB80" s="146">
        <v>1.7000000000000001E-4</v>
      </c>
      <c r="AC80" s="146">
        <v>3.0000000000000001E-5</v>
      </c>
      <c r="AD80" s="146">
        <v>0</v>
      </c>
      <c r="AE80" s="146">
        <v>0</v>
      </c>
      <c r="AF80" s="146">
        <v>8.799999964069601E-4</v>
      </c>
      <c r="AG80" s="146">
        <v>7.6000000000000004E-4</v>
      </c>
      <c r="AH80" s="146">
        <v>1.8999999646283393E-4</v>
      </c>
      <c r="AI80" s="146">
        <v>9.9999769631680847E-6</v>
      </c>
      <c r="AJ80" s="146">
        <v>0</v>
      </c>
      <c r="AK80" s="146">
        <v>5.9999805590475424E-5</v>
      </c>
      <c r="AL80" s="146">
        <v>3.9999839190620817E-5</v>
      </c>
      <c r="AM80" s="146">
        <v>2.6499999999999996E-3</v>
      </c>
      <c r="AN80" s="146">
        <v>1.0999999907765001E-4</v>
      </c>
      <c r="AO80" s="146">
        <v>5.0000000000000002E-5</v>
      </c>
      <c r="AP80" s="146">
        <v>1.1E-4</v>
      </c>
      <c r="AQ80" s="146">
        <v>5.000005006547451E-4</v>
      </c>
      <c r="AR80" s="146">
        <v>3.0716739387833019E-5</v>
      </c>
      <c r="AS80" s="146">
        <v>1.9999947297219423E-4</v>
      </c>
      <c r="AT80" s="146">
        <v>1.1999993085214267E-4</v>
      </c>
      <c r="AU80" s="146">
        <v>1.0000499942957142E-3</v>
      </c>
      <c r="AV80" s="146">
        <v>8.0000000000000007E-5</v>
      </c>
      <c r="AW80" s="146">
        <v>3.2000000000000002E-3</v>
      </c>
      <c r="AX80" s="146">
        <v>1.4000125666383369E-4</v>
      </c>
      <c r="AY80" s="146">
        <v>6.9806254718395837E-3</v>
      </c>
      <c r="AZ80" s="146">
        <v>3.50002353843191E-4</v>
      </c>
      <c r="BA80" s="146">
        <v>1.0079936105367576E-3</v>
      </c>
      <c r="BB80" s="146">
        <v>1.9999998222081376E-5</v>
      </c>
      <c r="BC80" s="146">
        <v>5.4000200793586934E-4</v>
      </c>
      <c r="BD80" s="146">
        <v>5.9999799683981062E-5</v>
      </c>
      <c r="BE80" s="146">
        <v>0</v>
      </c>
      <c r="BF80" s="146">
        <v>0</v>
      </c>
      <c r="BG80" s="146">
        <v>8.5000332795759825E-4</v>
      </c>
      <c r="BH80" s="146">
        <v>6.9999999999999994E-5</v>
      </c>
      <c r="BI80" s="146">
        <v>0</v>
      </c>
      <c r="BJ80" s="146">
        <v>0</v>
      </c>
      <c r="BK80" s="146">
        <v>0</v>
      </c>
      <c r="BL80" s="146">
        <v>0</v>
      </c>
      <c r="BM80" s="146">
        <v>1.8000000072018E-4</v>
      </c>
      <c r="BN80" s="146">
        <v>1.3999999987259997E-4</v>
      </c>
      <c r="BO80" s="146">
        <v>3.5899960305185562E-3</v>
      </c>
      <c r="BP80" s="146">
        <v>0</v>
      </c>
      <c r="BQ80" s="146">
        <v>0</v>
      </c>
      <c r="BR80" s="146">
        <v>0</v>
      </c>
      <c r="BS80" s="146">
        <v>0</v>
      </c>
      <c r="BT80" s="146">
        <v>0</v>
      </c>
      <c r="BU80" s="146">
        <v>0</v>
      </c>
      <c r="BV80" s="146">
        <v>5.0000000000000001E-4</v>
      </c>
      <c r="BW80" s="146">
        <v>0</v>
      </c>
      <c r="BX80" s="146">
        <v>0</v>
      </c>
      <c r="BY80" s="146">
        <v>1.0131711214254285E-3</v>
      </c>
      <c r="BZ80" s="146">
        <v>0</v>
      </c>
      <c r="CA80" s="146">
        <v>0</v>
      </c>
      <c r="CB80" s="146">
        <v>0</v>
      </c>
      <c r="CC80" s="146">
        <v>0</v>
      </c>
      <c r="CD80" s="146">
        <v>0</v>
      </c>
      <c r="CE80" s="146">
        <v>0</v>
      </c>
      <c r="CF80" s="146">
        <v>0</v>
      </c>
      <c r="CG80" s="146">
        <v>0</v>
      </c>
      <c r="CH80" s="146">
        <v>0</v>
      </c>
      <c r="CI80" s="146">
        <v>0</v>
      </c>
      <c r="CJ80" s="146">
        <v>2.999996983888516E-5</v>
      </c>
      <c r="CK80" s="146">
        <v>0</v>
      </c>
      <c r="CL80" s="146">
        <v>0</v>
      </c>
      <c r="CM80" s="146">
        <v>0</v>
      </c>
      <c r="CN80" s="146">
        <v>0</v>
      </c>
      <c r="CO80" s="146">
        <v>0</v>
      </c>
      <c r="CP80" s="146">
        <v>0</v>
      </c>
      <c r="CQ80" s="146">
        <v>0</v>
      </c>
      <c r="CR80" s="146">
        <v>0</v>
      </c>
      <c r="CS80" s="146">
        <v>0</v>
      </c>
      <c r="CT80" s="146">
        <v>0</v>
      </c>
      <c r="CU80" s="146">
        <v>0</v>
      </c>
      <c r="CV80" s="146">
        <v>0</v>
      </c>
    </row>
    <row r="81" spans="1:100" x14ac:dyDescent="0.15">
      <c r="A81" s="182" t="s">
        <v>271</v>
      </c>
      <c r="B81" s="146">
        <v>0</v>
      </c>
      <c r="C81" s="146">
        <v>0</v>
      </c>
      <c r="D81" s="146">
        <v>0</v>
      </c>
      <c r="E81" s="146">
        <v>0</v>
      </c>
      <c r="F81" s="146">
        <v>0</v>
      </c>
      <c r="G81" s="146">
        <v>2.3E-3</v>
      </c>
      <c r="H81" s="146">
        <v>0</v>
      </c>
      <c r="I81" s="146">
        <v>7.0050550123288971E-3</v>
      </c>
      <c r="J81" s="146">
        <v>0</v>
      </c>
      <c r="K81" s="146">
        <v>1.0139859809188119E-2</v>
      </c>
      <c r="L81" s="146">
        <v>4.3059649603291441E-3</v>
      </c>
      <c r="M81" s="146">
        <v>0.03</v>
      </c>
      <c r="N81" s="146">
        <v>1.0291922782207018E-2</v>
      </c>
      <c r="O81" s="146">
        <v>5.5464132041529324E-3</v>
      </c>
      <c r="P81" s="146">
        <v>4.8224702164288563E-3</v>
      </c>
      <c r="Q81" s="146">
        <v>2.5899999999999992E-2</v>
      </c>
      <c r="R81" s="146">
        <v>0.01</v>
      </c>
      <c r="S81" s="146">
        <v>9.9999999989999998E-3</v>
      </c>
      <c r="T81" s="146">
        <v>1E-4</v>
      </c>
      <c r="U81" s="146">
        <v>1.3999895126064381E-4</v>
      </c>
      <c r="V81" s="146">
        <v>0</v>
      </c>
      <c r="W81" s="146">
        <v>4.0000090833635498E-5</v>
      </c>
      <c r="X81" s="146">
        <v>8.9999999999999998E-4</v>
      </c>
      <c r="Y81" s="146">
        <v>0</v>
      </c>
      <c r="Z81" s="146">
        <v>1.3000029431940534E-4</v>
      </c>
      <c r="AA81" s="146">
        <v>2.9999932876390924E-5</v>
      </c>
      <c r="AB81" s="146">
        <v>4.8000000000000001E-4</v>
      </c>
      <c r="AC81" s="146">
        <v>1.1999999999999999E-3</v>
      </c>
      <c r="AD81" s="146">
        <v>0</v>
      </c>
      <c r="AE81" s="146">
        <v>0</v>
      </c>
      <c r="AF81" s="146">
        <v>8.3999999657028009E-4</v>
      </c>
      <c r="AG81" s="146">
        <v>1.31E-3</v>
      </c>
      <c r="AH81" s="146">
        <v>3.9999960939543083E-3</v>
      </c>
      <c r="AI81" s="146">
        <v>9.9999769631680847E-6</v>
      </c>
      <c r="AJ81" s="146">
        <v>0</v>
      </c>
      <c r="AK81" s="146">
        <v>2.3999922256190168E-4</v>
      </c>
      <c r="AL81" s="146">
        <v>3.9999839190620817E-5</v>
      </c>
      <c r="AM81" s="146">
        <v>6.9999999999999984E-3</v>
      </c>
      <c r="AN81" s="146">
        <v>1.0999999907765001E-4</v>
      </c>
      <c r="AO81" s="146">
        <v>5.0000000000000002E-5</v>
      </c>
      <c r="AP81" s="146">
        <v>2.0000000000000001E-4</v>
      </c>
      <c r="AQ81" s="146">
        <v>2.0000020026189804E-3</v>
      </c>
      <c r="AR81" s="146">
        <v>8.1911332167554167E-4</v>
      </c>
      <c r="AS81" s="146">
        <v>4.7999775173325639E-4</v>
      </c>
      <c r="AT81" s="146">
        <v>3.9999879950714347E-4</v>
      </c>
      <c r="AU81" s="146">
        <v>1.7400869300745431E-3</v>
      </c>
      <c r="AV81" s="146">
        <v>9.2000000000000003E-4</v>
      </c>
      <c r="AW81" s="146">
        <v>1.013E-2</v>
      </c>
      <c r="AX81" s="146">
        <v>5.4000300641762246E-4</v>
      </c>
      <c r="AY81" s="146">
        <v>6.0005374487732809E-3</v>
      </c>
      <c r="AZ81" s="146">
        <v>3.0000115057985609E-3</v>
      </c>
      <c r="BA81" s="146">
        <v>4.8383690985764319E-4</v>
      </c>
      <c r="BB81" s="146">
        <v>6.9999996427284886E-5</v>
      </c>
      <c r="BC81" s="146">
        <v>1.0600030155778037E-3</v>
      </c>
      <c r="BD81" s="146">
        <v>1.7999899905194526E-4</v>
      </c>
      <c r="BE81" s="146">
        <v>0</v>
      </c>
      <c r="BF81" s="146">
        <v>0</v>
      </c>
      <c r="BG81" s="146">
        <v>1.0000036087736454E-2</v>
      </c>
      <c r="BH81" s="146">
        <v>1E-4</v>
      </c>
      <c r="BI81" s="146">
        <v>0</v>
      </c>
      <c r="BJ81" s="146">
        <v>0</v>
      </c>
      <c r="BK81" s="146">
        <v>0</v>
      </c>
      <c r="BL81" s="146">
        <v>0</v>
      </c>
      <c r="BM81" s="146">
        <v>1.8000000072018E-4</v>
      </c>
      <c r="BN81" s="146">
        <v>1.7999999983619999E-4</v>
      </c>
      <c r="BO81" s="146">
        <v>3.429997029158405E-3</v>
      </c>
      <c r="BP81" s="146">
        <v>0</v>
      </c>
      <c r="BQ81" s="146">
        <v>0</v>
      </c>
      <c r="BR81" s="146">
        <v>0</v>
      </c>
      <c r="BS81" s="146">
        <v>0</v>
      </c>
      <c r="BT81" s="146">
        <v>0</v>
      </c>
      <c r="BU81" s="146">
        <v>6.0600000000000003E-3</v>
      </c>
      <c r="BV81" s="146">
        <v>5.0000000000000001E-4</v>
      </c>
      <c r="BW81" s="146">
        <v>0</v>
      </c>
      <c r="BX81" s="146">
        <v>0</v>
      </c>
      <c r="BY81" s="146">
        <v>5.0658553771271509E-3</v>
      </c>
      <c r="BZ81" s="146">
        <v>0</v>
      </c>
      <c r="CA81" s="146">
        <v>0</v>
      </c>
      <c r="CB81" s="146">
        <v>1.2412630132070386E-3</v>
      </c>
      <c r="CC81" s="146">
        <v>0</v>
      </c>
      <c r="CD81" s="146">
        <v>0</v>
      </c>
      <c r="CE81" s="146">
        <v>0</v>
      </c>
      <c r="CF81" s="146">
        <v>0</v>
      </c>
      <c r="CG81" s="146">
        <v>0</v>
      </c>
      <c r="CH81" s="146">
        <v>0</v>
      </c>
      <c r="CI81" s="146">
        <v>0</v>
      </c>
      <c r="CJ81" s="146">
        <v>9.9999899462950535E-5</v>
      </c>
      <c r="CK81" s="146">
        <v>0</v>
      </c>
      <c r="CL81" s="146">
        <v>0</v>
      </c>
      <c r="CM81" s="146">
        <v>0</v>
      </c>
      <c r="CN81" s="146">
        <v>0</v>
      </c>
      <c r="CO81" s="146">
        <v>0</v>
      </c>
      <c r="CP81" s="146">
        <v>0</v>
      </c>
      <c r="CQ81" s="146">
        <v>0</v>
      </c>
      <c r="CR81" s="146">
        <v>0</v>
      </c>
      <c r="CS81" s="146">
        <v>0</v>
      </c>
      <c r="CT81" s="146">
        <v>0</v>
      </c>
      <c r="CU81" s="146">
        <v>0</v>
      </c>
      <c r="CV81" s="146">
        <v>0</v>
      </c>
    </row>
    <row r="82" spans="1:100" x14ac:dyDescent="0.15">
      <c r="A82" s="182" t="s">
        <v>272</v>
      </c>
      <c r="B82" s="146">
        <v>0</v>
      </c>
      <c r="C82" s="146">
        <v>0</v>
      </c>
      <c r="D82" s="146">
        <v>0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4.5284497821710811E-4</v>
      </c>
      <c r="O82" s="146">
        <v>5.4455692004410554E-4</v>
      </c>
      <c r="P82" s="146">
        <v>0</v>
      </c>
      <c r="Q82" s="146">
        <v>9.9999999999999985E-3</v>
      </c>
      <c r="R82" s="146">
        <v>1E-3</v>
      </c>
      <c r="S82" s="146">
        <v>1.9999999998E-2</v>
      </c>
      <c r="T82" s="146">
        <v>0</v>
      </c>
      <c r="U82" s="146">
        <v>2.9999765384424007E-5</v>
      </c>
      <c r="V82" s="146">
        <v>0</v>
      </c>
      <c r="W82" s="146">
        <v>0</v>
      </c>
      <c r="X82" s="146">
        <v>0</v>
      </c>
      <c r="Y82" s="146">
        <v>0</v>
      </c>
      <c r="Z82" s="146">
        <v>5.0000111276694323E-5</v>
      </c>
      <c r="AA82" s="146">
        <v>0</v>
      </c>
      <c r="AB82" s="146">
        <v>0</v>
      </c>
      <c r="AC82" s="146">
        <v>0</v>
      </c>
      <c r="AD82" s="146">
        <v>0</v>
      </c>
      <c r="AE82" s="146">
        <v>0</v>
      </c>
      <c r="AF82" s="146">
        <v>0</v>
      </c>
      <c r="AG82" s="146">
        <v>1.0499999999999999E-3</v>
      </c>
      <c r="AH82" s="146">
        <v>7.9999991879087815E-4</v>
      </c>
      <c r="AI82" s="146">
        <v>1.6999995537385617E-4</v>
      </c>
      <c r="AJ82" s="146">
        <v>0</v>
      </c>
      <c r="AK82" s="146">
        <v>0</v>
      </c>
      <c r="AL82" s="146">
        <v>0</v>
      </c>
      <c r="AM82" s="146">
        <v>0</v>
      </c>
      <c r="AN82" s="146">
        <v>0</v>
      </c>
      <c r="AO82" s="146">
        <v>0</v>
      </c>
      <c r="AP82" s="146">
        <v>0</v>
      </c>
      <c r="AQ82" s="146">
        <v>8.0000073704759216E-4</v>
      </c>
      <c r="AR82" s="146">
        <v>1.023887799594504E-4</v>
      </c>
      <c r="AS82" s="146">
        <v>9.9999440986094201E-5</v>
      </c>
      <c r="AT82" s="146">
        <v>8.9999659889107364E-5</v>
      </c>
      <c r="AU82" s="146">
        <v>2.6001299851688572E-4</v>
      </c>
      <c r="AV82" s="146">
        <v>0</v>
      </c>
      <c r="AW82" s="146">
        <v>0</v>
      </c>
      <c r="AX82" s="146">
        <v>0</v>
      </c>
      <c r="AY82" s="146">
        <v>5.0004480156444009E-3</v>
      </c>
      <c r="AZ82" s="146">
        <v>1.6200122609313758E-3</v>
      </c>
      <c r="BA82" s="146">
        <v>4.031973812147018E-5</v>
      </c>
      <c r="BB82" s="146">
        <v>0</v>
      </c>
      <c r="BC82" s="146">
        <v>1.8000100264529465E-4</v>
      </c>
      <c r="BD82" s="146">
        <v>0</v>
      </c>
      <c r="BE82" s="146">
        <v>0</v>
      </c>
      <c r="BF82" s="146">
        <v>0</v>
      </c>
      <c r="BG82" s="146">
        <v>0</v>
      </c>
      <c r="BH82" s="146">
        <v>0</v>
      </c>
      <c r="BI82" s="146">
        <v>0</v>
      </c>
      <c r="BJ82" s="146">
        <v>0</v>
      </c>
      <c r="BK82" s="146">
        <v>0</v>
      </c>
      <c r="BL82" s="146">
        <v>0</v>
      </c>
      <c r="BM82" s="146">
        <v>8.7999900352087599E-4</v>
      </c>
      <c r="BN82" s="146">
        <v>9.0000099918099896E-5</v>
      </c>
      <c r="BO82" s="146">
        <v>0</v>
      </c>
      <c r="BP82" s="146">
        <v>0</v>
      </c>
      <c r="BQ82" s="146">
        <v>0</v>
      </c>
      <c r="BR82" s="146">
        <v>0</v>
      </c>
      <c r="BS82" s="146">
        <v>0</v>
      </c>
      <c r="BT82" s="146">
        <v>0</v>
      </c>
      <c r="BU82" s="146">
        <v>0</v>
      </c>
      <c r="BV82" s="146">
        <v>0</v>
      </c>
      <c r="BW82" s="146">
        <v>0</v>
      </c>
      <c r="BX82" s="146">
        <v>0</v>
      </c>
      <c r="BY82" s="146">
        <v>0</v>
      </c>
      <c r="BZ82" s="146">
        <v>0</v>
      </c>
      <c r="CA82" s="146">
        <v>0</v>
      </c>
      <c r="CB82" s="146">
        <v>0</v>
      </c>
      <c r="CC82" s="146">
        <v>0</v>
      </c>
      <c r="CD82" s="146">
        <v>0</v>
      </c>
      <c r="CE82" s="146">
        <v>0.22153203199999999</v>
      </c>
      <c r="CF82" s="146">
        <v>0</v>
      </c>
      <c r="CG82" s="146">
        <v>0</v>
      </c>
      <c r="CH82" s="146">
        <v>0</v>
      </c>
      <c r="CI82" s="146">
        <v>0</v>
      </c>
      <c r="CJ82" s="146">
        <v>0</v>
      </c>
      <c r="CK82" s="146">
        <v>0</v>
      </c>
      <c r="CL82" s="146">
        <v>0</v>
      </c>
      <c r="CM82" s="146">
        <v>0</v>
      </c>
      <c r="CN82" s="146">
        <v>0</v>
      </c>
      <c r="CO82" s="146">
        <v>0</v>
      </c>
      <c r="CP82" s="146">
        <v>0</v>
      </c>
      <c r="CQ82" s="146">
        <v>0</v>
      </c>
      <c r="CR82" s="146">
        <v>0</v>
      </c>
      <c r="CS82" s="146">
        <v>0</v>
      </c>
      <c r="CT82" s="146">
        <v>0</v>
      </c>
      <c r="CU82" s="146">
        <v>0</v>
      </c>
      <c r="CV82" s="146">
        <v>0</v>
      </c>
    </row>
    <row r="83" spans="1:100" x14ac:dyDescent="0.15">
      <c r="A83" s="182" t="s">
        <v>273</v>
      </c>
      <c r="B83" s="146">
        <v>0</v>
      </c>
      <c r="C83" s="146">
        <v>0</v>
      </c>
      <c r="D83" s="146">
        <v>0</v>
      </c>
      <c r="E83" s="146">
        <v>0</v>
      </c>
      <c r="F83" s="146">
        <v>0</v>
      </c>
      <c r="G83" s="146">
        <v>0</v>
      </c>
      <c r="H83" s="146">
        <v>0</v>
      </c>
      <c r="I83" s="146">
        <v>0</v>
      </c>
      <c r="J83" s="146">
        <v>0</v>
      </c>
      <c r="K83" s="146">
        <v>1.0139859809188118E-4</v>
      </c>
      <c r="L83" s="146">
        <v>5.6657409478015272E-4</v>
      </c>
      <c r="M83" s="146">
        <v>2.63E-3</v>
      </c>
      <c r="N83" s="146">
        <v>2.0000087065423252E-3</v>
      </c>
      <c r="O83" s="146">
        <v>2.0168773642374239E-3</v>
      </c>
      <c r="P83" s="146">
        <v>0</v>
      </c>
      <c r="Q83" s="146">
        <v>1.9999999999999996E-3</v>
      </c>
      <c r="R83" s="146">
        <v>3.0000000000000001E-3</v>
      </c>
      <c r="S83" s="146">
        <v>4.9999999994999999E-3</v>
      </c>
      <c r="T83" s="146">
        <v>1.0000000000000001E-5</v>
      </c>
      <c r="U83" s="146">
        <v>9.9999211914746892E-6</v>
      </c>
      <c r="V83" s="146">
        <v>0</v>
      </c>
      <c r="W83" s="146">
        <v>8.0000086967269005E-5</v>
      </c>
      <c r="X83" s="146">
        <v>1.8799999999999999E-3</v>
      </c>
      <c r="Y83" s="146">
        <v>0</v>
      </c>
      <c r="Z83" s="146">
        <v>9.6000337651256263E-4</v>
      </c>
      <c r="AA83" s="146">
        <v>7.9999957537038271E-5</v>
      </c>
      <c r="AB83" s="146">
        <v>1.0200000000000001E-3</v>
      </c>
      <c r="AC83" s="146">
        <v>0</v>
      </c>
      <c r="AD83" s="146">
        <v>0</v>
      </c>
      <c r="AE83" s="146">
        <v>0</v>
      </c>
      <c r="AF83" s="146">
        <v>8.3999999657028009E-4</v>
      </c>
      <c r="AG83" s="146">
        <v>0</v>
      </c>
      <c r="AH83" s="146">
        <v>3.8999998116055361E-4</v>
      </c>
      <c r="AI83" s="146">
        <v>8.5999779683245612E-7</v>
      </c>
      <c r="AJ83" s="146">
        <v>0</v>
      </c>
      <c r="AK83" s="146">
        <v>4.9999839908729515E-6</v>
      </c>
      <c r="AL83" s="146">
        <v>2.899988261320011E-4</v>
      </c>
      <c r="AM83" s="146">
        <v>1.6799999999999996E-3</v>
      </c>
      <c r="AN83" s="146">
        <v>4.3999999631060005E-7</v>
      </c>
      <c r="AO83" s="146">
        <v>4.0000000000000003E-5</v>
      </c>
      <c r="AP83" s="146">
        <v>4.0000000000000003E-5</v>
      </c>
      <c r="AQ83" s="146">
        <v>7.0000170091664446E-6</v>
      </c>
      <c r="AR83" s="146">
        <v>6.1433478775666033E-6</v>
      </c>
      <c r="AS83" s="146">
        <v>4.9999667293046569E-6</v>
      </c>
      <c r="AT83" s="146">
        <v>4.9999773138393022E-5</v>
      </c>
      <c r="AU83" s="146">
        <v>1.0000499542957145E-4</v>
      </c>
      <c r="AV83" s="146">
        <v>5.0000000000000004E-6</v>
      </c>
      <c r="AW83" s="146">
        <v>4.4999999999999999E-4</v>
      </c>
      <c r="AX83" s="146">
        <v>6.0000307513068838E-6</v>
      </c>
      <c r="AY83" s="146">
        <v>1.0000895631288801E-5</v>
      </c>
      <c r="AZ83" s="146">
        <v>6.0000435615976411E-6</v>
      </c>
      <c r="BA83" s="146">
        <v>1.0079935105367554E-4</v>
      </c>
      <c r="BB83" s="146">
        <v>5.9999999166244245E-6</v>
      </c>
      <c r="BC83" s="146">
        <v>4.0000100587841455E-6</v>
      </c>
      <c r="BD83" s="146">
        <v>4.9999799736651062E-5</v>
      </c>
      <c r="BE83" s="146">
        <v>0</v>
      </c>
      <c r="BF83" s="146">
        <v>0</v>
      </c>
      <c r="BG83" s="146">
        <v>6.0000197626418744E-6</v>
      </c>
      <c r="BH83" s="146">
        <v>5.0000000000000002E-5</v>
      </c>
      <c r="BI83" s="146">
        <v>0</v>
      </c>
      <c r="BJ83" s="146">
        <v>0</v>
      </c>
      <c r="BK83" s="146">
        <v>0</v>
      </c>
      <c r="BL83" s="146">
        <v>0</v>
      </c>
      <c r="BM83" s="146">
        <v>2.2899980091622822E-3</v>
      </c>
      <c r="BN83" s="146">
        <v>5.0000099954499908E-6</v>
      </c>
      <c r="BO83" s="146">
        <v>0</v>
      </c>
      <c r="BP83" s="146">
        <v>0</v>
      </c>
      <c r="BQ83" s="146">
        <v>0</v>
      </c>
      <c r="BR83" s="146">
        <v>0</v>
      </c>
      <c r="BS83" s="146">
        <v>0</v>
      </c>
      <c r="BT83" s="146">
        <v>0</v>
      </c>
      <c r="BU83" s="146">
        <v>0</v>
      </c>
      <c r="BV83" s="146">
        <v>0</v>
      </c>
      <c r="BW83" s="146">
        <v>0</v>
      </c>
      <c r="BX83" s="146">
        <v>0</v>
      </c>
      <c r="BY83" s="146">
        <v>0</v>
      </c>
      <c r="BZ83" s="146">
        <v>0</v>
      </c>
      <c r="CA83" s="146">
        <v>0</v>
      </c>
      <c r="CB83" s="146">
        <v>0</v>
      </c>
      <c r="CC83" s="146">
        <v>0</v>
      </c>
      <c r="CD83" s="146">
        <v>0</v>
      </c>
      <c r="CE83" s="146">
        <v>0</v>
      </c>
      <c r="CF83" s="146">
        <v>0</v>
      </c>
      <c r="CG83" s="146">
        <v>0</v>
      </c>
      <c r="CH83" s="146">
        <v>0</v>
      </c>
      <c r="CI83" s="146">
        <v>0</v>
      </c>
      <c r="CJ83" s="146">
        <v>0</v>
      </c>
      <c r="CK83" s="146">
        <v>0</v>
      </c>
      <c r="CL83" s="146">
        <v>0</v>
      </c>
      <c r="CM83" s="146">
        <v>0</v>
      </c>
      <c r="CN83" s="146">
        <v>0</v>
      </c>
      <c r="CO83" s="146">
        <v>0</v>
      </c>
      <c r="CP83" s="146">
        <v>0</v>
      </c>
      <c r="CQ83" s="146">
        <v>0</v>
      </c>
      <c r="CR83" s="146">
        <v>0</v>
      </c>
      <c r="CS83" s="146">
        <v>0</v>
      </c>
      <c r="CT83" s="146">
        <v>0</v>
      </c>
      <c r="CU83" s="146">
        <v>0</v>
      </c>
      <c r="CV83" s="146">
        <v>0</v>
      </c>
    </row>
    <row r="84" spans="1:100" x14ac:dyDescent="0.15">
      <c r="A84" s="182" t="s">
        <v>274</v>
      </c>
      <c r="B84" s="146">
        <v>0</v>
      </c>
      <c r="C84" s="146">
        <v>0</v>
      </c>
      <c r="D84" s="146">
        <v>0</v>
      </c>
      <c r="E84" s="146">
        <v>0</v>
      </c>
      <c r="F84" s="146">
        <v>0</v>
      </c>
      <c r="G84" s="146">
        <v>3.5009999999999999E-2</v>
      </c>
      <c r="H84" s="146">
        <v>0</v>
      </c>
      <c r="I84" s="146">
        <v>0</v>
      </c>
      <c r="J84" s="146">
        <v>0</v>
      </c>
      <c r="K84" s="146">
        <v>0</v>
      </c>
      <c r="L84" s="146">
        <v>0</v>
      </c>
      <c r="M84" s="146">
        <v>0</v>
      </c>
      <c r="N84" s="146">
        <v>5.5576339903917976E-4</v>
      </c>
      <c r="O84" s="146">
        <v>4.3362863796104632E-4</v>
      </c>
      <c r="P84" s="146">
        <v>0</v>
      </c>
      <c r="Q84" s="146">
        <v>8.4999999999999989E-3</v>
      </c>
      <c r="R84" s="146">
        <v>0.01</v>
      </c>
      <c r="S84" s="146">
        <v>1.9999999998E-2</v>
      </c>
      <c r="T84" s="146">
        <v>0</v>
      </c>
      <c r="U84" s="146">
        <v>1.9999842422949378E-5</v>
      </c>
      <c r="V84" s="146">
        <v>0</v>
      </c>
      <c r="W84" s="146">
        <v>0</v>
      </c>
      <c r="X84" s="146">
        <v>0</v>
      </c>
      <c r="Y84" s="146">
        <v>0</v>
      </c>
      <c r="Z84" s="146">
        <v>4.0000098221355694E-5</v>
      </c>
      <c r="AA84" s="146">
        <v>0</v>
      </c>
      <c r="AB84" s="146">
        <v>0</v>
      </c>
      <c r="AC84" s="146">
        <v>0</v>
      </c>
      <c r="AD84" s="146">
        <v>0</v>
      </c>
      <c r="AE84" s="146">
        <v>0</v>
      </c>
      <c r="AF84" s="146">
        <v>0</v>
      </c>
      <c r="AG84" s="146">
        <v>8.2299999999999995E-3</v>
      </c>
      <c r="AH84" s="146">
        <v>9.9999902348857708E-4</v>
      </c>
      <c r="AI84" s="146">
        <v>1.1999996755801612E-4</v>
      </c>
      <c r="AJ84" s="146">
        <v>0</v>
      </c>
      <c r="AK84" s="146">
        <v>0</v>
      </c>
      <c r="AL84" s="146">
        <v>0</v>
      </c>
      <c r="AM84" s="146">
        <v>0</v>
      </c>
      <c r="AN84" s="146">
        <v>0</v>
      </c>
      <c r="AO84" s="146">
        <v>0</v>
      </c>
      <c r="AP84" s="146">
        <v>0</v>
      </c>
      <c r="AQ84" s="146">
        <v>2.0000020026189804E-3</v>
      </c>
      <c r="AR84" s="146">
        <v>1.023887799594504E-4</v>
      </c>
      <c r="AS84" s="146">
        <v>9.9999440986094201E-5</v>
      </c>
      <c r="AT84" s="146">
        <v>9.9999649876785919E-5</v>
      </c>
      <c r="AU84" s="146">
        <v>2.0000999085914291E-4</v>
      </c>
      <c r="AV84" s="146">
        <v>0</v>
      </c>
      <c r="AW84" s="146">
        <v>0</v>
      </c>
      <c r="AX84" s="146">
        <v>0</v>
      </c>
      <c r="AY84" s="146">
        <v>1.0000895731288801E-2</v>
      </c>
      <c r="AZ84" s="146">
        <v>1.0000078752662892E-3</v>
      </c>
      <c r="BA84" s="146">
        <v>1.2095922546441075E-4</v>
      </c>
      <c r="BB84" s="146">
        <v>0</v>
      </c>
      <c r="BC84" s="146">
        <v>1.4000000205743995E-4</v>
      </c>
      <c r="BD84" s="146">
        <v>0</v>
      </c>
      <c r="BE84" s="146">
        <v>0</v>
      </c>
      <c r="BF84" s="146">
        <v>0</v>
      </c>
      <c r="BG84" s="146">
        <v>0</v>
      </c>
      <c r="BH84" s="146">
        <v>0</v>
      </c>
      <c r="BI84" s="146">
        <v>0</v>
      </c>
      <c r="BJ84" s="146">
        <v>0</v>
      </c>
      <c r="BK84" s="146">
        <v>0</v>
      </c>
      <c r="BL84" s="146">
        <v>0</v>
      </c>
      <c r="BM84" s="146">
        <v>1.069999004281066E-3</v>
      </c>
      <c r="BN84" s="146">
        <v>7.0000099936299911E-5</v>
      </c>
      <c r="BO84" s="146">
        <v>4.3339956968432972E-2</v>
      </c>
      <c r="BP84" s="146">
        <v>0</v>
      </c>
      <c r="BQ84" s="146">
        <v>0</v>
      </c>
      <c r="BR84" s="146">
        <v>0</v>
      </c>
      <c r="BS84" s="146">
        <v>0</v>
      </c>
      <c r="BT84" s="146">
        <v>0</v>
      </c>
      <c r="BU84" s="146">
        <v>0</v>
      </c>
      <c r="BV84" s="146">
        <v>0</v>
      </c>
      <c r="BW84" s="146">
        <v>0</v>
      </c>
      <c r="BX84" s="146">
        <v>0</v>
      </c>
      <c r="BY84" s="146">
        <v>2.026342242850857E-3</v>
      </c>
      <c r="BZ84" s="146">
        <v>0</v>
      </c>
      <c r="CA84" s="146">
        <v>0.01</v>
      </c>
      <c r="CB84" s="146">
        <v>0</v>
      </c>
      <c r="CC84" s="146">
        <v>0</v>
      </c>
      <c r="CD84" s="146">
        <v>0</v>
      </c>
      <c r="CE84" s="146">
        <v>0</v>
      </c>
      <c r="CF84" s="146">
        <v>0</v>
      </c>
      <c r="CG84" s="146">
        <v>0</v>
      </c>
      <c r="CH84" s="146">
        <v>0</v>
      </c>
      <c r="CI84" s="146">
        <v>0</v>
      </c>
      <c r="CJ84" s="146">
        <v>1.9999979892590107E-4</v>
      </c>
      <c r="CK84" s="146">
        <v>0</v>
      </c>
      <c r="CL84" s="146">
        <v>0</v>
      </c>
      <c r="CM84" s="146">
        <v>0</v>
      </c>
      <c r="CN84" s="146">
        <v>0</v>
      </c>
      <c r="CO84" s="146">
        <v>0</v>
      </c>
      <c r="CP84" s="146">
        <v>0</v>
      </c>
      <c r="CQ84" s="146">
        <v>0</v>
      </c>
      <c r="CR84" s="146">
        <v>0</v>
      </c>
      <c r="CS84" s="146">
        <v>0</v>
      </c>
      <c r="CT84" s="146">
        <v>0</v>
      </c>
      <c r="CU84" s="146">
        <v>0</v>
      </c>
      <c r="CV84" s="146">
        <v>0</v>
      </c>
    </row>
    <row r="85" spans="1:100" x14ac:dyDescent="0.15">
      <c r="A85" s="182" t="s">
        <v>275</v>
      </c>
      <c r="B85" s="146">
        <v>0</v>
      </c>
      <c r="C85" s="146">
        <v>0</v>
      </c>
      <c r="D85" s="146">
        <v>0</v>
      </c>
      <c r="E85" s="146">
        <v>0</v>
      </c>
      <c r="F85" s="146">
        <v>7.3959823559377691E-2</v>
      </c>
      <c r="G85" s="146">
        <v>0</v>
      </c>
      <c r="H85" s="146">
        <v>0</v>
      </c>
      <c r="I85" s="146">
        <v>0</v>
      </c>
      <c r="J85" s="146">
        <v>0</v>
      </c>
      <c r="K85" s="146">
        <v>1.4195804032863359E-3</v>
      </c>
      <c r="L85" s="146">
        <v>7.5920959300540183E-3</v>
      </c>
      <c r="M85" s="146">
        <v>0</v>
      </c>
      <c r="N85" s="146">
        <v>1.5437883273310528E-2</v>
      </c>
      <c r="O85" s="146">
        <v>1.8605694884840283E-2</v>
      </c>
      <c r="P85" s="146">
        <v>0</v>
      </c>
      <c r="Q85" s="146">
        <v>5.1399999999999987E-2</v>
      </c>
      <c r="R85" s="146">
        <v>8.1460000000000005E-2</v>
      </c>
      <c r="S85" s="146">
        <v>6.0899999993909999E-2</v>
      </c>
      <c r="T85" s="146">
        <v>5.0000000000000001E-3</v>
      </c>
      <c r="U85" s="146">
        <v>6.8999567664171585E-4</v>
      </c>
      <c r="V85" s="146">
        <v>0</v>
      </c>
      <c r="W85" s="146">
        <v>0</v>
      </c>
      <c r="X85" s="146">
        <v>0</v>
      </c>
      <c r="Y85" s="146">
        <v>0</v>
      </c>
      <c r="Z85" s="146">
        <v>1.1500036593639976E-3</v>
      </c>
      <c r="AA85" s="146">
        <v>6.1999968091204624E-4</v>
      </c>
      <c r="AB85" s="146">
        <v>0</v>
      </c>
      <c r="AC85" s="146">
        <v>0</v>
      </c>
      <c r="AD85" s="146">
        <v>0</v>
      </c>
      <c r="AE85" s="146">
        <v>0</v>
      </c>
      <c r="AF85" s="146">
        <v>6.2959983642934397E-2</v>
      </c>
      <c r="AG85" s="146">
        <v>0</v>
      </c>
      <c r="AH85" s="146">
        <v>9.9999992348859829E-3</v>
      </c>
      <c r="AI85" s="146">
        <v>5.7499874188216464E-3</v>
      </c>
      <c r="AJ85" s="146">
        <v>0</v>
      </c>
      <c r="AK85" s="146">
        <v>5.2999833003253283E-4</v>
      </c>
      <c r="AL85" s="146">
        <v>0</v>
      </c>
      <c r="AM85" s="146">
        <v>0</v>
      </c>
      <c r="AN85" s="146">
        <v>0</v>
      </c>
      <c r="AO85" s="146">
        <v>0</v>
      </c>
      <c r="AP85" s="146">
        <v>0</v>
      </c>
      <c r="AQ85" s="146">
        <v>2.3000022430118276E-2</v>
      </c>
      <c r="AR85" s="146">
        <v>3.1812199366001132E-2</v>
      </c>
      <c r="AS85" s="146">
        <v>2.0799882905107585E-2</v>
      </c>
      <c r="AT85" s="146">
        <v>4.5999839943321524E-3</v>
      </c>
      <c r="AU85" s="146">
        <v>5.6402822678278258E-3</v>
      </c>
      <c r="AV85" s="146">
        <v>0</v>
      </c>
      <c r="AW85" s="146">
        <v>0</v>
      </c>
      <c r="AX85" s="146">
        <v>2.6900158619692781E-3</v>
      </c>
      <c r="AY85" s="146">
        <v>2.0001791462577603E-2</v>
      </c>
      <c r="AZ85" s="146">
        <v>3.450013087168341E-2</v>
      </c>
      <c r="BA85" s="146">
        <v>6.9148361408821564E-3</v>
      </c>
      <c r="BB85" s="146">
        <v>3.6599990955408765E-2</v>
      </c>
      <c r="BC85" s="146">
        <v>2.2000100323313465E-4</v>
      </c>
      <c r="BD85" s="146">
        <v>0</v>
      </c>
      <c r="BE85" s="146">
        <v>0</v>
      </c>
      <c r="BF85" s="146">
        <v>0</v>
      </c>
      <c r="BG85" s="146">
        <v>0</v>
      </c>
      <c r="BH85" s="146">
        <v>0</v>
      </c>
      <c r="BI85" s="146">
        <v>0</v>
      </c>
      <c r="BJ85" s="146">
        <v>0</v>
      </c>
      <c r="BK85" s="146">
        <v>0</v>
      </c>
      <c r="BL85" s="146">
        <v>0</v>
      </c>
      <c r="BM85" s="146">
        <v>9.9999900400099609E-3</v>
      </c>
      <c r="BN85" s="146">
        <v>2.790002997461097E-3</v>
      </c>
      <c r="BO85" s="146">
        <v>1.4269986321309153E-2</v>
      </c>
      <c r="BP85" s="146">
        <v>0</v>
      </c>
      <c r="BQ85" s="146">
        <v>0</v>
      </c>
      <c r="BR85" s="146">
        <v>0</v>
      </c>
      <c r="BS85" s="146">
        <v>0</v>
      </c>
      <c r="BT85" s="146">
        <v>0</v>
      </c>
      <c r="BU85" s="146">
        <v>0</v>
      </c>
      <c r="BV85" s="146">
        <v>0.03</v>
      </c>
      <c r="BW85" s="146">
        <v>0</v>
      </c>
      <c r="BX85" s="146">
        <v>0</v>
      </c>
      <c r="BY85" s="146">
        <v>0.1519756702138142</v>
      </c>
      <c r="BZ85" s="146">
        <v>0</v>
      </c>
      <c r="CA85" s="146">
        <v>0.18862000000000001</v>
      </c>
      <c r="CB85" s="146">
        <v>0.27230660289734226</v>
      </c>
      <c r="CC85" s="146">
        <v>0</v>
      </c>
      <c r="CD85" s="146">
        <v>0</v>
      </c>
      <c r="CE85" s="146">
        <v>0.1076978</v>
      </c>
      <c r="CF85" s="146">
        <v>0</v>
      </c>
      <c r="CG85" s="146">
        <v>0</v>
      </c>
      <c r="CH85" s="146">
        <v>0</v>
      </c>
      <c r="CI85" s="146">
        <v>0</v>
      </c>
      <c r="CJ85" s="146">
        <v>1.9999978992590112E-2</v>
      </c>
      <c r="CK85" s="146">
        <v>1E-3</v>
      </c>
      <c r="CL85" s="146">
        <v>0</v>
      </c>
      <c r="CM85" s="146">
        <v>0</v>
      </c>
      <c r="CN85" s="146">
        <v>0</v>
      </c>
      <c r="CO85" s="146">
        <v>0</v>
      </c>
      <c r="CP85" s="146">
        <v>0</v>
      </c>
      <c r="CQ85" s="146">
        <v>0</v>
      </c>
      <c r="CR85" s="146">
        <v>0</v>
      </c>
      <c r="CS85" s="146">
        <v>0</v>
      </c>
      <c r="CT85" s="146">
        <v>0</v>
      </c>
      <c r="CU85" s="146">
        <v>0</v>
      </c>
      <c r="CV85" s="146">
        <v>0</v>
      </c>
    </row>
    <row r="86" spans="1:100" x14ac:dyDescent="0.15">
      <c r="A86" s="182" t="s">
        <v>276</v>
      </c>
      <c r="B86" s="146">
        <v>0</v>
      </c>
      <c r="C86" s="146">
        <v>0</v>
      </c>
      <c r="D86" s="146">
        <v>0</v>
      </c>
      <c r="E86" s="146">
        <v>0</v>
      </c>
      <c r="F86" s="146">
        <v>1.5848534234152726E-2</v>
      </c>
      <c r="G86" s="146">
        <v>0.60580999999999996</v>
      </c>
      <c r="H86" s="146">
        <v>0</v>
      </c>
      <c r="I86" s="146">
        <v>0.26966881847461716</v>
      </c>
      <c r="J86" s="146">
        <v>0</v>
      </c>
      <c r="K86" s="146">
        <v>0</v>
      </c>
      <c r="L86" s="146">
        <v>0</v>
      </c>
      <c r="M86" s="146">
        <v>0</v>
      </c>
      <c r="N86" s="146">
        <v>8.1892825558421256E-2</v>
      </c>
      <c r="O86" s="146">
        <v>9.8080733610165463E-2</v>
      </c>
      <c r="P86" s="146">
        <v>0</v>
      </c>
      <c r="Q86" s="146">
        <v>7.0459999999999981E-2</v>
      </c>
      <c r="R86" s="146">
        <v>7.467E-2</v>
      </c>
      <c r="S86" s="146">
        <v>6.7659999993233993E-2</v>
      </c>
      <c r="T86" s="146">
        <v>0</v>
      </c>
      <c r="U86" s="146">
        <v>9.0099326949885684E-3</v>
      </c>
      <c r="V86" s="146">
        <v>0</v>
      </c>
      <c r="W86" s="146">
        <v>0</v>
      </c>
      <c r="X86" s="146">
        <v>0</v>
      </c>
      <c r="Y86" s="146">
        <v>0</v>
      </c>
      <c r="Z86" s="146">
        <v>1.0000024555338924E-5</v>
      </c>
      <c r="AA86" s="146">
        <v>0</v>
      </c>
      <c r="AB86" s="146">
        <v>0</v>
      </c>
      <c r="AC86" s="146">
        <v>0</v>
      </c>
      <c r="AD86" s="146">
        <v>0</v>
      </c>
      <c r="AE86" s="146">
        <v>0</v>
      </c>
      <c r="AF86" s="146">
        <v>0</v>
      </c>
      <c r="AG86" s="146">
        <v>1.2840000000000001E-2</v>
      </c>
      <c r="AH86" s="146">
        <v>0.12419986991728107</v>
      </c>
      <c r="AI86" s="146">
        <v>8.3999819690611863E-3</v>
      </c>
      <c r="AJ86" s="146">
        <v>0</v>
      </c>
      <c r="AK86" s="146">
        <v>0</v>
      </c>
      <c r="AL86" s="146">
        <v>0</v>
      </c>
      <c r="AM86" s="146">
        <v>0</v>
      </c>
      <c r="AN86" s="146">
        <v>0</v>
      </c>
      <c r="AO86" s="146">
        <v>0</v>
      </c>
      <c r="AP86" s="146">
        <v>0</v>
      </c>
      <c r="AQ86" s="146">
        <v>2.5000024632737258E-2</v>
      </c>
      <c r="AR86" s="146">
        <v>8.3959108326743179E-3</v>
      </c>
      <c r="AS86" s="146">
        <v>1.9999947597219424E-2</v>
      </c>
      <c r="AT86" s="146">
        <v>3.999985745071437E-3</v>
      </c>
      <c r="AU86" s="146">
        <v>2.6761337947353313E-2</v>
      </c>
      <c r="AV86" s="146">
        <v>2E-3</v>
      </c>
      <c r="AW86" s="146">
        <v>0</v>
      </c>
      <c r="AX86" s="146">
        <v>0</v>
      </c>
      <c r="AY86" s="146">
        <v>2.0001791462577603E-2</v>
      </c>
      <c r="AZ86" s="146">
        <v>4.8090183415050905E-2</v>
      </c>
      <c r="BA86" s="146">
        <v>3.173164064649716E-2</v>
      </c>
      <c r="BB86" s="146">
        <v>0</v>
      </c>
      <c r="BC86" s="146">
        <v>1.0710031857394624E-2</v>
      </c>
      <c r="BD86" s="146">
        <v>1.445995452383942E-2</v>
      </c>
      <c r="BE86" s="146">
        <v>0</v>
      </c>
      <c r="BF86" s="146">
        <v>0</v>
      </c>
      <c r="BG86" s="146">
        <v>3.13001125616151E-2</v>
      </c>
      <c r="BH86" s="146">
        <v>4.8199999999999996E-3</v>
      </c>
      <c r="BI86" s="146">
        <v>0</v>
      </c>
      <c r="BJ86" s="146">
        <v>0</v>
      </c>
      <c r="BK86" s="146">
        <v>0</v>
      </c>
      <c r="BL86" s="146">
        <v>0</v>
      </c>
      <c r="BM86" s="146">
        <v>2.1899980087621818E-3</v>
      </c>
      <c r="BN86" s="146">
        <v>1.4720015186604785E-2</v>
      </c>
      <c r="BO86" s="146">
        <v>1.2979987210342872E-2</v>
      </c>
      <c r="BP86" s="146">
        <v>0</v>
      </c>
      <c r="BQ86" s="146">
        <v>0</v>
      </c>
      <c r="BR86" s="146">
        <v>0</v>
      </c>
      <c r="BS86" s="146">
        <v>0</v>
      </c>
      <c r="BT86" s="146">
        <v>0</v>
      </c>
      <c r="BU86" s="146">
        <v>0</v>
      </c>
      <c r="BV86" s="146">
        <v>4.0000000000000001E-3</v>
      </c>
      <c r="BW86" s="146">
        <v>8.0199999999999994E-3</v>
      </c>
      <c r="BX86" s="146">
        <v>0</v>
      </c>
      <c r="BY86" s="146">
        <v>3.5460988649890016E-2</v>
      </c>
      <c r="BZ86" s="146">
        <v>0</v>
      </c>
      <c r="CA86" s="146">
        <v>0.03</v>
      </c>
      <c r="CB86" s="146">
        <v>0</v>
      </c>
      <c r="CC86" s="146">
        <v>0</v>
      </c>
      <c r="CD86" s="146">
        <v>0</v>
      </c>
      <c r="CE86" s="146">
        <v>0</v>
      </c>
      <c r="CF86" s="146">
        <v>0</v>
      </c>
      <c r="CG86" s="146">
        <v>0</v>
      </c>
      <c r="CH86" s="146">
        <v>0</v>
      </c>
      <c r="CI86" s="146">
        <v>0</v>
      </c>
      <c r="CJ86" s="146">
        <v>3.9999964385180192E-3</v>
      </c>
      <c r="CK86" s="146">
        <v>0</v>
      </c>
      <c r="CL86" s="146">
        <v>0</v>
      </c>
      <c r="CM86" s="146">
        <v>0</v>
      </c>
      <c r="CN86" s="146">
        <v>0</v>
      </c>
      <c r="CO86" s="146">
        <v>0</v>
      </c>
      <c r="CP86" s="146">
        <v>0</v>
      </c>
      <c r="CQ86" s="146">
        <v>0</v>
      </c>
      <c r="CR86" s="146">
        <v>0</v>
      </c>
      <c r="CS86" s="146">
        <v>0</v>
      </c>
      <c r="CT86" s="146">
        <v>0</v>
      </c>
      <c r="CU86" s="146">
        <v>0</v>
      </c>
      <c r="CV86" s="146">
        <v>0</v>
      </c>
    </row>
    <row r="87" spans="1:100" x14ac:dyDescent="0.15">
      <c r="A87" s="182" t="s">
        <v>277</v>
      </c>
      <c r="B87" s="146">
        <v>0</v>
      </c>
      <c r="C87" s="146">
        <v>0</v>
      </c>
      <c r="D87" s="146">
        <v>0.10905893148640283</v>
      </c>
      <c r="E87" s="146">
        <v>0</v>
      </c>
      <c r="F87" s="146">
        <v>1.0565686222766559E-3</v>
      </c>
      <c r="G87" s="146">
        <v>4.4319999999999998E-2</v>
      </c>
      <c r="H87" s="146">
        <v>0</v>
      </c>
      <c r="I87" s="146">
        <v>0.10316723618157435</v>
      </c>
      <c r="J87" s="146">
        <v>0</v>
      </c>
      <c r="K87" s="146">
        <v>3.0419578227564376E-2</v>
      </c>
      <c r="L87" s="146">
        <v>3.5920809669061575E-2</v>
      </c>
      <c r="M87" s="146">
        <v>7.0120000000000002E-2</v>
      </c>
      <c r="N87" s="146">
        <v>3.0000129948134883E-2</v>
      </c>
      <c r="O87" s="146">
        <v>3.0475017821727506E-2</v>
      </c>
      <c r="P87" s="146">
        <v>0</v>
      </c>
      <c r="Q87" s="146">
        <v>3.4609999999999995E-2</v>
      </c>
      <c r="R87" s="146">
        <v>0.03</v>
      </c>
      <c r="S87" s="146">
        <v>5.9999999993999999E-2</v>
      </c>
      <c r="T87" s="146">
        <v>3.0000000000000001E-3</v>
      </c>
      <c r="U87" s="146">
        <v>1.2999918059916401E-3</v>
      </c>
      <c r="V87" s="146">
        <v>0</v>
      </c>
      <c r="W87" s="146">
        <v>1.0000013008408671E-4</v>
      </c>
      <c r="X87" s="146">
        <v>4.5199999999999997E-3</v>
      </c>
      <c r="Y87" s="146">
        <v>0</v>
      </c>
      <c r="Z87" s="146">
        <v>2.3000073287279951E-3</v>
      </c>
      <c r="AA87" s="146">
        <v>8.2999942644677611E-4</v>
      </c>
      <c r="AB87" s="146">
        <v>2.4099999999999998E-3</v>
      </c>
      <c r="AC87" s="146">
        <v>2.1000000000000001E-4</v>
      </c>
      <c r="AD87" s="146">
        <v>0</v>
      </c>
      <c r="AE87" s="146">
        <v>0</v>
      </c>
      <c r="AF87" s="146">
        <v>2.3789994302865453E-2</v>
      </c>
      <c r="AG87" s="146">
        <v>4.6399999999999997E-2</v>
      </c>
      <c r="AH87" s="146">
        <v>8.6999902043505897E-3</v>
      </c>
      <c r="AI87" s="146">
        <v>1.0399977861694802E-3</v>
      </c>
      <c r="AJ87" s="146">
        <v>0.12460049933572981</v>
      </c>
      <c r="AK87" s="146">
        <v>4.799984991238032E-3</v>
      </c>
      <c r="AL87" s="146">
        <v>3.6319854865083684E-2</v>
      </c>
      <c r="AM87" s="146">
        <v>3.9399999999999991E-3</v>
      </c>
      <c r="AN87" s="146">
        <v>1.1099999906926501E-3</v>
      </c>
      <c r="AO87" s="146">
        <v>1.0399999999999999E-3</v>
      </c>
      <c r="AP87" s="146">
        <v>7.7999999999999999E-4</v>
      </c>
      <c r="AQ87" s="146">
        <v>2.0000020026189804E-3</v>
      </c>
      <c r="AR87" s="146">
        <v>1.5358316893917562E-3</v>
      </c>
      <c r="AS87" s="146">
        <v>4.9999870493048571E-3</v>
      </c>
      <c r="AT87" s="146">
        <v>9.9999649876785919E-5</v>
      </c>
      <c r="AU87" s="146">
        <v>1.0000499542957145E-4</v>
      </c>
      <c r="AV87" s="146">
        <v>1E-3</v>
      </c>
      <c r="AW87" s="146">
        <v>3.0000000000000001E-3</v>
      </c>
      <c r="AX87" s="146">
        <v>1.074006232763941E-2</v>
      </c>
      <c r="AY87" s="146">
        <v>4.0003582925155205E-2</v>
      </c>
      <c r="AZ87" s="146">
        <v>1.0000038252661866E-2</v>
      </c>
      <c r="BA87" s="146">
        <v>6.5317984130781855E-3</v>
      </c>
      <c r="BB87" s="146">
        <v>4.7799988047774284E-3</v>
      </c>
      <c r="BC87" s="146">
        <v>9.0100271324113548E-3</v>
      </c>
      <c r="BD87" s="146">
        <v>3.379988982197598E-3</v>
      </c>
      <c r="BE87" s="146">
        <v>0</v>
      </c>
      <c r="BF87" s="146">
        <v>0</v>
      </c>
      <c r="BG87" s="146">
        <v>1.0000036087736454E-2</v>
      </c>
      <c r="BH87" s="146">
        <v>1.3699999999999999E-3</v>
      </c>
      <c r="BI87" s="146">
        <v>8.7299999985159006E-3</v>
      </c>
      <c r="BJ87" s="146">
        <v>9.9999897358002713E-4</v>
      </c>
      <c r="BK87" s="146">
        <v>1.7600000000000001E-2</v>
      </c>
      <c r="BL87" s="146">
        <v>2.946E-2</v>
      </c>
      <c r="BM87" s="146">
        <v>2.239998008962232E-3</v>
      </c>
      <c r="BN87" s="146">
        <v>7.0000099936299903E-4</v>
      </c>
      <c r="BO87" s="146">
        <v>1.4739984725304611E-2</v>
      </c>
      <c r="BP87" s="146">
        <v>0</v>
      </c>
      <c r="BQ87" s="146">
        <v>0</v>
      </c>
      <c r="BR87" s="146">
        <v>0</v>
      </c>
      <c r="BS87" s="146">
        <v>0</v>
      </c>
      <c r="BT87" s="146">
        <v>0</v>
      </c>
      <c r="BU87" s="146">
        <v>4.446E-2</v>
      </c>
      <c r="BV87" s="146">
        <v>5.0000000000000001E-4</v>
      </c>
      <c r="BW87" s="146">
        <v>1.01E-3</v>
      </c>
      <c r="BX87" s="146">
        <v>0</v>
      </c>
      <c r="BY87" s="146">
        <v>7.0921987299779662E-3</v>
      </c>
      <c r="BZ87" s="146">
        <v>0</v>
      </c>
      <c r="CA87" s="146">
        <v>1.6889999999999999E-2</v>
      </c>
      <c r="CB87" s="146">
        <v>8.2791040880896682E-3</v>
      </c>
      <c r="CC87" s="146">
        <v>8.1700000000000002E-3</v>
      </c>
      <c r="CD87" s="146">
        <v>0</v>
      </c>
      <c r="CE87" s="146">
        <v>0.15933027899999999</v>
      </c>
      <c r="CF87" s="146">
        <v>0</v>
      </c>
      <c r="CG87" s="146">
        <v>0</v>
      </c>
      <c r="CH87" s="146">
        <v>0</v>
      </c>
      <c r="CI87" s="146">
        <v>0</v>
      </c>
      <c r="CJ87" s="146">
        <v>9.9999809462951016E-4</v>
      </c>
      <c r="CK87" s="146">
        <v>6.9999999999999994E-5</v>
      </c>
      <c r="CL87" s="146">
        <v>0</v>
      </c>
      <c r="CM87" s="146">
        <v>0</v>
      </c>
      <c r="CN87" s="146">
        <v>0</v>
      </c>
      <c r="CO87" s="146">
        <v>0</v>
      </c>
      <c r="CP87" s="146">
        <v>0</v>
      </c>
      <c r="CQ87" s="146">
        <v>0</v>
      </c>
      <c r="CR87" s="146">
        <v>0</v>
      </c>
      <c r="CS87" s="146">
        <v>0</v>
      </c>
      <c r="CT87" s="146">
        <v>0</v>
      </c>
      <c r="CU87" s="146">
        <v>0</v>
      </c>
      <c r="CV87" s="146">
        <v>0</v>
      </c>
    </row>
    <row r="88" spans="1:100" x14ac:dyDescent="0.15">
      <c r="A88" s="182" t="s">
        <v>278</v>
      </c>
      <c r="B88" s="146">
        <v>0</v>
      </c>
      <c r="C88" s="146">
        <v>0</v>
      </c>
      <c r="D88" s="146">
        <v>0.35989445560512928</v>
      </c>
      <c r="E88" s="146">
        <v>0</v>
      </c>
      <c r="F88" s="146">
        <v>0.15742879271926177</v>
      </c>
      <c r="G88" s="146">
        <v>5.5390000000000002E-2</v>
      </c>
      <c r="H88" s="146">
        <v>0</v>
      </c>
      <c r="I88" s="146">
        <v>0.13483957923731765</v>
      </c>
      <c r="J88" s="146">
        <v>0</v>
      </c>
      <c r="K88" s="146">
        <v>0.18145280758542104</v>
      </c>
      <c r="L88" s="146">
        <v>7.3767974320375643E-2</v>
      </c>
      <c r="M88" s="146">
        <v>5.5500000000000001E-2</v>
      </c>
      <c r="N88" s="146">
        <v>3.6600159936724552E-2</v>
      </c>
      <c r="O88" s="146">
        <v>6.8674662527783856E-2</v>
      </c>
      <c r="P88" s="146">
        <v>0</v>
      </c>
      <c r="Q88" s="146">
        <v>2.5609999999999994E-2</v>
      </c>
      <c r="R88" s="146">
        <v>0.06</v>
      </c>
      <c r="S88" s="146">
        <v>9.9129999990086995E-2</v>
      </c>
      <c r="T88" s="146">
        <v>3.2499999999999999E-3</v>
      </c>
      <c r="U88" s="146">
        <v>2.3099865418004925E-3</v>
      </c>
      <c r="V88" s="146">
        <v>0</v>
      </c>
      <c r="W88" s="146">
        <v>1.9000044695976893E-4</v>
      </c>
      <c r="X88" s="146">
        <v>4.9799999999999997E-2</v>
      </c>
      <c r="Y88" s="146">
        <v>0</v>
      </c>
      <c r="Z88" s="146">
        <v>2.3000073287279951E-3</v>
      </c>
      <c r="AA88" s="146">
        <v>8.2999942644677611E-4</v>
      </c>
      <c r="AB88" s="146">
        <v>2.4099999999999998E-3</v>
      </c>
      <c r="AC88" s="146">
        <v>2.1000000000000001E-4</v>
      </c>
      <c r="AD88" s="146">
        <v>0</v>
      </c>
      <c r="AE88" s="146">
        <v>0</v>
      </c>
      <c r="AF88" s="146">
        <v>2.3789994302865453E-2</v>
      </c>
      <c r="AG88" s="146">
        <v>3.8530000000000002E-2</v>
      </c>
      <c r="AH88" s="146">
        <v>7.9999918179086082E-2</v>
      </c>
      <c r="AI88" s="146">
        <v>0.11469975857753785</v>
      </c>
      <c r="AJ88" s="146">
        <v>0.2222808888149761</v>
      </c>
      <c r="AK88" s="146">
        <v>5.9999804790475423E-3</v>
      </c>
      <c r="AL88" s="146">
        <v>7.0999712663351983E-4</v>
      </c>
      <c r="AM88" s="146">
        <v>1.6299999999999995E-3</v>
      </c>
      <c r="AN88" s="146">
        <v>2.1599989818884085E-3</v>
      </c>
      <c r="AO88" s="146">
        <v>3.3E-4</v>
      </c>
      <c r="AP88" s="146">
        <v>6.7000000000000002E-4</v>
      </c>
      <c r="AQ88" s="146">
        <v>4.1000042153689104E-2</v>
      </c>
      <c r="AR88" s="146">
        <v>5.1194584879721311E-2</v>
      </c>
      <c r="AS88" s="146">
        <v>6.2149838212859368E-2</v>
      </c>
      <c r="AT88" s="146">
        <v>9.999963987678594E-4</v>
      </c>
      <c r="AU88" s="146">
        <v>5.0002499714785709E-2</v>
      </c>
      <c r="AV88" s="146">
        <v>2.6100000000000002E-2</v>
      </c>
      <c r="AW88" s="146">
        <v>3.8500000000000001E-3</v>
      </c>
      <c r="AX88" s="146">
        <v>0.13863025764754019</v>
      </c>
      <c r="AY88" s="146">
        <v>0.16697496252239785</v>
      </c>
      <c r="AZ88" s="146">
        <v>0.12326047111431017</v>
      </c>
      <c r="BA88" s="146">
        <v>0</v>
      </c>
      <c r="BB88" s="146">
        <v>1.2279999720557986E-2</v>
      </c>
      <c r="BC88" s="146">
        <v>6.6560200978168685E-2</v>
      </c>
      <c r="BD88" s="146">
        <v>3.7099879804594936E-3</v>
      </c>
      <c r="BE88" s="146">
        <v>0</v>
      </c>
      <c r="BF88" s="146">
        <v>0</v>
      </c>
      <c r="BG88" s="146">
        <v>0.13030020884020632</v>
      </c>
      <c r="BH88" s="146">
        <v>9.9199999999999997E-2</v>
      </c>
      <c r="BI88" s="146">
        <v>2.1589999996329701E-2</v>
      </c>
      <c r="BJ88" s="146">
        <v>7.799989333924283E-4</v>
      </c>
      <c r="BK88" s="146">
        <v>2.205E-2</v>
      </c>
      <c r="BL88" s="146">
        <v>3.6979999999999999E-2</v>
      </c>
      <c r="BM88" s="146">
        <v>5.4699950218854501E-3</v>
      </c>
      <c r="BN88" s="146">
        <v>1.8199999983437999E-3</v>
      </c>
      <c r="BO88" s="146">
        <v>1.7839981351657683E-2</v>
      </c>
      <c r="BP88" s="146">
        <v>0</v>
      </c>
      <c r="BQ88" s="146">
        <v>0</v>
      </c>
      <c r="BR88" s="146">
        <v>0</v>
      </c>
      <c r="BS88" s="146">
        <v>0</v>
      </c>
      <c r="BT88" s="146">
        <v>0</v>
      </c>
      <c r="BU88" s="146">
        <v>6.4199999999999993E-2</v>
      </c>
      <c r="BV88" s="146">
        <v>1.6899999999999998E-2</v>
      </c>
      <c r="BW88" s="146">
        <v>1.3699999999999999E-3</v>
      </c>
      <c r="BX88" s="146">
        <v>0</v>
      </c>
      <c r="BY88" s="146">
        <v>0.27709218945023972</v>
      </c>
      <c r="BZ88" s="146">
        <v>0</v>
      </c>
      <c r="CA88" s="146">
        <v>0.37724999999999997</v>
      </c>
      <c r="CB88" s="146">
        <v>3.024825392184142E-3</v>
      </c>
      <c r="CC88" s="146">
        <v>3.8400000000000001E-3</v>
      </c>
      <c r="CD88" s="146">
        <v>0</v>
      </c>
      <c r="CE88" s="146">
        <v>0.28471294000000003</v>
      </c>
      <c r="CF88" s="146">
        <v>0</v>
      </c>
      <c r="CG88" s="146">
        <v>0</v>
      </c>
      <c r="CH88" s="146">
        <v>0</v>
      </c>
      <c r="CI88" s="146">
        <v>0</v>
      </c>
      <c r="CJ88" s="146">
        <v>1.2619988032224354E-2</v>
      </c>
      <c r="CK88" s="146">
        <v>1E-4</v>
      </c>
      <c r="CL88" s="146">
        <v>0</v>
      </c>
      <c r="CM88" s="146">
        <v>0</v>
      </c>
      <c r="CN88" s="146">
        <v>0</v>
      </c>
      <c r="CO88" s="146">
        <v>0</v>
      </c>
      <c r="CP88" s="146">
        <v>0</v>
      </c>
      <c r="CQ88" s="146">
        <v>0</v>
      </c>
      <c r="CR88" s="146">
        <v>0</v>
      </c>
      <c r="CS88" s="146">
        <v>0</v>
      </c>
      <c r="CT88" s="146">
        <v>0</v>
      </c>
      <c r="CU88" s="146">
        <v>0</v>
      </c>
      <c r="CV88" s="146">
        <v>0</v>
      </c>
    </row>
    <row r="89" spans="1:100" x14ac:dyDescent="0.15">
      <c r="A89" s="182" t="s">
        <v>279</v>
      </c>
      <c r="B89" s="146">
        <v>0</v>
      </c>
      <c r="C89" s="146">
        <v>0</v>
      </c>
      <c r="D89" s="146">
        <v>0</v>
      </c>
      <c r="E89" s="146">
        <v>0</v>
      </c>
      <c r="F89" s="146">
        <v>0.13745959795820484</v>
      </c>
      <c r="G89" s="146">
        <v>5.5390000000000002E-2</v>
      </c>
      <c r="H89" s="146">
        <v>0</v>
      </c>
      <c r="I89" s="146">
        <v>0.13483957923731765</v>
      </c>
      <c r="J89" s="146">
        <v>0</v>
      </c>
      <c r="K89" s="146">
        <v>0.16026049698421796</v>
      </c>
      <c r="L89" s="146">
        <v>7.5500269304416001E-2</v>
      </c>
      <c r="M89" s="146">
        <v>0.09</v>
      </c>
      <c r="N89" s="146">
        <v>6.7740299882888558E-2</v>
      </c>
      <c r="O89" s="146">
        <v>0.10699536293829603</v>
      </c>
      <c r="P89" s="146">
        <v>4.8859782159867512E-2</v>
      </c>
      <c r="Q89" s="146">
        <v>9.4029999999999975E-2</v>
      </c>
      <c r="R89" s="146">
        <v>0.11570999999999999</v>
      </c>
      <c r="S89" s="146">
        <v>0.154859999984514</v>
      </c>
      <c r="T89" s="146">
        <v>0.02</v>
      </c>
      <c r="U89" s="146">
        <v>4.7779632982525744E-2</v>
      </c>
      <c r="V89" s="146">
        <v>0</v>
      </c>
      <c r="W89" s="146">
        <v>1.9000044695976893E-4</v>
      </c>
      <c r="X89" s="146">
        <v>1.451E-2</v>
      </c>
      <c r="Y89" s="146">
        <v>0</v>
      </c>
      <c r="Z89" s="146">
        <v>2.3000073287279951E-3</v>
      </c>
      <c r="AA89" s="146">
        <v>8.2999942644677611E-4</v>
      </c>
      <c r="AB89" s="146">
        <v>2.4099999999999998E-3</v>
      </c>
      <c r="AC89" s="146">
        <v>2.1000000000000001E-4</v>
      </c>
      <c r="AD89" s="146">
        <v>0</v>
      </c>
      <c r="AE89" s="146">
        <v>0</v>
      </c>
      <c r="AF89" s="146">
        <v>2.3789994302865453E-2</v>
      </c>
      <c r="AG89" s="146">
        <v>3.8530000000000002E-2</v>
      </c>
      <c r="AH89" s="146">
        <v>0.1799998042279434</v>
      </c>
      <c r="AI89" s="146">
        <v>0.23959949911750714</v>
      </c>
      <c r="AJ89" s="146">
        <v>0.22229088681492279</v>
      </c>
      <c r="AK89" s="146">
        <v>5.9999804790475423E-3</v>
      </c>
      <c r="AL89" s="146">
        <v>7.0999712663351983E-4</v>
      </c>
      <c r="AM89" s="146">
        <v>9.9999999999999978E-5</v>
      </c>
      <c r="AN89" s="146">
        <v>2.1599989818884085E-3</v>
      </c>
      <c r="AO89" s="146">
        <v>5.0800000000000003E-3</v>
      </c>
      <c r="AP89" s="146">
        <v>2.0500000000000002E-3</v>
      </c>
      <c r="AQ89" s="146">
        <v>0.14900015319511406</v>
      </c>
      <c r="AR89" s="146">
        <v>0.30941889383345911</v>
      </c>
      <c r="AS89" s="146">
        <v>0.1349696383309352</v>
      </c>
      <c r="AT89" s="146">
        <v>5.2299812335559047E-2</v>
      </c>
      <c r="AU89" s="146">
        <v>9.9434969432822873E-2</v>
      </c>
      <c r="AV89" s="146">
        <v>0.11505</v>
      </c>
      <c r="AW89" s="146">
        <v>0.10346</v>
      </c>
      <c r="AX89" s="146">
        <v>0.12068021443421433</v>
      </c>
      <c r="AY89" s="146">
        <v>0.16609486951964439</v>
      </c>
      <c r="AZ89" s="146">
        <v>0.18329070463103947</v>
      </c>
      <c r="BA89" s="146">
        <v>6.9168511409232095E-2</v>
      </c>
      <c r="BB89" s="146">
        <v>0.10585998276337652</v>
      </c>
      <c r="BC89" s="146">
        <v>6.6550200978021723E-2</v>
      </c>
      <c r="BD89" s="146">
        <v>5.8509819691828779E-2</v>
      </c>
      <c r="BE89" s="146">
        <v>0</v>
      </c>
      <c r="BF89" s="146">
        <v>0</v>
      </c>
      <c r="BG89" s="146">
        <v>0.18235027777637472</v>
      </c>
      <c r="BH89" s="146">
        <v>0.12418</v>
      </c>
      <c r="BI89" s="146">
        <v>1.0789999998165699E-2</v>
      </c>
      <c r="BJ89" s="146">
        <v>4.9999993779000165E-5</v>
      </c>
      <c r="BK89" s="146">
        <v>5.4799999999999996E-3</v>
      </c>
      <c r="BL89" s="146">
        <v>1.83E-2</v>
      </c>
      <c r="BM89" s="146">
        <v>5.4699950218854501E-3</v>
      </c>
      <c r="BN89" s="146">
        <v>5.6500059948584938E-3</v>
      </c>
      <c r="BO89" s="146">
        <v>1.7809981651402653E-2</v>
      </c>
      <c r="BP89" s="146">
        <v>0</v>
      </c>
      <c r="BQ89" s="146">
        <v>0</v>
      </c>
      <c r="BR89" s="146">
        <v>0</v>
      </c>
      <c r="BS89" s="146">
        <v>0</v>
      </c>
      <c r="BT89" s="146">
        <v>0</v>
      </c>
      <c r="BU89" s="146">
        <v>0</v>
      </c>
      <c r="BV89" s="146">
        <v>0.22839999999999999</v>
      </c>
      <c r="BW89" s="146">
        <v>1.8E-3</v>
      </c>
      <c r="BX89" s="146">
        <v>0</v>
      </c>
      <c r="BY89" s="146">
        <v>0.2609422110651195</v>
      </c>
      <c r="BZ89" s="146">
        <v>0</v>
      </c>
      <c r="CA89" s="146">
        <v>0.37724000000000002</v>
      </c>
      <c r="CB89" s="146">
        <v>0.11681127624287198</v>
      </c>
      <c r="CC89" s="146">
        <v>0.49398999999999998</v>
      </c>
      <c r="CD89" s="146">
        <v>0</v>
      </c>
      <c r="CE89" s="146">
        <v>0.22672694900000001</v>
      </c>
      <c r="CF89" s="146">
        <v>4.0000000000000002E-4</v>
      </c>
      <c r="CG89" s="146">
        <v>0</v>
      </c>
      <c r="CH89" s="146">
        <v>0</v>
      </c>
      <c r="CI89" s="146">
        <v>9.5E-4</v>
      </c>
      <c r="CJ89" s="146">
        <v>0.66419934843291739</v>
      </c>
      <c r="CK89" s="146">
        <v>1.1999999999999999E-3</v>
      </c>
      <c r="CL89" s="146">
        <v>0</v>
      </c>
      <c r="CM89" s="146">
        <v>0</v>
      </c>
      <c r="CN89" s="146">
        <v>0</v>
      </c>
      <c r="CO89" s="146">
        <v>0</v>
      </c>
      <c r="CP89" s="146">
        <v>0</v>
      </c>
      <c r="CQ89" s="146">
        <v>0</v>
      </c>
      <c r="CR89" s="146">
        <v>0</v>
      </c>
      <c r="CS89" s="146">
        <v>0</v>
      </c>
      <c r="CT89" s="146">
        <v>0</v>
      </c>
      <c r="CU89" s="146">
        <v>0</v>
      </c>
      <c r="CV89" s="146">
        <v>0</v>
      </c>
    </row>
    <row r="90" spans="1:100" x14ac:dyDescent="0.15">
      <c r="A90" s="182" t="s">
        <v>280</v>
      </c>
      <c r="B90" s="146">
        <v>0</v>
      </c>
      <c r="C90" s="146">
        <v>0</v>
      </c>
      <c r="D90" s="146">
        <v>0</v>
      </c>
      <c r="E90" s="146">
        <v>0</v>
      </c>
      <c r="F90" s="146">
        <v>0</v>
      </c>
      <c r="G90" s="146">
        <v>0</v>
      </c>
      <c r="H90" s="146">
        <v>0.08</v>
      </c>
      <c r="I90" s="146">
        <v>0.20928505136834172</v>
      </c>
      <c r="J90" s="146">
        <v>0</v>
      </c>
      <c r="K90" s="146">
        <v>0</v>
      </c>
      <c r="L90" s="146">
        <v>0</v>
      </c>
      <c r="M90" s="146">
        <v>0</v>
      </c>
      <c r="N90" s="146">
        <v>1.2600053978216652E-2</v>
      </c>
      <c r="O90" s="146">
        <v>3.3782696243476865E-3</v>
      </c>
      <c r="P90" s="146">
        <v>0</v>
      </c>
      <c r="Q90" s="146">
        <v>0</v>
      </c>
      <c r="R90" s="146">
        <v>0</v>
      </c>
      <c r="S90" s="146">
        <v>0</v>
      </c>
      <c r="T90" s="146">
        <v>0</v>
      </c>
      <c r="U90" s="146">
        <v>3.9999794445895039E-7</v>
      </c>
      <c r="V90" s="146">
        <v>0</v>
      </c>
      <c r="W90" s="146">
        <v>0</v>
      </c>
      <c r="X90" s="146">
        <v>0</v>
      </c>
      <c r="Y90" s="146">
        <v>0</v>
      </c>
      <c r="Z90" s="146">
        <v>6.0000247432036098E-5</v>
      </c>
      <c r="AA90" s="146">
        <v>0</v>
      </c>
      <c r="AB90" s="146">
        <v>0</v>
      </c>
      <c r="AC90" s="146">
        <v>0</v>
      </c>
      <c r="AD90" s="146">
        <v>1.0919999999999999E-2</v>
      </c>
      <c r="AE90" s="146">
        <v>2.4940000000000004E-2</v>
      </c>
      <c r="AF90" s="146">
        <v>0</v>
      </c>
      <c r="AG90" s="146">
        <v>0</v>
      </c>
      <c r="AH90" s="146">
        <v>4.9999948874428803E-3</v>
      </c>
      <c r="AI90" s="146">
        <v>1.5199965544015488E-3</v>
      </c>
      <c r="AJ90" s="146">
        <v>0</v>
      </c>
      <c r="AK90" s="146">
        <v>0</v>
      </c>
      <c r="AL90" s="146">
        <v>0</v>
      </c>
      <c r="AM90" s="146">
        <v>0</v>
      </c>
      <c r="AN90" s="146">
        <v>1.2999993590995053E-2</v>
      </c>
      <c r="AO90" s="146">
        <v>4.8999999999999998E-4</v>
      </c>
      <c r="AP90" s="146">
        <v>1.64E-3</v>
      </c>
      <c r="AQ90" s="146">
        <v>1.0000010013094902E-3</v>
      </c>
      <c r="AR90" s="146">
        <v>7.0289204399176511E-3</v>
      </c>
      <c r="AS90" s="146">
        <v>1.9999947597219424E-2</v>
      </c>
      <c r="AT90" s="146">
        <v>3.8999859951946514E-3</v>
      </c>
      <c r="AU90" s="146">
        <v>9.100454948091E-4</v>
      </c>
      <c r="AV90" s="146">
        <v>9.0000000000000006E-5</v>
      </c>
      <c r="AW90" s="146">
        <v>0</v>
      </c>
      <c r="AX90" s="146">
        <v>0</v>
      </c>
      <c r="AY90" s="146">
        <v>0</v>
      </c>
      <c r="AZ90" s="146">
        <v>0</v>
      </c>
      <c r="BA90" s="146">
        <v>3.1247799036639424E-2</v>
      </c>
      <c r="BB90" s="146">
        <v>3.799999929195468E-3</v>
      </c>
      <c r="BC90" s="146">
        <v>8.500030124916439E-4</v>
      </c>
      <c r="BD90" s="146">
        <v>0</v>
      </c>
      <c r="BE90" s="146">
        <v>2E-3</v>
      </c>
      <c r="BF90" s="146">
        <v>6.0000000000000002E-5</v>
      </c>
      <c r="BG90" s="146">
        <v>0.11099017386388718</v>
      </c>
      <c r="BH90" s="146">
        <v>1E-4</v>
      </c>
      <c r="BI90" s="146">
        <v>0</v>
      </c>
      <c r="BJ90" s="146">
        <v>0</v>
      </c>
      <c r="BK90" s="146">
        <v>0</v>
      </c>
      <c r="BL90" s="146">
        <v>0</v>
      </c>
      <c r="BM90" s="146">
        <v>2.6299970105226177E-3</v>
      </c>
      <c r="BN90" s="146">
        <v>9.0000099918099896E-5</v>
      </c>
      <c r="BO90" s="146">
        <v>0</v>
      </c>
      <c r="BP90" s="146">
        <v>0</v>
      </c>
      <c r="BQ90" s="146">
        <v>0</v>
      </c>
      <c r="BR90" s="146">
        <v>0</v>
      </c>
      <c r="BS90" s="146">
        <v>0</v>
      </c>
      <c r="BT90" s="146">
        <v>0</v>
      </c>
      <c r="BU90" s="146">
        <v>0</v>
      </c>
      <c r="BV90" s="146">
        <v>0</v>
      </c>
      <c r="BW90" s="146">
        <v>0</v>
      </c>
      <c r="BX90" s="146">
        <v>0</v>
      </c>
      <c r="BY90" s="146">
        <v>0</v>
      </c>
      <c r="BZ90" s="146">
        <v>0</v>
      </c>
      <c r="CA90" s="146">
        <v>0</v>
      </c>
      <c r="CB90" s="146">
        <v>0</v>
      </c>
      <c r="CC90" s="146">
        <v>0</v>
      </c>
      <c r="CD90" s="146">
        <v>0</v>
      </c>
      <c r="CE90" s="146">
        <v>0</v>
      </c>
      <c r="CF90" s="146">
        <v>0</v>
      </c>
      <c r="CG90" s="146">
        <v>0</v>
      </c>
      <c r="CH90" s="146">
        <v>0</v>
      </c>
      <c r="CI90" s="146">
        <v>0</v>
      </c>
      <c r="CJ90" s="146">
        <v>0</v>
      </c>
      <c r="CK90" s="146">
        <v>0</v>
      </c>
      <c r="CL90" s="146">
        <v>1.7960898307919873E-2</v>
      </c>
      <c r="CM90" s="146">
        <v>0</v>
      </c>
      <c r="CN90" s="146">
        <v>0</v>
      </c>
      <c r="CO90" s="146">
        <v>0</v>
      </c>
      <c r="CP90" s="146">
        <v>0</v>
      </c>
      <c r="CQ90" s="146">
        <v>0</v>
      </c>
      <c r="CR90" s="146">
        <v>0</v>
      </c>
      <c r="CS90" s="146">
        <v>0</v>
      </c>
      <c r="CT90" s="146">
        <v>0</v>
      </c>
      <c r="CU90" s="146">
        <v>0</v>
      </c>
      <c r="CV90" s="146">
        <v>0</v>
      </c>
    </row>
    <row r="91" spans="1:100" x14ac:dyDescent="0.15">
      <c r="A91" s="182" t="s">
        <v>281</v>
      </c>
      <c r="B91" s="146">
        <v>0.20704576760259638</v>
      </c>
      <c r="C91" s="146">
        <v>0</v>
      </c>
      <c r="D91" s="146">
        <v>0</v>
      </c>
      <c r="E91" s="146">
        <v>0</v>
      </c>
      <c r="F91" s="146">
        <v>0</v>
      </c>
      <c r="G91" s="146">
        <v>0</v>
      </c>
      <c r="H91" s="146">
        <v>1.022E-2</v>
      </c>
      <c r="I91" s="146">
        <v>0</v>
      </c>
      <c r="J91" s="146">
        <v>0</v>
      </c>
      <c r="K91" s="146">
        <v>0.11634474781062452</v>
      </c>
      <c r="L91" s="146">
        <v>0.10167036906331087</v>
      </c>
      <c r="M91" s="146">
        <v>0.15928999999999999</v>
      </c>
      <c r="N91" s="146">
        <v>6.5180279887314382E-2</v>
      </c>
      <c r="O91" s="146">
        <v>7.3817722717090126E-2</v>
      </c>
      <c r="P91" s="146">
        <v>0.6547071294423219</v>
      </c>
      <c r="Q91" s="146">
        <v>0.10528999999999997</v>
      </c>
      <c r="R91" s="146">
        <v>0.1</v>
      </c>
      <c r="S91" s="146">
        <v>0.12999999998700001</v>
      </c>
      <c r="T91" s="146">
        <v>3.6769999999999997E-2</v>
      </c>
      <c r="U91" s="146">
        <v>9.6399256736615438E-2</v>
      </c>
      <c r="V91" s="146">
        <v>6.9999547483064098E-2</v>
      </c>
      <c r="W91" s="146">
        <v>0</v>
      </c>
      <c r="X91" s="146">
        <v>0</v>
      </c>
      <c r="Y91" s="146">
        <v>0</v>
      </c>
      <c r="Z91" s="146">
        <v>1.6100056611096103E-3</v>
      </c>
      <c r="AA91" s="146">
        <v>1.7879986549528177E-2</v>
      </c>
      <c r="AB91" s="146">
        <v>0</v>
      </c>
      <c r="AC91" s="146">
        <v>0</v>
      </c>
      <c r="AD91" s="146">
        <v>1.3270000000000001E-2</v>
      </c>
      <c r="AE91" s="146">
        <v>2.4940000000000004E-2</v>
      </c>
      <c r="AF91" s="146">
        <v>3.0609999875019372E-2</v>
      </c>
      <c r="AG91" s="146">
        <v>0</v>
      </c>
      <c r="AH91" s="146">
        <v>0.10641988649965416</v>
      </c>
      <c r="AI91" s="146">
        <v>2.5299945706815243E-2</v>
      </c>
      <c r="AJ91" s="146">
        <v>0</v>
      </c>
      <c r="AK91" s="146">
        <v>1.3409957275521255E-2</v>
      </c>
      <c r="AL91" s="146">
        <v>1.5999935276248337E-2</v>
      </c>
      <c r="AM91" s="146">
        <v>0</v>
      </c>
      <c r="AN91" s="146">
        <v>0.27002987073579948</v>
      </c>
      <c r="AO91" s="146">
        <v>0.2</v>
      </c>
      <c r="AP91" s="146">
        <v>0.15132000000000001</v>
      </c>
      <c r="AQ91" s="146">
        <v>4.0410040052916506E-2</v>
      </c>
      <c r="AR91" s="146">
        <v>0.13443647032075834</v>
      </c>
      <c r="AS91" s="146">
        <v>0.11799969616359465</v>
      </c>
      <c r="AT91" s="146">
        <v>5.6109793430864592E-2</v>
      </c>
      <c r="AU91" s="146">
        <v>9.9204964334134824E-2</v>
      </c>
      <c r="AV91" s="146">
        <v>9.4E-2</v>
      </c>
      <c r="AW91" s="146">
        <v>0</v>
      </c>
      <c r="AX91" s="146">
        <v>0.15713091386740977</v>
      </c>
      <c r="AY91" s="146">
        <v>0</v>
      </c>
      <c r="AZ91" s="146">
        <v>0</v>
      </c>
      <c r="BA91" s="146">
        <v>0.23370328976144666</v>
      </c>
      <c r="BB91" s="146">
        <v>0.27999994930913857</v>
      </c>
      <c r="BC91" s="146">
        <v>0.2868008652148254</v>
      </c>
      <c r="BD91" s="146">
        <v>0.1153396433925061</v>
      </c>
      <c r="BE91" s="146">
        <v>0.4</v>
      </c>
      <c r="BF91" s="146">
        <v>1.24E-2</v>
      </c>
      <c r="BG91" s="146">
        <v>0.15920025080476474</v>
      </c>
      <c r="BH91" s="146">
        <v>0.24</v>
      </c>
      <c r="BI91" s="146">
        <v>5.3959999990826797E-2</v>
      </c>
      <c r="BJ91" s="146">
        <v>3.2659999137122822E-2</v>
      </c>
      <c r="BK91" s="146">
        <v>0</v>
      </c>
      <c r="BL91" s="146">
        <v>0</v>
      </c>
      <c r="BM91" s="146">
        <v>6.5599930262465319E-3</v>
      </c>
      <c r="BN91" s="146">
        <v>6.3960059941796335E-2</v>
      </c>
      <c r="BO91" s="146">
        <v>0</v>
      </c>
      <c r="BP91" s="146">
        <v>9.5000000000000001E-2</v>
      </c>
      <c r="BQ91" s="146">
        <v>9.5000000000000001E-2</v>
      </c>
      <c r="BR91" s="146">
        <v>9.5000000000000001E-2</v>
      </c>
      <c r="BS91" s="146">
        <v>9.5000000000000001E-2</v>
      </c>
      <c r="BT91" s="146">
        <v>0</v>
      </c>
      <c r="BU91" s="146">
        <v>0.19262000000000001</v>
      </c>
      <c r="BV91" s="146">
        <v>9.7300000000000008E-3</v>
      </c>
      <c r="BW91" s="146">
        <v>0</v>
      </c>
      <c r="BX91" s="146">
        <v>0.35013000000000005</v>
      </c>
      <c r="BY91" s="146">
        <v>2.0263421528508605E-2</v>
      </c>
      <c r="BZ91" s="146">
        <v>0</v>
      </c>
      <c r="CA91" s="146">
        <v>0</v>
      </c>
      <c r="CB91" s="146">
        <v>0</v>
      </c>
      <c r="CC91" s="146">
        <v>0</v>
      </c>
      <c r="CD91" s="146">
        <v>0</v>
      </c>
      <c r="CE91" s="146">
        <v>0</v>
      </c>
      <c r="CF91" s="146">
        <v>0</v>
      </c>
      <c r="CG91" s="146">
        <v>0</v>
      </c>
      <c r="CH91" s="146">
        <v>4.5789999999999997E-2</v>
      </c>
      <c r="CI91" s="146">
        <v>0</v>
      </c>
      <c r="CJ91" s="146">
        <v>0</v>
      </c>
      <c r="CK91" s="146">
        <v>0</v>
      </c>
      <c r="CL91" s="146">
        <v>0.23291164221239088</v>
      </c>
      <c r="CM91" s="146">
        <v>0.15</v>
      </c>
      <c r="CN91" s="146">
        <v>0</v>
      </c>
      <c r="CO91" s="146">
        <v>0</v>
      </c>
      <c r="CP91" s="146">
        <v>0</v>
      </c>
      <c r="CQ91" s="146">
        <v>0</v>
      </c>
      <c r="CR91" s="146">
        <v>0</v>
      </c>
      <c r="CS91" s="146">
        <v>0</v>
      </c>
      <c r="CT91" s="146">
        <v>0</v>
      </c>
      <c r="CU91" s="146">
        <v>0</v>
      </c>
      <c r="CV91" s="146">
        <v>0</v>
      </c>
    </row>
    <row r="92" spans="1:100" x14ac:dyDescent="0.15">
      <c r="A92" s="182" t="s">
        <v>282</v>
      </c>
      <c r="B92" s="146">
        <v>0.41624480724265972</v>
      </c>
      <c r="C92" s="146">
        <v>0</v>
      </c>
      <c r="D92" s="146">
        <v>0</v>
      </c>
      <c r="E92" s="146">
        <v>0</v>
      </c>
      <c r="F92" s="146">
        <v>0</v>
      </c>
      <c r="G92" s="146">
        <v>0</v>
      </c>
      <c r="H92" s="146">
        <v>1.022E-2</v>
      </c>
      <c r="I92" s="146">
        <v>0</v>
      </c>
      <c r="J92" s="146">
        <v>0</v>
      </c>
      <c r="K92" s="146">
        <v>0</v>
      </c>
      <c r="L92" s="146">
        <v>0</v>
      </c>
      <c r="M92" s="146">
        <v>0</v>
      </c>
      <c r="N92" s="146">
        <v>3.0000129948134883E-2</v>
      </c>
      <c r="O92" s="146">
        <v>6.7767082494377563E-3</v>
      </c>
      <c r="P92" s="146">
        <v>0</v>
      </c>
      <c r="Q92" s="146">
        <v>0</v>
      </c>
      <c r="R92" s="146">
        <v>0.1</v>
      </c>
      <c r="S92" s="146">
        <v>0.10999999998899999</v>
      </c>
      <c r="T92" s="146">
        <v>1.077E-2</v>
      </c>
      <c r="U92" s="146">
        <v>3.509978881177394E-2</v>
      </c>
      <c r="V92" s="146">
        <v>4.9999688202188232E-2</v>
      </c>
      <c r="W92" s="146">
        <v>0</v>
      </c>
      <c r="X92" s="146">
        <v>0</v>
      </c>
      <c r="Y92" s="146">
        <v>0</v>
      </c>
      <c r="Z92" s="146">
        <v>5.0000111276694323E-5</v>
      </c>
      <c r="AA92" s="146">
        <v>2.0999986053472631E-4</v>
      </c>
      <c r="AB92" s="146">
        <v>0</v>
      </c>
      <c r="AC92" s="146">
        <v>0</v>
      </c>
      <c r="AD92" s="146">
        <v>6.4599999999999996E-3</v>
      </c>
      <c r="AE92" s="146">
        <v>1.1820000000000002E-2</v>
      </c>
      <c r="AF92" s="146">
        <v>0</v>
      </c>
      <c r="AG92" s="146">
        <v>0</v>
      </c>
      <c r="AH92" s="146">
        <v>1.0699999751328015E-2</v>
      </c>
      <c r="AI92" s="146">
        <v>1.9599959927809427E-2</v>
      </c>
      <c r="AJ92" s="146">
        <v>0</v>
      </c>
      <c r="AK92" s="146">
        <v>9.9999679817459018E-3</v>
      </c>
      <c r="AL92" s="146">
        <v>0</v>
      </c>
      <c r="AM92" s="146">
        <v>0</v>
      </c>
      <c r="AN92" s="146">
        <v>0.27003989773571546</v>
      </c>
      <c r="AO92" s="146">
        <v>0.30166999999999999</v>
      </c>
      <c r="AP92" s="146">
        <v>9.2689999999999995E-2</v>
      </c>
      <c r="AQ92" s="146">
        <v>5.86500540768016E-2</v>
      </c>
      <c r="AR92" s="146">
        <v>0.1200098896082718</v>
      </c>
      <c r="AS92" s="146">
        <v>9.5519744841919912E-2</v>
      </c>
      <c r="AT92" s="146">
        <v>4.5509979943925104E-2</v>
      </c>
      <c r="AU92" s="146">
        <v>5.0092503114272331E-2</v>
      </c>
      <c r="AV92" s="146">
        <v>6.7000000000000004E-2</v>
      </c>
      <c r="AW92" s="146">
        <v>0</v>
      </c>
      <c r="AX92" s="146">
        <v>0.15713091386740977</v>
      </c>
      <c r="AY92" s="146">
        <v>0</v>
      </c>
      <c r="AZ92" s="146">
        <v>0</v>
      </c>
      <c r="BA92" s="146">
        <v>0.20906793025952838</v>
      </c>
      <c r="BB92" s="146">
        <v>0.17679997261519906</v>
      </c>
      <c r="BC92" s="146">
        <v>9.3600001375545583E-3</v>
      </c>
      <c r="BD92" s="146">
        <v>6.1799999674499399E-3</v>
      </c>
      <c r="BE92" s="146">
        <v>6.2899999999999998E-2</v>
      </c>
      <c r="BF92" s="146">
        <v>8.9999999999999993E-3</v>
      </c>
      <c r="BG92" s="146">
        <v>0</v>
      </c>
      <c r="BH92" s="146">
        <v>2.0959999999999999E-2</v>
      </c>
      <c r="BI92" s="146">
        <v>5.5399999990581997E-2</v>
      </c>
      <c r="BJ92" s="146">
        <v>1.7099981648218486E-2</v>
      </c>
      <c r="BK92" s="146">
        <v>0</v>
      </c>
      <c r="BL92" s="146">
        <v>0</v>
      </c>
      <c r="BM92" s="146">
        <v>3.1999970128031878E-3</v>
      </c>
      <c r="BN92" s="146">
        <v>4.1560042562180356E-2</v>
      </c>
      <c r="BO92" s="146">
        <v>0</v>
      </c>
      <c r="BP92" s="146">
        <v>5.135E-2</v>
      </c>
      <c r="BQ92" s="146">
        <v>5.135E-2</v>
      </c>
      <c r="BR92" s="146">
        <v>5.135E-2</v>
      </c>
      <c r="BS92" s="146">
        <v>5.135E-2</v>
      </c>
      <c r="BT92" s="146">
        <v>0</v>
      </c>
      <c r="BU92" s="146">
        <v>0.19262000000000001</v>
      </c>
      <c r="BV92" s="146">
        <v>0</v>
      </c>
      <c r="BW92" s="146">
        <v>0</v>
      </c>
      <c r="BX92" s="146">
        <v>0.35493000000000008</v>
      </c>
      <c r="BY92" s="146">
        <v>0</v>
      </c>
      <c r="BZ92" s="146">
        <v>0</v>
      </c>
      <c r="CA92" s="146">
        <v>0</v>
      </c>
      <c r="CB92" s="146">
        <v>0</v>
      </c>
      <c r="CC92" s="146">
        <v>0</v>
      </c>
      <c r="CD92" s="146">
        <v>0</v>
      </c>
      <c r="CE92" s="146">
        <v>0</v>
      </c>
      <c r="CF92" s="146">
        <v>0</v>
      </c>
      <c r="CG92" s="146">
        <v>0</v>
      </c>
      <c r="CH92" s="146">
        <v>1.9869999999999999E-2</v>
      </c>
      <c r="CI92" s="146">
        <v>0</v>
      </c>
      <c r="CJ92" s="146">
        <v>0</v>
      </c>
      <c r="CK92" s="146">
        <v>0</v>
      </c>
      <c r="CL92" s="146">
        <v>0.24702234198292269</v>
      </c>
      <c r="CM92" s="146">
        <v>2.5000000000000001E-2</v>
      </c>
      <c r="CN92" s="146">
        <v>0</v>
      </c>
      <c r="CO92" s="146">
        <v>0</v>
      </c>
      <c r="CP92" s="146">
        <v>0</v>
      </c>
      <c r="CQ92" s="146">
        <v>0</v>
      </c>
      <c r="CR92" s="146">
        <v>0</v>
      </c>
      <c r="CS92" s="146">
        <v>0</v>
      </c>
      <c r="CT92" s="146">
        <v>0</v>
      </c>
      <c r="CU92" s="146">
        <v>0</v>
      </c>
      <c r="CV92" s="146">
        <v>0</v>
      </c>
    </row>
    <row r="93" spans="1:100" x14ac:dyDescent="0.15">
      <c r="A93" s="182" t="s">
        <v>283</v>
      </c>
      <c r="B93" s="146">
        <v>0.20919904464006339</v>
      </c>
      <c r="C93" s="146">
        <v>0</v>
      </c>
      <c r="D93" s="146">
        <v>0</v>
      </c>
      <c r="E93" s="146">
        <v>0</v>
      </c>
      <c r="F93" s="146">
        <v>0</v>
      </c>
      <c r="G93" s="146">
        <v>0</v>
      </c>
      <c r="H93" s="146">
        <v>0</v>
      </c>
      <c r="I93" s="146">
        <v>0</v>
      </c>
      <c r="J93" s="146">
        <v>0</v>
      </c>
      <c r="K93" s="146">
        <v>0</v>
      </c>
      <c r="L93" s="146">
        <v>0</v>
      </c>
      <c r="M93" s="146">
        <v>0</v>
      </c>
      <c r="N93" s="146">
        <v>9.4891519835948717E-3</v>
      </c>
      <c r="O93" s="146">
        <v>6.7565392486953731E-3</v>
      </c>
      <c r="P93" s="146">
        <v>0</v>
      </c>
      <c r="Q93" s="146">
        <v>0</v>
      </c>
      <c r="R93" s="146">
        <v>0</v>
      </c>
      <c r="S93" s="146">
        <v>6.9999999993000009E-2</v>
      </c>
      <c r="T93" s="146">
        <v>2.3600000000000001E-3</v>
      </c>
      <c r="U93" s="146">
        <v>4.3799731317256552E-3</v>
      </c>
      <c r="V93" s="146">
        <v>0</v>
      </c>
      <c r="W93" s="146">
        <v>0</v>
      </c>
      <c r="X93" s="146">
        <v>0</v>
      </c>
      <c r="Y93" s="146">
        <v>0</v>
      </c>
      <c r="Z93" s="146">
        <v>9.0000316498052734E-5</v>
      </c>
      <c r="AA93" s="146">
        <v>2.0999986053472631E-4</v>
      </c>
      <c r="AB93" s="146">
        <v>0</v>
      </c>
      <c r="AC93" s="146">
        <v>0</v>
      </c>
      <c r="AD93" s="146">
        <v>1.3270000000000001E-2</v>
      </c>
      <c r="AE93" s="146">
        <v>2.4940000000000004E-2</v>
      </c>
      <c r="AF93" s="146">
        <v>0</v>
      </c>
      <c r="AG93" s="146">
        <v>0</v>
      </c>
      <c r="AH93" s="146">
        <v>9.8499896413624666E-2</v>
      </c>
      <c r="AI93" s="146">
        <v>1.499996794475212E-2</v>
      </c>
      <c r="AJ93" s="146">
        <v>0</v>
      </c>
      <c r="AK93" s="146">
        <v>1.320995667588634E-2</v>
      </c>
      <c r="AL93" s="146">
        <v>0</v>
      </c>
      <c r="AM93" s="146">
        <v>0</v>
      </c>
      <c r="AN93" s="146">
        <v>0.16201992164146295</v>
      </c>
      <c r="AO93" s="146">
        <v>0.48704999999999998</v>
      </c>
      <c r="AP93" s="146">
        <v>0.2087</v>
      </c>
      <c r="AQ93" s="146">
        <v>0.11704011315326274</v>
      </c>
      <c r="AR93" s="146">
        <v>0.11467543771458437</v>
      </c>
      <c r="AS93" s="146">
        <v>0.11009971208569294</v>
      </c>
      <c r="AT93" s="146">
        <v>3.7379864553942585E-2</v>
      </c>
      <c r="AU93" s="146">
        <v>8.7834389498992582E-2</v>
      </c>
      <c r="AV93" s="146">
        <v>0.10086000000000001</v>
      </c>
      <c r="AW93" s="146">
        <v>0</v>
      </c>
      <c r="AX93" s="146">
        <v>0.15749091087168812</v>
      </c>
      <c r="AY93" s="146">
        <v>0</v>
      </c>
      <c r="AZ93" s="146">
        <v>0</v>
      </c>
      <c r="BA93" s="146">
        <v>0.18486601476644107</v>
      </c>
      <c r="BB93" s="146">
        <v>0.28801999251849436</v>
      </c>
      <c r="BC93" s="146">
        <v>0.2875308732255536</v>
      </c>
      <c r="BD93" s="146">
        <v>0.14645954922859755</v>
      </c>
      <c r="BE93" s="146">
        <v>0.32</v>
      </c>
      <c r="BF93" s="146">
        <v>0.09</v>
      </c>
      <c r="BG93" s="146">
        <v>0</v>
      </c>
      <c r="BH93" s="146">
        <v>0.3</v>
      </c>
      <c r="BI93" s="146">
        <v>5.3959999990826797E-2</v>
      </c>
      <c r="BJ93" s="146">
        <v>6.1009934388117533E-2</v>
      </c>
      <c r="BK93" s="146">
        <v>0</v>
      </c>
      <c r="BL93" s="146">
        <v>0</v>
      </c>
      <c r="BM93" s="146">
        <v>6.5599930262465319E-3</v>
      </c>
      <c r="BN93" s="146">
        <v>7.0650069935708423E-2</v>
      </c>
      <c r="BO93" s="146">
        <v>0</v>
      </c>
      <c r="BP93" s="146">
        <v>0.24390000000000001</v>
      </c>
      <c r="BQ93" s="146">
        <v>0.24390000000000001</v>
      </c>
      <c r="BR93" s="146">
        <v>0.24390000000000001</v>
      </c>
      <c r="BS93" s="146">
        <v>0.24390000000000001</v>
      </c>
      <c r="BT93" s="146">
        <v>0</v>
      </c>
      <c r="BU93" s="146">
        <v>0.12841</v>
      </c>
      <c r="BV93" s="146">
        <v>0</v>
      </c>
      <c r="BW93" s="146">
        <v>0</v>
      </c>
      <c r="BX93" s="146">
        <v>0</v>
      </c>
      <c r="BY93" s="146">
        <v>0</v>
      </c>
      <c r="BZ93" s="146">
        <v>0</v>
      </c>
      <c r="CA93" s="146">
        <v>0</v>
      </c>
      <c r="CB93" s="146">
        <v>0</v>
      </c>
      <c r="CC93" s="146">
        <v>0</v>
      </c>
      <c r="CD93" s="146">
        <v>0</v>
      </c>
      <c r="CE93" s="146">
        <v>0</v>
      </c>
      <c r="CF93" s="146">
        <v>0</v>
      </c>
      <c r="CG93" s="146">
        <v>0.2</v>
      </c>
      <c r="CH93" s="146">
        <v>0.20291000000000001</v>
      </c>
      <c r="CI93" s="146">
        <v>0</v>
      </c>
      <c r="CJ93" s="146">
        <v>0</v>
      </c>
      <c r="CK93" s="146">
        <v>0</v>
      </c>
      <c r="CL93" s="146">
        <v>0.16106806438071114</v>
      </c>
      <c r="CM93" s="146">
        <v>0.82499999999999996</v>
      </c>
      <c r="CN93" s="146">
        <v>0</v>
      </c>
      <c r="CO93" s="146">
        <v>0</v>
      </c>
      <c r="CP93" s="146">
        <v>0</v>
      </c>
      <c r="CQ93" s="146">
        <v>0</v>
      </c>
      <c r="CR93" s="146">
        <v>0</v>
      </c>
      <c r="CS93" s="146">
        <v>0</v>
      </c>
      <c r="CT93" s="146">
        <v>0</v>
      </c>
      <c r="CU93" s="146">
        <v>0</v>
      </c>
      <c r="CV93" s="146">
        <v>0</v>
      </c>
    </row>
    <row r="94" spans="1:100" x14ac:dyDescent="0.15">
      <c r="A94" s="182" t="s">
        <v>284</v>
      </c>
      <c r="B94" s="146">
        <v>0</v>
      </c>
      <c r="C94" s="146">
        <v>0</v>
      </c>
      <c r="D94" s="146">
        <v>0</v>
      </c>
      <c r="E94" s="146">
        <v>0</v>
      </c>
      <c r="F94" s="146">
        <v>0</v>
      </c>
      <c r="G94" s="146">
        <v>0</v>
      </c>
      <c r="H94" s="146">
        <v>0</v>
      </c>
      <c r="I94" s="146">
        <v>0</v>
      </c>
      <c r="J94" s="146">
        <v>0</v>
      </c>
      <c r="K94" s="146">
        <v>0</v>
      </c>
      <c r="L94" s="146">
        <v>0</v>
      </c>
      <c r="M94" s="146">
        <v>0</v>
      </c>
      <c r="N94" s="146">
        <v>0</v>
      </c>
      <c r="O94" s="146">
        <v>0</v>
      </c>
      <c r="P94" s="146">
        <v>0</v>
      </c>
      <c r="Q94" s="146">
        <v>0</v>
      </c>
      <c r="R94" s="146">
        <v>0</v>
      </c>
      <c r="S94" s="146">
        <v>0</v>
      </c>
      <c r="T94" s="146">
        <v>0</v>
      </c>
      <c r="U94" s="146">
        <v>0</v>
      </c>
      <c r="V94" s="146">
        <v>0</v>
      </c>
      <c r="W94" s="146">
        <v>0</v>
      </c>
      <c r="X94" s="146">
        <v>0</v>
      </c>
      <c r="Y94" s="146">
        <v>0</v>
      </c>
      <c r="Z94" s="146">
        <v>0</v>
      </c>
      <c r="AA94" s="146">
        <v>0</v>
      </c>
      <c r="AB94" s="146">
        <v>0</v>
      </c>
      <c r="AC94" s="146">
        <v>0</v>
      </c>
      <c r="AD94" s="146">
        <v>4.0329999999999998E-2</v>
      </c>
      <c r="AE94" s="146">
        <v>1.2470000000000002E-2</v>
      </c>
      <c r="AF94" s="146">
        <v>0</v>
      </c>
      <c r="AG94" s="146">
        <v>0</v>
      </c>
      <c r="AH94" s="146">
        <v>9.6399898064298647E-2</v>
      </c>
      <c r="AI94" s="146">
        <v>0.24999946307920198</v>
      </c>
      <c r="AJ94" s="146">
        <v>0</v>
      </c>
      <c r="AK94" s="146">
        <v>0</v>
      </c>
      <c r="AL94" s="146">
        <v>0</v>
      </c>
      <c r="AM94" s="146">
        <v>0</v>
      </c>
      <c r="AN94" s="146">
        <v>0.10801995409425268</v>
      </c>
      <c r="AO94" s="146">
        <v>0</v>
      </c>
      <c r="AP94" s="146">
        <v>0.52214000000000005</v>
      </c>
      <c r="AQ94" s="146">
        <v>0</v>
      </c>
      <c r="AR94" s="146">
        <v>8.498299830633764E-3</v>
      </c>
      <c r="AS94" s="146">
        <v>2.9609922591983358E-2</v>
      </c>
      <c r="AT94" s="146">
        <v>4.9999769938393029E-4</v>
      </c>
      <c r="AU94" s="146">
        <v>9.0094509486100871E-2</v>
      </c>
      <c r="AV94" s="146">
        <v>5.64E-3</v>
      </c>
      <c r="AW94" s="146">
        <v>0</v>
      </c>
      <c r="AX94" s="146">
        <v>0</v>
      </c>
      <c r="AY94" s="146">
        <v>0</v>
      </c>
      <c r="AZ94" s="146">
        <v>0</v>
      </c>
      <c r="BA94" s="146">
        <v>3.731592076027071E-2</v>
      </c>
      <c r="BB94" s="146">
        <v>1.9999998522081386E-4</v>
      </c>
      <c r="BC94" s="146">
        <v>0</v>
      </c>
      <c r="BD94" s="146">
        <v>0.15809949916728994</v>
      </c>
      <c r="BE94" s="146">
        <v>0.21299000000000001</v>
      </c>
      <c r="BF94" s="146">
        <v>0.88841000000000003</v>
      </c>
      <c r="BG94" s="146">
        <v>0</v>
      </c>
      <c r="BH94" s="146">
        <v>0</v>
      </c>
      <c r="BI94" s="146">
        <v>5.4459999990741803E-2</v>
      </c>
      <c r="BJ94" s="146">
        <v>0.17006980950675565</v>
      </c>
      <c r="BK94" s="146">
        <v>0</v>
      </c>
      <c r="BL94" s="146">
        <v>0</v>
      </c>
      <c r="BM94" s="146">
        <v>4.7649953690647465E-2</v>
      </c>
      <c r="BN94" s="146">
        <v>7.2320073734188722E-2</v>
      </c>
      <c r="BO94" s="146">
        <v>0</v>
      </c>
      <c r="BP94" s="146">
        <v>0.48780000000000001</v>
      </c>
      <c r="BQ94" s="146">
        <v>0.48780000000000001</v>
      </c>
      <c r="BR94" s="146">
        <v>0.48780000000000001</v>
      </c>
      <c r="BS94" s="146">
        <v>0.48780000000000001</v>
      </c>
      <c r="BT94" s="146">
        <v>0</v>
      </c>
      <c r="BU94" s="146">
        <v>0.12841</v>
      </c>
      <c r="BV94" s="146">
        <v>0</v>
      </c>
      <c r="BW94" s="146">
        <v>0</v>
      </c>
      <c r="BX94" s="146">
        <v>0</v>
      </c>
      <c r="BY94" s="146">
        <v>0</v>
      </c>
      <c r="BZ94" s="146">
        <v>0</v>
      </c>
      <c r="CA94" s="146">
        <v>0</v>
      </c>
      <c r="CB94" s="146">
        <v>0</v>
      </c>
      <c r="CC94" s="146">
        <v>0</v>
      </c>
      <c r="CD94" s="146">
        <v>0</v>
      </c>
      <c r="CE94" s="146">
        <v>0</v>
      </c>
      <c r="CF94" s="146">
        <v>0</v>
      </c>
      <c r="CG94" s="146">
        <v>0.50900999999999996</v>
      </c>
      <c r="CH94" s="146">
        <v>0.59231</v>
      </c>
      <c r="CI94" s="146">
        <v>0</v>
      </c>
      <c r="CJ94" s="146">
        <v>0</v>
      </c>
      <c r="CK94" s="146">
        <v>0</v>
      </c>
      <c r="CL94" s="146">
        <v>0.29254462824263927</v>
      </c>
      <c r="CM94" s="146">
        <v>0</v>
      </c>
      <c r="CN94" s="146">
        <v>1</v>
      </c>
      <c r="CO94" s="146">
        <v>1</v>
      </c>
      <c r="CP94" s="146">
        <v>0</v>
      </c>
      <c r="CQ94" s="146">
        <v>0</v>
      </c>
      <c r="CR94" s="146">
        <v>0</v>
      </c>
      <c r="CS94" s="146">
        <v>0</v>
      </c>
      <c r="CT94" s="146">
        <v>0</v>
      </c>
      <c r="CU94" s="146">
        <v>0</v>
      </c>
      <c r="CV94" s="146">
        <v>0</v>
      </c>
    </row>
    <row r="95" spans="1:100" x14ac:dyDescent="0.15">
      <c r="A95" s="182" t="s">
        <v>285</v>
      </c>
      <c r="B95" s="146">
        <v>0</v>
      </c>
      <c r="C95" s="146">
        <v>0</v>
      </c>
      <c r="D95" s="146">
        <v>0</v>
      </c>
      <c r="E95" s="146">
        <v>0</v>
      </c>
      <c r="F95" s="146">
        <v>0</v>
      </c>
      <c r="G95" s="146">
        <v>0</v>
      </c>
      <c r="H95" s="146">
        <v>0.38845000000000002</v>
      </c>
      <c r="I95" s="146">
        <v>0</v>
      </c>
      <c r="J95" s="146">
        <v>0</v>
      </c>
      <c r="K95" s="146">
        <v>0</v>
      </c>
      <c r="L95" s="146">
        <v>0</v>
      </c>
      <c r="M95" s="146">
        <v>0</v>
      </c>
      <c r="N95" s="146">
        <v>0</v>
      </c>
      <c r="O95" s="146">
        <v>0</v>
      </c>
      <c r="P95" s="146">
        <v>0</v>
      </c>
      <c r="Q95" s="146">
        <v>0</v>
      </c>
      <c r="R95" s="146">
        <v>0</v>
      </c>
      <c r="S95" s="146">
        <v>0</v>
      </c>
      <c r="T95" s="146">
        <v>0</v>
      </c>
      <c r="U95" s="146">
        <v>5.9999645368844128E-6</v>
      </c>
      <c r="V95" s="146">
        <v>0</v>
      </c>
      <c r="W95" s="146">
        <v>0</v>
      </c>
      <c r="X95" s="146">
        <v>0</v>
      </c>
      <c r="Y95" s="146">
        <v>0</v>
      </c>
      <c r="Z95" s="146">
        <v>1.6100056611096103E-3</v>
      </c>
      <c r="AA95" s="146">
        <v>0</v>
      </c>
      <c r="AB95" s="146">
        <v>0</v>
      </c>
      <c r="AC95" s="146">
        <v>0</v>
      </c>
      <c r="AD95" s="146">
        <v>0</v>
      </c>
      <c r="AE95" s="146">
        <v>0</v>
      </c>
      <c r="AF95" s="146">
        <v>0</v>
      </c>
      <c r="AG95" s="146">
        <v>0</v>
      </c>
      <c r="AH95" s="146">
        <v>0.14999984552328638</v>
      </c>
      <c r="AI95" s="146">
        <v>0.14261995247470219</v>
      </c>
      <c r="AJ95" s="146">
        <v>0</v>
      </c>
      <c r="AK95" s="146">
        <v>2.9999902745237709E-5</v>
      </c>
      <c r="AL95" s="146">
        <v>0</v>
      </c>
      <c r="AM95" s="146">
        <v>0</v>
      </c>
      <c r="AN95" s="146">
        <v>0</v>
      </c>
      <c r="AO95" s="146">
        <v>0</v>
      </c>
      <c r="AP95" s="146">
        <v>0</v>
      </c>
      <c r="AQ95" s="146">
        <v>0.12000011715713883</v>
      </c>
      <c r="AR95" s="146">
        <v>7.6791588469587738E-2</v>
      </c>
      <c r="AS95" s="146">
        <v>8.7449506762339327E-2</v>
      </c>
      <c r="AT95" s="146">
        <v>0.33579876958624721</v>
      </c>
      <c r="AU95" s="146">
        <v>0.16833841703979754</v>
      </c>
      <c r="AV95" s="146">
        <v>0.22683</v>
      </c>
      <c r="AW95" s="146">
        <v>0</v>
      </c>
      <c r="AX95" s="146">
        <v>0</v>
      </c>
      <c r="AY95" s="146">
        <v>3.0002687193866402E-2</v>
      </c>
      <c r="AZ95" s="146">
        <v>0.23706090598960219</v>
      </c>
      <c r="BA95" s="146">
        <v>3.1126838834174993E-2</v>
      </c>
      <c r="BB95" s="146">
        <v>0</v>
      </c>
      <c r="BC95" s="146">
        <v>0.10565032255263709</v>
      </c>
      <c r="BD95" s="146">
        <v>0.28026911452382258</v>
      </c>
      <c r="BE95" s="146">
        <v>0</v>
      </c>
      <c r="BF95" s="146">
        <v>0</v>
      </c>
      <c r="BG95" s="146">
        <v>0</v>
      </c>
      <c r="BH95" s="146">
        <v>3.7519999999999998E-2</v>
      </c>
      <c r="BI95" s="146">
        <v>0.53959999990826801</v>
      </c>
      <c r="BJ95" s="146">
        <v>0.53508948586293581</v>
      </c>
      <c r="BK95" s="146">
        <v>0.39319999999999999</v>
      </c>
      <c r="BL95" s="146">
        <v>0.24035999999999999</v>
      </c>
      <c r="BM95" s="146">
        <v>0.39592960158411433</v>
      </c>
      <c r="BN95" s="146">
        <v>0.29760029972918367</v>
      </c>
      <c r="BO95" s="146">
        <v>0</v>
      </c>
      <c r="BP95" s="146">
        <v>0</v>
      </c>
      <c r="BQ95" s="146">
        <v>0</v>
      </c>
      <c r="BR95" s="146">
        <v>0</v>
      </c>
      <c r="BS95" s="146">
        <v>0</v>
      </c>
      <c r="BT95" s="146">
        <v>0</v>
      </c>
      <c r="BU95" s="146">
        <v>0</v>
      </c>
      <c r="BV95" s="146">
        <v>0.14391000000000001</v>
      </c>
      <c r="BW95" s="146">
        <v>0.21182000000000001</v>
      </c>
      <c r="BX95" s="146">
        <v>0</v>
      </c>
      <c r="BY95" s="146">
        <v>0</v>
      </c>
      <c r="BZ95" s="146">
        <v>0.4</v>
      </c>
      <c r="CA95" s="146">
        <v>0</v>
      </c>
      <c r="CB95" s="146">
        <v>0.15913473269319356</v>
      </c>
      <c r="CC95" s="146">
        <v>6.1749999999999999E-2</v>
      </c>
      <c r="CD95" s="146">
        <v>0</v>
      </c>
      <c r="CE95" s="146">
        <v>0</v>
      </c>
      <c r="CF95" s="146">
        <v>0.55532999999999999</v>
      </c>
      <c r="CG95" s="146">
        <v>0</v>
      </c>
      <c r="CH95" s="146">
        <v>0</v>
      </c>
      <c r="CI95" s="146">
        <v>0.14827000000000001</v>
      </c>
      <c r="CJ95" s="146">
        <v>0</v>
      </c>
      <c r="CK95" s="146">
        <v>0.22606000000000001</v>
      </c>
      <c r="CL95" s="146">
        <v>0</v>
      </c>
      <c r="CM95" s="146">
        <v>0</v>
      </c>
      <c r="CN95" s="146">
        <v>0</v>
      </c>
      <c r="CO95" s="146">
        <v>0</v>
      </c>
      <c r="CP95" s="146">
        <v>0</v>
      </c>
      <c r="CQ95" s="146">
        <v>0</v>
      </c>
      <c r="CR95" s="146">
        <v>0</v>
      </c>
      <c r="CS95" s="146">
        <v>0</v>
      </c>
      <c r="CT95" s="146">
        <v>0</v>
      </c>
      <c r="CU95" s="146">
        <v>0</v>
      </c>
      <c r="CV95" s="146">
        <v>0</v>
      </c>
    </row>
    <row r="96" spans="1:100" x14ac:dyDescent="0.15">
      <c r="A96" s="182" t="s">
        <v>286</v>
      </c>
      <c r="B96" s="146">
        <v>0</v>
      </c>
      <c r="C96" s="146">
        <v>0</v>
      </c>
      <c r="D96" s="146">
        <v>0</v>
      </c>
      <c r="E96" s="146">
        <v>1</v>
      </c>
      <c r="F96" s="146">
        <v>0</v>
      </c>
      <c r="G96" s="146">
        <v>0</v>
      </c>
      <c r="H96" s="146">
        <v>0.51110999999999995</v>
      </c>
      <c r="I96" s="146">
        <v>0</v>
      </c>
      <c r="J96" s="146">
        <v>0</v>
      </c>
      <c r="K96" s="146">
        <v>0</v>
      </c>
      <c r="L96" s="146">
        <v>0</v>
      </c>
      <c r="M96" s="146">
        <v>0</v>
      </c>
      <c r="N96" s="146">
        <v>0</v>
      </c>
      <c r="O96" s="146">
        <v>0</v>
      </c>
      <c r="P96" s="146">
        <v>0</v>
      </c>
      <c r="Q96" s="146">
        <v>0</v>
      </c>
      <c r="R96" s="146">
        <v>0</v>
      </c>
      <c r="S96" s="146">
        <v>0</v>
      </c>
      <c r="T96" s="146">
        <v>0</v>
      </c>
      <c r="U96" s="146">
        <v>5.9999645368844128E-6</v>
      </c>
      <c r="V96" s="146">
        <v>0</v>
      </c>
      <c r="W96" s="146">
        <v>0</v>
      </c>
      <c r="X96" s="146">
        <v>0</v>
      </c>
      <c r="Y96" s="146">
        <v>0</v>
      </c>
      <c r="Z96" s="146">
        <v>1.6100056611096103E-3</v>
      </c>
      <c r="AA96" s="146">
        <v>0</v>
      </c>
      <c r="AB96" s="146">
        <v>0</v>
      </c>
      <c r="AC96" s="146">
        <v>0</v>
      </c>
      <c r="AD96" s="146">
        <v>0</v>
      </c>
      <c r="AE96" s="146">
        <v>0</v>
      </c>
      <c r="AF96" s="146">
        <v>0</v>
      </c>
      <c r="AG96" s="146">
        <v>0</v>
      </c>
      <c r="AH96" s="146">
        <v>2.9599968995261836E-2</v>
      </c>
      <c r="AI96" s="146">
        <v>6.799985974954291E-2</v>
      </c>
      <c r="AJ96" s="146">
        <v>0</v>
      </c>
      <c r="AK96" s="146">
        <v>2.9999902745237709E-5</v>
      </c>
      <c r="AL96" s="146">
        <v>0</v>
      </c>
      <c r="AM96" s="146">
        <v>0</v>
      </c>
      <c r="AN96" s="146">
        <v>0</v>
      </c>
      <c r="AO96" s="146">
        <v>0</v>
      </c>
      <c r="AP96" s="146">
        <v>0</v>
      </c>
      <c r="AQ96" s="146">
        <v>0.11120010014561529</v>
      </c>
      <c r="AR96" s="146">
        <v>8.6835928269409807E-2</v>
      </c>
      <c r="AS96" s="146">
        <v>0.11699969415373364</v>
      </c>
      <c r="AT96" s="146">
        <v>0.29999889963035786</v>
      </c>
      <c r="AU96" s="146">
        <v>0.178508920981785</v>
      </c>
      <c r="AV96" s="146">
        <v>0.19505</v>
      </c>
      <c r="AW96" s="146">
        <v>0</v>
      </c>
      <c r="AX96" s="146">
        <v>0</v>
      </c>
      <c r="AY96" s="146">
        <v>0</v>
      </c>
      <c r="AZ96" s="146">
        <v>0</v>
      </c>
      <c r="BA96" s="146">
        <v>3.3828260689213484E-2</v>
      </c>
      <c r="BB96" s="146">
        <v>0</v>
      </c>
      <c r="BC96" s="146">
        <v>0.10565032255263709</v>
      </c>
      <c r="BD96" s="146">
        <v>0.1999993759466033</v>
      </c>
      <c r="BE96" s="146">
        <v>0</v>
      </c>
      <c r="BF96" s="146">
        <v>0</v>
      </c>
      <c r="BG96" s="146">
        <v>0</v>
      </c>
      <c r="BH96" s="146">
        <v>0</v>
      </c>
      <c r="BI96" s="146">
        <v>0.1079299999816519</v>
      </c>
      <c r="BJ96" s="146">
        <v>0.17101980248165682</v>
      </c>
      <c r="BK96" s="146">
        <v>0</v>
      </c>
      <c r="BL96" s="146">
        <v>0</v>
      </c>
      <c r="BM96" s="146">
        <v>0.32739967230992606</v>
      </c>
      <c r="BN96" s="146">
        <v>0.24449025077751385</v>
      </c>
      <c r="BO96" s="146">
        <v>0</v>
      </c>
      <c r="BP96" s="146">
        <v>0</v>
      </c>
      <c r="BQ96" s="146">
        <v>0</v>
      </c>
      <c r="BR96" s="146">
        <v>0</v>
      </c>
      <c r="BS96" s="146">
        <v>0</v>
      </c>
      <c r="BT96" s="146">
        <v>0</v>
      </c>
      <c r="BU96" s="146">
        <v>0</v>
      </c>
      <c r="BV96" s="146">
        <v>4.1709999999999997E-2</v>
      </c>
      <c r="BW96" s="146">
        <v>0.21182000000000001</v>
      </c>
      <c r="BX96" s="146">
        <v>0</v>
      </c>
      <c r="BY96" s="146">
        <v>0</v>
      </c>
      <c r="BZ96" s="146">
        <v>0</v>
      </c>
      <c r="CA96" s="146">
        <v>0</v>
      </c>
      <c r="CB96" s="146">
        <v>0</v>
      </c>
      <c r="CC96" s="146">
        <v>0.3705</v>
      </c>
      <c r="CD96" s="146">
        <v>0</v>
      </c>
      <c r="CE96" s="146">
        <v>0</v>
      </c>
      <c r="CF96" s="146">
        <v>0.44427</v>
      </c>
      <c r="CG96" s="146">
        <v>0</v>
      </c>
      <c r="CH96" s="146">
        <v>0</v>
      </c>
      <c r="CI96" s="146">
        <v>0.14827000000000001</v>
      </c>
      <c r="CJ96" s="146">
        <v>0</v>
      </c>
      <c r="CK96" s="146">
        <v>0.27</v>
      </c>
      <c r="CL96" s="146">
        <v>0</v>
      </c>
      <c r="CM96" s="146">
        <v>0</v>
      </c>
      <c r="CN96" s="146">
        <v>0</v>
      </c>
      <c r="CO96" s="146">
        <v>0</v>
      </c>
      <c r="CP96" s="146">
        <v>0</v>
      </c>
      <c r="CQ96" s="146">
        <v>0</v>
      </c>
      <c r="CR96" s="146">
        <v>0</v>
      </c>
      <c r="CS96" s="146">
        <v>0</v>
      </c>
      <c r="CT96" s="146">
        <v>0</v>
      </c>
      <c r="CU96" s="146">
        <v>0</v>
      </c>
      <c r="CV96" s="146">
        <v>0</v>
      </c>
    </row>
    <row r="97" spans="1:100" x14ac:dyDescent="0.15">
      <c r="A97" s="182" t="s">
        <v>287</v>
      </c>
      <c r="B97" s="146">
        <v>0</v>
      </c>
      <c r="C97" s="146">
        <v>0</v>
      </c>
      <c r="D97" s="146">
        <v>0</v>
      </c>
      <c r="E97" s="146">
        <v>0</v>
      </c>
      <c r="F97" s="146">
        <v>0</v>
      </c>
      <c r="G97" s="146">
        <v>0</v>
      </c>
      <c r="H97" s="146">
        <v>0</v>
      </c>
      <c r="I97" s="146">
        <v>0</v>
      </c>
      <c r="J97" s="146">
        <v>0</v>
      </c>
      <c r="K97" s="146">
        <v>0</v>
      </c>
      <c r="L97" s="146">
        <v>0</v>
      </c>
      <c r="M97" s="146">
        <v>0</v>
      </c>
      <c r="N97" s="146">
        <v>0</v>
      </c>
      <c r="O97" s="146">
        <v>0</v>
      </c>
      <c r="P97" s="146">
        <v>0</v>
      </c>
      <c r="Q97" s="146">
        <v>0</v>
      </c>
      <c r="R97" s="146">
        <v>0</v>
      </c>
      <c r="S97" s="146">
        <v>0</v>
      </c>
      <c r="T97" s="146">
        <v>0</v>
      </c>
      <c r="U97" s="146">
        <v>0</v>
      </c>
      <c r="V97" s="146">
        <v>0</v>
      </c>
      <c r="W97" s="146">
        <v>0</v>
      </c>
      <c r="X97" s="146">
        <v>0</v>
      </c>
      <c r="Y97" s="146">
        <v>0</v>
      </c>
      <c r="Z97" s="146">
        <v>0</v>
      </c>
      <c r="AA97" s="146">
        <v>0</v>
      </c>
      <c r="AB97" s="146">
        <v>0</v>
      </c>
      <c r="AC97" s="146">
        <v>0</v>
      </c>
      <c r="AD97" s="146">
        <v>0</v>
      </c>
      <c r="AE97" s="146">
        <v>0</v>
      </c>
      <c r="AF97" s="146">
        <v>0</v>
      </c>
      <c r="AG97" s="146">
        <v>0</v>
      </c>
      <c r="AH97" s="146">
        <v>0</v>
      </c>
      <c r="AI97" s="146">
        <v>0</v>
      </c>
      <c r="AJ97" s="146">
        <v>0</v>
      </c>
      <c r="AK97" s="146">
        <v>0</v>
      </c>
      <c r="AL97" s="146">
        <v>0</v>
      </c>
      <c r="AM97" s="146">
        <v>0</v>
      </c>
      <c r="AN97" s="146">
        <v>0</v>
      </c>
      <c r="AO97" s="146">
        <v>0</v>
      </c>
      <c r="AP97" s="146">
        <v>0</v>
      </c>
      <c r="AQ97" s="146">
        <v>0</v>
      </c>
      <c r="AR97" s="146">
        <v>0</v>
      </c>
      <c r="AS97" s="146">
        <v>0</v>
      </c>
      <c r="AT97" s="146">
        <v>0</v>
      </c>
      <c r="AU97" s="146">
        <v>0</v>
      </c>
      <c r="AV97" s="146">
        <v>0</v>
      </c>
      <c r="AW97" s="146">
        <v>0</v>
      </c>
      <c r="AX97" s="146">
        <v>0</v>
      </c>
      <c r="AY97" s="146">
        <v>0</v>
      </c>
      <c r="AZ97" s="146">
        <v>0</v>
      </c>
      <c r="BA97" s="146">
        <v>0</v>
      </c>
      <c r="BB97" s="146">
        <v>0</v>
      </c>
      <c r="BC97" s="146">
        <v>0</v>
      </c>
      <c r="BD97" s="146">
        <v>0</v>
      </c>
      <c r="BE97" s="146">
        <v>0</v>
      </c>
      <c r="BF97" s="146">
        <v>0</v>
      </c>
      <c r="BG97" s="146">
        <v>0</v>
      </c>
      <c r="BH97" s="146">
        <v>0</v>
      </c>
      <c r="BI97" s="146">
        <v>0</v>
      </c>
      <c r="BJ97" s="146">
        <v>5.919993233593779E-3</v>
      </c>
      <c r="BK97" s="146">
        <v>1.102E-2</v>
      </c>
      <c r="BL97" s="146">
        <v>0</v>
      </c>
      <c r="BM97" s="146">
        <v>0</v>
      </c>
      <c r="BN97" s="146">
        <v>0</v>
      </c>
      <c r="BO97" s="146">
        <v>0</v>
      </c>
      <c r="BP97" s="146">
        <v>0</v>
      </c>
      <c r="BQ97" s="146">
        <v>0</v>
      </c>
      <c r="BR97" s="146">
        <v>0</v>
      </c>
      <c r="BS97" s="146">
        <v>0</v>
      </c>
      <c r="BT97" s="146">
        <v>0</v>
      </c>
      <c r="BU97" s="146">
        <v>0</v>
      </c>
      <c r="BV97" s="146">
        <v>0</v>
      </c>
      <c r="BW97" s="146">
        <v>0</v>
      </c>
      <c r="BX97" s="146">
        <v>0</v>
      </c>
      <c r="BY97" s="146">
        <v>0</v>
      </c>
      <c r="BZ97" s="146">
        <v>0</v>
      </c>
      <c r="CA97" s="146">
        <v>0</v>
      </c>
      <c r="CB97" s="146">
        <v>0</v>
      </c>
      <c r="CC97" s="146">
        <v>0</v>
      </c>
      <c r="CD97" s="146">
        <v>0</v>
      </c>
      <c r="CE97" s="146">
        <v>0</v>
      </c>
      <c r="CF97" s="146">
        <v>0</v>
      </c>
      <c r="CG97" s="146">
        <v>0</v>
      </c>
      <c r="CH97" s="146">
        <v>0</v>
      </c>
      <c r="CI97" s="146">
        <v>0</v>
      </c>
      <c r="CJ97" s="146">
        <v>0</v>
      </c>
      <c r="CK97" s="146">
        <v>0</v>
      </c>
      <c r="CL97" s="146">
        <v>0</v>
      </c>
      <c r="CM97" s="146">
        <v>0</v>
      </c>
      <c r="CN97" s="146">
        <v>0</v>
      </c>
      <c r="CO97" s="146">
        <v>0</v>
      </c>
      <c r="CP97" s="146">
        <v>0</v>
      </c>
      <c r="CQ97" s="146">
        <v>0</v>
      </c>
      <c r="CR97" s="146">
        <v>0</v>
      </c>
      <c r="CS97" s="146">
        <v>0</v>
      </c>
      <c r="CT97" s="146">
        <v>0</v>
      </c>
      <c r="CU97" s="146">
        <v>0</v>
      </c>
      <c r="CV97" s="146">
        <v>0</v>
      </c>
    </row>
    <row r="98" spans="1:100" x14ac:dyDescent="0.15">
      <c r="A98" s="182" t="s">
        <v>288</v>
      </c>
      <c r="B98" s="146">
        <v>0</v>
      </c>
      <c r="C98" s="146">
        <v>0</v>
      </c>
      <c r="D98" s="146">
        <v>0</v>
      </c>
      <c r="E98" s="146">
        <v>0</v>
      </c>
      <c r="F98" s="146">
        <v>1.0565686222766559E-3</v>
      </c>
      <c r="G98" s="146">
        <v>0</v>
      </c>
      <c r="H98" s="146">
        <v>0</v>
      </c>
      <c r="I98" s="146">
        <v>0</v>
      </c>
      <c r="J98" s="146">
        <v>0</v>
      </c>
      <c r="K98" s="146">
        <v>0</v>
      </c>
      <c r="L98" s="146">
        <v>0</v>
      </c>
      <c r="M98" s="146">
        <v>0</v>
      </c>
      <c r="N98" s="146">
        <v>0</v>
      </c>
      <c r="O98" s="146">
        <v>0</v>
      </c>
      <c r="P98" s="146">
        <v>0</v>
      </c>
      <c r="Q98" s="146">
        <v>0</v>
      </c>
      <c r="R98" s="146">
        <v>0</v>
      </c>
      <c r="S98" s="146">
        <v>0</v>
      </c>
      <c r="T98" s="146">
        <v>0</v>
      </c>
      <c r="U98" s="146">
        <v>0</v>
      </c>
      <c r="V98" s="146">
        <v>0</v>
      </c>
      <c r="W98" s="146">
        <v>0</v>
      </c>
      <c r="X98" s="146">
        <v>0</v>
      </c>
      <c r="Y98" s="146">
        <v>0</v>
      </c>
      <c r="Z98" s="146">
        <v>1.0000022955338882E-6</v>
      </c>
      <c r="AA98" s="146">
        <v>0</v>
      </c>
      <c r="AB98" s="146">
        <v>0</v>
      </c>
      <c r="AC98" s="146">
        <v>0</v>
      </c>
      <c r="AD98" s="146">
        <v>0</v>
      </c>
      <c r="AE98" s="146">
        <v>0</v>
      </c>
      <c r="AF98" s="146">
        <v>0</v>
      </c>
      <c r="AG98" s="146">
        <v>0</v>
      </c>
      <c r="AH98" s="146">
        <v>9.9999902348857698E-7</v>
      </c>
      <c r="AI98" s="146">
        <v>0</v>
      </c>
      <c r="AJ98" s="146">
        <v>0</v>
      </c>
      <c r="AK98" s="146">
        <v>0</v>
      </c>
      <c r="AL98" s="146">
        <v>0</v>
      </c>
      <c r="AM98" s="146">
        <v>0</v>
      </c>
      <c r="AN98" s="146">
        <v>0</v>
      </c>
      <c r="AO98" s="146">
        <v>0</v>
      </c>
      <c r="AP98" s="146">
        <v>0</v>
      </c>
      <c r="AQ98" s="146">
        <v>1.0000009213094902E-4</v>
      </c>
      <c r="AR98" s="146">
        <v>0</v>
      </c>
      <c r="AS98" s="146">
        <v>0</v>
      </c>
      <c r="AT98" s="146">
        <v>9.9999639876785952E-6</v>
      </c>
      <c r="AU98" s="146">
        <v>1.0000499542957145E-4</v>
      </c>
      <c r="AV98" s="146">
        <v>5.0000000000000002E-5</v>
      </c>
      <c r="AW98" s="146">
        <v>0</v>
      </c>
      <c r="AX98" s="146">
        <v>0</v>
      </c>
      <c r="AY98" s="146">
        <v>0</v>
      </c>
      <c r="AZ98" s="146">
        <v>0</v>
      </c>
      <c r="BA98" s="146">
        <v>1.0079935705367568E-6</v>
      </c>
      <c r="BB98" s="146">
        <v>0</v>
      </c>
      <c r="BC98" s="146">
        <v>0</v>
      </c>
      <c r="BD98" s="146">
        <v>0</v>
      </c>
      <c r="BE98" s="146">
        <v>0</v>
      </c>
      <c r="BF98" s="146">
        <v>0</v>
      </c>
      <c r="BG98" s="146">
        <v>0</v>
      </c>
      <c r="BH98" s="146">
        <v>0</v>
      </c>
      <c r="BI98" s="146">
        <v>0</v>
      </c>
      <c r="BJ98" s="146">
        <v>0</v>
      </c>
      <c r="BK98" s="146">
        <v>0</v>
      </c>
      <c r="BL98" s="146">
        <v>0</v>
      </c>
      <c r="BM98" s="146">
        <v>9.9999900400099584E-7</v>
      </c>
      <c r="BN98" s="146">
        <v>9.9999999908999985E-7</v>
      </c>
      <c r="BO98" s="146">
        <v>9.9999900850099157E-7</v>
      </c>
      <c r="BP98" s="146">
        <v>0</v>
      </c>
      <c r="BQ98" s="146">
        <v>0</v>
      </c>
      <c r="BR98" s="146">
        <v>0</v>
      </c>
      <c r="BS98" s="146">
        <v>0</v>
      </c>
      <c r="BT98" s="146">
        <v>0</v>
      </c>
      <c r="BU98" s="146">
        <v>0</v>
      </c>
      <c r="BV98" s="146">
        <v>0</v>
      </c>
      <c r="BW98" s="146">
        <v>0</v>
      </c>
      <c r="BX98" s="146">
        <v>0</v>
      </c>
      <c r="BY98" s="146">
        <v>0</v>
      </c>
      <c r="BZ98" s="146">
        <v>0</v>
      </c>
      <c r="CA98" s="146">
        <v>0</v>
      </c>
      <c r="CB98" s="146">
        <v>0</v>
      </c>
      <c r="CC98" s="146">
        <v>0</v>
      </c>
      <c r="CD98" s="146">
        <v>0</v>
      </c>
      <c r="CE98" s="146">
        <v>0</v>
      </c>
      <c r="CF98" s="146">
        <v>0</v>
      </c>
      <c r="CG98" s="146">
        <v>0</v>
      </c>
      <c r="CH98" s="146">
        <v>0</v>
      </c>
      <c r="CI98" s="146">
        <v>0</v>
      </c>
      <c r="CJ98" s="146">
        <v>0</v>
      </c>
      <c r="CK98" s="146">
        <v>0</v>
      </c>
      <c r="CL98" s="146">
        <v>0</v>
      </c>
      <c r="CM98" s="146">
        <v>0</v>
      </c>
      <c r="CN98" s="146">
        <v>0</v>
      </c>
      <c r="CO98" s="146">
        <v>0</v>
      </c>
      <c r="CP98" s="146">
        <v>0</v>
      </c>
      <c r="CQ98" s="146">
        <v>0</v>
      </c>
      <c r="CR98" s="146">
        <v>0</v>
      </c>
      <c r="CS98" s="146">
        <v>0</v>
      </c>
      <c r="CT98" s="146">
        <v>0</v>
      </c>
      <c r="CU98" s="146">
        <v>0</v>
      </c>
      <c r="CV98" s="146">
        <v>0</v>
      </c>
    </row>
    <row r="99" spans="1:100" x14ac:dyDescent="0.15">
      <c r="A99" s="182" t="s">
        <v>289</v>
      </c>
      <c r="B99" s="146">
        <v>0</v>
      </c>
      <c r="C99" s="146">
        <v>0</v>
      </c>
      <c r="D99" s="146">
        <v>0</v>
      </c>
      <c r="E99" s="146">
        <v>0</v>
      </c>
      <c r="F99" s="146">
        <v>0</v>
      </c>
      <c r="G99" s="146">
        <v>0</v>
      </c>
      <c r="H99" s="146">
        <v>0</v>
      </c>
      <c r="I99" s="146">
        <v>0</v>
      </c>
      <c r="J99" s="146">
        <v>0</v>
      </c>
      <c r="K99" s="146">
        <v>0</v>
      </c>
      <c r="L99" s="146">
        <v>0</v>
      </c>
      <c r="M99" s="146">
        <v>0</v>
      </c>
      <c r="N99" s="146">
        <v>0</v>
      </c>
      <c r="O99" s="146">
        <v>0</v>
      </c>
      <c r="P99" s="146">
        <v>0</v>
      </c>
      <c r="Q99" s="146">
        <v>0</v>
      </c>
      <c r="R99" s="146">
        <v>0</v>
      </c>
      <c r="S99" s="146">
        <v>5.8999999994099994E-2</v>
      </c>
      <c r="T99" s="146">
        <v>0</v>
      </c>
      <c r="U99" s="146">
        <v>0</v>
      </c>
      <c r="V99" s="146">
        <v>0</v>
      </c>
      <c r="W99" s="146">
        <v>0</v>
      </c>
      <c r="X99" s="146">
        <v>0</v>
      </c>
      <c r="Y99" s="146">
        <v>0</v>
      </c>
      <c r="Z99" s="146">
        <v>3.3000080842618439E-4</v>
      </c>
      <c r="AA99" s="146">
        <v>0</v>
      </c>
      <c r="AB99" s="146">
        <v>0</v>
      </c>
      <c r="AC99" s="146">
        <v>0</v>
      </c>
      <c r="AD99" s="146">
        <v>0</v>
      </c>
      <c r="AE99" s="146">
        <v>0</v>
      </c>
      <c r="AF99" s="146">
        <v>0</v>
      </c>
      <c r="AG99" s="146">
        <v>0</v>
      </c>
      <c r="AH99" s="146">
        <v>1.6889999096722431E-2</v>
      </c>
      <c r="AI99" s="146">
        <v>0</v>
      </c>
      <c r="AJ99" s="146">
        <v>0</v>
      </c>
      <c r="AK99" s="146">
        <v>0</v>
      </c>
      <c r="AL99" s="146">
        <v>0</v>
      </c>
      <c r="AM99" s="146">
        <v>0</v>
      </c>
      <c r="AN99" s="146">
        <v>0</v>
      </c>
      <c r="AO99" s="146">
        <v>0</v>
      </c>
      <c r="AP99" s="146">
        <v>0</v>
      </c>
      <c r="AQ99" s="146">
        <v>0.10317010013510011</v>
      </c>
      <c r="AR99" s="146">
        <v>0</v>
      </c>
      <c r="AS99" s="146">
        <v>8.4919770837393618E-2</v>
      </c>
      <c r="AT99" s="146">
        <v>9.6919949880580572E-2</v>
      </c>
      <c r="AU99" s="146">
        <v>6.8353419610112057E-2</v>
      </c>
      <c r="AV99" s="146">
        <v>0.15039</v>
      </c>
      <c r="AW99" s="146">
        <v>0.19952</v>
      </c>
      <c r="AX99" s="146">
        <v>0</v>
      </c>
      <c r="AY99" s="146">
        <v>0.18401648157571393</v>
      </c>
      <c r="AZ99" s="146">
        <v>0.16476062316285675</v>
      </c>
      <c r="BA99" s="146">
        <v>2.6419510538268375E-2</v>
      </c>
      <c r="BB99" s="146">
        <v>0</v>
      </c>
      <c r="BC99" s="146">
        <v>0</v>
      </c>
      <c r="BD99" s="146">
        <v>0</v>
      </c>
      <c r="BE99" s="146">
        <v>0</v>
      </c>
      <c r="BF99" s="146">
        <v>0</v>
      </c>
      <c r="BG99" s="146">
        <v>0</v>
      </c>
      <c r="BH99" s="146">
        <v>0.14746000000000001</v>
      </c>
      <c r="BI99" s="146">
        <v>0</v>
      </c>
      <c r="BJ99" s="146">
        <v>0</v>
      </c>
      <c r="BK99" s="146">
        <v>0</v>
      </c>
      <c r="BL99" s="146">
        <v>0</v>
      </c>
      <c r="BM99" s="146">
        <v>0.10680989242734638</v>
      </c>
      <c r="BN99" s="146">
        <v>0.15645015185763037</v>
      </c>
      <c r="BO99" s="146">
        <v>0.82329917699886623</v>
      </c>
      <c r="BP99" s="146">
        <v>0.12195</v>
      </c>
      <c r="BQ99" s="146">
        <v>0.12195</v>
      </c>
      <c r="BR99" s="146">
        <v>0.12195</v>
      </c>
      <c r="BS99" s="146">
        <v>0.12195</v>
      </c>
      <c r="BT99" s="146">
        <v>0</v>
      </c>
      <c r="BU99" s="146">
        <v>0.12839999999999999</v>
      </c>
      <c r="BV99" s="146">
        <v>0.51285000000000003</v>
      </c>
      <c r="BW99" s="146">
        <v>0.56415999999999999</v>
      </c>
      <c r="BX99" s="146">
        <v>4.1190000000000004E-2</v>
      </c>
      <c r="BY99" s="146">
        <v>0.18034445513372646</v>
      </c>
      <c r="BZ99" s="146">
        <v>0.6</v>
      </c>
      <c r="CA99" s="146">
        <v>0</v>
      </c>
      <c r="CB99" s="146">
        <v>0.15913473269319356</v>
      </c>
      <c r="CC99" s="146">
        <v>6.1749999999999999E-2</v>
      </c>
      <c r="CD99" s="146">
        <v>0</v>
      </c>
      <c r="CE99" s="146">
        <v>0</v>
      </c>
      <c r="CF99" s="146">
        <v>0</v>
      </c>
      <c r="CG99" s="146">
        <v>0.29099000000000003</v>
      </c>
      <c r="CH99" s="146">
        <v>0.13911999999999999</v>
      </c>
      <c r="CI99" s="146">
        <v>0.70250999999999997</v>
      </c>
      <c r="CJ99" s="146">
        <v>0.28349971647746475</v>
      </c>
      <c r="CK99" s="146">
        <v>0.5</v>
      </c>
      <c r="CL99" s="146">
        <v>0</v>
      </c>
      <c r="CM99" s="146">
        <v>0</v>
      </c>
      <c r="CN99" s="146">
        <v>0</v>
      </c>
      <c r="CO99" s="146">
        <v>0</v>
      </c>
      <c r="CP99" s="146">
        <v>0</v>
      </c>
      <c r="CQ99" s="146">
        <v>0</v>
      </c>
      <c r="CR99" s="146">
        <v>0</v>
      </c>
      <c r="CS99" s="146">
        <v>0</v>
      </c>
      <c r="CT99" s="146">
        <v>0</v>
      </c>
      <c r="CU99" s="146">
        <v>0</v>
      </c>
      <c r="CV99" s="146">
        <v>0</v>
      </c>
    </row>
    <row r="100" spans="1:100" x14ac:dyDescent="0.15">
      <c r="A100" s="182" t="s">
        <v>290</v>
      </c>
      <c r="B100" s="146">
        <v>0</v>
      </c>
      <c r="C100" s="146">
        <v>0</v>
      </c>
      <c r="D100" s="146">
        <v>0</v>
      </c>
      <c r="E100" s="146">
        <v>0</v>
      </c>
      <c r="F100" s="146">
        <v>0</v>
      </c>
      <c r="G100" s="146">
        <v>0</v>
      </c>
      <c r="H100" s="146">
        <v>0</v>
      </c>
      <c r="I100" s="146">
        <v>0</v>
      </c>
      <c r="J100" s="146">
        <v>0</v>
      </c>
      <c r="K100" s="146">
        <v>0</v>
      </c>
      <c r="L100" s="146">
        <v>0</v>
      </c>
      <c r="M100" s="146">
        <v>0</v>
      </c>
      <c r="N100" s="146">
        <v>0</v>
      </c>
      <c r="O100" s="146">
        <v>0</v>
      </c>
      <c r="P100" s="146">
        <v>0</v>
      </c>
      <c r="Q100" s="146">
        <v>0</v>
      </c>
      <c r="R100" s="146">
        <v>0</v>
      </c>
      <c r="S100" s="146">
        <v>0</v>
      </c>
      <c r="T100" s="146">
        <v>0</v>
      </c>
      <c r="U100" s="146">
        <v>0</v>
      </c>
      <c r="V100" s="146">
        <v>0</v>
      </c>
      <c r="W100" s="146">
        <v>0</v>
      </c>
      <c r="X100" s="146">
        <v>0</v>
      </c>
      <c r="Y100" s="146">
        <v>0</v>
      </c>
      <c r="Z100" s="146">
        <v>0</v>
      </c>
      <c r="AA100" s="146">
        <v>0</v>
      </c>
      <c r="AB100" s="146">
        <v>0</v>
      </c>
      <c r="AC100" s="146">
        <v>0</v>
      </c>
      <c r="AD100" s="146">
        <v>0</v>
      </c>
      <c r="AE100" s="146">
        <v>0</v>
      </c>
      <c r="AF100" s="146">
        <v>0</v>
      </c>
      <c r="AG100" s="146">
        <v>0</v>
      </c>
      <c r="AH100" s="146">
        <v>0</v>
      </c>
      <c r="AI100" s="146">
        <v>0</v>
      </c>
      <c r="AJ100" s="146">
        <v>0</v>
      </c>
      <c r="AK100" s="146">
        <v>0</v>
      </c>
      <c r="AL100" s="146">
        <v>0</v>
      </c>
      <c r="AM100" s="146">
        <v>0</v>
      </c>
      <c r="AN100" s="146">
        <v>0</v>
      </c>
      <c r="AO100" s="146">
        <v>0</v>
      </c>
      <c r="AP100" s="146">
        <v>0</v>
      </c>
      <c r="AQ100" s="146">
        <v>0</v>
      </c>
      <c r="AR100" s="146">
        <v>0</v>
      </c>
      <c r="AS100" s="146">
        <v>0</v>
      </c>
      <c r="AT100" s="146">
        <v>0</v>
      </c>
      <c r="AU100" s="146">
        <v>0</v>
      </c>
      <c r="AV100" s="146">
        <v>0</v>
      </c>
      <c r="AW100" s="146">
        <v>0</v>
      </c>
      <c r="AX100" s="146">
        <v>0</v>
      </c>
      <c r="AY100" s="146">
        <v>0</v>
      </c>
      <c r="AZ100" s="146">
        <v>0</v>
      </c>
      <c r="BA100" s="146">
        <v>0</v>
      </c>
      <c r="BB100" s="146">
        <v>0</v>
      </c>
      <c r="BC100" s="146">
        <v>0</v>
      </c>
      <c r="BD100" s="146">
        <v>0</v>
      </c>
      <c r="BE100" s="146">
        <v>0</v>
      </c>
      <c r="BF100" s="146">
        <v>0</v>
      </c>
      <c r="BG100" s="146">
        <v>0</v>
      </c>
      <c r="BH100" s="146">
        <v>0</v>
      </c>
      <c r="BI100" s="146">
        <v>0</v>
      </c>
      <c r="BJ100" s="146">
        <v>0</v>
      </c>
      <c r="BK100" s="146">
        <v>0</v>
      </c>
      <c r="BL100" s="146">
        <v>0</v>
      </c>
      <c r="BM100" s="146">
        <v>0</v>
      </c>
      <c r="BN100" s="146">
        <v>0</v>
      </c>
      <c r="BO100" s="146">
        <v>0</v>
      </c>
      <c r="BP100" s="146">
        <v>0</v>
      </c>
      <c r="BQ100" s="146">
        <v>0</v>
      </c>
      <c r="BR100" s="146">
        <v>0</v>
      </c>
      <c r="BS100" s="146">
        <v>0</v>
      </c>
      <c r="BT100" s="146">
        <v>0</v>
      </c>
      <c r="BU100" s="146">
        <v>0</v>
      </c>
      <c r="BV100" s="146">
        <v>0</v>
      </c>
      <c r="BW100" s="146">
        <v>0</v>
      </c>
      <c r="BX100" s="146">
        <v>0</v>
      </c>
      <c r="BY100" s="146">
        <v>0</v>
      </c>
      <c r="BZ100" s="146">
        <v>0</v>
      </c>
      <c r="CA100" s="146">
        <v>0</v>
      </c>
      <c r="CB100" s="146">
        <v>0</v>
      </c>
      <c r="CC100" s="146">
        <v>0</v>
      </c>
      <c r="CD100" s="146">
        <v>0</v>
      </c>
      <c r="CE100" s="146">
        <v>0</v>
      </c>
      <c r="CF100" s="146">
        <v>0</v>
      </c>
      <c r="CG100" s="146">
        <v>0</v>
      </c>
      <c r="CH100" s="146">
        <v>0</v>
      </c>
      <c r="CI100" s="146">
        <v>0</v>
      </c>
      <c r="CJ100" s="146">
        <v>0</v>
      </c>
      <c r="CK100" s="146">
        <v>0</v>
      </c>
      <c r="CL100" s="146">
        <v>0</v>
      </c>
      <c r="CM100" s="146">
        <v>0</v>
      </c>
      <c r="CN100" s="146">
        <v>0</v>
      </c>
      <c r="CO100" s="146">
        <v>0</v>
      </c>
      <c r="CP100" s="146">
        <v>0</v>
      </c>
      <c r="CQ100" s="146">
        <v>0</v>
      </c>
      <c r="CR100" s="146">
        <v>0</v>
      </c>
      <c r="CS100" s="146">
        <v>0</v>
      </c>
      <c r="CT100" s="146">
        <v>0</v>
      </c>
      <c r="CU100" s="146">
        <v>0</v>
      </c>
      <c r="CV100" s="146">
        <v>0</v>
      </c>
    </row>
    <row r="101" spans="1:100" x14ac:dyDescent="0.15">
      <c r="A101" s="182" t="s">
        <v>308</v>
      </c>
      <c r="B101" s="146">
        <v>0</v>
      </c>
      <c r="C101" s="146">
        <v>0</v>
      </c>
      <c r="D101" s="146">
        <v>6.6990000298775401E-2</v>
      </c>
      <c r="E101" s="146">
        <v>0</v>
      </c>
      <c r="F101" s="146">
        <v>0.58910034695654034</v>
      </c>
      <c r="G101" s="146">
        <v>0</v>
      </c>
      <c r="H101" s="146">
        <v>0</v>
      </c>
      <c r="I101" s="146">
        <v>0</v>
      </c>
      <c r="J101" s="146">
        <v>0.25015000421077505</v>
      </c>
      <c r="K101" s="146">
        <v>0.12999999755366004</v>
      </c>
      <c r="L101" s="146">
        <v>0</v>
      </c>
      <c r="M101" s="146">
        <v>0</v>
      </c>
      <c r="N101" s="146">
        <v>4.1689999927925089E-2</v>
      </c>
      <c r="O101" s="146">
        <v>4.5000001656364565E-2</v>
      </c>
      <c r="P101" s="146">
        <v>0</v>
      </c>
      <c r="Q101" s="146">
        <v>5.0939999999999985E-2</v>
      </c>
      <c r="R101" s="146">
        <v>0.14222000000000001</v>
      </c>
      <c r="S101" s="146">
        <v>0</v>
      </c>
      <c r="T101" s="146">
        <v>0.79940999999999995</v>
      </c>
      <c r="U101" s="146">
        <v>0.67392997718558467</v>
      </c>
      <c r="V101" s="146">
        <v>0.58512997896079755</v>
      </c>
      <c r="W101" s="146">
        <v>0.55868001164336067</v>
      </c>
      <c r="X101" s="146">
        <v>7.6E-3</v>
      </c>
      <c r="Y101" s="146">
        <v>1.5999999998768E-2</v>
      </c>
      <c r="Z101" s="146">
        <v>0.67455001722384522</v>
      </c>
      <c r="AA101" s="146">
        <v>0.7499999769097222</v>
      </c>
      <c r="AB101" s="146">
        <v>0.72977999999999998</v>
      </c>
      <c r="AC101" s="146">
        <v>0.75048000000000004</v>
      </c>
      <c r="AD101" s="146">
        <v>0.79949999999999999</v>
      </c>
      <c r="AE101" s="146">
        <v>0.79985000000000006</v>
      </c>
      <c r="AF101" s="146">
        <v>0.79992979673388676</v>
      </c>
      <c r="AG101" s="146">
        <v>0.80005999999999999</v>
      </c>
      <c r="AH101" s="146">
        <v>0</v>
      </c>
      <c r="AI101" s="146">
        <v>0</v>
      </c>
      <c r="AJ101" s="146">
        <v>0</v>
      </c>
      <c r="AK101" s="146">
        <v>6.7599999876601896E-2</v>
      </c>
      <c r="AL101" s="146">
        <v>0</v>
      </c>
      <c r="AM101" s="146">
        <v>0</v>
      </c>
      <c r="AN101" s="146">
        <v>0</v>
      </c>
      <c r="AO101" s="146">
        <v>0</v>
      </c>
      <c r="AP101" s="146">
        <v>0</v>
      </c>
      <c r="AQ101" s="146">
        <v>0</v>
      </c>
      <c r="AR101" s="146">
        <v>0</v>
      </c>
      <c r="AS101" s="146">
        <v>1.0700000105512669E-3</v>
      </c>
      <c r="AT101" s="146">
        <v>0</v>
      </c>
      <c r="AU101" s="146">
        <v>0</v>
      </c>
      <c r="AV101" s="146">
        <v>0</v>
      </c>
      <c r="AW101" s="146">
        <v>0</v>
      </c>
      <c r="AX101" s="146">
        <v>0.11204000133153041</v>
      </c>
      <c r="AY101" s="146">
        <v>0</v>
      </c>
      <c r="AZ101" s="146">
        <v>0</v>
      </c>
      <c r="BA101" s="146">
        <v>1.4000000285234558E-2</v>
      </c>
      <c r="BB101" s="146">
        <v>0</v>
      </c>
      <c r="BC101" s="146">
        <v>0</v>
      </c>
      <c r="BD101" s="146">
        <v>0</v>
      </c>
      <c r="BE101" s="146">
        <v>0</v>
      </c>
      <c r="BF101" s="146">
        <v>0</v>
      </c>
      <c r="BG101" s="146">
        <v>0</v>
      </c>
      <c r="BH101" s="146">
        <v>0</v>
      </c>
      <c r="BI101" s="146">
        <v>0</v>
      </c>
      <c r="BJ101" s="146">
        <v>0</v>
      </c>
      <c r="BK101" s="146">
        <v>0</v>
      </c>
      <c r="BL101" s="146">
        <v>0</v>
      </c>
      <c r="BM101" s="146">
        <v>0</v>
      </c>
      <c r="BN101" s="146">
        <v>0</v>
      </c>
      <c r="BO101" s="146">
        <v>0</v>
      </c>
      <c r="BP101" s="146">
        <v>0</v>
      </c>
      <c r="BQ101" s="146">
        <v>0</v>
      </c>
      <c r="BR101" s="146">
        <v>0</v>
      </c>
      <c r="BS101" s="146">
        <v>0</v>
      </c>
      <c r="BT101" s="146">
        <v>0</v>
      </c>
      <c r="BU101" s="146">
        <v>0</v>
      </c>
      <c r="BV101" s="146">
        <v>0</v>
      </c>
      <c r="BW101" s="146">
        <v>0</v>
      </c>
      <c r="BX101" s="146">
        <v>0</v>
      </c>
      <c r="BY101" s="146">
        <v>0</v>
      </c>
      <c r="BZ101" s="146">
        <v>0</v>
      </c>
      <c r="CA101" s="146">
        <v>0</v>
      </c>
      <c r="CB101" s="146">
        <v>0</v>
      </c>
      <c r="CC101" s="146">
        <v>0</v>
      </c>
      <c r="CD101" s="146">
        <v>0</v>
      </c>
      <c r="CE101" s="146">
        <v>0</v>
      </c>
      <c r="CF101" s="146">
        <v>0</v>
      </c>
      <c r="CG101" s="146">
        <v>0</v>
      </c>
      <c r="CH101" s="146">
        <v>0</v>
      </c>
      <c r="CI101" s="146">
        <v>0</v>
      </c>
      <c r="CJ101" s="146">
        <v>0</v>
      </c>
      <c r="CK101" s="146">
        <v>0</v>
      </c>
      <c r="CL101" s="146">
        <v>0</v>
      </c>
      <c r="CM101" s="146">
        <v>0</v>
      </c>
      <c r="CN101" s="146">
        <v>0</v>
      </c>
      <c r="CO101" s="146">
        <v>0</v>
      </c>
      <c r="CP101" s="146">
        <v>0</v>
      </c>
      <c r="CQ101" s="146">
        <v>0</v>
      </c>
      <c r="CR101" s="146">
        <v>0</v>
      </c>
      <c r="CS101" s="146">
        <v>0</v>
      </c>
      <c r="CT101" s="146">
        <v>0</v>
      </c>
      <c r="CU101" s="146">
        <v>0</v>
      </c>
      <c r="CV101" s="146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4.33203125" customWidth="1"/>
    <col min="2" max="2" width="31.5" customWidth="1"/>
    <col min="3" max="4" width="3.83203125" style="116" customWidth="1"/>
    <col min="5" max="6" width="2.33203125" style="115" bestFit="1" customWidth="1"/>
    <col min="7" max="7" width="2.33203125" style="116" customWidth="1"/>
    <col min="8" max="8" width="8.83203125" style="116"/>
  </cols>
  <sheetData>
    <row r="1" spans="1:8" ht="70" x14ac:dyDescent="0.15">
      <c r="A1" s="5" t="s">
        <v>20</v>
      </c>
      <c r="B1" s="1" t="s">
        <v>0</v>
      </c>
      <c r="C1" s="185" t="s">
        <v>288</v>
      </c>
      <c r="D1" s="185" t="s">
        <v>289</v>
      </c>
      <c r="E1" s="185" t="s">
        <v>290</v>
      </c>
      <c r="F1" s="185" t="s">
        <v>309</v>
      </c>
      <c r="G1" s="185" t="s">
        <v>310</v>
      </c>
      <c r="H1"/>
    </row>
    <row r="2" spans="1:8" x14ac:dyDescent="0.15">
      <c r="A2">
        <v>1</v>
      </c>
      <c r="B2" s="184" t="s">
        <v>192</v>
      </c>
      <c r="C2" s="116">
        <v>0</v>
      </c>
      <c r="D2" s="116">
        <v>1</v>
      </c>
      <c r="E2" s="115">
        <v>0</v>
      </c>
      <c r="F2" s="115">
        <v>0</v>
      </c>
      <c r="G2" s="116">
        <v>1</v>
      </c>
      <c r="H2"/>
    </row>
    <row r="3" spans="1:8" x14ac:dyDescent="0.15">
      <c r="A3">
        <v>2</v>
      </c>
      <c r="B3" s="184" t="s">
        <v>193</v>
      </c>
      <c r="C3" s="116">
        <v>0</v>
      </c>
      <c r="D3" s="116">
        <v>1</v>
      </c>
      <c r="E3" s="115">
        <v>0</v>
      </c>
      <c r="F3" s="115">
        <v>0</v>
      </c>
      <c r="G3" s="116">
        <v>1</v>
      </c>
      <c r="H3"/>
    </row>
    <row r="4" spans="1:8" x14ac:dyDescent="0.15">
      <c r="A4">
        <v>3</v>
      </c>
      <c r="B4" s="184" t="s">
        <v>194</v>
      </c>
      <c r="C4" s="116">
        <v>0</v>
      </c>
      <c r="D4" s="116">
        <v>1</v>
      </c>
      <c r="E4" s="115">
        <v>0</v>
      </c>
      <c r="F4" s="115">
        <v>0</v>
      </c>
      <c r="G4" s="116">
        <v>1</v>
      </c>
      <c r="H4"/>
    </row>
    <row r="5" spans="1:8" x14ac:dyDescent="0.15">
      <c r="A5">
        <v>4</v>
      </c>
      <c r="B5" s="184" t="s">
        <v>195</v>
      </c>
      <c r="C5" s="116">
        <v>0</v>
      </c>
      <c r="D5" s="116">
        <v>1</v>
      </c>
      <c r="E5" s="115">
        <v>0</v>
      </c>
      <c r="F5" s="115">
        <v>0</v>
      </c>
      <c r="G5" s="116">
        <v>1</v>
      </c>
      <c r="H5"/>
    </row>
    <row r="6" spans="1:8" x14ac:dyDescent="0.15">
      <c r="A6">
        <v>5</v>
      </c>
      <c r="B6" s="184" t="s">
        <v>196</v>
      </c>
      <c r="C6" s="116">
        <v>0.5</v>
      </c>
      <c r="D6" s="116">
        <v>0.5</v>
      </c>
      <c r="E6" s="115">
        <v>0</v>
      </c>
      <c r="F6" s="115">
        <v>0</v>
      </c>
      <c r="G6" s="116">
        <v>1</v>
      </c>
      <c r="H6"/>
    </row>
    <row r="7" spans="1:8" x14ac:dyDescent="0.15">
      <c r="A7">
        <v>6</v>
      </c>
      <c r="B7" s="184" t="s">
        <v>197</v>
      </c>
      <c r="C7" s="116">
        <v>0.5</v>
      </c>
      <c r="D7" s="116">
        <v>0.5</v>
      </c>
      <c r="E7" s="115">
        <v>0</v>
      </c>
      <c r="F7" s="115">
        <v>0</v>
      </c>
      <c r="G7" s="116">
        <v>1</v>
      </c>
      <c r="H7"/>
    </row>
    <row r="8" spans="1:8" x14ac:dyDescent="0.15">
      <c r="A8">
        <v>7</v>
      </c>
      <c r="B8" s="184" t="s">
        <v>198</v>
      </c>
      <c r="C8" s="116">
        <v>0.5</v>
      </c>
      <c r="D8" s="116">
        <v>0.5</v>
      </c>
      <c r="E8" s="115">
        <v>0</v>
      </c>
      <c r="F8" s="115">
        <v>0</v>
      </c>
      <c r="G8" s="116">
        <v>1</v>
      </c>
      <c r="H8"/>
    </row>
    <row r="9" spans="1:8" x14ac:dyDescent="0.15">
      <c r="A9">
        <v>8</v>
      </c>
      <c r="B9" s="184" t="s">
        <v>199</v>
      </c>
      <c r="C9" s="116">
        <v>0.5</v>
      </c>
      <c r="D9" s="116">
        <v>0.5</v>
      </c>
      <c r="E9" s="115">
        <v>0</v>
      </c>
      <c r="F9" s="115">
        <v>0</v>
      </c>
      <c r="G9" s="116">
        <v>1</v>
      </c>
      <c r="H9"/>
    </row>
    <row r="10" spans="1:8" x14ac:dyDescent="0.15">
      <c r="A10">
        <v>9</v>
      </c>
      <c r="B10" s="184" t="s">
        <v>200</v>
      </c>
      <c r="C10" s="116">
        <v>0.5</v>
      </c>
      <c r="D10" s="116">
        <v>0.5</v>
      </c>
      <c r="E10" s="115">
        <v>0</v>
      </c>
      <c r="F10" s="115">
        <v>0</v>
      </c>
      <c r="G10" s="116">
        <v>1</v>
      </c>
      <c r="H10"/>
    </row>
    <row r="11" spans="1:8" x14ac:dyDescent="0.15">
      <c r="A11">
        <v>10</v>
      </c>
      <c r="B11" s="184" t="s">
        <v>201</v>
      </c>
      <c r="C11" s="116">
        <v>0.5</v>
      </c>
      <c r="D11" s="116">
        <v>0.5</v>
      </c>
      <c r="E11" s="115">
        <v>0</v>
      </c>
      <c r="F11" s="115">
        <v>0</v>
      </c>
      <c r="G11" s="116">
        <v>1</v>
      </c>
      <c r="H11"/>
    </row>
    <row r="12" spans="1:8" x14ac:dyDescent="0.15">
      <c r="A12">
        <v>11</v>
      </c>
      <c r="B12" s="184" t="s">
        <v>202</v>
      </c>
      <c r="C12" s="116">
        <v>0.5</v>
      </c>
      <c r="D12" s="116">
        <v>0.5</v>
      </c>
      <c r="E12" s="115">
        <v>0</v>
      </c>
      <c r="F12" s="115">
        <v>0</v>
      </c>
      <c r="G12" s="116">
        <v>1</v>
      </c>
      <c r="H12"/>
    </row>
    <row r="13" spans="1:8" x14ac:dyDescent="0.15">
      <c r="A13">
        <v>12</v>
      </c>
      <c r="B13" s="184" t="s">
        <v>203</v>
      </c>
      <c r="C13" s="116">
        <v>0.5</v>
      </c>
      <c r="D13" s="116">
        <v>0.5</v>
      </c>
      <c r="E13" s="115">
        <v>0</v>
      </c>
      <c r="F13" s="115">
        <v>0</v>
      </c>
      <c r="G13" s="116">
        <v>1</v>
      </c>
      <c r="H13"/>
    </row>
    <row r="14" spans="1:8" x14ac:dyDescent="0.15">
      <c r="A14">
        <v>13</v>
      </c>
      <c r="B14" s="184" t="s">
        <v>204</v>
      </c>
      <c r="C14" s="116">
        <v>0.5</v>
      </c>
      <c r="D14" s="116">
        <v>0.5</v>
      </c>
      <c r="E14" s="115">
        <v>0</v>
      </c>
      <c r="F14" s="115">
        <v>0</v>
      </c>
      <c r="G14" s="116">
        <v>1</v>
      </c>
      <c r="H14"/>
    </row>
    <row r="15" spans="1:8" x14ac:dyDescent="0.15">
      <c r="A15">
        <v>14</v>
      </c>
      <c r="B15" s="184" t="s">
        <v>205</v>
      </c>
      <c r="C15" s="116">
        <v>0.5</v>
      </c>
      <c r="D15" s="116">
        <v>0.5</v>
      </c>
      <c r="E15" s="115">
        <v>0</v>
      </c>
      <c r="F15" s="115">
        <v>0</v>
      </c>
      <c r="G15" s="116">
        <v>1</v>
      </c>
      <c r="H15"/>
    </row>
    <row r="16" spans="1:8" x14ac:dyDescent="0.15">
      <c r="A16">
        <v>15</v>
      </c>
      <c r="B16" s="184" t="s">
        <v>206</v>
      </c>
      <c r="C16" s="116">
        <v>0.5</v>
      </c>
      <c r="D16" s="116">
        <v>0.5</v>
      </c>
      <c r="E16" s="115">
        <v>0</v>
      </c>
      <c r="F16" s="115">
        <v>0</v>
      </c>
      <c r="G16" s="116">
        <v>1</v>
      </c>
      <c r="H16"/>
    </row>
    <row r="17" spans="1:8" ht="15" customHeight="1" x14ac:dyDescent="0.15">
      <c r="A17">
        <v>16</v>
      </c>
      <c r="B17" s="184" t="s">
        <v>207</v>
      </c>
      <c r="C17" s="116">
        <v>0.5</v>
      </c>
      <c r="D17" s="116">
        <v>0.5</v>
      </c>
      <c r="E17" s="115">
        <v>0</v>
      </c>
      <c r="F17" s="115">
        <v>0</v>
      </c>
      <c r="G17" s="116">
        <v>1</v>
      </c>
      <c r="H17"/>
    </row>
    <row r="18" spans="1:8" ht="15" customHeight="1" x14ac:dyDescent="0.15">
      <c r="A18">
        <v>17</v>
      </c>
      <c r="B18" s="184" t="s">
        <v>208</v>
      </c>
      <c r="C18" s="116">
        <v>0.5</v>
      </c>
      <c r="D18" s="116">
        <v>0.5</v>
      </c>
      <c r="E18" s="115">
        <v>0</v>
      </c>
      <c r="F18" s="115">
        <v>0</v>
      </c>
      <c r="G18" s="116">
        <v>1</v>
      </c>
      <c r="H18"/>
    </row>
    <row r="19" spans="1:8" ht="15" customHeight="1" x14ac:dyDescent="0.15">
      <c r="A19">
        <v>18</v>
      </c>
      <c r="B19" s="184" t="s">
        <v>209</v>
      </c>
      <c r="C19" s="116">
        <v>0.5</v>
      </c>
      <c r="D19" s="116">
        <v>0.5</v>
      </c>
      <c r="E19" s="115">
        <v>0</v>
      </c>
      <c r="F19" s="115">
        <v>0</v>
      </c>
      <c r="G19" s="116">
        <v>1</v>
      </c>
      <c r="H19"/>
    </row>
    <row r="20" spans="1:8" ht="15" customHeight="1" x14ac:dyDescent="0.15">
      <c r="A20">
        <v>19</v>
      </c>
      <c r="B20" s="184" t="s">
        <v>210</v>
      </c>
      <c r="C20" s="116">
        <v>0.5</v>
      </c>
      <c r="D20" s="116">
        <v>0.5</v>
      </c>
      <c r="E20" s="115">
        <v>0</v>
      </c>
      <c r="F20" s="115">
        <v>0</v>
      </c>
      <c r="G20" s="116">
        <v>1</v>
      </c>
      <c r="H20"/>
    </row>
    <row r="21" spans="1:8" ht="15" customHeight="1" x14ac:dyDescent="0.15">
      <c r="A21">
        <v>20</v>
      </c>
      <c r="B21" s="184" t="s">
        <v>211</v>
      </c>
      <c r="C21" s="116">
        <v>0.5</v>
      </c>
      <c r="D21" s="116">
        <v>0.5</v>
      </c>
      <c r="E21" s="115">
        <v>0</v>
      </c>
      <c r="F21" s="115">
        <v>0</v>
      </c>
      <c r="G21" s="116">
        <v>1</v>
      </c>
      <c r="H21"/>
    </row>
    <row r="22" spans="1:8" ht="15" customHeight="1" x14ac:dyDescent="0.15">
      <c r="A22">
        <v>21</v>
      </c>
      <c r="B22" s="184" t="s">
        <v>212</v>
      </c>
      <c r="C22" s="116">
        <v>0.5</v>
      </c>
      <c r="D22" s="116">
        <v>0.5</v>
      </c>
      <c r="E22" s="115">
        <v>0</v>
      </c>
      <c r="F22" s="115">
        <v>0</v>
      </c>
      <c r="G22" s="116">
        <v>1</v>
      </c>
      <c r="H22"/>
    </row>
    <row r="23" spans="1:8" ht="15" customHeight="1" x14ac:dyDescent="0.15">
      <c r="A23">
        <v>22</v>
      </c>
      <c r="B23" s="184" t="s">
        <v>213</v>
      </c>
      <c r="C23" s="116">
        <v>0.5</v>
      </c>
      <c r="D23" s="116">
        <v>0.5</v>
      </c>
      <c r="E23" s="115">
        <v>0</v>
      </c>
      <c r="F23" s="115">
        <v>0</v>
      </c>
      <c r="G23" s="116">
        <v>1</v>
      </c>
      <c r="H23"/>
    </row>
    <row r="24" spans="1:8" ht="15" customHeight="1" x14ac:dyDescent="0.15">
      <c r="A24">
        <v>23</v>
      </c>
      <c r="B24" s="184" t="s">
        <v>214</v>
      </c>
      <c r="C24" s="116">
        <v>0.5</v>
      </c>
      <c r="D24" s="116">
        <v>0.5</v>
      </c>
      <c r="E24" s="115">
        <v>0</v>
      </c>
      <c r="F24" s="115">
        <v>0</v>
      </c>
      <c r="G24" s="116">
        <v>1</v>
      </c>
      <c r="H24"/>
    </row>
    <row r="25" spans="1:8" ht="15" customHeight="1" x14ac:dyDescent="0.15">
      <c r="A25">
        <v>24</v>
      </c>
      <c r="B25" s="184" t="s">
        <v>215</v>
      </c>
      <c r="C25" s="116">
        <v>0.5</v>
      </c>
      <c r="D25" s="116">
        <v>0.5</v>
      </c>
      <c r="E25" s="115">
        <v>0</v>
      </c>
      <c r="F25" s="115">
        <v>0</v>
      </c>
      <c r="G25" s="116">
        <v>1</v>
      </c>
      <c r="H25"/>
    </row>
    <row r="26" spans="1:8" ht="15" customHeight="1" x14ac:dyDescent="0.15">
      <c r="A26">
        <v>25</v>
      </c>
      <c r="B26" s="184" t="s">
        <v>216</v>
      </c>
      <c r="C26" s="116">
        <v>0.5</v>
      </c>
      <c r="D26" s="116">
        <v>0.5</v>
      </c>
      <c r="E26" s="115">
        <v>0</v>
      </c>
      <c r="F26" s="115">
        <v>0</v>
      </c>
      <c r="G26" s="116">
        <v>1</v>
      </c>
      <c r="H26"/>
    </row>
    <row r="27" spans="1:8" ht="15" customHeight="1" x14ac:dyDescent="0.15">
      <c r="A27">
        <v>26</v>
      </c>
      <c r="B27" s="184" t="s">
        <v>217</v>
      </c>
      <c r="C27" s="116">
        <v>0.5</v>
      </c>
      <c r="D27" s="116">
        <v>0.5</v>
      </c>
      <c r="E27" s="115">
        <v>0</v>
      </c>
      <c r="F27" s="115">
        <v>0</v>
      </c>
      <c r="G27" s="116">
        <v>1</v>
      </c>
      <c r="H27"/>
    </row>
    <row r="28" spans="1:8" ht="15" customHeight="1" x14ac:dyDescent="0.15">
      <c r="A28">
        <v>27</v>
      </c>
      <c r="B28" s="184" t="s">
        <v>218</v>
      </c>
      <c r="C28" s="116">
        <v>0.5</v>
      </c>
      <c r="D28" s="116">
        <v>0.5</v>
      </c>
      <c r="E28" s="115">
        <v>0</v>
      </c>
      <c r="F28" s="115">
        <v>0</v>
      </c>
      <c r="G28" s="116">
        <v>1</v>
      </c>
      <c r="H28"/>
    </row>
    <row r="29" spans="1:8" ht="15" customHeight="1" x14ac:dyDescent="0.15">
      <c r="A29">
        <v>28</v>
      </c>
      <c r="B29" s="184" t="s">
        <v>219</v>
      </c>
      <c r="C29" s="116">
        <v>0.5</v>
      </c>
      <c r="D29" s="116">
        <v>0.5</v>
      </c>
      <c r="E29" s="115">
        <v>0</v>
      </c>
      <c r="F29" s="115">
        <v>0</v>
      </c>
      <c r="G29" s="116">
        <v>1</v>
      </c>
      <c r="H29"/>
    </row>
    <row r="30" spans="1:8" ht="15" customHeight="1" x14ac:dyDescent="0.15">
      <c r="A30">
        <v>29</v>
      </c>
      <c r="B30" s="184" t="s">
        <v>220</v>
      </c>
      <c r="C30" s="116">
        <v>0.5</v>
      </c>
      <c r="D30" s="116">
        <v>0.5</v>
      </c>
      <c r="E30" s="115">
        <v>0</v>
      </c>
      <c r="F30" s="115">
        <v>0</v>
      </c>
      <c r="G30" s="116">
        <v>1</v>
      </c>
      <c r="H30"/>
    </row>
    <row r="31" spans="1:8" ht="15" customHeight="1" x14ac:dyDescent="0.15">
      <c r="A31">
        <v>30</v>
      </c>
      <c r="B31" s="184" t="s">
        <v>221</v>
      </c>
      <c r="C31" s="116">
        <v>0.5</v>
      </c>
      <c r="D31" s="116">
        <v>0.5</v>
      </c>
      <c r="E31" s="115">
        <v>0</v>
      </c>
      <c r="F31" s="115">
        <v>0</v>
      </c>
      <c r="G31" s="116">
        <v>1</v>
      </c>
      <c r="H31"/>
    </row>
    <row r="32" spans="1:8" ht="15" customHeight="1" x14ac:dyDescent="0.15">
      <c r="A32">
        <v>31</v>
      </c>
      <c r="B32" s="184" t="s">
        <v>222</v>
      </c>
      <c r="C32" s="116">
        <v>0.5</v>
      </c>
      <c r="D32" s="116">
        <v>0.5</v>
      </c>
      <c r="E32" s="115">
        <v>0</v>
      </c>
      <c r="F32" s="115">
        <v>0</v>
      </c>
      <c r="G32" s="116">
        <v>1</v>
      </c>
    </row>
    <row r="33" spans="1:8" ht="15" customHeight="1" x14ac:dyDescent="0.15">
      <c r="A33">
        <v>32</v>
      </c>
      <c r="B33" s="184" t="s">
        <v>223</v>
      </c>
      <c r="C33" s="116">
        <v>0.5</v>
      </c>
      <c r="D33" s="116">
        <v>0.5</v>
      </c>
      <c r="E33" s="115">
        <v>0</v>
      </c>
      <c r="F33" s="115">
        <v>0</v>
      </c>
      <c r="G33" s="116">
        <v>1</v>
      </c>
    </row>
    <row r="34" spans="1:8" ht="15" customHeight="1" x14ac:dyDescent="0.15">
      <c r="A34">
        <v>33</v>
      </c>
      <c r="B34" s="184" t="s">
        <v>224</v>
      </c>
      <c r="C34" s="116">
        <v>0.5</v>
      </c>
      <c r="D34" s="116">
        <v>0.5</v>
      </c>
      <c r="E34" s="115">
        <v>0</v>
      </c>
      <c r="F34" s="115">
        <v>0</v>
      </c>
      <c r="G34" s="116">
        <v>1</v>
      </c>
    </row>
    <row r="35" spans="1:8" ht="15" customHeight="1" x14ac:dyDescent="0.15">
      <c r="A35">
        <v>34</v>
      </c>
      <c r="B35" s="184" t="s">
        <v>225</v>
      </c>
      <c r="C35" s="116">
        <v>0.5</v>
      </c>
      <c r="D35" s="116">
        <v>0.5</v>
      </c>
      <c r="E35" s="115">
        <v>0</v>
      </c>
      <c r="F35" s="115">
        <v>0</v>
      </c>
      <c r="G35" s="116">
        <v>1</v>
      </c>
    </row>
    <row r="36" spans="1:8" ht="15" customHeight="1" x14ac:dyDescent="0.15">
      <c r="A36">
        <v>35</v>
      </c>
      <c r="B36" s="184" t="s">
        <v>226</v>
      </c>
      <c r="C36" s="116">
        <v>0.5</v>
      </c>
      <c r="D36" s="116">
        <v>0.5</v>
      </c>
      <c r="E36" s="116">
        <v>0</v>
      </c>
      <c r="F36" s="116">
        <v>0</v>
      </c>
      <c r="G36" s="116">
        <v>1</v>
      </c>
      <c r="H36"/>
    </row>
    <row r="37" spans="1:8" ht="15" customHeight="1" x14ac:dyDescent="0.15">
      <c r="A37">
        <v>36</v>
      </c>
      <c r="B37" s="184" t="s">
        <v>227</v>
      </c>
      <c r="C37" s="116">
        <v>0.5</v>
      </c>
      <c r="D37" s="116">
        <v>0.5</v>
      </c>
      <c r="E37" s="116">
        <v>0</v>
      </c>
      <c r="F37" s="116">
        <v>0</v>
      </c>
      <c r="G37" s="116">
        <v>1</v>
      </c>
      <c r="H37"/>
    </row>
    <row r="38" spans="1:8" ht="15" customHeight="1" x14ac:dyDescent="0.15">
      <c r="A38">
        <v>37</v>
      </c>
      <c r="B38" s="184" t="s">
        <v>228</v>
      </c>
      <c r="C38" s="116">
        <v>0.5</v>
      </c>
      <c r="D38" s="116">
        <v>0.5</v>
      </c>
      <c r="E38" s="116">
        <v>0</v>
      </c>
      <c r="F38" s="116">
        <v>0</v>
      </c>
      <c r="G38" s="116">
        <v>1</v>
      </c>
      <c r="H38"/>
    </row>
    <row r="39" spans="1:8" ht="15" customHeight="1" x14ac:dyDescent="0.15">
      <c r="A39">
        <v>38</v>
      </c>
      <c r="B39" s="184" t="s">
        <v>229</v>
      </c>
      <c r="C39" s="116">
        <v>0.5</v>
      </c>
      <c r="D39" s="116">
        <v>0.5</v>
      </c>
      <c r="E39" s="116">
        <v>0</v>
      </c>
      <c r="F39" s="116">
        <v>0</v>
      </c>
      <c r="G39" s="116">
        <v>1</v>
      </c>
      <c r="H39"/>
    </row>
    <row r="40" spans="1:8" ht="15" customHeight="1" x14ac:dyDescent="0.15">
      <c r="A40">
        <v>39</v>
      </c>
      <c r="B40" s="184" t="s">
        <v>230</v>
      </c>
      <c r="C40" s="116">
        <v>0.5</v>
      </c>
      <c r="D40" s="116">
        <v>0.5</v>
      </c>
      <c r="E40" s="116">
        <v>0</v>
      </c>
      <c r="F40" s="116">
        <v>0</v>
      </c>
      <c r="G40" s="116">
        <v>1</v>
      </c>
      <c r="H40"/>
    </row>
    <row r="41" spans="1:8" ht="15" customHeight="1" x14ac:dyDescent="0.15">
      <c r="A41">
        <v>40</v>
      </c>
      <c r="B41" s="184" t="s">
        <v>231</v>
      </c>
      <c r="C41" s="116">
        <v>0.5</v>
      </c>
      <c r="D41" s="116">
        <v>0.5</v>
      </c>
      <c r="E41" s="116">
        <v>0</v>
      </c>
      <c r="F41" s="116">
        <v>0</v>
      </c>
      <c r="G41" s="116">
        <v>1</v>
      </c>
      <c r="H41"/>
    </row>
    <row r="42" spans="1:8" ht="15" customHeight="1" x14ac:dyDescent="0.15">
      <c r="A42">
        <v>41</v>
      </c>
      <c r="B42" s="184" t="s">
        <v>232</v>
      </c>
      <c r="C42" s="116">
        <v>0.5</v>
      </c>
      <c r="D42" s="116">
        <v>0.5</v>
      </c>
      <c r="E42" s="116">
        <v>0</v>
      </c>
      <c r="F42" s="116">
        <v>0</v>
      </c>
      <c r="G42" s="116">
        <v>1</v>
      </c>
      <c r="H42"/>
    </row>
    <row r="43" spans="1:8" ht="15" customHeight="1" x14ac:dyDescent="0.15">
      <c r="A43">
        <v>42</v>
      </c>
      <c r="B43" s="184" t="s">
        <v>233</v>
      </c>
      <c r="C43" s="116">
        <v>0.5</v>
      </c>
      <c r="D43" s="116">
        <v>0.5</v>
      </c>
      <c r="E43" s="116">
        <v>0</v>
      </c>
      <c r="F43" s="116">
        <v>0</v>
      </c>
      <c r="G43" s="116">
        <v>1</v>
      </c>
      <c r="H43"/>
    </row>
    <row r="44" spans="1:8" ht="15" customHeight="1" x14ac:dyDescent="0.15">
      <c r="A44">
        <v>43</v>
      </c>
      <c r="B44" s="184" t="s">
        <v>234</v>
      </c>
      <c r="C44" s="116">
        <v>0.5</v>
      </c>
      <c r="D44" s="116">
        <v>0.5</v>
      </c>
      <c r="E44" s="115">
        <v>0</v>
      </c>
      <c r="F44" s="115">
        <v>0</v>
      </c>
      <c r="G44" s="116">
        <v>1</v>
      </c>
      <c r="H44"/>
    </row>
    <row r="45" spans="1:8" ht="15" customHeight="1" x14ac:dyDescent="0.15">
      <c r="A45">
        <v>44</v>
      </c>
      <c r="B45" s="184" t="s">
        <v>235</v>
      </c>
      <c r="C45" s="116">
        <v>0.5</v>
      </c>
      <c r="D45" s="116">
        <v>0.5</v>
      </c>
      <c r="E45" s="115">
        <v>0</v>
      </c>
      <c r="F45" s="115">
        <v>0</v>
      </c>
      <c r="G45" s="116">
        <v>1</v>
      </c>
      <c r="H45"/>
    </row>
    <row r="46" spans="1:8" ht="15" customHeight="1" x14ac:dyDescent="0.15">
      <c r="A46">
        <v>45</v>
      </c>
      <c r="B46" s="184" t="s">
        <v>236</v>
      </c>
      <c r="C46" s="116">
        <v>0.5</v>
      </c>
      <c r="D46" s="116">
        <v>0.5</v>
      </c>
      <c r="E46" s="116">
        <v>0</v>
      </c>
      <c r="F46" s="116">
        <v>0</v>
      </c>
      <c r="G46" s="116">
        <v>1</v>
      </c>
      <c r="H46"/>
    </row>
    <row r="47" spans="1:8" ht="15" customHeight="1" x14ac:dyDescent="0.15">
      <c r="A47">
        <v>46</v>
      </c>
      <c r="B47" s="184" t="s">
        <v>237</v>
      </c>
      <c r="C47" s="116">
        <v>0.5</v>
      </c>
      <c r="D47" s="116">
        <v>0.5</v>
      </c>
      <c r="E47" s="115">
        <v>0</v>
      </c>
      <c r="F47" s="115">
        <v>0</v>
      </c>
      <c r="G47" s="116">
        <v>1</v>
      </c>
      <c r="H47"/>
    </row>
    <row r="48" spans="1:8" ht="15" customHeight="1" x14ac:dyDescent="0.15">
      <c r="A48">
        <v>47</v>
      </c>
      <c r="B48" s="184" t="s">
        <v>238</v>
      </c>
      <c r="C48" s="116">
        <v>0.5</v>
      </c>
      <c r="D48" s="116">
        <v>0.5</v>
      </c>
      <c r="E48" s="115">
        <v>0</v>
      </c>
      <c r="F48" s="115">
        <v>0</v>
      </c>
      <c r="G48" s="116">
        <v>1</v>
      </c>
      <c r="H48"/>
    </row>
    <row r="49" spans="1:8" ht="15" customHeight="1" x14ac:dyDescent="0.15">
      <c r="A49">
        <v>48</v>
      </c>
      <c r="B49" s="184" t="s">
        <v>239</v>
      </c>
      <c r="C49" s="116">
        <v>0.5</v>
      </c>
      <c r="D49" s="116">
        <v>0.5</v>
      </c>
      <c r="E49" s="115">
        <v>0</v>
      </c>
      <c r="F49" s="115">
        <v>0</v>
      </c>
      <c r="G49" s="116">
        <v>1</v>
      </c>
      <c r="H49"/>
    </row>
    <row r="50" spans="1:8" ht="15" customHeight="1" x14ac:dyDescent="0.15">
      <c r="A50">
        <v>49</v>
      </c>
      <c r="B50" s="184" t="s">
        <v>240</v>
      </c>
      <c r="C50" s="116">
        <v>0.5</v>
      </c>
      <c r="D50" s="116">
        <v>0.5</v>
      </c>
      <c r="E50" s="115">
        <v>0</v>
      </c>
      <c r="F50" s="115">
        <v>0</v>
      </c>
      <c r="G50" s="116">
        <v>1</v>
      </c>
      <c r="H50"/>
    </row>
    <row r="51" spans="1:8" ht="15" customHeight="1" x14ac:dyDescent="0.15">
      <c r="A51">
        <v>50</v>
      </c>
      <c r="B51" s="184" t="s">
        <v>241</v>
      </c>
      <c r="C51" s="116">
        <v>0.5</v>
      </c>
      <c r="D51" s="116">
        <v>0.5</v>
      </c>
      <c r="E51" s="115">
        <v>0</v>
      </c>
      <c r="F51" s="115">
        <v>0</v>
      </c>
      <c r="G51" s="116">
        <v>1</v>
      </c>
      <c r="H51"/>
    </row>
    <row r="52" spans="1:8" ht="15" customHeight="1" x14ac:dyDescent="0.15">
      <c r="A52">
        <v>51</v>
      </c>
      <c r="B52" s="184" t="s">
        <v>242</v>
      </c>
      <c r="C52" s="116">
        <v>0.5</v>
      </c>
      <c r="D52" s="116">
        <v>0.5</v>
      </c>
      <c r="E52" s="115">
        <v>0</v>
      </c>
      <c r="F52" s="115">
        <v>0</v>
      </c>
      <c r="G52" s="116">
        <v>1</v>
      </c>
      <c r="H52"/>
    </row>
    <row r="53" spans="1:8" ht="15" customHeight="1" x14ac:dyDescent="0.15">
      <c r="A53">
        <v>52</v>
      </c>
      <c r="B53" s="184" t="s">
        <v>243</v>
      </c>
      <c r="C53" s="116">
        <v>0.5</v>
      </c>
      <c r="D53" s="116">
        <v>0.5</v>
      </c>
      <c r="E53" s="115">
        <v>0</v>
      </c>
      <c r="F53" s="115">
        <v>0</v>
      </c>
      <c r="G53" s="116">
        <v>1</v>
      </c>
      <c r="H53"/>
    </row>
    <row r="54" spans="1:8" ht="15" customHeight="1" x14ac:dyDescent="0.15">
      <c r="A54">
        <v>53</v>
      </c>
      <c r="B54" s="184" t="s">
        <v>244</v>
      </c>
      <c r="C54" s="116">
        <v>0.5</v>
      </c>
      <c r="D54" s="116">
        <v>0.5</v>
      </c>
      <c r="E54" s="115">
        <v>0</v>
      </c>
      <c r="F54" s="115">
        <v>0</v>
      </c>
      <c r="G54" s="116">
        <v>1</v>
      </c>
      <c r="H54"/>
    </row>
    <row r="55" spans="1:8" ht="15" customHeight="1" x14ac:dyDescent="0.15">
      <c r="A55">
        <v>54</v>
      </c>
      <c r="B55" s="184" t="s">
        <v>245</v>
      </c>
      <c r="C55" s="116">
        <v>0.5</v>
      </c>
      <c r="D55" s="116">
        <v>0.5</v>
      </c>
      <c r="E55" s="115">
        <v>0</v>
      </c>
      <c r="F55" s="115">
        <v>0</v>
      </c>
      <c r="G55" s="116">
        <v>1</v>
      </c>
      <c r="H55"/>
    </row>
    <row r="56" spans="1:8" ht="15" customHeight="1" x14ac:dyDescent="0.15">
      <c r="A56">
        <v>55</v>
      </c>
      <c r="B56" s="184" t="s">
        <v>246</v>
      </c>
      <c r="C56" s="116">
        <v>0.5</v>
      </c>
      <c r="D56" s="116">
        <v>0.5</v>
      </c>
      <c r="E56" s="115">
        <v>0</v>
      </c>
      <c r="F56" s="115">
        <v>0</v>
      </c>
      <c r="G56" s="116">
        <v>1</v>
      </c>
      <c r="H56"/>
    </row>
    <row r="57" spans="1:8" ht="15" customHeight="1" x14ac:dyDescent="0.15">
      <c r="A57">
        <v>56</v>
      </c>
      <c r="B57" s="184" t="s">
        <v>247</v>
      </c>
      <c r="C57" s="116">
        <v>0.5</v>
      </c>
      <c r="D57" s="116">
        <v>0.5</v>
      </c>
      <c r="E57" s="115">
        <v>0</v>
      </c>
      <c r="F57" s="115">
        <v>0</v>
      </c>
      <c r="G57" s="116">
        <v>1</v>
      </c>
      <c r="H57"/>
    </row>
    <row r="58" spans="1:8" ht="15" customHeight="1" x14ac:dyDescent="0.15">
      <c r="A58">
        <v>57</v>
      </c>
      <c r="B58" s="184" t="s">
        <v>248</v>
      </c>
      <c r="C58" s="116">
        <v>0.5</v>
      </c>
      <c r="D58" s="116">
        <v>0.5</v>
      </c>
      <c r="E58" s="115">
        <v>0</v>
      </c>
      <c r="F58" s="115">
        <v>0</v>
      </c>
      <c r="G58" s="116">
        <v>1</v>
      </c>
      <c r="H58"/>
    </row>
    <row r="59" spans="1:8" ht="15" customHeight="1" x14ac:dyDescent="0.15">
      <c r="A59">
        <v>58</v>
      </c>
      <c r="B59" s="184" t="s">
        <v>249</v>
      </c>
      <c r="C59" s="116">
        <v>0.5</v>
      </c>
      <c r="D59" s="116">
        <v>0.5</v>
      </c>
      <c r="E59" s="115">
        <v>0</v>
      </c>
      <c r="F59" s="115">
        <v>0</v>
      </c>
      <c r="G59" s="116">
        <v>1</v>
      </c>
      <c r="H59"/>
    </row>
    <row r="60" spans="1:8" ht="15" customHeight="1" x14ac:dyDescent="0.15">
      <c r="A60">
        <v>59</v>
      </c>
      <c r="B60" s="184" t="s">
        <v>250</v>
      </c>
      <c r="C60" s="116">
        <v>0.5</v>
      </c>
      <c r="D60" s="116">
        <v>0.5</v>
      </c>
      <c r="E60" s="115">
        <v>0</v>
      </c>
      <c r="F60" s="115">
        <v>0</v>
      </c>
      <c r="G60" s="116">
        <v>1</v>
      </c>
      <c r="H60"/>
    </row>
    <row r="61" spans="1:8" ht="15" customHeight="1" x14ac:dyDescent="0.15">
      <c r="A61">
        <v>60</v>
      </c>
      <c r="B61" s="184" t="s">
        <v>251</v>
      </c>
      <c r="C61" s="116">
        <v>0.5</v>
      </c>
      <c r="D61" s="116">
        <v>0.5</v>
      </c>
      <c r="E61" s="115">
        <v>0</v>
      </c>
      <c r="F61" s="115">
        <v>0</v>
      </c>
      <c r="G61" s="116">
        <v>1</v>
      </c>
      <c r="H61"/>
    </row>
    <row r="62" spans="1:8" ht="15" customHeight="1" x14ac:dyDescent="0.15">
      <c r="A62">
        <v>61</v>
      </c>
      <c r="B62" s="184" t="s">
        <v>252</v>
      </c>
      <c r="C62" s="116">
        <v>0.5</v>
      </c>
      <c r="D62" s="116">
        <v>0.5</v>
      </c>
      <c r="E62" s="115">
        <v>0</v>
      </c>
      <c r="F62" s="115">
        <v>0</v>
      </c>
      <c r="G62" s="116">
        <v>1</v>
      </c>
      <c r="H62"/>
    </row>
    <row r="63" spans="1:8" ht="15" customHeight="1" x14ac:dyDescent="0.15">
      <c r="A63">
        <v>62</v>
      </c>
      <c r="B63" s="184" t="s">
        <v>253</v>
      </c>
      <c r="C63" s="116">
        <v>0.5</v>
      </c>
      <c r="D63" s="116">
        <v>0.5</v>
      </c>
      <c r="E63" s="115">
        <v>0</v>
      </c>
      <c r="F63" s="115">
        <v>0</v>
      </c>
      <c r="G63" s="116">
        <v>1</v>
      </c>
      <c r="H63"/>
    </row>
    <row r="64" spans="1:8" ht="15" customHeight="1" x14ac:dyDescent="0.15">
      <c r="A64">
        <v>63</v>
      </c>
      <c r="B64" s="184" t="s">
        <v>254</v>
      </c>
      <c r="C64" s="116">
        <v>0.5</v>
      </c>
      <c r="D64" s="116">
        <v>0.5</v>
      </c>
      <c r="E64" s="115">
        <v>0</v>
      </c>
      <c r="F64" s="115">
        <v>0</v>
      </c>
      <c r="G64" s="116">
        <v>1</v>
      </c>
      <c r="H64"/>
    </row>
    <row r="65" spans="1:8" ht="15" customHeight="1" x14ac:dyDescent="0.15">
      <c r="A65">
        <v>64</v>
      </c>
      <c r="B65" s="184" t="s">
        <v>255</v>
      </c>
      <c r="C65" s="116">
        <v>0.5</v>
      </c>
      <c r="D65" s="116">
        <v>0.5</v>
      </c>
      <c r="E65" s="115">
        <v>0</v>
      </c>
      <c r="F65" s="115">
        <v>0</v>
      </c>
      <c r="G65" s="116">
        <v>1</v>
      </c>
      <c r="H65"/>
    </row>
    <row r="66" spans="1:8" ht="15" customHeight="1" x14ac:dyDescent="0.15">
      <c r="A66">
        <v>65</v>
      </c>
      <c r="B66" s="184" t="s">
        <v>256</v>
      </c>
      <c r="C66" s="116">
        <v>0.5</v>
      </c>
      <c r="D66" s="116">
        <v>0.5</v>
      </c>
      <c r="E66" s="115">
        <v>0</v>
      </c>
      <c r="F66" s="115">
        <v>0</v>
      </c>
      <c r="G66" s="116">
        <v>1</v>
      </c>
      <c r="H66"/>
    </row>
    <row r="67" spans="1:8" ht="15" customHeight="1" x14ac:dyDescent="0.15">
      <c r="A67">
        <v>66</v>
      </c>
      <c r="B67" s="184" t="s">
        <v>257</v>
      </c>
      <c r="C67" s="116">
        <v>0.5</v>
      </c>
      <c r="D67" s="116">
        <v>0.5</v>
      </c>
      <c r="E67" s="115">
        <v>0</v>
      </c>
      <c r="F67" s="115">
        <v>0</v>
      </c>
      <c r="G67" s="116">
        <v>1</v>
      </c>
      <c r="H67"/>
    </row>
    <row r="68" spans="1:8" ht="15" customHeight="1" x14ac:dyDescent="0.15">
      <c r="A68">
        <v>67</v>
      </c>
      <c r="B68" s="184" t="s">
        <v>258</v>
      </c>
      <c r="C68" s="116">
        <v>0.5</v>
      </c>
      <c r="D68" s="116">
        <v>0.5</v>
      </c>
      <c r="E68" s="115">
        <v>0</v>
      </c>
      <c r="F68" s="115">
        <v>0</v>
      </c>
      <c r="G68" s="116">
        <v>1</v>
      </c>
      <c r="H68"/>
    </row>
    <row r="69" spans="1:8" ht="15" customHeight="1" x14ac:dyDescent="0.15">
      <c r="A69">
        <v>68</v>
      </c>
      <c r="B69" s="184" t="s">
        <v>259</v>
      </c>
      <c r="C69" s="116">
        <v>0.5</v>
      </c>
      <c r="D69" s="116">
        <v>0.5</v>
      </c>
      <c r="E69" s="115">
        <v>0</v>
      </c>
      <c r="F69" s="115">
        <v>0</v>
      </c>
      <c r="G69" s="116">
        <v>1</v>
      </c>
      <c r="H69"/>
    </row>
    <row r="70" spans="1:8" ht="15" customHeight="1" x14ac:dyDescent="0.15">
      <c r="A70">
        <v>69</v>
      </c>
      <c r="B70" s="184" t="s">
        <v>260</v>
      </c>
      <c r="C70" s="116">
        <v>0.5</v>
      </c>
      <c r="D70" s="116">
        <v>0.5</v>
      </c>
      <c r="E70" s="115">
        <v>0</v>
      </c>
      <c r="F70" s="115">
        <v>0</v>
      </c>
      <c r="G70" s="116">
        <v>1</v>
      </c>
      <c r="H70"/>
    </row>
    <row r="71" spans="1:8" ht="15" customHeight="1" x14ac:dyDescent="0.15">
      <c r="A71">
        <v>70</v>
      </c>
      <c r="B71" s="184" t="s">
        <v>261</v>
      </c>
      <c r="C71" s="116">
        <v>0</v>
      </c>
      <c r="D71" s="116">
        <v>1</v>
      </c>
      <c r="E71" s="115">
        <v>0</v>
      </c>
      <c r="F71" s="115">
        <v>0</v>
      </c>
      <c r="G71" s="116">
        <v>1</v>
      </c>
      <c r="H71"/>
    </row>
    <row r="72" spans="1:8" ht="15" customHeight="1" x14ac:dyDescent="0.15">
      <c r="A72">
        <v>71</v>
      </c>
      <c r="B72" s="184" t="s">
        <v>262</v>
      </c>
      <c r="C72" s="116">
        <v>0</v>
      </c>
      <c r="D72" s="116">
        <v>1</v>
      </c>
      <c r="E72" s="115">
        <v>0</v>
      </c>
      <c r="F72" s="115">
        <v>0</v>
      </c>
      <c r="G72" s="116">
        <v>1</v>
      </c>
      <c r="H72"/>
    </row>
    <row r="73" spans="1:8" ht="15" customHeight="1" x14ac:dyDescent="0.15">
      <c r="A73">
        <v>72</v>
      </c>
      <c r="B73" s="184" t="s">
        <v>263</v>
      </c>
      <c r="C73" s="116">
        <v>0</v>
      </c>
      <c r="D73" s="116">
        <v>1</v>
      </c>
      <c r="E73" s="115">
        <v>0</v>
      </c>
      <c r="F73" s="115">
        <v>0</v>
      </c>
      <c r="G73" s="116">
        <v>1</v>
      </c>
      <c r="H73"/>
    </row>
    <row r="74" spans="1:8" ht="15" customHeight="1" x14ac:dyDescent="0.15">
      <c r="A74">
        <v>73</v>
      </c>
      <c r="B74" s="184" t="s">
        <v>264</v>
      </c>
      <c r="C74" s="116">
        <v>0.5</v>
      </c>
      <c r="D74" s="116">
        <v>0.5</v>
      </c>
      <c r="E74" s="115">
        <v>0</v>
      </c>
      <c r="F74" s="115">
        <v>0</v>
      </c>
      <c r="G74" s="116">
        <v>1</v>
      </c>
      <c r="H74"/>
    </row>
    <row r="75" spans="1:8" ht="15" customHeight="1" x14ac:dyDescent="0.15">
      <c r="A75">
        <v>74</v>
      </c>
      <c r="B75" s="184" t="s">
        <v>265</v>
      </c>
      <c r="C75" s="116">
        <v>0.5</v>
      </c>
      <c r="D75" s="116">
        <v>0.5</v>
      </c>
      <c r="E75" s="115">
        <v>0</v>
      </c>
      <c r="F75" s="115">
        <v>0</v>
      </c>
      <c r="G75" s="116">
        <v>1</v>
      </c>
      <c r="H75"/>
    </row>
    <row r="76" spans="1:8" ht="15" customHeight="1" x14ac:dyDescent="0.15">
      <c r="A76">
        <v>75</v>
      </c>
      <c r="B76" s="184" t="s">
        <v>266</v>
      </c>
      <c r="C76" s="116">
        <v>0.5</v>
      </c>
      <c r="D76" s="116">
        <v>0.5</v>
      </c>
      <c r="E76" s="115">
        <v>0</v>
      </c>
      <c r="F76" s="115">
        <v>0</v>
      </c>
      <c r="G76" s="116">
        <v>1</v>
      </c>
      <c r="H76"/>
    </row>
    <row r="77" spans="1:8" ht="15" customHeight="1" x14ac:dyDescent="0.15">
      <c r="A77">
        <v>76</v>
      </c>
      <c r="B77" s="184" t="s">
        <v>267</v>
      </c>
      <c r="C77" s="116">
        <v>0.5</v>
      </c>
      <c r="D77" s="116">
        <v>0.5</v>
      </c>
      <c r="E77" s="115">
        <v>0</v>
      </c>
      <c r="F77" s="115">
        <v>0</v>
      </c>
      <c r="G77" s="116">
        <v>1</v>
      </c>
      <c r="H77"/>
    </row>
    <row r="78" spans="1:8" ht="15" customHeight="1" x14ac:dyDescent="0.15">
      <c r="A78">
        <v>77</v>
      </c>
      <c r="B78" s="184" t="s">
        <v>268</v>
      </c>
      <c r="C78" s="116">
        <v>0</v>
      </c>
      <c r="D78" s="116">
        <v>1</v>
      </c>
      <c r="E78" s="115">
        <v>0</v>
      </c>
      <c r="F78" s="115">
        <v>0</v>
      </c>
      <c r="G78" s="116">
        <v>1</v>
      </c>
      <c r="H78"/>
    </row>
    <row r="79" spans="1:8" ht="15" customHeight="1" x14ac:dyDescent="0.15">
      <c r="A79">
        <v>78</v>
      </c>
      <c r="B79" s="184" t="s">
        <v>269</v>
      </c>
      <c r="C79" s="116">
        <v>0.5</v>
      </c>
      <c r="D79" s="116">
        <v>0.5</v>
      </c>
      <c r="E79" s="115">
        <v>0</v>
      </c>
      <c r="F79" s="115">
        <v>0</v>
      </c>
      <c r="G79" s="116">
        <v>1</v>
      </c>
      <c r="H79"/>
    </row>
    <row r="80" spans="1:8" ht="15" customHeight="1" x14ac:dyDescent="0.15">
      <c r="A80">
        <v>79</v>
      </c>
      <c r="B80" s="184" t="s">
        <v>270</v>
      </c>
      <c r="C80" s="116">
        <v>0.5</v>
      </c>
      <c r="D80" s="116">
        <v>0.5</v>
      </c>
      <c r="E80" s="115">
        <v>0</v>
      </c>
      <c r="F80" s="115">
        <v>0</v>
      </c>
      <c r="G80" s="116">
        <v>1</v>
      </c>
      <c r="H80"/>
    </row>
    <row r="81" spans="1:8" ht="15" customHeight="1" x14ac:dyDescent="0.15">
      <c r="A81">
        <v>80</v>
      </c>
      <c r="B81" s="184" t="s">
        <v>271</v>
      </c>
      <c r="C81" s="116">
        <v>0.5</v>
      </c>
      <c r="D81" s="116">
        <v>0.5</v>
      </c>
      <c r="E81" s="115">
        <v>0</v>
      </c>
      <c r="F81" s="115">
        <v>0</v>
      </c>
      <c r="G81" s="116">
        <v>1</v>
      </c>
      <c r="H81"/>
    </row>
    <row r="82" spans="1:8" ht="15" customHeight="1" x14ac:dyDescent="0.15">
      <c r="A82">
        <v>81</v>
      </c>
      <c r="B82" s="184" t="s">
        <v>272</v>
      </c>
      <c r="C82" s="116">
        <v>0.5</v>
      </c>
      <c r="D82" s="116">
        <v>0.5</v>
      </c>
      <c r="E82" s="115">
        <v>0</v>
      </c>
      <c r="F82" s="115">
        <v>0</v>
      </c>
      <c r="G82" s="116">
        <v>1</v>
      </c>
      <c r="H82"/>
    </row>
    <row r="83" spans="1:8" ht="15" customHeight="1" x14ac:dyDescent="0.15">
      <c r="A83">
        <v>82</v>
      </c>
      <c r="B83" s="184" t="s">
        <v>273</v>
      </c>
      <c r="C83" s="116">
        <v>0.5</v>
      </c>
      <c r="D83" s="116">
        <v>0.5</v>
      </c>
      <c r="E83" s="115">
        <v>0</v>
      </c>
      <c r="F83" s="115">
        <v>0</v>
      </c>
      <c r="G83" s="116">
        <v>1</v>
      </c>
      <c r="H83"/>
    </row>
    <row r="84" spans="1:8" ht="15" customHeight="1" x14ac:dyDescent="0.15">
      <c r="A84">
        <v>83</v>
      </c>
      <c r="B84" s="184" t="s">
        <v>274</v>
      </c>
      <c r="C84" s="116">
        <v>0</v>
      </c>
      <c r="D84" s="116">
        <v>1</v>
      </c>
      <c r="E84" s="115">
        <v>0</v>
      </c>
      <c r="F84" s="115">
        <v>0</v>
      </c>
      <c r="G84" s="116">
        <v>1</v>
      </c>
      <c r="H84"/>
    </row>
    <row r="85" spans="1:8" ht="15" customHeight="1" x14ac:dyDescent="0.15">
      <c r="A85">
        <v>84</v>
      </c>
      <c r="B85" s="184" t="s">
        <v>275</v>
      </c>
      <c r="C85" s="116">
        <v>0</v>
      </c>
      <c r="D85" s="116">
        <v>1</v>
      </c>
      <c r="E85" s="115">
        <v>0</v>
      </c>
      <c r="F85" s="115">
        <v>0</v>
      </c>
      <c r="G85" s="116">
        <v>1</v>
      </c>
      <c r="H85"/>
    </row>
    <row r="86" spans="1:8" ht="15" customHeight="1" x14ac:dyDescent="0.15">
      <c r="A86">
        <v>85</v>
      </c>
      <c r="B86" s="184" t="s">
        <v>276</v>
      </c>
      <c r="C86" s="116">
        <v>0</v>
      </c>
      <c r="D86" s="116">
        <v>1</v>
      </c>
      <c r="E86" s="115">
        <v>0</v>
      </c>
      <c r="F86" s="115">
        <v>0</v>
      </c>
      <c r="G86" s="116">
        <v>1</v>
      </c>
      <c r="H86"/>
    </row>
    <row r="87" spans="1:8" ht="15" customHeight="1" x14ac:dyDescent="0.15">
      <c r="A87">
        <v>86</v>
      </c>
      <c r="B87" s="184" t="s">
        <v>277</v>
      </c>
      <c r="C87" s="116">
        <v>0</v>
      </c>
      <c r="D87" s="116">
        <v>1</v>
      </c>
      <c r="E87" s="115">
        <v>0</v>
      </c>
      <c r="F87" s="115">
        <v>0</v>
      </c>
      <c r="G87" s="116">
        <v>1</v>
      </c>
      <c r="H87"/>
    </row>
    <row r="88" spans="1:8" ht="15" customHeight="1" x14ac:dyDescent="0.15">
      <c r="A88">
        <v>87</v>
      </c>
      <c r="B88" s="184" t="s">
        <v>278</v>
      </c>
      <c r="C88" s="116">
        <v>0</v>
      </c>
      <c r="D88" s="116">
        <v>1</v>
      </c>
      <c r="E88" s="115">
        <v>0</v>
      </c>
      <c r="F88" s="115">
        <v>0</v>
      </c>
      <c r="G88" s="116">
        <v>1</v>
      </c>
      <c r="H88"/>
    </row>
    <row r="89" spans="1:8" ht="15" customHeight="1" x14ac:dyDescent="0.15">
      <c r="A89">
        <v>88</v>
      </c>
      <c r="B89" s="184" t="s">
        <v>279</v>
      </c>
      <c r="C89" s="116">
        <v>0</v>
      </c>
      <c r="D89" s="116">
        <v>1</v>
      </c>
      <c r="E89" s="115">
        <v>0</v>
      </c>
      <c r="F89" s="115">
        <v>0</v>
      </c>
      <c r="G89" s="116">
        <v>1</v>
      </c>
      <c r="H89"/>
    </row>
    <row r="90" spans="1:8" ht="15" customHeight="1" x14ac:dyDescent="0.15">
      <c r="A90">
        <v>89</v>
      </c>
      <c r="B90" s="184" t="s">
        <v>280</v>
      </c>
      <c r="C90" s="116">
        <v>0</v>
      </c>
      <c r="D90" s="116">
        <v>1</v>
      </c>
      <c r="E90" s="115">
        <v>0</v>
      </c>
      <c r="F90" s="115">
        <v>0</v>
      </c>
      <c r="G90" s="116">
        <v>1</v>
      </c>
      <c r="H90"/>
    </row>
    <row r="91" spans="1:8" ht="15" customHeight="1" x14ac:dyDescent="0.15">
      <c r="A91">
        <v>90</v>
      </c>
      <c r="B91" s="184" t="s">
        <v>281</v>
      </c>
      <c r="C91" s="116">
        <v>0</v>
      </c>
      <c r="D91" s="116">
        <v>1</v>
      </c>
      <c r="E91" s="115">
        <v>0</v>
      </c>
      <c r="F91" s="115">
        <v>0</v>
      </c>
      <c r="G91" s="116">
        <v>1</v>
      </c>
      <c r="H91"/>
    </row>
    <row r="92" spans="1:8" ht="15" customHeight="1" x14ac:dyDescent="0.15">
      <c r="A92">
        <v>91</v>
      </c>
      <c r="B92" s="184" t="s">
        <v>282</v>
      </c>
      <c r="C92" s="116">
        <v>0</v>
      </c>
      <c r="D92" s="116">
        <v>1</v>
      </c>
      <c r="E92" s="115">
        <v>0</v>
      </c>
      <c r="F92" s="115">
        <v>0</v>
      </c>
      <c r="G92" s="116">
        <v>1</v>
      </c>
      <c r="H92"/>
    </row>
    <row r="93" spans="1:8" ht="15" customHeight="1" x14ac:dyDescent="0.15">
      <c r="A93">
        <v>92</v>
      </c>
      <c r="B93" s="184" t="s">
        <v>283</v>
      </c>
      <c r="C93" s="116">
        <v>0</v>
      </c>
      <c r="D93" s="116">
        <v>1</v>
      </c>
      <c r="E93" s="115">
        <v>0</v>
      </c>
      <c r="F93" s="115">
        <v>0</v>
      </c>
      <c r="G93" s="116">
        <v>1</v>
      </c>
      <c r="H93"/>
    </row>
    <row r="94" spans="1:8" ht="15" customHeight="1" x14ac:dyDescent="0.15">
      <c r="A94">
        <v>93</v>
      </c>
      <c r="B94" s="184" t="s">
        <v>284</v>
      </c>
      <c r="C94" s="116">
        <v>0</v>
      </c>
      <c r="D94" s="116">
        <v>1</v>
      </c>
      <c r="E94" s="115">
        <v>0</v>
      </c>
      <c r="F94" s="115">
        <v>0</v>
      </c>
      <c r="G94" s="116">
        <v>1</v>
      </c>
      <c r="H94"/>
    </row>
    <row r="95" spans="1:8" ht="15" customHeight="1" x14ac:dyDescent="0.15">
      <c r="A95">
        <v>94</v>
      </c>
      <c r="B95" s="184" t="s">
        <v>285</v>
      </c>
      <c r="C95" s="116">
        <v>0</v>
      </c>
      <c r="D95" s="116">
        <v>1</v>
      </c>
      <c r="E95" s="115">
        <v>0</v>
      </c>
      <c r="F95" s="115">
        <v>0</v>
      </c>
      <c r="G95" s="116">
        <v>1</v>
      </c>
      <c r="H95"/>
    </row>
    <row r="96" spans="1:8" ht="15" customHeight="1" x14ac:dyDescent="0.15">
      <c r="A96">
        <v>95</v>
      </c>
      <c r="B96" s="184" t="s">
        <v>286</v>
      </c>
      <c r="C96" s="116">
        <v>0</v>
      </c>
      <c r="D96" s="116">
        <v>1</v>
      </c>
      <c r="E96" s="115">
        <v>0</v>
      </c>
      <c r="F96" s="115">
        <v>0</v>
      </c>
      <c r="G96" s="116">
        <v>1</v>
      </c>
      <c r="H96"/>
    </row>
    <row r="97" spans="1:8" ht="15" customHeight="1" x14ac:dyDescent="0.15">
      <c r="A97">
        <v>96</v>
      </c>
      <c r="B97" s="184" t="s">
        <v>287</v>
      </c>
      <c r="C97" s="116">
        <v>0</v>
      </c>
      <c r="D97" s="116">
        <v>1</v>
      </c>
      <c r="E97" s="115">
        <v>0</v>
      </c>
      <c r="F97" s="115">
        <v>0</v>
      </c>
      <c r="G97" s="116">
        <v>1</v>
      </c>
      <c r="H97"/>
    </row>
    <row r="98" spans="1:8" ht="15" customHeight="1" x14ac:dyDescent="0.15">
      <c r="A98">
        <v>97</v>
      </c>
      <c r="B98" s="184" t="s">
        <v>288</v>
      </c>
      <c r="C98" s="116">
        <v>0</v>
      </c>
      <c r="D98" s="116">
        <v>0</v>
      </c>
      <c r="E98" s="115">
        <v>0</v>
      </c>
      <c r="F98" s="115">
        <v>1</v>
      </c>
      <c r="G98" s="116">
        <v>1</v>
      </c>
      <c r="H98"/>
    </row>
    <row r="99" spans="1:8" ht="15" customHeight="1" x14ac:dyDescent="0.15">
      <c r="A99">
        <v>98</v>
      </c>
      <c r="B99" s="184" t="s">
        <v>289</v>
      </c>
      <c r="C99" s="116">
        <v>0</v>
      </c>
      <c r="D99" s="116">
        <v>0</v>
      </c>
      <c r="E99" s="115">
        <v>1</v>
      </c>
      <c r="F99" s="115">
        <v>0</v>
      </c>
      <c r="G99" s="116">
        <v>1</v>
      </c>
      <c r="H99"/>
    </row>
    <row r="100" spans="1:8" ht="15" customHeight="1" x14ac:dyDescent="0.15">
      <c r="A100">
        <v>99</v>
      </c>
      <c r="B100" s="184" t="s">
        <v>290</v>
      </c>
      <c r="C100" s="116">
        <v>0</v>
      </c>
      <c r="D100" s="116">
        <v>0</v>
      </c>
      <c r="E100" s="115">
        <v>0</v>
      </c>
      <c r="F100" s="115">
        <v>1</v>
      </c>
      <c r="G100" s="116">
        <v>1</v>
      </c>
      <c r="H100"/>
    </row>
    <row r="101" spans="1:8" ht="15" customHeight="1" x14ac:dyDescent="0.15">
      <c r="A101">
        <v>100</v>
      </c>
      <c r="B101" s="184" t="s">
        <v>291</v>
      </c>
      <c r="C101" s="116">
        <v>0</v>
      </c>
      <c r="D101" s="116">
        <v>0</v>
      </c>
      <c r="E101" s="115">
        <v>1</v>
      </c>
      <c r="F101" s="115">
        <v>0</v>
      </c>
      <c r="G101" s="116">
        <v>1</v>
      </c>
      <c r="H101"/>
    </row>
    <row r="102" spans="1:8" ht="15" customHeight="1" x14ac:dyDescent="0.15">
      <c r="A102">
        <v>101</v>
      </c>
      <c r="B102" s="184" t="s">
        <v>292</v>
      </c>
      <c r="C102" s="116">
        <v>0</v>
      </c>
      <c r="D102" s="116">
        <v>0</v>
      </c>
      <c r="E102" s="115">
        <v>1</v>
      </c>
      <c r="F102" s="115">
        <v>0</v>
      </c>
      <c r="G102" s="116">
        <v>1</v>
      </c>
      <c r="H102"/>
    </row>
    <row r="103" spans="1:8" ht="15" customHeight="1" x14ac:dyDescent="0.15">
      <c r="A103">
        <v>102</v>
      </c>
      <c r="B103" s="184" t="s">
        <v>293</v>
      </c>
      <c r="C103" s="116">
        <v>0</v>
      </c>
      <c r="D103" s="116">
        <v>0</v>
      </c>
      <c r="E103" s="115">
        <v>1</v>
      </c>
      <c r="F103" s="115">
        <v>0</v>
      </c>
      <c r="G103" s="116">
        <v>1</v>
      </c>
      <c r="H103"/>
    </row>
    <row r="104" spans="1:8" ht="15" customHeight="1" x14ac:dyDescent="0.15">
      <c r="A104">
        <v>103</v>
      </c>
      <c r="B104" s="184" t="s">
        <v>294</v>
      </c>
      <c r="C104" s="116">
        <v>0</v>
      </c>
      <c r="D104" s="116">
        <v>0</v>
      </c>
      <c r="E104" s="115">
        <v>1</v>
      </c>
      <c r="F104" s="115">
        <v>0</v>
      </c>
      <c r="G104" s="116">
        <v>1</v>
      </c>
      <c r="H104"/>
    </row>
    <row r="105" spans="1:8" ht="15" customHeight="1" x14ac:dyDescent="0.15">
      <c r="A105">
        <v>104</v>
      </c>
      <c r="B105" s="184" t="s">
        <v>295</v>
      </c>
      <c r="C105" s="116">
        <v>0</v>
      </c>
      <c r="D105" s="116">
        <v>0</v>
      </c>
      <c r="E105" s="115">
        <v>1</v>
      </c>
      <c r="F105" s="115">
        <v>0</v>
      </c>
      <c r="G105" s="116">
        <v>1</v>
      </c>
    </row>
    <row r="106" spans="1:8" ht="15" customHeight="1" x14ac:dyDescent="0.15">
      <c r="A106">
        <v>105</v>
      </c>
      <c r="B106" s="184" t="s">
        <v>296</v>
      </c>
      <c r="C106" s="116">
        <v>0</v>
      </c>
      <c r="D106" s="116">
        <v>0</v>
      </c>
      <c r="E106" s="115">
        <v>1</v>
      </c>
      <c r="F106" s="115">
        <v>0</v>
      </c>
      <c r="G106" s="116">
        <v>1</v>
      </c>
    </row>
    <row r="107" spans="1:8" ht="15" customHeight="1" x14ac:dyDescent="0.15">
      <c r="A107">
        <v>106</v>
      </c>
      <c r="B107" s="184" t="s">
        <v>297</v>
      </c>
      <c r="C107" s="116">
        <v>0</v>
      </c>
      <c r="D107" s="116">
        <v>0</v>
      </c>
      <c r="E107" s="115">
        <v>1</v>
      </c>
      <c r="F107" s="115">
        <v>0</v>
      </c>
      <c r="G107" s="116">
        <v>1</v>
      </c>
    </row>
    <row r="108" spans="1:8" ht="15" customHeight="1" x14ac:dyDescent="0.15">
      <c r="A108">
        <v>107</v>
      </c>
      <c r="B108" s="184" t="s">
        <v>298</v>
      </c>
      <c r="C108" s="116">
        <v>0</v>
      </c>
      <c r="D108" s="116">
        <v>0</v>
      </c>
      <c r="E108" s="115">
        <v>1</v>
      </c>
      <c r="F108" s="115">
        <v>0</v>
      </c>
      <c r="G108" s="116">
        <v>1</v>
      </c>
    </row>
    <row r="109" spans="1:8" ht="15" customHeight="1" x14ac:dyDescent="0.15">
      <c r="A109">
        <v>108</v>
      </c>
      <c r="B109" s="184" t="s">
        <v>299</v>
      </c>
      <c r="C109" s="116">
        <v>0</v>
      </c>
      <c r="D109" s="116">
        <v>0</v>
      </c>
      <c r="E109" s="115">
        <v>1</v>
      </c>
      <c r="F109" s="115">
        <v>0</v>
      </c>
      <c r="G109" s="116">
        <v>1</v>
      </c>
    </row>
    <row r="110" spans="1:8" ht="15" customHeight="1" x14ac:dyDescent="0.15">
      <c r="A110">
        <v>109</v>
      </c>
      <c r="B110" s="184" t="s">
        <v>300</v>
      </c>
      <c r="C110" s="116">
        <v>0</v>
      </c>
      <c r="D110" s="116">
        <v>0</v>
      </c>
      <c r="E110" s="115">
        <v>1</v>
      </c>
      <c r="F110" s="115">
        <v>0</v>
      </c>
      <c r="G110" s="116">
        <v>1</v>
      </c>
    </row>
    <row r="111" spans="1:8" ht="15" customHeight="1" x14ac:dyDescent="0.15">
      <c r="A111">
        <v>110</v>
      </c>
      <c r="B111" s="184" t="s">
        <v>301</v>
      </c>
      <c r="C111" s="116">
        <v>0</v>
      </c>
      <c r="D111" s="116">
        <v>0</v>
      </c>
      <c r="E111" s="115">
        <v>1</v>
      </c>
      <c r="F111" s="115">
        <v>0</v>
      </c>
      <c r="G111" s="116">
        <v>1</v>
      </c>
    </row>
    <row r="112" spans="1:8" ht="15" customHeight="1" x14ac:dyDescent="0.15">
      <c r="A112">
        <v>111</v>
      </c>
      <c r="B112" s="184" t="s">
        <v>302</v>
      </c>
      <c r="C112" s="116">
        <v>0</v>
      </c>
      <c r="D112" s="116">
        <v>0</v>
      </c>
      <c r="E112" s="115">
        <v>1</v>
      </c>
      <c r="F112" s="115">
        <v>0</v>
      </c>
      <c r="G112" s="116">
        <v>1</v>
      </c>
    </row>
    <row r="113" spans="1:8" ht="15" customHeight="1" x14ac:dyDescent="0.15">
      <c r="A113">
        <v>112</v>
      </c>
      <c r="B113" s="184" t="s">
        <v>303</v>
      </c>
      <c r="C113" s="116">
        <v>0</v>
      </c>
      <c r="D113" s="116">
        <v>0</v>
      </c>
      <c r="E113" s="115">
        <v>1</v>
      </c>
      <c r="F113" s="115">
        <v>0</v>
      </c>
      <c r="G113" s="116">
        <v>1</v>
      </c>
    </row>
    <row r="114" spans="1:8" ht="15" customHeight="1" x14ac:dyDescent="0.15">
      <c r="A114">
        <v>113</v>
      </c>
      <c r="B114" s="184" t="s">
        <v>304</v>
      </c>
      <c r="C114" s="116">
        <v>0</v>
      </c>
      <c r="D114" s="116">
        <v>0</v>
      </c>
      <c r="E114" s="115">
        <v>1</v>
      </c>
      <c r="F114" s="115">
        <v>0</v>
      </c>
      <c r="G114" s="116">
        <v>1</v>
      </c>
    </row>
    <row r="115" spans="1:8" ht="15" customHeight="1" x14ac:dyDescent="0.15">
      <c r="A115">
        <v>114</v>
      </c>
      <c r="B115" s="184" t="s">
        <v>305</v>
      </c>
      <c r="C115" s="116">
        <v>0</v>
      </c>
      <c r="D115" s="116">
        <v>0</v>
      </c>
      <c r="E115" s="115">
        <v>1</v>
      </c>
      <c r="F115" s="115">
        <v>0</v>
      </c>
      <c r="G115" s="116">
        <v>1</v>
      </c>
    </row>
    <row r="116" spans="1:8" ht="15" customHeight="1" x14ac:dyDescent="0.15">
      <c r="A116">
        <v>115</v>
      </c>
      <c r="B116" s="184" t="s">
        <v>306</v>
      </c>
      <c r="C116" s="116">
        <v>0</v>
      </c>
      <c r="D116" s="116">
        <v>0</v>
      </c>
      <c r="E116" s="115">
        <v>1</v>
      </c>
      <c r="F116" s="115">
        <v>0</v>
      </c>
      <c r="G116" s="116">
        <v>1</v>
      </c>
      <c r="H116"/>
    </row>
    <row r="117" spans="1:8" ht="15" customHeight="1" x14ac:dyDescent="0.15">
      <c r="A117">
        <v>116</v>
      </c>
      <c r="B117" s="184" t="s">
        <v>307</v>
      </c>
      <c r="C117" s="116">
        <v>0</v>
      </c>
      <c r="D117" s="116">
        <v>0</v>
      </c>
      <c r="E117" s="115">
        <v>1</v>
      </c>
      <c r="F117" s="115">
        <v>0</v>
      </c>
      <c r="G117" s="116">
        <v>1</v>
      </c>
      <c r="H117"/>
    </row>
    <row r="118" spans="1:8" ht="15" customHeight="1" x14ac:dyDescent="0.15">
      <c r="C118"/>
      <c r="D118"/>
      <c r="E118"/>
      <c r="F118"/>
      <c r="G118"/>
      <c r="H118"/>
    </row>
    <row r="119" spans="1:8" ht="15" customHeight="1" x14ac:dyDescent="0.15">
      <c r="C119"/>
      <c r="D119"/>
      <c r="E119"/>
      <c r="F119"/>
      <c r="G119"/>
      <c r="H119"/>
    </row>
    <row r="120" spans="1:8" ht="15" customHeight="1" x14ac:dyDescent="0.15">
      <c r="C120"/>
      <c r="D120"/>
      <c r="E120"/>
      <c r="F120"/>
      <c r="G120"/>
      <c r="H120"/>
    </row>
    <row r="121" spans="1:8" ht="15" customHeight="1" x14ac:dyDescent="0.15">
      <c r="C121"/>
      <c r="D121"/>
      <c r="E121"/>
      <c r="F121"/>
      <c r="G121"/>
      <c r="H121"/>
    </row>
    <row r="122" spans="1:8" ht="15" customHeight="1" x14ac:dyDescent="0.15">
      <c r="C122"/>
      <c r="D122"/>
      <c r="E122"/>
      <c r="F122"/>
      <c r="G122"/>
      <c r="H122"/>
    </row>
    <row r="123" spans="1:8" ht="15" customHeight="1" x14ac:dyDescent="0.15">
      <c r="C123"/>
      <c r="D123"/>
      <c r="E123"/>
      <c r="F123"/>
      <c r="G123"/>
      <c r="H123"/>
    </row>
    <row r="124" spans="1:8" ht="15" customHeight="1" x14ac:dyDescent="0.15">
      <c r="C124"/>
      <c r="D124"/>
      <c r="E124"/>
      <c r="F124"/>
      <c r="G124"/>
      <c r="H124"/>
    </row>
    <row r="125" spans="1:8" ht="15" customHeight="1" x14ac:dyDescent="0.15">
      <c r="C125"/>
      <c r="D125"/>
      <c r="E125"/>
      <c r="F125"/>
      <c r="G125"/>
      <c r="H125"/>
    </row>
    <row r="126" spans="1:8" ht="15" customHeight="1" x14ac:dyDescent="0.15">
      <c r="C126"/>
      <c r="D126"/>
      <c r="E126"/>
      <c r="F126"/>
      <c r="G126"/>
      <c r="H126"/>
    </row>
    <row r="127" spans="1:8" ht="15" customHeight="1" x14ac:dyDescent="0.15">
      <c r="C127"/>
      <c r="D127"/>
      <c r="E127"/>
      <c r="F127"/>
      <c r="G127"/>
      <c r="H127"/>
    </row>
    <row r="128" spans="1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T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1.5" bestFit="1" customWidth="1"/>
    <col min="3" max="3" width="12.83203125" bestFit="1" customWidth="1"/>
    <col min="4" max="4" width="11.83203125" bestFit="1" customWidth="1"/>
    <col min="5" max="5" width="12.83203125" bestFit="1" customWidth="1"/>
    <col min="6" max="9" width="12.83203125" customWidth="1"/>
    <col min="10" max="12" width="11.83203125" customWidth="1"/>
    <col min="13" max="13" width="12.83203125" customWidth="1"/>
    <col min="14" max="14" width="11.83203125" customWidth="1"/>
    <col min="15" max="16" width="12.83203125" customWidth="1"/>
    <col min="17" max="18" width="11.83203125" customWidth="1"/>
    <col min="19" max="20" width="12.83203125" customWidth="1"/>
  </cols>
  <sheetData>
    <row r="1" spans="1:20" s="117" customFormat="1" ht="112" x14ac:dyDescent="0.15">
      <c r="A1" s="5" t="s">
        <v>21</v>
      </c>
      <c r="B1" s="3" t="s">
        <v>0</v>
      </c>
      <c r="C1" s="187" t="s">
        <v>291</v>
      </c>
      <c r="D1" s="187" t="s">
        <v>292</v>
      </c>
      <c r="E1" s="187" t="s">
        <v>293</v>
      </c>
      <c r="F1" s="187" t="s">
        <v>294</v>
      </c>
      <c r="G1" s="187" t="s">
        <v>295</v>
      </c>
      <c r="H1" s="187" t="s">
        <v>296</v>
      </c>
      <c r="I1" s="187" t="s">
        <v>297</v>
      </c>
      <c r="J1" s="187" t="s">
        <v>298</v>
      </c>
      <c r="K1" s="187" t="s">
        <v>299</v>
      </c>
      <c r="L1" s="187" t="s">
        <v>300</v>
      </c>
      <c r="M1" s="187" t="s">
        <v>301</v>
      </c>
      <c r="N1" s="187" t="s">
        <v>302</v>
      </c>
      <c r="O1" s="187" t="s">
        <v>303</v>
      </c>
      <c r="P1" s="187" t="s">
        <v>304</v>
      </c>
      <c r="Q1" s="187" t="s">
        <v>305</v>
      </c>
      <c r="R1" s="187" t="s">
        <v>306</v>
      </c>
      <c r="S1" s="187" t="s">
        <v>307</v>
      </c>
      <c r="T1" s="187" t="s">
        <v>311</v>
      </c>
    </row>
    <row r="2" spans="1:20" ht="15" customHeight="1" x14ac:dyDescent="0.15">
      <c r="A2">
        <v>1</v>
      </c>
      <c r="B2" s="186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ht="15" customHeight="1" x14ac:dyDescent="0.15">
      <c r="A3">
        <v>2</v>
      </c>
      <c r="B3" s="186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ht="15" customHeight="1" x14ac:dyDescent="0.15">
      <c r="A4">
        <v>3</v>
      </c>
      <c r="B4" s="186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ht="15" customHeight="1" x14ac:dyDescent="0.15">
      <c r="A5">
        <v>4</v>
      </c>
      <c r="B5" s="186" t="s">
        <v>195</v>
      </c>
      <c r="C5">
        <v>1E-3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1E-3</v>
      </c>
    </row>
    <row r="6" spans="1:20" ht="15" customHeight="1" x14ac:dyDescent="0.15">
      <c r="A6">
        <v>5</v>
      </c>
      <c r="B6" s="186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ht="15" customHeight="1" x14ac:dyDescent="0.15">
      <c r="A7">
        <v>6</v>
      </c>
      <c r="B7" s="186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4.0000000000000001E-3</v>
      </c>
      <c r="Q7">
        <v>0</v>
      </c>
      <c r="R7">
        <v>0</v>
      </c>
      <c r="S7">
        <v>0</v>
      </c>
      <c r="T7">
        <v>4.0000000000000001E-3</v>
      </c>
    </row>
    <row r="8" spans="1:20" ht="15" customHeight="1" x14ac:dyDescent="0.15">
      <c r="A8">
        <v>7</v>
      </c>
      <c r="B8" s="186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1E-4</v>
      </c>
      <c r="Q8">
        <v>0</v>
      </c>
      <c r="R8">
        <v>0</v>
      </c>
      <c r="S8">
        <v>0</v>
      </c>
      <c r="T8">
        <v>1E-4</v>
      </c>
    </row>
    <row r="9" spans="1:20" ht="15" customHeight="1" x14ac:dyDescent="0.15">
      <c r="A9">
        <v>8</v>
      </c>
      <c r="B9" s="186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1.0000000000000001E-5</v>
      </c>
      <c r="Q9">
        <v>0</v>
      </c>
      <c r="R9">
        <v>0</v>
      </c>
      <c r="S9">
        <v>0</v>
      </c>
      <c r="T9">
        <v>1.0000000000000001E-5</v>
      </c>
    </row>
    <row r="10" spans="1:20" ht="15" customHeight="1" x14ac:dyDescent="0.15">
      <c r="A10">
        <v>9</v>
      </c>
      <c r="B10" s="186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ht="15" customHeight="1" x14ac:dyDescent="0.15">
      <c r="A11">
        <v>10</v>
      </c>
      <c r="B11" s="186" t="s">
        <v>201</v>
      </c>
      <c r="C11">
        <v>2E-3</v>
      </c>
      <c r="D11">
        <v>0</v>
      </c>
      <c r="E11">
        <v>0</v>
      </c>
      <c r="F11">
        <v>0</v>
      </c>
      <c r="G11">
        <v>1.148243E-3</v>
      </c>
      <c r="H11">
        <v>0</v>
      </c>
      <c r="I11">
        <v>1.148243E-3</v>
      </c>
      <c r="J11">
        <v>2.8555E-3</v>
      </c>
      <c r="K11">
        <v>2.8555E-3</v>
      </c>
      <c r="L11">
        <v>5.7412200000000004E-4</v>
      </c>
      <c r="M11">
        <v>0</v>
      </c>
      <c r="N11">
        <v>0</v>
      </c>
      <c r="O11">
        <v>0</v>
      </c>
      <c r="P11">
        <v>0.04</v>
      </c>
      <c r="Q11">
        <v>0</v>
      </c>
      <c r="R11">
        <v>0</v>
      </c>
      <c r="S11">
        <v>0</v>
      </c>
      <c r="T11">
        <v>5.0581608E-2</v>
      </c>
    </row>
    <row r="12" spans="1:20" ht="15" customHeight="1" x14ac:dyDescent="0.15">
      <c r="A12">
        <v>11</v>
      </c>
      <c r="B12" s="186" t="s">
        <v>202</v>
      </c>
      <c r="C12">
        <v>2.8706100000000002E-4</v>
      </c>
      <c r="D12">
        <v>0</v>
      </c>
      <c r="E12">
        <v>0</v>
      </c>
      <c r="F12">
        <v>0</v>
      </c>
      <c r="G12">
        <v>5.8923000000000005E-4</v>
      </c>
      <c r="H12">
        <v>0</v>
      </c>
      <c r="I12">
        <v>5.8923000000000005E-4</v>
      </c>
      <c r="J12">
        <v>1.465521E-3</v>
      </c>
      <c r="K12">
        <v>1.465521E-3</v>
      </c>
      <c r="L12">
        <v>2.8706100000000002E-4</v>
      </c>
      <c r="M12">
        <v>0</v>
      </c>
      <c r="N12">
        <v>0</v>
      </c>
      <c r="O12">
        <v>0</v>
      </c>
      <c r="P12">
        <v>1E-3</v>
      </c>
      <c r="Q12">
        <v>0</v>
      </c>
      <c r="R12">
        <v>0</v>
      </c>
      <c r="S12">
        <v>0</v>
      </c>
      <c r="T12">
        <v>5.683624E-3</v>
      </c>
    </row>
    <row r="13" spans="1:20" ht="15" customHeight="1" x14ac:dyDescent="0.15">
      <c r="A13">
        <v>12</v>
      </c>
      <c r="B13" s="186" t="s">
        <v>203</v>
      </c>
      <c r="C13">
        <v>1.9641E-4</v>
      </c>
      <c r="D13">
        <v>0</v>
      </c>
      <c r="E13">
        <v>3.0000000000000001E-3</v>
      </c>
      <c r="F13">
        <v>0</v>
      </c>
      <c r="G13">
        <v>3.9282E-4</v>
      </c>
      <c r="H13">
        <v>0</v>
      </c>
      <c r="I13">
        <v>0</v>
      </c>
      <c r="J13">
        <v>0</v>
      </c>
      <c r="K13">
        <v>0</v>
      </c>
      <c r="L13">
        <v>1.9641E-4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3.7856400000000003E-3</v>
      </c>
    </row>
    <row r="14" spans="1:20" ht="15" customHeight="1" x14ac:dyDescent="0.15">
      <c r="A14">
        <v>13</v>
      </c>
      <c r="B14" s="186" t="s">
        <v>204</v>
      </c>
      <c r="C14">
        <v>1.359762E-3</v>
      </c>
      <c r="D14">
        <v>0</v>
      </c>
      <c r="E14">
        <v>2.7195240000000001E-3</v>
      </c>
      <c r="F14">
        <v>0</v>
      </c>
      <c r="G14">
        <v>2.7195240000000001E-3</v>
      </c>
      <c r="H14">
        <v>0</v>
      </c>
      <c r="I14">
        <v>2.7195240000000001E-3</v>
      </c>
      <c r="J14">
        <v>0</v>
      </c>
      <c r="K14">
        <v>0</v>
      </c>
      <c r="L14">
        <v>1.359762E-3</v>
      </c>
      <c r="M14">
        <v>0</v>
      </c>
      <c r="N14">
        <v>0</v>
      </c>
      <c r="O14">
        <v>0</v>
      </c>
      <c r="P14">
        <v>2.2964866800000001E-2</v>
      </c>
      <c r="Q14">
        <v>0</v>
      </c>
      <c r="R14">
        <v>0</v>
      </c>
      <c r="S14">
        <v>0</v>
      </c>
      <c r="T14">
        <v>3.3842962800000001E-2</v>
      </c>
    </row>
    <row r="15" spans="1:20" ht="15" customHeight="1" x14ac:dyDescent="0.15">
      <c r="A15">
        <v>14</v>
      </c>
      <c r="B15" s="186" t="s">
        <v>205</v>
      </c>
      <c r="C15">
        <v>1.359762E-3</v>
      </c>
      <c r="D15">
        <v>0</v>
      </c>
      <c r="E15">
        <v>2.7195240000000001E-3</v>
      </c>
      <c r="F15">
        <v>0</v>
      </c>
      <c r="G15">
        <v>2.7195240000000001E-3</v>
      </c>
      <c r="H15">
        <v>0</v>
      </c>
      <c r="I15">
        <v>2.7195240000000001E-3</v>
      </c>
      <c r="J15">
        <v>0</v>
      </c>
      <c r="K15">
        <v>3.9785619999999997E-3</v>
      </c>
      <c r="L15">
        <v>1.359762E-3</v>
      </c>
      <c r="M15">
        <v>0</v>
      </c>
      <c r="N15">
        <v>1.9892809999999999E-3</v>
      </c>
      <c r="O15">
        <v>0</v>
      </c>
      <c r="P15">
        <v>1.1784602E-2</v>
      </c>
      <c r="Q15">
        <v>0</v>
      </c>
      <c r="R15">
        <v>0</v>
      </c>
      <c r="S15">
        <v>0</v>
      </c>
      <c r="T15">
        <v>2.8630541000000002E-2</v>
      </c>
    </row>
    <row r="16" spans="1:20" ht="15" customHeight="1" x14ac:dyDescent="0.15">
      <c r="A16">
        <v>15</v>
      </c>
      <c r="B16" s="186" t="s">
        <v>206</v>
      </c>
      <c r="C16">
        <v>3.0216900000000003E-4</v>
      </c>
      <c r="D16">
        <v>0</v>
      </c>
      <c r="E16">
        <v>6.0433899999999996E-4</v>
      </c>
      <c r="F16">
        <v>0</v>
      </c>
      <c r="G16">
        <v>6.0433899999999996E-4</v>
      </c>
      <c r="H16">
        <v>0</v>
      </c>
      <c r="I16">
        <v>6.0433899999999996E-4</v>
      </c>
      <c r="J16">
        <v>0</v>
      </c>
      <c r="K16">
        <v>0</v>
      </c>
      <c r="L16">
        <v>3.0216900000000003E-4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2.4173549999999999E-3</v>
      </c>
    </row>
    <row r="17" spans="1:20" ht="15" customHeight="1" x14ac:dyDescent="0.15">
      <c r="A17">
        <v>16</v>
      </c>
      <c r="B17" s="186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7.5542299999999997E-5</v>
      </c>
      <c r="K17">
        <v>7.5542299999999997E-5</v>
      </c>
      <c r="L17">
        <v>1.8885600000000001E-5</v>
      </c>
      <c r="M17">
        <v>0</v>
      </c>
      <c r="N17">
        <v>0</v>
      </c>
      <c r="O17">
        <v>0</v>
      </c>
      <c r="P17">
        <v>2.2964866800000001E-2</v>
      </c>
      <c r="Q17">
        <v>0</v>
      </c>
      <c r="R17">
        <v>0</v>
      </c>
      <c r="S17">
        <v>0</v>
      </c>
      <c r="T17">
        <v>2.3134837000000002E-2</v>
      </c>
    </row>
    <row r="18" spans="1:20" ht="15" customHeight="1" x14ac:dyDescent="0.15">
      <c r="A18">
        <v>17</v>
      </c>
      <c r="B18" s="186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7.5542299999999997E-5</v>
      </c>
      <c r="K18">
        <v>7.5542299999999997E-5</v>
      </c>
      <c r="L18">
        <v>1.8885600000000001E-5</v>
      </c>
      <c r="M18">
        <v>0</v>
      </c>
      <c r="N18">
        <v>0</v>
      </c>
      <c r="O18">
        <v>0</v>
      </c>
      <c r="P18">
        <v>1.1784602E-2</v>
      </c>
      <c r="Q18">
        <v>0</v>
      </c>
      <c r="R18">
        <v>0</v>
      </c>
      <c r="S18">
        <v>0</v>
      </c>
      <c r="T18">
        <v>1.1954572199999999E-2</v>
      </c>
    </row>
    <row r="19" spans="1:20" ht="15" customHeight="1" x14ac:dyDescent="0.15">
      <c r="A19">
        <v>18</v>
      </c>
      <c r="B19" s="186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2.0000000000000002E-5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2.0000000000000002E-5</v>
      </c>
    </row>
    <row r="20" spans="1:20" ht="15" customHeight="1" x14ac:dyDescent="0.15">
      <c r="A20">
        <v>19</v>
      </c>
      <c r="B20" s="186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0.17083483899999999</v>
      </c>
      <c r="N20">
        <v>4.4050319999999997E-2</v>
      </c>
      <c r="O20">
        <v>0.22047884800000001</v>
      </c>
      <c r="P20">
        <v>7.2141140000000006E-2</v>
      </c>
      <c r="Q20">
        <v>0</v>
      </c>
      <c r="R20">
        <v>7.7472630000000001E-2</v>
      </c>
      <c r="S20">
        <v>0</v>
      </c>
      <c r="T20">
        <v>0.58497777700000009</v>
      </c>
    </row>
    <row r="21" spans="1:20" ht="15" customHeight="1" x14ac:dyDescent="0.15">
      <c r="A21">
        <v>20</v>
      </c>
      <c r="B21" s="186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1.1051425700000001E-2</v>
      </c>
      <c r="N21">
        <v>5.7199379999999999E-3</v>
      </c>
      <c r="O21">
        <v>1.3129636599999999E-2</v>
      </c>
      <c r="P21">
        <v>1.24284839E-2</v>
      </c>
      <c r="Q21">
        <v>0</v>
      </c>
      <c r="R21">
        <v>7.1280720000000001E-3</v>
      </c>
      <c r="S21">
        <v>0</v>
      </c>
      <c r="T21">
        <v>4.9457556200000002E-2</v>
      </c>
    </row>
    <row r="22" spans="1:20" ht="15" customHeight="1" x14ac:dyDescent="0.15">
      <c r="A22">
        <v>21</v>
      </c>
      <c r="B22" s="186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1.2882971199999999E-2</v>
      </c>
      <c r="N22">
        <v>3.321254E-3</v>
      </c>
      <c r="O22">
        <v>1.6623752200000001E-2</v>
      </c>
      <c r="P22">
        <v>0</v>
      </c>
      <c r="Q22">
        <v>0</v>
      </c>
      <c r="R22">
        <v>5.8384159999999999E-3</v>
      </c>
      <c r="S22">
        <v>0</v>
      </c>
      <c r="T22">
        <v>3.8666393399999999E-2</v>
      </c>
    </row>
    <row r="23" spans="1:20" ht="15" customHeight="1" x14ac:dyDescent="0.15">
      <c r="A23">
        <v>22</v>
      </c>
      <c r="B23" s="186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4.3700717399999998E-2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4.3700717399999998E-2</v>
      </c>
    </row>
    <row r="24" spans="1:20" ht="15" customHeight="1" x14ac:dyDescent="0.15">
      <c r="A24">
        <v>23</v>
      </c>
      <c r="B24" s="186" t="s">
        <v>214</v>
      </c>
      <c r="C24">
        <v>6.0433899999999996E-4</v>
      </c>
      <c r="D24">
        <v>0</v>
      </c>
      <c r="E24">
        <v>6.0433899999999996E-4</v>
      </c>
      <c r="F24">
        <v>6.0433899999999996E-4</v>
      </c>
      <c r="G24">
        <v>6.0433899999999996E-4</v>
      </c>
      <c r="H24">
        <v>6.0433899999999996E-4</v>
      </c>
      <c r="I24">
        <v>0</v>
      </c>
      <c r="J24">
        <v>0</v>
      </c>
      <c r="K24">
        <v>0</v>
      </c>
      <c r="L24">
        <v>1.5108499999999999E-4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3.1727799999999996E-3</v>
      </c>
    </row>
    <row r="25" spans="1:20" ht="15" customHeight="1" x14ac:dyDescent="0.15">
      <c r="A25">
        <v>24</v>
      </c>
      <c r="B25" s="186" t="s">
        <v>215</v>
      </c>
      <c r="C25">
        <v>7.5542299999999997E-5</v>
      </c>
      <c r="D25">
        <v>0</v>
      </c>
      <c r="E25">
        <v>7.5542299999999997E-5</v>
      </c>
      <c r="F25">
        <v>7.5542299999999997E-5</v>
      </c>
      <c r="G25">
        <v>7.5542299999999997E-5</v>
      </c>
      <c r="H25">
        <v>7.5542299999999997E-5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3.7771149999999998E-4</v>
      </c>
    </row>
    <row r="26" spans="1:20" ht="15" customHeight="1" x14ac:dyDescent="0.15">
      <c r="A26">
        <v>25</v>
      </c>
      <c r="B26" s="186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3.0789975099999999E-2</v>
      </c>
      <c r="Q26">
        <v>0</v>
      </c>
      <c r="R26">
        <v>0</v>
      </c>
      <c r="S26">
        <v>0</v>
      </c>
      <c r="T26">
        <v>3.0789975099999999E-2</v>
      </c>
    </row>
    <row r="27" spans="1:20" ht="15" customHeight="1" x14ac:dyDescent="0.15">
      <c r="A27">
        <v>26</v>
      </c>
      <c r="B27" s="186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4.9547089999999998E-3</v>
      </c>
      <c r="Q27">
        <v>0</v>
      </c>
      <c r="R27">
        <v>0</v>
      </c>
      <c r="S27">
        <v>0</v>
      </c>
      <c r="T27">
        <v>4.9547089999999998E-3</v>
      </c>
    </row>
    <row r="28" spans="1:20" ht="15" customHeight="1" x14ac:dyDescent="0.15">
      <c r="A28">
        <v>27</v>
      </c>
      <c r="B28" s="186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6.8658110000000003E-3</v>
      </c>
      <c r="Q28">
        <v>0</v>
      </c>
      <c r="R28">
        <v>0</v>
      </c>
      <c r="S28">
        <v>0</v>
      </c>
      <c r="T28">
        <v>6.8658110000000003E-3</v>
      </c>
    </row>
    <row r="29" spans="1:20" ht="15" customHeight="1" x14ac:dyDescent="0.15">
      <c r="A29">
        <v>28</v>
      </c>
      <c r="B29" s="186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5.4855699999999997E-4</v>
      </c>
      <c r="Q29">
        <v>0</v>
      </c>
      <c r="R29">
        <v>0</v>
      </c>
      <c r="S29">
        <v>0</v>
      </c>
      <c r="T29">
        <v>5.4855699999999997E-4</v>
      </c>
    </row>
    <row r="30" spans="1:20" ht="15" customHeight="1" x14ac:dyDescent="0.15">
      <c r="A30">
        <v>29</v>
      </c>
      <c r="B30" s="186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ht="15" customHeight="1" x14ac:dyDescent="0.15">
      <c r="A31">
        <v>30</v>
      </c>
      <c r="B31" s="186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ht="15" customHeight="1" x14ac:dyDescent="0.15">
      <c r="A32">
        <v>31</v>
      </c>
      <c r="B32" s="186" t="s">
        <v>222</v>
      </c>
      <c r="C32">
        <v>0</v>
      </c>
      <c r="D32">
        <v>0</v>
      </c>
      <c r="E32">
        <v>3.0413020000000001E-3</v>
      </c>
      <c r="F32">
        <v>3.0413020000000001E-3</v>
      </c>
      <c r="G32">
        <v>3.0413020000000001E-3</v>
      </c>
      <c r="H32">
        <v>3.0413020000000001E-3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0.01</v>
      </c>
      <c r="Q32">
        <v>0</v>
      </c>
      <c r="R32">
        <v>0</v>
      </c>
      <c r="S32">
        <v>0</v>
      </c>
      <c r="T32">
        <v>2.2165207999999999E-2</v>
      </c>
    </row>
    <row r="33" spans="1:20" ht="15" customHeight="1" x14ac:dyDescent="0.15">
      <c r="A33">
        <v>32</v>
      </c>
      <c r="B33" s="186" t="s">
        <v>223</v>
      </c>
      <c r="C33">
        <v>0</v>
      </c>
      <c r="D33">
        <v>0</v>
      </c>
      <c r="E33">
        <v>3.0668600000000002E-4</v>
      </c>
      <c r="F33">
        <v>3.0668600000000002E-4</v>
      </c>
      <c r="G33">
        <v>3.0668600000000002E-4</v>
      </c>
      <c r="H33">
        <v>3.0668600000000002E-4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1.2267440000000001E-3</v>
      </c>
    </row>
    <row r="34" spans="1:20" ht="15" customHeight="1" x14ac:dyDescent="0.15">
      <c r="A34">
        <v>33</v>
      </c>
      <c r="B34" s="186" t="s">
        <v>224</v>
      </c>
      <c r="C34">
        <v>5.5901320000000003E-3</v>
      </c>
      <c r="D34">
        <v>0</v>
      </c>
      <c r="E34">
        <v>5.5901320000000003E-3</v>
      </c>
      <c r="F34">
        <v>5.5901320000000003E-3</v>
      </c>
      <c r="G34">
        <v>5.5901320000000003E-3</v>
      </c>
      <c r="H34">
        <v>5.5901320000000003E-3</v>
      </c>
      <c r="I34">
        <v>0</v>
      </c>
      <c r="J34">
        <v>0</v>
      </c>
      <c r="K34">
        <v>0</v>
      </c>
      <c r="L34">
        <v>1.4730749999999999E-3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2.9423735000000003E-2</v>
      </c>
    </row>
    <row r="35" spans="1:20" ht="15" customHeight="1" x14ac:dyDescent="0.15">
      <c r="A35">
        <v>34</v>
      </c>
      <c r="B35" s="186" t="s">
        <v>225</v>
      </c>
      <c r="C35">
        <v>5.6656700000000003E-4</v>
      </c>
      <c r="D35">
        <v>0</v>
      </c>
      <c r="E35">
        <v>5.6656700000000003E-4</v>
      </c>
      <c r="F35">
        <v>5.6656700000000003E-4</v>
      </c>
      <c r="G35">
        <v>5.6656700000000003E-4</v>
      </c>
      <c r="H35">
        <v>5.6656700000000003E-4</v>
      </c>
      <c r="I35">
        <v>0</v>
      </c>
      <c r="J35">
        <v>0</v>
      </c>
      <c r="K35">
        <v>0</v>
      </c>
      <c r="L35">
        <v>1.5108499999999999E-4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2.9839200000000001E-3</v>
      </c>
    </row>
    <row r="36" spans="1:20" ht="15" customHeight="1" x14ac:dyDescent="0.15">
      <c r="A36">
        <v>35</v>
      </c>
      <c r="B36" s="186" t="s">
        <v>226</v>
      </c>
      <c r="C36">
        <v>0</v>
      </c>
      <c r="D36">
        <v>0</v>
      </c>
      <c r="E36">
        <v>3.7771199999999999E-4</v>
      </c>
      <c r="F36">
        <v>3.7771199999999999E-4</v>
      </c>
      <c r="G36">
        <v>3.7771199999999999E-4</v>
      </c>
      <c r="H36">
        <v>3.7771199999999999E-4</v>
      </c>
      <c r="I36">
        <v>0</v>
      </c>
      <c r="J36">
        <v>0</v>
      </c>
      <c r="K36">
        <v>0</v>
      </c>
      <c r="L36">
        <v>1.13313E-4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1.6241610000000001E-3</v>
      </c>
    </row>
    <row r="37" spans="1:20" ht="15" customHeight="1" x14ac:dyDescent="0.15">
      <c r="A37">
        <v>36</v>
      </c>
      <c r="B37" s="186" t="s">
        <v>227</v>
      </c>
      <c r="C37">
        <v>0</v>
      </c>
      <c r="D37">
        <v>0</v>
      </c>
      <c r="E37">
        <v>4.10911E-3</v>
      </c>
      <c r="F37">
        <v>3.2872880000000002E-3</v>
      </c>
      <c r="G37">
        <v>2.4654659999999999E-3</v>
      </c>
      <c r="H37">
        <v>2.4654659999999999E-3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4.10911E-3</v>
      </c>
      <c r="R37">
        <v>0</v>
      </c>
      <c r="S37">
        <v>0</v>
      </c>
      <c r="T37">
        <v>1.643644E-2</v>
      </c>
    </row>
    <row r="38" spans="1:20" ht="15" customHeight="1" x14ac:dyDescent="0.15">
      <c r="A38">
        <v>37</v>
      </c>
      <c r="B38" s="186" t="s">
        <v>228</v>
      </c>
      <c r="C38">
        <v>0</v>
      </c>
      <c r="D38">
        <v>0</v>
      </c>
      <c r="E38">
        <v>9.0925000000000001E-4</v>
      </c>
      <c r="F38">
        <v>7.1690899999999995E-4</v>
      </c>
      <c r="G38">
        <v>5.4205300000000002E-4</v>
      </c>
      <c r="H38">
        <v>5.4205300000000002E-4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9.0925000000000001E-4</v>
      </c>
      <c r="R38">
        <v>0</v>
      </c>
      <c r="S38">
        <v>0</v>
      </c>
      <c r="T38">
        <v>3.6195149999999998E-3</v>
      </c>
    </row>
    <row r="39" spans="1:20" ht="15" customHeight="1" x14ac:dyDescent="0.15">
      <c r="A39">
        <v>38</v>
      </c>
      <c r="B39" s="186" t="s">
        <v>229</v>
      </c>
      <c r="C39">
        <v>0</v>
      </c>
      <c r="D39">
        <v>0</v>
      </c>
      <c r="E39">
        <v>1.1015910000000001E-3</v>
      </c>
      <c r="F39">
        <v>8.9176399999999997E-4</v>
      </c>
      <c r="G39">
        <v>6.6445199999999995E-4</v>
      </c>
      <c r="H39">
        <v>6.6445199999999995E-4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1.1015910000000001E-3</v>
      </c>
      <c r="R39">
        <v>0</v>
      </c>
      <c r="S39">
        <v>0</v>
      </c>
      <c r="T39">
        <v>4.42385E-3</v>
      </c>
    </row>
    <row r="40" spans="1:20" ht="15" customHeight="1" x14ac:dyDescent="0.15">
      <c r="A40">
        <v>39</v>
      </c>
      <c r="B40" s="186" t="s">
        <v>230</v>
      </c>
      <c r="C40">
        <v>0</v>
      </c>
      <c r="D40">
        <v>0</v>
      </c>
      <c r="E40">
        <v>6.6445199999999995E-4</v>
      </c>
      <c r="F40">
        <v>5.4205300000000002E-4</v>
      </c>
      <c r="G40">
        <v>4.02168E-4</v>
      </c>
      <c r="H40">
        <v>4.02168E-4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6.6445199999999995E-4</v>
      </c>
      <c r="R40">
        <v>0</v>
      </c>
      <c r="S40">
        <v>0</v>
      </c>
      <c r="T40">
        <v>2.675293E-3</v>
      </c>
    </row>
    <row r="41" spans="1:20" ht="15" customHeight="1" x14ac:dyDescent="0.15">
      <c r="A41">
        <v>40</v>
      </c>
      <c r="B41" s="186" t="s">
        <v>231</v>
      </c>
      <c r="C41">
        <v>0</v>
      </c>
      <c r="D41">
        <v>0</v>
      </c>
      <c r="E41">
        <v>2.7792339999999998E-3</v>
      </c>
      <c r="F41">
        <v>2.7792339999999998E-3</v>
      </c>
      <c r="G41">
        <v>2.09369E-3</v>
      </c>
      <c r="H41">
        <v>2.09369E-3</v>
      </c>
      <c r="I41">
        <v>0</v>
      </c>
      <c r="J41">
        <v>0</v>
      </c>
      <c r="K41">
        <v>0</v>
      </c>
      <c r="L41">
        <v>7.0407300000000005E-4</v>
      </c>
      <c r="M41">
        <v>0</v>
      </c>
      <c r="N41">
        <v>0</v>
      </c>
      <c r="O41">
        <v>0</v>
      </c>
      <c r="P41">
        <v>0</v>
      </c>
      <c r="Q41">
        <v>3.4833070000000002E-3</v>
      </c>
      <c r="R41">
        <v>0</v>
      </c>
      <c r="S41">
        <v>0</v>
      </c>
      <c r="T41">
        <v>1.3933227999999999E-2</v>
      </c>
    </row>
    <row r="42" spans="1:20" ht="15" customHeight="1" x14ac:dyDescent="0.15">
      <c r="A42">
        <v>41</v>
      </c>
      <c r="B42" s="186" t="s">
        <v>232</v>
      </c>
      <c r="C42">
        <v>0</v>
      </c>
      <c r="D42">
        <v>0</v>
      </c>
      <c r="E42">
        <v>7.0407300000000005E-4</v>
      </c>
      <c r="F42">
        <v>7.0407300000000005E-4</v>
      </c>
      <c r="G42">
        <v>5.1878999999999998E-4</v>
      </c>
      <c r="H42">
        <v>5.1878999999999998E-4</v>
      </c>
      <c r="I42">
        <v>0</v>
      </c>
      <c r="J42">
        <v>0</v>
      </c>
      <c r="K42">
        <v>0</v>
      </c>
      <c r="L42">
        <v>1.66754E-4</v>
      </c>
      <c r="M42">
        <v>0</v>
      </c>
      <c r="N42">
        <v>0</v>
      </c>
      <c r="O42">
        <v>0</v>
      </c>
      <c r="P42">
        <v>0</v>
      </c>
      <c r="Q42">
        <v>8.7082700000000002E-4</v>
      </c>
      <c r="R42">
        <v>0</v>
      </c>
      <c r="S42">
        <v>0</v>
      </c>
      <c r="T42">
        <v>3.4833069999999997E-3</v>
      </c>
    </row>
    <row r="43" spans="1:20" ht="15" customHeight="1" x14ac:dyDescent="0.15">
      <c r="A43">
        <v>42</v>
      </c>
      <c r="B43" s="186" t="s">
        <v>233</v>
      </c>
      <c r="C43">
        <v>0.05</v>
      </c>
      <c r="D43">
        <v>0</v>
      </c>
      <c r="E43">
        <v>0.01</v>
      </c>
      <c r="F43">
        <v>0.01</v>
      </c>
      <c r="G43">
        <v>0.03</v>
      </c>
      <c r="H43">
        <v>0.01</v>
      </c>
      <c r="I43">
        <v>0</v>
      </c>
      <c r="J43">
        <v>0</v>
      </c>
      <c r="K43">
        <v>0</v>
      </c>
      <c r="L43">
        <v>0.01</v>
      </c>
      <c r="M43">
        <v>0</v>
      </c>
      <c r="N43">
        <v>0</v>
      </c>
      <c r="O43">
        <v>0</v>
      </c>
      <c r="P43">
        <v>0.03</v>
      </c>
      <c r="Q43">
        <v>0</v>
      </c>
      <c r="R43">
        <v>0</v>
      </c>
      <c r="S43">
        <v>0</v>
      </c>
      <c r="T43">
        <v>0.15</v>
      </c>
    </row>
    <row r="44" spans="1:20" ht="15" customHeight="1" x14ac:dyDescent="0.15">
      <c r="A44">
        <v>43</v>
      </c>
      <c r="B44" s="186" t="s">
        <v>234</v>
      </c>
      <c r="C44">
        <v>0.05</v>
      </c>
      <c r="D44">
        <v>0</v>
      </c>
      <c r="E44">
        <v>0.01</v>
      </c>
      <c r="F44">
        <v>0.01</v>
      </c>
      <c r="G44">
        <v>0.03</v>
      </c>
      <c r="H44">
        <v>0.01</v>
      </c>
      <c r="I44">
        <v>0</v>
      </c>
      <c r="J44">
        <v>0</v>
      </c>
      <c r="K44">
        <v>0</v>
      </c>
      <c r="L44">
        <v>0.01</v>
      </c>
      <c r="M44">
        <v>0</v>
      </c>
      <c r="N44">
        <v>0</v>
      </c>
      <c r="O44">
        <v>0</v>
      </c>
      <c r="P44">
        <v>0.03</v>
      </c>
      <c r="Q44">
        <v>0</v>
      </c>
      <c r="R44">
        <v>0</v>
      </c>
      <c r="S44">
        <v>0</v>
      </c>
      <c r="T44">
        <v>0.15</v>
      </c>
    </row>
    <row r="45" spans="1:20" ht="15" customHeight="1" x14ac:dyDescent="0.15">
      <c r="A45">
        <v>44</v>
      </c>
      <c r="B45" s="186" t="s">
        <v>235</v>
      </c>
      <c r="C45">
        <v>2.1636007400000001E-2</v>
      </c>
      <c r="D45">
        <v>0</v>
      </c>
      <c r="E45">
        <v>2.1636007400000001E-2</v>
      </c>
      <c r="F45">
        <v>2.1636007400000001E-2</v>
      </c>
      <c r="G45">
        <v>2.1636007400000001E-2</v>
      </c>
      <c r="H45">
        <v>2.1636007400000001E-2</v>
      </c>
      <c r="I45">
        <v>0</v>
      </c>
      <c r="J45">
        <v>0</v>
      </c>
      <c r="K45">
        <v>0</v>
      </c>
      <c r="L45">
        <v>5.6931439999999998E-3</v>
      </c>
      <c r="M45">
        <v>0</v>
      </c>
      <c r="N45">
        <v>0</v>
      </c>
      <c r="O45">
        <v>0</v>
      </c>
      <c r="P45">
        <v>2.8328369999999999E-3</v>
      </c>
      <c r="Q45">
        <v>0</v>
      </c>
      <c r="R45">
        <v>0</v>
      </c>
      <c r="S45">
        <v>0</v>
      </c>
      <c r="T45">
        <v>0.11670601800000001</v>
      </c>
    </row>
    <row r="46" spans="1:20" ht="15" customHeight="1" x14ac:dyDescent="0.15">
      <c r="A46">
        <v>45</v>
      </c>
      <c r="B46" s="186" t="s">
        <v>236</v>
      </c>
      <c r="C46">
        <v>1.1434360000000001E-3</v>
      </c>
      <c r="D46">
        <v>0</v>
      </c>
      <c r="E46">
        <v>1.1434360000000001E-3</v>
      </c>
      <c r="F46">
        <v>1.1434360000000001E-3</v>
      </c>
      <c r="G46">
        <v>1.1434360000000001E-3</v>
      </c>
      <c r="H46">
        <v>1.1434360000000001E-3</v>
      </c>
      <c r="I46">
        <v>0</v>
      </c>
      <c r="J46">
        <v>0</v>
      </c>
      <c r="K46">
        <v>0</v>
      </c>
      <c r="L46">
        <v>3.0216900000000003E-4</v>
      </c>
      <c r="M46">
        <v>0</v>
      </c>
      <c r="N46">
        <v>0</v>
      </c>
      <c r="O46">
        <v>0</v>
      </c>
      <c r="P46">
        <v>1.4164189999999999E-3</v>
      </c>
      <c r="Q46">
        <v>0</v>
      </c>
      <c r="R46">
        <v>0</v>
      </c>
      <c r="S46">
        <v>0</v>
      </c>
      <c r="T46">
        <v>7.4357680000000006E-3</v>
      </c>
    </row>
    <row r="47" spans="1:20" ht="15" customHeight="1" x14ac:dyDescent="0.15">
      <c r="A47">
        <v>46</v>
      </c>
      <c r="B47" s="186" t="s">
        <v>237</v>
      </c>
      <c r="C47">
        <v>1.5533389999999999E-2</v>
      </c>
      <c r="D47">
        <v>0</v>
      </c>
      <c r="E47">
        <v>1.5533389999999999E-2</v>
      </c>
      <c r="F47">
        <v>1.5533389999999999E-2</v>
      </c>
      <c r="G47">
        <v>1.5533389999999999E-2</v>
      </c>
      <c r="H47">
        <v>1.5533389999999999E-2</v>
      </c>
      <c r="I47">
        <v>0</v>
      </c>
      <c r="J47">
        <v>0</v>
      </c>
      <c r="K47">
        <v>0</v>
      </c>
      <c r="L47">
        <v>4.0887279999999998E-3</v>
      </c>
      <c r="M47">
        <v>0</v>
      </c>
      <c r="N47">
        <v>0</v>
      </c>
      <c r="O47">
        <v>0</v>
      </c>
      <c r="P47">
        <v>2.8328369999999999E-3</v>
      </c>
      <c r="Q47">
        <v>0</v>
      </c>
      <c r="R47">
        <v>0</v>
      </c>
      <c r="S47">
        <v>0</v>
      </c>
      <c r="T47">
        <v>8.4588515000000003E-2</v>
      </c>
    </row>
    <row r="48" spans="1:20" ht="15" customHeight="1" x14ac:dyDescent="0.15">
      <c r="A48">
        <v>47</v>
      </c>
      <c r="B48" s="186" t="s">
        <v>238</v>
      </c>
      <c r="C48">
        <v>6.7515999999999995E-4</v>
      </c>
      <c r="D48">
        <v>0</v>
      </c>
      <c r="E48">
        <v>6.7515999999999995E-4</v>
      </c>
      <c r="F48">
        <v>6.7515999999999995E-4</v>
      </c>
      <c r="G48">
        <v>6.7515999999999995E-4</v>
      </c>
      <c r="H48">
        <v>6.7515999999999995E-4</v>
      </c>
      <c r="I48">
        <v>0</v>
      </c>
      <c r="J48">
        <v>0</v>
      </c>
      <c r="K48">
        <v>0</v>
      </c>
      <c r="L48">
        <v>1.7941300000000001E-4</v>
      </c>
      <c r="M48">
        <v>0</v>
      </c>
      <c r="N48">
        <v>0</v>
      </c>
      <c r="O48">
        <v>0</v>
      </c>
      <c r="P48">
        <v>1.4164189999999999E-3</v>
      </c>
      <c r="Q48">
        <v>0</v>
      </c>
      <c r="R48">
        <v>0</v>
      </c>
      <c r="S48">
        <v>0</v>
      </c>
      <c r="T48">
        <v>4.9716320000000001E-3</v>
      </c>
    </row>
    <row r="49" spans="1:20" ht="15" customHeight="1" x14ac:dyDescent="0.15">
      <c r="A49">
        <v>48</v>
      </c>
      <c r="B49" s="186" t="s">
        <v>239</v>
      </c>
      <c r="C49">
        <v>4.0266670000000003E-3</v>
      </c>
      <c r="D49">
        <v>0</v>
      </c>
      <c r="E49">
        <v>0</v>
      </c>
      <c r="F49">
        <v>0</v>
      </c>
      <c r="G49">
        <v>4.0266670000000003E-3</v>
      </c>
      <c r="H49">
        <v>4.0266670000000003E-3</v>
      </c>
      <c r="I49">
        <v>0</v>
      </c>
      <c r="J49">
        <v>0</v>
      </c>
      <c r="K49">
        <v>0</v>
      </c>
      <c r="L49">
        <v>1.0666670000000001E-3</v>
      </c>
      <c r="M49">
        <v>0</v>
      </c>
      <c r="N49">
        <v>0</v>
      </c>
      <c r="O49">
        <v>0</v>
      </c>
      <c r="P49">
        <v>1.5E-3</v>
      </c>
      <c r="Q49">
        <v>0</v>
      </c>
      <c r="R49">
        <v>0</v>
      </c>
      <c r="S49">
        <v>0</v>
      </c>
      <c r="T49">
        <v>1.4646668E-2</v>
      </c>
    </row>
    <row r="50" spans="1:20" x14ac:dyDescent="0.15">
      <c r="A50">
        <v>49</v>
      </c>
      <c r="B50" s="186" t="s">
        <v>240</v>
      </c>
      <c r="C50">
        <v>9.7333300000000005E-4</v>
      </c>
      <c r="D50">
        <v>0</v>
      </c>
      <c r="E50">
        <v>0</v>
      </c>
      <c r="F50">
        <v>0</v>
      </c>
      <c r="G50">
        <v>9.7333300000000005E-4</v>
      </c>
      <c r="H50">
        <v>9.7333300000000005E-4</v>
      </c>
      <c r="I50">
        <v>0</v>
      </c>
      <c r="J50">
        <v>0</v>
      </c>
      <c r="K50">
        <v>0</v>
      </c>
      <c r="L50">
        <v>2.5333300000000001E-4</v>
      </c>
      <c r="M50">
        <v>0</v>
      </c>
      <c r="N50">
        <v>0</v>
      </c>
      <c r="O50">
        <v>0</v>
      </c>
      <c r="P50">
        <v>7.5000000000000002E-4</v>
      </c>
      <c r="Q50">
        <v>0</v>
      </c>
      <c r="R50">
        <v>0</v>
      </c>
      <c r="S50">
        <v>0</v>
      </c>
      <c r="T50">
        <v>3.9233320000000007E-3</v>
      </c>
    </row>
    <row r="51" spans="1:20" x14ac:dyDescent="0.15">
      <c r="A51">
        <v>50</v>
      </c>
      <c r="B51" s="186" t="s">
        <v>241</v>
      </c>
      <c r="C51">
        <v>1.1679999999999999E-2</v>
      </c>
      <c r="D51">
        <v>0</v>
      </c>
      <c r="E51">
        <v>0</v>
      </c>
      <c r="F51">
        <v>0</v>
      </c>
      <c r="G51">
        <v>1.1679999999999999E-2</v>
      </c>
      <c r="H51">
        <v>1.1679999999999999E-2</v>
      </c>
      <c r="I51">
        <v>0</v>
      </c>
      <c r="J51">
        <v>0</v>
      </c>
      <c r="K51">
        <v>0</v>
      </c>
      <c r="L51">
        <v>3.0799999999999998E-3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3.8120000000000001E-2</v>
      </c>
    </row>
    <row r="52" spans="1:20" x14ac:dyDescent="0.15">
      <c r="A52">
        <v>51</v>
      </c>
      <c r="B52" s="186" t="s">
        <v>242</v>
      </c>
      <c r="C52">
        <v>9.6000000000000002E-4</v>
      </c>
      <c r="D52">
        <v>0</v>
      </c>
      <c r="E52">
        <v>0</v>
      </c>
      <c r="F52">
        <v>0</v>
      </c>
      <c r="G52">
        <v>9.6000000000000002E-4</v>
      </c>
      <c r="H52">
        <v>9.6000000000000002E-4</v>
      </c>
      <c r="I52">
        <v>0</v>
      </c>
      <c r="J52">
        <v>0</v>
      </c>
      <c r="K52">
        <v>0</v>
      </c>
      <c r="L52">
        <v>2.5999999999999998E-4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3.14E-3</v>
      </c>
    </row>
    <row r="53" spans="1:20" x14ac:dyDescent="0.15">
      <c r="A53">
        <v>52</v>
      </c>
      <c r="B53" s="186" t="s">
        <v>243</v>
      </c>
      <c r="C53">
        <v>2.1810526E-2</v>
      </c>
      <c r="D53">
        <v>0</v>
      </c>
      <c r="E53">
        <v>2.1810526E-2</v>
      </c>
      <c r="F53">
        <v>2.1810526E-2</v>
      </c>
      <c r="G53">
        <v>2.1810526E-2</v>
      </c>
      <c r="H53">
        <v>2.1810526E-2</v>
      </c>
      <c r="I53">
        <v>4.9515790000000002E-3</v>
      </c>
      <c r="J53">
        <v>4.9515790000000002E-3</v>
      </c>
      <c r="K53">
        <v>4.9515790000000002E-3</v>
      </c>
      <c r="L53">
        <v>5.7473680000000001E-3</v>
      </c>
      <c r="M53">
        <v>4.0084209999999999E-3</v>
      </c>
      <c r="N53">
        <v>0</v>
      </c>
      <c r="O53">
        <v>0</v>
      </c>
      <c r="P53">
        <v>0</v>
      </c>
      <c r="Q53">
        <v>1.2968420000000001E-3</v>
      </c>
      <c r="R53">
        <v>0</v>
      </c>
      <c r="S53">
        <v>0</v>
      </c>
      <c r="T53">
        <v>0.134959998</v>
      </c>
    </row>
    <row r="54" spans="1:20" x14ac:dyDescent="0.15">
      <c r="A54">
        <v>53</v>
      </c>
      <c r="B54" s="186" t="s">
        <v>244</v>
      </c>
      <c r="C54">
        <v>9.5600000000000008E-3</v>
      </c>
      <c r="D54">
        <v>0</v>
      </c>
      <c r="E54">
        <v>9.5600000000000008E-3</v>
      </c>
      <c r="F54">
        <v>9.5600000000000008E-3</v>
      </c>
      <c r="G54">
        <v>9.5600000000000008E-3</v>
      </c>
      <c r="H54">
        <v>9.5600000000000008E-3</v>
      </c>
      <c r="I54">
        <v>1.66E-2</v>
      </c>
      <c r="J54">
        <v>1.66E-2</v>
      </c>
      <c r="K54">
        <v>1.66E-2</v>
      </c>
      <c r="L54">
        <v>2.516E-3</v>
      </c>
      <c r="M54">
        <v>1.3440000000000001E-2</v>
      </c>
      <c r="N54">
        <v>0</v>
      </c>
      <c r="O54">
        <v>0</v>
      </c>
      <c r="P54">
        <v>0</v>
      </c>
      <c r="Q54">
        <v>4.3600000000000002E-3</v>
      </c>
      <c r="R54">
        <v>0</v>
      </c>
      <c r="S54">
        <v>0</v>
      </c>
      <c r="T54">
        <v>0.11791600000000002</v>
      </c>
    </row>
    <row r="55" spans="1:20" x14ac:dyDescent="0.15">
      <c r="A55">
        <v>54</v>
      </c>
      <c r="B55" s="186" t="s">
        <v>245</v>
      </c>
      <c r="C55">
        <v>2.2604439999999999E-3</v>
      </c>
      <c r="D55">
        <v>0</v>
      </c>
      <c r="E55">
        <v>2.2604439999999999E-3</v>
      </c>
      <c r="F55">
        <v>2.2604439999999999E-3</v>
      </c>
      <c r="G55">
        <v>2.2604439999999999E-3</v>
      </c>
      <c r="H55">
        <v>2.2604439999999999E-3</v>
      </c>
      <c r="I55">
        <v>0</v>
      </c>
      <c r="J55">
        <v>0</v>
      </c>
      <c r="K55">
        <v>0</v>
      </c>
      <c r="L55">
        <v>5.9290299999999998E-4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1.1895123000000001E-2</v>
      </c>
    </row>
    <row r="56" spans="1:20" x14ac:dyDescent="0.15">
      <c r="A56">
        <v>55</v>
      </c>
      <c r="B56" s="186" t="s">
        <v>246</v>
      </c>
      <c r="C56">
        <v>1.762469E-3</v>
      </c>
      <c r="D56">
        <v>0</v>
      </c>
      <c r="E56">
        <v>1.762469E-3</v>
      </c>
      <c r="F56">
        <v>1.762469E-3</v>
      </c>
      <c r="G56">
        <v>1.762469E-3</v>
      </c>
      <c r="H56">
        <v>1.762469E-3</v>
      </c>
      <c r="I56">
        <v>0</v>
      </c>
      <c r="J56">
        <v>0</v>
      </c>
      <c r="K56">
        <v>0</v>
      </c>
      <c r="L56">
        <v>5.0356299999999995E-4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9.3159079999999995E-3</v>
      </c>
    </row>
    <row r="57" spans="1:20" x14ac:dyDescent="0.15">
      <c r="A57">
        <v>56</v>
      </c>
      <c r="B57" s="186" t="s">
        <v>247</v>
      </c>
      <c r="C57">
        <v>0</v>
      </c>
      <c r="D57">
        <v>0</v>
      </c>
      <c r="E57">
        <v>0.1</v>
      </c>
      <c r="F57">
        <v>0.1</v>
      </c>
      <c r="G57">
        <v>4.1641839999999999E-2</v>
      </c>
      <c r="H57">
        <v>4.1641839999999999E-2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0.2</v>
      </c>
      <c r="R57">
        <v>0</v>
      </c>
      <c r="S57">
        <v>0</v>
      </c>
      <c r="T57">
        <v>0.48328367999999999</v>
      </c>
    </row>
    <row r="58" spans="1:20" x14ac:dyDescent="0.15">
      <c r="A58">
        <v>57</v>
      </c>
      <c r="B58" s="186" t="s">
        <v>248</v>
      </c>
      <c r="C58">
        <v>0</v>
      </c>
      <c r="D58">
        <v>0</v>
      </c>
      <c r="E58">
        <v>4.4411429999999998E-3</v>
      </c>
      <c r="F58">
        <v>3.5529149999999998E-3</v>
      </c>
      <c r="G58">
        <v>2.6646859999999999E-3</v>
      </c>
      <c r="H58">
        <v>2.6646859999999999E-3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4.4411429999999998E-3</v>
      </c>
      <c r="R58">
        <v>0</v>
      </c>
      <c r="S58">
        <v>0</v>
      </c>
      <c r="T58">
        <v>1.7764572999999999E-2</v>
      </c>
    </row>
    <row r="59" spans="1:20" x14ac:dyDescent="0.15">
      <c r="A59">
        <v>58</v>
      </c>
      <c r="B59" s="186" t="s">
        <v>249</v>
      </c>
      <c r="C59">
        <v>0</v>
      </c>
      <c r="D59">
        <v>0</v>
      </c>
      <c r="E59">
        <v>2.0600000000000002E-3</v>
      </c>
      <c r="F59">
        <v>2.0600000000000002E-3</v>
      </c>
      <c r="G59">
        <v>2.0600000000000002E-3</v>
      </c>
      <c r="H59">
        <v>2.0600000000000002E-3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8.2400000000000008E-3</v>
      </c>
    </row>
    <row r="60" spans="1:20" x14ac:dyDescent="0.15">
      <c r="A60">
        <v>59</v>
      </c>
      <c r="B60" s="186" t="s">
        <v>250</v>
      </c>
      <c r="C60">
        <v>0</v>
      </c>
      <c r="D60">
        <v>0</v>
      </c>
      <c r="E60">
        <v>2.4000000000000001E-4</v>
      </c>
      <c r="F60">
        <v>2.4000000000000001E-4</v>
      </c>
      <c r="G60">
        <v>2.4000000000000001E-4</v>
      </c>
      <c r="H60">
        <v>2.4000000000000001E-4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9.6000000000000002E-4</v>
      </c>
    </row>
    <row r="61" spans="1:20" x14ac:dyDescent="0.15">
      <c r="A61">
        <v>60</v>
      </c>
      <c r="B61" s="186" t="s">
        <v>251</v>
      </c>
      <c r="C61">
        <v>0</v>
      </c>
      <c r="D61">
        <v>0</v>
      </c>
      <c r="E61">
        <v>3.7771199999999999E-4</v>
      </c>
      <c r="F61">
        <v>3.7771199999999999E-4</v>
      </c>
      <c r="G61">
        <v>3.7771199999999999E-4</v>
      </c>
      <c r="H61">
        <v>3.7771199999999999E-4</v>
      </c>
      <c r="I61">
        <v>0</v>
      </c>
      <c r="J61">
        <v>0</v>
      </c>
      <c r="K61">
        <v>0</v>
      </c>
      <c r="L61">
        <v>3.7771200000000002E-5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1.5486192000000001E-3</v>
      </c>
    </row>
    <row r="62" spans="1:20" x14ac:dyDescent="0.15">
      <c r="A62">
        <v>61</v>
      </c>
      <c r="B62" s="186" t="s">
        <v>252</v>
      </c>
      <c r="C62">
        <v>0</v>
      </c>
      <c r="D62">
        <v>0</v>
      </c>
      <c r="E62">
        <v>3.7771200000000002E-5</v>
      </c>
      <c r="F62">
        <v>3.7771200000000002E-5</v>
      </c>
      <c r="G62">
        <v>3.7771200000000002E-5</v>
      </c>
      <c r="H62">
        <v>3.7771200000000002E-5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1.5108480000000001E-4</v>
      </c>
    </row>
    <row r="63" spans="1:20" x14ac:dyDescent="0.15">
      <c r="A63">
        <v>62</v>
      </c>
      <c r="B63" s="186" t="s">
        <v>253</v>
      </c>
      <c r="C63">
        <v>0</v>
      </c>
      <c r="D63">
        <v>0</v>
      </c>
      <c r="E63">
        <v>1.13313E-4</v>
      </c>
      <c r="F63">
        <v>1.13313E-4</v>
      </c>
      <c r="G63">
        <v>1.13313E-4</v>
      </c>
      <c r="H63">
        <v>1.13313E-4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4.5325200000000002E-4</v>
      </c>
    </row>
    <row r="64" spans="1:20" x14ac:dyDescent="0.15">
      <c r="A64">
        <v>63</v>
      </c>
      <c r="B64" s="186" t="s">
        <v>254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 x14ac:dyDescent="0.15">
      <c r="A65">
        <v>64</v>
      </c>
      <c r="B65" s="186" t="s">
        <v>255</v>
      </c>
      <c r="C65">
        <v>0</v>
      </c>
      <c r="D65">
        <v>0</v>
      </c>
      <c r="E65">
        <v>1.02359848E-2</v>
      </c>
      <c r="F65">
        <v>1.02359848E-2</v>
      </c>
      <c r="G65">
        <v>1.02359848E-2</v>
      </c>
      <c r="H65">
        <v>1.02359848E-2</v>
      </c>
      <c r="I65">
        <v>0</v>
      </c>
      <c r="J65">
        <v>0</v>
      </c>
      <c r="K65">
        <v>0</v>
      </c>
      <c r="L65">
        <v>1.359762E-3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4.2303701200000002E-2</v>
      </c>
    </row>
    <row r="66" spans="1:20" x14ac:dyDescent="0.15">
      <c r="A66">
        <v>65</v>
      </c>
      <c r="B66" s="186" t="s">
        <v>256</v>
      </c>
      <c r="C66">
        <v>0</v>
      </c>
      <c r="D66">
        <v>0</v>
      </c>
      <c r="E66">
        <v>9.8204999999999994E-4</v>
      </c>
      <c r="F66">
        <v>9.8204999999999994E-4</v>
      </c>
      <c r="G66">
        <v>9.8204999999999994E-4</v>
      </c>
      <c r="H66">
        <v>9.8204999999999994E-4</v>
      </c>
      <c r="I66">
        <v>0</v>
      </c>
      <c r="J66">
        <v>0</v>
      </c>
      <c r="K66">
        <v>0</v>
      </c>
      <c r="L66">
        <v>2.64398E-4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4.1925979999999996E-3</v>
      </c>
    </row>
    <row r="67" spans="1:20" x14ac:dyDescent="0.15">
      <c r="A67">
        <v>66</v>
      </c>
      <c r="B67" s="186" t="s">
        <v>257</v>
      </c>
      <c r="C67">
        <v>0</v>
      </c>
      <c r="D67">
        <v>0</v>
      </c>
      <c r="E67">
        <v>8.6873699999999996E-4</v>
      </c>
      <c r="F67">
        <v>8.6873699999999996E-4</v>
      </c>
      <c r="G67">
        <v>8.6873699999999996E-4</v>
      </c>
      <c r="H67">
        <v>8.6873699999999996E-4</v>
      </c>
      <c r="I67">
        <v>0</v>
      </c>
      <c r="J67">
        <v>0</v>
      </c>
      <c r="K67">
        <v>0</v>
      </c>
      <c r="L67">
        <v>1.13313E-4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3.5882609999999997E-3</v>
      </c>
    </row>
    <row r="68" spans="1:20" x14ac:dyDescent="0.15">
      <c r="A68">
        <v>67</v>
      </c>
      <c r="B68" s="186" t="s">
        <v>258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 x14ac:dyDescent="0.15">
      <c r="A69">
        <v>68</v>
      </c>
      <c r="B69" s="186" t="s">
        <v>259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2E-3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2E-3</v>
      </c>
    </row>
    <row r="70" spans="1:20" x14ac:dyDescent="0.15">
      <c r="A70">
        <v>69</v>
      </c>
      <c r="B70" s="186" t="s">
        <v>260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15">
      <c r="A71">
        <v>70</v>
      </c>
      <c r="B71" s="186" t="s">
        <v>261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 x14ac:dyDescent="0.15">
      <c r="A72">
        <v>71</v>
      </c>
      <c r="B72" s="186" t="s">
        <v>262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 x14ac:dyDescent="0.15">
      <c r="A73">
        <v>72</v>
      </c>
      <c r="B73" s="186" t="s">
        <v>263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15">
      <c r="A74">
        <v>73</v>
      </c>
      <c r="B74" s="186" t="s">
        <v>264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0.30489677199999998</v>
      </c>
      <c r="T74">
        <v>0.30489677199999998</v>
      </c>
    </row>
    <row r="75" spans="1:20" x14ac:dyDescent="0.15">
      <c r="A75">
        <v>74</v>
      </c>
      <c r="B75" s="186" t="s">
        <v>265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3.5765722399999998E-2</v>
      </c>
      <c r="T75">
        <v>3.5765722399999998E-2</v>
      </c>
    </row>
    <row r="76" spans="1:20" x14ac:dyDescent="0.15">
      <c r="A76">
        <v>75</v>
      </c>
      <c r="B76" s="186" t="s">
        <v>266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2.4003841000000001E-2</v>
      </c>
      <c r="R76">
        <v>0</v>
      </c>
      <c r="S76">
        <v>0</v>
      </c>
      <c r="T76">
        <v>2.4003841000000001E-2</v>
      </c>
    </row>
    <row r="77" spans="1:20" x14ac:dyDescent="0.15">
      <c r="A77">
        <v>76</v>
      </c>
      <c r="B77" s="186" t="s">
        <v>267</v>
      </c>
      <c r="C77">
        <v>0</v>
      </c>
      <c r="D77">
        <v>0.02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0.02</v>
      </c>
    </row>
    <row r="78" spans="1:20" x14ac:dyDescent="0.15">
      <c r="A78">
        <v>77</v>
      </c>
      <c r="B78" s="186" t="s">
        <v>268</v>
      </c>
      <c r="C78">
        <v>1.3774099999999999E-3</v>
      </c>
      <c r="D78">
        <v>4.3388430000000002E-3</v>
      </c>
      <c r="E78">
        <v>0</v>
      </c>
      <c r="F78">
        <v>0</v>
      </c>
      <c r="G78">
        <v>0</v>
      </c>
      <c r="H78">
        <v>0</v>
      </c>
      <c r="I78">
        <v>1.446281E-3</v>
      </c>
      <c r="J78">
        <v>0</v>
      </c>
      <c r="K78">
        <v>0</v>
      </c>
      <c r="L78">
        <v>6.8870500000000004E-5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7.2314045E-3</v>
      </c>
    </row>
    <row r="79" spans="1:20" x14ac:dyDescent="0.15">
      <c r="A79">
        <v>78</v>
      </c>
      <c r="B79" s="186" t="s">
        <v>269</v>
      </c>
      <c r="C79">
        <v>0</v>
      </c>
      <c r="D79">
        <v>7.2828690000000001E-2</v>
      </c>
      <c r="E79">
        <v>0</v>
      </c>
      <c r="F79">
        <v>0</v>
      </c>
      <c r="G79">
        <v>0</v>
      </c>
      <c r="H79">
        <v>0</v>
      </c>
      <c r="I79">
        <v>2.43027881E-2</v>
      </c>
      <c r="J79">
        <v>0</v>
      </c>
      <c r="K79">
        <v>0</v>
      </c>
      <c r="L79">
        <v>1.195219E-3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9.8326697099999999E-2</v>
      </c>
    </row>
    <row r="80" spans="1:20" x14ac:dyDescent="0.15">
      <c r="A80">
        <v>79</v>
      </c>
      <c r="B80" s="186" t="s">
        <v>270</v>
      </c>
      <c r="C80">
        <v>0</v>
      </c>
      <c r="D80">
        <v>7.2011519999999997E-3</v>
      </c>
      <c r="E80">
        <v>0</v>
      </c>
      <c r="F80">
        <v>0</v>
      </c>
      <c r="G80">
        <v>0</v>
      </c>
      <c r="H80">
        <v>0</v>
      </c>
      <c r="I80">
        <v>2.4003840000000002E-3</v>
      </c>
      <c r="J80">
        <v>0</v>
      </c>
      <c r="K80">
        <v>0</v>
      </c>
      <c r="L80">
        <v>1.4402300000000001E-4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9.7455590000000009E-3</v>
      </c>
    </row>
    <row r="81" spans="1:20" x14ac:dyDescent="0.15">
      <c r="A81">
        <v>80</v>
      </c>
      <c r="B81" s="186" t="s">
        <v>271</v>
      </c>
      <c r="C81">
        <v>0</v>
      </c>
      <c r="D81">
        <v>7.2011519999999997E-3</v>
      </c>
      <c r="E81">
        <v>0</v>
      </c>
      <c r="F81">
        <v>0</v>
      </c>
      <c r="G81">
        <v>0</v>
      </c>
      <c r="H81">
        <v>0</v>
      </c>
      <c r="I81">
        <v>2.4003840000000002E-3</v>
      </c>
      <c r="J81">
        <v>0</v>
      </c>
      <c r="K81">
        <v>0</v>
      </c>
      <c r="L81">
        <v>1.4402300000000001E-4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9.7455590000000009E-3</v>
      </c>
    </row>
    <row r="82" spans="1:20" ht="15" customHeight="1" x14ac:dyDescent="0.15">
      <c r="A82">
        <v>81</v>
      </c>
      <c r="B82" s="186" t="s">
        <v>272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 ht="15" customHeight="1" x14ac:dyDescent="0.15">
      <c r="A83">
        <v>82</v>
      </c>
      <c r="B83" s="186" t="s">
        <v>273</v>
      </c>
      <c r="C83">
        <v>0</v>
      </c>
      <c r="D83">
        <v>2.203857E-3</v>
      </c>
      <c r="E83">
        <v>0</v>
      </c>
      <c r="F83">
        <v>0</v>
      </c>
      <c r="G83">
        <v>0</v>
      </c>
      <c r="H83">
        <v>0</v>
      </c>
      <c r="I83">
        <v>5.0000000000000001E-3</v>
      </c>
      <c r="J83">
        <v>0</v>
      </c>
      <c r="K83">
        <v>0</v>
      </c>
      <c r="L83">
        <v>3.4435299999999999E-5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7.2382923E-3</v>
      </c>
    </row>
    <row r="84" spans="1:20" ht="15" customHeight="1" x14ac:dyDescent="0.15">
      <c r="A84">
        <v>83</v>
      </c>
      <c r="B84" s="186" t="s">
        <v>274</v>
      </c>
      <c r="C84">
        <v>0</v>
      </c>
      <c r="D84">
        <v>4.896783E-3</v>
      </c>
      <c r="E84">
        <v>0</v>
      </c>
      <c r="F84">
        <v>0</v>
      </c>
      <c r="G84">
        <v>0</v>
      </c>
      <c r="H84">
        <v>0</v>
      </c>
      <c r="I84">
        <v>1.6322610000000001E-3</v>
      </c>
      <c r="J84">
        <v>0</v>
      </c>
      <c r="K84">
        <v>0</v>
      </c>
      <c r="L84">
        <v>9.6015399999999996E-5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6.6250594000000001E-3</v>
      </c>
    </row>
    <row r="85" spans="1:20" ht="15" customHeight="1" x14ac:dyDescent="0.15">
      <c r="A85">
        <v>84</v>
      </c>
      <c r="B85" s="186" t="s">
        <v>275</v>
      </c>
      <c r="C85">
        <v>0</v>
      </c>
      <c r="D85">
        <v>1.5746519E-2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1.5746519E-2</v>
      </c>
    </row>
    <row r="86" spans="1:20" ht="15" customHeight="1" x14ac:dyDescent="0.15">
      <c r="A86">
        <v>85</v>
      </c>
      <c r="B86" s="186" t="s">
        <v>276</v>
      </c>
      <c r="C86">
        <v>0</v>
      </c>
      <c r="D86">
        <v>2.4003840000000002E-3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2.4003840000000002E-3</v>
      </c>
    </row>
    <row r="87" spans="1:20" ht="15" customHeight="1" x14ac:dyDescent="0.15">
      <c r="A87">
        <v>86</v>
      </c>
      <c r="B87" s="186" t="s">
        <v>277</v>
      </c>
      <c r="C87">
        <v>0</v>
      </c>
      <c r="D87">
        <v>5.4728759999999998E-3</v>
      </c>
      <c r="E87">
        <v>0</v>
      </c>
      <c r="F87">
        <v>0</v>
      </c>
      <c r="G87">
        <v>0</v>
      </c>
      <c r="H87">
        <v>0</v>
      </c>
      <c r="I87">
        <v>1.8242919999999999E-3</v>
      </c>
      <c r="J87">
        <v>0</v>
      </c>
      <c r="K87">
        <v>0</v>
      </c>
      <c r="L87">
        <v>9.6015399999999996E-5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7.3931833999999995E-3</v>
      </c>
    </row>
    <row r="88" spans="1:20" ht="15" customHeight="1" x14ac:dyDescent="0.15">
      <c r="A88">
        <v>87</v>
      </c>
      <c r="B88" s="186" t="s">
        <v>278</v>
      </c>
      <c r="C88">
        <v>0</v>
      </c>
      <c r="D88">
        <v>5.5688910000000003E-3</v>
      </c>
      <c r="E88">
        <v>0</v>
      </c>
      <c r="F88">
        <v>0</v>
      </c>
      <c r="G88">
        <v>0</v>
      </c>
      <c r="H88">
        <v>0</v>
      </c>
      <c r="I88">
        <v>1.8722999999999999E-3</v>
      </c>
      <c r="J88">
        <v>0</v>
      </c>
      <c r="K88">
        <v>0</v>
      </c>
      <c r="L88">
        <v>9.6015399999999996E-5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7.5372063999999996E-3</v>
      </c>
    </row>
    <row r="89" spans="1:20" ht="15" customHeight="1" x14ac:dyDescent="0.15">
      <c r="A89">
        <v>88</v>
      </c>
      <c r="B89" s="186" t="s">
        <v>279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 ht="15" customHeight="1" x14ac:dyDescent="0.15">
      <c r="A90">
        <v>89</v>
      </c>
      <c r="B90" s="186" t="s">
        <v>280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 ht="15" customHeight="1" x14ac:dyDescent="0.15">
      <c r="A91">
        <v>90</v>
      </c>
      <c r="B91" s="186" t="s">
        <v>281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 ht="15" customHeight="1" x14ac:dyDescent="0.15">
      <c r="A92">
        <v>91</v>
      </c>
      <c r="B92" s="186" t="s">
        <v>282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 ht="15" customHeight="1" x14ac:dyDescent="0.15">
      <c r="A93">
        <v>92</v>
      </c>
      <c r="B93" s="186" t="s">
        <v>283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 ht="15" customHeight="1" x14ac:dyDescent="0.15">
      <c r="A94">
        <v>93</v>
      </c>
      <c r="B94" s="186" t="s">
        <v>284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 ht="15" customHeight="1" x14ac:dyDescent="0.15">
      <c r="A95">
        <v>94</v>
      </c>
      <c r="B95" s="186" t="s">
        <v>285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 ht="15" customHeight="1" x14ac:dyDescent="0.15">
      <c r="A96">
        <v>95</v>
      </c>
      <c r="B96" s="186" t="s">
        <v>286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 ht="15" customHeight="1" x14ac:dyDescent="0.15">
      <c r="A97">
        <v>96</v>
      </c>
      <c r="B97" s="186" t="s">
        <v>287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 ht="15" customHeight="1" x14ac:dyDescent="0.15">
      <c r="A98">
        <v>97</v>
      </c>
      <c r="B98" s="186" t="s">
        <v>288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 ht="15" customHeight="1" x14ac:dyDescent="0.15">
      <c r="A99">
        <v>98</v>
      </c>
      <c r="B99" s="186" t="s">
        <v>289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 ht="15" customHeight="1" x14ac:dyDescent="0.15">
      <c r="A100">
        <v>99</v>
      </c>
      <c r="B100" s="186" t="s">
        <v>290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 ht="15" customHeight="1" x14ac:dyDescent="0.15"/>
    <row r="102" spans="1:20" ht="15" customHeight="1" x14ac:dyDescent="0.15"/>
    <row r="103" spans="1:20" ht="15" customHeight="1" x14ac:dyDescent="0.15"/>
    <row r="104" spans="1:20" ht="15" customHeight="1" x14ac:dyDescent="0.15"/>
    <row r="105" spans="1:20" ht="15" customHeight="1" x14ac:dyDescent="0.15"/>
    <row r="106" spans="1:20" ht="15" customHeight="1" x14ac:dyDescent="0.15"/>
    <row r="107" spans="1:20" ht="15" customHeight="1" x14ac:dyDescent="0.15"/>
    <row r="108" spans="1:20" ht="15" customHeight="1" x14ac:dyDescent="0.15"/>
    <row r="109" spans="1:20" ht="15" customHeight="1" x14ac:dyDescent="0.15"/>
    <row r="110" spans="1:20" ht="15" customHeight="1" x14ac:dyDescent="0.15"/>
    <row r="111" spans="1:20" ht="15" customHeight="1" x14ac:dyDescent="0.15"/>
    <row r="112" spans="1:20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T10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1.5" bestFit="1" customWidth="1"/>
    <col min="3" max="3" width="5.83203125" bestFit="1" customWidth="1"/>
    <col min="4" max="5" width="2.33203125" bestFit="1" customWidth="1"/>
    <col min="6" max="11" width="2.33203125" customWidth="1"/>
    <col min="12" max="12" width="11.5" customWidth="1"/>
    <col min="13" max="13" width="11.83203125" customWidth="1"/>
    <col min="14" max="15" width="2.33203125" customWidth="1"/>
    <col min="16" max="16" width="11.83203125" customWidth="1"/>
    <col min="17" max="18" width="2.33203125" customWidth="1"/>
    <col min="19" max="20" width="11.83203125" customWidth="1"/>
  </cols>
  <sheetData>
    <row r="1" spans="1:20" s="117" customFormat="1" ht="112" x14ac:dyDescent="0.15">
      <c r="A1" s="5" t="s">
        <v>22</v>
      </c>
      <c r="B1" s="3" t="s">
        <v>0</v>
      </c>
      <c r="C1" s="189" t="s">
        <v>291</v>
      </c>
      <c r="D1" s="189" t="s">
        <v>292</v>
      </c>
      <c r="E1" s="189" t="s">
        <v>293</v>
      </c>
      <c r="F1" s="189" t="s">
        <v>294</v>
      </c>
      <c r="G1" s="189" t="s">
        <v>295</v>
      </c>
      <c r="H1" s="189" t="s">
        <v>296</v>
      </c>
      <c r="I1" s="189" t="s">
        <v>297</v>
      </c>
      <c r="J1" s="189" t="s">
        <v>298</v>
      </c>
      <c r="K1" s="189" t="s">
        <v>299</v>
      </c>
      <c r="L1" s="189" t="s">
        <v>300</v>
      </c>
      <c r="M1" s="189" t="s">
        <v>301</v>
      </c>
      <c r="N1" s="189" t="s">
        <v>302</v>
      </c>
      <c r="O1" s="189" t="s">
        <v>303</v>
      </c>
      <c r="P1" s="189" t="s">
        <v>304</v>
      </c>
      <c r="Q1" s="189" t="s">
        <v>305</v>
      </c>
      <c r="R1" s="189" t="s">
        <v>306</v>
      </c>
      <c r="S1" s="189" t="s">
        <v>307</v>
      </c>
      <c r="T1" s="189" t="s">
        <v>311</v>
      </c>
    </row>
    <row r="2" spans="1:20" x14ac:dyDescent="0.15">
      <c r="A2">
        <v>1</v>
      </c>
      <c r="B2" s="188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x14ac:dyDescent="0.15">
      <c r="A3">
        <v>2</v>
      </c>
      <c r="B3" s="188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15">
      <c r="A4">
        <v>3</v>
      </c>
      <c r="B4" s="188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15">
      <c r="A5">
        <v>4</v>
      </c>
      <c r="B5" s="188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15">
      <c r="A6">
        <v>5</v>
      </c>
      <c r="B6" s="188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1.1361909999999999E-3</v>
      </c>
      <c r="N6">
        <v>0</v>
      </c>
      <c r="O6">
        <v>0</v>
      </c>
      <c r="P6">
        <v>7.3731299999999997E-4</v>
      </c>
      <c r="Q6">
        <v>0</v>
      </c>
      <c r="R6">
        <v>0</v>
      </c>
      <c r="S6">
        <v>0</v>
      </c>
      <c r="T6">
        <v>1.8735039999999998E-3</v>
      </c>
    </row>
    <row r="7" spans="1:20" x14ac:dyDescent="0.15">
      <c r="A7">
        <v>6</v>
      </c>
      <c r="B7" s="188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15">
      <c r="A8">
        <v>7</v>
      </c>
      <c r="B8" s="188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7.3731299999999997E-4</v>
      </c>
      <c r="Q8">
        <v>0</v>
      </c>
      <c r="R8">
        <v>0</v>
      </c>
      <c r="S8">
        <v>0</v>
      </c>
      <c r="T8">
        <v>7.3731299999999997E-4</v>
      </c>
    </row>
    <row r="9" spans="1:20" x14ac:dyDescent="0.15">
      <c r="A9">
        <v>8</v>
      </c>
      <c r="B9" s="188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7.3731299999999997E-4</v>
      </c>
      <c r="Q9">
        <v>0</v>
      </c>
      <c r="R9">
        <v>0</v>
      </c>
      <c r="S9">
        <v>0</v>
      </c>
      <c r="T9">
        <v>7.3731299999999997E-4</v>
      </c>
    </row>
    <row r="10" spans="1:20" x14ac:dyDescent="0.15">
      <c r="A10">
        <v>9</v>
      </c>
      <c r="B10" s="188" t="s">
        <v>200</v>
      </c>
      <c r="C10">
        <v>1.0000000000000001E-5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1.0000000000000001E-5</v>
      </c>
    </row>
    <row r="11" spans="1:20" x14ac:dyDescent="0.15">
      <c r="A11">
        <v>10</v>
      </c>
      <c r="B11" s="188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15">
      <c r="A12">
        <v>11</v>
      </c>
      <c r="B12" s="188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15">
      <c r="A13">
        <v>12</v>
      </c>
      <c r="B13" s="188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15">
      <c r="A14">
        <v>13</v>
      </c>
      <c r="B14" s="188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15">
      <c r="A15">
        <v>14</v>
      </c>
      <c r="B15" s="188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15">
      <c r="A16">
        <v>15</v>
      </c>
      <c r="B16" s="188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15">
      <c r="A17">
        <v>16</v>
      </c>
      <c r="B17" s="188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15">
      <c r="A18">
        <v>17</v>
      </c>
      <c r="B18" s="188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15">
      <c r="A19">
        <v>18</v>
      </c>
      <c r="B19" s="188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15">
      <c r="A20">
        <v>19</v>
      </c>
      <c r="B20" s="188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15">
      <c r="A21">
        <v>20</v>
      </c>
      <c r="B21" s="188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 x14ac:dyDescent="0.15">
      <c r="A22">
        <v>21</v>
      </c>
      <c r="B22" s="188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15">
      <c r="A23">
        <v>22</v>
      </c>
      <c r="B23" s="188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15">
      <c r="A24">
        <v>23</v>
      </c>
      <c r="B24" s="188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15">
      <c r="A25">
        <v>24</v>
      </c>
      <c r="B25" s="188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15">
      <c r="A26">
        <v>25</v>
      </c>
      <c r="B26" s="188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x14ac:dyDescent="0.15">
      <c r="A27">
        <v>26</v>
      </c>
      <c r="B27" s="188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15">
      <c r="A28">
        <v>27</v>
      </c>
      <c r="B28" s="188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15">
      <c r="A29">
        <v>28</v>
      </c>
      <c r="B29" s="188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15">
      <c r="A30">
        <v>29</v>
      </c>
      <c r="B30" s="188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15">
      <c r="A31">
        <v>30</v>
      </c>
      <c r="B31" s="188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15">
      <c r="A32">
        <v>31</v>
      </c>
      <c r="B32" s="188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15">
      <c r="A33">
        <v>32</v>
      </c>
      <c r="B33" s="188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15">
      <c r="A34">
        <v>33</v>
      </c>
      <c r="B34" s="188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15">
      <c r="A35">
        <v>34</v>
      </c>
      <c r="B35" s="188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15">
      <c r="A36">
        <v>35</v>
      </c>
      <c r="B36" s="188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 x14ac:dyDescent="0.15">
      <c r="A37">
        <v>36</v>
      </c>
      <c r="B37" s="188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x14ac:dyDescent="0.15">
      <c r="A38">
        <v>37</v>
      </c>
      <c r="B38" s="188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 x14ac:dyDescent="0.15">
      <c r="A39">
        <v>38</v>
      </c>
      <c r="B39" s="188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15">
      <c r="A40">
        <v>39</v>
      </c>
      <c r="B40" s="188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 x14ac:dyDescent="0.15">
      <c r="A41">
        <v>40</v>
      </c>
      <c r="B41" s="188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15">
      <c r="A42">
        <v>41</v>
      </c>
      <c r="B42" s="188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x14ac:dyDescent="0.15">
      <c r="A43">
        <v>42</v>
      </c>
      <c r="B43" s="188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15">
      <c r="A44">
        <v>43</v>
      </c>
      <c r="B44" s="188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15">
      <c r="A45">
        <v>44</v>
      </c>
      <c r="B45" s="188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15">
      <c r="A46">
        <v>45</v>
      </c>
      <c r="B46" s="188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15">
      <c r="A47">
        <v>46</v>
      </c>
      <c r="B47" s="188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 x14ac:dyDescent="0.15">
      <c r="A48">
        <v>47</v>
      </c>
      <c r="B48" s="188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15">
      <c r="A49">
        <v>48</v>
      </c>
      <c r="B49" s="188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15">
      <c r="A50">
        <v>49</v>
      </c>
      <c r="B50" s="188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 x14ac:dyDescent="0.15">
      <c r="A51">
        <v>50</v>
      </c>
      <c r="B51" s="188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5.1537839999999998E-3</v>
      </c>
      <c r="T51">
        <v>5.1537839999999998E-3</v>
      </c>
    </row>
    <row r="52" spans="1:20" x14ac:dyDescent="0.15">
      <c r="A52">
        <v>51</v>
      </c>
      <c r="B52" s="188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5.1537839999999998E-3</v>
      </c>
      <c r="T52">
        <v>5.1537839999999998E-3</v>
      </c>
    </row>
    <row r="53" spans="1:20" x14ac:dyDescent="0.15">
      <c r="A53">
        <v>52</v>
      </c>
      <c r="B53" s="188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15">
      <c r="A54">
        <v>53</v>
      </c>
      <c r="B54" s="188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15">
      <c r="A55">
        <v>54</v>
      </c>
      <c r="B55" s="188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 x14ac:dyDescent="0.15">
      <c r="A56">
        <v>55</v>
      </c>
      <c r="B56" s="188" t="s">
        <v>246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 x14ac:dyDescent="0.15">
      <c r="A57">
        <v>56</v>
      </c>
      <c r="B57" s="188" t="s">
        <v>247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 x14ac:dyDescent="0.15">
      <c r="A58">
        <v>57</v>
      </c>
      <c r="B58" s="188" t="s">
        <v>248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 x14ac:dyDescent="0.15">
      <c r="A59">
        <v>58</v>
      </c>
      <c r="B59" s="188" t="s">
        <v>249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5.1537839999999998E-3</v>
      </c>
      <c r="T59">
        <v>5.1537839999999998E-3</v>
      </c>
    </row>
    <row r="60" spans="1:20" x14ac:dyDescent="0.15">
      <c r="A60">
        <v>59</v>
      </c>
      <c r="B60" s="188" t="s">
        <v>250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5.1537839999999998E-3</v>
      </c>
      <c r="T60">
        <v>5.1537839999999998E-3</v>
      </c>
    </row>
    <row r="61" spans="1:20" x14ac:dyDescent="0.15">
      <c r="A61">
        <v>60</v>
      </c>
      <c r="B61" s="188" t="s">
        <v>251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 x14ac:dyDescent="0.15">
      <c r="A62">
        <v>61</v>
      </c>
      <c r="B62" s="188" t="s">
        <v>252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 x14ac:dyDescent="0.15">
      <c r="A63">
        <v>62</v>
      </c>
      <c r="B63" s="188" t="s">
        <v>253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 x14ac:dyDescent="0.15">
      <c r="A64">
        <v>63</v>
      </c>
      <c r="B64" s="188" t="s">
        <v>254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 x14ac:dyDescent="0.15">
      <c r="A65">
        <v>64</v>
      </c>
      <c r="B65" s="188" t="s">
        <v>255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 x14ac:dyDescent="0.15">
      <c r="A66">
        <v>65</v>
      </c>
      <c r="B66" s="188" t="s">
        <v>256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 x14ac:dyDescent="0.15">
      <c r="A67">
        <v>66</v>
      </c>
      <c r="B67" s="188" t="s">
        <v>257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 x14ac:dyDescent="0.15">
      <c r="A68">
        <v>67</v>
      </c>
      <c r="B68" s="188" t="s">
        <v>258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 x14ac:dyDescent="0.15">
      <c r="A69">
        <v>68</v>
      </c>
      <c r="B69" s="188" t="s">
        <v>259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9.8573700000000001E-5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9.8573700000000001E-5</v>
      </c>
    </row>
    <row r="70" spans="1:20" x14ac:dyDescent="0.15">
      <c r="A70">
        <v>69</v>
      </c>
      <c r="B70" s="188" t="s">
        <v>260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15">
      <c r="A71">
        <v>70</v>
      </c>
      <c r="B71" s="188" t="s">
        <v>261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 x14ac:dyDescent="0.15">
      <c r="A72">
        <v>71</v>
      </c>
      <c r="B72" s="188" t="s">
        <v>262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 x14ac:dyDescent="0.15">
      <c r="A73">
        <v>72</v>
      </c>
      <c r="B73" s="188" t="s">
        <v>263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15">
      <c r="A74">
        <v>73</v>
      </c>
      <c r="B74" s="188" t="s">
        <v>264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15">
      <c r="A75">
        <v>74</v>
      </c>
      <c r="B75" s="188" t="s">
        <v>265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15">
      <c r="A76">
        <v>75</v>
      </c>
      <c r="B76" s="188" t="s">
        <v>266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 x14ac:dyDescent="0.15">
      <c r="A77">
        <v>76</v>
      </c>
      <c r="B77" s="188" t="s">
        <v>267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 x14ac:dyDescent="0.15">
      <c r="A78">
        <v>77</v>
      </c>
      <c r="B78" s="188" t="s">
        <v>268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 x14ac:dyDescent="0.15">
      <c r="A79">
        <v>78</v>
      </c>
      <c r="B79" s="188" t="s">
        <v>269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 x14ac:dyDescent="0.15">
      <c r="A80">
        <v>79</v>
      </c>
      <c r="B80" s="188" t="s">
        <v>270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 x14ac:dyDescent="0.15">
      <c r="A81">
        <v>80</v>
      </c>
      <c r="B81" s="188" t="s">
        <v>271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 x14ac:dyDescent="0.15">
      <c r="A82">
        <v>81</v>
      </c>
      <c r="B82" s="188" t="s">
        <v>272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 x14ac:dyDescent="0.15">
      <c r="A83">
        <v>82</v>
      </c>
      <c r="B83" s="188" t="s">
        <v>273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15">
      <c r="A84">
        <v>83</v>
      </c>
      <c r="B84" s="188" t="s">
        <v>274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 x14ac:dyDescent="0.15">
      <c r="A85">
        <v>84</v>
      </c>
      <c r="B85" s="188" t="s">
        <v>275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 x14ac:dyDescent="0.15">
      <c r="A86">
        <v>85</v>
      </c>
      <c r="B86" s="188" t="s">
        <v>276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 x14ac:dyDescent="0.15">
      <c r="A87">
        <v>86</v>
      </c>
      <c r="B87" s="188" t="s">
        <v>277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5.1537839999999998E-3</v>
      </c>
      <c r="T87">
        <v>5.1537839999999998E-3</v>
      </c>
    </row>
    <row r="88" spans="1:20" x14ac:dyDescent="0.15">
      <c r="A88">
        <v>87</v>
      </c>
      <c r="B88" s="188" t="s">
        <v>278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5.1537839999999998E-3</v>
      </c>
      <c r="T88">
        <v>5.1537839999999998E-3</v>
      </c>
    </row>
    <row r="89" spans="1:20" x14ac:dyDescent="0.15">
      <c r="A89">
        <v>88</v>
      </c>
      <c r="B89" s="188" t="s">
        <v>279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 x14ac:dyDescent="0.15">
      <c r="A90">
        <v>89</v>
      </c>
      <c r="B90" s="188" t="s">
        <v>280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 x14ac:dyDescent="0.15">
      <c r="A91">
        <v>90</v>
      </c>
      <c r="B91" s="188" t="s">
        <v>281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 x14ac:dyDescent="0.15">
      <c r="A92">
        <v>91</v>
      </c>
      <c r="B92" s="188" t="s">
        <v>282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 x14ac:dyDescent="0.15">
      <c r="A93">
        <v>92</v>
      </c>
      <c r="B93" s="188" t="s">
        <v>283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 x14ac:dyDescent="0.15">
      <c r="A94">
        <v>93</v>
      </c>
      <c r="B94" s="188" t="s">
        <v>284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 x14ac:dyDescent="0.15">
      <c r="A95">
        <v>94</v>
      </c>
      <c r="B95" s="188" t="s">
        <v>285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 x14ac:dyDescent="0.15">
      <c r="A96">
        <v>95</v>
      </c>
      <c r="B96" s="188" t="s">
        <v>286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 x14ac:dyDescent="0.15">
      <c r="A97">
        <v>96</v>
      </c>
      <c r="B97" s="188" t="s">
        <v>287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 x14ac:dyDescent="0.15">
      <c r="A98">
        <v>97</v>
      </c>
      <c r="B98" s="188" t="s">
        <v>288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 x14ac:dyDescent="0.15">
      <c r="A99">
        <v>98</v>
      </c>
      <c r="B99" s="188" t="s">
        <v>289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 x14ac:dyDescent="0.15">
      <c r="A100">
        <v>99</v>
      </c>
      <c r="B100" s="188" t="s">
        <v>290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1.5" bestFit="1" customWidth="1"/>
    <col min="6" max="6" width="4.83203125" bestFit="1" customWidth="1"/>
    <col min="7" max="9" width="3.83203125" bestFit="1" customWidth="1"/>
    <col min="10" max="11" width="4.83203125" style="116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8" customFormat="1" ht="14" thickBot="1" x14ac:dyDescent="0.2">
      <c r="D1" s="119" t="s">
        <v>8</v>
      </c>
      <c r="E1" s="119" t="s">
        <v>0</v>
      </c>
      <c r="F1" s="120" t="s">
        <v>99</v>
      </c>
      <c r="G1" s="121" t="s">
        <v>84</v>
      </c>
      <c r="H1" s="121" t="s">
        <v>85</v>
      </c>
      <c r="I1" s="121" t="s">
        <v>86</v>
      </c>
      <c r="J1" s="121" t="s">
        <v>87</v>
      </c>
      <c r="K1" s="121" t="s">
        <v>88</v>
      </c>
      <c r="L1" s="122" t="s">
        <v>89</v>
      </c>
      <c r="M1" s="122" t="s">
        <v>93</v>
      </c>
      <c r="N1" s="122" t="s">
        <v>92</v>
      </c>
      <c r="O1" s="122" t="s">
        <v>90</v>
      </c>
      <c r="P1" s="122" t="s">
        <v>91</v>
      </c>
      <c r="Q1" s="123" t="s">
        <v>94</v>
      </c>
      <c r="R1" s="123" t="s">
        <v>95</v>
      </c>
      <c r="S1" s="123" t="s">
        <v>96</v>
      </c>
      <c r="T1" s="123" t="s">
        <v>97</v>
      </c>
      <c r="U1" s="123" t="s">
        <v>98</v>
      </c>
      <c r="V1" s="121" t="s">
        <v>100</v>
      </c>
      <c r="W1" s="121" t="s">
        <v>101</v>
      </c>
      <c r="X1" s="121" t="s">
        <v>102</v>
      </c>
      <c r="Y1" s="121" t="s">
        <v>134</v>
      </c>
      <c r="Z1" s="122" t="s">
        <v>103</v>
      </c>
      <c r="AA1" s="122" t="s">
        <v>104</v>
      </c>
      <c r="AB1" s="122" t="s">
        <v>105</v>
      </c>
      <c r="AC1" s="124" t="s">
        <v>135</v>
      </c>
      <c r="AD1" s="123" t="s">
        <v>106</v>
      </c>
      <c r="AE1" s="123" t="s">
        <v>107</v>
      </c>
      <c r="AF1" s="123" t="s">
        <v>108</v>
      </c>
      <c r="AG1" s="123" t="s">
        <v>136</v>
      </c>
      <c r="AH1" s="121" t="s">
        <v>109</v>
      </c>
      <c r="AI1" s="121" t="s">
        <v>111</v>
      </c>
      <c r="AJ1" s="121" t="s">
        <v>110</v>
      </c>
      <c r="AK1" s="122" t="s">
        <v>115</v>
      </c>
      <c r="AL1" s="122" t="s">
        <v>116</v>
      </c>
      <c r="AM1" s="122" t="s">
        <v>117</v>
      </c>
      <c r="AN1" s="123" t="s">
        <v>112</v>
      </c>
      <c r="AO1" s="123" t="s">
        <v>113</v>
      </c>
      <c r="AP1" s="123" t="s">
        <v>114</v>
      </c>
    </row>
    <row r="2" spans="1:42" x14ac:dyDescent="0.15">
      <c r="A2" s="125" t="s">
        <v>74</v>
      </c>
      <c r="B2" s="126">
        <v>1</v>
      </c>
      <c r="D2">
        <v>1</v>
      </c>
      <c r="E2" s="190" t="s">
        <v>192</v>
      </c>
      <c r="F2">
        <v>0.98</v>
      </c>
      <c r="G2">
        <v>0.8</v>
      </c>
      <c r="H2">
        <v>0.8</v>
      </c>
      <c r="I2">
        <v>0.8</v>
      </c>
      <c r="J2" s="116">
        <v>0.25</v>
      </c>
      <c r="K2" s="116">
        <v>0.05</v>
      </c>
    </row>
    <row r="3" spans="1:42" x14ac:dyDescent="0.15">
      <c r="A3" s="125" t="s">
        <v>75</v>
      </c>
      <c r="B3" s="127">
        <v>1</v>
      </c>
      <c r="D3">
        <v>2</v>
      </c>
      <c r="E3" s="190" t="s">
        <v>193</v>
      </c>
      <c r="F3">
        <v>0.98</v>
      </c>
      <c r="G3">
        <v>0.8</v>
      </c>
      <c r="H3">
        <v>0.8</v>
      </c>
      <c r="I3">
        <v>0.8</v>
      </c>
      <c r="J3" s="116">
        <v>0.25</v>
      </c>
      <c r="K3" s="116">
        <v>0.05</v>
      </c>
    </row>
    <row r="4" spans="1:42" x14ac:dyDescent="0.15">
      <c r="A4" s="125" t="s">
        <v>76</v>
      </c>
      <c r="B4" s="127">
        <v>1</v>
      </c>
      <c r="D4">
        <v>3</v>
      </c>
      <c r="E4" s="190" t="s">
        <v>194</v>
      </c>
      <c r="F4">
        <v>0.98</v>
      </c>
      <c r="G4">
        <v>0.8</v>
      </c>
      <c r="H4">
        <v>0.8</v>
      </c>
      <c r="I4">
        <v>0.8</v>
      </c>
      <c r="J4" s="116">
        <v>0.25</v>
      </c>
      <c r="K4" s="116">
        <v>0.05</v>
      </c>
    </row>
    <row r="5" spans="1:42" x14ac:dyDescent="0.15">
      <c r="A5" s="125" t="s">
        <v>77</v>
      </c>
      <c r="B5" s="127">
        <v>1</v>
      </c>
      <c r="D5">
        <v>4</v>
      </c>
      <c r="E5" s="190" t="s">
        <v>195</v>
      </c>
      <c r="F5">
        <v>0.98</v>
      </c>
      <c r="G5">
        <v>0.8</v>
      </c>
      <c r="H5">
        <v>0.8</v>
      </c>
      <c r="I5">
        <v>0.8</v>
      </c>
      <c r="J5" s="116">
        <v>0.25</v>
      </c>
      <c r="K5" s="116">
        <v>0.05</v>
      </c>
    </row>
    <row r="6" spans="1:42" x14ac:dyDescent="0.15">
      <c r="A6" s="125" t="s">
        <v>78</v>
      </c>
      <c r="B6" s="127">
        <v>1</v>
      </c>
      <c r="D6">
        <v>5</v>
      </c>
      <c r="E6" s="190" t="s">
        <v>196</v>
      </c>
      <c r="F6">
        <v>0.98</v>
      </c>
      <c r="G6">
        <v>0.8</v>
      </c>
      <c r="H6">
        <v>0.8</v>
      </c>
      <c r="I6">
        <v>0.8</v>
      </c>
      <c r="J6" s="116">
        <v>0.25</v>
      </c>
      <c r="K6" s="116">
        <v>0.05</v>
      </c>
    </row>
    <row r="7" spans="1:42" x14ac:dyDescent="0.15">
      <c r="A7" s="125" t="s">
        <v>79</v>
      </c>
      <c r="B7" s="127">
        <v>1</v>
      </c>
      <c r="D7">
        <v>6</v>
      </c>
      <c r="E7" s="190" t="s">
        <v>197</v>
      </c>
      <c r="F7">
        <v>0.98</v>
      </c>
      <c r="G7">
        <v>0.8</v>
      </c>
      <c r="H7">
        <v>0.8</v>
      </c>
      <c r="I7">
        <v>0.8</v>
      </c>
      <c r="J7" s="116">
        <v>0.25</v>
      </c>
      <c r="K7" s="116">
        <v>0.05</v>
      </c>
    </row>
    <row r="8" spans="1:42" x14ac:dyDescent="0.15">
      <c r="A8" s="125" t="s">
        <v>80</v>
      </c>
      <c r="B8" s="127">
        <v>1</v>
      </c>
      <c r="D8">
        <v>7</v>
      </c>
      <c r="E8" s="190" t="s">
        <v>198</v>
      </c>
      <c r="F8">
        <v>0.98</v>
      </c>
      <c r="G8">
        <v>0.8</v>
      </c>
      <c r="H8">
        <v>0.8</v>
      </c>
      <c r="I8">
        <v>0.8</v>
      </c>
      <c r="J8" s="116">
        <v>0.25</v>
      </c>
      <c r="K8" s="116">
        <v>0.05</v>
      </c>
    </row>
    <row r="9" spans="1:42" x14ac:dyDescent="0.15">
      <c r="A9" s="125" t="s">
        <v>81</v>
      </c>
      <c r="B9" s="127">
        <v>0.1</v>
      </c>
      <c r="C9" s="61" t="s">
        <v>150</v>
      </c>
      <c r="D9">
        <v>8</v>
      </c>
      <c r="E9" s="190" t="s">
        <v>199</v>
      </c>
      <c r="F9">
        <v>0.98</v>
      </c>
      <c r="G9">
        <v>0.8</v>
      </c>
      <c r="H9">
        <v>0.8</v>
      </c>
      <c r="I9">
        <v>0.8</v>
      </c>
      <c r="J9" s="116">
        <v>0.25</v>
      </c>
      <c r="K9" s="116">
        <v>0.05</v>
      </c>
    </row>
    <row r="10" spans="1:42" ht="14" thickBot="1" x14ac:dyDescent="0.2">
      <c r="A10" s="125" t="s">
        <v>149</v>
      </c>
      <c r="B10" s="128">
        <f>1/3</f>
        <v>0.33333333333333331</v>
      </c>
      <c r="C10" s="61" t="s">
        <v>150</v>
      </c>
      <c r="D10">
        <v>9</v>
      </c>
      <c r="E10" s="190" t="s">
        <v>200</v>
      </c>
      <c r="F10">
        <v>0.98</v>
      </c>
      <c r="G10">
        <v>0.8</v>
      </c>
      <c r="H10">
        <v>0.8</v>
      </c>
      <c r="I10">
        <v>0.8</v>
      </c>
      <c r="J10" s="116">
        <v>0.25</v>
      </c>
      <c r="K10" s="116">
        <v>0.05</v>
      </c>
    </row>
    <row r="11" spans="1:42" x14ac:dyDescent="0.15">
      <c r="D11">
        <v>10</v>
      </c>
      <c r="E11" s="190" t="s">
        <v>201</v>
      </c>
      <c r="F11">
        <v>0.98</v>
      </c>
      <c r="G11">
        <v>0.8</v>
      </c>
      <c r="H11">
        <v>0.8</v>
      </c>
      <c r="I11">
        <v>0.8</v>
      </c>
      <c r="J11" s="116">
        <v>0.25</v>
      </c>
      <c r="K11" s="116">
        <v>0.05</v>
      </c>
    </row>
    <row r="12" spans="1:42" x14ac:dyDescent="0.15">
      <c r="D12">
        <v>11</v>
      </c>
      <c r="E12" s="190" t="s">
        <v>202</v>
      </c>
      <c r="F12">
        <v>0.98</v>
      </c>
      <c r="G12">
        <v>0.8</v>
      </c>
      <c r="H12">
        <v>0.8</v>
      </c>
      <c r="I12">
        <v>0.8</v>
      </c>
      <c r="J12" s="116">
        <v>0.25</v>
      </c>
      <c r="K12" s="116">
        <v>0.05</v>
      </c>
    </row>
    <row r="13" spans="1:42" x14ac:dyDescent="0.15">
      <c r="D13">
        <v>12</v>
      </c>
      <c r="E13" s="190" t="s">
        <v>203</v>
      </c>
      <c r="F13">
        <v>0.98</v>
      </c>
      <c r="G13">
        <v>0.8</v>
      </c>
      <c r="H13">
        <v>0.8</v>
      </c>
      <c r="I13">
        <v>0.8</v>
      </c>
      <c r="J13" s="116">
        <v>0.25</v>
      </c>
      <c r="K13" s="116">
        <v>0.05</v>
      </c>
    </row>
    <row r="14" spans="1:42" x14ac:dyDescent="0.15">
      <c r="D14">
        <v>13</v>
      </c>
      <c r="E14" s="190" t="s">
        <v>204</v>
      </c>
      <c r="F14">
        <v>0.98</v>
      </c>
      <c r="G14">
        <v>0.8</v>
      </c>
      <c r="H14">
        <v>0.8</v>
      </c>
      <c r="I14">
        <v>0.8</v>
      </c>
      <c r="J14" s="116">
        <v>0.25</v>
      </c>
      <c r="K14" s="116">
        <v>0.05</v>
      </c>
    </row>
    <row r="15" spans="1:42" x14ac:dyDescent="0.15">
      <c r="D15">
        <v>14</v>
      </c>
      <c r="E15" s="190" t="s">
        <v>205</v>
      </c>
      <c r="F15">
        <v>0.98</v>
      </c>
      <c r="G15">
        <v>0.8</v>
      </c>
      <c r="H15">
        <v>0.8</v>
      </c>
      <c r="I15">
        <v>0.8</v>
      </c>
      <c r="J15" s="116">
        <v>0.25</v>
      </c>
      <c r="K15" s="116">
        <v>0.05</v>
      </c>
    </row>
    <row r="16" spans="1:42" x14ac:dyDescent="0.15">
      <c r="D16">
        <v>15</v>
      </c>
      <c r="E16" s="190" t="s">
        <v>206</v>
      </c>
      <c r="F16">
        <v>0.98</v>
      </c>
      <c r="G16">
        <v>0.8</v>
      </c>
      <c r="H16">
        <v>0.8</v>
      </c>
      <c r="I16">
        <v>0.8</v>
      </c>
      <c r="J16" s="116">
        <v>0.25</v>
      </c>
      <c r="K16" s="116">
        <v>0.05</v>
      </c>
    </row>
    <row r="17" spans="4:33" ht="15" customHeight="1" x14ac:dyDescent="0.15">
      <c r="D17">
        <v>16</v>
      </c>
      <c r="E17" s="190" t="s">
        <v>207</v>
      </c>
      <c r="F17">
        <v>0.98</v>
      </c>
      <c r="G17">
        <v>0.8</v>
      </c>
      <c r="H17">
        <v>0.8</v>
      </c>
      <c r="I17">
        <v>0.8</v>
      </c>
      <c r="J17" s="116">
        <v>0.25</v>
      </c>
      <c r="K17" s="116">
        <v>0.05</v>
      </c>
    </row>
    <row r="18" spans="4:33" ht="15" customHeight="1" x14ac:dyDescent="0.15">
      <c r="D18">
        <v>17</v>
      </c>
      <c r="E18" s="190" t="s">
        <v>208</v>
      </c>
      <c r="F18">
        <v>0.98</v>
      </c>
      <c r="G18">
        <v>0.8</v>
      </c>
      <c r="H18">
        <v>0.8</v>
      </c>
      <c r="I18">
        <v>0.8</v>
      </c>
      <c r="J18" s="116">
        <v>0.25</v>
      </c>
      <c r="K18" s="116">
        <v>0.05</v>
      </c>
    </row>
    <row r="19" spans="4:33" ht="15" customHeight="1" x14ac:dyDescent="0.15">
      <c r="D19">
        <v>18</v>
      </c>
      <c r="E19" s="190" t="s">
        <v>209</v>
      </c>
      <c r="F19">
        <v>0.98</v>
      </c>
      <c r="G19">
        <v>0.8</v>
      </c>
      <c r="H19">
        <v>0.8</v>
      </c>
      <c r="I19">
        <v>0.8</v>
      </c>
      <c r="J19" s="116">
        <v>0.25</v>
      </c>
      <c r="K19" s="116">
        <v>0.05</v>
      </c>
    </row>
    <row r="20" spans="4:33" ht="15" customHeight="1" x14ac:dyDescent="0.15">
      <c r="D20">
        <v>19</v>
      </c>
      <c r="E20" s="190" t="s">
        <v>210</v>
      </c>
      <c r="F20">
        <v>0.98</v>
      </c>
      <c r="G20">
        <v>0.8</v>
      </c>
      <c r="H20">
        <v>0.8</v>
      </c>
      <c r="I20">
        <v>0.8</v>
      </c>
      <c r="J20" s="116">
        <v>0.25</v>
      </c>
      <c r="K20" s="116">
        <v>0.05</v>
      </c>
    </row>
    <row r="21" spans="4:33" ht="15" customHeight="1" x14ac:dyDescent="0.15">
      <c r="D21">
        <v>20</v>
      </c>
      <c r="E21" s="190" t="s">
        <v>211</v>
      </c>
      <c r="F21">
        <v>0.98</v>
      </c>
      <c r="G21">
        <v>0.8</v>
      </c>
      <c r="H21">
        <v>0.8</v>
      </c>
      <c r="I21">
        <v>0.8</v>
      </c>
      <c r="J21" s="116">
        <v>0.25</v>
      </c>
      <c r="K21" s="116">
        <v>0.05</v>
      </c>
    </row>
    <row r="22" spans="4:33" ht="15" customHeight="1" x14ac:dyDescent="0.15">
      <c r="D22">
        <v>21</v>
      </c>
      <c r="E22" s="190" t="s">
        <v>212</v>
      </c>
      <c r="F22">
        <v>0.98</v>
      </c>
      <c r="G22">
        <v>0.8</v>
      </c>
      <c r="H22">
        <v>0.8</v>
      </c>
      <c r="I22">
        <v>0.8</v>
      </c>
      <c r="J22" s="116">
        <v>0.25</v>
      </c>
      <c r="K22" s="116">
        <v>0.05</v>
      </c>
    </row>
    <row r="23" spans="4:33" ht="15" customHeight="1" x14ac:dyDescent="0.15">
      <c r="D23">
        <v>22</v>
      </c>
      <c r="E23" s="190" t="s">
        <v>213</v>
      </c>
      <c r="F23">
        <v>0.98</v>
      </c>
      <c r="G23">
        <v>0.8</v>
      </c>
      <c r="H23">
        <v>0.8</v>
      </c>
      <c r="I23">
        <v>0.8</v>
      </c>
      <c r="J23" s="116">
        <v>0.25</v>
      </c>
      <c r="K23" s="116">
        <v>0.05</v>
      </c>
    </row>
    <row r="24" spans="4:33" ht="15" customHeight="1" x14ac:dyDescent="0.15">
      <c r="D24">
        <v>23</v>
      </c>
      <c r="E24" s="190" t="s">
        <v>214</v>
      </c>
      <c r="F24">
        <v>0.98</v>
      </c>
      <c r="G24">
        <v>0.8</v>
      </c>
      <c r="H24">
        <v>0.8</v>
      </c>
      <c r="I24">
        <v>0.8</v>
      </c>
      <c r="J24" s="116">
        <v>0.25</v>
      </c>
      <c r="K24" s="116">
        <v>0.05</v>
      </c>
    </row>
    <row r="25" spans="4:33" ht="15" customHeight="1" x14ac:dyDescent="0.15">
      <c r="D25">
        <v>24</v>
      </c>
      <c r="E25" s="190" t="s">
        <v>215</v>
      </c>
      <c r="F25">
        <v>0.98</v>
      </c>
      <c r="G25">
        <v>0.8</v>
      </c>
      <c r="H25">
        <v>0.8</v>
      </c>
      <c r="I25">
        <v>0.8</v>
      </c>
      <c r="J25" s="116">
        <v>0.25</v>
      </c>
      <c r="K25" s="116">
        <v>0.05</v>
      </c>
    </row>
    <row r="26" spans="4:33" ht="15" customHeight="1" x14ac:dyDescent="0.15">
      <c r="D26">
        <v>25</v>
      </c>
      <c r="E26" s="190" t="s">
        <v>216</v>
      </c>
      <c r="F26">
        <v>0.98</v>
      </c>
      <c r="G26">
        <v>0.8</v>
      </c>
      <c r="H26">
        <v>0.8</v>
      </c>
      <c r="I26">
        <v>0.8</v>
      </c>
      <c r="J26" s="116">
        <v>0.25</v>
      </c>
      <c r="K26" s="116">
        <v>0.05</v>
      </c>
    </row>
    <row r="27" spans="4:33" ht="15" customHeight="1" x14ac:dyDescent="0.15">
      <c r="D27">
        <v>26</v>
      </c>
      <c r="E27" s="190" t="s">
        <v>217</v>
      </c>
      <c r="F27">
        <v>0.98</v>
      </c>
      <c r="G27">
        <v>0.8</v>
      </c>
      <c r="H27">
        <v>0.8</v>
      </c>
      <c r="I27">
        <v>0.8</v>
      </c>
      <c r="J27" s="116">
        <v>0.25</v>
      </c>
      <c r="K27" s="116">
        <v>0.05</v>
      </c>
    </row>
    <row r="28" spans="4:33" ht="15" customHeight="1" x14ac:dyDescent="0.15">
      <c r="D28">
        <v>27</v>
      </c>
      <c r="E28" s="190" t="s">
        <v>218</v>
      </c>
      <c r="F28">
        <v>0.98</v>
      </c>
      <c r="G28">
        <v>0.8</v>
      </c>
      <c r="H28">
        <v>0.8</v>
      </c>
      <c r="I28">
        <v>0.8</v>
      </c>
      <c r="J28" s="116">
        <v>0.25</v>
      </c>
      <c r="K28" s="116">
        <v>0.05</v>
      </c>
    </row>
    <row r="29" spans="4:33" ht="15" customHeight="1" x14ac:dyDescent="0.15">
      <c r="D29">
        <v>28</v>
      </c>
      <c r="E29" s="190" t="s">
        <v>219</v>
      </c>
      <c r="F29">
        <v>0.98</v>
      </c>
      <c r="G29">
        <v>0.8</v>
      </c>
      <c r="H29">
        <v>0.8</v>
      </c>
      <c r="I29">
        <v>0.8</v>
      </c>
      <c r="J29" s="116">
        <v>0.25</v>
      </c>
      <c r="K29" s="116">
        <v>0.05</v>
      </c>
      <c r="Y29"/>
      <c r="AC29"/>
      <c r="AG29"/>
    </row>
    <row r="30" spans="4:33" ht="15" customHeight="1" x14ac:dyDescent="0.15">
      <c r="D30">
        <v>29</v>
      </c>
      <c r="E30" s="190" t="s">
        <v>220</v>
      </c>
      <c r="F30">
        <v>0.98</v>
      </c>
      <c r="G30">
        <v>0.8</v>
      </c>
      <c r="H30">
        <v>0.8</v>
      </c>
      <c r="I30">
        <v>0.8</v>
      </c>
      <c r="J30" s="116">
        <v>0.25</v>
      </c>
      <c r="K30" s="116">
        <v>0.05</v>
      </c>
      <c r="Y30"/>
      <c r="AC30"/>
      <c r="AG30"/>
    </row>
    <row r="31" spans="4:33" ht="15" customHeight="1" x14ac:dyDescent="0.15">
      <c r="D31">
        <v>30</v>
      </c>
      <c r="E31" s="190" t="s">
        <v>221</v>
      </c>
      <c r="F31">
        <v>0.98</v>
      </c>
      <c r="G31">
        <v>0.8</v>
      </c>
      <c r="H31">
        <v>0.8</v>
      </c>
      <c r="I31">
        <v>0.8</v>
      </c>
      <c r="J31" s="116">
        <v>0.25</v>
      </c>
      <c r="K31" s="116">
        <v>0.05</v>
      </c>
      <c r="Y31"/>
      <c r="AC31"/>
      <c r="AG31"/>
    </row>
    <row r="32" spans="4:33" ht="15" customHeight="1" x14ac:dyDescent="0.15">
      <c r="D32">
        <v>31</v>
      </c>
      <c r="E32" s="190" t="s">
        <v>222</v>
      </c>
      <c r="F32">
        <v>0.98</v>
      </c>
      <c r="G32">
        <v>0.8</v>
      </c>
      <c r="H32">
        <v>0.8</v>
      </c>
      <c r="I32">
        <v>0.8</v>
      </c>
      <c r="J32" s="116">
        <v>0.25</v>
      </c>
      <c r="K32" s="116">
        <v>0.05</v>
      </c>
      <c r="Y32"/>
      <c r="AC32"/>
      <c r="AG32"/>
    </row>
    <row r="33" spans="4:33" ht="15" customHeight="1" x14ac:dyDescent="0.15">
      <c r="D33">
        <v>32</v>
      </c>
      <c r="E33" s="190" t="s">
        <v>223</v>
      </c>
      <c r="F33">
        <v>0.98</v>
      </c>
      <c r="G33">
        <v>0.8</v>
      </c>
      <c r="H33">
        <v>0.8</v>
      </c>
      <c r="I33">
        <v>0.8</v>
      </c>
      <c r="J33" s="116">
        <v>0.25</v>
      </c>
      <c r="K33" s="116">
        <v>0.05</v>
      </c>
      <c r="Y33"/>
      <c r="AC33"/>
      <c r="AG33"/>
    </row>
    <row r="34" spans="4:33" ht="15" customHeight="1" x14ac:dyDescent="0.15">
      <c r="D34">
        <v>33</v>
      </c>
      <c r="E34" s="190" t="s">
        <v>224</v>
      </c>
      <c r="F34">
        <v>0.98</v>
      </c>
      <c r="G34">
        <v>0.8</v>
      </c>
      <c r="H34">
        <v>0.8</v>
      </c>
      <c r="I34">
        <v>0.8</v>
      </c>
      <c r="J34" s="116">
        <v>0.25</v>
      </c>
      <c r="K34" s="116">
        <v>0.05</v>
      </c>
      <c r="Y34"/>
      <c r="AC34"/>
      <c r="AG34"/>
    </row>
    <row r="35" spans="4:33" ht="15" customHeight="1" x14ac:dyDescent="0.15">
      <c r="D35">
        <v>34</v>
      </c>
      <c r="E35" s="190" t="s">
        <v>225</v>
      </c>
      <c r="F35">
        <v>0.98</v>
      </c>
      <c r="G35">
        <v>0.8</v>
      </c>
      <c r="H35">
        <v>0.8</v>
      </c>
      <c r="I35">
        <v>0.8</v>
      </c>
      <c r="J35" s="116">
        <v>0.25</v>
      </c>
      <c r="K35" s="116">
        <v>0.05</v>
      </c>
      <c r="Y35"/>
      <c r="AC35"/>
      <c r="AG35"/>
    </row>
    <row r="36" spans="4:33" ht="15" customHeight="1" x14ac:dyDescent="0.15">
      <c r="D36">
        <v>35</v>
      </c>
      <c r="E36" s="190" t="s">
        <v>226</v>
      </c>
      <c r="F36">
        <v>0.98</v>
      </c>
      <c r="G36">
        <v>0.8</v>
      </c>
      <c r="H36">
        <v>0.8</v>
      </c>
      <c r="I36">
        <v>0.8</v>
      </c>
      <c r="J36" s="116">
        <v>0.25</v>
      </c>
      <c r="K36" s="116">
        <v>0.05</v>
      </c>
      <c r="Y36"/>
      <c r="AC36"/>
      <c r="AG36"/>
    </row>
    <row r="37" spans="4:33" ht="15" customHeight="1" x14ac:dyDescent="0.15">
      <c r="D37">
        <v>36</v>
      </c>
      <c r="E37" s="190" t="s">
        <v>227</v>
      </c>
      <c r="F37">
        <v>0.98</v>
      </c>
      <c r="G37">
        <v>0.8</v>
      </c>
      <c r="H37">
        <v>0.8</v>
      </c>
      <c r="I37">
        <v>0.8</v>
      </c>
      <c r="J37" s="116">
        <v>0.25</v>
      </c>
      <c r="K37" s="116">
        <v>0.05</v>
      </c>
      <c r="Y37"/>
      <c r="AC37"/>
      <c r="AG37"/>
    </row>
    <row r="38" spans="4:33" ht="15" customHeight="1" x14ac:dyDescent="0.15">
      <c r="D38">
        <v>37</v>
      </c>
      <c r="E38" s="190" t="s">
        <v>228</v>
      </c>
      <c r="F38">
        <v>0.98</v>
      </c>
      <c r="G38">
        <v>0.8</v>
      </c>
      <c r="H38">
        <v>0.8</v>
      </c>
      <c r="I38">
        <v>0.8</v>
      </c>
      <c r="J38" s="116">
        <v>0.25</v>
      </c>
      <c r="K38" s="116">
        <v>0.05</v>
      </c>
      <c r="Y38"/>
      <c r="AC38"/>
      <c r="AG38"/>
    </row>
    <row r="39" spans="4:33" ht="15" customHeight="1" x14ac:dyDescent="0.15">
      <c r="D39">
        <v>38</v>
      </c>
      <c r="E39" s="190" t="s">
        <v>229</v>
      </c>
      <c r="F39">
        <v>0.98</v>
      </c>
      <c r="G39">
        <v>0.8</v>
      </c>
      <c r="H39">
        <v>0.8</v>
      </c>
      <c r="I39">
        <v>0.8</v>
      </c>
      <c r="J39" s="116">
        <v>0.25</v>
      </c>
      <c r="K39" s="116">
        <v>0.05</v>
      </c>
    </row>
    <row r="40" spans="4:33" ht="15" customHeight="1" x14ac:dyDescent="0.15">
      <c r="D40">
        <v>39</v>
      </c>
      <c r="E40" s="190" t="s">
        <v>230</v>
      </c>
      <c r="F40">
        <v>0.98</v>
      </c>
      <c r="G40">
        <v>0.8</v>
      </c>
      <c r="H40">
        <v>0.8</v>
      </c>
      <c r="I40">
        <v>0.8</v>
      </c>
      <c r="J40" s="116">
        <v>0.25</v>
      </c>
      <c r="K40" s="116">
        <v>0.05</v>
      </c>
      <c r="Y40"/>
      <c r="AC40"/>
      <c r="AG40"/>
    </row>
    <row r="41" spans="4:33" ht="15" customHeight="1" x14ac:dyDescent="0.15">
      <c r="D41">
        <v>40</v>
      </c>
      <c r="E41" s="190" t="s">
        <v>231</v>
      </c>
      <c r="F41">
        <v>0.98</v>
      </c>
      <c r="G41">
        <v>0.8</v>
      </c>
      <c r="H41">
        <v>0.8</v>
      </c>
      <c r="I41">
        <v>0.8</v>
      </c>
      <c r="J41" s="116">
        <v>0.25</v>
      </c>
      <c r="K41" s="116">
        <v>0.05</v>
      </c>
      <c r="Y41"/>
      <c r="AC41"/>
      <c r="AG41"/>
    </row>
    <row r="42" spans="4:33" ht="15" customHeight="1" x14ac:dyDescent="0.15">
      <c r="D42">
        <v>41</v>
      </c>
      <c r="E42" s="190" t="s">
        <v>232</v>
      </c>
      <c r="F42">
        <v>0.98</v>
      </c>
      <c r="G42">
        <v>0.8</v>
      </c>
      <c r="H42">
        <v>0.8</v>
      </c>
      <c r="I42">
        <v>0.8</v>
      </c>
      <c r="J42" s="116">
        <v>0.25</v>
      </c>
      <c r="K42" s="116">
        <v>0.05</v>
      </c>
      <c r="Y42"/>
      <c r="AC42"/>
      <c r="AG42"/>
    </row>
    <row r="43" spans="4:33" ht="15" customHeight="1" x14ac:dyDescent="0.15">
      <c r="D43">
        <v>42</v>
      </c>
      <c r="E43" s="190" t="s">
        <v>233</v>
      </c>
      <c r="F43">
        <v>0.98</v>
      </c>
      <c r="G43">
        <v>0.8</v>
      </c>
      <c r="H43">
        <v>0.8</v>
      </c>
      <c r="I43">
        <v>0.8</v>
      </c>
      <c r="J43" s="116">
        <v>0.25</v>
      </c>
      <c r="K43" s="116">
        <v>0.05</v>
      </c>
      <c r="Y43"/>
      <c r="AC43"/>
      <c r="AG43"/>
    </row>
    <row r="44" spans="4:33" ht="15" customHeight="1" x14ac:dyDescent="0.15">
      <c r="D44">
        <v>43</v>
      </c>
      <c r="E44" s="190" t="s">
        <v>234</v>
      </c>
      <c r="F44">
        <v>0.98</v>
      </c>
      <c r="G44">
        <v>0.8</v>
      </c>
      <c r="H44">
        <v>0.8</v>
      </c>
      <c r="I44">
        <v>0.8</v>
      </c>
      <c r="J44" s="116">
        <v>0.25</v>
      </c>
      <c r="K44" s="116">
        <v>0.05</v>
      </c>
      <c r="Y44"/>
      <c r="AC44"/>
      <c r="AG44"/>
    </row>
    <row r="45" spans="4:33" ht="15" customHeight="1" x14ac:dyDescent="0.15">
      <c r="D45">
        <v>44</v>
      </c>
      <c r="E45" s="190" t="s">
        <v>235</v>
      </c>
      <c r="F45">
        <v>0.98</v>
      </c>
      <c r="G45">
        <v>0.8</v>
      </c>
      <c r="H45">
        <v>0.8</v>
      </c>
      <c r="I45">
        <v>0.8</v>
      </c>
      <c r="J45" s="116">
        <v>0.25</v>
      </c>
      <c r="K45" s="116">
        <v>0.05</v>
      </c>
      <c r="Y45"/>
      <c r="AC45"/>
      <c r="AG45"/>
    </row>
    <row r="46" spans="4:33" ht="15" customHeight="1" x14ac:dyDescent="0.15">
      <c r="D46">
        <v>45</v>
      </c>
      <c r="E46" s="190" t="s">
        <v>236</v>
      </c>
      <c r="F46">
        <v>0.98</v>
      </c>
      <c r="G46">
        <v>0.8</v>
      </c>
      <c r="H46">
        <v>0.8</v>
      </c>
      <c r="I46">
        <v>0.8</v>
      </c>
      <c r="J46" s="116">
        <v>0.25</v>
      </c>
      <c r="K46" s="116">
        <v>0.05</v>
      </c>
      <c r="Y46"/>
      <c r="AC46"/>
      <c r="AG46"/>
    </row>
    <row r="47" spans="4:33" ht="15" customHeight="1" x14ac:dyDescent="0.15">
      <c r="D47">
        <v>46</v>
      </c>
      <c r="E47" s="190" t="s">
        <v>237</v>
      </c>
      <c r="F47">
        <v>0.98</v>
      </c>
      <c r="G47">
        <v>0.8</v>
      </c>
      <c r="H47">
        <v>0.8</v>
      </c>
      <c r="I47">
        <v>0.8</v>
      </c>
      <c r="J47" s="116">
        <v>0.25</v>
      </c>
      <c r="K47" s="116">
        <v>0.05</v>
      </c>
      <c r="Y47"/>
      <c r="AC47"/>
      <c r="AG47"/>
    </row>
    <row r="48" spans="4:33" ht="15" customHeight="1" x14ac:dyDescent="0.15">
      <c r="D48">
        <v>47</v>
      </c>
      <c r="E48" s="190" t="s">
        <v>238</v>
      </c>
      <c r="F48">
        <v>0.98</v>
      </c>
      <c r="G48">
        <v>0.8</v>
      </c>
      <c r="H48">
        <v>0.8</v>
      </c>
      <c r="I48">
        <v>0.8</v>
      </c>
      <c r="J48" s="116">
        <v>0.25</v>
      </c>
      <c r="K48" s="116">
        <v>0.05</v>
      </c>
      <c r="Y48"/>
      <c r="AC48"/>
      <c r="AG48"/>
    </row>
    <row r="49" spans="4:33" ht="15" customHeight="1" x14ac:dyDescent="0.15">
      <c r="D49">
        <v>48</v>
      </c>
      <c r="E49" s="190" t="s">
        <v>239</v>
      </c>
      <c r="F49">
        <v>0.98</v>
      </c>
      <c r="G49">
        <v>0.8</v>
      </c>
      <c r="H49">
        <v>0.8</v>
      </c>
      <c r="I49">
        <v>0.8</v>
      </c>
      <c r="J49" s="116">
        <v>0.25</v>
      </c>
      <c r="K49" s="116">
        <v>0.05</v>
      </c>
      <c r="Y49"/>
      <c r="AC49"/>
      <c r="AG49"/>
    </row>
    <row r="50" spans="4:33" ht="15" customHeight="1" x14ac:dyDescent="0.15">
      <c r="D50">
        <v>49</v>
      </c>
      <c r="E50" s="190" t="s">
        <v>240</v>
      </c>
      <c r="F50">
        <v>0.98</v>
      </c>
      <c r="G50">
        <v>0.8</v>
      </c>
      <c r="H50">
        <v>0.8</v>
      </c>
      <c r="I50">
        <v>0.8</v>
      </c>
      <c r="J50" s="116">
        <v>0.25</v>
      </c>
      <c r="K50" s="116">
        <v>0.05</v>
      </c>
      <c r="Y50"/>
      <c r="AC50"/>
      <c r="AG50"/>
    </row>
    <row r="51" spans="4:33" ht="15" customHeight="1" x14ac:dyDescent="0.15">
      <c r="D51">
        <v>50</v>
      </c>
      <c r="E51" s="190" t="s">
        <v>241</v>
      </c>
      <c r="F51">
        <v>0.98</v>
      </c>
      <c r="G51">
        <v>0.8</v>
      </c>
      <c r="H51">
        <v>0.8</v>
      </c>
      <c r="I51">
        <v>0.8</v>
      </c>
      <c r="J51" s="116">
        <v>0.25</v>
      </c>
      <c r="K51" s="116">
        <v>0.05</v>
      </c>
      <c r="Y51"/>
      <c r="AC51"/>
      <c r="AG51"/>
    </row>
    <row r="52" spans="4:33" ht="15" customHeight="1" x14ac:dyDescent="0.15">
      <c r="D52">
        <v>51</v>
      </c>
      <c r="E52" s="190" t="s">
        <v>242</v>
      </c>
      <c r="F52">
        <v>0.98</v>
      </c>
      <c r="G52">
        <v>0.8</v>
      </c>
      <c r="H52">
        <v>0.8</v>
      </c>
      <c r="I52">
        <v>0.8</v>
      </c>
      <c r="J52" s="116">
        <v>0.25</v>
      </c>
      <c r="K52" s="116">
        <v>0.05</v>
      </c>
      <c r="Y52"/>
      <c r="AC52"/>
      <c r="AG52"/>
    </row>
    <row r="53" spans="4:33" ht="15" customHeight="1" x14ac:dyDescent="0.15">
      <c r="D53">
        <v>52</v>
      </c>
      <c r="E53" s="190" t="s">
        <v>243</v>
      </c>
      <c r="F53">
        <v>0.98</v>
      </c>
      <c r="G53">
        <v>0.8</v>
      </c>
      <c r="H53">
        <v>0.8</v>
      </c>
      <c r="I53">
        <v>0.8</v>
      </c>
      <c r="J53" s="116">
        <v>0.25</v>
      </c>
      <c r="K53" s="116">
        <v>0.05</v>
      </c>
      <c r="Y53"/>
      <c r="AC53"/>
      <c r="AG53"/>
    </row>
    <row r="54" spans="4:33" ht="15" customHeight="1" x14ac:dyDescent="0.15">
      <c r="D54">
        <v>53</v>
      </c>
      <c r="E54" s="190" t="s">
        <v>244</v>
      </c>
      <c r="F54">
        <v>0.98</v>
      </c>
      <c r="G54">
        <v>0.8</v>
      </c>
      <c r="H54">
        <v>0.8</v>
      </c>
      <c r="I54">
        <v>0.8</v>
      </c>
      <c r="J54" s="116">
        <v>0.25</v>
      </c>
      <c r="K54" s="116">
        <v>0.05</v>
      </c>
      <c r="Y54"/>
      <c r="AC54"/>
      <c r="AG54"/>
    </row>
    <row r="55" spans="4:33" ht="15" customHeight="1" x14ac:dyDescent="0.15">
      <c r="D55">
        <v>54</v>
      </c>
      <c r="E55" s="190" t="s">
        <v>245</v>
      </c>
      <c r="F55">
        <v>0.98</v>
      </c>
      <c r="G55">
        <v>0.8</v>
      </c>
      <c r="H55">
        <v>0.8</v>
      </c>
      <c r="I55">
        <v>0.8</v>
      </c>
      <c r="J55" s="116">
        <v>0.25</v>
      </c>
      <c r="K55" s="116">
        <v>0.05</v>
      </c>
      <c r="Y55"/>
      <c r="AC55"/>
      <c r="AG55"/>
    </row>
    <row r="56" spans="4:33" ht="15" customHeight="1" x14ac:dyDescent="0.15">
      <c r="D56">
        <v>55</v>
      </c>
      <c r="E56" s="190" t="s">
        <v>246</v>
      </c>
      <c r="F56">
        <v>0.98</v>
      </c>
      <c r="G56">
        <v>0.8</v>
      </c>
      <c r="H56">
        <v>0.8</v>
      </c>
      <c r="I56">
        <v>0.8</v>
      </c>
      <c r="J56" s="116">
        <v>0.25</v>
      </c>
      <c r="K56" s="116">
        <v>0.05</v>
      </c>
      <c r="Y56"/>
      <c r="AC56"/>
      <c r="AG56"/>
    </row>
    <row r="57" spans="4:33" ht="15" customHeight="1" x14ac:dyDescent="0.15">
      <c r="D57">
        <v>56</v>
      </c>
      <c r="E57" s="190" t="s">
        <v>247</v>
      </c>
      <c r="F57">
        <v>0.98</v>
      </c>
      <c r="G57">
        <v>0.8</v>
      </c>
      <c r="H57">
        <v>0.8</v>
      </c>
      <c r="I57">
        <v>0.8</v>
      </c>
      <c r="J57" s="116">
        <v>0.25</v>
      </c>
      <c r="K57" s="116">
        <v>0.05</v>
      </c>
      <c r="Y57"/>
      <c r="AC57"/>
      <c r="AG57"/>
    </row>
    <row r="58" spans="4:33" ht="15" customHeight="1" x14ac:dyDescent="0.15">
      <c r="D58">
        <v>57</v>
      </c>
      <c r="E58" s="190" t="s">
        <v>248</v>
      </c>
      <c r="F58">
        <v>0.98</v>
      </c>
      <c r="G58">
        <v>0.8</v>
      </c>
      <c r="H58">
        <v>0.8</v>
      </c>
      <c r="I58">
        <v>0.8</v>
      </c>
      <c r="J58" s="116">
        <v>0.25</v>
      </c>
      <c r="K58" s="116">
        <v>0.05</v>
      </c>
      <c r="Y58"/>
      <c r="AC58"/>
      <c r="AG58"/>
    </row>
    <row r="59" spans="4:33" ht="15" customHeight="1" x14ac:dyDescent="0.15">
      <c r="D59">
        <v>58</v>
      </c>
      <c r="E59" s="190" t="s">
        <v>249</v>
      </c>
      <c r="F59">
        <v>0.98</v>
      </c>
      <c r="G59">
        <v>0.8</v>
      </c>
      <c r="H59">
        <v>0.8</v>
      </c>
      <c r="I59">
        <v>0.8</v>
      </c>
      <c r="J59" s="116">
        <v>0.25</v>
      </c>
      <c r="K59" s="116">
        <v>0.05</v>
      </c>
      <c r="Y59"/>
      <c r="AC59"/>
      <c r="AG59"/>
    </row>
    <row r="60" spans="4:33" ht="15" customHeight="1" x14ac:dyDescent="0.15">
      <c r="D60">
        <v>59</v>
      </c>
      <c r="E60" s="190" t="s">
        <v>250</v>
      </c>
      <c r="F60">
        <v>0.98</v>
      </c>
      <c r="G60">
        <v>0.8</v>
      </c>
      <c r="H60">
        <v>0.8</v>
      </c>
      <c r="I60">
        <v>0.8</v>
      </c>
      <c r="J60" s="116">
        <v>0.25</v>
      </c>
      <c r="K60" s="116">
        <v>0.05</v>
      </c>
      <c r="Y60"/>
      <c r="AC60"/>
      <c r="AG60"/>
    </row>
    <row r="61" spans="4:33" ht="15" customHeight="1" x14ac:dyDescent="0.15">
      <c r="D61">
        <v>60</v>
      </c>
      <c r="E61" s="190" t="s">
        <v>251</v>
      </c>
      <c r="F61">
        <v>0.98</v>
      </c>
      <c r="G61">
        <v>0.8</v>
      </c>
      <c r="H61">
        <v>0.8</v>
      </c>
      <c r="I61">
        <v>0.8</v>
      </c>
      <c r="J61" s="116">
        <v>0.25</v>
      </c>
      <c r="K61" s="116">
        <v>0.05</v>
      </c>
      <c r="Y61"/>
      <c r="AC61"/>
      <c r="AG61"/>
    </row>
    <row r="62" spans="4:33" ht="15" customHeight="1" x14ac:dyDescent="0.15">
      <c r="D62">
        <v>61</v>
      </c>
      <c r="E62" s="190" t="s">
        <v>252</v>
      </c>
      <c r="F62">
        <v>0.98</v>
      </c>
      <c r="G62">
        <v>0.8</v>
      </c>
      <c r="H62">
        <v>0.8</v>
      </c>
      <c r="I62">
        <v>0.8</v>
      </c>
      <c r="J62" s="116">
        <v>0.25</v>
      </c>
      <c r="K62" s="116">
        <v>0.05</v>
      </c>
      <c r="Y62"/>
      <c r="AC62"/>
      <c r="AG62"/>
    </row>
    <row r="63" spans="4:33" ht="15" customHeight="1" x14ac:dyDescent="0.15">
      <c r="D63">
        <v>62</v>
      </c>
      <c r="E63" s="190" t="s">
        <v>253</v>
      </c>
      <c r="F63">
        <v>0.98</v>
      </c>
      <c r="G63">
        <v>0.8</v>
      </c>
      <c r="H63">
        <v>0.8</v>
      </c>
      <c r="I63">
        <v>0.8</v>
      </c>
      <c r="J63" s="116">
        <v>0.25</v>
      </c>
      <c r="K63" s="116">
        <v>0.05</v>
      </c>
      <c r="Y63"/>
      <c r="AC63"/>
      <c r="AG63"/>
    </row>
    <row r="64" spans="4:33" ht="15" customHeight="1" x14ac:dyDescent="0.15">
      <c r="D64">
        <v>63</v>
      </c>
      <c r="E64" s="190" t="s">
        <v>254</v>
      </c>
      <c r="F64">
        <v>0.98</v>
      </c>
      <c r="G64">
        <v>0.8</v>
      </c>
      <c r="H64">
        <v>0.8</v>
      </c>
      <c r="I64">
        <v>0.8</v>
      </c>
      <c r="J64" s="116">
        <v>0.25</v>
      </c>
      <c r="K64" s="116">
        <v>0.05</v>
      </c>
      <c r="Y64"/>
      <c r="AC64"/>
      <c r="AG64"/>
    </row>
    <row r="65" spans="4:33" ht="15" customHeight="1" x14ac:dyDescent="0.15">
      <c r="D65">
        <v>64</v>
      </c>
      <c r="E65" s="190" t="s">
        <v>255</v>
      </c>
      <c r="F65">
        <v>0.98</v>
      </c>
      <c r="G65">
        <v>0.8</v>
      </c>
      <c r="H65">
        <v>0.8</v>
      </c>
      <c r="I65">
        <v>0.8</v>
      </c>
      <c r="J65" s="116">
        <v>0.25</v>
      </c>
      <c r="K65" s="116">
        <v>0.05</v>
      </c>
      <c r="Y65"/>
      <c r="AC65"/>
      <c r="AG65"/>
    </row>
    <row r="66" spans="4:33" ht="15" customHeight="1" x14ac:dyDescent="0.15">
      <c r="D66">
        <v>65</v>
      </c>
      <c r="E66" s="190" t="s">
        <v>256</v>
      </c>
      <c r="F66">
        <v>0.98</v>
      </c>
      <c r="G66">
        <v>0.8</v>
      </c>
      <c r="H66">
        <v>0.8</v>
      </c>
      <c r="I66">
        <v>0.8</v>
      </c>
      <c r="J66" s="116">
        <v>0.25</v>
      </c>
      <c r="K66" s="116">
        <v>0.05</v>
      </c>
      <c r="Y66"/>
      <c r="AC66"/>
      <c r="AG66"/>
    </row>
    <row r="67" spans="4:33" ht="15" customHeight="1" x14ac:dyDescent="0.15">
      <c r="D67">
        <v>66</v>
      </c>
      <c r="E67" s="190" t="s">
        <v>257</v>
      </c>
      <c r="F67">
        <v>0.98</v>
      </c>
      <c r="G67">
        <v>0.8</v>
      </c>
      <c r="H67">
        <v>0.8</v>
      </c>
      <c r="I67">
        <v>0.8</v>
      </c>
      <c r="J67" s="116">
        <v>0.25</v>
      </c>
      <c r="K67" s="116">
        <v>0.05</v>
      </c>
      <c r="Y67"/>
      <c r="AC67"/>
      <c r="AG67"/>
    </row>
    <row r="68" spans="4:33" ht="15" customHeight="1" x14ac:dyDescent="0.15">
      <c r="D68">
        <v>67</v>
      </c>
      <c r="E68" s="190" t="s">
        <v>258</v>
      </c>
      <c r="F68">
        <v>0.98</v>
      </c>
      <c r="G68">
        <v>0.8</v>
      </c>
      <c r="H68">
        <v>0.8</v>
      </c>
      <c r="I68">
        <v>0.8</v>
      </c>
      <c r="J68" s="116">
        <v>0.25</v>
      </c>
      <c r="K68" s="116">
        <v>0.05</v>
      </c>
      <c r="Y68"/>
      <c r="AC68"/>
      <c r="AG68"/>
    </row>
    <row r="69" spans="4:33" ht="15" customHeight="1" x14ac:dyDescent="0.15">
      <c r="D69">
        <v>68</v>
      </c>
      <c r="E69" s="190" t="s">
        <v>259</v>
      </c>
      <c r="F69">
        <v>0.98</v>
      </c>
      <c r="G69">
        <v>0.8</v>
      </c>
      <c r="H69">
        <v>0.8</v>
      </c>
      <c r="I69">
        <v>0.8</v>
      </c>
      <c r="J69" s="116">
        <v>0.25</v>
      </c>
      <c r="K69" s="116">
        <v>0.05</v>
      </c>
      <c r="Y69"/>
      <c r="AC69"/>
      <c r="AG69"/>
    </row>
    <row r="70" spans="4:33" ht="15" customHeight="1" x14ac:dyDescent="0.15">
      <c r="D70">
        <v>69</v>
      </c>
      <c r="E70" s="190" t="s">
        <v>260</v>
      </c>
      <c r="F70">
        <v>0.98</v>
      </c>
      <c r="G70">
        <v>0.8</v>
      </c>
      <c r="H70">
        <v>0.8</v>
      </c>
      <c r="I70">
        <v>0.8</v>
      </c>
      <c r="J70" s="116">
        <v>0.25</v>
      </c>
      <c r="K70" s="116">
        <v>0.05</v>
      </c>
      <c r="Y70"/>
      <c r="AC70"/>
      <c r="AG70"/>
    </row>
    <row r="71" spans="4:33" ht="15" customHeight="1" x14ac:dyDescent="0.15">
      <c r="D71">
        <v>70</v>
      </c>
      <c r="E71" s="190" t="s">
        <v>261</v>
      </c>
      <c r="F71">
        <v>0.98</v>
      </c>
      <c r="G71">
        <v>0.8</v>
      </c>
      <c r="H71">
        <v>0.8</v>
      </c>
      <c r="I71">
        <v>0.8</v>
      </c>
      <c r="J71" s="116">
        <v>0.25</v>
      </c>
      <c r="K71" s="116">
        <v>0.05</v>
      </c>
      <c r="Y71"/>
      <c r="AC71"/>
      <c r="AG71"/>
    </row>
    <row r="72" spans="4:33" ht="15" customHeight="1" x14ac:dyDescent="0.15">
      <c r="D72">
        <v>71</v>
      </c>
      <c r="E72" s="190" t="s">
        <v>262</v>
      </c>
      <c r="F72">
        <v>0.98</v>
      </c>
      <c r="G72">
        <v>0.8</v>
      </c>
      <c r="H72">
        <v>0.8</v>
      </c>
      <c r="I72">
        <v>0</v>
      </c>
      <c r="J72" s="116">
        <v>0</v>
      </c>
      <c r="K72" s="116">
        <v>0</v>
      </c>
      <c r="Y72"/>
      <c r="AC72"/>
      <c r="AG72"/>
    </row>
    <row r="73" spans="4:33" ht="15" customHeight="1" x14ac:dyDescent="0.15">
      <c r="D73">
        <v>72</v>
      </c>
      <c r="E73" s="190" t="s">
        <v>263</v>
      </c>
      <c r="F73">
        <v>0.98</v>
      </c>
      <c r="G73">
        <v>0.8</v>
      </c>
      <c r="H73">
        <v>0.8</v>
      </c>
      <c r="I73">
        <v>0.8</v>
      </c>
      <c r="J73" s="116">
        <v>0.25</v>
      </c>
      <c r="K73" s="116">
        <v>0.05</v>
      </c>
      <c r="Y73"/>
      <c r="AC73"/>
      <c r="AG73"/>
    </row>
    <row r="74" spans="4:33" ht="15" customHeight="1" x14ac:dyDescent="0.15">
      <c r="D74">
        <v>73</v>
      </c>
      <c r="E74" s="190" t="s">
        <v>264</v>
      </c>
      <c r="F74">
        <v>0.98</v>
      </c>
      <c r="G74">
        <v>0.8</v>
      </c>
      <c r="H74">
        <v>0.8</v>
      </c>
      <c r="I74">
        <v>0.8</v>
      </c>
      <c r="J74" s="116">
        <v>0.25</v>
      </c>
      <c r="K74" s="116">
        <v>0.05</v>
      </c>
      <c r="Y74"/>
      <c r="AC74"/>
      <c r="AG74"/>
    </row>
    <row r="75" spans="4:33" ht="15" customHeight="1" x14ac:dyDescent="0.15">
      <c r="D75">
        <v>74</v>
      </c>
      <c r="E75" s="190" t="s">
        <v>265</v>
      </c>
      <c r="F75">
        <v>0.98</v>
      </c>
      <c r="G75">
        <v>0.8</v>
      </c>
      <c r="H75">
        <v>0.8</v>
      </c>
      <c r="I75">
        <v>0.8</v>
      </c>
      <c r="J75" s="116">
        <v>0.25</v>
      </c>
      <c r="K75" s="116">
        <v>0.05</v>
      </c>
      <c r="Y75"/>
      <c r="AC75"/>
      <c r="AG75"/>
    </row>
    <row r="76" spans="4:33" ht="15" customHeight="1" x14ac:dyDescent="0.15">
      <c r="D76">
        <v>75</v>
      </c>
      <c r="E76" s="190" t="s">
        <v>266</v>
      </c>
      <c r="F76">
        <v>0.98</v>
      </c>
      <c r="G76">
        <v>0.8</v>
      </c>
      <c r="H76">
        <v>0.8</v>
      </c>
      <c r="I76">
        <v>0.8</v>
      </c>
      <c r="J76" s="116">
        <v>0.25</v>
      </c>
      <c r="K76" s="116">
        <v>0.05</v>
      </c>
    </row>
    <row r="77" spans="4:33" ht="15" customHeight="1" x14ac:dyDescent="0.15">
      <c r="D77">
        <v>76</v>
      </c>
      <c r="E77" s="190" t="s">
        <v>267</v>
      </c>
      <c r="F77">
        <v>0.98</v>
      </c>
      <c r="G77">
        <v>0.8</v>
      </c>
      <c r="H77">
        <v>0.8</v>
      </c>
      <c r="I77">
        <v>0.8</v>
      </c>
      <c r="J77" s="116">
        <v>0.25</v>
      </c>
      <c r="K77" s="116">
        <v>0.05</v>
      </c>
    </row>
    <row r="78" spans="4:33" ht="15" customHeight="1" x14ac:dyDescent="0.15">
      <c r="D78">
        <v>77</v>
      </c>
      <c r="E78" s="190" t="s">
        <v>268</v>
      </c>
      <c r="F78">
        <v>0.98</v>
      </c>
      <c r="G78">
        <v>0.8</v>
      </c>
      <c r="H78">
        <v>0.8</v>
      </c>
      <c r="I78">
        <v>0.8</v>
      </c>
      <c r="J78" s="116">
        <v>0.25</v>
      </c>
      <c r="K78" s="116">
        <v>0.05</v>
      </c>
    </row>
    <row r="79" spans="4:33" ht="15" customHeight="1" x14ac:dyDescent="0.15">
      <c r="D79">
        <v>78</v>
      </c>
      <c r="E79" s="190" t="s">
        <v>269</v>
      </c>
      <c r="F79">
        <v>0.98</v>
      </c>
      <c r="G79">
        <v>0.8</v>
      </c>
      <c r="H79">
        <v>0.8</v>
      </c>
      <c r="I79">
        <v>0.8</v>
      </c>
      <c r="J79" s="116">
        <v>0.25</v>
      </c>
      <c r="K79" s="116">
        <v>0.05</v>
      </c>
    </row>
    <row r="80" spans="4:33" ht="15" customHeight="1" x14ac:dyDescent="0.15">
      <c r="D80">
        <v>79</v>
      </c>
      <c r="E80" s="190" t="s">
        <v>270</v>
      </c>
      <c r="F80">
        <v>0.98</v>
      </c>
      <c r="G80">
        <v>0.8</v>
      </c>
      <c r="H80">
        <v>0.8</v>
      </c>
      <c r="I80">
        <v>0.8</v>
      </c>
      <c r="J80" s="116">
        <v>0.25</v>
      </c>
      <c r="K80" s="116">
        <v>0.05</v>
      </c>
    </row>
    <row r="81" spans="4:33" ht="15" customHeight="1" x14ac:dyDescent="0.15">
      <c r="D81">
        <v>80</v>
      </c>
      <c r="E81" s="190" t="s">
        <v>271</v>
      </c>
      <c r="F81">
        <v>0.98</v>
      </c>
      <c r="G81">
        <v>0.8</v>
      </c>
      <c r="H81">
        <v>0.8</v>
      </c>
      <c r="I81">
        <v>0.8</v>
      </c>
      <c r="J81" s="116">
        <v>0.25</v>
      </c>
      <c r="K81" s="116">
        <v>0.05</v>
      </c>
    </row>
    <row r="82" spans="4:33" ht="15" customHeight="1" x14ac:dyDescent="0.15">
      <c r="D82">
        <v>81</v>
      </c>
      <c r="E82" s="190" t="s">
        <v>272</v>
      </c>
      <c r="F82">
        <v>0.98</v>
      </c>
      <c r="G82">
        <v>0.8</v>
      </c>
      <c r="H82">
        <v>0.8</v>
      </c>
      <c r="I82">
        <v>0.8</v>
      </c>
      <c r="J82" s="116">
        <v>0.25</v>
      </c>
      <c r="K82" s="116">
        <v>0.05</v>
      </c>
    </row>
    <row r="83" spans="4:33" ht="15" customHeight="1" x14ac:dyDescent="0.15">
      <c r="D83">
        <v>82</v>
      </c>
      <c r="E83" s="190" t="s">
        <v>273</v>
      </c>
      <c r="F83">
        <v>0.98</v>
      </c>
      <c r="G83">
        <v>0.8</v>
      </c>
      <c r="H83">
        <v>0.8</v>
      </c>
      <c r="I83">
        <v>0.8</v>
      </c>
      <c r="J83" s="116">
        <v>0.25</v>
      </c>
      <c r="K83" s="116">
        <v>0.05</v>
      </c>
      <c r="Y83"/>
      <c r="AC83"/>
      <c r="AG83"/>
    </row>
    <row r="84" spans="4:33" ht="15" customHeight="1" x14ac:dyDescent="0.15">
      <c r="D84">
        <v>83</v>
      </c>
      <c r="E84" s="190" t="s">
        <v>274</v>
      </c>
      <c r="F84">
        <v>0.98</v>
      </c>
      <c r="G84">
        <v>0.8</v>
      </c>
      <c r="H84">
        <v>0.8</v>
      </c>
      <c r="I84">
        <v>0.8</v>
      </c>
      <c r="J84" s="116">
        <v>0.25</v>
      </c>
      <c r="K84" s="116">
        <v>0.05</v>
      </c>
      <c r="Y84"/>
      <c r="AC84"/>
      <c r="AG84"/>
    </row>
    <row r="85" spans="4:33" ht="15" customHeight="1" x14ac:dyDescent="0.15">
      <c r="D85">
        <v>84</v>
      </c>
      <c r="E85" s="190" t="s">
        <v>275</v>
      </c>
      <c r="F85">
        <v>0.98</v>
      </c>
      <c r="G85">
        <v>0.8</v>
      </c>
      <c r="H85">
        <v>0.8</v>
      </c>
      <c r="I85">
        <v>0.8</v>
      </c>
      <c r="J85" s="116">
        <v>0.25</v>
      </c>
      <c r="K85" s="116">
        <v>0.05</v>
      </c>
      <c r="Y85"/>
      <c r="AC85"/>
      <c r="AG85"/>
    </row>
    <row r="86" spans="4:33" ht="15" customHeight="1" x14ac:dyDescent="0.15">
      <c r="D86">
        <v>85</v>
      </c>
      <c r="E86" s="190" t="s">
        <v>276</v>
      </c>
      <c r="F86">
        <v>0.98</v>
      </c>
      <c r="G86">
        <v>0.8</v>
      </c>
      <c r="H86">
        <v>0.8</v>
      </c>
      <c r="I86">
        <v>0.8</v>
      </c>
      <c r="J86" s="116">
        <v>0.25</v>
      </c>
      <c r="K86" s="116">
        <v>0.05</v>
      </c>
      <c r="Y86"/>
      <c r="AC86"/>
      <c r="AG86"/>
    </row>
    <row r="87" spans="4:33" ht="15" customHeight="1" x14ac:dyDescent="0.15">
      <c r="D87">
        <v>86</v>
      </c>
      <c r="E87" s="190" t="s">
        <v>277</v>
      </c>
      <c r="F87">
        <v>0.98</v>
      </c>
      <c r="G87">
        <v>0.8</v>
      </c>
      <c r="H87">
        <v>0.8</v>
      </c>
      <c r="I87">
        <v>0.8</v>
      </c>
      <c r="J87" s="116">
        <v>0.25</v>
      </c>
      <c r="K87" s="116">
        <v>0.05</v>
      </c>
      <c r="Y87"/>
      <c r="AC87"/>
      <c r="AG87"/>
    </row>
    <row r="88" spans="4:33" ht="15" customHeight="1" x14ac:dyDescent="0.15">
      <c r="D88">
        <v>87</v>
      </c>
      <c r="E88" s="190" t="s">
        <v>278</v>
      </c>
      <c r="F88">
        <v>0.98</v>
      </c>
      <c r="G88">
        <v>0.8</v>
      </c>
      <c r="H88">
        <v>0.8</v>
      </c>
      <c r="I88">
        <v>0.8</v>
      </c>
      <c r="J88" s="116">
        <v>0.25</v>
      </c>
      <c r="K88" s="116">
        <v>0.05</v>
      </c>
      <c r="Y88"/>
      <c r="AC88"/>
      <c r="AG88"/>
    </row>
    <row r="89" spans="4:33" ht="15" customHeight="1" x14ac:dyDescent="0.15">
      <c r="D89">
        <v>88</v>
      </c>
      <c r="E89" s="190" t="s">
        <v>279</v>
      </c>
      <c r="F89">
        <v>0.98</v>
      </c>
      <c r="G89">
        <v>0.8</v>
      </c>
      <c r="H89">
        <v>0.8</v>
      </c>
      <c r="I89">
        <v>0.8</v>
      </c>
      <c r="J89" s="116">
        <v>0.25</v>
      </c>
      <c r="K89" s="116">
        <v>0.05</v>
      </c>
      <c r="Y89"/>
      <c r="AC89"/>
      <c r="AG89"/>
    </row>
    <row r="90" spans="4:33" ht="15" customHeight="1" x14ac:dyDescent="0.15">
      <c r="D90">
        <v>89</v>
      </c>
      <c r="E90" s="190" t="s">
        <v>280</v>
      </c>
      <c r="F90">
        <v>0.98</v>
      </c>
      <c r="G90">
        <v>0.8</v>
      </c>
      <c r="H90">
        <v>0.8</v>
      </c>
      <c r="I90">
        <v>0.8</v>
      </c>
      <c r="J90" s="116">
        <v>0.25</v>
      </c>
      <c r="K90" s="116">
        <v>0.05</v>
      </c>
      <c r="Y90"/>
      <c r="AC90"/>
      <c r="AG90"/>
    </row>
    <row r="91" spans="4:33" ht="15" customHeight="1" x14ac:dyDescent="0.15">
      <c r="D91">
        <v>90</v>
      </c>
      <c r="E91" s="190" t="s">
        <v>281</v>
      </c>
      <c r="F91">
        <v>0.98</v>
      </c>
      <c r="G91">
        <v>0.8</v>
      </c>
      <c r="H91">
        <v>0.8</v>
      </c>
      <c r="I91">
        <v>0.8</v>
      </c>
      <c r="J91" s="116">
        <v>0.25</v>
      </c>
      <c r="K91" s="116">
        <v>0.05</v>
      </c>
      <c r="Y91"/>
      <c r="AC91"/>
      <c r="AG91"/>
    </row>
    <row r="92" spans="4:33" ht="15" customHeight="1" x14ac:dyDescent="0.15">
      <c r="D92">
        <v>91</v>
      </c>
      <c r="E92" s="190" t="s">
        <v>282</v>
      </c>
      <c r="F92">
        <v>0.98</v>
      </c>
      <c r="G92">
        <v>0.8</v>
      </c>
      <c r="H92">
        <v>0.8</v>
      </c>
      <c r="I92">
        <v>0.8</v>
      </c>
      <c r="J92" s="116">
        <v>0.25</v>
      </c>
      <c r="K92" s="116">
        <v>0.05</v>
      </c>
      <c r="Y92"/>
      <c r="AC92"/>
      <c r="AG92"/>
    </row>
    <row r="93" spans="4:33" ht="15" customHeight="1" x14ac:dyDescent="0.15">
      <c r="D93">
        <v>92</v>
      </c>
      <c r="E93" s="190" t="s">
        <v>283</v>
      </c>
      <c r="F93">
        <v>0.98</v>
      </c>
      <c r="G93">
        <v>0.8</v>
      </c>
      <c r="H93">
        <v>0.8</v>
      </c>
      <c r="I93">
        <v>0.8</v>
      </c>
      <c r="J93" s="116">
        <v>0.25</v>
      </c>
      <c r="K93" s="116">
        <v>0.05</v>
      </c>
      <c r="Y93"/>
      <c r="AC93"/>
      <c r="AG93"/>
    </row>
    <row r="94" spans="4:33" ht="15" customHeight="1" x14ac:dyDescent="0.15">
      <c r="D94">
        <v>93</v>
      </c>
      <c r="E94" s="190" t="s">
        <v>284</v>
      </c>
      <c r="F94">
        <v>0.98</v>
      </c>
      <c r="G94">
        <v>0.8</v>
      </c>
      <c r="H94">
        <v>0.8</v>
      </c>
      <c r="I94">
        <v>0</v>
      </c>
      <c r="J94" s="116">
        <v>0</v>
      </c>
      <c r="K94" s="116">
        <v>0</v>
      </c>
      <c r="Y94"/>
      <c r="AC94"/>
      <c r="AG94"/>
    </row>
    <row r="95" spans="4:33" ht="15" customHeight="1" x14ac:dyDescent="0.15">
      <c r="D95">
        <v>94</v>
      </c>
      <c r="E95" s="190" t="s">
        <v>285</v>
      </c>
      <c r="F95">
        <v>0.98</v>
      </c>
      <c r="G95">
        <v>0.8</v>
      </c>
      <c r="H95">
        <v>0.8</v>
      </c>
      <c r="I95">
        <v>0</v>
      </c>
      <c r="J95" s="116">
        <v>0</v>
      </c>
      <c r="K95" s="116">
        <v>0</v>
      </c>
      <c r="Y95"/>
      <c r="AC95"/>
      <c r="AG95"/>
    </row>
    <row r="96" spans="4:33" ht="15" customHeight="1" x14ac:dyDescent="0.15">
      <c r="D96">
        <v>95</v>
      </c>
      <c r="E96" s="190" t="s">
        <v>286</v>
      </c>
      <c r="F96">
        <v>0.98</v>
      </c>
      <c r="G96">
        <v>0.8</v>
      </c>
      <c r="H96">
        <v>0.8</v>
      </c>
      <c r="I96">
        <v>0</v>
      </c>
      <c r="J96" s="116">
        <v>0</v>
      </c>
      <c r="K96" s="116">
        <v>0</v>
      </c>
      <c r="Y96"/>
      <c r="AC96"/>
      <c r="AG96"/>
    </row>
    <row r="97" spans="4:33" ht="15" customHeight="1" x14ac:dyDescent="0.15">
      <c r="D97">
        <v>96</v>
      </c>
      <c r="E97" s="190" t="s">
        <v>287</v>
      </c>
      <c r="F97">
        <v>0.98</v>
      </c>
      <c r="G97">
        <v>0.8</v>
      </c>
      <c r="H97">
        <v>0.8</v>
      </c>
      <c r="I97">
        <v>0</v>
      </c>
      <c r="J97" s="116">
        <v>0</v>
      </c>
      <c r="K97" s="116">
        <v>0</v>
      </c>
      <c r="Y97"/>
      <c r="AC97"/>
      <c r="AG97"/>
    </row>
    <row r="98" spans="4:33" ht="15" customHeight="1" x14ac:dyDescent="0.15">
      <c r="D98">
        <v>97</v>
      </c>
      <c r="E98" s="190" t="s">
        <v>288</v>
      </c>
      <c r="F98">
        <v>0.98</v>
      </c>
      <c r="G98">
        <v>0.8</v>
      </c>
      <c r="H98">
        <v>0</v>
      </c>
      <c r="I98">
        <v>0</v>
      </c>
      <c r="J98" s="116">
        <v>0</v>
      </c>
      <c r="K98" s="116">
        <v>0</v>
      </c>
      <c r="Y98"/>
      <c r="AC98"/>
      <c r="AG98"/>
    </row>
    <row r="99" spans="4:33" ht="15" customHeight="1" x14ac:dyDescent="0.15">
      <c r="D99">
        <v>98</v>
      </c>
      <c r="E99" s="190" t="s">
        <v>289</v>
      </c>
      <c r="F99">
        <v>0.98</v>
      </c>
      <c r="G99">
        <v>0.8</v>
      </c>
      <c r="H99">
        <v>0</v>
      </c>
      <c r="I99">
        <v>0</v>
      </c>
      <c r="J99" s="116">
        <v>0</v>
      </c>
      <c r="K99" s="116">
        <v>0</v>
      </c>
      <c r="Y99"/>
      <c r="AC99"/>
      <c r="AG99"/>
    </row>
    <row r="100" spans="4:33" ht="15" customHeight="1" x14ac:dyDescent="0.15">
      <c r="D100">
        <v>99</v>
      </c>
      <c r="E100" s="190" t="s">
        <v>290</v>
      </c>
      <c r="F100">
        <v>0.98</v>
      </c>
      <c r="G100">
        <v>0.8</v>
      </c>
      <c r="H100">
        <v>0</v>
      </c>
      <c r="I100">
        <v>0</v>
      </c>
      <c r="J100" s="116">
        <v>0</v>
      </c>
      <c r="K100" s="116">
        <v>0</v>
      </c>
      <c r="Y100"/>
      <c r="AC100"/>
      <c r="AG100"/>
    </row>
    <row r="101" spans="4:33" ht="15" customHeight="1" x14ac:dyDescent="0.15">
      <c r="J101"/>
      <c r="K101"/>
      <c r="Y101"/>
      <c r="AC101"/>
      <c r="AG101"/>
    </row>
    <row r="102" spans="4:33" ht="15" customHeight="1" x14ac:dyDescent="0.15">
      <c r="J102"/>
      <c r="K102"/>
      <c r="Y102"/>
      <c r="AC102"/>
      <c r="AG102"/>
    </row>
    <row r="103" spans="4:33" ht="15" customHeight="1" x14ac:dyDescent="0.15">
      <c r="J103"/>
      <c r="K103"/>
      <c r="Y103"/>
      <c r="AC103"/>
      <c r="AG103"/>
    </row>
    <row r="104" spans="4:33" ht="15" customHeight="1" x14ac:dyDescent="0.15">
      <c r="J104"/>
      <c r="K104"/>
      <c r="Y104"/>
      <c r="AC104"/>
      <c r="AG104"/>
    </row>
    <row r="105" spans="4:33" ht="15" customHeight="1" x14ac:dyDescent="0.15">
      <c r="J105"/>
      <c r="K105"/>
      <c r="Y105"/>
      <c r="AC105"/>
      <c r="AG105"/>
    </row>
    <row r="106" spans="4:33" ht="15" customHeight="1" x14ac:dyDescent="0.15">
      <c r="J106"/>
      <c r="K106"/>
      <c r="Y106"/>
      <c r="AC106"/>
      <c r="AG106"/>
    </row>
    <row r="107" spans="4:33" ht="15" customHeight="1" x14ac:dyDescent="0.15">
      <c r="J107"/>
      <c r="K107"/>
      <c r="Y107"/>
      <c r="AC107"/>
      <c r="AG107"/>
    </row>
    <row r="108" spans="4:33" ht="15" customHeight="1" x14ac:dyDescent="0.15">
      <c r="J108"/>
      <c r="K108"/>
      <c r="Y108"/>
      <c r="AC108"/>
      <c r="AG108"/>
    </row>
    <row r="109" spans="4:33" ht="15" customHeight="1" x14ac:dyDescent="0.15">
      <c r="J109"/>
      <c r="K109"/>
      <c r="Y109"/>
      <c r="AC109"/>
      <c r="AG109"/>
    </row>
    <row r="110" spans="4:33" ht="15" customHeight="1" x14ac:dyDescent="0.15">
      <c r="J110"/>
      <c r="K110"/>
      <c r="Y110"/>
      <c r="AC110"/>
      <c r="AG110"/>
    </row>
    <row r="111" spans="4:33" ht="15" customHeight="1" x14ac:dyDescent="0.15">
      <c r="J111"/>
      <c r="K111"/>
      <c r="Y111"/>
      <c r="AC111"/>
      <c r="AG111"/>
    </row>
    <row r="112" spans="4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CV101"/>
  <sheetViews>
    <sheetView workbookViewId="0">
      <selection activeCell="A3" sqref="A3"/>
    </sheetView>
  </sheetViews>
  <sheetFormatPr baseColWidth="10" defaultRowHeight="13" x14ac:dyDescent="0.15"/>
  <cols>
    <col min="1" max="1" width="31.5" style="114" bestFit="1" customWidth="1"/>
    <col min="2" max="71" width="3.83203125" style="114" customWidth="1"/>
    <col min="72" max="72" width="2.33203125" style="114" customWidth="1"/>
    <col min="73" max="93" width="3.83203125" style="114" customWidth="1"/>
    <col min="94" max="100" width="2.33203125" style="114" customWidth="1"/>
    <col min="101" max="16384" width="10.83203125" style="114"/>
  </cols>
  <sheetData>
    <row r="1" spans="1:100" x14ac:dyDescent="0.15">
      <c r="A1" s="63" t="s">
        <v>118</v>
      </c>
      <c r="B1" s="192" t="s">
        <v>192</v>
      </c>
      <c r="C1" s="192" t="s">
        <v>193</v>
      </c>
      <c r="D1" s="192" t="s">
        <v>194</v>
      </c>
      <c r="E1" s="192" t="s">
        <v>195</v>
      </c>
      <c r="F1" s="192" t="s">
        <v>196</v>
      </c>
      <c r="G1" s="192" t="s">
        <v>197</v>
      </c>
      <c r="H1" s="192" t="s">
        <v>198</v>
      </c>
      <c r="I1" s="192" t="s">
        <v>199</v>
      </c>
      <c r="J1" s="192" t="s">
        <v>200</v>
      </c>
      <c r="K1" s="192" t="s">
        <v>201</v>
      </c>
      <c r="L1" s="192" t="s">
        <v>202</v>
      </c>
      <c r="M1" s="192" t="s">
        <v>203</v>
      </c>
      <c r="N1" s="192" t="s">
        <v>204</v>
      </c>
      <c r="O1" s="192" t="s">
        <v>205</v>
      </c>
      <c r="P1" s="192" t="s">
        <v>206</v>
      </c>
      <c r="Q1" s="192" t="s">
        <v>207</v>
      </c>
      <c r="R1" s="192" t="s">
        <v>208</v>
      </c>
      <c r="S1" s="192" t="s">
        <v>209</v>
      </c>
      <c r="T1" s="192" t="s">
        <v>210</v>
      </c>
      <c r="U1" s="192" t="s">
        <v>211</v>
      </c>
      <c r="V1" s="192" t="s">
        <v>212</v>
      </c>
      <c r="W1" s="192" t="s">
        <v>213</v>
      </c>
      <c r="X1" s="192" t="s">
        <v>214</v>
      </c>
      <c r="Y1" s="192" t="s">
        <v>215</v>
      </c>
      <c r="Z1" s="192" t="s">
        <v>216</v>
      </c>
      <c r="AA1" s="192" t="s">
        <v>217</v>
      </c>
      <c r="AB1" s="192" t="s">
        <v>218</v>
      </c>
      <c r="AC1" s="192" t="s">
        <v>219</v>
      </c>
      <c r="AD1" s="192" t="s">
        <v>220</v>
      </c>
      <c r="AE1" s="192" t="s">
        <v>221</v>
      </c>
      <c r="AF1" s="192" t="s">
        <v>222</v>
      </c>
      <c r="AG1" s="192" t="s">
        <v>223</v>
      </c>
      <c r="AH1" s="192" t="s">
        <v>224</v>
      </c>
      <c r="AI1" s="192" t="s">
        <v>225</v>
      </c>
      <c r="AJ1" s="192" t="s">
        <v>226</v>
      </c>
      <c r="AK1" s="192" t="s">
        <v>227</v>
      </c>
      <c r="AL1" s="192" t="s">
        <v>228</v>
      </c>
      <c r="AM1" s="192" t="s">
        <v>229</v>
      </c>
      <c r="AN1" s="192" t="s">
        <v>230</v>
      </c>
      <c r="AO1" s="192" t="s">
        <v>231</v>
      </c>
      <c r="AP1" s="192" t="s">
        <v>232</v>
      </c>
      <c r="AQ1" s="192" t="s">
        <v>233</v>
      </c>
      <c r="AR1" s="192" t="s">
        <v>234</v>
      </c>
      <c r="AS1" s="192" t="s">
        <v>235</v>
      </c>
      <c r="AT1" s="192" t="s">
        <v>236</v>
      </c>
      <c r="AU1" s="192" t="s">
        <v>237</v>
      </c>
      <c r="AV1" s="192" t="s">
        <v>238</v>
      </c>
      <c r="AW1" s="192" t="s">
        <v>239</v>
      </c>
      <c r="AX1" s="192" t="s">
        <v>240</v>
      </c>
      <c r="AY1" s="192" t="s">
        <v>241</v>
      </c>
      <c r="AZ1" s="192" t="s">
        <v>242</v>
      </c>
      <c r="BA1" s="192" t="s">
        <v>243</v>
      </c>
      <c r="BB1" s="192" t="s">
        <v>244</v>
      </c>
      <c r="BC1" s="192" t="s">
        <v>245</v>
      </c>
      <c r="BD1" s="192" t="s">
        <v>246</v>
      </c>
      <c r="BE1" s="192" t="s">
        <v>247</v>
      </c>
      <c r="BF1" s="192" t="s">
        <v>248</v>
      </c>
      <c r="BG1" s="192" t="s">
        <v>249</v>
      </c>
      <c r="BH1" s="192" t="s">
        <v>250</v>
      </c>
      <c r="BI1" s="192" t="s">
        <v>251</v>
      </c>
      <c r="BJ1" s="192" t="s">
        <v>252</v>
      </c>
      <c r="BK1" s="192" t="s">
        <v>253</v>
      </c>
      <c r="BL1" s="192" t="s">
        <v>254</v>
      </c>
      <c r="BM1" s="192" t="s">
        <v>255</v>
      </c>
      <c r="BN1" s="192" t="s">
        <v>256</v>
      </c>
      <c r="BO1" s="192" t="s">
        <v>257</v>
      </c>
      <c r="BP1" s="192" t="s">
        <v>258</v>
      </c>
      <c r="BQ1" s="192" t="s">
        <v>259</v>
      </c>
      <c r="BR1" s="192" t="s">
        <v>260</v>
      </c>
      <c r="BS1" s="192" t="s">
        <v>261</v>
      </c>
      <c r="BT1" s="192" t="s">
        <v>262</v>
      </c>
      <c r="BU1" s="192" t="s">
        <v>263</v>
      </c>
      <c r="BV1" s="192" t="s">
        <v>264</v>
      </c>
      <c r="BW1" s="192" t="s">
        <v>265</v>
      </c>
      <c r="BX1" s="192" t="s">
        <v>266</v>
      </c>
      <c r="BY1" s="192" t="s">
        <v>267</v>
      </c>
      <c r="BZ1" s="192" t="s">
        <v>268</v>
      </c>
      <c r="CA1" s="192" t="s">
        <v>269</v>
      </c>
      <c r="CB1" s="192" t="s">
        <v>270</v>
      </c>
      <c r="CC1" s="192" t="s">
        <v>271</v>
      </c>
      <c r="CD1" s="192" t="s">
        <v>272</v>
      </c>
      <c r="CE1" s="192" t="s">
        <v>273</v>
      </c>
      <c r="CF1" s="192" t="s">
        <v>274</v>
      </c>
      <c r="CG1" s="192" t="s">
        <v>275</v>
      </c>
      <c r="CH1" s="192" t="s">
        <v>276</v>
      </c>
      <c r="CI1" s="192" t="s">
        <v>277</v>
      </c>
      <c r="CJ1" s="192" t="s">
        <v>278</v>
      </c>
      <c r="CK1" s="192" t="s">
        <v>279</v>
      </c>
      <c r="CL1" s="192" t="s">
        <v>280</v>
      </c>
      <c r="CM1" s="192" t="s">
        <v>281</v>
      </c>
      <c r="CN1" s="192" t="s">
        <v>282</v>
      </c>
      <c r="CO1" s="192" t="s">
        <v>283</v>
      </c>
      <c r="CP1" s="192" t="s">
        <v>284</v>
      </c>
      <c r="CQ1" s="192" t="s">
        <v>285</v>
      </c>
      <c r="CR1" s="192" t="s">
        <v>286</v>
      </c>
      <c r="CS1" s="192" t="s">
        <v>287</v>
      </c>
      <c r="CT1" s="192" t="s">
        <v>288</v>
      </c>
      <c r="CU1" s="192" t="s">
        <v>289</v>
      </c>
      <c r="CV1" s="192" t="s">
        <v>290</v>
      </c>
    </row>
    <row r="2" spans="1:100" customFormat="1" x14ac:dyDescent="0.15">
      <c r="A2" s="191" t="s">
        <v>192</v>
      </c>
      <c r="B2" s="114">
        <v>0</v>
      </c>
      <c r="C2" s="114">
        <v>0</v>
      </c>
      <c r="D2" s="114">
        <v>0</v>
      </c>
      <c r="E2" s="114">
        <v>0</v>
      </c>
      <c r="F2" s="114">
        <v>0</v>
      </c>
      <c r="G2" s="114">
        <v>0</v>
      </c>
      <c r="H2" s="114">
        <v>0</v>
      </c>
      <c r="I2" s="114">
        <v>0</v>
      </c>
      <c r="J2" s="114">
        <v>0</v>
      </c>
      <c r="K2" s="114">
        <v>0</v>
      </c>
      <c r="L2" s="114">
        <v>0</v>
      </c>
      <c r="M2" s="114">
        <v>0</v>
      </c>
      <c r="N2" s="114">
        <v>0</v>
      </c>
      <c r="O2" s="114">
        <v>0</v>
      </c>
      <c r="P2" s="114">
        <v>0</v>
      </c>
      <c r="Q2" s="114">
        <v>0</v>
      </c>
      <c r="R2" s="114">
        <v>0</v>
      </c>
      <c r="S2" s="114">
        <v>0</v>
      </c>
      <c r="T2" s="114">
        <v>0</v>
      </c>
      <c r="U2" s="114">
        <v>0</v>
      </c>
      <c r="V2" s="114">
        <v>0</v>
      </c>
      <c r="W2" s="114">
        <v>0</v>
      </c>
      <c r="X2" s="114">
        <v>0</v>
      </c>
      <c r="Y2" s="114">
        <v>0</v>
      </c>
      <c r="Z2" s="114">
        <v>0.8</v>
      </c>
      <c r="AA2" s="114">
        <v>0</v>
      </c>
      <c r="AB2" s="114">
        <v>0</v>
      </c>
      <c r="AC2" s="114">
        <v>0</v>
      </c>
      <c r="AD2" s="114">
        <v>0</v>
      </c>
      <c r="AE2" s="114">
        <v>0</v>
      </c>
      <c r="AF2" s="114">
        <v>0</v>
      </c>
      <c r="AG2" s="114">
        <v>0</v>
      </c>
      <c r="AH2" s="114">
        <v>0</v>
      </c>
      <c r="AI2" s="114">
        <v>0</v>
      </c>
      <c r="AJ2" s="114">
        <v>0</v>
      </c>
      <c r="AK2" s="114">
        <v>0</v>
      </c>
      <c r="AL2" s="114">
        <v>0</v>
      </c>
      <c r="AM2" s="114">
        <v>0</v>
      </c>
      <c r="AN2" s="114">
        <v>0</v>
      </c>
      <c r="AO2" s="114">
        <v>0</v>
      </c>
      <c r="AP2" s="114">
        <v>0</v>
      </c>
      <c r="AQ2" s="114">
        <v>0</v>
      </c>
      <c r="AR2" s="114">
        <v>0</v>
      </c>
      <c r="AS2" s="114">
        <v>0</v>
      </c>
      <c r="AT2" s="114">
        <v>0</v>
      </c>
      <c r="AU2" s="114">
        <v>0</v>
      </c>
      <c r="AV2" s="114">
        <v>0</v>
      </c>
      <c r="AW2" s="114">
        <v>0</v>
      </c>
      <c r="AX2" s="114">
        <v>0</v>
      </c>
      <c r="AY2" s="114">
        <v>0</v>
      </c>
      <c r="AZ2" s="114">
        <v>0</v>
      </c>
      <c r="BA2" s="114">
        <v>0</v>
      </c>
      <c r="BB2" s="114">
        <v>0</v>
      </c>
      <c r="BC2" s="114">
        <v>0</v>
      </c>
      <c r="BD2" s="114">
        <v>0</v>
      </c>
      <c r="BE2" s="114">
        <v>0</v>
      </c>
      <c r="BF2" s="114">
        <v>0</v>
      </c>
      <c r="BG2" s="114">
        <v>0</v>
      </c>
      <c r="BH2" s="114">
        <v>0</v>
      </c>
      <c r="BI2" s="114">
        <v>0</v>
      </c>
      <c r="BJ2" s="114">
        <v>0</v>
      </c>
      <c r="BK2" s="114">
        <v>0</v>
      </c>
      <c r="BL2" s="114">
        <v>0</v>
      </c>
      <c r="BM2" s="114">
        <v>0</v>
      </c>
      <c r="BN2" s="114">
        <v>0</v>
      </c>
      <c r="BO2" s="114">
        <v>0</v>
      </c>
      <c r="BP2" s="114">
        <v>0</v>
      </c>
      <c r="BQ2" s="114">
        <v>0</v>
      </c>
      <c r="BR2" s="114">
        <v>0</v>
      </c>
      <c r="BS2" s="114">
        <v>0</v>
      </c>
      <c r="BT2" s="114">
        <v>0</v>
      </c>
      <c r="BU2" s="114">
        <v>0</v>
      </c>
      <c r="BV2" s="114">
        <v>0</v>
      </c>
      <c r="BW2" s="114">
        <v>0</v>
      </c>
      <c r="BX2" s="114">
        <v>0</v>
      </c>
      <c r="BY2" s="114">
        <v>0</v>
      </c>
      <c r="BZ2" s="114">
        <v>0</v>
      </c>
      <c r="CA2" s="114">
        <v>0</v>
      </c>
      <c r="CB2" s="114">
        <v>0</v>
      </c>
      <c r="CC2" s="114">
        <v>0</v>
      </c>
      <c r="CD2" s="114">
        <v>0</v>
      </c>
      <c r="CE2" s="114">
        <v>0</v>
      </c>
      <c r="CF2" s="114">
        <v>0</v>
      </c>
      <c r="CG2" s="114">
        <v>0</v>
      </c>
      <c r="CH2" s="114">
        <v>0</v>
      </c>
      <c r="CI2" s="114">
        <v>0</v>
      </c>
      <c r="CJ2" s="114">
        <v>0</v>
      </c>
      <c r="CK2" s="114">
        <v>0</v>
      </c>
      <c r="CL2" s="114">
        <v>0</v>
      </c>
      <c r="CM2" s="114">
        <v>0</v>
      </c>
      <c r="CN2" s="114">
        <v>0</v>
      </c>
      <c r="CO2" s="114">
        <v>0</v>
      </c>
      <c r="CP2" s="114">
        <v>0</v>
      </c>
      <c r="CQ2" s="114">
        <v>0</v>
      </c>
      <c r="CR2" s="114">
        <v>0</v>
      </c>
      <c r="CS2" s="114">
        <v>0</v>
      </c>
      <c r="CT2" s="114">
        <v>0</v>
      </c>
      <c r="CU2" s="114">
        <v>0</v>
      </c>
      <c r="CV2" s="114">
        <v>0</v>
      </c>
    </row>
    <row r="3" spans="1:100" customFormat="1" x14ac:dyDescent="0.15">
      <c r="A3" s="191" t="s">
        <v>193</v>
      </c>
      <c r="B3" s="114">
        <v>0</v>
      </c>
      <c r="C3" s="114">
        <v>0</v>
      </c>
      <c r="D3" s="114">
        <v>0</v>
      </c>
      <c r="E3" s="114">
        <v>0</v>
      </c>
      <c r="F3" s="114">
        <v>0</v>
      </c>
      <c r="G3" s="114">
        <v>0</v>
      </c>
      <c r="H3" s="114">
        <v>0</v>
      </c>
      <c r="I3" s="114">
        <v>0</v>
      </c>
      <c r="J3" s="114">
        <v>0</v>
      </c>
      <c r="K3" s="114">
        <v>0</v>
      </c>
      <c r="L3" s="114">
        <v>0</v>
      </c>
      <c r="M3" s="114">
        <v>0</v>
      </c>
      <c r="N3" s="114">
        <v>0</v>
      </c>
      <c r="O3" s="114">
        <v>0</v>
      </c>
      <c r="P3" s="114">
        <v>0</v>
      </c>
      <c r="Q3" s="114">
        <v>0</v>
      </c>
      <c r="R3" s="114">
        <v>0</v>
      </c>
      <c r="S3" s="114">
        <v>0</v>
      </c>
      <c r="T3" s="114">
        <v>0</v>
      </c>
      <c r="U3" s="114">
        <v>0</v>
      </c>
      <c r="V3" s="114">
        <v>0</v>
      </c>
      <c r="W3" s="114">
        <v>0</v>
      </c>
      <c r="X3" s="114">
        <v>0</v>
      </c>
      <c r="Y3" s="114">
        <v>0</v>
      </c>
      <c r="Z3" s="114">
        <v>0.8</v>
      </c>
      <c r="AA3" s="114">
        <v>0</v>
      </c>
      <c r="AB3" s="114">
        <v>0</v>
      </c>
      <c r="AC3" s="114">
        <v>0</v>
      </c>
      <c r="AD3" s="114">
        <v>0</v>
      </c>
      <c r="AE3" s="114">
        <v>0</v>
      </c>
      <c r="AF3" s="114">
        <v>0</v>
      </c>
      <c r="AG3" s="114">
        <v>0</v>
      </c>
      <c r="AH3" s="114">
        <v>0</v>
      </c>
      <c r="AI3" s="114">
        <v>0</v>
      </c>
      <c r="AJ3" s="114">
        <v>0</v>
      </c>
      <c r="AK3" s="114">
        <v>0</v>
      </c>
      <c r="AL3" s="114">
        <v>0</v>
      </c>
      <c r="AM3" s="114">
        <v>0</v>
      </c>
      <c r="AN3" s="114">
        <v>0</v>
      </c>
      <c r="AO3" s="114">
        <v>0</v>
      </c>
      <c r="AP3" s="114">
        <v>0</v>
      </c>
      <c r="AQ3" s="114">
        <v>0</v>
      </c>
      <c r="AR3" s="114">
        <v>0</v>
      </c>
      <c r="AS3" s="114">
        <v>0</v>
      </c>
      <c r="AT3" s="114">
        <v>0</v>
      </c>
      <c r="AU3" s="114">
        <v>0</v>
      </c>
      <c r="AV3" s="114">
        <v>0</v>
      </c>
      <c r="AW3" s="114">
        <v>0</v>
      </c>
      <c r="AX3" s="114">
        <v>0</v>
      </c>
      <c r="AY3" s="114">
        <v>0</v>
      </c>
      <c r="AZ3" s="114">
        <v>0</v>
      </c>
      <c r="BA3" s="114">
        <v>0</v>
      </c>
      <c r="BB3" s="114">
        <v>0</v>
      </c>
      <c r="BC3" s="114">
        <v>0</v>
      </c>
      <c r="BD3" s="114">
        <v>0</v>
      </c>
      <c r="BE3" s="114">
        <v>0</v>
      </c>
      <c r="BF3" s="114">
        <v>0</v>
      </c>
      <c r="BG3" s="114">
        <v>0</v>
      </c>
      <c r="BH3" s="114">
        <v>0</v>
      </c>
      <c r="BI3" s="114">
        <v>0</v>
      </c>
      <c r="BJ3" s="114">
        <v>0</v>
      </c>
      <c r="BK3" s="114">
        <v>0</v>
      </c>
      <c r="BL3" s="114">
        <v>0</v>
      </c>
      <c r="BM3" s="114">
        <v>0</v>
      </c>
      <c r="BN3" s="114">
        <v>0</v>
      </c>
      <c r="BO3" s="114">
        <v>0</v>
      </c>
      <c r="BP3" s="114">
        <v>0</v>
      </c>
      <c r="BQ3" s="114">
        <v>0</v>
      </c>
      <c r="BR3" s="114">
        <v>0</v>
      </c>
      <c r="BS3" s="114">
        <v>0</v>
      </c>
      <c r="BT3" s="114">
        <v>0</v>
      </c>
      <c r="BU3" s="114">
        <v>0</v>
      </c>
      <c r="BV3" s="114">
        <v>0</v>
      </c>
      <c r="BW3" s="114">
        <v>0</v>
      </c>
      <c r="BX3" s="114">
        <v>0</v>
      </c>
      <c r="BY3" s="114">
        <v>0</v>
      </c>
      <c r="BZ3" s="114">
        <v>0</v>
      </c>
      <c r="CA3" s="114">
        <v>0</v>
      </c>
      <c r="CB3" s="114">
        <v>0</v>
      </c>
      <c r="CC3" s="114">
        <v>0</v>
      </c>
      <c r="CD3" s="114">
        <v>0</v>
      </c>
      <c r="CE3" s="114">
        <v>0</v>
      </c>
      <c r="CF3" s="114">
        <v>0</v>
      </c>
      <c r="CG3" s="114">
        <v>0</v>
      </c>
      <c r="CH3" s="114">
        <v>0</v>
      </c>
      <c r="CI3" s="114">
        <v>0</v>
      </c>
      <c r="CJ3" s="114">
        <v>0</v>
      </c>
      <c r="CK3" s="114">
        <v>0</v>
      </c>
      <c r="CL3" s="114">
        <v>0</v>
      </c>
      <c r="CM3" s="114">
        <v>0</v>
      </c>
      <c r="CN3" s="114">
        <v>0</v>
      </c>
      <c r="CO3" s="114">
        <v>0</v>
      </c>
      <c r="CP3" s="114">
        <v>0</v>
      </c>
      <c r="CQ3" s="114">
        <v>0</v>
      </c>
      <c r="CR3" s="114">
        <v>0</v>
      </c>
      <c r="CS3" s="114">
        <v>0</v>
      </c>
      <c r="CT3" s="114">
        <v>0</v>
      </c>
      <c r="CU3" s="114">
        <v>0</v>
      </c>
      <c r="CV3" s="114">
        <v>0</v>
      </c>
    </row>
    <row r="4" spans="1:100" customFormat="1" x14ac:dyDescent="0.15">
      <c r="A4" s="191" t="s">
        <v>194</v>
      </c>
      <c r="B4" s="114">
        <v>0</v>
      </c>
      <c r="C4" s="114">
        <v>0</v>
      </c>
      <c r="D4" s="114">
        <v>0</v>
      </c>
      <c r="E4" s="114">
        <v>0</v>
      </c>
      <c r="F4" s="114">
        <v>0</v>
      </c>
      <c r="G4" s="114">
        <v>0</v>
      </c>
      <c r="H4" s="114">
        <v>0</v>
      </c>
      <c r="I4" s="114">
        <v>0</v>
      </c>
      <c r="J4" s="114">
        <v>0</v>
      </c>
      <c r="K4" s="114">
        <v>0</v>
      </c>
      <c r="L4" s="114">
        <v>0</v>
      </c>
      <c r="M4" s="114">
        <v>0</v>
      </c>
      <c r="N4" s="114">
        <v>0</v>
      </c>
      <c r="O4" s="114">
        <v>0</v>
      </c>
      <c r="P4" s="114">
        <v>0</v>
      </c>
      <c r="Q4" s="114">
        <v>0</v>
      </c>
      <c r="R4" s="114">
        <v>0</v>
      </c>
      <c r="S4" s="114">
        <v>0</v>
      </c>
      <c r="T4" s="114">
        <v>0</v>
      </c>
      <c r="U4" s="114">
        <v>0</v>
      </c>
      <c r="V4" s="114">
        <v>0</v>
      </c>
      <c r="W4" s="114">
        <v>0</v>
      </c>
      <c r="X4" s="114">
        <v>0</v>
      </c>
      <c r="Y4" s="114">
        <v>0</v>
      </c>
      <c r="Z4" s="114">
        <v>0.8</v>
      </c>
      <c r="AA4" s="114">
        <v>0</v>
      </c>
      <c r="AB4" s="114">
        <v>0</v>
      </c>
      <c r="AC4" s="114">
        <v>0</v>
      </c>
      <c r="AD4" s="114">
        <v>0</v>
      </c>
      <c r="AE4" s="114">
        <v>0</v>
      </c>
      <c r="AF4" s="114">
        <v>0</v>
      </c>
      <c r="AG4" s="114">
        <v>0</v>
      </c>
      <c r="AH4" s="114">
        <v>0</v>
      </c>
      <c r="AI4" s="114">
        <v>0</v>
      </c>
      <c r="AJ4" s="114">
        <v>0</v>
      </c>
      <c r="AK4" s="114">
        <v>0</v>
      </c>
      <c r="AL4" s="114">
        <v>0</v>
      </c>
      <c r="AM4" s="114">
        <v>0</v>
      </c>
      <c r="AN4" s="114">
        <v>0</v>
      </c>
      <c r="AO4" s="114">
        <v>0</v>
      </c>
      <c r="AP4" s="114">
        <v>0</v>
      </c>
      <c r="AQ4" s="114">
        <v>0</v>
      </c>
      <c r="AR4" s="114">
        <v>0</v>
      </c>
      <c r="AS4" s="114">
        <v>0</v>
      </c>
      <c r="AT4" s="114">
        <v>0</v>
      </c>
      <c r="AU4" s="114">
        <v>0</v>
      </c>
      <c r="AV4" s="114">
        <v>0</v>
      </c>
      <c r="AW4" s="114">
        <v>0</v>
      </c>
      <c r="AX4" s="114">
        <v>0</v>
      </c>
      <c r="AY4" s="114">
        <v>0</v>
      </c>
      <c r="AZ4" s="114">
        <v>0</v>
      </c>
      <c r="BA4" s="114">
        <v>0</v>
      </c>
      <c r="BB4" s="114">
        <v>0</v>
      </c>
      <c r="BC4" s="114">
        <v>0</v>
      </c>
      <c r="BD4" s="114">
        <v>0</v>
      </c>
      <c r="BE4" s="114">
        <v>0</v>
      </c>
      <c r="BF4" s="114">
        <v>0</v>
      </c>
      <c r="BG4" s="114">
        <v>0</v>
      </c>
      <c r="BH4" s="114">
        <v>0</v>
      </c>
      <c r="BI4" s="114">
        <v>0</v>
      </c>
      <c r="BJ4" s="114">
        <v>0</v>
      </c>
      <c r="BK4" s="114">
        <v>0</v>
      </c>
      <c r="BL4" s="114">
        <v>0</v>
      </c>
      <c r="BM4" s="114">
        <v>0</v>
      </c>
      <c r="BN4" s="114">
        <v>0</v>
      </c>
      <c r="BO4" s="114">
        <v>0</v>
      </c>
      <c r="BP4" s="114">
        <v>0</v>
      </c>
      <c r="BQ4" s="114">
        <v>0</v>
      </c>
      <c r="BR4" s="114">
        <v>0</v>
      </c>
      <c r="BS4" s="114">
        <v>0</v>
      </c>
      <c r="BT4" s="114">
        <v>0</v>
      </c>
      <c r="BU4" s="114">
        <v>0</v>
      </c>
      <c r="BV4" s="114">
        <v>0</v>
      </c>
      <c r="BW4" s="114">
        <v>0</v>
      </c>
      <c r="BX4" s="114">
        <v>0</v>
      </c>
      <c r="BY4" s="114">
        <v>0</v>
      </c>
      <c r="BZ4" s="114">
        <v>0</v>
      </c>
      <c r="CA4" s="114">
        <v>0</v>
      </c>
      <c r="CB4" s="114">
        <v>0</v>
      </c>
      <c r="CC4" s="114">
        <v>0</v>
      </c>
      <c r="CD4" s="114">
        <v>0</v>
      </c>
      <c r="CE4" s="114">
        <v>0</v>
      </c>
      <c r="CF4" s="114">
        <v>0</v>
      </c>
      <c r="CG4" s="114">
        <v>0</v>
      </c>
      <c r="CH4" s="114">
        <v>0</v>
      </c>
      <c r="CI4" s="114">
        <v>0</v>
      </c>
      <c r="CJ4" s="114">
        <v>0</v>
      </c>
      <c r="CK4" s="114">
        <v>0</v>
      </c>
      <c r="CL4" s="114">
        <v>0</v>
      </c>
      <c r="CM4" s="114">
        <v>0</v>
      </c>
      <c r="CN4" s="114">
        <v>0</v>
      </c>
      <c r="CO4" s="114">
        <v>0</v>
      </c>
      <c r="CP4" s="114">
        <v>0</v>
      </c>
      <c r="CQ4" s="114">
        <v>0</v>
      </c>
      <c r="CR4" s="114">
        <v>0</v>
      </c>
      <c r="CS4" s="114">
        <v>0</v>
      </c>
      <c r="CT4" s="114">
        <v>0</v>
      </c>
      <c r="CU4" s="114">
        <v>0</v>
      </c>
      <c r="CV4" s="114">
        <v>0</v>
      </c>
    </row>
    <row r="5" spans="1:100" customFormat="1" x14ac:dyDescent="0.15">
      <c r="A5" s="191" t="s">
        <v>195</v>
      </c>
      <c r="B5" s="114">
        <v>0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0</v>
      </c>
      <c r="AG5" s="114">
        <v>0</v>
      </c>
      <c r="AH5" s="114">
        <v>0</v>
      </c>
      <c r="AI5" s="114">
        <v>0</v>
      </c>
      <c r="AJ5" s="114">
        <v>0</v>
      </c>
      <c r="AK5" s="114">
        <v>0</v>
      </c>
      <c r="AL5" s="114">
        <v>0</v>
      </c>
      <c r="AM5" s="114">
        <v>0</v>
      </c>
      <c r="AN5" s="114">
        <v>0</v>
      </c>
      <c r="AO5" s="114">
        <v>0</v>
      </c>
      <c r="AP5" s="114">
        <v>0</v>
      </c>
      <c r="AQ5" s="114">
        <v>0</v>
      </c>
      <c r="AR5" s="114">
        <v>0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  <c r="BB5" s="114">
        <v>0</v>
      </c>
      <c r="BC5" s="114">
        <v>0</v>
      </c>
      <c r="BD5" s="114">
        <v>0</v>
      </c>
      <c r="BE5" s="114">
        <v>0</v>
      </c>
      <c r="BF5" s="114">
        <v>0</v>
      </c>
      <c r="BG5" s="114">
        <v>0</v>
      </c>
      <c r="BH5" s="114">
        <v>0</v>
      </c>
      <c r="BI5" s="114">
        <v>0</v>
      </c>
      <c r="BJ5" s="114">
        <v>0</v>
      </c>
      <c r="BK5" s="114">
        <v>0</v>
      </c>
      <c r="BL5" s="114">
        <v>0</v>
      </c>
      <c r="BM5" s="114">
        <v>0</v>
      </c>
      <c r="BN5" s="114">
        <v>0</v>
      </c>
      <c r="BO5" s="114">
        <v>0</v>
      </c>
      <c r="BP5" s="114">
        <v>0</v>
      </c>
      <c r="BQ5" s="114">
        <v>0</v>
      </c>
      <c r="BR5" s="114">
        <v>0</v>
      </c>
      <c r="BS5" s="114">
        <v>0</v>
      </c>
      <c r="BT5" s="114">
        <v>0</v>
      </c>
      <c r="BU5" s="114">
        <v>0</v>
      </c>
      <c r="BV5" s="114">
        <v>0</v>
      </c>
      <c r="BW5" s="114">
        <v>0</v>
      </c>
      <c r="BX5" s="114">
        <v>0</v>
      </c>
      <c r="BY5" s="114">
        <v>0</v>
      </c>
      <c r="BZ5" s="114">
        <v>0</v>
      </c>
      <c r="CA5" s="114">
        <v>0</v>
      </c>
      <c r="CB5" s="114">
        <v>0</v>
      </c>
      <c r="CC5" s="114">
        <v>0</v>
      </c>
      <c r="CD5" s="114">
        <v>0</v>
      </c>
      <c r="CE5" s="114">
        <v>0</v>
      </c>
      <c r="CF5" s="114">
        <v>0</v>
      </c>
      <c r="CG5" s="114">
        <v>0</v>
      </c>
      <c r="CH5" s="114">
        <v>0</v>
      </c>
      <c r="CI5" s="114">
        <v>0</v>
      </c>
      <c r="CJ5" s="114">
        <v>0</v>
      </c>
      <c r="CK5" s="114">
        <v>0</v>
      </c>
      <c r="CL5" s="114">
        <v>0</v>
      </c>
      <c r="CM5" s="114">
        <v>0</v>
      </c>
      <c r="CN5" s="114">
        <v>0</v>
      </c>
      <c r="CO5" s="114">
        <v>0</v>
      </c>
      <c r="CP5" s="114">
        <v>0</v>
      </c>
      <c r="CQ5" s="114">
        <v>0</v>
      </c>
      <c r="CR5" s="114">
        <v>0</v>
      </c>
      <c r="CS5" s="114">
        <v>0</v>
      </c>
      <c r="CT5" s="114">
        <v>0</v>
      </c>
      <c r="CU5" s="114">
        <v>0</v>
      </c>
      <c r="CV5" s="114">
        <v>0</v>
      </c>
    </row>
    <row r="6" spans="1:100" customFormat="1" x14ac:dyDescent="0.15">
      <c r="A6" s="191" t="s">
        <v>196</v>
      </c>
      <c r="B6" s="114">
        <v>0</v>
      </c>
      <c r="C6" s="114">
        <v>0</v>
      </c>
      <c r="D6" s="114">
        <v>0</v>
      </c>
      <c r="E6" s="114">
        <v>0</v>
      </c>
      <c r="F6" s="114">
        <v>0</v>
      </c>
      <c r="G6" s="114">
        <v>0</v>
      </c>
      <c r="H6" s="114">
        <v>0</v>
      </c>
      <c r="I6" s="114">
        <v>0</v>
      </c>
      <c r="J6" s="114">
        <v>0.8</v>
      </c>
      <c r="K6" s="114">
        <v>0</v>
      </c>
      <c r="L6" s="114">
        <v>0</v>
      </c>
      <c r="M6" s="114">
        <v>0</v>
      </c>
      <c r="N6" s="114">
        <v>0</v>
      </c>
      <c r="O6" s="114">
        <v>0</v>
      </c>
      <c r="P6" s="114">
        <v>0</v>
      </c>
      <c r="Q6" s="114">
        <v>0</v>
      </c>
      <c r="R6" s="114">
        <v>0</v>
      </c>
      <c r="S6" s="114">
        <v>0</v>
      </c>
      <c r="T6" s="114">
        <v>0</v>
      </c>
      <c r="U6" s="114">
        <v>0</v>
      </c>
      <c r="V6" s="114">
        <v>0</v>
      </c>
      <c r="W6" s="114">
        <v>0</v>
      </c>
      <c r="X6" s="114">
        <v>0</v>
      </c>
      <c r="Y6" s="114">
        <v>0</v>
      </c>
      <c r="Z6" s="114">
        <v>0.8</v>
      </c>
      <c r="AA6" s="114">
        <v>0</v>
      </c>
      <c r="AB6" s="114">
        <v>0</v>
      </c>
      <c r="AC6" s="114">
        <v>0</v>
      </c>
      <c r="AD6" s="114">
        <v>0</v>
      </c>
      <c r="AE6" s="114">
        <v>0</v>
      </c>
      <c r="AF6" s="114">
        <v>0</v>
      </c>
      <c r="AG6" s="114">
        <v>0</v>
      </c>
      <c r="AH6" s="114">
        <v>0</v>
      </c>
      <c r="AI6" s="114">
        <v>0</v>
      </c>
      <c r="AJ6" s="114">
        <v>0</v>
      </c>
      <c r="AK6" s="114">
        <v>0</v>
      </c>
      <c r="AL6" s="114">
        <v>0</v>
      </c>
      <c r="AM6" s="114">
        <v>0</v>
      </c>
      <c r="AN6" s="114">
        <v>0</v>
      </c>
      <c r="AO6" s="114">
        <v>0</v>
      </c>
      <c r="AP6" s="114">
        <v>0</v>
      </c>
      <c r="AQ6" s="114">
        <v>0</v>
      </c>
      <c r="AR6" s="114">
        <v>0</v>
      </c>
      <c r="AS6" s="114">
        <v>0</v>
      </c>
      <c r="AT6" s="114">
        <v>0</v>
      </c>
      <c r="AU6" s="114">
        <v>0</v>
      </c>
      <c r="AV6" s="114">
        <v>0</v>
      </c>
      <c r="AW6" s="114">
        <v>0</v>
      </c>
      <c r="AX6" s="114">
        <v>0</v>
      </c>
      <c r="AY6" s="114">
        <v>0</v>
      </c>
      <c r="AZ6" s="114">
        <v>0</v>
      </c>
      <c r="BA6" s="114">
        <v>0</v>
      </c>
      <c r="BB6" s="114">
        <v>0</v>
      </c>
      <c r="BC6" s="114">
        <v>0</v>
      </c>
      <c r="BD6" s="114">
        <v>0</v>
      </c>
      <c r="BE6" s="114">
        <v>0</v>
      </c>
      <c r="BF6" s="114">
        <v>0</v>
      </c>
      <c r="BG6" s="114">
        <v>0</v>
      </c>
      <c r="BH6" s="114">
        <v>0</v>
      </c>
      <c r="BI6" s="114">
        <v>0</v>
      </c>
      <c r="BJ6" s="114">
        <v>0</v>
      </c>
      <c r="BK6" s="114">
        <v>0</v>
      </c>
      <c r="BL6" s="114">
        <v>0</v>
      </c>
      <c r="BM6" s="114">
        <v>0</v>
      </c>
      <c r="BN6" s="114">
        <v>0</v>
      </c>
      <c r="BO6" s="114">
        <v>0</v>
      </c>
      <c r="BP6" s="114">
        <v>0</v>
      </c>
      <c r="BQ6" s="114">
        <v>0</v>
      </c>
      <c r="BR6" s="114">
        <v>0</v>
      </c>
      <c r="BS6" s="114">
        <v>0</v>
      </c>
      <c r="BT6" s="114">
        <v>0</v>
      </c>
      <c r="BU6" s="114">
        <v>0</v>
      </c>
      <c r="BV6" s="114">
        <v>0</v>
      </c>
      <c r="BW6" s="114">
        <v>0</v>
      </c>
      <c r="BX6" s="114">
        <v>0</v>
      </c>
      <c r="BY6" s="114">
        <v>0</v>
      </c>
      <c r="BZ6" s="114">
        <v>0</v>
      </c>
      <c r="CA6" s="114">
        <v>0</v>
      </c>
      <c r="CB6" s="114">
        <v>0</v>
      </c>
      <c r="CC6" s="114">
        <v>0</v>
      </c>
      <c r="CD6" s="114">
        <v>0</v>
      </c>
      <c r="CE6" s="114">
        <v>0</v>
      </c>
      <c r="CF6" s="114">
        <v>0</v>
      </c>
      <c r="CG6" s="114">
        <v>0</v>
      </c>
      <c r="CH6" s="114">
        <v>0</v>
      </c>
      <c r="CI6" s="114">
        <v>0</v>
      </c>
      <c r="CJ6" s="114">
        <v>0</v>
      </c>
      <c r="CK6" s="114">
        <v>0</v>
      </c>
      <c r="CL6" s="114">
        <v>0</v>
      </c>
      <c r="CM6" s="114">
        <v>0</v>
      </c>
      <c r="CN6" s="114">
        <v>0</v>
      </c>
      <c r="CO6" s="114">
        <v>0</v>
      </c>
      <c r="CP6" s="114">
        <v>0</v>
      </c>
      <c r="CQ6" s="114">
        <v>0</v>
      </c>
      <c r="CR6" s="114">
        <v>0</v>
      </c>
      <c r="CS6" s="114">
        <v>0</v>
      </c>
      <c r="CT6" s="114">
        <v>0</v>
      </c>
      <c r="CU6" s="114">
        <v>0</v>
      </c>
      <c r="CV6" s="114">
        <v>0</v>
      </c>
    </row>
    <row r="7" spans="1:100" customFormat="1" x14ac:dyDescent="0.15">
      <c r="A7" s="191" t="s">
        <v>197</v>
      </c>
      <c r="B7" s="114">
        <v>0</v>
      </c>
      <c r="C7" s="114">
        <v>0</v>
      </c>
      <c r="D7" s="114">
        <v>0</v>
      </c>
      <c r="E7" s="114">
        <v>0</v>
      </c>
      <c r="F7" s="114">
        <v>0</v>
      </c>
      <c r="G7" s="114">
        <v>0</v>
      </c>
      <c r="H7" s="114">
        <v>0</v>
      </c>
      <c r="I7" s="114">
        <v>0</v>
      </c>
      <c r="J7" s="114">
        <v>0.8</v>
      </c>
      <c r="K7" s="114">
        <v>0</v>
      </c>
      <c r="L7" s="114">
        <v>0</v>
      </c>
      <c r="M7" s="114">
        <v>0</v>
      </c>
      <c r="N7" s="114">
        <v>0</v>
      </c>
      <c r="O7" s="114">
        <v>0</v>
      </c>
      <c r="P7" s="114">
        <v>0</v>
      </c>
      <c r="Q7" s="114">
        <v>0</v>
      </c>
      <c r="R7" s="114">
        <v>0</v>
      </c>
      <c r="S7" s="114">
        <v>0</v>
      </c>
      <c r="T7" s="114">
        <v>0</v>
      </c>
      <c r="U7" s="114">
        <v>0</v>
      </c>
      <c r="V7" s="114">
        <v>0</v>
      </c>
      <c r="W7" s="114">
        <v>0</v>
      </c>
      <c r="X7" s="114">
        <v>0</v>
      </c>
      <c r="Y7" s="114">
        <v>0</v>
      </c>
      <c r="Z7" s="114">
        <v>0.8</v>
      </c>
      <c r="AA7" s="114">
        <v>0</v>
      </c>
      <c r="AB7" s="114">
        <v>0</v>
      </c>
      <c r="AC7" s="114">
        <v>0</v>
      </c>
      <c r="AD7" s="114">
        <v>0</v>
      </c>
      <c r="AE7" s="114">
        <v>0</v>
      </c>
      <c r="AF7" s="114">
        <v>0</v>
      </c>
      <c r="AG7" s="114">
        <v>0</v>
      </c>
      <c r="AH7" s="114">
        <v>0</v>
      </c>
      <c r="AI7" s="114">
        <v>0</v>
      </c>
      <c r="AJ7" s="114">
        <v>0</v>
      </c>
      <c r="AK7" s="114">
        <v>0</v>
      </c>
      <c r="AL7" s="114">
        <v>0</v>
      </c>
      <c r="AM7" s="114">
        <v>0</v>
      </c>
      <c r="AN7" s="114">
        <v>0</v>
      </c>
      <c r="AO7" s="114">
        <v>0</v>
      </c>
      <c r="AP7" s="114">
        <v>0</v>
      </c>
      <c r="AQ7" s="114">
        <v>0</v>
      </c>
      <c r="AR7" s="114">
        <v>0</v>
      </c>
      <c r="AS7" s="114">
        <v>0</v>
      </c>
      <c r="AT7" s="114">
        <v>0</v>
      </c>
      <c r="AU7" s="114">
        <v>0</v>
      </c>
      <c r="AV7" s="114">
        <v>0</v>
      </c>
      <c r="AW7" s="114">
        <v>0</v>
      </c>
      <c r="AX7" s="114">
        <v>0</v>
      </c>
      <c r="AY7" s="114">
        <v>0</v>
      </c>
      <c r="AZ7" s="114">
        <v>0</v>
      </c>
      <c r="BA7" s="114">
        <v>0</v>
      </c>
      <c r="BB7" s="114">
        <v>0</v>
      </c>
      <c r="BC7" s="114">
        <v>0</v>
      </c>
      <c r="BD7" s="114">
        <v>0</v>
      </c>
      <c r="BE7" s="114">
        <v>0</v>
      </c>
      <c r="BF7" s="114">
        <v>0</v>
      </c>
      <c r="BG7" s="114">
        <v>0</v>
      </c>
      <c r="BH7" s="114">
        <v>0</v>
      </c>
      <c r="BI7" s="114">
        <v>0</v>
      </c>
      <c r="BJ7" s="114">
        <v>0</v>
      </c>
      <c r="BK7" s="114">
        <v>0</v>
      </c>
      <c r="BL7" s="114">
        <v>0</v>
      </c>
      <c r="BM7" s="114">
        <v>0</v>
      </c>
      <c r="BN7" s="114">
        <v>0</v>
      </c>
      <c r="BO7" s="114">
        <v>0</v>
      </c>
      <c r="BP7" s="114">
        <v>0</v>
      </c>
      <c r="BQ7" s="114">
        <v>0</v>
      </c>
      <c r="BR7" s="114">
        <v>0</v>
      </c>
      <c r="BS7" s="114">
        <v>0</v>
      </c>
      <c r="BT7" s="114">
        <v>0</v>
      </c>
      <c r="BU7" s="114">
        <v>0</v>
      </c>
      <c r="BV7" s="114">
        <v>0</v>
      </c>
      <c r="BW7" s="114">
        <v>0</v>
      </c>
      <c r="BX7" s="114">
        <v>0</v>
      </c>
      <c r="BY7" s="114">
        <v>0</v>
      </c>
      <c r="BZ7" s="114">
        <v>0</v>
      </c>
      <c r="CA7" s="114">
        <v>0</v>
      </c>
      <c r="CB7" s="114">
        <v>0</v>
      </c>
      <c r="CC7" s="114">
        <v>0</v>
      </c>
      <c r="CD7" s="114">
        <v>0</v>
      </c>
      <c r="CE7" s="114">
        <v>0</v>
      </c>
      <c r="CF7" s="114">
        <v>0</v>
      </c>
      <c r="CG7" s="114">
        <v>0</v>
      </c>
      <c r="CH7" s="114">
        <v>0</v>
      </c>
      <c r="CI7" s="114">
        <v>0</v>
      </c>
      <c r="CJ7" s="114">
        <v>0</v>
      </c>
      <c r="CK7" s="114">
        <v>0</v>
      </c>
      <c r="CL7" s="114">
        <v>0</v>
      </c>
      <c r="CM7" s="114">
        <v>0</v>
      </c>
      <c r="CN7" s="114">
        <v>0</v>
      </c>
      <c r="CO7" s="114">
        <v>0</v>
      </c>
      <c r="CP7" s="114">
        <v>0</v>
      </c>
      <c r="CQ7" s="114">
        <v>0</v>
      </c>
      <c r="CR7" s="114">
        <v>0</v>
      </c>
      <c r="CS7" s="114">
        <v>0</v>
      </c>
      <c r="CT7" s="114">
        <v>0</v>
      </c>
      <c r="CU7" s="114">
        <v>0</v>
      </c>
      <c r="CV7" s="114">
        <v>0</v>
      </c>
    </row>
    <row r="8" spans="1:100" customFormat="1" x14ac:dyDescent="0.15">
      <c r="A8" s="191" t="s">
        <v>198</v>
      </c>
      <c r="B8" s="114">
        <v>0</v>
      </c>
      <c r="C8" s="114">
        <v>0</v>
      </c>
      <c r="D8" s="114">
        <v>0</v>
      </c>
      <c r="E8" s="114">
        <v>0</v>
      </c>
      <c r="F8" s="114">
        <v>0</v>
      </c>
      <c r="G8" s="114">
        <v>0</v>
      </c>
      <c r="H8" s="114">
        <v>0</v>
      </c>
      <c r="I8" s="114">
        <v>0</v>
      </c>
      <c r="J8" s="114">
        <v>0.8</v>
      </c>
      <c r="K8" s="114">
        <v>0</v>
      </c>
      <c r="L8" s="114">
        <v>0</v>
      </c>
      <c r="M8" s="114">
        <v>0</v>
      </c>
      <c r="N8" s="114">
        <v>0</v>
      </c>
      <c r="O8" s="114">
        <v>0</v>
      </c>
      <c r="P8" s="114">
        <v>0</v>
      </c>
      <c r="Q8" s="114">
        <v>0</v>
      </c>
      <c r="R8" s="114">
        <v>0</v>
      </c>
      <c r="S8" s="114">
        <v>0</v>
      </c>
      <c r="T8" s="114">
        <v>0</v>
      </c>
      <c r="U8" s="114">
        <v>0</v>
      </c>
      <c r="V8" s="114">
        <v>0</v>
      </c>
      <c r="W8" s="114">
        <v>0</v>
      </c>
      <c r="X8" s="114">
        <v>0</v>
      </c>
      <c r="Y8" s="114">
        <v>0</v>
      </c>
      <c r="Z8" s="114">
        <v>0.8</v>
      </c>
      <c r="AA8" s="114">
        <v>0</v>
      </c>
      <c r="AB8" s="114">
        <v>0</v>
      </c>
      <c r="AC8" s="114">
        <v>0</v>
      </c>
      <c r="AD8" s="114">
        <v>0</v>
      </c>
      <c r="AE8" s="114">
        <v>0</v>
      </c>
      <c r="AF8" s="114">
        <v>0</v>
      </c>
      <c r="AG8" s="114">
        <v>0</v>
      </c>
      <c r="AH8" s="114">
        <v>0</v>
      </c>
      <c r="AI8" s="114">
        <v>0</v>
      </c>
      <c r="AJ8" s="114">
        <v>0</v>
      </c>
      <c r="AK8" s="114">
        <v>0</v>
      </c>
      <c r="AL8" s="114">
        <v>0</v>
      </c>
      <c r="AM8" s="114">
        <v>0</v>
      </c>
      <c r="AN8" s="114">
        <v>0</v>
      </c>
      <c r="AO8" s="114">
        <v>0</v>
      </c>
      <c r="AP8" s="114">
        <v>0</v>
      </c>
      <c r="AQ8" s="114">
        <v>0</v>
      </c>
      <c r="AR8" s="114">
        <v>0</v>
      </c>
      <c r="AS8" s="114">
        <v>0</v>
      </c>
      <c r="AT8" s="114">
        <v>0</v>
      </c>
      <c r="AU8" s="114">
        <v>0</v>
      </c>
      <c r="AV8" s="114">
        <v>0</v>
      </c>
      <c r="AW8" s="114">
        <v>0</v>
      </c>
      <c r="AX8" s="114">
        <v>0</v>
      </c>
      <c r="AY8" s="114">
        <v>0</v>
      </c>
      <c r="AZ8" s="114">
        <v>0</v>
      </c>
      <c r="BA8" s="114">
        <v>0</v>
      </c>
      <c r="BB8" s="114">
        <v>0</v>
      </c>
      <c r="BC8" s="114">
        <v>0</v>
      </c>
      <c r="BD8" s="114">
        <v>0</v>
      </c>
      <c r="BE8" s="114">
        <v>0</v>
      </c>
      <c r="BF8" s="114">
        <v>0</v>
      </c>
      <c r="BG8" s="114">
        <v>0</v>
      </c>
      <c r="BH8" s="114">
        <v>0</v>
      </c>
      <c r="BI8" s="114">
        <v>0</v>
      </c>
      <c r="BJ8" s="114">
        <v>0</v>
      </c>
      <c r="BK8" s="114">
        <v>0</v>
      </c>
      <c r="BL8" s="114">
        <v>0</v>
      </c>
      <c r="BM8" s="114">
        <v>0</v>
      </c>
      <c r="BN8" s="114">
        <v>0</v>
      </c>
      <c r="BO8" s="114">
        <v>0</v>
      </c>
      <c r="BP8" s="114">
        <v>0</v>
      </c>
      <c r="BQ8" s="114">
        <v>0</v>
      </c>
      <c r="BR8" s="114">
        <v>0</v>
      </c>
      <c r="BS8" s="114">
        <v>0</v>
      </c>
      <c r="BT8" s="114">
        <v>0</v>
      </c>
      <c r="BU8" s="114">
        <v>0</v>
      </c>
      <c r="BV8" s="114">
        <v>0</v>
      </c>
      <c r="BW8" s="114">
        <v>0</v>
      </c>
      <c r="BX8" s="114">
        <v>0</v>
      </c>
      <c r="BY8" s="114">
        <v>0</v>
      </c>
      <c r="BZ8" s="114">
        <v>0</v>
      </c>
      <c r="CA8" s="114">
        <v>0</v>
      </c>
      <c r="CB8" s="114">
        <v>0</v>
      </c>
      <c r="CC8" s="114">
        <v>0</v>
      </c>
      <c r="CD8" s="114">
        <v>0</v>
      </c>
      <c r="CE8" s="114">
        <v>0</v>
      </c>
      <c r="CF8" s="114">
        <v>0</v>
      </c>
      <c r="CG8" s="114">
        <v>0</v>
      </c>
      <c r="CH8" s="114">
        <v>0</v>
      </c>
      <c r="CI8" s="114">
        <v>0</v>
      </c>
      <c r="CJ8" s="114">
        <v>0</v>
      </c>
      <c r="CK8" s="114">
        <v>0</v>
      </c>
      <c r="CL8" s="114">
        <v>0</v>
      </c>
      <c r="CM8" s="114">
        <v>0</v>
      </c>
      <c r="CN8" s="114">
        <v>0</v>
      </c>
      <c r="CO8" s="114">
        <v>0</v>
      </c>
      <c r="CP8" s="114">
        <v>0</v>
      </c>
      <c r="CQ8" s="114">
        <v>0</v>
      </c>
      <c r="CR8" s="114">
        <v>0</v>
      </c>
      <c r="CS8" s="114">
        <v>0</v>
      </c>
      <c r="CT8" s="114">
        <v>0</v>
      </c>
      <c r="CU8" s="114">
        <v>0</v>
      </c>
      <c r="CV8" s="114">
        <v>0</v>
      </c>
    </row>
    <row r="9" spans="1:100" customFormat="1" x14ac:dyDescent="0.15">
      <c r="A9" s="191" t="s">
        <v>199</v>
      </c>
      <c r="B9" s="114">
        <v>0</v>
      </c>
      <c r="C9" s="114">
        <v>0</v>
      </c>
      <c r="D9" s="114">
        <v>0</v>
      </c>
      <c r="E9" s="114">
        <v>0</v>
      </c>
      <c r="F9" s="114">
        <v>0</v>
      </c>
      <c r="G9" s="114">
        <v>0</v>
      </c>
      <c r="H9" s="114">
        <v>0</v>
      </c>
      <c r="I9" s="114">
        <v>0</v>
      </c>
      <c r="J9" s="114">
        <v>0.8</v>
      </c>
      <c r="K9" s="114">
        <v>0</v>
      </c>
      <c r="L9" s="114">
        <v>0</v>
      </c>
      <c r="M9" s="114">
        <v>0</v>
      </c>
      <c r="N9" s="114">
        <v>0</v>
      </c>
      <c r="O9" s="114">
        <v>0</v>
      </c>
      <c r="P9" s="114">
        <v>0</v>
      </c>
      <c r="Q9" s="114">
        <v>0</v>
      </c>
      <c r="R9" s="114">
        <v>0</v>
      </c>
      <c r="S9" s="114">
        <v>0</v>
      </c>
      <c r="T9" s="114">
        <v>0</v>
      </c>
      <c r="U9" s="114">
        <v>0</v>
      </c>
      <c r="V9" s="114">
        <v>0</v>
      </c>
      <c r="W9" s="114">
        <v>0</v>
      </c>
      <c r="X9" s="114">
        <v>0</v>
      </c>
      <c r="Y9" s="114">
        <v>0</v>
      </c>
      <c r="Z9" s="114">
        <v>0.8</v>
      </c>
      <c r="AA9" s="114">
        <v>0</v>
      </c>
      <c r="AB9" s="114">
        <v>0</v>
      </c>
      <c r="AC9" s="114">
        <v>0</v>
      </c>
      <c r="AD9" s="114">
        <v>0</v>
      </c>
      <c r="AE9" s="114">
        <v>0</v>
      </c>
      <c r="AF9" s="114">
        <v>0</v>
      </c>
      <c r="AG9" s="114">
        <v>0</v>
      </c>
      <c r="AH9" s="114">
        <v>0</v>
      </c>
      <c r="AI9" s="114">
        <v>0</v>
      </c>
      <c r="AJ9" s="114">
        <v>0</v>
      </c>
      <c r="AK9" s="114">
        <v>0</v>
      </c>
      <c r="AL9" s="114">
        <v>0</v>
      </c>
      <c r="AM9" s="114">
        <v>0</v>
      </c>
      <c r="AN9" s="114">
        <v>0</v>
      </c>
      <c r="AO9" s="114">
        <v>0</v>
      </c>
      <c r="AP9" s="114">
        <v>0</v>
      </c>
      <c r="AQ9" s="114">
        <v>0</v>
      </c>
      <c r="AR9" s="114">
        <v>0</v>
      </c>
      <c r="AS9" s="114">
        <v>0</v>
      </c>
      <c r="AT9" s="114">
        <v>0</v>
      </c>
      <c r="AU9" s="114">
        <v>0</v>
      </c>
      <c r="AV9" s="114">
        <v>0</v>
      </c>
      <c r="AW9" s="114">
        <v>0</v>
      </c>
      <c r="AX9" s="114">
        <v>0</v>
      </c>
      <c r="AY9" s="114">
        <v>0</v>
      </c>
      <c r="AZ9" s="114">
        <v>0</v>
      </c>
      <c r="BA9" s="114">
        <v>0</v>
      </c>
      <c r="BB9" s="114">
        <v>0</v>
      </c>
      <c r="BC9" s="114">
        <v>0</v>
      </c>
      <c r="BD9" s="114">
        <v>0</v>
      </c>
      <c r="BE9" s="114">
        <v>0</v>
      </c>
      <c r="BF9" s="114">
        <v>0</v>
      </c>
      <c r="BG9" s="114">
        <v>0</v>
      </c>
      <c r="BH9" s="114">
        <v>0</v>
      </c>
      <c r="BI9" s="114">
        <v>0</v>
      </c>
      <c r="BJ9" s="114">
        <v>0</v>
      </c>
      <c r="BK9" s="114">
        <v>0</v>
      </c>
      <c r="BL9" s="114">
        <v>0</v>
      </c>
      <c r="BM9" s="114">
        <v>0</v>
      </c>
      <c r="BN9" s="114">
        <v>0</v>
      </c>
      <c r="BO9" s="114">
        <v>0</v>
      </c>
      <c r="BP9" s="114">
        <v>0</v>
      </c>
      <c r="BQ9" s="114">
        <v>0</v>
      </c>
      <c r="BR9" s="114">
        <v>0</v>
      </c>
      <c r="BS9" s="114">
        <v>0</v>
      </c>
      <c r="BT9" s="114">
        <v>0</v>
      </c>
      <c r="BU9" s="114">
        <v>0</v>
      </c>
      <c r="BV9" s="114">
        <v>0</v>
      </c>
      <c r="BW9" s="114">
        <v>0</v>
      </c>
      <c r="BX9" s="114">
        <v>0</v>
      </c>
      <c r="BY9" s="114">
        <v>0</v>
      </c>
      <c r="BZ9" s="114">
        <v>0</v>
      </c>
      <c r="CA9" s="114">
        <v>0</v>
      </c>
      <c r="CB9" s="114">
        <v>0</v>
      </c>
      <c r="CC9" s="114">
        <v>0</v>
      </c>
      <c r="CD9" s="114">
        <v>0</v>
      </c>
      <c r="CE9" s="114">
        <v>0</v>
      </c>
      <c r="CF9" s="114">
        <v>0</v>
      </c>
      <c r="CG9" s="114">
        <v>0</v>
      </c>
      <c r="CH9" s="114">
        <v>0</v>
      </c>
      <c r="CI9" s="114">
        <v>0</v>
      </c>
      <c r="CJ9" s="114">
        <v>0</v>
      </c>
      <c r="CK9" s="114">
        <v>0</v>
      </c>
      <c r="CL9" s="114">
        <v>0</v>
      </c>
      <c r="CM9" s="114">
        <v>0</v>
      </c>
      <c r="CN9" s="114">
        <v>0</v>
      </c>
      <c r="CO9" s="114">
        <v>0</v>
      </c>
      <c r="CP9" s="114">
        <v>0</v>
      </c>
      <c r="CQ9" s="114">
        <v>0</v>
      </c>
      <c r="CR9" s="114">
        <v>0</v>
      </c>
      <c r="CS9" s="114">
        <v>0</v>
      </c>
      <c r="CT9" s="114">
        <v>0</v>
      </c>
      <c r="CU9" s="114">
        <v>0</v>
      </c>
      <c r="CV9" s="114">
        <v>0</v>
      </c>
    </row>
    <row r="10" spans="1:100" customFormat="1" x14ac:dyDescent="0.15">
      <c r="A10" s="191" t="s">
        <v>200</v>
      </c>
      <c r="B10" s="114">
        <v>0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0.8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  <c r="CH10" s="114">
        <v>0</v>
      </c>
      <c r="CI10" s="114">
        <v>0</v>
      </c>
      <c r="CJ10" s="114">
        <v>0</v>
      </c>
      <c r="CK10" s="114">
        <v>0</v>
      </c>
      <c r="CL10" s="114">
        <v>0</v>
      </c>
      <c r="CM10" s="114">
        <v>0</v>
      </c>
      <c r="CN10" s="114">
        <v>0</v>
      </c>
      <c r="CO10" s="114">
        <v>0</v>
      </c>
      <c r="CP10" s="114">
        <v>0</v>
      </c>
      <c r="CQ10" s="114">
        <v>0</v>
      </c>
      <c r="CR10" s="114">
        <v>0</v>
      </c>
      <c r="CS10" s="114">
        <v>0</v>
      </c>
      <c r="CT10" s="114">
        <v>0</v>
      </c>
      <c r="CU10" s="114">
        <v>0</v>
      </c>
      <c r="CV10" s="114">
        <v>0</v>
      </c>
    </row>
    <row r="11" spans="1:100" customFormat="1" x14ac:dyDescent="0.15">
      <c r="A11" s="191" t="s">
        <v>201</v>
      </c>
      <c r="B11" s="114">
        <v>0</v>
      </c>
      <c r="C11" s="114">
        <v>0</v>
      </c>
      <c r="D11" s="114">
        <v>0</v>
      </c>
      <c r="E11" s="114">
        <v>0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0.8</v>
      </c>
      <c r="L11" s="114">
        <v>0.8</v>
      </c>
      <c r="M11" s="114">
        <v>0.8</v>
      </c>
      <c r="N11" s="114">
        <v>0.8</v>
      </c>
      <c r="O11" s="114">
        <v>0.8</v>
      </c>
      <c r="P11" s="114">
        <v>0.8</v>
      </c>
      <c r="Q11" s="114">
        <v>0.8</v>
      </c>
      <c r="R11" s="114">
        <v>0.8</v>
      </c>
      <c r="S11" s="114">
        <v>0.8</v>
      </c>
      <c r="T11" s="114">
        <v>0</v>
      </c>
      <c r="U11" s="114">
        <v>0</v>
      </c>
      <c r="V11" s="114">
        <v>0.8</v>
      </c>
      <c r="W11" s="114">
        <v>0</v>
      </c>
      <c r="X11" s="114">
        <v>0.8</v>
      </c>
      <c r="Y11" s="114">
        <v>0.8</v>
      </c>
      <c r="Z11" s="114">
        <v>0.8</v>
      </c>
      <c r="AA11" s="114">
        <v>0.8</v>
      </c>
      <c r="AB11" s="114">
        <v>0</v>
      </c>
      <c r="AC11" s="114">
        <v>0</v>
      </c>
      <c r="AD11" s="114">
        <v>0</v>
      </c>
      <c r="AE11" s="114">
        <v>0</v>
      </c>
      <c r="AF11" s="114">
        <v>0.8</v>
      </c>
      <c r="AG11" s="114">
        <v>0</v>
      </c>
      <c r="AH11" s="114">
        <v>0</v>
      </c>
      <c r="AI11" s="114">
        <v>0</v>
      </c>
      <c r="AJ11" s="114">
        <v>0.8</v>
      </c>
      <c r="AK11" s="114">
        <v>0.8</v>
      </c>
      <c r="AL11" s="114">
        <v>0.8</v>
      </c>
      <c r="AM11" s="114">
        <v>0</v>
      </c>
      <c r="AN11" s="114">
        <v>0</v>
      </c>
      <c r="AO11" s="114">
        <v>0</v>
      </c>
      <c r="AP11" s="114">
        <v>0</v>
      </c>
      <c r="AQ11" s="114">
        <v>0.8</v>
      </c>
      <c r="AR11" s="114">
        <v>0.8</v>
      </c>
      <c r="AS11" s="114">
        <v>0.8</v>
      </c>
      <c r="AT11" s="114">
        <v>0.8</v>
      </c>
      <c r="AU11" s="114">
        <v>0</v>
      </c>
      <c r="AV11" s="114">
        <v>0</v>
      </c>
      <c r="AW11" s="114">
        <v>0.8</v>
      </c>
      <c r="AX11" s="114">
        <v>0.8</v>
      </c>
      <c r="AY11" s="114">
        <v>0</v>
      </c>
      <c r="AZ11" s="114">
        <v>0</v>
      </c>
      <c r="BA11" s="114">
        <v>0.8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0.8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  <c r="CH11" s="114">
        <v>0</v>
      </c>
      <c r="CI11" s="114">
        <v>0</v>
      </c>
      <c r="CJ11" s="114">
        <v>0</v>
      </c>
      <c r="CK11" s="114">
        <v>0</v>
      </c>
      <c r="CL11" s="114">
        <v>0</v>
      </c>
      <c r="CM11" s="114">
        <v>0</v>
      </c>
      <c r="CN11" s="114">
        <v>0</v>
      </c>
      <c r="CO11" s="114">
        <v>0</v>
      </c>
      <c r="CP11" s="114">
        <v>0</v>
      </c>
      <c r="CQ11" s="114">
        <v>0</v>
      </c>
      <c r="CR11" s="114">
        <v>0</v>
      </c>
      <c r="CS11" s="114">
        <v>0</v>
      </c>
      <c r="CT11" s="114">
        <v>0</v>
      </c>
      <c r="CU11" s="114">
        <v>0</v>
      </c>
      <c r="CV11" s="114">
        <v>0</v>
      </c>
    </row>
    <row r="12" spans="1:100" customFormat="1" x14ac:dyDescent="0.15">
      <c r="A12" s="191" t="s">
        <v>202</v>
      </c>
      <c r="B12" s="114">
        <v>0</v>
      </c>
      <c r="C12" s="114">
        <v>0</v>
      </c>
      <c r="D12" s="114">
        <v>0</v>
      </c>
      <c r="E12" s="114">
        <v>0</v>
      </c>
      <c r="F12" s="114">
        <v>0</v>
      </c>
      <c r="G12" s="114">
        <v>0</v>
      </c>
      <c r="H12" s="114">
        <v>0</v>
      </c>
      <c r="I12" s="114">
        <v>0</v>
      </c>
      <c r="J12" s="114">
        <v>0</v>
      </c>
      <c r="K12" s="114">
        <v>0.8</v>
      </c>
      <c r="L12" s="114">
        <v>0.8</v>
      </c>
      <c r="M12" s="114">
        <v>0.8</v>
      </c>
      <c r="N12" s="114">
        <v>0.8</v>
      </c>
      <c r="O12" s="114">
        <v>0.8</v>
      </c>
      <c r="P12" s="114">
        <v>0.8</v>
      </c>
      <c r="Q12" s="114">
        <v>0.8</v>
      </c>
      <c r="R12" s="114">
        <v>0.8</v>
      </c>
      <c r="S12" s="114">
        <v>0.8</v>
      </c>
      <c r="T12" s="114">
        <v>0</v>
      </c>
      <c r="U12" s="114">
        <v>0</v>
      </c>
      <c r="V12" s="114">
        <v>0.8</v>
      </c>
      <c r="W12" s="114">
        <v>0</v>
      </c>
      <c r="X12" s="114">
        <v>0.8</v>
      </c>
      <c r="Y12" s="114">
        <v>0.8</v>
      </c>
      <c r="Z12" s="114">
        <v>0.8</v>
      </c>
      <c r="AA12" s="114">
        <v>0.8</v>
      </c>
      <c r="AB12" s="114">
        <v>0</v>
      </c>
      <c r="AC12" s="114">
        <v>0</v>
      </c>
      <c r="AD12" s="114">
        <v>0</v>
      </c>
      <c r="AE12" s="114">
        <v>0</v>
      </c>
      <c r="AF12" s="114">
        <v>0.8</v>
      </c>
      <c r="AG12" s="114">
        <v>0</v>
      </c>
      <c r="AH12" s="114">
        <v>0</v>
      </c>
      <c r="AI12" s="114">
        <v>0</v>
      </c>
      <c r="AJ12" s="114">
        <v>0.8</v>
      </c>
      <c r="AK12" s="114">
        <v>0.8</v>
      </c>
      <c r="AL12" s="114">
        <v>0.8</v>
      </c>
      <c r="AM12" s="114">
        <v>0</v>
      </c>
      <c r="AN12" s="114">
        <v>0</v>
      </c>
      <c r="AO12" s="114">
        <v>0</v>
      </c>
      <c r="AP12" s="114">
        <v>0</v>
      </c>
      <c r="AQ12" s="114">
        <v>0.8</v>
      </c>
      <c r="AR12" s="114">
        <v>0.8</v>
      </c>
      <c r="AS12" s="114">
        <v>0.8</v>
      </c>
      <c r="AT12" s="114">
        <v>0.8</v>
      </c>
      <c r="AU12" s="114">
        <v>0</v>
      </c>
      <c r="AV12" s="114">
        <v>0</v>
      </c>
      <c r="AW12" s="114">
        <v>0.8</v>
      </c>
      <c r="AX12" s="114">
        <v>0.8</v>
      </c>
      <c r="AY12" s="114">
        <v>0</v>
      </c>
      <c r="AZ12" s="114">
        <v>0</v>
      </c>
      <c r="BA12" s="114">
        <v>0.8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0.8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  <c r="CH12" s="114">
        <v>0</v>
      </c>
      <c r="CI12" s="114">
        <v>0</v>
      </c>
      <c r="CJ12" s="114">
        <v>0</v>
      </c>
      <c r="CK12" s="114">
        <v>0</v>
      </c>
      <c r="CL12" s="114">
        <v>0</v>
      </c>
      <c r="CM12" s="114">
        <v>0</v>
      </c>
      <c r="CN12" s="114">
        <v>0</v>
      </c>
      <c r="CO12" s="114">
        <v>0</v>
      </c>
      <c r="CP12" s="114">
        <v>0</v>
      </c>
      <c r="CQ12" s="114">
        <v>0</v>
      </c>
      <c r="CR12" s="114">
        <v>0</v>
      </c>
      <c r="CS12" s="114">
        <v>0</v>
      </c>
      <c r="CT12" s="114">
        <v>0</v>
      </c>
      <c r="CU12" s="114">
        <v>0</v>
      </c>
      <c r="CV12" s="114">
        <v>0</v>
      </c>
    </row>
    <row r="13" spans="1:100" customFormat="1" x14ac:dyDescent="0.15">
      <c r="A13" s="191" t="s">
        <v>203</v>
      </c>
      <c r="B13" s="114">
        <v>0</v>
      </c>
      <c r="C13" s="114">
        <v>0</v>
      </c>
      <c r="D13" s="114">
        <v>0</v>
      </c>
      <c r="E13" s="114">
        <v>0</v>
      </c>
      <c r="F13" s="114">
        <v>0</v>
      </c>
      <c r="G13" s="114">
        <v>0</v>
      </c>
      <c r="H13" s="114">
        <v>0</v>
      </c>
      <c r="I13" s="114">
        <v>0</v>
      </c>
      <c r="J13" s="114">
        <v>0</v>
      </c>
      <c r="K13" s="114">
        <v>0.8</v>
      </c>
      <c r="L13" s="114">
        <v>0.8</v>
      </c>
      <c r="M13" s="114">
        <v>0.8</v>
      </c>
      <c r="N13" s="114">
        <v>0.8</v>
      </c>
      <c r="O13" s="114">
        <v>0</v>
      </c>
      <c r="P13" s="114">
        <v>0</v>
      </c>
      <c r="Q13" s="114">
        <v>0.8</v>
      </c>
      <c r="R13" s="114">
        <v>0.8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0.8</v>
      </c>
      <c r="AI13" s="114">
        <v>0.8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0.8</v>
      </c>
      <c r="AR13" s="114">
        <v>0.8</v>
      </c>
      <c r="AS13" s="114">
        <v>0.8</v>
      </c>
      <c r="AT13" s="114">
        <v>0.8</v>
      </c>
      <c r="AU13" s="114">
        <v>0.8</v>
      </c>
      <c r="AV13" s="114">
        <v>0.8</v>
      </c>
      <c r="AW13" s="114">
        <v>0</v>
      </c>
      <c r="AX13" s="114">
        <v>0</v>
      </c>
      <c r="AY13" s="114">
        <v>0.8</v>
      </c>
      <c r="AZ13" s="114">
        <v>0.8</v>
      </c>
      <c r="BA13" s="114">
        <v>0.8</v>
      </c>
      <c r="BB13" s="114">
        <v>0.8</v>
      </c>
      <c r="BC13" s="114">
        <v>0.8</v>
      </c>
      <c r="BD13" s="114">
        <v>0.8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0.8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  <c r="CH13" s="114">
        <v>0</v>
      </c>
      <c r="CI13" s="114">
        <v>0</v>
      </c>
      <c r="CJ13" s="114">
        <v>0</v>
      </c>
      <c r="CK13" s="114">
        <v>0</v>
      </c>
      <c r="CL13" s="114">
        <v>0.8</v>
      </c>
      <c r="CM13" s="114">
        <v>0</v>
      </c>
      <c r="CN13" s="114">
        <v>0</v>
      </c>
      <c r="CO13" s="114">
        <v>0</v>
      </c>
      <c r="CP13" s="114">
        <v>0</v>
      </c>
      <c r="CQ13" s="114">
        <v>0</v>
      </c>
      <c r="CR13" s="114">
        <v>0</v>
      </c>
      <c r="CS13" s="114">
        <v>0</v>
      </c>
      <c r="CT13" s="114">
        <v>0</v>
      </c>
      <c r="CU13" s="114">
        <v>0</v>
      </c>
      <c r="CV13" s="114">
        <v>0</v>
      </c>
    </row>
    <row r="14" spans="1:100" customFormat="1" x14ac:dyDescent="0.15">
      <c r="A14" s="191" t="s">
        <v>204</v>
      </c>
      <c r="B14" s="114">
        <v>0</v>
      </c>
      <c r="C14" s="114">
        <v>0</v>
      </c>
      <c r="D14" s="114">
        <v>0</v>
      </c>
      <c r="E14" s="114">
        <v>0</v>
      </c>
      <c r="F14" s="114">
        <v>0</v>
      </c>
      <c r="G14" s="114">
        <v>0</v>
      </c>
      <c r="H14" s="114">
        <v>0</v>
      </c>
      <c r="I14" s="114">
        <v>0</v>
      </c>
      <c r="J14" s="114">
        <v>0</v>
      </c>
      <c r="K14" s="114">
        <v>0.8</v>
      </c>
      <c r="L14" s="114">
        <v>0.8</v>
      </c>
      <c r="M14" s="114">
        <v>0.8</v>
      </c>
      <c r="N14" s="114">
        <v>0.8</v>
      </c>
      <c r="O14" s="114">
        <v>0.8</v>
      </c>
      <c r="P14" s="114">
        <v>0.8</v>
      </c>
      <c r="Q14" s="114">
        <v>0.8</v>
      </c>
      <c r="R14" s="114">
        <v>0.8</v>
      </c>
      <c r="S14" s="114">
        <v>0.8</v>
      </c>
      <c r="T14" s="114">
        <v>0</v>
      </c>
      <c r="U14" s="114">
        <v>0</v>
      </c>
      <c r="V14" s="114">
        <v>0.8</v>
      </c>
      <c r="W14" s="114">
        <v>0</v>
      </c>
      <c r="X14" s="114">
        <v>0.8</v>
      </c>
      <c r="Y14" s="114">
        <v>0.8</v>
      </c>
      <c r="Z14" s="114">
        <v>0.8</v>
      </c>
      <c r="AA14" s="114">
        <v>0.8</v>
      </c>
      <c r="AB14" s="114">
        <v>0</v>
      </c>
      <c r="AC14" s="114">
        <v>0</v>
      </c>
      <c r="AD14" s="114">
        <v>0</v>
      </c>
      <c r="AE14" s="114">
        <v>0</v>
      </c>
      <c r="AF14" s="114">
        <v>0.8</v>
      </c>
      <c r="AG14" s="114">
        <v>0</v>
      </c>
      <c r="AH14" s="114">
        <v>0</v>
      </c>
      <c r="AI14" s="114">
        <v>0</v>
      </c>
      <c r="AJ14" s="114">
        <v>0</v>
      </c>
      <c r="AK14" s="114">
        <v>0.8</v>
      </c>
      <c r="AL14" s="114">
        <v>0.8</v>
      </c>
      <c r="AM14" s="114">
        <v>0</v>
      </c>
      <c r="AN14" s="114">
        <v>0</v>
      </c>
      <c r="AO14" s="114">
        <v>0</v>
      </c>
      <c r="AP14" s="114">
        <v>0</v>
      </c>
      <c r="AQ14" s="114">
        <v>0.8</v>
      </c>
      <c r="AR14" s="114">
        <v>0.8</v>
      </c>
      <c r="AS14" s="114">
        <v>0.8</v>
      </c>
      <c r="AT14" s="114">
        <v>0</v>
      </c>
      <c r="AU14" s="114">
        <v>0</v>
      </c>
      <c r="AV14" s="114">
        <v>0</v>
      </c>
      <c r="AW14" s="114">
        <v>0.8</v>
      </c>
      <c r="AX14" s="114">
        <v>0</v>
      </c>
      <c r="AY14" s="114">
        <v>0</v>
      </c>
      <c r="AZ14" s="114">
        <v>0</v>
      </c>
      <c r="BA14" s="114">
        <v>0.8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0.8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  <c r="CH14" s="114">
        <v>0</v>
      </c>
      <c r="CI14" s="114">
        <v>0</v>
      </c>
      <c r="CJ14" s="114">
        <v>0</v>
      </c>
      <c r="CK14" s="114">
        <v>0</v>
      </c>
      <c r="CL14" s="114">
        <v>0</v>
      </c>
      <c r="CM14" s="114">
        <v>0</v>
      </c>
      <c r="CN14" s="114">
        <v>0</v>
      </c>
      <c r="CO14" s="114">
        <v>0</v>
      </c>
      <c r="CP14" s="114">
        <v>0</v>
      </c>
      <c r="CQ14" s="114">
        <v>0</v>
      </c>
      <c r="CR14" s="114">
        <v>0</v>
      </c>
      <c r="CS14" s="114">
        <v>0</v>
      </c>
      <c r="CT14" s="114">
        <v>0</v>
      </c>
      <c r="CU14" s="114">
        <v>0</v>
      </c>
      <c r="CV14" s="114">
        <v>0</v>
      </c>
    </row>
    <row r="15" spans="1:100" customFormat="1" x14ac:dyDescent="0.15">
      <c r="A15" s="191" t="s">
        <v>205</v>
      </c>
      <c r="B15" s="114">
        <v>0</v>
      </c>
      <c r="C15" s="114">
        <v>0</v>
      </c>
      <c r="D15" s="114">
        <v>0</v>
      </c>
      <c r="E15" s="114">
        <v>0</v>
      </c>
      <c r="F15" s="114">
        <v>0</v>
      </c>
      <c r="G15" s="114">
        <v>0</v>
      </c>
      <c r="H15" s="114">
        <v>0</v>
      </c>
      <c r="I15" s="114">
        <v>0</v>
      </c>
      <c r="J15" s="114">
        <v>0</v>
      </c>
      <c r="K15" s="114">
        <v>0.8</v>
      </c>
      <c r="L15" s="114">
        <v>0.8</v>
      </c>
      <c r="M15" s="114">
        <v>0.8</v>
      </c>
      <c r="N15" s="114">
        <v>0.8</v>
      </c>
      <c r="O15" s="114">
        <v>0.8</v>
      </c>
      <c r="P15" s="114">
        <v>0.8</v>
      </c>
      <c r="Q15" s="114">
        <v>0.8</v>
      </c>
      <c r="R15" s="114">
        <v>0.8</v>
      </c>
      <c r="S15" s="114">
        <v>0.8</v>
      </c>
      <c r="T15" s="114">
        <v>0</v>
      </c>
      <c r="U15" s="114">
        <v>0</v>
      </c>
      <c r="V15" s="114">
        <v>0.8</v>
      </c>
      <c r="W15" s="114">
        <v>0</v>
      </c>
      <c r="X15" s="114">
        <v>0.8</v>
      </c>
      <c r="Y15" s="114">
        <v>0.8</v>
      </c>
      <c r="Z15" s="114">
        <v>0.8</v>
      </c>
      <c r="AA15" s="114">
        <v>0.8</v>
      </c>
      <c r="AB15" s="114">
        <v>0</v>
      </c>
      <c r="AC15" s="114">
        <v>0</v>
      </c>
      <c r="AD15" s="114">
        <v>0</v>
      </c>
      <c r="AE15" s="114">
        <v>0</v>
      </c>
      <c r="AF15" s="114">
        <v>0.8</v>
      </c>
      <c r="AG15" s="114">
        <v>0</v>
      </c>
      <c r="AH15" s="114">
        <v>0</v>
      </c>
      <c r="AI15" s="114">
        <v>0</v>
      </c>
      <c r="AJ15" s="114">
        <v>0</v>
      </c>
      <c r="AK15" s="114">
        <v>0.8</v>
      </c>
      <c r="AL15" s="114">
        <v>0.8</v>
      </c>
      <c r="AM15" s="114">
        <v>0</v>
      </c>
      <c r="AN15" s="114">
        <v>0</v>
      </c>
      <c r="AO15" s="114">
        <v>0</v>
      </c>
      <c r="AP15" s="114">
        <v>0</v>
      </c>
      <c r="AQ15" s="114">
        <v>0.8</v>
      </c>
      <c r="AR15" s="114">
        <v>0.8</v>
      </c>
      <c r="AS15" s="114">
        <v>0.8</v>
      </c>
      <c r="AT15" s="114">
        <v>0</v>
      </c>
      <c r="AU15" s="114">
        <v>0</v>
      </c>
      <c r="AV15" s="114">
        <v>0</v>
      </c>
      <c r="AW15" s="114">
        <v>0.8</v>
      </c>
      <c r="AX15" s="114">
        <v>0</v>
      </c>
      <c r="AY15" s="114">
        <v>0</v>
      </c>
      <c r="AZ15" s="114">
        <v>0</v>
      </c>
      <c r="BA15" s="114">
        <v>0.8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0.8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  <c r="CH15" s="114">
        <v>0</v>
      </c>
      <c r="CI15" s="114">
        <v>0</v>
      </c>
      <c r="CJ15" s="114">
        <v>0</v>
      </c>
      <c r="CK15" s="114">
        <v>0</v>
      </c>
      <c r="CL15" s="114">
        <v>0</v>
      </c>
      <c r="CM15" s="114">
        <v>0</v>
      </c>
      <c r="CN15" s="114">
        <v>0</v>
      </c>
      <c r="CO15" s="114">
        <v>0</v>
      </c>
      <c r="CP15" s="114">
        <v>0</v>
      </c>
      <c r="CQ15" s="114">
        <v>0</v>
      </c>
      <c r="CR15" s="114">
        <v>0</v>
      </c>
      <c r="CS15" s="114">
        <v>0</v>
      </c>
      <c r="CT15" s="114">
        <v>0</v>
      </c>
      <c r="CU15" s="114">
        <v>0</v>
      </c>
      <c r="CV15" s="114">
        <v>0</v>
      </c>
    </row>
    <row r="16" spans="1:100" customFormat="1" x14ac:dyDescent="0.15">
      <c r="A16" s="191" t="s">
        <v>206</v>
      </c>
      <c r="B16" s="114">
        <v>0</v>
      </c>
      <c r="C16" s="114">
        <v>0</v>
      </c>
      <c r="D16" s="114">
        <v>0</v>
      </c>
      <c r="E16" s="114">
        <v>0</v>
      </c>
      <c r="F16" s="114">
        <v>0</v>
      </c>
      <c r="G16" s="114">
        <v>0</v>
      </c>
      <c r="H16" s="114">
        <v>0</v>
      </c>
      <c r="I16" s="114">
        <v>0</v>
      </c>
      <c r="J16" s="114">
        <v>0</v>
      </c>
      <c r="K16" s="114">
        <v>0</v>
      </c>
      <c r="L16" s="114">
        <v>0</v>
      </c>
      <c r="M16" s="114">
        <v>0</v>
      </c>
      <c r="N16" s="114">
        <v>0.8</v>
      </c>
      <c r="O16" s="114">
        <v>0.8</v>
      </c>
      <c r="P16" s="114">
        <v>0.8</v>
      </c>
      <c r="Q16" s="114">
        <v>0.8</v>
      </c>
      <c r="R16" s="114">
        <v>0.8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0.8</v>
      </c>
      <c r="AI16" s="114">
        <v>0.8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0.8</v>
      </c>
      <c r="AR16" s="114">
        <v>0.8</v>
      </c>
      <c r="AS16" s="114">
        <v>0.8</v>
      </c>
      <c r="AT16" s="114">
        <v>0.8</v>
      </c>
      <c r="AU16" s="114">
        <v>0.8</v>
      </c>
      <c r="AV16" s="114">
        <v>0.8</v>
      </c>
      <c r="AW16" s="114">
        <v>0</v>
      </c>
      <c r="AX16" s="114">
        <v>0</v>
      </c>
      <c r="AY16" s="114">
        <v>0.8</v>
      </c>
      <c r="AZ16" s="114">
        <v>0.8</v>
      </c>
      <c r="BA16" s="114">
        <v>0.8</v>
      </c>
      <c r="BB16" s="114">
        <v>0.8</v>
      </c>
      <c r="BC16" s="114">
        <v>0.8</v>
      </c>
      <c r="BD16" s="114">
        <v>0.8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0.8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  <c r="CH16" s="114">
        <v>0</v>
      </c>
      <c r="CI16" s="114">
        <v>0</v>
      </c>
      <c r="CJ16" s="114">
        <v>0</v>
      </c>
      <c r="CK16" s="114">
        <v>0</v>
      </c>
      <c r="CL16" s="114">
        <v>0.8</v>
      </c>
      <c r="CM16" s="114">
        <v>0</v>
      </c>
      <c r="CN16" s="114">
        <v>0</v>
      </c>
      <c r="CO16" s="114">
        <v>0</v>
      </c>
      <c r="CP16" s="114">
        <v>0</v>
      </c>
      <c r="CQ16" s="114">
        <v>0</v>
      </c>
      <c r="CR16" s="114">
        <v>0</v>
      </c>
      <c r="CS16" s="114">
        <v>0</v>
      </c>
      <c r="CT16" s="114">
        <v>0</v>
      </c>
      <c r="CU16" s="114">
        <v>0</v>
      </c>
      <c r="CV16" s="114">
        <v>0</v>
      </c>
    </row>
    <row r="17" spans="1:100" customFormat="1" x14ac:dyDescent="0.15">
      <c r="A17" s="191" t="s">
        <v>207</v>
      </c>
      <c r="B17" s="114">
        <v>0</v>
      </c>
      <c r="C17" s="114">
        <v>0</v>
      </c>
      <c r="D17" s="114">
        <v>0</v>
      </c>
      <c r="E17" s="114">
        <v>0</v>
      </c>
      <c r="F17" s="114">
        <v>0</v>
      </c>
      <c r="G17" s="114">
        <v>0</v>
      </c>
      <c r="H17" s="114">
        <v>0</v>
      </c>
      <c r="I17" s="114">
        <v>0</v>
      </c>
      <c r="J17" s="114">
        <v>0</v>
      </c>
      <c r="K17" s="114">
        <v>0</v>
      </c>
      <c r="L17" s="114">
        <v>0</v>
      </c>
      <c r="M17" s="114">
        <v>0</v>
      </c>
      <c r="N17" s="114">
        <v>0</v>
      </c>
      <c r="O17" s="114">
        <v>0</v>
      </c>
      <c r="P17" s="114">
        <v>0</v>
      </c>
      <c r="Q17" s="114">
        <v>0.8</v>
      </c>
      <c r="R17" s="114">
        <v>0.8</v>
      </c>
      <c r="S17" s="114">
        <v>0.8</v>
      </c>
      <c r="T17" s="114">
        <v>0</v>
      </c>
      <c r="U17" s="114">
        <v>0</v>
      </c>
      <c r="V17" s="114">
        <v>0.8</v>
      </c>
      <c r="W17" s="114">
        <v>0</v>
      </c>
      <c r="X17" s="114">
        <v>0.8</v>
      </c>
      <c r="Y17" s="114">
        <v>0</v>
      </c>
      <c r="Z17" s="114">
        <v>0.8</v>
      </c>
      <c r="AA17" s="114">
        <v>0.8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0.8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0.8</v>
      </c>
      <c r="AR17" s="114">
        <v>0.8</v>
      </c>
      <c r="AS17" s="114">
        <v>0.8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0.8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  <c r="CH17" s="114">
        <v>0</v>
      </c>
      <c r="CI17" s="114">
        <v>0</v>
      </c>
      <c r="CJ17" s="114">
        <v>0</v>
      </c>
      <c r="CK17" s="114">
        <v>0</v>
      </c>
      <c r="CL17" s="114">
        <v>0</v>
      </c>
      <c r="CM17" s="114">
        <v>0</v>
      </c>
      <c r="CN17" s="114">
        <v>0</v>
      </c>
      <c r="CO17" s="114">
        <v>0</v>
      </c>
      <c r="CP17" s="114">
        <v>0</v>
      </c>
      <c r="CQ17" s="114">
        <v>0</v>
      </c>
      <c r="CR17" s="114">
        <v>0</v>
      </c>
      <c r="CS17" s="114">
        <v>0</v>
      </c>
      <c r="CT17" s="114">
        <v>0</v>
      </c>
      <c r="CU17" s="114">
        <v>0</v>
      </c>
      <c r="CV17" s="114">
        <v>0</v>
      </c>
    </row>
    <row r="18" spans="1:100" customFormat="1" x14ac:dyDescent="0.15">
      <c r="A18" s="191" t="s">
        <v>208</v>
      </c>
      <c r="B18" s="114">
        <v>0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0</v>
      </c>
      <c r="I18" s="114">
        <v>0</v>
      </c>
      <c r="J18" s="114">
        <v>0</v>
      </c>
      <c r="K18" s="114">
        <v>0</v>
      </c>
      <c r="L18" s="114">
        <v>0</v>
      </c>
      <c r="M18" s="114">
        <v>0</v>
      </c>
      <c r="N18" s="114">
        <v>0</v>
      </c>
      <c r="O18" s="114">
        <v>0</v>
      </c>
      <c r="P18" s="114">
        <v>0</v>
      </c>
      <c r="Q18" s="114">
        <v>0.8</v>
      </c>
      <c r="R18" s="114">
        <v>0.8</v>
      </c>
      <c r="S18" s="114">
        <v>0.8</v>
      </c>
      <c r="T18" s="114">
        <v>0</v>
      </c>
      <c r="U18" s="114">
        <v>0</v>
      </c>
      <c r="V18" s="114">
        <v>0.8</v>
      </c>
      <c r="W18" s="114">
        <v>0</v>
      </c>
      <c r="X18" s="114">
        <v>0.8</v>
      </c>
      <c r="Y18" s="114">
        <v>0</v>
      </c>
      <c r="Z18" s="114">
        <v>0.8</v>
      </c>
      <c r="AA18" s="114">
        <v>0.8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0.8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0.8</v>
      </c>
      <c r="AR18" s="114">
        <v>0.8</v>
      </c>
      <c r="AS18" s="114">
        <v>0.8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  <c r="BG18" s="114">
        <v>0.8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  <c r="CH18" s="114">
        <v>0</v>
      </c>
      <c r="CI18" s="114">
        <v>0</v>
      </c>
      <c r="CJ18" s="114">
        <v>0</v>
      </c>
      <c r="CK18" s="114">
        <v>0</v>
      </c>
      <c r="CL18" s="114">
        <v>0</v>
      </c>
      <c r="CM18" s="114">
        <v>0</v>
      </c>
      <c r="CN18" s="114">
        <v>0</v>
      </c>
      <c r="CO18" s="114">
        <v>0</v>
      </c>
      <c r="CP18" s="114">
        <v>0</v>
      </c>
      <c r="CQ18" s="114">
        <v>0</v>
      </c>
      <c r="CR18" s="114">
        <v>0</v>
      </c>
      <c r="CS18" s="114">
        <v>0</v>
      </c>
      <c r="CT18" s="114">
        <v>0</v>
      </c>
      <c r="CU18" s="114">
        <v>0</v>
      </c>
      <c r="CV18" s="114">
        <v>0</v>
      </c>
    </row>
    <row r="19" spans="1:100" customFormat="1" x14ac:dyDescent="0.15">
      <c r="A19" s="191" t="s">
        <v>209</v>
      </c>
      <c r="B19" s="114">
        <v>0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0</v>
      </c>
      <c r="I19" s="114">
        <v>0</v>
      </c>
      <c r="J19" s="114">
        <v>0</v>
      </c>
      <c r="K19" s="114">
        <v>0</v>
      </c>
      <c r="L19" s="114">
        <v>0</v>
      </c>
      <c r="M19" s="114">
        <v>0</v>
      </c>
      <c r="N19" s="114">
        <v>0.8</v>
      </c>
      <c r="O19" s="114">
        <v>0.8</v>
      </c>
      <c r="P19" s="114">
        <v>0</v>
      </c>
      <c r="Q19" s="114">
        <v>0.8</v>
      </c>
      <c r="R19" s="114">
        <v>0.8</v>
      </c>
      <c r="S19" s="114">
        <v>0</v>
      </c>
      <c r="T19" s="114">
        <v>0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0.8</v>
      </c>
      <c r="AI19" s="114">
        <v>0.8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0.8</v>
      </c>
      <c r="AR19" s="114">
        <v>0.8</v>
      </c>
      <c r="AS19" s="114">
        <v>0.8</v>
      </c>
      <c r="AT19" s="114">
        <v>0.8</v>
      </c>
      <c r="AU19" s="114">
        <v>0.8</v>
      </c>
      <c r="AV19" s="114">
        <v>0.8</v>
      </c>
      <c r="AW19" s="114">
        <v>0</v>
      </c>
      <c r="AX19" s="114">
        <v>0</v>
      </c>
      <c r="AY19" s="114">
        <v>0.8</v>
      </c>
      <c r="AZ19" s="114">
        <v>0.8</v>
      </c>
      <c r="BA19" s="114">
        <v>0.8</v>
      </c>
      <c r="BB19" s="114">
        <v>0.8</v>
      </c>
      <c r="BC19" s="114">
        <v>0.8</v>
      </c>
      <c r="BD19" s="114">
        <v>0.8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0.8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  <c r="CH19" s="114">
        <v>0</v>
      </c>
      <c r="CI19" s="114">
        <v>0</v>
      </c>
      <c r="CJ19" s="114">
        <v>0</v>
      </c>
      <c r="CK19" s="114">
        <v>0</v>
      </c>
      <c r="CL19" s="114">
        <v>0.8</v>
      </c>
      <c r="CM19" s="114">
        <v>0</v>
      </c>
      <c r="CN19" s="114">
        <v>0</v>
      </c>
      <c r="CO19" s="114">
        <v>0</v>
      </c>
      <c r="CP19" s="114">
        <v>0</v>
      </c>
      <c r="CQ19" s="114">
        <v>0</v>
      </c>
      <c r="CR19" s="114">
        <v>0</v>
      </c>
      <c r="CS19" s="114">
        <v>0</v>
      </c>
      <c r="CT19" s="114">
        <v>0</v>
      </c>
      <c r="CU19" s="114">
        <v>0</v>
      </c>
      <c r="CV19" s="114">
        <v>0</v>
      </c>
    </row>
    <row r="20" spans="1:100" customFormat="1" x14ac:dyDescent="0.15">
      <c r="A20" s="191" t="s">
        <v>210</v>
      </c>
      <c r="B20" s="114">
        <v>0</v>
      </c>
      <c r="C20" s="114">
        <v>0.8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0</v>
      </c>
      <c r="J20" s="114">
        <v>0</v>
      </c>
      <c r="K20" s="114">
        <v>0</v>
      </c>
      <c r="L20" s="114">
        <v>0</v>
      </c>
      <c r="M20" s="114">
        <v>0</v>
      </c>
      <c r="N20" s="114">
        <v>0.8</v>
      </c>
      <c r="O20" s="114">
        <v>0</v>
      </c>
      <c r="P20" s="114">
        <v>0</v>
      </c>
      <c r="Q20" s="114">
        <v>0</v>
      </c>
      <c r="R20" s="114">
        <v>0</v>
      </c>
      <c r="S20" s="114">
        <v>0</v>
      </c>
      <c r="T20" s="114">
        <v>0.8</v>
      </c>
      <c r="U20" s="114">
        <v>0.8</v>
      </c>
      <c r="V20" s="114">
        <v>0</v>
      </c>
      <c r="W20" s="114">
        <v>0.8</v>
      </c>
      <c r="X20" s="114">
        <v>0</v>
      </c>
      <c r="Y20" s="114">
        <v>0</v>
      </c>
      <c r="Z20" s="114">
        <v>0.8</v>
      </c>
      <c r="AA20" s="114">
        <v>0</v>
      </c>
      <c r="AB20" s="114">
        <v>0.8</v>
      </c>
      <c r="AC20" s="114">
        <v>0.8</v>
      </c>
      <c r="AD20" s="114">
        <v>0.8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0.8</v>
      </c>
      <c r="AL20" s="114">
        <v>0.8</v>
      </c>
      <c r="AM20" s="114">
        <v>0</v>
      </c>
      <c r="AN20" s="114">
        <v>0</v>
      </c>
      <c r="AO20" s="114">
        <v>0</v>
      </c>
      <c r="AP20" s="114">
        <v>0</v>
      </c>
      <c r="AQ20" s="114">
        <v>0.8</v>
      </c>
      <c r="AR20" s="114">
        <v>0</v>
      </c>
      <c r="AS20" s="114">
        <v>0.8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0.8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0.8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  <c r="CH20" s="114">
        <v>0</v>
      </c>
      <c r="CI20" s="114">
        <v>0</v>
      </c>
      <c r="CJ20" s="114">
        <v>0</v>
      </c>
      <c r="CK20" s="114">
        <v>0</v>
      </c>
      <c r="CL20" s="114">
        <v>0</v>
      </c>
      <c r="CM20" s="114">
        <v>0</v>
      </c>
      <c r="CN20" s="114">
        <v>0</v>
      </c>
      <c r="CO20" s="114">
        <v>0</v>
      </c>
      <c r="CP20" s="114">
        <v>0</v>
      </c>
      <c r="CQ20" s="114">
        <v>0</v>
      </c>
      <c r="CR20" s="114">
        <v>0</v>
      </c>
      <c r="CS20" s="114">
        <v>0</v>
      </c>
      <c r="CT20" s="114">
        <v>0</v>
      </c>
      <c r="CU20" s="114">
        <v>0</v>
      </c>
      <c r="CV20" s="114">
        <v>0</v>
      </c>
    </row>
    <row r="21" spans="1:100" customFormat="1" x14ac:dyDescent="0.15">
      <c r="A21" s="191" t="s">
        <v>211</v>
      </c>
      <c r="B21" s="114">
        <v>0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0</v>
      </c>
      <c r="J21" s="114">
        <v>0</v>
      </c>
      <c r="K21" s="114">
        <v>0</v>
      </c>
      <c r="L21" s="114">
        <v>0</v>
      </c>
      <c r="M21" s="114">
        <v>0</v>
      </c>
      <c r="N21" s="114">
        <v>0.8</v>
      </c>
      <c r="O21" s="114">
        <v>0.8</v>
      </c>
      <c r="P21" s="114">
        <v>0</v>
      </c>
      <c r="Q21" s="114">
        <v>0</v>
      </c>
      <c r="R21" s="114">
        <v>0</v>
      </c>
      <c r="S21" s="114">
        <v>0</v>
      </c>
      <c r="T21" s="114">
        <v>0.8</v>
      </c>
      <c r="U21" s="114">
        <v>0.8</v>
      </c>
      <c r="V21" s="114">
        <v>0.8</v>
      </c>
      <c r="W21" s="114">
        <v>0.8</v>
      </c>
      <c r="X21" s="114">
        <v>0</v>
      </c>
      <c r="Y21" s="114">
        <v>0</v>
      </c>
      <c r="Z21" s="114">
        <v>0.8</v>
      </c>
      <c r="AA21" s="114">
        <v>0</v>
      </c>
      <c r="AB21" s="114">
        <v>0.8</v>
      </c>
      <c r="AC21" s="114">
        <v>0.8</v>
      </c>
      <c r="AD21" s="114">
        <v>0.8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0.8</v>
      </c>
      <c r="AL21" s="114">
        <v>0.8</v>
      </c>
      <c r="AM21" s="114">
        <v>0.8</v>
      </c>
      <c r="AN21" s="114">
        <v>0.8</v>
      </c>
      <c r="AO21" s="114">
        <v>0</v>
      </c>
      <c r="AP21" s="114">
        <v>0</v>
      </c>
      <c r="AQ21" s="114">
        <v>0.8</v>
      </c>
      <c r="AR21" s="114">
        <v>0</v>
      </c>
      <c r="AS21" s="114">
        <v>0.8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0.8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0.8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  <c r="CH21" s="114">
        <v>0</v>
      </c>
      <c r="CI21" s="114">
        <v>0</v>
      </c>
      <c r="CJ21" s="114">
        <v>0</v>
      </c>
      <c r="CK21" s="114">
        <v>0</v>
      </c>
      <c r="CL21" s="114">
        <v>0</v>
      </c>
      <c r="CM21" s="114">
        <v>0</v>
      </c>
      <c r="CN21" s="114">
        <v>0</v>
      </c>
      <c r="CO21" s="114">
        <v>0</v>
      </c>
      <c r="CP21" s="114">
        <v>0</v>
      </c>
      <c r="CQ21" s="114">
        <v>0</v>
      </c>
      <c r="CR21" s="114">
        <v>0</v>
      </c>
      <c r="CS21" s="114">
        <v>0</v>
      </c>
      <c r="CT21" s="114">
        <v>0</v>
      </c>
      <c r="CU21" s="114">
        <v>0</v>
      </c>
      <c r="CV21" s="114">
        <v>0</v>
      </c>
    </row>
    <row r="22" spans="1:100" customFormat="1" x14ac:dyDescent="0.15">
      <c r="A22" s="191" t="s">
        <v>212</v>
      </c>
      <c r="B22" s="114">
        <v>0</v>
      </c>
      <c r="C22" s="114">
        <v>0</v>
      </c>
      <c r="D22" s="114">
        <v>0</v>
      </c>
      <c r="E22" s="114">
        <v>0</v>
      </c>
      <c r="F22" s="114">
        <v>0.8</v>
      </c>
      <c r="G22" s="114">
        <v>0</v>
      </c>
      <c r="H22" s="114">
        <v>0</v>
      </c>
      <c r="I22" s="114">
        <v>0</v>
      </c>
      <c r="J22" s="114">
        <v>0</v>
      </c>
      <c r="K22" s="114">
        <v>0</v>
      </c>
      <c r="L22" s="114">
        <v>0</v>
      </c>
      <c r="M22" s="114">
        <v>0</v>
      </c>
      <c r="N22" s="114">
        <v>0.8</v>
      </c>
      <c r="O22" s="114">
        <v>0.8</v>
      </c>
      <c r="P22" s="114">
        <v>0</v>
      </c>
      <c r="Q22" s="114">
        <v>0</v>
      </c>
      <c r="R22" s="114">
        <v>0</v>
      </c>
      <c r="S22" s="114">
        <v>0</v>
      </c>
      <c r="T22" s="114">
        <v>0.8</v>
      </c>
      <c r="U22" s="114">
        <v>0</v>
      </c>
      <c r="V22" s="114">
        <v>0.8</v>
      </c>
      <c r="W22" s="114">
        <v>0.8</v>
      </c>
      <c r="X22" s="114">
        <v>0</v>
      </c>
      <c r="Y22" s="114">
        <v>0</v>
      </c>
      <c r="Z22" s="114">
        <v>0.8</v>
      </c>
      <c r="AA22" s="114">
        <v>0</v>
      </c>
      <c r="AB22" s="114">
        <v>0.8</v>
      </c>
      <c r="AC22" s="114">
        <v>0.8</v>
      </c>
      <c r="AD22" s="114">
        <v>0.8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0.8</v>
      </c>
      <c r="AL22" s="114">
        <v>0.8</v>
      </c>
      <c r="AM22" s="114">
        <v>0.8</v>
      </c>
      <c r="AN22" s="114">
        <v>0.8</v>
      </c>
      <c r="AO22" s="114">
        <v>0</v>
      </c>
      <c r="AP22" s="114">
        <v>0</v>
      </c>
      <c r="AQ22" s="114">
        <v>0.8</v>
      </c>
      <c r="AR22" s="114">
        <v>0</v>
      </c>
      <c r="AS22" s="114">
        <v>0.8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0</v>
      </c>
      <c r="AZ22" s="114">
        <v>0</v>
      </c>
      <c r="BA22" s="114">
        <v>0.8</v>
      </c>
      <c r="BB22" s="114">
        <v>0</v>
      </c>
      <c r="BC22" s="114">
        <v>0.8</v>
      </c>
      <c r="BD22" s="114">
        <v>0</v>
      </c>
      <c r="BE22" s="114">
        <v>0</v>
      </c>
      <c r="BF22" s="114">
        <v>0</v>
      </c>
      <c r="BG22" s="114">
        <v>0.8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  <c r="CH22" s="114">
        <v>0</v>
      </c>
      <c r="CI22" s="114">
        <v>0</v>
      </c>
      <c r="CJ22" s="114">
        <v>0</v>
      </c>
      <c r="CK22" s="114">
        <v>0</v>
      </c>
      <c r="CL22" s="114">
        <v>0</v>
      </c>
      <c r="CM22" s="114">
        <v>0</v>
      </c>
      <c r="CN22" s="114">
        <v>0</v>
      </c>
      <c r="CO22" s="114">
        <v>0</v>
      </c>
      <c r="CP22" s="114">
        <v>0</v>
      </c>
      <c r="CQ22" s="114">
        <v>0</v>
      </c>
      <c r="CR22" s="114">
        <v>0</v>
      </c>
      <c r="CS22" s="114">
        <v>0</v>
      </c>
      <c r="CT22" s="114">
        <v>0</v>
      </c>
      <c r="CU22" s="114">
        <v>0</v>
      </c>
      <c r="CV22" s="114">
        <v>0</v>
      </c>
    </row>
    <row r="23" spans="1:100" customFormat="1" x14ac:dyDescent="0.15">
      <c r="A23" s="191" t="s">
        <v>213</v>
      </c>
      <c r="B23" s="114">
        <v>0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0</v>
      </c>
      <c r="L23" s="114">
        <v>0</v>
      </c>
      <c r="M23" s="114">
        <v>0</v>
      </c>
      <c r="N23" s="114">
        <v>0.8</v>
      </c>
      <c r="O23" s="114">
        <v>0</v>
      </c>
      <c r="P23" s="114">
        <v>0</v>
      </c>
      <c r="Q23" s="114">
        <v>0</v>
      </c>
      <c r="R23" s="114">
        <v>0</v>
      </c>
      <c r="S23" s="114">
        <v>0</v>
      </c>
      <c r="T23" s="114">
        <v>0</v>
      </c>
      <c r="U23" s="114">
        <v>0</v>
      </c>
      <c r="V23" s="114">
        <v>0</v>
      </c>
      <c r="W23" s="114">
        <v>0.8</v>
      </c>
      <c r="X23" s="114">
        <v>0</v>
      </c>
      <c r="Y23" s="114">
        <v>0</v>
      </c>
      <c r="Z23" s="114">
        <v>0.8</v>
      </c>
      <c r="AA23" s="114">
        <v>0</v>
      </c>
      <c r="AB23" s="114">
        <v>0.8</v>
      </c>
      <c r="AC23" s="114">
        <v>0.8</v>
      </c>
      <c r="AD23" s="114">
        <v>0</v>
      </c>
      <c r="AE23" s="114">
        <v>0</v>
      </c>
      <c r="AF23" s="114">
        <v>0</v>
      </c>
      <c r="AG23" s="114">
        <v>0</v>
      </c>
      <c r="AH23" s="114">
        <v>0</v>
      </c>
      <c r="AI23" s="114">
        <v>0</v>
      </c>
      <c r="AJ23" s="114">
        <v>0</v>
      </c>
      <c r="AK23" s="114">
        <v>0.8</v>
      </c>
      <c r="AL23" s="114">
        <v>0.8</v>
      </c>
      <c r="AM23" s="114">
        <v>0.8</v>
      </c>
      <c r="AN23" s="114">
        <v>0</v>
      </c>
      <c r="AO23" s="114">
        <v>0</v>
      </c>
      <c r="AP23" s="114">
        <v>0</v>
      </c>
      <c r="AQ23" s="114">
        <v>0.8</v>
      </c>
      <c r="AR23" s="114">
        <v>0</v>
      </c>
      <c r="AS23" s="114">
        <v>0.8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0.8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0.8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0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  <c r="CH23" s="114">
        <v>0</v>
      </c>
      <c r="CI23" s="114">
        <v>0</v>
      </c>
      <c r="CJ23" s="114">
        <v>0</v>
      </c>
      <c r="CK23" s="114">
        <v>0</v>
      </c>
      <c r="CL23" s="114">
        <v>0</v>
      </c>
      <c r="CM23" s="114">
        <v>0</v>
      </c>
      <c r="CN23" s="114">
        <v>0</v>
      </c>
      <c r="CO23" s="114">
        <v>0</v>
      </c>
      <c r="CP23" s="114">
        <v>0</v>
      </c>
      <c r="CQ23" s="114">
        <v>0</v>
      </c>
      <c r="CR23" s="114">
        <v>0</v>
      </c>
      <c r="CS23" s="114">
        <v>0</v>
      </c>
      <c r="CT23" s="114">
        <v>0</v>
      </c>
      <c r="CU23" s="114">
        <v>0</v>
      </c>
      <c r="CV23" s="114">
        <v>0</v>
      </c>
    </row>
    <row r="24" spans="1:100" customFormat="1" x14ac:dyDescent="0.15">
      <c r="A24" s="191" t="s">
        <v>214</v>
      </c>
      <c r="B24" s="114">
        <v>0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0</v>
      </c>
      <c r="L24" s="114">
        <v>0</v>
      </c>
      <c r="M24" s="114">
        <v>0</v>
      </c>
      <c r="N24" s="114">
        <v>0</v>
      </c>
      <c r="O24" s="114">
        <v>0</v>
      </c>
      <c r="P24" s="114">
        <v>0</v>
      </c>
      <c r="Q24" s="114">
        <v>0</v>
      </c>
      <c r="R24" s="114">
        <v>0</v>
      </c>
      <c r="S24" s="114">
        <v>0</v>
      </c>
      <c r="T24" s="114">
        <v>0</v>
      </c>
      <c r="U24" s="114">
        <v>0</v>
      </c>
      <c r="V24" s="114">
        <v>0</v>
      </c>
      <c r="W24" s="114">
        <v>0</v>
      </c>
      <c r="X24" s="114">
        <v>0</v>
      </c>
      <c r="Y24" s="114">
        <v>0</v>
      </c>
      <c r="Z24" s="114">
        <v>0</v>
      </c>
      <c r="AA24" s="114">
        <v>0</v>
      </c>
      <c r="AB24" s="114">
        <v>0</v>
      </c>
      <c r="AC24" s="114">
        <v>0.8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0.8</v>
      </c>
      <c r="AR24" s="114">
        <v>0</v>
      </c>
      <c r="AS24" s="114">
        <v>0</v>
      </c>
      <c r="AT24" s="114">
        <v>0</v>
      </c>
      <c r="AU24" s="114">
        <v>0</v>
      </c>
      <c r="AV24" s="114">
        <v>0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0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  <c r="CH24" s="114">
        <v>0</v>
      </c>
      <c r="CI24" s="114">
        <v>0</v>
      </c>
      <c r="CJ24" s="114">
        <v>0</v>
      </c>
      <c r="CK24" s="114">
        <v>0</v>
      </c>
      <c r="CL24" s="114">
        <v>0</v>
      </c>
      <c r="CM24" s="114">
        <v>0</v>
      </c>
      <c r="CN24" s="114">
        <v>0</v>
      </c>
      <c r="CO24" s="114">
        <v>0</v>
      </c>
      <c r="CP24" s="114">
        <v>0</v>
      </c>
      <c r="CQ24" s="114">
        <v>0</v>
      </c>
      <c r="CR24" s="114">
        <v>0</v>
      </c>
      <c r="CS24" s="114">
        <v>0</v>
      </c>
      <c r="CT24" s="114">
        <v>0</v>
      </c>
      <c r="CU24" s="114">
        <v>0</v>
      </c>
      <c r="CV24" s="114">
        <v>0</v>
      </c>
    </row>
    <row r="25" spans="1:100" customFormat="1" x14ac:dyDescent="0.15">
      <c r="A25" s="191" t="s">
        <v>215</v>
      </c>
      <c r="B25" s="114">
        <v>0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0</v>
      </c>
      <c r="N25" s="114">
        <v>0.8</v>
      </c>
      <c r="O25" s="114">
        <v>0.8</v>
      </c>
      <c r="P25" s="114">
        <v>0</v>
      </c>
      <c r="Q25" s="114">
        <v>0.8</v>
      </c>
      <c r="R25" s="114">
        <v>0.8</v>
      </c>
      <c r="S25" s="114">
        <v>0</v>
      </c>
      <c r="T25" s="114">
        <v>0</v>
      </c>
      <c r="U25" s="114">
        <v>0</v>
      </c>
      <c r="V25" s="114">
        <v>0</v>
      </c>
      <c r="W25" s="114">
        <v>0</v>
      </c>
      <c r="X25" s="114">
        <v>0</v>
      </c>
      <c r="Y25" s="114">
        <v>0</v>
      </c>
      <c r="Z25" s="114">
        <v>0</v>
      </c>
      <c r="AA25" s="114">
        <v>0</v>
      </c>
      <c r="AB25" s="114">
        <v>0</v>
      </c>
      <c r="AC25" s="114">
        <v>0</v>
      </c>
      <c r="AD25" s="114">
        <v>0</v>
      </c>
      <c r="AE25" s="114">
        <v>0</v>
      </c>
      <c r="AF25" s="114">
        <v>0</v>
      </c>
      <c r="AG25" s="114">
        <v>0</v>
      </c>
      <c r="AH25" s="114">
        <v>0.8</v>
      </c>
      <c r="AI25" s="114">
        <v>0.8</v>
      </c>
      <c r="AJ25" s="114">
        <v>0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0.8</v>
      </c>
      <c r="AR25" s="114">
        <v>0.8</v>
      </c>
      <c r="AS25" s="114">
        <v>0.8</v>
      </c>
      <c r="AT25" s="114">
        <v>0.8</v>
      </c>
      <c r="AU25" s="114">
        <v>0.8</v>
      </c>
      <c r="AV25" s="114">
        <v>0</v>
      </c>
      <c r="AW25" s="114">
        <v>0</v>
      </c>
      <c r="AX25" s="114">
        <v>0</v>
      </c>
      <c r="AY25" s="114">
        <v>0.8</v>
      </c>
      <c r="AZ25" s="114">
        <v>0.8</v>
      </c>
      <c r="BA25" s="114">
        <v>0.8</v>
      </c>
      <c r="BB25" s="114">
        <v>0.8</v>
      </c>
      <c r="BC25" s="114">
        <v>0.8</v>
      </c>
      <c r="BD25" s="114">
        <v>0.8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0.8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0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  <c r="CH25" s="114">
        <v>0</v>
      </c>
      <c r="CI25" s="114">
        <v>0</v>
      </c>
      <c r="CJ25" s="114">
        <v>0</v>
      </c>
      <c r="CK25" s="114">
        <v>0</v>
      </c>
      <c r="CL25" s="114">
        <v>0</v>
      </c>
      <c r="CM25" s="114">
        <v>0</v>
      </c>
      <c r="CN25" s="114">
        <v>0</v>
      </c>
      <c r="CO25" s="114">
        <v>0</v>
      </c>
      <c r="CP25" s="114">
        <v>0</v>
      </c>
      <c r="CQ25" s="114">
        <v>0</v>
      </c>
      <c r="CR25" s="114">
        <v>0</v>
      </c>
      <c r="CS25" s="114">
        <v>0</v>
      </c>
      <c r="CT25" s="114">
        <v>0</v>
      </c>
      <c r="CU25" s="114">
        <v>0</v>
      </c>
      <c r="CV25" s="114">
        <v>0</v>
      </c>
    </row>
    <row r="26" spans="1:100" customFormat="1" x14ac:dyDescent="0.15">
      <c r="A26" s="191" t="s">
        <v>216</v>
      </c>
      <c r="B26" s="114">
        <v>0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0</v>
      </c>
      <c r="M26" s="114">
        <v>0</v>
      </c>
      <c r="N26" s="114">
        <v>0</v>
      </c>
      <c r="O26" s="114">
        <v>0</v>
      </c>
      <c r="P26" s="114">
        <v>0</v>
      </c>
      <c r="Q26" s="114">
        <v>0</v>
      </c>
      <c r="R26" s="114">
        <v>0</v>
      </c>
      <c r="S26" s="114">
        <v>0</v>
      </c>
      <c r="T26" s="114">
        <v>0</v>
      </c>
      <c r="U26" s="114">
        <v>0</v>
      </c>
      <c r="V26" s="114">
        <v>0</v>
      </c>
      <c r="W26" s="114">
        <v>0</v>
      </c>
      <c r="X26" s="114">
        <v>0</v>
      </c>
      <c r="Y26" s="114">
        <v>0</v>
      </c>
      <c r="Z26" s="114">
        <v>0.8</v>
      </c>
      <c r="AA26" s="114">
        <v>0</v>
      </c>
      <c r="AB26" s="114">
        <v>0</v>
      </c>
      <c r="AC26" s="114">
        <v>0</v>
      </c>
      <c r="AD26" s="114">
        <v>0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0.8</v>
      </c>
      <c r="AL26" s="114">
        <v>0</v>
      </c>
      <c r="AM26" s="114">
        <v>0</v>
      </c>
      <c r="AN26" s="114">
        <v>0</v>
      </c>
      <c r="AO26" s="114">
        <v>0</v>
      </c>
      <c r="AP26" s="114">
        <v>0</v>
      </c>
      <c r="AQ26" s="114">
        <v>0.8</v>
      </c>
      <c r="AR26" s="114">
        <v>0</v>
      </c>
      <c r="AS26" s="114">
        <v>0.8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0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  <c r="CH26" s="114">
        <v>0</v>
      </c>
      <c r="CI26" s="114">
        <v>0</v>
      </c>
      <c r="CJ26" s="114">
        <v>0</v>
      </c>
      <c r="CK26" s="114">
        <v>0</v>
      </c>
      <c r="CL26" s="114">
        <v>0</v>
      </c>
      <c r="CM26" s="114">
        <v>0</v>
      </c>
      <c r="CN26" s="114">
        <v>0</v>
      </c>
      <c r="CO26" s="114">
        <v>0</v>
      </c>
      <c r="CP26" s="114">
        <v>0</v>
      </c>
      <c r="CQ26" s="114">
        <v>0</v>
      </c>
      <c r="CR26" s="114">
        <v>0</v>
      </c>
      <c r="CS26" s="114">
        <v>0</v>
      </c>
      <c r="CT26" s="114">
        <v>0</v>
      </c>
      <c r="CU26" s="114">
        <v>0</v>
      </c>
      <c r="CV26" s="114">
        <v>0</v>
      </c>
    </row>
    <row r="27" spans="1:100" customFormat="1" x14ac:dyDescent="0.15">
      <c r="A27" s="191" t="s">
        <v>217</v>
      </c>
      <c r="B27" s="114">
        <v>0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0</v>
      </c>
      <c r="O27" s="114">
        <v>0</v>
      </c>
      <c r="P27" s="114">
        <v>0</v>
      </c>
      <c r="Q27" s="114">
        <v>0</v>
      </c>
      <c r="R27" s="114">
        <v>0</v>
      </c>
      <c r="S27" s="114">
        <v>0</v>
      </c>
      <c r="T27" s="114">
        <v>0</v>
      </c>
      <c r="U27" s="114">
        <v>0.8</v>
      </c>
      <c r="V27" s="114">
        <v>0</v>
      </c>
      <c r="W27" s="114">
        <v>0</v>
      </c>
      <c r="X27" s="114">
        <v>0</v>
      </c>
      <c r="Y27" s="114">
        <v>0</v>
      </c>
      <c r="Z27" s="114">
        <v>0.8</v>
      </c>
      <c r="AA27" s="114">
        <v>0</v>
      </c>
      <c r="AB27" s="114">
        <v>0.8</v>
      </c>
      <c r="AC27" s="114">
        <v>0.8</v>
      </c>
      <c r="AD27" s="114">
        <v>0</v>
      </c>
      <c r="AE27" s="114">
        <v>0</v>
      </c>
      <c r="AF27" s="114">
        <v>0</v>
      </c>
      <c r="AG27" s="114">
        <v>0</v>
      </c>
      <c r="AH27" s="114">
        <v>0</v>
      </c>
      <c r="AI27" s="114">
        <v>0</v>
      </c>
      <c r="AJ27" s="114">
        <v>0</v>
      </c>
      <c r="AK27" s="114">
        <v>0.8</v>
      </c>
      <c r="AL27" s="114">
        <v>0</v>
      </c>
      <c r="AM27" s="114">
        <v>0</v>
      </c>
      <c r="AN27" s="114">
        <v>0.8</v>
      </c>
      <c r="AO27" s="114">
        <v>0.8</v>
      </c>
      <c r="AP27" s="114">
        <v>0.8</v>
      </c>
      <c r="AQ27" s="114">
        <v>0.8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0</v>
      </c>
      <c r="AX27" s="114">
        <v>0</v>
      </c>
      <c r="AY27" s="114">
        <v>0</v>
      </c>
      <c r="AZ27" s="114">
        <v>0</v>
      </c>
      <c r="BA27" s="114">
        <v>0.8</v>
      </c>
      <c r="BB27" s="114">
        <v>0.8</v>
      </c>
      <c r="BC27" s="114">
        <v>0.8</v>
      </c>
      <c r="BD27" s="114">
        <v>0.8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0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0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  <c r="CH27" s="114">
        <v>0</v>
      </c>
      <c r="CI27" s="114">
        <v>0</v>
      </c>
      <c r="CJ27" s="114">
        <v>0</v>
      </c>
      <c r="CK27" s="114">
        <v>0</v>
      </c>
      <c r="CL27" s="114">
        <v>0</v>
      </c>
      <c r="CM27" s="114">
        <v>0</v>
      </c>
      <c r="CN27" s="114">
        <v>0</v>
      </c>
      <c r="CO27" s="114">
        <v>0</v>
      </c>
      <c r="CP27" s="114">
        <v>0</v>
      </c>
      <c r="CQ27" s="114">
        <v>0</v>
      </c>
      <c r="CR27" s="114">
        <v>0</v>
      </c>
      <c r="CS27" s="114">
        <v>0</v>
      </c>
      <c r="CT27" s="114">
        <v>0</v>
      </c>
      <c r="CU27" s="114">
        <v>0</v>
      </c>
      <c r="CV27" s="114">
        <v>0</v>
      </c>
    </row>
    <row r="28" spans="1:100" customFormat="1" x14ac:dyDescent="0.15">
      <c r="A28" s="191" t="s">
        <v>218</v>
      </c>
      <c r="B28" s="114">
        <v>0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0</v>
      </c>
      <c r="O28" s="114">
        <v>0</v>
      </c>
      <c r="P28" s="114">
        <v>0</v>
      </c>
      <c r="Q28" s="114">
        <v>0</v>
      </c>
      <c r="R28" s="114">
        <v>0</v>
      </c>
      <c r="S28" s="114">
        <v>0</v>
      </c>
      <c r="T28" s="114">
        <v>0</v>
      </c>
      <c r="U28" s="114">
        <v>0</v>
      </c>
      <c r="V28" s="114">
        <v>0</v>
      </c>
      <c r="W28" s="114">
        <v>0</v>
      </c>
      <c r="X28" s="114">
        <v>0</v>
      </c>
      <c r="Y28" s="114">
        <v>0</v>
      </c>
      <c r="Z28" s="114">
        <v>0.8</v>
      </c>
      <c r="AA28" s="114">
        <v>0.8</v>
      </c>
      <c r="AB28" s="114">
        <v>0</v>
      </c>
      <c r="AC28" s="114">
        <v>0.8</v>
      </c>
      <c r="AD28" s="114">
        <v>0</v>
      </c>
      <c r="AE28" s="114">
        <v>0</v>
      </c>
      <c r="AF28" s="114">
        <v>0</v>
      </c>
      <c r="AG28" s="114">
        <v>0</v>
      </c>
      <c r="AH28" s="114">
        <v>0</v>
      </c>
      <c r="AI28" s="114">
        <v>0</v>
      </c>
      <c r="AJ28" s="114">
        <v>0</v>
      </c>
      <c r="AK28" s="114">
        <v>0.8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0.8</v>
      </c>
      <c r="AR28" s="114">
        <v>0</v>
      </c>
      <c r="AS28" s="114">
        <v>0.8</v>
      </c>
      <c r="AT28" s="114">
        <v>0</v>
      </c>
      <c r="AU28" s="114">
        <v>0</v>
      </c>
      <c r="AV28" s="114">
        <v>0</v>
      </c>
      <c r="AW28" s="114">
        <v>0</v>
      </c>
      <c r="AX28" s="114">
        <v>0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0</v>
      </c>
      <c r="BE28" s="114">
        <v>0</v>
      </c>
      <c r="BF28" s="114">
        <v>0</v>
      </c>
      <c r="BG28" s="114">
        <v>0.8</v>
      </c>
      <c r="BH28" s="114">
        <v>0</v>
      </c>
      <c r="BI28" s="114">
        <v>0</v>
      </c>
      <c r="BJ28" s="114">
        <v>0</v>
      </c>
      <c r="BK28" s="114">
        <v>0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0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0</v>
      </c>
      <c r="CF28" s="114">
        <v>0</v>
      </c>
      <c r="CG28" s="114">
        <v>0</v>
      </c>
      <c r="CH28" s="114">
        <v>0</v>
      </c>
      <c r="CI28" s="114">
        <v>0</v>
      </c>
      <c r="CJ28" s="114">
        <v>0</v>
      </c>
      <c r="CK28" s="114">
        <v>0</v>
      </c>
      <c r="CL28" s="114">
        <v>0</v>
      </c>
      <c r="CM28" s="114">
        <v>0</v>
      </c>
      <c r="CN28" s="114">
        <v>0</v>
      </c>
      <c r="CO28" s="114">
        <v>0</v>
      </c>
      <c r="CP28" s="114">
        <v>0</v>
      </c>
      <c r="CQ28" s="114">
        <v>0</v>
      </c>
      <c r="CR28" s="114">
        <v>0</v>
      </c>
      <c r="CS28" s="114">
        <v>0</v>
      </c>
      <c r="CT28" s="114">
        <v>0</v>
      </c>
      <c r="CU28" s="114">
        <v>0</v>
      </c>
      <c r="CV28" s="114">
        <v>0</v>
      </c>
    </row>
    <row r="29" spans="1:100" customFormat="1" x14ac:dyDescent="0.15">
      <c r="A29" s="191" t="s">
        <v>219</v>
      </c>
      <c r="B29" s="114">
        <v>0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0</v>
      </c>
      <c r="Q29" s="114">
        <v>0</v>
      </c>
      <c r="R29" s="114">
        <v>0</v>
      </c>
      <c r="S29" s="114">
        <v>0</v>
      </c>
      <c r="T29" s="114">
        <v>0</v>
      </c>
      <c r="U29" s="114">
        <v>0.8</v>
      </c>
      <c r="V29" s="114">
        <v>0</v>
      </c>
      <c r="W29" s="114">
        <v>0</v>
      </c>
      <c r="X29" s="114">
        <v>0</v>
      </c>
      <c r="Y29" s="114">
        <v>0</v>
      </c>
      <c r="Z29" s="114">
        <v>0.8</v>
      </c>
      <c r="AA29" s="114">
        <v>0.8</v>
      </c>
      <c r="AB29" s="114">
        <v>0.8</v>
      </c>
      <c r="AC29" s="114">
        <v>0.8</v>
      </c>
      <c r="AD29" s="114">
        <v>0</v>
      </c>
      <c r="AE29" s="114">
        <v>0</v>
      </c>
      <c r="AF29" s="114">
        <v>0</v>
      </c>
      <c r="AG29" s="114">
        <v>0</v>
      </c>
      <c r="AH29" s="114">
        <v>0</v>
      </c>
      <c r="AI29" s="114">
        <v>0</v>
      </c>
      <c r="AJ29" s="114">
        <v>0</v>
      </c>
      <c r="AK29" s="114">
        <v>0.8</v>
      </c>
      <c r="AL29" s="114">
        <v>0</v>
      </c>
      <c r="AM29" s="114">
        <v>0</v>
      </c>
      <c r="AN29" s="114">
        <v>0.8</v>
      </c>
      <c r="AO29" s="114">
        <v>0.8</v>
      </c>
      <c r="AP29" s="114">
        <v>0.8</v>
      </c>
      <c r="AQ29" s="114">
        <v>0</v>
      </c>
      <c r="AR29" s="114">
        <v>0.8</v>
      </c>
      <c r="AS29" s="114">
        <v>0</v>
      </c>
      <c r="AT29" s="114">
        <v>0</v>
      </c>
      <c r="AU29" s="114">
        <v>0</v>
      </c>
      <c r="AV29" s="114">
        <v>0</v>
      </c>
      <c r="AW29" s="114">
        <v>0</v>
      </c>
      <c r="AX29" s="114">
        <v>0</v>
      </c>
      <c r="AY29" s="114">
        <v>0</v>
      </c>
      <c r="AZ29" s="114">
        <v>0</v>
      </c>
      <c r="BA29" s="114">
        <v>0.8</v>
      </c>
      <c r="BB29" s="114">
        <v>0.8</v>
      </c>
      <c r="BC29" s="114">
        <v>0.8</v>
      </c>
      <c r="BD29" s="114">
        <v>0.8</v>
      </c>
      <c r="BE29" s="114">
        <v>0</v>
      </c>
      <c r="BF29" s="114">
        <v>0</v>
      </c>
      <c r="BG29" s="114">
        <v>0.8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0</v>
      </c>
      <c r="BS29" s="114">
        <v>0</v>
      </c>
      <c r="BT29" s="114">
        <v>0</v>
      </c>
      <c r="BU29" s="114">
        <v>0</v>
      </c>
      <c r="BV29" s="114">
        <v>0</v>
      </c>
      <c r="BW29" s="114">
        <v>0</v>
      </c>
      <c r="BX29" s="114">
        <v>0</v>
      </c>
      <c r="BY29" s="114">
        <v>0</v>
      </c>
      <c r="BZ29" s="114">
        <v>0</v>
      </c>
      <c r="CA29" s="114">
        <v>0</v>
      </c>
      <c r="CB29" s="114">
        <v>0</v>
      </c>
      <c r="CC29" s="114">
        <v>0</v>
      </c>
      <c r="CD29" s="114">
        <v>0</v>
      </c>
      <c r="CE29" s="114">
        <v>0</v>
      </c>
      <c r="CF29" s="114">
        <v>0</v>
      </c>
      <c r="CG29" s="114">
        <v>0</v>
      </c>
      <c r="CH29" s="114">
        <v>0</v>
      </c>
      <c r="CI29" s="114">
        <v>0</v>
      </c>
      <c r="CJ29" s="114">
        <v>0</v>
      </c>
      <c r="CK29" s="114">
        <v>0</v>
      </c>
      <c r="CL29" s="114">
        <v>0</v>
      </c>
      <c r="CM29" s="114">
        <v>0</v>
      </c>
      <c r="CN29" s="114">
        <v>0</v>
      </c>
      <c r="CO29" s="114">
        <v>0</v>
      </c>
      <c r="CP29" s="114">
        <v>0</v>
      </c>
      <c r="CQ29" s="114">
        <v>0</v>
      </c>
      <c r="CR29" s="114">
        <v>0</v>
      </c>
      <c r="CS29" s="114">
        <v>0</v>
      </c>
      <c r="CT29" s="114">
        <v>0</v>
      </c>
      <c r="CU29" s="114">
        <v>0</v>
      </c>
      <c r="CV29" s="114">
        <v>0</v>
      </c>
    </row>
    <row r="30" spans="1:100" customFormat="1" x14ac:dyDescent="0.15">
      <c r="A30" s="191" t="s">
        <v>220</v>
      </c>
      <c r="B30" s="114">
        <v>0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0</v>
      </c>
      <c r="P30" s="114">
        <v>0</v>
      </c>
      <c r="Q30" s="114">
        <v>0</v>
      </c>
      <c r="R30" s="114">
        <v>0</v>
      </c>
      <c r="S30" s="114">
        <v>0</v>
      </c>
      <c r="T30" s="114">
        <v>0</v>
      </c>
      <c r="U30" s="114">
        <v>0</v>
      </c>
      <c r="V30" s="114">
        <v>0</v>
      </c>
      <c r="W30" s="114">
        <v>0</v>
      </c>
      <c r="X30" s="114">
        <v>0</v>
      </c>
      <c r="Y30" s="114">
        <v>0</v>
      </c>
      <c r="Z30" s="114">
        <v>0.8</v>
      </c>
      <c r="AA30" s="114">
        <v>0</v>
      </c>
      <c r="AB30" s="114">
        <v>0</v>
      </c>
      <c r="AC30" s="114">
        <v>0</v>
      </c>
      <c r="AD30" s="114">
        <v>0</v>
      </c>
      <c r="AE30" s="114">
        <v>0</v>
      </c>
      <c r="AF30" s="114">
        <v>0</v>
      </c>
      <c r="AG30" s="114">
        <v>0</v>
      </c>
      <c r="AH30" s="114">
        <v>0</v>
      </c>
      <c r="AI30" s="114">
        <v>0</v>
      </c>
      <c r="AJ30" s="114">
        <v>0</v>
      </c>
      <c r="AK30" s="114">
        <v>0</v>
      </c>
      <c r="AL30" s="114">
        <v>0</v>
      </c>
      <c r="AM30" s="114">
        <v>0</v>
      </c>
      <c r="AN30" s="114">
        <v>0</v>
      </c>
      <c r="AO30" s="114">
        <v>0</v>
      </c>
      <c r="AP30" s="114">
        <v>0</v>
      </c>
      <c r="AQ30" s="114">
        <v>0</v>
      </c>
      <c r="AR30" s="114">
        <v>0</v>
      </c>
      <c r="AS30" s="114">
        <v>0</v>
      </c>
      <c r="AT30" s="114">
        <v>0</v>
      </c>
      <c r="AU30" s="114">
        <v>0</v>
      </c>
      <c r="AV30" s="114">
        <v>0</v>
      </c>
      <c r="AW30" s="114">
        <v>0</v>
      </c>
      <c r="AX30" s="114">
        <v>0</v>
      </c>
      <c r="AY30" s="114">
        <v>0</v>
      </c>
      <c r="AZ30" s="114">
        <v>0</v>
      </c>
      <c r="BA30" s="114">
        <v>0</v>
      </c>
      <c r="BB30" s="114">
        <v>0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0</v>
      </c>
      <c r="BJ30" s="114">
        <v>0</v>
      </c>
      <c r="BK30" s="114">
        <v>0</v>
      </c>
      <c r="BL30" s="114">
        <v>0</v>
      </c>
      <c r="BM30" s="114">
        <v>0</v>
      </c>
      <c r="BN30" s="114">
        <v>0</v>
      </c>
      <c r="BO30" s="114">
        <v>0</v>
      </c>
      <c r="BP30" s="114">
        <v>0</v>
      </c>
      <c r="BQ30" s="114">
        <v>0</v>
      </c>
      <c r="BR30" s="114">
        <v>0</v>
      </c>
      <c r="BS30" s="114">
        <v>0</v>
      </c>
      <c r="BT30" s="114">
        <v>0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0</v>
      </c>
      <c r="CB30" s="114">
        <v>0</v>
      </c>
      <c r="CC30" s="114">
        <v>0</v>
      </c>
      <c r="CD30" s="114">
        <v>0</v>
      </c>
      <c r="CE30" s="114">
        <v>0</v>
      </c>
      <c r="CF30" s="114">
        <v>0</v>
      </c>
      <c r="CG30" s="114">
        <v>0</v>
      </c>
      <c r="CH30" s="114">
        <v>0</v>
      </c>
      <c r="CI30" s="114">
        <v>0</v>
      </c>
      <c r="CJ30" s="114">
        <v>0</v>
      </c>
      <c r="CK30" s="114">
        <v>0</v>
      </c>
      <c r="CL30" s="114">
        <v>0</v>
      </c>
      <c r="CM30" s="114">
        <v>0</v>
      </c>
      <c r="CN30" s="114">
        <v>0</v>
      </c>
      <c r="CO30" s="114">
        <v>0</v>
      </c>
      <c r="CP30" s="114">
        <v>0</v>
      </c>
      <c r="CQ30" s="114">
        <v>0</v>
      </c>
      <c r="CR30" s="114">
        <v>0</v>
      </c>
      <c r="CS30" s="114">
        <v>0</v>
      </c>
      <c r="CT30" s="114">
        <v>0</v>
      </c>
      <c r="CU30" s="114">
        <v>0</v>
      </c>
      <c r="CV30" s="114">
        <v>0</v>
      </c>
    </row>
    <row r="31" spans="1:100" customFormat="1" x14ac:dyDescent="0.15">
      <c r="A31" s="191" t="s">
        <v>221</v>
      </c>
      <c r="B31" s="114">
        <v>0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0</v>
      </c>
      <c r="N31" s="114">
        <v>0</v>
      </c>
      <c r="O31" s="114">
        <v>0</v>
      </c>
      <c r="P31" s="114">
        <v>0</v>
      </c>
      <c r="Q31" s="114">
        <v>0</v>
      </c>
      <c r="R31" s="114">
        <v>0</v>
      </c>
      <c r="S31" s="114">
        <v>0</v>
      </c>
      <c r="T31" s="114">
        <v>0</v>
      </c>
      <c r="U31" s="114">
        <v>0</v>
      </c>
      <c r="V31" s="114">
        <v>0</v>
      </c>
      <c r="W31" s="114">
        <v>0</v>
      </c>
      <c r="X31" s="114">
        <v>0</v>
      </c>
      <c r="Y31" s="114">
        <v>0</v>
      </c>
      <c r="Z31" s="114">
        <v>0.8</v>
      </c>
      <c r="AA31" s="114">
        <v>0</v>
      </c>
      <c r="AB31" s="114">
        <v>0</v>
      </c>
      <c r="AC31" s="114">
        <v>0</v>
      </c>
      <c r="AD31" s="114">
        <v>0</v>
      </c>
      <c r="AE31" s="114">
        <v>0</v>
      </c>
      <c r="AF31" s="114">
        <v>0</v>
      </c>
      <c r="AG31" s="114">
        <v>0</v>
      </c>
      <c r="AH31" s="114">
        <v>0</v>
      </c>
      <c r="AI31" s="114">
        <v>0</v>
      </c>
      <c r="AJ31" s="114">
        <v>0</v>
      </c>
      <c r="AK31" s="114">
        <v>0</v>
      </c>
      <c r="AL31" s="114">
        <v>0</v>
      </c>
      <c r="AM31" s="114">
        <v>0</v>
      </c>
      <c r="AN31" s="114">
        <v>0</v>
      </c>
      <c r="AO31" s="114">
        <v>0</v>
      </c>
      <c r="AP31" s="114">
        <v>0</v>
      </c>
      <c r="AQ31" s="114">
        <v>0</v>
      </c>
      <c r="AR31" s="114">
        <v>0</v>
      </c>
      <c r="AS31" s="114">
        <v>0</v>
      </c>
      <c r="AT31" s="114">
        <v>0</v>
      </c>
      <c r="AU31" s="114">
        <v>0</v>
      </c>
      <c r="AV31" s="114">
        <v>0</v>
      </c>
      <c r="AW31" s="114">
        <v>0</v>
      </c>
      <c r="AX31" s="114">
        <v>0</v>
      </c>
      <c r="AY31" s="114">
        <v>0</v>
      </c>
      <c r="AZ31" s="114">
        <v>0</v>
      </c>
      <c r="BA31" s="114">
        <v>0</v>
      </c>
      <c r="BB31" s="114">
        <v>0</v>
      </c>
      <c r="BC31" s="114">
        <v>0</v>
      </c>
      <c r="BD31" s="114">
        <v>0</v>
      </c>
      <c r="BE31" s="114">
        <v>0</v>
      </c>
      <c r="BF31" s="114">
        <v>0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0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0</v>
      </c>
      <c r="BW31" s="114">
        <v>0</v>
      </c>
      <c r="BX31" s="114">
        <v>0</v>
      </c>
      <c r="BY31" s="114">
        <v>0</v>
      </c>
      <c r="BZ31" s="114">
        <v>0</v>
      </c>
      <c r="CA31" s="114">
        <v>0</v>
      </c>
      <c r="CB31" s="114">
        <v>0</v>
      </c>
      <c r="CC31" s="114">
        <v>0</v>
      </c>
      <c r="CD31" s="114">
        <v>0</v>
      </c>
      <c r="CE31" s="114">
        <v>0</v>
      </c>
      <c r="CF31" s="114">
        <v>0</v>
      </c>
      <c r="CG31" s="114">
        <v>0</v>
      </c>
      <c r="CH31" s="114">
        <v>0</v>
      </c>
      <c r="CI31" s="114">
        <v>0</v>
      </c>
      <c r="CJ31" s="114">
        <v>0</v>
      </c>
      <c r="CK31" s="114">
        <v>0</v>
      </c>
      <c r="CL31" s="114">
        <v>0</v>
      </c>
      <c r="CM31" s="114">
        <v>0</v>
      </c>
      <c r="CN31" s="114">
        <v>0</v>
      </c>
      <c r="CO31" s="114">
        <v>0</v>
      </c>
      <c r="CP31" s="114">
        <v>0</v>
      </c>
      <c r="CQ31" s="114">
        <v>0</v>
      </c>
      <c r="CR31" s="114">
        <v>0</v>
      </c>
      <c r="CS31" s="114">
        <v>0</v>
      </c>
      <c r="CT31" s="114">
        <v>0</v>
      </c>
      <c r="CU31" s="114">
        <v>0</v>
      </c>
      <c r="CV31" s="114">
        <v>0</v>
      </c>
    </row>
    <row r="32" spans="1:100" customFormat="1" x14ac:dyDescent="0.15">
      <c r="A32" s="191" t="s">
        <v>222</v>
      </c>
      <c r="B32" s="114">
        <v>0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0</v>
      </c>
      <c r="O32" s="114">
        <v>0</v>
      </c>
      <c r="P32" s="114">
        <v>0</v>
      </c>
      <c r="Q32" s="114">
        <v>0</v>
      </c>
      <c r="R32" s="114">
        <v>0</v>
      </c>
      <c r="S32" s="114">
        <v>0</v>
      </c>
      <c r="T32" s="114">
        <v>0</v>
      </c>
      <c r="U32" s="114">
        <v>0</v>
      </c>
      <c r="V32" s="114">
        <v>0</v>
      </c>
      <c r="W32" s="114">
        <v>0</v>
      </c>
      <c r="X32" s="114">
        <v>0</v>
      </c>
      <c r="Y32" s="114">
        <v>0</v>
      </c>
      <c r="Z32" s="114">
        <v>0.8</v>
      </c>
      <c r="AA32" s="114">
        <v>0</v>
      </c>
      <c r="AB32" s="114">
        <v>0</v>
      </c>
      <c r="AC32" s="114">
        <v>0</v>
      </c>
      <c r="AD32" s="114">
        <v>0</v>
      </c>
      <c r="AE32" s="114">
        <v>0</v>
      </c>
      <c r="AF32" s="114">
        <v>0</v>
      </c>
      <c r="AG32" s="114">
        <v>0</v>
      </c>
      <c r="AH32" s="114">
        <v>0</v>
      </c>
      <c r="AI32" s="114">
        <v>0</v>
      </c>
      <c r="AJ32" s="114">
        <v>0</v>
      </c>
      <c r="AK32" s="114">
        <v>0.8</v>
      </c>
      <c r="AL32" s="114">
        <v>0</v>
      </c>
      <c r="AM32" s="114">
        <v>0</v>
      </c>
      <c r="AN32" s="114">
        <v>0</v>
      </c>
      <c r="AO32" s="114">
        <v>0</v>
      </c>
      <c r="AP32" s="114">
        <v>0</v>
      </c>
      <c r="AQ32" s="114">
        <v>0.8</v>
      </c>
      <c r="AR32" s="114">
        <v>0</v>
      </c>
      <c r="AS32" s="114">
        <v>0.8</v>
      </c>
      <c r="AT32" s="114">
        <v>0</v>
      </c>
      <c r="AU32" s="114">
        <v>0</v>
      </c>
      <c r="AV32" s="114">
        <v>0</v>
      </c>
      <c r="AW32" s="114">
        <v>0</v>
      </c>
      <c r="AX32" s="114">
        <v>0</v>
      </c>
      <c r="AY32" s="114">
        <v>0</v>
      </c>
      <c r="AZ32" s="114">
        <v>0</v>
      </c>
      <c r="BA32" s="114">
        <v>0</v>
      </c>
      <c r="BB32" s="114">
        <v>0</v>
      </c>
      <c r="BC32" s="114">
        <v>0</v>
      </c>
      <c r="BD32" s="114">
        <v>0</v>
      </c>
      <c r="BE32" s="114">
        <v>0</v>
      </c>
      <c r="BF32" s="114">
        <v>0</v>
      </c>
      <c r="BG32" s="114">
        <v>0.8</v>
      </c>
      <c r="BH32" s="114">
        <v>0</v>
      </c>
      <c r="BI32" s="114">
        <v>0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0</v>
      </c>
      <c r="BR32" s="114">
        <v>0</v>
      </c>
      <c r="BS32" s="114">
        <v>0</v>
      </c>
      <c r="BT32" s="114">
        <v>0</v>
      </c>
      <c r="BU32" s="114">
        <v>0</v>
      </c>
      <c r="BV32" s="114">
        <v>0</v>
      </c>
      <c r="BW32" s="114">
        <v>0</v>
      </c>
      <c r="BX32" s="114">
        <v>0</v>
      </c>
      <c r="BY32" s="114">
        <v>0</v>
      </c>
      <c r="BZ32" s="114">
        <v>0</v>
      </c>
      <c r="CA32" s="114">
        <v>0</v>
      </c>
      <c r="CB32" s="114">
        <v>0</v>
      </c>
      <c r="CC32" s="114">
        <v>0</v>
      </c>
      <c r="CD32" s="114">
        <v>0</v>
      </c>
      <c r="CE32" s="114">
        <v>0</v>
      </c>
      <c r="CF32" s="114">
        <v>0</v>
      </c>
      <c r="CG32" s="114">
        <v>0</v>
      </c>
      <c r="CH32" s="114">
        <v>0</v>
      </c>
      <c r="CI32" s="114">
        <v>0</v>
      </c>
      <c r="CJ32" s="114">
        <v>0</v>
      </c>
      <c r="CK32" s="114">
        <v>0</v>
      </c>
      <c r="CL32" s="114">
        <v>0</v>
      </c>
      <c r="CM32" s="114">
        <v>0</v>
      </c>
      <c r="CN32" s="114">
        <v>0</v>
      </c>
      <c r="CO32" s="114">
        <v>0</v>
      </c>
      <c r="CP32" s="114">
        <v>0</v>
      </c>
      <c r="CQ32" s="114">
        <v>0</v>
      </c>
      <c r="CR32" s="114">
        <v>0</v>
      </c>
      <c r="CS32" s="114">
        <v>0</v>
      </c>
      <c r="CT32" s="114">
        <v>0</v>
      </c>
      <c r="CU32" s="114">
        <v>0</v>
      </c>
      <c r="CV32" s="114">
        <v>0</v>
      </c>
    </row>
    <row r="33" spans="1:100" x14ac:dyDescent="0.15">
      <c r="A33" s="191" t="s">
        <v>223</v>
      </c>
      <c r="B33" s="114">
        <v>0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0.8</v>
      </c>
      <c r="O33" s="114">
        <v>0.8</v>
      </c>
      <c r="P33" s="114">
        <v>0</v>
      </c>
      <c r="Q33" s="114">
        <v>0.8</v>
      </c>
      <c r="R33" s="114">
        <v>0.8</v>
      </c>
      <c r="S33" s="114">
        <v>0</v>
      </c>
      <c r="T33" s="114">
        <v>0</v>
      </c>
      <c r="U33" s="114">
        <v>0.8</v>
      </c>
      <c r="V33" s="114">
        <v>0</v>
      </c>
      <c r="W33" s="114">
        <v>0</v>
      </c>
      <c r="X33" s="114">
        <v>0</v>
      </c>
      <c r="Y33" s="114">
        <v>0</v>
      </c>
      <c r="Z33" s="114">
        <v>0.8</v>
      </c>
      <c r="AA33" s="114">
        <v>0</v>
      </c>
      <c r="AB33" s="114">
        <v>0</v>
      </c>
      <c r="AC33" s="114">
        <v>0</v>
      </c>
      <c r="AD33" s="114">
        <v>0</v>
      </c>
      <c r="AE33" s="114">
        <v>0</v>
      </c>
      <c r="AF33" s="114">
        <v>0</v>
      </c>
      <c r="AG33" s="114">
        <v>0</v>
      </c>
      <c r="AH33" s="114">
        <v>0.8</v>
      </c>
      <c r="AI33" s="114">
        <v>0.8</v>
      </c>
      <c r="AJ33" s="114">
        <v>0</v>
      </c>
      <c r="AK33" s="114">
        <v>0.8</v>
      </c>
      <c r="AL33" s="114">
        <v>0</v>
      </c>
      <c r="AM33" s="114">
        <v>0</v>
      </c>
      <c r="AN33" s="114">
        <v>0.8</v>
      </c>
      <c r="AO33" s="114">
        <v>0.8</v>
      </c>
      <c r="AP33" s="114">
        <v>0.8</v>
      </c>
      <c r="AQ33" s="114">
        <v>0.8</v>
      </c>
      <c r="AR33" s="114">
        <v>0.8</v>
      </c>
      <c r="AS33" s="114">
        <v>0.8</v>
      </c>
      <c r="AT33" s="114">
        <v>0.8</v>
      </c>
      <c r="AU33" s="114">
        <v>0.8</v>
      </c>
      <c r="AV33" s="114">
        <v>0.8</v>
      </c>
      <c r="AW33" s="114">
        <v>0</v>
      </c>
      <c r="AX33" s="114">
        <v>0</v>
      </c>
      <c r="AY33" s="114">
        <v>0.8</v>
      </c>
      <c r="AZ33" s="114">
        <v>0.8</v>
      </c>
      <c r="BA33" s="114">
        <v>0.8</v>
      </c>
      <c r="BB33" s="114">
        <v>0.8</v>
      </c>
      <c r="BC33" s="114">
        <v>0.8</v>
      </c>
      <c r="BD33" s="114">
        <v>0.8</v>
      </c>
      <c r="BE33" s="114">
        <v>0</v>
      </c>
      <c r="BF33" s="114">
        <v>0</v>
      </c>
      <c r="BG33" s="114">
        <v>0</v>
      </c>
      <c r="BH33" s="114">
        <v>0</v>
      </c>
      <c r="BI33" s="114">
        <v>0</v>
      </c>
      <c r="BJ33" s="114">
        <v>0</v>
      </c>
      <c r="BK33" s="114">
        <v>0</v>
      </c>
      <c r="BL33" s="114">
        <v>0</v>
      </c>
      <c r="BM33" s="114">
        <v>0</v>
      </c>
      <c r="BN33" s="114">
        <v>0.8</v>
      </c>
      <c r="BO33" s="114">
        <v>0</v>
      </c>
      <c r="BP33" s="114">
        <v>0</v>
      </c>
      <c r="BQ33" s="114">
        <v>0</v>
      </c>
      <c r="BR33" s="114">
        <v>0</v>
      </c>
      <c r="BS33" s="114">
        <v>0</v>
      </c>
      <c r="BT33" s="114">
        <v>0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0</v>
      </c>
      <c r="CB33" s="114">
        <v>0</v>
      </c>
      <c r="CC33" s="114">
        <v>0</v>
      </c>
      <c r="CD33" s="114">
        <v>0</v>
      </c>
      <c r="CE33" s="114">
        <v>0</v>
      </c>
      <c r="CF33" s="114">
        <v>0</v>
      </c>
      <c r="CG33" s="114">
        <v>0</v>
      </c>
      <c r="CH33" s="114">
        <v>0</v>
      </c>
      <c r="CI33" s="114">
        <v>0</v>
      </c>
      <c r="CJ33" s="114">
        <v>0</v>
      </c>
      <c r="CK33" s="114">
        <v>0</v>
      </c>
      <c r="CL33" s="114">
        <v>0</v>
      </c>
      <c r="CM33" s="114">
        <v>0</v>
      </c>
      <c r="CN33" s="114">
        <v>0</v>
      </c>
      <c r="CO33" s="114">
        <v>0</v>
      </c>
      <c r="CP33" s="114">
        <v>0</v>
      </c>
      <c r="CQ33" s="114">
        <v>0</v>
      </c>
      <c r="CR33" s="114">
        <v>0</v>
      </c>
      <c r="CS33" s="114">
        <v>0</v>
      </c>
      <c r="CT33" s="114">
        <v>0</v>
      </c>
      <c r="CU33" s="114">
        <v>0</v>
      </c>
      <c r="CV33" s="114">
        <v>0</v>
      </c>
    </row>
    <row r="34" spans="1:100" x14ac:dyDescent="0.15">
      <c r="A34" s="191" t="s">
        <v>224</v>
      </c>
      <c r="B34" s="114">
        <v>0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0.8</v>
      </c>
      <c r="L34" s="114">
        <v>0.8</v>
      </c>
      <c r="M34" s="114">
        <v>0.8</v>
      </c>
      <c r="N34" s="114">
        <v>0.8</v>
      </c>
      <c r="O34" s="114">
        <v>0.8</v>
      </c>
      <c r="P34" s="114">
        <v>0.8</v>
      </c>
      <c r="Q34" s="114">
        <v>0.8</v>
      </c>
      <c r="R34" s="114">
        <v>0.8</v>
      </c>
      <c r="S34" s="114">
        <v>0.8</v>
      </c>
      <c r="T34" s="114">
        <v>0</v>
      </c>
      <c r="U34" s="114">
        <v>0</v>
      </c>
      <c r="V34" s="114">
        <v>0.8</v>
      </c>
      <c r="W34" s="114">
        <v>0</v>
      </c>
      <c r="X34" s="114">
        <v>0.8</v>
      </c>
      <c r="Y34" s="114">
        <v>0.8</v>
      </c>
      <c r="Z34" s="114">
        <v>0.8</v>
      </c>
      <c r="AA34" s="114">
        <v>0.8</v>
      </c>
      <c r="AB34" s="114">
        <v>0</v>
      </c>
      <c r="AC34" s="114">
        <v>0</v>
      </c>
      <c r="AD34" s="114">
        <v>0</v>
      </c>
      <c r="AE34" s="114">
        <v>0</v>
      </c>
      <c r="AF34" s="114">
        <v>0.8</v>
      </c>
      <c r="AG34" s="114">
        <v>0</v>
      </c>
      <c r="AH34" s="114">
        <v>0</v>
      </c>
      <c r="AI34" s="114">
        <v>0</v>
      </c>
      <c r="AJ34" s="114">
        <v>0.8</v>
      </c>
      <c r="AK34" s="114">
        <v>0.8</v>
      </c>
      <c r="AL34" s="114">
        <v>0.8</v>
      </c>
      <c r="AM34" s="114">
        <v>0</v>
      </c>
      <c r="AN34" s="114">
        <v>0</v>
      </c>
      <c r="AO34" s="114">
        <v>0</v>
      </c>
      <c r="AP34" s="114">
        <v>0</v>
      </c>
      <c r="AQ34" s="114">
        <v>0.8</v>
      </c>
      <c r="AR34" s="114">
        <v>0.8</v>
      </c>
      <c r="AS34" s="114">
        <v>0.8</v>
      </c>
      <c r="AT34" s="114">
        <v>0</v>
      </c>
      <c r="AU34" s="114">
        <v>0</v>
      </c>
      <c r="AV34" s="114">
        <v>0</v>
      </c>
      <c r="AW34" s="114">
        <v>0.8</v>
      </c>
      <c r="AX34" s="114">
        <v>0.8</v>
      </c>
      <c r="AY34" s="114">
        <v>0</v>
      </c>
      <c r="AZ34" s="114">
        <v>0</v>
      </c>
      <c r="BA34" s="114">
        <v>0.8</v>
      </c>
      <c r="BB34" s="114">
        <v>0</v>
      </c>
      <c r="BC34" s="114">
        <v>0</v>
      </c>
      <c r="BD34" s="114">
        <v>0</v>
      </c>
      <c r="BE34" s="114">
        <v>0</v>
      </c>
      <c r="BF34" s="114">
        <v>0</v>
      </c>
      <c r="BG34" s="114">
        <v>0.8</v>
      </c>
      <c r="BH34" s="114">
        <v>0</v>
      </c>
      <c r="BI34" s="114">
        <v>0</v>
      </c>
      <c r="BJ34" s="114">
        <v>0</v>
      </c>
      <c r="BK34" s="114">
        <v>0</v>
      </c>
      <c r="BL34" s="114">
        <v>0</v>
      </c>
      <c r="BM34" s="114">
        <v>0</v>
      </c>
      <c r="BN34" s="114">
        <v>0</v>
      </c>
      <c r="BO34" s="114">
        <v>0</v>
      </c>
      <c r="BP34" s="114">
        <v>0</v>
      </c>
      <c r="BQ34" s="114">
        <v>0</v>
      </c>
      <c r="BR34" s="114">
        <v>0</v>
      </c>
      <c r="BS34" s="114">
        <v>0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0</v>
      </c>
      <c r="CA34" s="114">
        <v>0</v>
      </c>
      <c r="CB34" s="114">
        <v>0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  <c r="CH34" s="114">
        <v>0</v>
      </c>
      <c r="CI34" s="114">
        <v>0</v>
      </c>
      <c r="CJ34" s="114">
        <v>0</v>
      </c>
      <c r="CK34" s="114">
        <v>0</v>
      </c>
      <c r="CL34" s="114">
        <v>0</v>
      </c>
      <c r="CM34" s="114">
        <v>0</v>
      </c>
      <c r="CN34" s="114">
        <v>0</v>
      </c>
      <c r="CO34" s="114">
        <v>0</v>
      </c>
      <c r="CP34" s="114">
        <v>0</v>
      </c>
      <c r="CQ34" s="114">
        <v>0</v>
      </c>
      <c r="CR34" s="114">
        <v>0</v>
      </c>
      <c r="CS34" s="114">
        <v>0</v>
      </c>
      <c r="CT34" s="114">
        <v>0</v>
      </c>
      <c r="CU34" s="114">
        <v>0</v>
      </c>
      <c r="CV34" s="114">
        <v>0</v>
      </c>
    </row>
    <row r="35" spans="1:100" x14ac:dyDescent="0.15">
      <c r="A35" s="191" t="s">
        <v>225</v>
      </c>
      <c r="B35" s="114">
        <v>0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0.8</v>
      </c>
      <c r="L35" s="114">
        <v>0.8</v>
      </c>
      <c r="M35" s="114">
        <v>0.8</v>
      </c>
      <c r="N35" s="114">
        <v>0.8</v>
      </c>
      <c r="O35" s="114">
        <v>0.8</v>
      </c>
      <c r="P35" s="114">
        <v>0.8</v>
      </c>
      <c r="Q35" s="114">
        <v>0.8</v>
      </c>
      <c r="R35" s="114">
        <v>0.8</v>
      </c>
      <c r="S35" s="114">
        <v>0.8</v>
      </c>
      <c r="T35" s="114">
        <v>0</v>
      </c>
      <c r="U35" s="114">
        <v>0</v>
      </c>
      <c r="V35" s="114">
        <v>0.8</v>
      </c>
      <c r="W35" s="114">
        <v>0</v>
      </c>
      <c r="X35" s="114">
        <v>0.8</v>
      </c>
      <c r="Y35" s="114">
        <v>0.8</v>
      </c>
      <c r="Z35" s="114">
        <v>0.8</v>
      </c>
      <c r="AA35" s="114">
        <v>0.8</v>
      </c>
      <c r="AB35" s="114">
        <v>0</v>
      </c>
      <c r="AC35" s="114">
        <v>0.8</v>
      </c>
      <c r="AD35" s="114">
        <v>0</v>
      </c>
      <c r="AE35" s="114">
        <v>0</v>
      </c>
      <c r="AF35" s="114">
        <v>0.8</v>
      </c>
      <c r="AG35" s="114">
        <v>0</v>
      </c>
      <c r="AH35" s="114">
        <v>0.8</v>
      </c>
      <c r="AI35" s="114">
        <v>0.8</v>
      </c>
      <c r="AJ35" s="114">
        <v>0.8</v>
      </c>
      <c r="AK35" s="114">
        <v>0.8</v>
      </c>
      <c r="AL35" s="114">
        <v>0.8</v>
      </c>
      <c r="AM35" s="114">
        <v>0.8</v>
      </c>
      <c r="AN35" s="114">
        <v>0.8</v>
      </c>
      <c r="AO35" s="114">
        <v>0</v>
      </c>
      <c r="AP35" s="114">
        <v>0</v>
      </c>
      <c r="AQ35" s="114">
        <v>0.8</v>
      </c>
      <c r="AR35" s="114">
        <v>0.8</v>
      </c>
      <c r="AS35" s="114">
        <v>0.8</v>
      </c>
      <c r="AT35" s="114">
        <v>0.8</v>
      </c>
      <c r="AU35" s="114">
        <v>0.8</v>
      </c>
      <c r="AV35" s="114">
        <v>0.8</v>
      </c>
      <c r="AW35" s="114">
        <v>0.8</v>
      </c>
      <c r="AX35" s="114">
        <v>0.8</v>
      </c>
      <c r="AY35" s="114">
        <v>0.8</v>
      </c>
      <c r="AZ35" s="114">
        <v>0.8</v>
      </c>
      <c r="BA35" s="114">
        <v>0.8</v>
      </c>
      <c r="BB35" s="114">
        <v>0.8</v>
      </c>
      <c r="BC35" s="114">
        <v>0.8</v>
      </c>
      <c r="BD35" s="114">
        <v>0.8</v>
      </c>
      <c r="BE35" s="114">
        <v>0</v>
      </c>
      <c r="BF35" s="114">
        <v>0</v>
      </c>
      <c r="BG35" s="114">
        <v>0.8</v>
      </c>
      <c r="BH35" s="114">
        <v>0</v>
      </c>
      <c r="BI35" s="114">
        <v>0.8</v>
      </c>
      <c r="BJ35" s="114">
        <v>0</v>
      </c>
      <c r="BK35" s="114">
        <v>0</v>
      </c>
      <c r="BL35" s="114">
        <v>0</v>
      </c>
      <c r="BM35" s="114">
        <v>0</v>
      </c>
      <c r="BN35" s="114">
        <v>0.8</v>
      </c>
      <c r="BO35" s="114">
        <v>0</v>
      </c>
      <c r="BP35" s="114">
        <v>0</v>
      </c>
      <c r="BQ35" s="114">
        <v>0</v>
      </c>
      <c r="BR35" s="114">
        <v>0</v>
      </c>
      <c r="BS35" s="114">
        <v>0</v>
      </c>
      <c r="BT35" s="114">
        <v>0</v>
      </c>
      <c r="BU35" s="114">
        <v>0</v>
      </c>
      <c r="BV35" s="114">
        <v>0</v>
      </c>
      <c r="BW35" s="114">
        <v>0</v>
      </c>
      <c r="BX35" s="114">
        <v>0</v>
      </c>
      <c r="BY35" s="114">
        <v>0</v>
      </c>
      <c r="BZ35" s="114">
        <v>0</v>
      </c>
      <c r="CA35" s="114">
        <v>0</v>
      </c>
      <c r="CB35" s="114">
        <v>0</v>
      </c>
      <c r="CC35" s="114">
        <v>0</v>
      </c>
      <c r="CD35" s="114">
        <v>0</v>
      </c>
      <c r="CE35" s="114">
        <v>0</v>
      </c>
      <c r="CF35" s="114">
        <v>0</v>
      </c>
      <c r="CG35" s="114">
        <v>0</v>
      </c>
      <c r="CH35" s="114">
        <v>0</v>
      </c>
      <c r="CI35" s="114">
        <v>0</v>
      </c>
      <c r="CJ35" s="114">
        <v>0</v>
      </c>
      <c r="CK35" s="114">
        <v>0</v>
      </c>
      <c r="CL35" s="114">
        <v>0.8</v>
      </c>
      <c r="CM35" s="114">
        <v>0</v>
      </c>
      <c r="CN35" s="114">
        <v>0</v>
      </c>
      <c r="CO35" s="114">
        <v>0</v>
      </c>
      <c r="CP35" s="114">
        <v>0</v>
      </c>
      <c r="CQ35" s="114">
        <v>0</v>
      </c>
      <c r="CR35" s="114">
        <v>0</v>
      </c>
      <c r="CS35" s="114">
        <v>0</v>
      </c>
      <c r="CT35" s="114">
        <v>0</v>
      </c>
      <c r="CU35" s="114">
        <v>0</v>
      </c>
      <c r="CV35" s="114">
        <v>0</v>
      </c>
    </row>
    <row r="36" spans="1:100" x14ac:dyDescent="0.15">
      <c r="A36" s="191" t="s">
        <v>226</v>
      </c>
      <c r="B36" s="114">
        <v>0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0.8</v>
      </c>
      <c r="L36" s="114">
        <v>0.8</v>
      </c>
      <c r="M36" s="114">
        <v>0.8</v>
      </c>
      <c r="N36" s="114">
        <v>0.8</v>
      </c>
      <c r="O36" s="114">
        <v>0.8</v>
      </c>
      <c r="P36" s="114">
        <v>0.8</v>
      </c>
      <c r="Q36" s="114">
        <v>0</v>
      </c>
      <c r="R36" s="114">
        <v>0</v>
      </c>
      <c r="S36" s="114">
        <v>0</v>
      </c>
      <c r="T36" s="114">
        <v>0</v>
      </c>
      <c r="U36" s="114">
        <v>0</v>
      </c>
      <c r="V36" s="114">
        <v>0.8</v>
      </c>
      <c r="W36" s="114">
        <v>0</v>
      </c>
      <c r="X36" s="114">
        <v>0.8</v>
      </c>
      <c r="Y36" s="114">
        <v>0.8</v>
      </c>
      <c r="Z36" s="114">
        <v>0.8</v>
      </c>
      <c r="AA36" s="114">
        <v>0.8</v>
      </c>
      <c r="AB36" s="114">
        <v>0</v>
      </c>
      <c r="AC36" s="114">
        <v>0</v>
      </c>
      <c r="AD36" s="114">
        <v>0</v>
      </c>
      <c r="AE36" s="114">
        <v>0</v>
      </c>
      <c r="AF36" s="114">
        <v>0.8</v>
      </c>
      <c r="AG36" s="114">
        <v>0</v>
      </c>
      <c r="AH36" s="114">
        <v>0</v>
      </c>
      <c r="AI36" s="114">
        <v>0</v>
      </c>
      <c r="AJ36" s="114">
        <v>0</v>
      </c>
      <c r="AK36" s="114">
        <v>0.8</v>
      </c>
      <c r="AL36" s="114">
        <v>0.8</v>
      </c>
      <c r="AM36" s="114">
        <v>0</v>
      </c>
      <c r="AN36" s="114">
        <v>0</v>
      </c>
      <c r="AO36" s="114">
        <v>0</v>
      </c>
      <c r="AP36" s="114">
        <v>0.8</v>
      </c>
      <c r="AQ36" s="114">
        <v>0.8</v>
      </c>
      <c r="AR36" s="114">
        <v>0.8</v>
      </c>
      <c r="AS36" s="114">
        <v>0.8</v>
      </c>
      <c r="AT36" s="114">
        <v>0</v>
      </c>
      <c r="AU36" s="114">
        <v>0</v>
      </c>
      <c r="AV36" s="114">
        <v>0</v>
      </c>
      <c r="AW36" s="114">
        <v>0.8</v>
      </c>
      <c r="AX36" s="114">
        <v>0</v>
      </c>
      <c r="AY36" s="114">
        <v>0</v>
      </c>
      <c r="AZ36" s="114">
        <v>0</v>
      </c>
      <c r="BA36" s="114">
        <v>0.8</v>
      </c>
      <c r="BB36" s="114">
        <v>0.8</v>
      </c>
      <c r="BC36" s="114">
        <v>0</v>
      </c>
      <c r="BD36" s="114">
        <v>0</v>
      </c>
      <c r="BE36" s="114">
        <v>0</v>
      </c>
      <c r="BF36" s="114">
        <v>0</v>
      </c>
      <c r="BG36" s="114">
        <v>0.8</v>
      </c>
      <c r="BH36" s="114">
        <v>0</v>
      </c>
      <c r="BI36" s="114">
        <v>0</v>
      </c>
      <c r="BJ36" s="114">
        <v>0</v>
      </c>
      <c r="BK36" s="114">
        <v>0</v>
      </c>
      <c r="BL36" s="114">
        <v>0</v>
      </c>
      <c r="BM36" s="114">
        <v>0</v>
      </c>
      <c r="BN36" s="114">
        <v>0</v>
      </c>
      <c r="BO36" s="114">
        <v>0</v>
      </c>
      <c r="BP36" s="114">
        <v>0</v>
      </c>
      <c r="BQ36" s="114">
        <v>0</v>
      </c>
      <c r="BR36" s="114">
        <v>0</v>
      </c>
      <c r="BS36" s="114">
        <v>0</v>
      </c>
      <c r="BT36" s="114">
        <v>0</v>
      </c>
      <c r="BU36" s="114">
        <v>0</v>
      </c>
      <c r="BV36" s="114">
        <v>0</v>
      </c>
      <c r="BW36" s="114">
        <v>0</v>
      </c>
      <c r="BX36" s="114">
        <v>0</v>
      </c>
      <c r="BY36" s="114">
        <v>0</v>
      </c>
      <c r="BZ36" s="114">
        <v>0</v>
      </c>
      <c r="CA36" s="114">
        <v>0</v>
      </c>
      <c r="CB36" s="114">
        <v>0</v>
      </c>
      <c r="CC36" s="114">
        <v>0</v>
      </c>
      <c r="CD36" s="114">
        <v>0</v>
      </c>
      <c r="CE36" s="114">
        <v>0</v>
      </c>
      <c r="CF36" s="114">
        <v>0</v>
      </c>
      <c r="CG36" s="114">
        <v>0</v>
      </c>
      <c r="CH36" s="114">
        <v>0</v>
      </c>
      <c r="CI36" s="114">
        <v>0</v>
      </c>
      <c r="CJ36" s="114">
        <v>0</v>
      </c>
      <c r="CK36" s="114">
        <v>0</v>
      </c>
      <c r="CL36" s="114">
        <v>0</v>
      </c>
      <c r="CM36" s="114">
        <v>0</v>
      </c>
      <c r="CN36" s="114">
        <v>0</v>
      </c>
      <c r="CO36" s="114">
        <v>0</v>
      </c>
      <c r="CP36" s="114">
        <v>0</v>
      </c>
      <c r="CQ36" s="114">
        <v>0</v>
      </c>
      <c r="CR36" s="114">
        <v>0</v>
      </c>
      <c r="CS36" s="114">
        <v>0</v>
      </c>
      <c r="CT36" s="114">
        <v>0</v>
      </c>
      <c r="CU36" s="114">
        <v>0</v>
      </c>
      <c r="CV36" s="114">
        <v>0</v>
      </c>
    </row>
    <row r="37" spans="1:100" x14ac:dyDescent="0.15">
      <c r="A37" s="191" t="s">
        <v>227</v>
      </c>
      <c r="B37" s="114">
        <v>0</v>
      </c>
      <c r="C37" s="114">
        <v>0.8</v>
      </c>
      <c r="D37" s="114">
        <v>0.8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0.8</v>
      </c>
      <c r="O37" s="114">
        <v>0.8</v>
      </c>
      <c r="P37" s="114">
        <v>0</v>
      </c>
      <c r="Q37" s="114">
        <v>0</v>
      </c>
      <c r="R37" s="114">
        <v>0</v>
      </c>
      <c r="S37" s="114">
        <v>0</v>
      </c>
      <c r="T37" s="114">
        <v>0.8</v>
      </c>
      <c r="U37" s="114">
        <v>0.8</v>
      </c>
      <c r="V37" s="114">
        <v>0.8</v>
      </c>
      <c r="W37" s="114">
        <v>0.8</v>
      </c>
      <c r="X37" s="114">
        <v>0</v>
      </c>
      <c r="Y37" s="114">
        <v>0</v>
      </c>
      <c r="Z37" s="114">
        <v>0.8</v>
      </c>
      <c r="AA37" s="114">
        <v>0</v>
      </c>
      <c r="AB37" s="114">
        <v>0.8</v>
      </c>
      <c r="AC37" s="114">
        <v>0.8</v>
      </c>
      <c r="AD37" s="114">
        <v>0</v>
      </c>
      <c r="AE37" s="114">
        <v>0</v>
      </c>
      <c r="AF37" s="114">
        <v>0</v>
      </c>
      <c r="AG37" s="114">
        <v>0</v>
      </c>
      <c r="AH37" s="114">
        <v>0</v>
      </c>
      <c r="AI37" s="114">
        <v>0</v>
      </c>
      <c r="AJ37" s="114">
        <v>0</v>
      </c>
      <c r="AK37" s="114">
        <v>0.8</v>
      </c>
      <c r="AL37" s="114">
        <v>0.8</v>
      </c>
      <c r="AM37" s="114">
        <v>0.8</v>
      </c>
      <c r="AN37" s="114">
        <v>0.8</v>
      </c>
      <c r="AO37" s="114">
        <v>0</v>
      </c>
      <c r="AP37" s="114">
        <v>0</v>
      </c>
      <c r="AQ37" s="114">
        <v>0.8</v>
      </c>
      <c r="AR37" s="114">
        <v>0</v>
      </c>
      <c r="AS37" s="114">
        <v>0.8</v>
      </c>
      <c r="AT37" s="114">
        <v>0</v>
      </c>
      <c r="AU37" s="114">
        <v>0</v>
      </c>
      <c r="AV37" s="114">
        <v>0</v>
      </c>
      <c r="AW37" s="114">
        <v>0</v>
      </c>
      <c r="AX37" s="114">
        <v>0</v>
      </c>
      <c r="AY37" s="114">
        <v>0</v>
      </c>
      <c r="AZ37" s="114">
        <v>0</v>
      </c>
      <c r="BA37" s="114">
        <v>0.8</v>
      </c>
      <c r="BB37" s="114">
        <v>0</v>
      </c>
      <c r="BC37" s="114">
        <v>0</v>
      </c>
      <c r="BD37" s="114">
        <v>0</v>
      </c>
      <c r="BE37" s="114">
        <v>0</v>
      </c>
      <c r="BF37" s="114">
        <v>0</v>
      </c>
      <c r="BG37" s="114">
        <v>0.8</v>
      </c>
      <c r="BH37" s="114">
        <v>0</v>
      </c>
      <c r="BI37" s="114">
        <v>0.8</v>
      </c>
      <c r="BJ37" s="114">
        <v>0</v>
      </c>
      <c r="BK37" s="114">
        <v>0</v>
      </c>
      <c r="BL37" s="114">
        <v>0</v>
      </c>
      <c r="BM37" s="114">
        <v>0</v>
      </c>
      <c r="BN37" s="114">
        <v>0</v>
      </c>
      <c r="BO37" s="114">
        <v>0</v>
      </c>
      <c r="BP37" s="114">
        <v>0</v>
      </c>
      <c r="BQ37" s="114">
        <v>0</v>
      </c>
      <c r="BR37" s="114">
        <v>0</v>
      </c>
      <c r="BS37" s="114">
        <v>0</v>
      </c>
      <c r="BT37" s="114">
        <v>0</v>
      </c>
      <c r="BU37" s="114">
        <v>0</v>
      </c>
      <c r="BV37" s="114">
        <v>0</v>
      </c>
      <c r="BW37" s="114">
        <v>0</v>
      </c>
      <c r="BX37" s="114">
        <v>0</v>
      </c>
      <c r="BY37" s="114">
        <v>0</v>
      </c>
      <c r="BZ37" s="114">
        <v>0</v>
      </c>
      <c r="CA37" s="114">
        <v>0</v>
      </c>
      <c r="CB37" s="114">
        <v>0</v>
      </c>
      <c r="CC37" s="114">
        <v>0</v>
      </c>
      <c r="CD37" s="114">
        <v>0</v>
      </c>
      <c r="CE37" s="114">
        <v>0</v>
      </c>
      <c r="CF37" s="114">
        <v>0</v>
      </c>
      <c r="CG37" s="114">
        <v>0</v>
      </c>
      <c r="CH37" s="114">
        <v>0</v>
      </c>
      <c r="CI37" s="114">
        <v>0</v>
      </c>
      <c r="CJ37" s="114">
        <v>0</v>
      </c>
      <c r="CK37" s="114">
        <v>0</v>
      </c>
      <c r="CL37" s="114">
        <v>0</v>
      </c>
      <c r="CM37" s="114">
        <v>0</v>
      </c>
      <c r="CN37" s="114">
        <v>0</v>
      </c>
      <c r="CO37" s="114">
        <v>0</v>
      </c>
      <c r="CP37" s="114">
        <v>0</v>
      </c>
      <c r="CQ37" s="114">
        <v>0</v>
      </c>
      <c r="CR37" s="114">
        <v>0</v>
      </c>
      <c r="CS37" s="114">
        <v>0</v>
      </c>
      <c r="CT37" s="114">
        <v>0</v>
      </c>
      <c r="CU37" s="114">
        <v>0</v>
      </c>
      <c r="CV37" s="114">
        <v>0</v>
      </c>
    </row>
    <row r="38" spans="1:100" x14ac:dyDescent="0.15">
      <c r="A38" s="191" t="s">
        <v>228</v>
      </c>
      <c r="B38" s="114">
        <v>0</v>
      </c>
      <c r="C38" s="114">
        <v>0.8</v>
      </c>
      <c r="D38" s="114">
        <v>0.8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0.8</v>
      </c>
      <c r="K38" s="114">
        <v>0</v>
      </c>
      <c r="L38" s="114">
        <v>0</v>
      </c>
      <c r="M38" s="114">
        <v>0</v>
      </c>
      <c r="N38" s="114">
        <v>0.8</v>
      </c>
      <c r="O38" s="114">
        <v>0.8</v>
      </c>
      <c r="P38" s="114">
        <v>0</v>
      </c>
      <c r="Q38" s="114">
        <v>0</v>
      </c>
      <c r="R38" s="114">
        <v>0</v>
      </c>
      <c r="S38" s="114">
        <v>0</v>
      </c>
      <c r="T38" s="114">
        <v>0.8</v>
      </c>
      <c r="U38" s="114">
        <v>0.8</v>
      </c>
      <c r="V38" s="114">
        <v>0.8</v>
      </c>
      <c r="W38" s="114">
        <v>0</v>
      </c>
      <c r="X38" s="114">
        <v>0</v>
      </c>
      <c r="Y38" s="114">
        <v>0</v>
      </c>
      <c r="Z38" s="114">
        <v>0</v>
      </c>
      <c r="AA38" s="114">
        <v>0</v>
      </c>
      <c r="AB38" s="114">
        <v>0</v>
      </c>
      <c r="AC38" s="114">
        <v>0</v>
      </c>
      <c r="AD38" s="114">
        <v>0</v>
      </c>
      <c r="AE38" s="114">
        <v>0</v>
      </c>
      <c r="AF38" s="114">
        <v>0</v>
      </c>
      <c r="AG38" s="114">
        <v>0</v>
      </c>
      <c r="AH38" s="114">
        <v>0</v>
      </c>
      <c r="AI38" s="114">
        <v>0</v>
      </c>
      <c r="AJ38" s="114">
        <v>0</v>
      </c>
      <c r="AK38" s="114">
        <v>0.8</v>
      </c>
      <c r="AL38" s="114">
        <v>0</v>
      </c>
      <c r="AM38" s="114">
        <v>0.8</v>
      </c>
      <c r="AN38" s="114">
        <v>0.8</v>
      </c>
      <c r="AO38" s="114">
        <v>0.8</v>
      </c>
      <c r="AP38" s="114">
        <v>0.8</v>
      </c>
      <c r="AQ38" s="114">
        <v>0.8</v>
      </c>
      <c r="AR38" s="114">
        <v>0</v>
      </c>
      <c r="AS38" s="114">
        <v>0.8</v>
      </c>
      <c r="AT38" s="114">
        <v>0</v>
      </c>
      <c r="AU38" s="114">
        <v>0</v>
      </c>
      <c r="AV38" s="114">
        <v>0</v>
      </c>
      <c r="AW38" s="114">
        <v>0</v>
      </c>
      <c r="AX38" s="114">
        <v>0</v>
      </c>
      <c r="AY38" s="114">
        <v>0</v>
      </c>
      <c r="AZ38" s="114">
        <v>0</v>
      </c>
      <c r="BA38" s="114">
        <v>0.8</v>
      </c>
      <c r="BB38" s="114">
        <v>0.8</v>
      </c>
      <c r="BC38" s="114">
        <v>0.8</v>
      </c>
      <c r="BD38" s="114">
        <v>0.8</v>
      </c>
      <c r="BE38" s="114">
        <v>0</v>
      </c>
      <c r="BF38" s="114">
        <v>0</v>
      </c>
      <c r="BG38" s="114">
        <v>0.8</v>
      </c>
      <c r="BH38" s="114">
        <v>0</v>
      </c>
      <c r="BI38" s="114">
        <v>0.8</v>
      </c>
      <c r="BJ38" s="114">
        <v>0</v>
      </c>
      <c r="BK38" s="114">
        <v>0</v>
      </c>
      <c r="BL38" s="114">
        <v>0</v>
      </c>
      <c r="BM38" s="114">
        <v>0</v>
      </c>
      <c r="BN38" s="114">
        <v>0</v>
      </c>
      <c r="BO38" s="114">
        <v>0</v>
      </c>
      <c r="BP38" s="114">
        <v>0</v>
      </c>
      <c r="BQ38" s="114">
        <v>0</v>
      </c>
      <c r="BR38" s="114">
        <v>0</v>
      </c>
      <c r="BS38" s="114">
        <v>0</v>
      </c>
      <c r="BT38" s="114">
        <v>0</v>
      </c>
      <c r="BU38" s="114">
        <v>0</v>
      </c>
      <c r="BV38" s="114">
        <v>0</v>
      </c>
      <c r="BW38" s="114">
        <v>0</v>
      </c>
      <c r="BX38" s="114">
        <v>0</v>
      </c>
      <c r="BY38" s="114">
        <v>0</v>
      </c>
      <c r="BZ38" s="114">
        <v>0</v>
      </c>
      <c r="CA38" s="114">
        <v>0</v>
      </c>
      <c r="CB38" s="114">
        <v>0</v>
      </c>
      <c r="CC38" s="114">
        <v>0</v>
      </c>
      <c r="CD38" s="114">
        <v>0</v>
      </c>
      <c r="CE38" s="114">
        <v>0</v>
      </c>
      <c r="CF38" s="114">
        <v>0</v>
      </c>
      <c r="CG38" s="114">
        <v>0</v>
      </c>
      <c r="CH38" s="114">
        <v>0</v>
      </c>
      <c r="CI38" s="114">
        <v>0</v>
      </c>
      <c r="CJ38" s="114">
        <v>0</v>
      </c>
      <c r="CK38" s="114">
        <v>0</v>
      </c>
      <c r="CL38" s="114">
        <v>0.8</v>
      </c>
      <c r="CM38" s="114">
        <v>0</v>
      </c>
      <c r="CN38" s="114">
        <v>0</v>
      </c>
      <c r="CO38" s="114">
        <v>0</v>
      </c>
      <c r="CP38" s="114">
        <v>0</v>
      </c>
      <c r="CQ38" s="114">
        <v>0</v>
      </c>
      <c r="CR38" s="114">
        <v>0</v>
      </c>
      <c r="CS38" s="114">
        <v>0</v>
      </c>
      <c r="CT38" s="114">
        <v>0</v>
      </c>
      <c r="CU38" s="114">
        <v>0</v>
      </c>
      <c r="CV38" s="114">
        <v>0</v>
      </c>
    </row>
    <row r="39" spans="1:100" x14ac:dyDescent="0.15">
      <c r="A39" s="191" t="s">
        <v>229</v>
      </c>
      <c r="B39" s="114">
        <v>0</v>
      </c>
      <c r="C39" s="114">
        <v>0.8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0.8</v>
      </c>
      <c r="O39" s="114">
        <v>0.8</v>
      </c>
      <c r="P39" s="114">
        <v>0</v>
      </c>
      <c r="Q39" s="114">
        <v>0</v>
      </c>
      <c r="R39" s="114">
        <v>0</v>
      </c>
      <c r="S39" s="114">
        <v>0</v>
      </c>
      <c r="T39" s="114">
        <v>0.8</v>
      </c>
      <c r="U39" s="114">
        <v>0.8</v>
      </c>
      <c r="V39" s="114">
        <v>0.8</v>
      </c>
      <c r="W39" s="114">
        <v>0.8</v>
      </c>
      <c r="X39" s="114">
        <v>0</v>
      </c>
      <c r="Y39" s="114">
        <v>0</v>
      </c>
      <c r="Z39" s="114">
        <v>0.8</v>
      </c>
      <c r="AA39" s="114">
        <v>0</v>
      </c>
      <c r="AB39" s="114">
        <v>0.8</v>
      </c>
      <c r="AC39" s="114">
        <v>0.8</v>
      </c>
      <c r="AD39" s="114">
        <v>0.8</v>
      </c>
      <c r="AE39" s="114">
        <v>0.8</v>
      </c>
      <c r="AF39" s="114">
        <v>0</v>
      </c>
      <c r="AG39" s="114">
        <v>0</v>
      </c>
      <c r="AH39" s="114">
        <v>0</v>
      </c>
      <c r="AI39" s="114">
        <v>0</v>
      </c>
      <c r="AJ39" s="114">
        <v>0</v>
      </c>
      <c r="AK39" s="114">
        <v>0.8</v>
      </c>
      <c r="AL39" s="114">
        <v>0.8</v>
      </c>
      <c r="AM39" s="114">
        <v>0.8</v>
      </c>
      <c r="AN39" s="114">
        <v>0.8</v>
      </c>
      <c r="AO39" s="114">
        <v>0</v>
      </c>
      <c r="AP39" s="114">
        <v>0</v>
      </c>
      <c r="AQ39" s="114">
        <v>0.8</v>
      </c>
      <c r="AR39" s="114">
        <v>0</v>
      </c>
      <c r="AS39" s="114">
        <v>0.8</v>
      </c>
      <c r="AT39" s="114">
        <v>0</v>
      </c>
      <c r="AU39" s="114">
        <v>0</v>
      </c>
      <c r="AV39" s="114">
        <v>0</v>
      </c>
      <c r="AW39" s="114">
        <v>0</v>
      </c>
      <c r="AX39" s="114">
        <v>0</v>
      </c>
      <c r="AY39" s="114">
        <v>0</v>
      </c>
      <c r="AZ39" s="114">
        <v>0</v>
      </c>
      <c r="BA39" s="114">
        <v>0.8</v>
      </c>
      <c r="BB39" s="114">
        <v>0</v>
      </c>
      <c r="BC39" s="114">
        <v>0.8</v>
      </c>
      <c r="BD39" s="114">
        <v>0</v>
      </c>
      <c r="BE39" s="114">
        <v>0</v>
      </c>
      <c r="BF39" s="114">
        <v>0</v>
      </c>
      <c r="BG39" s="114">
        <v>0.8</v>
      </c>
      <c r="BH39" s="114">
        <v>0</v>
      </c>
      <c r="BI39" s="114">
        <v>0.8</v>
      </c>
      <c r="BJ39" s="114">
        <v>0</v>
      </c>
      <c r="BK39" s="114">
        <v>0</v>
      </c>
      <c r="BL39" s="114">
        <v>0</v>
      </c>
      <c r="BM39" s="114">
        <v>0</v>
      </c>
      <c r="BN39" s="114">
        <v>0</v>
      </c>
      <c r="BO39" s="114">
        <v>0</v>
      </c>
      <c r="BP39" s="114">
        <v>0</v>
      </c>
      <c r="BQ39" s="114">
        <v>0</v>
      </c>
      <c r="BR39" s="114">
        <v>0</v>
      </c>
      <c r="BS39" s="114">
        <v>0</v>
      </c>
      <c r="BT39" s="114">
        <v>0</v>
      </c>
      <c r="BU39" s="114">
        <v>0</v>
      </c>
      <c r="BV39" s="114">
        <v>0</v>
      </c>
      <c r="BW39" s="114">
        <v>0</v>
      </c>
      <c r="BX39" s="114">
        <v>0</v>
      </c>
      <c r="BY39" s="114">
        <v>0</v>
      </c>
      <c r="BZ39" s="114">
        <v>0</v>
      </c>
      <c r="CA39" s="114">
        <v>0</v>
      </c>
      <c r="CB39" s="114">
        <v>0</v>
      </c>
      <c r="CC39" s="114">
        <v>0</v>
      </c>
      <c r="CD39" s="114">
        <v>0</v>
      </c>
      <c r="CE39" s="114">
        <v>0</v>
      </c>
      <c r="CF39" s="114">
        <v>0</v>
      </c>
      <c r="CG39" s="114">
        <v>0</v>
      </c>
      <c r="CH39" s="114">
        <v>0</v>
      </c>
      <c r="CI39" s="114">
        <v>0</v>
      </c>
      <c r="CJ39" s="114">
        <v>0</v>
      </c>
      <c r="CK39" s="114">
        <v>0</v>
      </c>
      <c r="CL39" s="114">
        <v>0</v>
      </c>
      <c r="CM39" s="114">
        <v>0</v>
      </c>
      <c r="CN39" s="114">
        <v>0</v>
      </c>
      <c r="CO39" s="114">
        <v>0</v>
      </c>
      <c r="CP39" s="114">
        <v>0</v>
      </c>
      <c r="CQ39" s="114">
        <v>0</v>
      </c>
      <c r="CR39" s="114">
        <v>0</v>
      </c>
      <c r="CS39" s="114">
        <v>0</v>
      </c>
      <c r="CT39" s="114">
        <v>0</v>
      </c>
      <c r="CU39" s="114">
        <v>0</v>
      </c>
      <c r="CV39" s="114">
        <v>0</v>
      </c>
    </row>
    <row r="40" spans="1:100" x14ac:dyDescent="0.15">
      <c r="A40" s="191" t="s">
        <v>230</v>
      </c>
      <c r="B40" s="114">
        <v>0.8</v>
      </c>
      <c r="C40" s="114">
        <v>0.8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0.8</v>
      </c>
      <c r="L40" s="114">
        <v>0</v>
      </c>
      <c r="M40" s="114">
        <v>0</v>
      </c>
      <c r="N40" s="114">
        <v>0.8</v>
      </c>
      <c r="O40" s="114">
        <v>0.8</v>
      </c>
      <c r="P40" s="114">
        <v>0</v>
      </c>
      <c r="Q40" s="114">
        <v>0</v>
      </c>
      <c r="R40" s="114">
        <v>0</v>
      </c>
      <c r="S40" s="114">
        <v>0</v>
      </c>
      <c r="T40" s="114">
        <v>0.8</v>
      </c>
      <c r="U40" s="114">
        <v>0.8</v>
      </c>
      <c r="V40" s="114">
        <v>0.8</v>
      </c>
      <c r="W40" s="114">
        <v>0</v>
      </c>
      <c r="X40" s="114">
        <v>0.8</v>
      </c>
      <c r="Y40" s="114">
        <v>0</v>
      </c>
      <c r="Z40" s="114">
        <v>0</v>
      </c>
      <c r="AA40" s="114">
        <v>0</v>
      </c>
      <c r="AB40" s="114">
        <v>0</v>
      </c>
      <c r="AC40" s="114">
        <v>0</v>
      </c>
      <c r="AD40" s="114">
        <v>0</v>
      </c>
      <c r="AE40" s="114">
        <v>0</v>
      </c>
      <c r="AF40" s="114">
        <v>0</v>
      </c>
      <c r="AG40" s="114">
        <v>0</v>
      </c>
      <c r="AH40" s="114">
        <v>0</v>
      </c>
      <c r="AI40" s="114">
        <v>0</v>
      </c>
      <c r="AJ40" s="114">
        <v>0</v>
      </c>
      <c r="AK40" s="114">
        <v>0.8</v>
      </c>
      <c r="AL40" s="114">
        <v>0</v>
      </c>
      <c r="AM40" s="114">
        <v>0.8</v>
      </c>
      <c r="AN40" s="114">
        <v>0.8</v>
      </c>
      <c r="AO40" s="114">
        <v>0.8</v>
      </c>
      <c r="AP40" s="114">
        <v>0.8</v>
      </c>
      <c r="AQ40" s="114">
        <v>0.8</v>
      </c>
      <c r="AR40" s="114">
        <v>0</v>
      </c>
      <c r="AS40" s="114">
        <v>0</v>
      </c>
      <c r="AT40" s="114">
        <v>0</v>
      </c>
      <c r="AU40" s="114">
        <v>0</v>
      </c>
      <c r="AV40" s="114">
        <v>0</v>
      </c>
      <c r="AW40" s="114">
        <v>0</v>
      </c>
      <c r="AX40" s="114">
        <v>0</v>
      </c>
      <c r="AY40" s="114">
        <v>0</v>
      </c>
      <c r="AZ40" s="114">
        <v>0</v>
      </c>
      <c r="BA40" s="114">
        <v>0.8</v>
      </c>
      <c r="BB40" s="114">
        <v>0.8</v>
      </c>
      <c r="BC40" s="114">
        <v>0.8</v>
      </c>
      <c r="BD40" s="114">
        <v>0.8</v>
      </c>
      <c r="BE40" s="114">
        <v>0</v>
      </c>
      <c r="BF40" s="114">
        <v>0</v>
      </c>
      <c r="BG40" s="114">
        <v>0</v>
      </c>
      <c r="BH40" s="114">
        <v>0</v>
      </c>
      <c r="BI40" s="114">
        <v>0</v>
      </c>
      <c r="BJ40" s="114">
        <v>0</v>
      </c>
      <c r="BK40" s="114">
        <v>0</v>
      </c>
      <c r="BL40" s="114">
        <v>0</v>
      </c>
      <c r="BM40" s="114">
        <v>0</v>
      </c>
      <c r="BN40" s="114">
        <v>0</v>
      </c>
      <c r="BO40" s="114">
        <v>0</v>
      </c>
      <c r="BP40" s="114">
        <v>0</v>
      </c>
      <c r="BQ40" s="114">
        <v>0</v>
      </c>
      <c r="BR40" s="114">
        <v>0</v>
      </c>
      <c r="BS40" s="114">
        <v>0</v>
      </c>
      <c r="BT40" s="114">
        <v>0</v>
      </c>
      <c r="BU40" s="114">
        <v>0</v>
      </c>
      <c r="BV40" s="114">
        <v>0</v>
      </c>
      <c r="BW40" s="114">
        <v>0</v>
      </c>
      <c r="BX40" s="114">
        <v>0.8</v>
      </c>
      <c r="BY40" s="114">
        <v>0</v>
      </c>
      <c r="BZ40" s="114">
        <v>0</v>
      </c>
      <c r="CA40" s="114">
        <v>0</v>
      </c>
      <c r="CB40" s="114">
        <v>0</v>
      </c>
      <c r="CC40" s="114">
        <v>0</v>
      </c>
      <c r="CD40" s="114">
        <v>0</v>
      </c>
      <c r="CE40" s="114">
        <v>0</v>
      </c>
      <c r="CF40" s="114">
        <v>0</v>
      </c>
      <c r="CG40" s="114">
        <v>0</v>
      </c>
      <c r="CH40" s="114">
        <v>0</v>
      </c>
      <c r="CI40" s="114">
        <v>0</v>
      </c>
      <c r="CJ40" s="114">
        <v>0</v>
      </c>
      <c r="CK40" s="114">
        <v>0</v>
      </c>
      <c r="CL40" s="114">
        <v>0.8</v>
      </c>
      <c r="CM40" s="114">
        <v>0</v>
      </c>
      <c r="CN40" s="114">
        <v>0</v>
      </c>
      <c r="CO40" s="114">
        <v>0</v>
      </c>
      <c r="CP40" s="114">
        <v>0</v>
      </c>
      <c r="CQ40" s="114">
        <v>0</v>
      </c>
      <c r="CR40" s="114">
        <v>0</v>
      </c>
      <c r="CS40" s="114">
        <v>0</v>
      </c>
      <c r="CT40" s="114">
        <v>0</v>
      </c>
      <c r="CU40" s="114">
        <v>0</v>
      </c>
      <c r="CV40" s="114">
        <v>0</v>
      </c>
    </row>
    <row r="41" spans="1:100" x14ac:dyDescent="0.15">
      <c r="A41" s="191" t="s">
        <v>231</v>
      </c>
      <c r="B41" s="114">
        <v>0</v>
      </c>
      <c r="C41" s="114">
        <v>0.8</v>
      </c>
      <c r="D41" s="114">
        <v>0</v>
      </c>
      <c r="E41" s="114">
        <v>0</v>
      </c>
      <c r="F41" s="114">
        <v>0.8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0.8</v>
      </c>
      <c r="O41" s="114">
        <v>0.8</v>
      </c>
      <c r="P41" s="114">
        <v>0</v>
      </c>
      <c r="Q41" s="114">
        <v>0</v>
      </c>
      <c r="R41" s="114">
        <v>0</v>
      </c>
      <c r="S41" s="114">
        <v>0</v>
      </c>
      <c r="T41" s="114">
        <v>0.8</v>
      </c>
      <c r="U41" s="114">
        <v>0.8</v>
      </c>
      <c r="V41" s="114">
        <v>0.8</v>
      </c>
      <c r="W41" s="114">
        <v>0.8</v>
      </c>
      <c r="X41" s="114">
        <v>0</v>
      </c>
      <c r="Y41" s="114">
        <v>0</v>
      </c>
      <c r="Z41" s="114">
        <v>0.8</v>
      </c>
      <c r="AA41" s="114">
        <v>0</v>
      </c>
      <c r="AB41" s="114">
        <v>0.8</v>
      </c>
      <c r="AC41" s="114">
        <v>0.8</v>
      </c>
      <c r="AD41" s="114">
        <v>0.8</v>
      </c>
      <c r="AE41" s="114">
        <v>0.8</v>
      </c>
      <c r="AF41" s="114">
        <v>0</v>
      </c>
      <c r="AG41" s="114">
        <v>0</v>
      </c>
      <c r="AH41" s="114">
        <v>0</v>
      </c>
      <c r="AI41" s="114">
        <v>0</v>
      </c>
      <c r="AJ41" s="114">
        <v>0</v>
      </c>
      <c r="AK41" s="114">
        <v>0.8</v>
      </c>
      <c r="AL41" s="114">
        <v>0.8</v>
      </c>
      <c r="AM41" s="114">
        <v>0.8</v>
      </c>
      <c r="AN41" s="114">
        <v>0.8</v>
      </c>
      <c r="AO41" s="114">
        <v>0</v>
      </c>
      <c r="AP41" s="114">
        <v>0</v>
      </c>
      <c r="AQ41" s="114">
        <v>0.8</v>
      </c>
      <c r="AR41" s="114">
        <v>0</v>
      </c>
      <c r="AS41" s="114">
        <v>0.8</v>
      </c>
      <c r="AT41" s="114">
        <v>0</v>
      </c>
      <c r="AU41" s="114">
        <v>0</v>
      </c>
      <c r="AV41" s="114">
        <v>0</v>
      </c>
      <c r="AW41" s="114">
        <v>0</v>
      </c>
      <c r="AX41" s="114">
        <v>0</v>
      </c>
      <c r="AY41" s="114">
        <v>0</v>
      </c>
      <c r="AZ41" s="114">
        <v>0</v>
      </c>
      <c r="BA41" s="114">
        <v>0.8</v>
      </c>
      <c r="BB41" s="114">
        <v>0</v>
      </c>
      <c r="BC41" s="114">
        <v>0.8</v>
      </c>
      <c r="BD41" s="114">
        <v>0</v>
      </c>
      <c r="BE41" s="114">
        <v>0</v>
      </c>
      <c r="BF41" s="114">
        <v>0</v>
      </c>
      <c r="BG41" s="114">
        <v>0.8</v>
      </c>
      <c r="BH41" s="114">
        <v>0</v>
      </c>
      <c r="BI41" s="114">
        <v>0.8</v>
      </c>
      <c r="BJ41" s="114">
        <v>0.8</v>
      </c>
      <c r="BK41" s="114">
        <v>0</v>
      </c>
      <c r="BL41" s="114">
        <v>0</v>
      </c>
      <c r="BM41" s="114">
        <v>0</v>
      </c>
      <c r="BN41" s="114">
        <v>0</v>
      </c>
      <c r="BO41" s="114">
        <v>0</v>
      </c>
      <c r="BP41" s="114">
        <v>0</v>
      </c>
      <c r="BQ41" s="114">
        <v>0</v>
      </c>
      <c r="BR41" s="114">
        <v>0</v>
      </c>
      <c r="BS41" s="114">
        <v>0</v>
      </c>
      <c r="BT41" s="114">
        <v>0</v>
      </c>
      <c r="BU41" s="114">
        <v>0</v>
      </c>
      <c r="BV41" s="114">
        <v>0</v>
      </c>
      <c r="BW41" s="114">
        <v>0</v>
      </c>
      <c r="BX41" s="114">
        <v>0</v>
      </c>
      <c r="BY41" s="114">
        <v>0</v>
      </c>
      <c r="BZ41" s="114">
        <v>0</v>
      </c>
      <c r="CA41" s="114">
        <v>0</v>
      </c>
      <c r="CB41" s="114">
        <v>0</v>
      </c>
      <c r="CC41" s="114">
        <v>0</v>
      </c>
      <c r="CD41" s="114">
        <v>0</v>
      </c>
      <c r="CE41" s="114">
        <v>0</v>
      </c>
      <c r="CF41" s="114">
        <v>0</v>
      </c>
      <c r="CG41" s="114">
        <v>0</v>
      </c>
      <c r="CH41" s="114">
        <v>0</v>
      </c>
      <c r="CI41" s="114">
        <v>0</v>
      </c>
      <c r="CJ41" s="114">
        <v>0</v>
      </c>
      <c r="CK41" s="114">
        <v>0</v>
      </c>
      <c r="CL41" s="114">
        <v>0</v>
      </c>
      <c r="CM41" s="114">
        <v>0</v>
      </c>
      <c r="CN41" s="114">
        <v>0</v>
      </c>
      <c r="CO41" s="114">
        <v>0</v>
      </c>
      <c r="CP41" s="114">
        <v>0</v>
      </c>
      <c r="CQ41" s="114">
        <v>0</v>
      </c>
      <c r="CR41" s="114">
        <v>0</v>
      </c>
      <c r="CS41" s="114">
        <v>0</v>
      </c>
      <c r="CT41" s="114">
        <v>0</v>
      </c>
      <c r="CU41" s="114">
        <v>0</v>
      </c>
      <c r="CV41" s="114">
        <v>0</v>
      </c>
    </row>
    <row r="42" spans="1:100" x14ac:dyDescent="0.15">
      <c r="A42" s="191" t="s">
        <v>232</v>
      </c>
      <c r="B42" s="114">
        <v>0.8</v>
      </c>
      <c r="C42" s="114">
        <v>0.8</v>
      </c>
      <c r="D42" s="114">
        <v>0</v>
      </c>
      <c r="E42" s="114">
        <v>0</v>
      </c>
      <c r="F42" s="114">
        <v>0.8</v>
      </c>
      <c r="G42" s="114">
        <v>0</v>
      </c>
      <c r="H42" s="114">
        <v>0</v>
      </c>
      <c r="I42" s="114">
        <v>0</v>
      </c>
      <c r="J42" s="114">
        <v>0.8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0.8</v>
      </c>
      <c r="U42" s="114">
        <v>0.8</v>
      </c>
      <c r="V42" s="114">
        <v>0.8</v>
      </c>
      <c r="W42" s="114">
        <v>0.8</v>
      </c>
      <c r="X42" s="114">
        <v>0</v>
      </c>
      <c r="Y42" s="114">
        <v>0</v>
      </c>
      <c r="Z42" s="114">
        <v>0</v>
      </c>
      <c r="AA42" s="114">
        <v>0</v>
      </c>
      <c r="AB42" s="114">
        <v>0.8</v>
      </c>
      <c r="AC42" s="114">
        <v>0.8</v>
      </c>
      <c r="AD42" s="114">
        <v>0</v>
      </c>
      <c r="AE42" s="114">
        <v>0</v>
      </c>
      <c r="AF42" s="114">
        <v>0</v>
      </c>
      <c r="AG42" s="114">
        <v>0</v>
      </c>
      <c r="AH42" s="114">
        <v>0</v>
      </c>
      <c r="AI42" s="114">
        <v>0</v>
      </c>
      <c r="AJ42" s="114">
        <v>0</v>
      </c>
      <c r="AK42" s="114">
        <v>0.8</v>
      </c>
      <c r="AL42" s="114">
        <v>0.8</v>
      </c>
      <c r="AM42" s="114">
        <v>0.8</v>
      </c>
      <c r="AN42" s="114">
        <v>0.8</v>
      </c>
      <c r="AO42" s="114">
        <v>0.8</v>
      </c>
      <c r="AP42" s="114">
        <v>0.8</v>
      </c>
      <c r="AQ42" s="114">
        <v>0</v>
      </c>
      <c r="AR42" s="114">
        <v>0.8</v>
      </c>
      <c r="AS42" s="114">
        <v>0</v>
      </c>
      <c r="AT42" s="114">
        <v>0</v>
      </c>
      <c r="AU42" s="114">
        <v>0</v>
      </c>
      <c r="AV42" s="114">
        <v>0</v>
      </c>
      <c r="AW42" s="114">
        <v>0</v>
      </c>
      <c r="AX42" s="114">
        <v>0</v>
      </c>
      <c r="AY42" s="114">
        <v>0</v>
      </c>
      <c r="AZ42" s="114">
        <v>0</v>
      </c>
      <c r="BA42" s="114">
        <v>0.8</v>
      </c>
      <c r="BB42" s="114">
        <v>0.8</v>
      </c>
      <c r="BC42" s="114">
        <v>0.8</v>
      </c>
      <c r="BD42" s="114">
        <v>0.8</v>
      </c>
      <c r="BE42" s="114">
        <v>0</v>
      </c>
      <c r="BF42" s="114">
        <v>0</v>
      </c>
      <c r="BG42" s="114">
        <v>0.8</v>
      </c>
      <c r="BH42" s="114">
        <v>0</v>
      </c>
      <c r="BI42" s="114">
        <v>0</v>
      </c>
      <c r="BJ42" s="114">
        <v>0</v>
      </c>
      <c r="BK42" s="114">
        <v>0</v>
      </c>
      <c r="BL42" s="114">
        <v>0</v>
      </c>
      <c r="BM42" s="114">
        <v>0</v>
      </c>
      <c r="BN42" s="114">
        <v>0</v>
      </c>
      <c r="BO42" s="114">
        <v>0</v>
      </c>
      <c r="BP42" s="114">
        <v>0</v>
      </c>
      <c r="BQ42" s="114">
        <v>0</v>
      </c>
      <c r="BR42" s="114">
        <v>0</v>
      </c>
      <c r="BS42" s="114">
        <v>0</v>
      </c>
      <c r="BT42" s="114">
        <v>0</v>
      </c>
      <c r="BU42" s="114">
        <v>0</v>
      </c>
      <c r="BV42" s="114">
        <v>0</v>
      </c>
      <c r="BW42" s="114">
        <v>0</v>
      </c>
      <c r="BX42" s="114">
        <v>0.8</v>
      </c>
      <c r="BY42" s="114">
        <v>0</v>
      </c>
      <c r="BZ42" s="114">
        <v>0</v>
      </c>
      <c r="CA42" s="114">
        <v>0</v>
      </c>
      <c r="CB42" s="114">
        <v>0</v>
      </c>
      <c r="CC42" s="114">
        <v>0</v>
      </c>
      <c r="CD42" s="114">
        <v>0</v>
      </c>
      <c r="CE42" s="114">
        <v>0</v>
      </c>
      <c r="CF42" s="114">
        <v>0</v>
      </c>
      <c r="CG42" s="114">
        <v>0</v>
      </c>
      <c r="CH42" s="114">
        <v>0</v>
      </c>
      <c r="CI42" s="114">
        <v>0</v>
      </c>
      <c r="CJ42" s="114">
        <v>0</v>
      </c>
      <c r="CK42" s="114">
        <v>0</v>
      </c>
      <c r="CL42" s="114">
        <v>0.8</v>
      </c>
      <c r="CM42" s="114">
        <v>0</v>
      </c>
      <c r="CN42" s="114">
        <v>0</v>
      </c>
      <c r="CO42" s="114">
        <v>0</v>
      </c>
      <c r="CP42" s="114">
        <v>0</v>
      </c>
      <c r="CQ42" s="114">
        <v>0</v>
      </c>
      <c r="CR42" s="114">
        <v>0</v>
      </c>
      <c r="CS42" s="114">
        <v>0</v>
      </c>
      <c r="CT42" s="114">
        <v>0</v>
      </c>
      <c r="CU42" s="114">
        <v>0</v>
      </c>
      <c r="CV42" s="114">
        <v>0</v>
      </c>
    </row>
    <row r="43" spans="1:100" x14ac:dyDescent="0.15">
      <c r="A43" s="191" t="s">
        <v>233</v>
      </c>
      <c r="B43" s="114">
        <v>0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0.8</v>
      </c>
      <c r="L43" s="114">
        <v>0.8</v>
      </c>
      <c r="M43" s="114">
        <v>0.8</v>
      </c>
      <c r="N43" s="114">
        <v>0.8</v>
      </c>
      <c r="O43" s="114">
        <v>0.8</v>
      </c>
      <c r="P43" s="114">
        <v>0.8</v>
      </c>
      <c r="Q43" s="114">
        <v>0.8</v>
      </c>
      <c r="R43" s="114">
        <v>0</v>
      </c>
      <c r="S43" s="114">
        <v>0</v>
      </c>
      <c r="T43" s="114">
        <v>0</v>
      </c>
      <c r="U43" s="114">
        <v>0</v>
      </c>
      <c r="V43" s="114">
        <v>0.8</v>
      </c>
      <c r="W43" s="114">
        <v>0</v>
      </c>
      <c r="X43" s="114">
        <v>0.8</v>
      </c>
      <c r="Y43" s="114">
        <v>0.8</v>
      </c>
      <c r="Z43" s="114">
        <v>0.8</v>
      </c>
      <c r="AA43" s="114">
        <v>0.8</v>
      </c>
      <c r="AB43" s="114">
        <v>0</v>
      </c>
      <c r="AC43" s="114">
        <v>0</v>
      </c>
      <c r="AD43" s="114">
        <v>0</v>
      </c>
      <c r="AE43" s="114">
        <v>0</v>
      </c>
      <c r="AF43" s="114">
        <v>0.8</v>
      </c>
      <c r="AG43" s="114">
        <v>0</v>
      </c>
      <c r="AH43" s="114">
        <v>0</v>
      </c>
      <c r="AI43" s="114">
        <v>0</v>
      </c>
      <c r="AJ43" s="114">
        <v>0.8</v>
      </c>
      <c r="AK43" s="114">
        <v>0.8</v>
      </c>
      <c r="AL43" s="114">
        <v>0.8</v>
      </c>
      <c r="AM43" s="114">
        <v>0</v>
      </c>
      <c r="AN43" s="114">
        <v>0</v>
      </c>
      <c r="AO43" s="114">
        <v>0</v>
      </c>
      <c r="AP43" s="114">
        <v>0</v>
      </c>
      <c r="AQ43" s="114">
        <v>0.8</v>
      </c>
      <c r="AR43" s="114">
        <v>0.8</v>
      </c>
      <c r="AS43" s="114">
        <v>0.8</v>
      </c>
      <c r="AT43" s="114">
        <v>0</v>
      </c>
      <c r="AU43" s="114">
        <v>0</v>
      </c>
      <c r="AV43" s="114">
        <v>0</v>
      </c>
      <c r="AW43" s="114">
        <v>0.8</v>
      </c>
      <c r="AX43" s="114">
        <v>0.8</v>
      </c>
      <c r="AY43" s="114">
        <v>0.8</v>
      </c>
      <c r="AZ43" s="114">
        <v>0</v>
      </c>
      <c r="BA43" s="114">
        <v>0.8</v>
      </c>
      <c r="BB43" s="114">
        <v>0</v>
      </c>
      <c r="BC43" s="114">
        <v>0</v>
      </c>
      <c r="BD43" s="114">
        <v>0</v>
      </c>
      <c r="BE43" s="114">
        <v>0</v>
      </c>
      <c r="BF43" s="114">
        <v>0</v>
      </c>
      <c r="BG43" s="114">
        <v>0.8</v>
      </c>
      <c r="BH43" s="114">
        <v>0</v>
      </c>
      <c r="BI43" s="114">
        <v>0.8</v>
      </c>
      <c r="BJ43" s="114">
        <v>0</v>
      </c>
      <c r="BK43" s="114">
        <v>0</v>
      </c>
      <c r="BL43" s="114">
        <v>0</v>
      </c>
      <c r="BM43" s="114">
        <v>0</v>
      </c>
      <c r="BN43" s="114">
        <v>0</v>
      </c>
      <c r="BO43" s="114">
        <v>0</v>
      </c>
      <c r="BP43" s="114">
        <v>0</v>
      </c>
      <c r="BQ43" s="114">
        <v>0</v>
      </c>
      <c r="BR43" s="114">
        <v>0</v>
      </c>
      <c r="BS43" s="114">
        <v>0</v>
      </c>
      <c r="BT43" s="114">
        <v>0</v>
      </c>
      <c r="BU43" s="114">
        <v>0</v>
      </c>
      <c r="BV43" s="114">
        <v>0</v>
      </c>
      <c r="BW43" s="114">
        <v>0</v>
      </c>
      <c r="BX43" s="114">
        <v>0</v>
      </c>
      <c r="BY43" s="114">
        <v>0</v>
      </c>
      <c r="BZ43" s="114">
        <v>0</v>
      </c>
      <c r="CA43" s="114">
        <v>0</v>
      </c>
      <c r="CB43" s="114">
        <v>0</v>
      </c>
      <c r="CC43" s="114">
        <v>0</v>
      </c>
      <c r="CD43" s="114">
        <v>0</v>
      </c>
      <c r="CE43" s="114">
        <v>0</v>
      </c>
      <c r="CF43" s="114">
        <v>0</v>
      </c>
      <c r="CG43" s="114">
        <v>0</v>
      </c>
      <c r="CH43" s="114">
        <v>0</v>
      </c>
      <c r="CI43" s="114">
        <v>0</v>
      </c>
      <c r="CJ43" s="114">
        <v>0</v>
      </c>
      <c r="CK43" s="114">
        <v>0</v>
      </c>
      <c r="CL43" s="114">
        <v>0</v>
      </c>
      <c r="CM43" s="114">
        <v>0</v>
      </c>
      <c r="CN43" s="114">
        <v>0</v>
      </c>
      <c r="CO43" s="114">
        <v>0</v>
      </c>
      <c r="CP43" s="114">
        <v>0</v>
      </c>
      <c r="CQ43" s="114">
        <v>0</v>
      </c>
      <c r="CR43" s="114">
        <v>0</v>
      </c>
      <c r="CS43" s="114">
        <v>0</v>
      </c>
      <c r="CT43" s="114">
        <v>0</v>
      </c>
      <c r="CU43" s="114">
        <v>0</v>
      </c>
      <c r="CV43" s="114">
        <v>0</v>
      </c>
    </row>
    <row r="44" spans="1:100" x14ac:dyDescent="0.15">
      <c r="A44" s="191" t="s">
        <v>234</v>
      </c>
      <c r="B44" s="114">
        <v>0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0.8</v>
      </c>
      <c r="L44" s="114">
        <v>0.8</v>
      </c>
      <c r="M44" s="114">
        <v>0.8</v>
      </c>
      <c r="N44" s="114">
        <v>0.8</v>
      </c>
      <c r="O44" s="114">
        <v>0.8</v>
      </c>
      <c r="P44" s="114">
        <v>0.8</v>
      </c>
      <c r="Q44" s="114">
        <v>0.8</v>
      </c>
      <c r="R44" s="114">
        <v>0.8</v>
      </c>
      <c r="S44" s="114">
        <v>0</v>
      </c>
      <c r="T44" s="114">
        <v>0</v>
      </c>
      <c r="U44" s="114">
        <v>0</v>
      </c>
      <c r="V44" s="114">
        <v>0.8</v>
      </c>
      <c r="W44" s="114">
        <v>0</v>
      </c>
      <c r="X44" s="114">
        <v>0.8</v>
      </c>
      <c r="Y44" s="114">
        <v>0.8</v>
      </c>
      <c r="Z44" s="114">
        <v>0.8</v>
      </c>
      <c r="AA44" s="114">
        <v>0.8</v>
      </c>
      <c r="AB44" s="114">
        <v>0</v>
      </c>
      <c r="AC44" s="114">
        <v>0</v>
      </c>
      <c r="AD44" s="114">
        <v>0</v>
      </c>
      <c r="AE44" s="114">
        <v>0</v>
      </c>
      <c r="AF44" s="114">
        <v>0.8</v>
      </c>
      <c r="AG44" s="114">
        <v>0</v>
      </c>
      <c r="AH44" s="114">
        <v>0.8</v>
      </c>
      <c r="AI44" s="114">
        <v>0.8</v>
      </c>
      <c r="AJ44" s="114">
        <v>0.8</v>
      </c>
      <c r="AK44" s="114">
        <v>0.8</v>
      </c>
      <c r="AL44" s="114">
        <v>0.8</v>
      </c>
      <c r="AM44" s="114">
        <v>0</v>
      </c>
      <c r="AN44" s="114">
        <v>0</v>
      </c>
      <c r="AO44" s="114">
        <v>0</v>
      </c>
      <c r="AP44" s="114">
        <v>0</v>
      </c>
      <c r="AQ44" s="114">
        <v>0.8</v>
      </c>
      <c r="AR44" s="114">
        <v>0.8</v>
      </c>
      <c r="AS44" s="114">
        <v>0.8</v>
      </c>
      <c r="AT44" s="114">
        <v>0.8</v>
      </c>
      <c r="AU44" s="114">
        <v>0.8</v>
      </c>
      <c r="AV44" s="114">
        <v>0.8</v>
      </c>
      <c r="AW44" s="114">
        <v>0.8</v>
      </c>
      <c r="AX44" s="114">
        <v>0.8</v>
      </c>
      <c r="AY44" s="114">
        <v>0.8</v>
      </c>
      <c r="AZ44" s="114">
        <v>0.8</v>
      </c>
      <c r="BA44" s="114">
        <v>0.8</v>
      </c>
      <c r="BB44" s="114">
        <v>0.8</v>
      </c>
      <c r="BC44" s="114">
        <v>0.8</v>
      </c>
      <c r="BD44" s="114">
        <v>0.8</v>
      </c>
      <c r="BE44" s="114">
        <v>0</v>
      </c>
      <c r="BF44" s="114">
        <v>0</v>
      </c>
      <c r="BG44" s="114">
        <v>0.8</v>
      </c>
      <c r="BH44" s="114">
        <v>0</v>
      </c>
      <c r="BI44" s="114">
        <v>0.8</v>
      </c>
      <c r="BJ44" s="114">
        <v>0</v>
      </c>
      <c r="BK44" s="114">
        <v>0</v>
      </c>
      <c r="BL44" s="114">
        <v>0</v>
      </c>
      <c r="BM44" s="114">
        <v>0</v>
      </c>
      <c r="BN44" s="114">
        <v>0.8</v>
      </c>
      <c r="BO44" s="114">
        <v>0</v>
      </c>
      <c r="BP44" s="114">
        <v>0</v>
      </c>
      <c r="BQ44" s="114">
        <v>0</v>
      </c>
      <c r="BR44" s="114">
        <v>0</v>
      </c>
      <c r="BS44" s="114">
        <v>0</v>
      </c>
      <c r="BT44" s="114">
        <v>0</v>
      </c>
      <c r="BU44" s="114">
        <v>0.8</v>
      </c>
      <c r="BV44" s="114">
        <v>0</v>
      </c>
      <c r="BW44" s="114">
        <v>0</v>
      </c>
      <c r="BX44" s="114">
        <v>0.8</v>
      </c>
      <c r="BY44" s="114">
        <v>0.8</v>
      </c>
      <c r="BZ44" s="114">
        <v>0</v>
      </c>
      <c r="CA44" s="114">
        <v>0</v>
      </c>
      <c r="CB44" s="114">
        <v>0</v>
      </c>
      <c r="CC44" s="114">
        <v>0</v>
      </c>
      <c r="CD44" s="114">
        <v>0</v>
      </c>
      <c r="CE44" s="114">
        <v>0</v>
      </c>
      <c r="CF44" s="114">
        <v>0</v>
      </c>
      <c r="CG44" s="114">
        <v>0</v>
      </c>
      <c r="CH44" s="114">
        <v>0</v>
      </c>
      <c r="CI44" s="114">
        <v>0</v>
      </c>
      <c r="CJ44" s="114">
        <v>0.8</v>
      </c>
      <c r="CK44" s="114">
        <v>0</v>
      </c>
      <c r="CL44" s="114">
        <v>0.8</v>
      </c>
      <c r="CM44" s="114">
        <v>0</v>
      </c>
      <c r="CN44" s="114">
        <v>0</v>
      </c>
      <c r="CO44" s="114">
        <v>0</v>
      </c>
      <c r="CP44" s="114">
        <v>0</v>
      </c>
      <c r="CQ44" s="114">
        <v>0</v>
      </c>
      <c r="CR44" s="114">
        <v>0</v>
      </c>
      <c r="CS44" s="114">
        <v>0</v>
      </c>
      <c r="CT44" s="114">
        <v>0</v>
      </c>
      <c r="CU44" s="114">
        <v>0</v>
      </c>
      <c r="CV44" s="114">
        <v>0</v>
      </c>
    </row>
    <row r="45" spans="1:100" x14ac:dyDescent="0.15">
      <c r="A45" s="191" t="s">
        <v>235</v>
      </c>
      <c r="B45" s="114">
        <v>0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0.8</v>
      </c>
      <c r="L45" s="114">
        <v>0.8</v>
      </c>
      <c r="M45" s="114">
        <v>0.8</v>
      </c>
      <c r="N45" s="114">
        <v>0.8</v>
      </c>
      <c r="O45" s="114">
        <v>0.8</v>
      </c>
      <c r="P45" s="114">
        <v>0.8</v>
      </c>
      <c r="Q45" s="114">
        <v>0.8</v>
      </c>
      <c r="R45" s="114">
        <v>0.8</v>
      </c>
      <c r="S45" s="114">
        <v>0.8</v>
      </c>
      <c r="T45" s="114">
        <v>0</v>
      </c>
      <c r="U45" s="114">
        <v>0</v>
      </c>
      <c r="V45" s="114">
        <v>0.8</v>
      </c>
      <c r="W45" s="114">
        <v>0</v>
      </c>
      <c r="X45" s="114">
        <v>0.8</v>
      </c>
      <c r="Y45" s="114">
        <v>0.8</v>
      </c>
      <c r="Z45" s="114">
        <v>0.8</v>
      </c>
      <c r="AA45" s="114">
        <v>0.8</v>
      </c>
      <c r="AB45" s="114">
        <v>0</v>
      </c>
      <c r="AC45" s="114">
        <v>0</v>
      </c>
      <c r="AD45" s="114">
        <v>0</v>
      </c>
      <c r="AE45" s="114">
        <v>0</v>
      </c>
      <c r="AF45" s="114">
        <v>0.8</v>
      </c>
      <c r="AG45" s="114">
        <v>0</v>
      </c>
      <c r="AH45" s="114">
        <v>0</v>
      </c>
      <c r="AI45" s="114">
        <v>0</v>
      </c>
      <c r="AJ45" s="114">
        <v>0.8</v>
      </c>
      <c r="AK45" s="114">
        <v>0.8</v>
      </c>
      <c r="AL45" s="114">
        <v>0.8</v>
      </c>
      <c r="AM45" s="114">
        <v>0</v>
      </c>
      <c r="AN45" s="114">
        <v>0</v>
      </c>
      <c r="AO45" s="114">
        <v>0</v>
      </c>
      <c r="AP45" s="114">
        <v>0</v>
      </c>
      <c r="AQ45" s="114">
        <v>0.8</v>
      </c>
      <c r="AR45" s="114">
        <v>0.8</v>
      </c>
      <c r="AS45" s="114">
        <v>0.8</v>
      </c>
      <c r="AT45" s="114">
        <v>0.8</v>
      </c>
      <c r="AU45" s="114">
        <v>0</v>
      </c>
      <c r="AV45" s="114">
        <v>0.8</v>
      </c>
      <c r="AW45" s="114">
        <v>0.8</v>
      </c>
      <c r="AX45" s="114">
        <v>0.8</v>
      </c>
      <c r="AY45" s="114">
        <v>0.8</v>
      </c>
      <c r="AZ45" s="114">
        <v>0.8</v>
      </c>
      <c r="BA45" s="114">
        <v>0.8</v>
      </c>
      <c r="BB45" s="114">
        <v>0.8</v>
      </c>
      <c r="BC45" s="114">
        <v>0</v>
      </c>
      <c r="BD45" s="114">
        <v>0</v>
      </c>
      <c r="BE45" s="114">
        <v>0</v>
      </c>
      <c r="BF45" s="114">
        <v>0</v>
      </c>
      <c r="BG45" s="114">
        <v>0.8</v>
      </c>
      <c r="BH45" s="114">
        <v>0</v>
      </c>
      <c r="BI45" s="114">
        <v>0.8</v>
      </c>
      <c r="BJ45" s="114">
        <v>0</v>
      </c>
      <c r="BK45" s="114">
        <v>0</v>
      </c>
      <c r="BL45" s="114">
        <v>0</v>
      </c>
      <c r="BM45" s="114">
        <v>0</v>
      </c>
      <c r="BN45" s="114">
        <v>0</v>
      </c>
      <c r="BO45" s="114">
        <v>0</v>
      </c>
      <c r="BP45" s="114">
        <v>0</v>
      </c>
      <c r="BQ45" s="114">
        <v>0</v>
      </c>
      <c r="BR45" s="114">
        <v>0</v>
      </c>
      <c r="BS45" s="114">
        <v>0</v>
      </c>
      <c r="BT45" s="114">
        <v>0</v>
      </c>
      <c r="BU45" s="114">
        <v>0</v>
      </c>
      <c r="BV45" s="114">
        <v>0</v>
      </c>
      <c r="BW45" s="114">
        <v>0</v>
      </c>
      <c r="BX45" s="114">
        <v>0</v>
      </c>
      <c r="BY45" s="114">
        <v>0</v>
      </c>
      <c r="BZ45" s="114">
        <v>0</v>
      </c>
      <c r="CA45" s="114">
        <v>0</v>
      </c>
      <c r="CB45" s="114">
        <v>0</v>
      </c>
      <c r="CC45" s="114">
        <v>0</v>
      </c>
      <c r="CD45" s="114">
        <v>0</v>
      </c>
      <c r="CE45" s="114">
        <v>0</v>
      </c>
      <c r="CF45" s="114">
        <v>0</v>
      </c>
      <c r="CG45" s="114">
        <v>0</v>
      </c>
      <c r="CH45" s="114">
        <v>0</v>
      </c>
      <c r="CI45" s="114">
        <v>0</v>
      </c>
      <c r="CJ45" s="114">
        <v>0</v>
      </c>
      <c r="CK45" s="114">
        <v>0</v>
      </c>
      <c r="CL45" s="114">
        <v>0</v>
      </c>
      <c r="CM45" s="114">
        <v>0</v>
      </c>
      <c r="CN45" s="114">
        <v>0</v>
      </c>
      <c r="CO45" s="114">
        <v>0</v>
      </c>
      <c r="CP45" s="114">
        <v>0</v>
      </c>
      <c r="CQ45" s="114">
        <v>0</v>
      </c>
      <c r="CR45" s="114">
        <v>0</v>
      </c>
      <c r="CS45" s="114">
        <v>0</v>
      </c>
      <c r="CT45" s="114">
        <v>0</v>
      </c>
      <c r="CU45" s="114">
        <v>0</v>
      </c>
      <c r="CV45" s="114">
        <v>0</v>
      </c>
    </row>
    <row r="46" spans="1:100" x14ac:dyDescent="0.15">
      <c r="A46" s="191" t="s">
        <v>236</v>
      </c>
      <c r="B46" s="114">
        <v>0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0.8</v>
      </c>
      <c r="L46" s="114">
        <v>0.8</v>
      </c>
      <c r="M46" s="114">
        <v>0.8</v>
      </c>
      <c r="N46" s="114">
        <v>0.8</v>
      </c>
      <c r="O46" s="114">
        <v>0.8</v>
      </c>
      <c r="P46" s="114">
        <v>0.8</v>
      </c>
      <c r="Q46" s="114">
        <v>0.8</v>
      </c>
      <c r="R46" s="114">
        <v>0.8</v>
      </c>
      <c r="S46" s="114">
        <v>0</v>
      </c>
      <c r="T46" s="114">
        <v>0</v>
      </c>
      <c r="U46" s="114">
        <v>0.8</v>
      </c>
      <c r="V46" s="114">
        <v>0.8</v>
      </c>
      <c r="W46" s="114">
        <v>0</v>
      </c>
      <c r="X46" s="114">
        <v>0</v>
      </c>
      <c r="Y46" s="114">
        <v>0.8</v>
      </c>
      <c r="Z46" s="114">
        <v>0</v>
      </c>
      <c r="AA46" s="114">
        <v>0.8</v>
      </c>
      <c r="AB46" s="114">
        <v>0</v>
      </c>
      <c r="AC46" s="114">
        <v>0</v>
      </c>
      <c r="AD46" s="114">
        <v>0</v>
      </c>
      <c r="AE46" s="114">
        <v>0</v>
      </c>
      <c r="AF46" s="114">
        <v>0</v>
      </c>
      <c r="AG46" s="114">
        <v>0</v>
      </c>
      <c r="AH46" s="114">
        <v>0.8</v>
      </c>
      <c r="AI46" s="114">
        <v>0.8</v>
      </c>
      <c r="AJ46" s="114">
        <v>0</v>
      </c>
      <c r="AK46" s="114">
        <v>0.8</v>
      </c>
      <c r="AL46" s="114">
        <v>0.8</v>
      </c>
      <c r="AM46" s="114">
        <v>0</v>
      </c>
      <c r="AN46" s="114">
        <v>0</v>
      </c>
      <c r="AO46" s="114">
        <v>0</v>
      </c>
      <c r="AP46" s="114">
        <v>0</v>
      </c>
      <c r="AQ46" s="114">
        <v>0.8</v>
      </c>
      <c r="AR46" s="114">
        <v>0.8</v>
      </c>
      <c r="AS46" s="114">
        <v>0.8</v>
      </c>
      <c r="AT46" s="114">
        <v>0.8</v>
      </c>
      <c r="AU46" s="114">
        <v>0.8</v>
      </c>
      <c r="AV46" s="114">
        <v>0.8</v>
      </c>
      <c r="AW46" s="114">
        <v>0</v>
      </c>
      <c r="AX46" s="114">
        <v>0.8</v>
      </c>
      <c r="AY46" s="114">
        <v>0.8</v>
      </c>
      <c r="AZ46" s="114">
        <v>0.8</v>
      </c>
      <c r="BA46" s="114">
        <v>0.8</v>
      </c>
      <c r="BB46" s="114">
        <v>0.8</v>
      </c>
      <c r="BC46" s="114">
        <v>0.8</v>
      </c>
      <c r="BD46" s="114">
        <v>0.8</v>
      </c>
      <c r="BE46" s="114">
        <v>0</v>
      </c>
      <c r="BF46" s="114">
        <v>0</v>
      </c>
      <c r="BG46" s="114">
        <v>0.8</v>
      </c>
      <c r="BH46" s="114">
        <v>0</v>
      </c>
      <c r="BI46" s="114">
        <v>0</v>
      </c>
      <c r="BJ46" s="114">
        <v>0</v>
      </c>
      <c r="BK46" s="114">
        <v>0</v>
      </c>
      <c r="BL46" s="114">
        <v>0</v>
      </c>
      <c r="BM46" s="114">
        <v>0</v>
      </c>
      <c r="BN46" s="114">
        <v>0.8</v>
      </c>
      <c r="BO46" s="114">
        <v>0</v>
      </c>
      <c r="BP46" s="114">
        <v>0</v>
      </c>
      <c r="BQ46" s="114">
        <v>0</v>
      </c>
      <c r="BR46" s="114">
        <v>0</v>
      </c>
      <c r="BS46" s="114">
        <v>0</v>
      </c>
      <c r="BT46" s="114">
        <v>0</v>
      </c>
      <c r="BU46" s="114">
        <v>0.8</v>
      </c>
      <c r="BV46" s="114">
        <v>0</v>
      </c>
      <c r="BW46" s="114">
        <v>0</v>
      </c>
      <c r="BX46" s="114">
        <v>0</v>
      </c>
      <c r="BY46" s="114">
        <v>0</v>
      </c>
      <c r="BZ46" s="114">
        <v>0</v>
      </c>
      <c r="CA46" s="114">
        <v>0</v>
      </c>
      <c r="CB46" s="114">
        <v>0</v>
      </c>
      <c r="CC46" s="114">
        <v>0</v>
      </c>
      <c r="CD46" s="114">
        <v>0</v>
      </c>
      <c r="CE46" s="114">
        <v>0</v>
      </c>
      <c r="CF46" s="114">
        <v>0</v>
      </c>
      <c r="CG46" s="114">
        <v>0</v>
      </c>
      <c r="CH46" s="114">
        <v>0</v>
      </c>
      <c r="CI46" s="114">
        <v>0</v>
      </c>
      <c r="CJ46" s="114">
        <v>0</v>
      </c>
      <c r="CK46" s="114">
        <v>0</v>
      </c>
      <c r="CL46" s="114">
        <v>0.8</v>
      </c>
      <c r="CM46" s="114">
        <v>0</v>
      </c>
      <c r="CN46" s="114">
        <v>0</v>
      </c>
      <c r="CO46" s="114">
        <v>0</v>
      </c>
      <c r="CP46" s="114">
        <v>0</v>
      </c>
      <c r="CQ46" s="114">
        <v>0</v>
      </c>
      <c r="CR46" s="114">
        <v>0</v>
      </c>
      <c r="CS46" s="114">
        <v>0</v>
      </c>
      <c r="CT46" s="114">
        <v>0</v>
      </c>
      <c r="CU46" s="114">
        <v>0</v>
      </c>
      <c r="CV46" s="114">
        <v>0</v>
      </c>
    </row>
    <row r="47" spans="1:100" x14ac:dyDescent="0.15">
      <c r="A47" s="191" t="s">
        <v>237</v>
      </c>
      <c r="B47" s="114">
        <v>0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0</v>
      </c>
      <c r="J47" s="114">
        <v>0</v>
      </c>
      <c r="K47" s="114">
        <v>0.8</v>
      </c>
      <c r="L47" s="114">
        <v>0.8</v>
      </c>
      <c r="M47" s="114">
        <v>0.8</v>
      </c>
      <c r="N47" s="114">
        <v>0.8</v>
      </c>
      <c r="O47" s="114">
        <v>0.8</v>
      </c>
      <c r="P47" s="114">
        <v>0.8</v>
      </c>
      <c r="Q47" s="114">
        <v>0.8</v>
      </c>
      <c r="R47" s="114">
        <v>0.8</v>
      </c>
      <c r="S47" s="114">
        <v>0.8</v>
      </c>
      <c r="T47" s="114">
        <v>0</v>
      </c>
      <c r="U47" s="114">
        <v>0</v>
      </c>
      <c r="V47" s="114">
        <v>0.8</v>
      </c>
      <c r="W47" s="114">
        <v>0</v>
      </c>
      <c r="X47" s="114">
        <v>0.8</v>
      </c>
      <c r="Y47" s="114">
        <v>0.8</v>
      </c>
      <c r="Z47" s="114">
        <v>0.8</v>
      </c>
      <c r="AA47" s="114">
        <v>0.8</v>
      </c>
      <c r="AB47" s="114">
        <v>0</v>
      </c>
      <c r="AC47" s="114">
        <v>0</v>
      </c>
      <c r="AD47" s="114">
        <v>0</v>
      </c>
      <c r="AE47" s="114">
        <v>0</v>
      </c>
      <c r="AF47" s="114">
        <v>0.8</v>
      </c>
      <c r="AG47" s="114">
        <v>0.8</v>
      </c>
      <c r="AH47" s="114">
        <v>0</v>
      </c>
      <c r="AI47" s="114">
        <v>0</v>
      </c>
      <c r="AJ47" s="114">
        <v>0.8</v>
      </c>
      <c r="AK47" s="114">
        <v>0.8</v>
      </c>
      <c r="AL47" s="114">
        <v>0.8</v>
      </c>
      <c r="AM47" s="114">
        <v>0</v>
      </c>
      <c r="AN47" s="114">
        <v>0</v>
      </c>
      <c r="AO47" s="114">
        <v>0</v>
      </c>
      <c r="AP47" s="114">
        <v>0</v>
      </c>
      <c r="AQ47" s="114">
        <v>0.8</v>
      </c>
      <c r="AR47" s="114">
        <v>0.8</v>
      </c>
      <c r="AS47" s="114">
        <v>0.8</v>
      </c>
      <c r="AT47" s="114">
        <v>0.8</v>
      </c>
      <c r="AU47" s="114">
        <v>0.8</v>
      </c>
      <c r="AV47" s="114">
        <v>0.8</v>
      </c>
      <c r="AW47" s="114">
        <v>0.8</v>
      </c>
      <c r="AX47" s="114">
        <v>0.8</v>
      </c>
      <c r="AY47" s="114">
        <v>0.8</v>
      </c>
      <c r="AZ47" s="114">
        <v>0.8</v>
      </c>
      <c r="BA47" s="114">
        <v>0.8</v>
      </c>
      <c r="BB47" s="114">
        <v>0</v>
      </c>
      <c r="BC47" s="114">
        <v>0</v>
      </c>
      <c r="BD47" s="114">
        <v>0</v>
      </c>
      <c r="BE47" s="114">
        <v>0</v>
      </c>
      <c r="BF47" s="114">
        <v>0</v>
      </c>
      <c r="BG47" s="114">
        <v>0.8</v>
      </c>
      <c r="BH47" s="114">
        <v>0</v>
      </c>
      <c r="BI47" s="114">
        <v>0.8</v>
      </c>
      <c r="BJ47" s="114">
        <v>0.8</v>
      </c>
      <c r="BK47" s="114">
        <v>0</v>
      </c>
      <c r="BL47" s="114">
        <v>0</v>
      </c>
      <c r="BM47" s="114">
        <v>0</v>
      </c>
      <c r="BN47" s="114">
        <v>0</v>
      </c>
      <c r="BO47" s="114">
        <v>0</v>
      </c>
      <c r="BP47" s="114">
        <v>0</v>
      </c>
      <c r="BQ47" s="114">
        <v>0</v>
      </c>
      <c r="BR47" s="114">
        <v>0</v>
      </c>
      <c r="BS47" s="114">
        <v>0</v>
      </c>
      <c r="BT47" s="114">
        <v>0</v>
      </c>
      <c r="BU47" s="114">
        <v>0.8</v>
      </c>
      <c r="BV47" s="114">
        <v>0</v>
      </c>
      <c r="BW47" s="114">
        <v>0</v>
      </c>
      <c r="BX47" s="114">
        <v>0</v>
      </c>
      <c r="BY47" s="114">
        <v>0</v>
      </c>
      <c r="BZ47" s="114">
        <v>0</v>
      </c>
      <c r="CA47" s="114">
        <v>0</v>
      </c>
      <c r="CB47" s="114">
        <v>0</v>
      </c>
      <c r="CC47" s="114">
        <v>0</v>
      </c>
      <c r="CD47" s="114">
        <v>0</v>
      </c>
      <c r="CE47" s="114">
        <v>0</v>
      </c>
      <c r="CF47" s="114">
        <v>0</v>
      </c>
      <c r="CG47" s="114">
        <v>0</v>
      </c>
      <c r="CH47" s="114">
        <v>0</v>
      </c>
      <c r="CI47" s="114">
        <v>0</v>
      </c>
      <c r="CJ47" s="114">
        <v>0</v>
      </c>
      <c r="CK47" s="114">
        <v>0</v>
      </c>
      <c r="CL47" s="114">
        <v>0</v>
      </c>
      <c r="CM47" s="114">
        <v>0</v>
      </c>
      <c r="CN47" s="114">
        <v>0</v>
      </c>
      <c r="CO47" s="114">
        <v>0</v>
      </c>
      <c r="CP47" s="114">
        <v>0</v>
      </c>
      <c r="CQ47" s="114">
        <v>0</v>
      </c>
      <c r="CR47" s="114">
        <v>0</v>
      </c>
      <c r="CS47" s="114">
        <v>0</v>
      </c>
      <c r="CT47" s="114">
        <v>0</v>
      </c>
      <c r="CU47" s="114">
        <v>0</v>
      </c>
      <c r="CV47" s="114">
        <v>0</v>
      </c>
    </row>
    <row r="48" spans="1:100" x14ac:dyDescent="0.15">
      <c r="A48" s="191" t="s">
        <v>238</v>
      </c>
      <c r="B48" s="114"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0.8</v>
      </c>
      <c r="L48" s="114">
        <v>0.8</v>
      </c>
      <c r="M48" s="114">
        <v>0.8</v>
      </c>
      <c r="N48" s="114">
        <v>0.8</v>
      </c>
      <c r="O48" s="114">
        <v>0.8</v>
      </c>
      <c r="P48" s="114">
        <v>0.8</v>
      </c>
      <c r="Q48" s="114">
        <v>0.8</v>
      </c>
      <c r="R48" s="114">
        <v>0.8</v>
      </c>
      <c r="S48" s="114">
        <v>0</v>
      </c>
      <c r="T48" s="114">
        <v>0</v>
      </c>
      <c r="U48" s="114">
        <v>0</v>
      </c>
      <c r="V48" s="114">
        <v>0</v>
      </c>
      <c r="W48" s="114">
        <v>0</v>
      </c>
      <c r="X48" s="114">
        <v>0.8</v>
      </c>
      <c r="Y48" s="114">
        <v>0</v>
      </c>
      <c r="Z48" s="114">
        <v>0</v>
      </c>
      <c r="AA48" s="114">
        <v>0</v>
      </c>
      <c r="AB48" s="114">
        <v>0</v>
      </c>
      <c r="AC48" s="114">
        <v>0</v>
      </c>
      <c r="AD48" s="114">
        <v>0</v>
      </c>
      <c r="AE48" s="114">
        <v>0</v>
      </c>
      <c r="AF48" s="114">
        <v>0</v>
      </c>
      <c r="AG48" s="114">
        <v>0</v>
      </c>
      <c r="AH48" s="114">
        <v>0.8</v>
      </c>
      <c r="AI48" s="114">
        <v>0.8</v>
      </c>
      <c r="AJ48" s="114">
        <v>0.8</v>
      </c>
      <c r="AK48" s="114">
        <v>0.8</v>
      </c>
      <c r="AL48" s="114">
        <v>0.8</v>
      </c>
      <c r="AM48" s="114">
        <v>0</v>
      </c>
      <c r="AN48" s="114">
        <v>0</v>
      </c>
      <c r="AO48" s="114">
        <v>0</v>
      </c>
      <c r="AP48" s="114">
        <v>0</v>
      </c>
      <c r="AQ48" s="114">
        <v>0.8</v>
      </c>
      <c r="AR48" s="114">
        <v>0.8</v>
      </c>
      <c r="AS48" s="114">
        <v>0.8</v>
      </c>
      <c r="AT48" s="114">
        <v>0.8</v>
      </c>
      <c r="AU48" s="114">
        <v>0.8</v>
      </c>
      <c r="AV48" s="114">
        <v>0.8</v>
      </c>
      <c r="AW48" s="114">
        <v>0.8</v>
      </c>
      <c r="AX48" s="114">
        <v>0.8</v>
      </c>
      <c r="AY48" s="114">
        <v>0.8</v>
      </c>
      <c r="AZ48" s="114">
        <v>0.8</v>
      </c>
      <c r="BA48" s="114">
        <v>0.8</v>
      </c>
      <c r="BB48" s="114">
        <v>0.8</v>
      </c>
      <c r="BC48" s="114">
        <v>0.8</v>
      </c>
      <c r="BD48" s="114">
        <v>0.8</v>
      </c>
      <c r="BE48" s="114">
        <v>0</v>
      </c>
      <c r="BF48" s="114">
        <v>0</v>
      </c>
      <c r="BG48" s="114">
        <v>0.8</v>
      </c>
      <c r="BH48" s="114">
        <v>0.8</v>
      </c>
      <c r="BI48" s="114">
        <v>0.8</v>
      </c>
      <c r="BJ48" s="114">
        <v>0.8</v>
      </c>
      <c r="BK48" s="114">
        <v>0</v>
      </c>
      <c r="BL48" s="114">
        <v>0</v>
      </c>
      <c r="BM48" s="114">
        <v>0</v>
      </c>
      <c r="BN48" s="114">
        <v>0.8</v>
      </c>
      <c r="BO48" s="114">
        <v>0</v>
      </c>
      <c r="BP48" s="114">
        <v>0</v>
      </c>
      <c r="BQ48" s="114">
        <v>0</v>
      </c>
      <c r="BR48" s="114">
        <v>0</v>
      </c>
      <c r="BS48" s="114">
        <v>0</v>
      </c>
      <c r="BT48" s="114">
        <v>0</v>
      </c>
      <c r="BU48" s="114">
        <v>0.8</v>
      </c>
      <c r="BV48" s="114">
        <v>0</v>
      </c>
      <c r="BW48" s="114">
        <v>0</v>
      </c>
      <c r="BX48" s="114">
        <v>0</v>
      </c>
      <c r="BY48" s="114">
        <v>0</v>
      </c>
      <c r="BZ48" s="114">
        <v>0</v>
      </c>
      <c r="CA48" s="114">
        <v>0</v>
      </c>
      <c r="CB48" s="114">
        <v>0</v>
      </c>
      <c r="CC48" s="114">
        <v>0</v>
      </c>
      <c r="CD48" s="114">
        <v>0</v>
      </c>
      <c r="CE48" s="114">
        <v>0</v>
      </c>
      <c r="CF48" s="114">
        <v>0</v>
      </c>
      <c r="CG48" s="114">
        <v>0</v>
      </c>
      <c r="CH48" s="114">
        <v>0</v>
      </c>
      <c r="CI48" s="114">
        <v>0</v>
      </c>
      <c r="CJ48" s="114">
        <v>0</v>
      </c>
      <c r="CK48" s="114">
        <v>0</v>
      </c>
      <c r="CL48" s="114">
        <v>0.8</v>
      </c>
      <c r="CM48" s="114">
        <v>0</v>
      </c>
      <c r="CN48" s="114">
        <v>0</v>
      </c>
      <c r="CO48" s="114">
        <v>0</v>
      </c>
      <c r="CP48" s="114">
        <v>0</v>
      </c>
      <c r="CQ48" s="114">
        <v>0</v>
      </c>
      <c r="CR48" s="114">
        <v>0</v>
      </c>
      <c r="CS48" s="114">
        <v>0</v>
      </c>
      <c r="CT48" s="114">
        <v>0</v>
      </c>
      <c r="CU48" s="114">
        <v>0</v>
      </c>
      <c r="CV48" s="114">
        <v>0</v>
      </c>
    </row>
    <row r="49" spans="1:100" x14ac:dyDescent="0.15">
      <c r="A49" s="191" t="s">
        <v>239</v>
      </c>
      <c r="B49" s="114">
        <v>0</v>
      </c>
      <c r="C49" s="114">
        <v>0.8</v>
      </c>
      <c r="D49" s="114">
        <v>0</v>
      </c>
      <c r="E49" s="114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0.8</v>
      </c>
      <c r="L49" s="114">
        <v>0.8</v>
      </c>
      <c r="M49" s="114">
        <v>0.8</v>
      </c>
      <c r="N49" s="114">
        <v>0.8</v>
      </c>
      <c r="O49" s="114">
        <v>0.8</v>
      </c>
      <c r="P49" s="114">
        <v>0.8</v>
      </c>
      <c r="Q49" s="114">
        <v>0.8</v>
      </c>
      <c r="R49" s="114">
        <v>0</v>
      </c>
      <c r="S49" s="114">
        <v>0</v>
      </c>
      <c r="T49" s="114">
        <v>0</v>
      </c>
      <c r="U49" s="114">
        <v>0</v>
      </c>
      <c r="V49" s="114">
        <v>0.8</v>
      </c>
      <c r="W49" s="114">
        <v>0</v>
      </c>
      <c r="X49" s="114">
        <v>0.8</v>
      </c>
      <c r="Y49" s="114">
        <v>0.8</v>
      </c>
      <c r="Z49" s="114">
        <v>0.8</v>
      </c>
      <c r="AA49" s="114">
        <v>0.8</v>
      </c>
      <c r="AB49" s="114">
        <v>0.8</v>
      </c>
      <c r="AC49" s="114">
        <v>0</v>
      </c>
      <c r="AD49" s="114">
        <v>0</v>
      </c>
      <c r="AE49" s="114">
        <v>0</v>
      </c>
      <c r="AF49" s="114">
        <v>0.8</v>
      </c>
      <c r="AG49" s="114">
        <v>0</v>
      </c>
      <c r="AH49" s="114">
        <v>0</v>
      </c>
      <c r="AI49" s="114">
        <v>0</v>
      </c>
      <c r="AJ49" s="114">
        <v>0.8</v>
      </c>
      <c r="AK49" s="114">
        <v>0.8</v>
      </c>
      <c r="AL49" s="114">
        <v>0.8</v>
      </c>
      <c r="AM49" s="114">
        <v>0</v>
      </c>
      <c r="AN49" s="114">
        <v>0</v>
      </c>
      <c r="AO49" s="114">
        <v>0</v>
      </c>
      <c r="AP49" s="114">
        <v>0</v>
      </c>
      <c r="AQ49" s="114">
        <v>0.8</v>
      </c>
      <c r="AR49" s="114">
        <v>0.8</v>
      </c>
      <c r="AS49" s="114">
        <v>0.8</v>
      </c>
      <c r="AT49" s="114">
        <v>0</v>
      </c>
      <c r="AU49" s="114">
        <v>0</v>
      </c>
      <c r="AV49" s="114">
        <v>0</v>
      </c>
      <c r="AW49" s="114">
        <v>0.8</v>
      </c>
      <c r="AX49" s="114">
        <v>0.8</v>
      </c>
      <c r="AY49" s="114">
        <v>0.8</v>
      </c>
      <c r="AZ49" s="114">
        <v>0</v>
      </c>
      <c r="BA49" s="114">
        <v>0.8</v>
      </c>
      <c r="BB49" s="114">
        <v>0</v>
      </c>
      <c r="BC49" s="114">
        <v>0</v>
      </c>
      <c r="BD49" s="114">
        <v>0</v>
      </c>
      <c r="BE49" s="114">
        <v>0</v>
      </c>
      <c r="BF49" s="114">
        <v>0</v>
      </c>
      <c r="BG49" s="114">
        <v>0.8</v>
      </c>
      <c r="BH49" s="114">
        <v>0</v>
      </c>
      <c r="BI49" s="114">
        <v>0.8</v>
      </c>
      <c r="BJ49" s="114">
        <v>0</v>
      </c>
      <c r="BK49" s="114">
        <v>0</v>
      </c>
      <c r="BL49" s="114">
        <v>0</v>
      </c>
      <c r="BM49" s="114">
        <v>0</v>
      </c>
      <c r="BN49" s="114">
        <v>0</v>
      </c>
      <c r="BO49" s="114">
        <v>0</v>
      </c>
      <c r="BP49" s="114">
        <v>0</v>
      </c>
      <c r="BQ49" s="114">
        <v>0</v>
      </c>
      <c r="BR49" s="114">
        <v>0</v>
      </c>
      <c r="BS49" s="114">
        <v>0</v>
      </c>
      <c r="BT49" s="114">
        <v>0</v>
      </c>
      <c r="BU49" s="114">
        <v>0</v>
      </c>
      <c r="BV49" s="114">
        <v>0</v>
      </c>
      <c r="BW49" s="114">
        <v>0</v>
      </c>
      <c r="BX49" s="114">
        <v>0</v>
      </c>
      <c r="BY49" s="114">
        <v>0</v>
      </c>
      <c r="BZ49" s="114">
        <v>0</v>
      </c>
      <c r="CA49" s="114">
        <v>0</v>
      </c>
      <c r="CB49" s="114">
        <v>0</v>
      </c>
      <c r="CC49" s="114">
        <v>0</v>
      </c>
      <c r="CD49" s="114">
        <v>0</v>
      </c>
      <c r="CE49" s="114">
        <v>0</v>
      </c>
      <c r="CF49" s="114">
        <v>0</v>
      </c>
      <c r="CG49" s="114">
        <v>0</v>
      </c>
      <c r="CH49" s="114">
        <v>0</v>
      </c>
      <c r="CI49" s="114">
        <v>0</v>
      </c>
      <c r="CJ49" s="114">
        <v>0</v>
      </c>
      <c r="CK49" s="114">
        <v>0</v>
      </c>
      <c r="CL49" s="114">
        <v>0</v>
      </c>
      <c r="CM49" s="114">
        <v>0</v>
      </c>
      <c r="CN49" s="114">
        <v>0</v>
      </c>
      <c r="CO49" s="114">
        <v>0</v>
      </c>
      <c r="CP49" s="114">
        <v>0</v>
      </c>
      <c r="CQ49" s="114">
        <v>0</v>
      </c>
      <c r="CR49" s="114">
        <v>0</v>
      </c>
      <c r="CS49" s="114">
        <v>0</v>
      </c>
      <c r="CT49" s="114">
        <v>0</v>
      </c>
      <c r="CU49" s="114">
        <v>0</v>
      </c>
      <c r="CV49" s="114">
        <v>0</v>
      </c>
    </row>
    <row r="50" spans="1:100" x14ac:dyDescent="0.15">
      <c r="A50" s="191" t="s">
        <v>240</v>
      </c>
      <c r="B50" s="114">
        <v>0</v>
      </c>
      <c r="C50" s="114">
        <v>0</v>
      </c>
      <c r="D50" s="114">
        <v>0.8</v>
      </c>
      <c r="E50" s="114">
        <v>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</v>
      </c>
      <c r="N50" s="114">
        <v>0.8</v>
      </c>
      <c r="O50" s="114">
        <v>0.8</v>
      </c>
      <c r="P50" s="114">
        <v>0</v>
      </c>
      <c r="Q50" s="114">
        <v>0.8</v>
      </c>
      <c r="R50" s="114">
        <v>0.8</v>
      </c>
      <c r="S50" s="114">
        <v>0</v>
      </c>
      <c r="T50" s="114">
        <v>0</v>
      </c>
      <c r="U50" s="114">
        <v>0</v>
      </c>
      <c r="V50" s="114">
        <v>0</v>
      </c>
      <c r="W50" s="114">
        <v>0</v>
      </c>
      <c r="X50" s="114">
        <v>0</v>
      </c>
      <c r="Y50" s="114">
        <v>0</v>
      </c>
      <c r="Z50" s="114">
        <v>0</v>
      </c>
      <c r="AA50" s="114">
        <v>0.8</v>
      </c>
      <c r="AB50" s="114">
        <v>0</v>
      </c>
      <c r="AC50" s="114">
        <v>0</v>
      </c>
      <c r="AD50" s="114">
        <v>0</v>
      </c>
      <c r="AE50" s="114">
        <v>0</v>
      </c>
      <c r="AF50" s="114">
        <v>0</v>
      </c>
      <c r="AG50" s="114">
        <v>0</v>
      </c>
      <c r="AH50" s="114">
        <v>0.8</v>
      </c>
      <c r="AI50" s="114">
        <v>0.8</v>
      </c>
      <c r="AJ50" s="114">
        <v>0</v>
      </c>
      <c r="AK50" s="114">
        <v>0</v>
      </c>
      <c r="AL50" s="114">
        <v>0.8</v>
      </c>
      <c r="AM50" s="114">
        <v>0</v>
      </c>
      <c r="AN50" s="114">
        <v>0</v>
      </c>
      <c r="AO50" s="114">
        <v>0</v>
      </c>
      <c r="AP50" s="114">
        <v>0</v>
      </c>
      <c r="AQ50" s="114">
        <v>0.8</v>
      </c>
      <c r="AR50" s="114">
        <v>0.8</v>
      </c>
      <c r="AS50" s="114">
        <v>0.8</v>
      </c>
      <c r="AT50" s="114">
        <v>0.8</v>
      </c>
      <c r="AU50" s="114">
        <v>0.8</v>
      </c>
      <c r="AV50" s="114">
        <v>0.8</v>
      </c>
      <c r="AW50" s="114">
        <v>0</v>
      </c>
      <c r="AX50" s="114">
        <v>0</v>
      </c>
      <c r="AY50" s="114">
        <v>0.8</v>
      </c>
      <c r="AZ50" s="114">
        <v>0.8</v>
      </c>
      <c r="BA50" s="114">
        <v>0.8</v>
      </c>
      <c r="BB50" s="114">
        <v>0.8</v>
      </c>
      <c r="BC50" s="114">
        <v>0.8</v>
      </c>
      <c r="BD50" s="114">
        <v>0.8</v>
      </c>
      <c r="BE50" s="114">
        <v>0</v>
      </c>
      <c r="BF50" s="114">
        <v>0</v>
      </c>
      <c r="BG50" s="114">
        <v>0</v>
      </c>
      <c r="BH50" s="114">
        <v>0</v>
      </c>
      <c r="BI50" s="114">
        <v>0</v>
      </c>
      <c r="BJ50" s="114">
        <v>0</v>
      </c>
      <c r="BK50" s="114">
        <v>0</v>
      </c>
      <c r="BL50" s="114">
        <v>0</v>
      </c>
      <c r="BM50" s="114">
        <v>0</v>
      </c>
      <c r="BN50" s="114">
        <v>0.8</v>
      </c>
      <c r="BO50" s="114">
        <v>0</v>
      </c>
      <c r="BP50" s="114">
        <v>0</v>
      </c>
      <c r="BQ50" s="114">
        <v>0</v>
      </c>
      <c r="BR50" s="114">
        <v>0</v>
      </c>
      <c r="BS50" s="114">
        <v>0</v>
      </c>
      <c r="BT50" s="114">
        <v>0</v>
      </c>
      <c r="BU50" s="114">
        <v>0</v>
      </c>
      <c r="BV50" s="114">
        <v>0</v>
      </c>
      <c r="BW50" s="114">
        <v>0</v>
      </c>
      <c r="BX50" s="114">
        <v>0</v>
      </c>
      <c r="BY50" s="114">
        <v>0</v>
      </c>
      <c r="BZ50" s="114">
        <v>0</v>
      </c>
      <c r="CA50" s="114">
        <v>0</v>
      </c>
      <c r="CB50" s="114">
        <v>0</v>
      </c>
      <c r="CC50" s="114">
        <v>0</v>
      </c>
      <c r="CD50" s="114">
        <v>0</v>
      </c>
      <c r="CE50" s="114">
        <v>0</v>
      </c>
      <c r="CF50" s="114">
        <v>0</v>
      </c>
      <c r="CG50" s="114">
        <v>0</v>
      </c>
      <c r="CH50" s="114">
        <v>0</v>
      </c>
      <c r="CI50" s="114">
        <v>0</v>
      </c>
      <c r="CJ50" s="114">
        <v>0</v>
      </c>
      <c r="CK50" s="114">
        <v>0.8</v>
      </c>
      <c r="CL50" s="114">
        <v>0.8</v>
      </c>
      <c r="CM50" s="114">
        <v>0</v>
      </c>
      <c r="CN50" s="114">
        <v>0</v>
      </c>
      <c r="CO50" s="114">
        <v>0</v>
      </c>
      <c r="CP50" s="114">
        <v>0</v>
      </c>
      <c r="CQ50" s="114">
        <v>0</v>
      </c>
      <c r="CR50" s="114">
        <v>0</v>
      </c>
      <c r="CS50" s="114">
        <v>0</v>
      </c>
      <c r="CT50" s="114">
        <v>0</v>
      </c>
      <c r="CU50" s="114">
        <v>0</v>
      </c>
      <c r="CV50" s="114">
        <v>0</v>
      </c>
    </row>
    <row r="51" spans="1:100" x14ac:dyDescent="0.15">
      <c r="A51" s="191" t="s">
        <v>241</v>
      </c>
      <c r="B51" s="114">
        <v>0</v>
      </c>
      <c r="C51" s="114">
        <v>0.8</v>
      </c>
      <c r="D51" s="114">
        <v>0</v>
      </c>
      <c r="E51" s="114">
        <v>0</v>
      </c>
      <c r="F51" s="114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0.8</v>
      </c>
      <c r="L51" s="114">
        <v>0.8</v>
      </c>
      <c r="M51" s="114">
        <v>0.8</v>
      </c>
      <c r="N51" s="114">
        <v>0.8</v>
      </c>
      <c r="O51" s="114">
        <v>0.8</v>
      </c>
      <c r="P51" s="114">
        <v>0.8</v>
      </c>
      <c r="Q51" s="114">
        <v>0.8</v>
      </c>
      <c r="R51" s="114">
        <v>0.8</v>
      </c>
      <c r="S51" s="114">
        <v>0.8</v>
      </c>
      <c r="T51" s="114">
        <v>0</v>
      </c>
      <c r="U51" s="114">
        <v>0</v>
      </c>
      <c r="V51" s="114">
        <v>0.8</v>
      </c>
      <c r="W51" s="114">
        <v>0</v>
      </c>
      <c r="X51" s="114">
        <v>0.8</v>
      </c>
      <c r="Y51" s="114">
        <v>0.8</v>
      </c>
      <c r="Z51" s="114">
        <v>0.8</v>
      </c>
      <c r="AA51" s="114">
        <v>0.8</v>
      </c>
      <c r="AB51" s="114">
        <v>0</v>
      </c>
      <c r="AC51" s="114">
        <v>0</v>
      </c>
      <c r="AD51" s="114">
        <v>0</v>
      </c>
      <c r="AE51" s="114">
        <v>0</v>
      </c>
      <c r="AF51" s="114">
        <v>0.8</v>
      </c>
      <c r="AG51" s="114">
        <v>0.8</v>
      </c>
      <c r="AH51" s="114">
        <v>0</v>
      </c>
      <c r="AI51" s="114">
        <v>0</v>
      </c>
      <c r="AJ51" s="114">
        <v>0.8</v>
      </c>
      <c r="AK51" s="114">
        <v>0.8</v>
      </c>
      <c r="AL51" s="114">
        <v>0.8</v>
      </c>
      <c r="AM51" s="114">
        <v>0</v>
      </c>
      <c r="AN51" s="114">
        <v>0</v>
      </c>
      <c r="AO51" s="114">
        <v>0</v>
      </c>
      <c r="AP51" s="114">
        <v>0</v>
      </c>
      <c r="AQ51" s="114">
        <v>0.8</v>
      </c>
      <c r="AR51" s="114">
        <v>0.8</v>
      </c>
      <c r="AS51" s="114">
        <v>0.8</v>
      </c>
      <c r="AT51" s="114">
        <v>0.8</v>
      </c>
      <c r="AU51" s="114">
        <v>0</v>
      </c>
      <c r="AV51" s="114">
        <v>0.8</v>
      </c>
      <c r="AW51" s="114">
        <v>0.8</v>
      </c>
      <c r="AX51" s="114">
        <v>0.8</v>
      </c>
      <c r="AY51" s="114">
        <v>0.8</v>
      </c>
      <c r="AZ51" s="114">
        <v>0.8</v>
      </c>
      <c r="BA51" s="114">
        <v>0.8</v>
      </c>
      <c r="BB51" s="114">
        <v>0</v>
      </c>
      <c r="BC51" s="114">
        <v>0</v>
      </c>
      <c r="BD51" s="114">
        <v>0</v>
      </c>
      <c r="BE51" s="114">
        <v>0</v>
      </c>
      <c r="BF51" s="114">
        <v>0</v>
      </c>
      <c r="BG51" s="114">
        <v>0.8</v>
      </c>
      <c r="BH51" s="114">
        <v>0</v>
      </c>
      <c r="BI51" s="114">
        <v>0.8</v>
      </c>
      <c r="BJ51" s="114">
        <v>0.8</v>
      </c>
      <c r="BK51" s="114">
        <v>0</v>
      </c>
      <c r="BL51" s="114">
        <v>0</v>
      </c>
      <c r="BM51" s="114">
        <v>0</v>
      </c>
      <c r="BN51" s="114">
        <v>0</v>
      </c>
      <c r="BO51" s="114">
        <v>0</v>
      </c>
      <c r="BP51" s="114">
        <v>0</v>
      </c>
      <c r="BQ51" s="114">
        <v>0</v>
      </c>
      <c r="BR51" s="114">
        <v>0</v>
      </c>
      <c r="BS51" s="114">
        <v>0</v>
      </c>
      <c r="BT51" s="114">
        <v>0</v>
      </c>
      <c r="BU51" s="114">
        <v>0</v>
      </c>
      <c r="BV51" s="114">
        <v>0</v>
      </c>
      <c r="BW51" s="114">
        <v>0</v>
      </c>
      <c r="BX51" s="114">
        <v>0</v>
      </c>
      <c r="BY51" s="114">
        <v>0</v>
      </c>
      <c r="BZ51" s="114">
        <v>0</v>
      </c>
      <c r="CA51" s="114">
        <v>0</v>
      </c>
      <c r="CB51" s="114">
        <v>0</v>
      </c>
      <c r="CC51" s="114">
        <v>0</v>
      </c>
      <c r="CD51" s="114">
        <v>0</v>
      </c>
      <c r="CE51" s="114">
        <v>0</v>
      </c>
      <c r="CF51" s="114">
        <v>0</v>
      </c>
      <c r="CG51" s="114">
        <v>0</v>
      </c>
      <c r="CH51" s="114">
        <v>0</v>
      </c>
      <c r="CI51" s="114">
        <v>0</v>
      </c>
      <c r="CJ51" s="114">
        <v>0</v>
      </c>
      <c r="CK51" s="114">
        <v>0</v>
      </c>
      <c r="CL51" s="114">
        <v>0</v>
      </c>
      <c r="CM51" s="114">
        <v>0</v>
      </c>
      <c r="CN51" s="114">
        <v>0</v>
      </c>
      <c r="CO51" s="114">
        <v>0</v>
      </c>
      <c r="CP51" s="114">
        <v>0</v>
      </c>
      <c r="CQ51" s="114">
        <v>0</v>
      </c>
      <c r="CR51" s="114">
        <v>0</v>
      </c>
      <c r="CS51" s="114">
        <v>0</v>
      </c>
      <c r="CT51" s="114">
        <v>0</v>
      </c>
      <c r="CU51" s="114">
        <v>0</v>
      </c>
      <c r="CV51" s="114">
        <v>0</v>
      </c>
    </row>
    <row r="52" spans="1:100" x14ac:dyDescent="0.15">
      <c r="A52" s="191" t="s">
        <v>242</v>
      </c>
      <c r="B52" s="114">
        <v>0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0.8</v>
      </c>
      <c r="O52" s="114">
        <v>0.8</v>
      </c>
      <c r="P52" s="114">
        <v>0</v>
      </c>
      <c r="Q52" s="114">
        <v>0.8</v>
      </c>
      <c r="R52" s="114">
        <v>0.8</v>
      </c>
      <c r="S52" s="114">
        <v>0</v>
      </c>
      <c r="T52" s="114">
        <v>0</v>
      </c>
      <c r="U52" s="114">
        <v>0</v>
      </c>
      <c r="V52" s="114">
        <v>0</v>
      </c>
      <c r="W52" s="114">
        <v>0</v>
      </c>
      <c r="X52" s="114">
        <v>0</v>
      </c>
      <c r="Y52" s="114">
        <v>0</v>
      </c>
      <c r="Z52" s="114">
        <v>0</v>
      </c>
      <c r="AA52" s="114">
        <v>0</v>
      </c>
      <c r="AB52" s="114">
        <v>0</v>
      </c>
      <c r="AC52" s="114">
        <v>0</v>
      </c>
      <c r="AD52" s="114">
        <v>0</v>
      </c>
      <c r="AE52" s="114">
        <v>0</v>
      </c>
      <c r="AF52" s="114">
        <v>0</v>
      </c>
      <c r="AG52" s="114">
        <v>0</v>
      </c>
      <c r="AH52" s="114">
        <v>0.8</v>
      </c>
      <c r="AI52" s="114">
        <v>0.8</v>
      </c>
      <c r="AJ52" s="114">
        <v>0</v>
      </c>
      <c r="AK52" s="114">
        <v>0</v>
      </c>
      <c r="AL52" s="114">
        <v>0</v>
      </c>
      <c r="AM52" s="114">
        <v>0</v>
      </c>
      <c r="AN52" s="114">
        <v>0</v>
      </c>
      <c r="AO52" s="114">
        <v>0</v>
      </c>
      <c r="AP52" s="114">
        <v>0</v>
      </c>
      <c r="AQ52" s="114">
        <v>0.8</v>
      </c>
      <c r="AR52" s="114">
        <v>0.8</v>
      </c>
      <c r="AS52" s="114">
        <v>0</v>
      </c>
      <c r="AT52" s="114">
        <v>0</v>
      </c>
      <c r="AU52" s="114">
        <v>0.8</v>
      </c>
      <c r="AV52" s="114">
        <v>0.8</v>
      </c>
      <c r="AW52" s="114">
        <v>0.8</v>
      </c>
      <c r="AX52" s="114">
        <v>0</v>
      </c>
      <c r="AY52" s="114">
        <v>0.8</v>
      </c>
      <c r="AZ52" s="114">
        <v>0.8</v>
      </c>
      <c r="BA52" s="114">
        <v>0.8</v>
      </c>
      <c r="BB52" s="114">
        <v>0.8</v>
      </c>
      <c r="BC52" s="114">
        <v>0.8</v>
      </c>
      <c r="BD52" s="114">
        <v>0.8</v>
      </c>
      <c r="BE52" s="114">
        <v>0</v>
      </c>
      <c r="BF52" s="114">
        <v>0</v>
      </c>
      <c r="BG52" s="114">
        <v>0.8</v>
      </c>
      <c r="BH52" s="114">
        <v>0</v>
      </c>
      <c r="BI52" s="114">
        <v>0</v>
      </c>
      <c r="BJ52" s="114">
        <v>0.8</v>
      </c>
      <c r="BK52" s="114">
        <v>0</v>
      </c>
      <c r="BL52" s="114">
        <v>0</v>
      </c>
      <c r="BM52" s="114">
        <v>0</v>
      </c>
      <c r="BN52" s="114">
        <v>0.8</v>
      </c>
      <c r="BO52" s="114">
        <v>0</v>
      </c>
      <c r="BP52" s="114">
        <v>0</v>
      </c>
      <c r="BQ52" s="114">
        <v>0</v>
      </c>
      <c r="BR52" s="114">
        <v>0</v>
      </c>
      <c r="BS52" s="114">
        <v>0</v>
      </c>
      <c r="BT52" s="114">
        <v>0</v>
      </c>
      <c r="BU52" s="114">
        <v>0</v>
      </c>
      <c r="BV52" s="114">
        <v>0</v>
      </c>
      <c r="BW52" s="114">
        <v>0</v>
      </c>
      <c r="BX52" s="114">
        <v>0</v>
      </c>
      <c r="BY52" s="114">
        <v>0</v>
      </c>
      <c r="BZ52" s="114">
        <v>0</v>
      </c>
      <c r="CA52" s="114">
        <v>0</v>
      </c>
      <c r="CB52" s="114">
        <v>0</v>
      </c>
      <c r="CC52" s="114">
        <v>0</v>
      </c>
      <c r="CD52" s="114">
        <v>0</v>
      </c>
      <c r="CE52" s="114">
        <v>0</v>
      </c>
      <c r="CF52" s="114">
        <v>0</v>
      </c>
      <c r="CG52" s="114">
        <v>0</v>
      </c>
      <c r="CH52" s="114">
        <v>0</v>
      </c>
      <c r="CI52" s="114">
        <v>0</v>
      </c>
      <c r="CJ52" s="114">
        <v>0.8</v>
      </c>
      <c r="CK52" s="114">
        <v>0.8</v>
      </c>
      <c r="CL52" s="114">
        <v>0.8</v>
      </c>
      <c r="CM52" s="114">
        <v>0</v>
      </c>
      <c r="CN52" s="114">
        <v>0</v>
      </c>
      <c r="CO52" s="114">
        <v>0</v>
      </c>
      <c r="CP52" s="114">
        <v>0</v>
      </c>
      <c r="CQ52" s="114">
        <v>0</v>
      </c>
      <c r="CR52" s="114">
        <v>0</v>
      </c>
      <c r="CS52" s="114">
        <v>0</v>
      </c>
      <c r="CT52" s="114">
        <v>0</v>
      </c>
      <c r="CU52" s="114">
        <v>0</v>
      </c>
      <c r="CV52" s="114">
        <v>0</v>
      </c>
    </row>
    <row r="53" spans="1:100" x14ac:dyDescent="0.15">
      <c r="A53" s="191" t="s">
        <v>243</v>
      </c>
      <c r="B53" s="114">
        <v>0</v>
      </c>
      <c r="C53" s="114">
        <v>0</v>
      </c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0.8</v>
      </c>
      <c r="L53" s="114">
        <v>0.8</v>
      </c>
      <c r="M53" s="114">
        <v>0.8</v>
      </c>
      <c r="N53" s="114">
        <v>0.8</v>
      </c>
      <c r="O53" s="114">
        <v>0.8</v>
      </c>
      <c r="P53" s="114">
        <v>0.8</v>
      </c>
      <c r="Q53" s="114">
        <v>0.8</v>
      </c>
      <c r="R53" s="114">
        <v>0</v>
      </c>
      <c r="S53" s="114">
        <v>0</v>
      </c>
      <c r="T53" s="114">
        <v>0.8</v>
      </c>
      <c r="U53" s="114">
        <v>0.8</v>
      </c>
      <c r="V53" s="114">
        <v>0.8</v>
      </c>
      <c r="W53" s="114">
        <v>0.8</v>
      </c>
      <c r="X53" s="114">
        <v>0.8</v>
      </c>
      <c r="Y53" s="114">
        <v>0.8</v>
      </c>
      <c r="Z53" s="114">
        <v>0.8</v>
      </c>
      <c r="AA53" s="114">
        <v>0.8</v>
      </c>
      <c r="AB53" s="114">
        <v>0.8</v>
      </c>
      <c r="AC53" s="114">
        <v>0.8</v>
      </c>
      <c r="AD53" s="114">
        <v>0</v>
      </c>
      <c r="AE53" s="114">
        <v>0.8</v>
      </c>
      <c r="AF53" s="114">
        <v>0.8</v>
      </c>
      <c r="AG53" s="114">
        <v>0</v>
      </c>
      <c r="AH53" s="114">
        <v>0</v>
      </c>
      <c r="AI53" s="114">
        <v>0</v>
      </c>
      <c r="AJ53" s="114">
        <v>0.8</v>
      </c>
      <c r="AK53" s="114">
        <v>0.8</v>
      </c>
      <c r="AL53" s="114">
        <v>0.8</v>
      </c>
      <c r="AM53" s="114">
        <v>0.8</v>
      </c>
      <c r="AN53" s="114">
        <v>0.8</v>
      </c>
      <c r="AO53" s="114">
        <v>0</v>
      </c>
      <c r="AP53" s="114">
        <v>0</v>
      </c>
      <c r="AQ53" s="114">
        <v>0.8</v>
      </c>
      <c r="AR53" s="114">
        <v>0.8</v>
      </c>
      <c r="AS53" s="114">
        <v>0.8</v>
      </c>
      <c r="AT53" s="114">
        <v>0.8</v>
      </c>
      <c r="AU53" s="114">
        <v>0</v>
      </c>
      <c r="AV53" s="114">
        <v>0</v>
      </c>
      <c r="AW53" s="114">
        <v>0.8</v>
      </c>
      <c r="AX53" s="114">
        <v>0.8</v>
      </c>
      <c r="AY53" s="114">
        <v>0.8</v>
      </c>
      <c r="AZ53" s="114">
        <v>0</v>
      </c>
      <c r="BA53" s="114">
        <v>0.8</v>
      </c>
      <c r="BB53" s="114">
        <v>0</v>
      </c>
      <c r="BC53" s="114">
        <v>0.8</v>
      </c>
      <c r="BD53" s="114">
        <v>0</v>
      </c>
      <c r="BE53" s="114">
        <v>0</v>
      </c>
      <c r="BF53" s="114">
        <v>0</v>
      </c>
      <c r="BG53" s="114">
        <v>0.8</v>
      </c>
      <c r="BH53" s="114">
        <v>0</v>
      </c>
      <c r="BI53" s="114">
        <v>0.8</v>
      </c>
      <c r="BJ53" s="114">
        <v>0</v>
      </c>
      <c r="BK53" s="114">
        <v>0</v>
      </c>
      <c r="BL53" s="114">
        <v>0</v>
      </c>
      <c r="BM53" s="114">
        <v>0</v>
      </c>
      <c r="BN53" s="114">
        <v>0</v>
      </c>
      <c r="BO53" s="114">
        <v>0</v>
      </c>
      <c r="BP53" s="114">
        <v>0</v>
      </c>
      <c r="BQ53" s="114">
        <v>0</v>
      </c>
      <c r="BR53" s="114">
        <v>0</v>
      </c>
      <c r="BS53" s="114">
        <v>0</v>
      </c>
      <c r="BT53" s="114">
        <v>0</v>
      </c>
      <c r="BU53" s="114">
        <v>0</v>
      </c>
      <c r="BV53" s="114">
        <v>0</v>
      </c>
      <c r="BW53" s="114">
        <v>0</v>
      </c>
      <c r="BX53" s="114">
        <v>0</v>
      </c>
      <c r="BY53" s="114">
        <v>0</v>
      </c>
      <c r="BZ53" s="114">
        <v>0</v>
      </c>
      <c r="CA53" s="114">
        <v>0</v>
      </c>
      <c r="CB53" s="114">
        <v>0</v>
      </c>
      <c r="CC53" s="114">
        <v>0</v>
      </c>
      <c r="CD53" s="114">
        <v>0</v>
      </c>
      <c r="CE53" s="114">
        <v>0</v>
      </c>
      <c r="CF53" s="114">
        <v>0</v>
      </c>
      <c r="CG53" s="114">
        <v>0</v>
      </c>
      <c r="CH53" s="114">
        <v>0</v>
      </c>
      <c r="CI53" s="114">
        <v>0</v>
      </c>
      <c r="CJ53" s="114">
        <v>0</v>
      </c>
      <c r="CK53" s="114">
        <v>0</v>
      </c>
      <c r="CL53" s="114">
        <v>0</v>
      </c>
      <c r="CM53" s="114">
        <v>0</v>
      </c>
      <c r="CN53" s="114">
        <v>0</v>
      </c>
      <c r="CO53" s="114">
        <v>0</v>
      </c>
      <c r="CP53" s="114">
        <v>0</v>
      </c>
      <c r="CQ53" s="114">
        <v>0</v>
      </c>
      <c r="CR53" s="114">
        <v>0</v>
      </c>
      <c r="CS53" s="114">
        <v>0</v>
      </c>
      <c r="CT53" s="114">
        <v>0</v>
      </c>
      <c r="CU53" s="114">
        <v>0</v>
      </c>
      <c r="CV53" s="114">
        <v>0</v>
      </c>
    </row>
    <row r="54" spans="1:100" x14ac:dyDescent="0.15">
      <c r="A54" s="191" t="s">
        <v>244</v>
      </c>
      <c r="B54" s="114">
        <v>0</v>
      </c>
      <c r="C54" s="114">
        <v>0.8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0.8</v>
      </c>
      <c r="K54" s="114">
        <v>0</v>
      </c>
      <c r="L54" s="114">
        <v>0</v>
      </c>
      <c r="M54" s="114">
        <v>0</v>
      </c>
      <c r="N54" s="114">
        <v>0.8</v>
      </c>
      <c r="O54" s="114">
        <v>0.8</v>
      </c>
      <c r="P54" s="114">
        <v>0</v>
      </c>
      <c r="Q54" s="114">
        <v>0.8</v>
      </c>
      <c r="R54" s="114">
        <v>0.8</v>
      </c>
      <c r="S54" s="114">
        <v>0</v>
      </c>
      <c r="T54" s="114">
        <v>0.8</v>
      </c>
      <c r="U54" s="114">
        <v>0.8</v>
      </c>
      <c r="V54" s="114">
        <v>0</v>
      </c>
      <c r="W54" s="114">
        <v>0</v>
      </c>
      <c r="X54" s="114">
        <v>0</v>
      </c>
      <c r="Y54" s="114">
        <v>0</v>
      </c>
      <c r="Z54" s="114">
        <v>0</v>
      </c>
      <c r="AA54" s="114">
        <v>0.8</v>
      </c>
      <c r="AB54" s="114">
        <v>0</v>
      </c>
      <c r="AC54" s="114">
        <v>0.8</v>
      </c>
      <c r="AD54" s="114">
        <v>0</v>
      </c>
      <c r="AE54" s="114">
        <v>0</v>
      </c>
      <c r="AF54" s="114">
        <v>0</v>
      </c>
      <c r="AG54" s="114">
        <v>0</v>
      </c>
      <c r="AH54" s="114">
        <v>0.8</v>
      </c>
      <c r="AI54" s="114">
        <v>0.8</v>
      </c>
      <c r="AJ54" s="114">
        <v>0</v>
      </c>
      <c r="AK54" s="114">
        <v>0.8</v>
      </c>
      <c r="AL54" s="114">
        <v>0</v>
      </c>
      <c r="AM54" s="114">
        <v>0</v>
      </c>
      <c r="AN54" s="114">
        <v>0.8</v>
      </c>
      <c r="AO54" s="114">
        <v>0.8</v>
      </c>
      <c r="AP54" s="114">
        <v>0.8</v>
      </c>
      <c r="AQ54" s="114">
        <v>0.8</v>
      </c>
      <c r="AR54" s="114">
        <v>0.8</v>
      </c>
      <c r="AS54" s="114">
        <v>0.8</v>
      </c>
      <c r="AT54" s="114">
        <v>0.8</v>
      </c>
      <c r="AU54" s="114">
        <v>0.8</v>
      </c>
      <c r="AV54" s="114">
        <v>0.8</v>
      </c>
      <c r="AW54" s="114">
        <v>0</v>
      </c>
      <c r="AX54" s="114">
        <v>0</v>
      </c>
      <c r="AY54" s="114">
        <v>0.8</v>
      </c>
      <c r="AZ54" s="114">
        <v>0.8</v>
      </c>
      <c r="BA54" s="114">
        <v>0.8</v>
      </c>
      <c r="BB54" s="114">
        <v>0.8</v>
      </c>
      <c r="BC54" s="114">
        <v>0.8</v>
      </c>
      <c r="BD54" s="114">
        <v>0.8</v>
      </c>
      <c r="BE54" s="114">
        <v>0</v>
      </c>
      <c r="BF54" s="114">
        <v>0</v>
      </c>
      <c r="BG54" s="114">
        <v>0</v>
      </c>
      <c r="BH54" s="114">
        <v>0</v>
      </c>
      <c r="BI54" s="114">
        <v>0</v>
      </c>
      <c r="BJ54" s="114">
        <v>0</v>
      </c>
      <c r="BK54" s="114">
        <v>0</v>
      </c>
      <c r="BL54" s="114">
        <v>0</v>
      </c>
      <c r="BM54" s="114">
        <v>0</v>
      </c>
      <c r="BN54" s="114">
        <v>0.8</v>
      </c>
      <c r="BO54" s="114">
        <v>0</v>
      </c>
      <c r="BP54" s="114">
        <v>0</v>
      </c>
      <c r="BQ54" s="114">
        <v>0</v>
      </c>
      <c r="BR54" s="114">
        <v>0</v>
      </c>
      <c r="BS54" s="114">
        <v>0</v>
      </c>
      <c r="BT54" s="114">
        <v>0</v>
      </c>
      <c r="BU54" s="114">
        <v>0</v>
      </c>
      <c r="BV54" s="114">
        <v>0</v>
      </c>
      <c r="BW54" s="114">
        <v>0</v>
      </c>
      <c r="BX54" s="114">
        <v>0</v>
      </c>
      <c r="BY54" s="114">
        <v>0</v>
      </c>
      <c r="BZ54" s="114">
        <v>0</v>
      </c>
      <c r="CA54" s="114">
        <v>0</v>
      </c>
      <c r="CB54" s="114">
        <v>0</v>
      </c>
      <c r="CC54" s="114">
        <v>0</v>
      </c>
      <c r="CD54" s="114">
        <v>0</v>
      </c>
      <c r="CE54" s="114">
        <v>0</v>
      </c>
      <c r="CF54" s="114">
        <v>0</v>
      </c>
      <c r="CG54" s="114">
        <v>0</v>
      </c>
      <c r="CH54" s="114">
        <v>0</v>
      </c>
      <c r="CI54" s="114">
        <v>0</v>
      </c>
      <c r="CJ54" s="114">
        <v>0</v>
      </c>
      <c r="CK54" s="114">
        <v>0</v>
      </c>
      <c r="CL54" s="114">
        <v>0.8</v>
      </c>
      <c r="CM54" s="114">
        <v>0</v>
      </c>
      <c r="CN54" s="114">
        <v>0</v>
      </c>
      <c r="CO54" s="114">
        <v>0</v>
      </c>
      <c r="CP54" s="114">
        <v>0</v>
      </c>
      <c r="CQ54" s="114">
        <v>0</v>
      </c>
      <c r="CR54" s="114">
        <v>0</v>
      </c>
      <c r="CS54" s="114">
        <v>0</v>
      </c>
      <c r="CT54" s="114">
        <v>0</v>
      </c>
      <c r="CU54" s="114">
        <v>0</v>
      </c>
      <c r="CV54" s="114">
        <v>0</v>
      </c>
    </row>
    <row r="55" spans="1:100" x14ac:dyDescent="0.15">
      <c r="A55" s="191" t="s">
        <v>245</v>
      </c>
      <c r="B55" s="114">
        <v>0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0.8</v>
      </c>
      <c r="L55" s="114">
        <v>0.8</v>
      </c>
      <c r="M55" s="114">
        <v>0.8</v>
      </c>
      <c r="N55" s="114">
        <v>0.8</v>
      </c>
      <c r="O55" s="114">
        <v>0.8</v>
      </c>
      <c r="P55" s="114">
        <v>0.8</v>
      </c>
      <c r="Q55" s="114">
        <v>0.8</v>
      </c>
      <c r="R55" s="114">
        <v>0.8</v>
      </c>
      <c r="S55" s="114">
        <v>0.8</v>
      </c>
      <c r="T55" s="114">
        <v>0.8</v>
      </c>
      <c r="U55" s="114">
        <v>0.8</v>
      </c>
      <c r="V55" s="114">
        <v>0.8</v>
      </c>
      <c r="W55" s="114">
        <v>0.8</v>
      </c>
      <c r="X55" s="114">
        <v>0.8</v>
      </c>
      <c r="Y55" s="114">
        <v>0.8</v>
      </c>
      <c r="Z55" s="114">
        <v>0.8</v>
      </c>
      <c r="AA55" s="114">
        <v>0.8</v>
      </c>
      <c r="AB55" s="114">
        <v>0.8</v>
      </c>
      <c r="AC55" s="114">
        <v>0.8</v>
      </c>
      <c r="AD55" s="114">
        <v>0.8</v>
      </c>
      <c r="AE55" s="114">
        <v>0.8</v>
      </c>
      <c r="AF55" s="114">
        <v>0.8</v>
      </c>
      <c r="AG55" s="114">
        <v>0</v>
      </c>
      <c r="AH55" s="114">
        <v>0</v>
      </c>
      <c r="AI55" s="114">
        <v>0</v>
      </c>
      <c r="AJ55" s="114">
        <v>0.8</v>
      </c>
      <c r="AK55" s="114">
        <v>0.8</v>
      </c>
      <c r="AL55" s="114">
        <v>0.8</v>
      </c>
      <c r="AM55" s="114">
        <v>0.8</v>
      </c>
      <c r="AN55" s="114">
        <v>0.8</v>
      </c>
      <c r="AO55" s="114">
        <v>0</v>
      </c>
      <c r="AP55" s="114">
        <v>0</v>
      </c>
      <c r="AQ55" s="114">
        <v>0.8</v>
      </c>
      <c r="AR55" s="114">
        <v>0.8</v>
      </c>
      <c r="AS55" s="114">
        <v>0.8</v>
      </c>
      <c r="AT55" s="114">
        <v>0.8</v>
      </c>
      <c r="AU55" s="114">
        <v>0</v>
      </c>
      <c r="AV55" s="114">
        <v>0.8</v>
      </c>
      <c r="AW55" s="114">
        <v>0.8</v>
      </c>
      <c r="AX55" s="114">
        <v>0.8</v>
      </c>
      <c r="AY55" s="114">
        <v>0.8</v>
      </c>
      <c r="AZ55" s="114">
        <v>0.8</v>
      </c>
      <c r="BA55" s="114">
        <v>0.8</v>
      </c>
      <c r="BB55" s="114">
        <v>0</v>
      </c>
      <c r="BC55" s="114">
        <v>0</v>
      </c>
      <c r="BD55" s="114">
        <v>0</v>
      </c>
      <c r="BE55" s="114">
        <v>0</v>
      </c>
      <c r="BF55" s="114">
        <v>0</v>
      </c>
      <c r="BG55" s="114">
        <v>0.8</v>
      </c>
      <c r="BH55" s="114">
        <v>0</v>
      </c>
      <c r="BI55" s="114">
        <v>0.8</v>
      </c>
      <c r="BJ55" s="114">
        <v>0.8</v>
      </c>
      <c r="BK55" s="114">
        <v>0</v>
      </c>
      <c r="BL55" s="114">
        <v>0</v>
      </c>
      <c r="BM55" s="114">
        <v>0</v>
      </c>
      <c r="BN55" s="114">
        <v>0</v>
      </c>
      <c r="BO55" s="114">
        <v>0</v>
      </c>
      <c r="BP55" s="114">
        <v>0</v>
      </c>
      <c r="BQ55" s="114">
        <v>0</v>
      </c>
      <c r="BR55" s="114">
        <v>0</v>
      </c>
      <c r="BS55" s="114">
        <v>0</v>
      </c>
      <c r="BT55" s="114">
        <v>0</v>
      </c>
      <c r="BU55" s="114">
        <v>0</v>
      </c>
      <c r="BV55" s="114">
        <v>0</v>
      </c>
      <c r="BW55" s="114">
        <v>0</v>
      </c>
      <c r="BX55" s="114">
        <v>0</v>
      </c>
      <c r="BY55" s="114">
        <v>0</v>
      </c>
      <c r="BZ55" s="114">
        <v>0</v>
      </c>
      <c r="CA55" s="114">
        <v>0</v>
      </c>
      <c r="CB55" s="114">
        <v>0</v>
      </c>
      <c r="CC55" s="114">
        <v>0</v>
      </c>
      <c r="CD55" s="114">
        <v>0</v>
      </c>
      <c r="CE55" s="114">
        <v>0</v>
      </c>
      <c r="CF55" s="114">
        <v>0</v>
      </c>
      <c r="CG55" s="114">
        <v>0</v>
      </c>
      <c r="CH55" s="114">
        <v>0</v>
      </c>
      <c r="CI55" s="114">
        <v>0</v>
      </c>
      <c r="CJ55" s="114">
        <v>0</v>
      </c>
      <c r="CK55" s="114">
        <v>0</v>
      </c>
      <c r="CL55" s="114">
        <v>0</v>
      </c>
      <c r="CM55" s="114">
        <v>0</v>
      </c>
      <c r="CN55" s="114">
        <v>0</v>
      </c>
      <c r="CO55" s="114">
        <v>0</v>
      </c>
      <c r="CP55" s="114">
        <v>0</v>
      </c>
      <c r="CQ55" s="114">
        <v>0</v>
      </c>
      <c r="CR55" s="114">
        <v>0</v>
      </c>
      <c r="CS55" s="114">
        <v>0</v>
      </c>
      <c r="CT55" s="114">
        <v>0</v>
      </c>
      <c r="CU55" s="114">
        <v>0</v>
      </c>
      <c r="CV55" s="114">
        <v>0</v>
      </c>
    </row>
    <row r="56" spans="1:100" x14ac:dyDescent="0.15">
      <c r="A56" s="191" t="s">
        <v>246</v>
      </c>
      <c r="B56" s="114">
        <v>0</v>
      </c>
      <c r="C56" s="114">
        <v>0.8</v>
      </c>
      <c r="D56" s="114">
        <v>0</v>
      </c>
      <c r="E56" s="114">
        <v>0</v>
      </c>
      <c r="F56" s="114">
        <v>0.8</v>
      </c>
      <c r="G56" s="114">
        <v>0</v>
      </c>
      <c r="H56" s="114">
        <v>0</v>
      </c>
      <c r="I56" s="114">
        <v>0</v>
      </c>
      <c r="J56" s="114">
        <v>0.8</v>
      </c>
      <c r="K56" s="114">
        <v>0</v>
      </c>
      <c r="L56" s="114">
        <v>0</v>
      </c>
      <c r="M56" s="114">
        <v>0</v>
      </c>
      <c r="N56" s="114">
        <v>0.8</v>
      </c>
      <c r="O56" s="114">
        <v>0.8</v>
      </c>
      <c r="P56" s="114">
        <v>0</v>
      </c>
      <c r="Q56" s="114">
        <v>0.8</v>
      </c>
      <c r="R56" s="114">
        <v>0.8</v>
      </c>
      <c r="S56" s="114">
        <v>0</v>
      </c>
      <c r="T56" s="114">
        <v>0.8</v>
      </c>
      <c r="U56" s="114">
        <v>0.8</v>
      </c>
      <c r="V56" s="114">
        <v>0.8</v>
      </c>
      <c r="W56" s="114">
        <v>0.8</v>
      </c>
      <c r="X56" s="114">
        <v>0</v>
      </c>
      <c r="Y56" s="114">
        <v>0</v>
      </c>
      <c r="Z56" s="114">
        <v>0</v>
      </c>
      <c r="AA56" s="114">
        <v>0.8</v>
      </c>
      <c r="AB56" s="114">
        <v>0</v>
      </c>
      <c r="AC56" s="114">
        <v>0.8</v>
      </c>
      <c r="AD56" s="114">
        <v>0</v>
      </c>
      <c r="AE56" s="114">
        <v>0</v>
      </c>
      <c r="AF56" s="114">
        <v>0</v>
      </c>
      <c r="AG56" s="114">
        <v>0</v>
      </c>
      <c r="AH56" s="114">
        <v>0.8</v>
      </c>
      <c r="AI56" s="114">
        <v>0.8</v>
      </c>
      <c r="AJ56" s="114">
        <v>0</v>
      </c>
      <c r="AK56" s="114">
        <v>0.8</v>
      </c>
      <c r="AL56" s="114">
        <v>0.8</v>
      </c>
      <c r="AM56" s="114">
        <v>0.8</v>
      </c>
      <c r="AN56" s="114">
        <v>0.8</v>
      </c>
      <c r="AO56" s="114">
        <v>0.8</v>
      </c>
      <c r="AP56" s="114">
        <v>0.8</v>
      </c>
      <c r="AQ56" s="114">
        <v>0.8</v>
      </c>
      <c r="AR56" s="114">
        <v>0.8</v>
      </c>
      <c r="AS56" s="114">
        <v>0.8</v>
      </c>
      <c r="AT56" s="114">
        <v>0.8</v>
      </c>
      <c r="AU56" s="114">
        <v>0.8</v>
      </c>
      <c r="AV56" s="114">
        <v>0.8</v>
      </c>
      <c r="AW56" s="114">
        <v>0</v>
      </c>
      <c r="AX56" s="114">
        <v>0</v>
      </c>
      <c r="AY56" s="114">
        <v>0.8</v>
      </c>
      <c r="AZ56" s="114">
        <v>0.8</v>
      </c>
      <c r="BA56" s="114">
        <v>0.8</v>
      </c>
      <c r="BB56" s="114">
        <v>0.8</v>
      </c>
      <c r="BC56" s="114">
        <v>0.8</v>
      </c>
      <c r="BD56" s="114">
        <v>0.8</v>
      </c>
      <c r="BE56" s="114">
        <v>0</v>
      </c>
      <c r="BF56" s="114">
        <v>0</v>
      </c>
      <c r="BG56" s="114">
        <v>0.8</v>
      </c>
      <c r="BH56" s="114">
        <v>0.8</v>
      </c>
      <c r="BI56" s="114">
        <v>0.8</v>
      </c>
      <c r="BJ56" s="114">
        <v>0.8</v>
      </c>
      <c r="BK56" s="114">
        <v>0</v>
      </c>
      <c r="BL56" s="114">
        <v>0</v>
      </c>
      <c r="BM56" s="114">
        <v>0</v>
      </c>
      <c r="BN56" s="114">
        <v>0.8</v>
      </c>
      <c r="BO56" s="114">
        <v>0</v>
      </c>
      <c r="BP56" s="114">
        <v>0</v>
      </c>
      <c r="BQ56" s="114">
        <v>0</v>
      </c>
      <c r="BR56" s="114">
        <v>0</v>
      </c>
      <c r="BS56" s="114">
        <v>0</v>
      </c>
      <c r="BT56" s="114">
        <v>0</v>
      </c>
      <c r="BU56" s="114">
        <v>0</v>
      </c>
      <c r="BV56" s="114">
        <v>0</v>
      </c>
      <c r="BW56" s="114">
        <v>0</v>
      </c>
      <c r="BX56" s="114">
        <v>0.8</v>
      </c>
      <c r="BY56" s="114">
        <v>0</v>
      </c>
      <c r="BZ56" s="114">
        <v>0</v>
      </c>
      <c r="CA56" s="114">
        <v>0</v>
      </c>
      <c r="CB56" s="114">
        <v>0</v>
      </c>
      <c r="CC56" s="114">
        <v>0</v>
      </c>
      <c r="CD56" s="114">
        <v>0</v>
      </c>
      <c r="CE56" s="114">
        <v>0</v>
      </c>
      <c r="CF56" s="114">
        <v>0</v>
      </c>
      <c r="CG56" s="114">
        <v>0</v>
      </c>
      <c r="CH56" s="114">
        <v>0</v>
      </c>
      <c r="CI56" s="114">
        <v>0</v>
      </c>
      <c r="CJ56" s="114">
        <v>0</v>
      </c>
      <c r="CK56" s="114">
        <v>0</v>
      </c>
      <c r="CL56" s="114">
        <v>0.8</v>
      </c>
      <c r="CM56" s="114">
        <v>0</v>
      </c>
      <c r="CN56" s="114">
        <v>0</v>
      </c>
      <c r="CO56" s="114">
        <v>0</v>
      </c>
      <c r="CP56" s="114">
        <v>0</v>
      </c>
      <c r="CQ56" s="114">
        <v>0</v>
      </c>
      <c r="CR56" s="114">
        <v>0</v>
      </c>
      <c r="CS56" s="114">
        <v>0</v>
      </c>
      <c r="CT56" s="114">
        <v>0</v>
      </c>
      <c r="CU56" s="114">
        <v>0</v>
      </c>
      <c r="CV56" s="114">
        <v>0</v>
      </c>
    </row>
    <row r="57" spans="1:100" x14ac:dyDescent="0.15">
      <c r="A57" s="191" t="s">
        <v>247</v>
      </c>
      <c r="B57" s="114">
        <v>0</v>
      </c>
      <c r="C57" s="114">
        <v>0</v>
      </c>
      <c r="D57" s="114">
        <v>0</v>
      </c>
      <c r="E57" s="114">
        <v>0</v>
      </c>
      <c r="F57" s="114">
        <v>0.8</v>
      </c>
      <c r="G57" s="114">
        <v>0</v>
      </c>
      <c r="H57" s="114">
        <v>0</v>
      </c>
      <c r="I57" s="114">
        <v>0</v>
      </c>
      <c r="J57" s="114">
        <v>0</v>
      </c>
      <c r="K57" s="114">
        <v>0.8</v>
      </c>
      <c r="L57" s="114">
        <v>0.8</v>
      </c>
      <c r="M57" s="114">
        <v>0.8</v>
      </c>
      <c r="N57" s="114">
        <v>0.8</v>
      </c>
      <c r="O57" s="114">
        <v>0.8</v>
      </c>
      <c r="P57" s="114">
        <v>0.8</v>
      </c>
      <c r="Q57" s="114">
        <v>0</v>
      </c>
      <c r="R57" s="114">
        <v>0</v>
      </c>
      <c r="S57" s="114">
        <v>0</v>
      </c>
      <c r="T57" s="114">
        <v>0.8</v>
      </c>
      <c r="U57" s="114">
        <v>0.8</v>
      </c>
      <c r="V57" s="114">
        <v>0.8</v>
      </c>
      <c r="W57" s="114">
        <v>0.8</v>
      </c>
      <c r="X57" s="114">
        <v>0.8</v>
      </c>
      <c r="Y57" s="114">
        <v>0.8</v>
      </c>
      <c r="Z57" s="114">
        <v>0.8</v>
      </c>
      <c r="AA57" s="114">
        <v>0.8</v>
      </c>
      <c r="AB57" s="114">
        <v>0.8</v>
      </c>
      <c r="AC57" s="114">
        <v>0.8</v>
      </c>
      <c r="AD57" s="114">
        <v>0.8</v>
      </c>
      <c r="AE57" s="114">
        <v>0.8</v>
      </c>
      <c r="AF57" s="114">
        <v>0.8</v>
      </c>
      <c r="AG57" s="114">
        <v>0</v>
      </c>
      <c r="AH57" s="114">
        <v>0</v>
      </c>
      <c r="AI57" s="114">
        <v>0</v>
      </c>
      <c r="AJ57" s="114">
        <v>0.8</v>
      </c>
      <c r="AK57" s="114">
        <v>0.8</v>
      </c>
      <c r="AL57" s="114">
        <v>0.8</v>
      </c>
      <c r="AM57" s="114">
        <v>0.8</v>
      </c>
      <c r="AN57" s="114">
        <v>0.8</v>
      </c>
      <c r="AO57" s="114">
        <v>0</v>
      </c>
      <c r="AP57" s="114">
        <v>0</v>
      </c>
      <c r="AQ57" s="114">
        <v>0.8</v>
      </c>
      <c r="AR57" s="114">
        <v>0.8</v>
      </c>
      <c r="AS57" s="114">
        <v>0.8</v>
      </c>
      <c r="AT57" s="114">
        <v>0.8</v>
      </c>
      <c r="AU57" s="114">
        <v>0</v>
      </c>
      <c r="AV57" s="114">
        <v>0.8</v>
      </c>
      <c r="AW57" s="114">
        <v>0.8</v>
      </c>
      <c r="AX57" s="114">
        <v>0.8</v>
      </c>
      <c r="AY57" s="114">
        <v>0.8</v>
      </c>
      <c r="AZ57" s="114">
        <v>0.8</v>
      </c>
      <c r="BA57" s="114">
        <v>0.8</v>
      </c>
      <c r="BB57" s="114">
        <v>0.8</v>
      </c>
      <c r="BC57" s="114">
        <v>0.8</v>
      </c>
      <c r="BD57" s="114">
        <v>0</v>
      </c>
      <c r="BE57" s="114">
        <v>0</v>
      </c>
      <c r="BF57" s="114">
        <v>0</v>
      </c>
      <c r="BG57" s="114">
        <v>0.8</v>
      </c>
      <c r="BH57" s="114">
        <v>0</v>
      </c>
      <c r="BI57" s="114">
        <v>0.8</v>
      </c>
      <c r="BJ57" s="114">
        <v>0.8</v>
      </c>
      <c r="BK57" s="114">
        <v>0</v>
      </c>
      <c r="BL57" s="114">
        <v>0</v>
      </c>
      <c r="BM57" s="114">
        <v>0</v>
      </c>
      <c r="BN57" s="114">
        <v>0</v>
      </c>
      <c r="BO57" s="114">
        <v>0</v>
      </c>
      <c r="BP57" s="114">
        <v>0</v>
      </c>
      <c r="BQ57" s="114">
        <v>0</v>
      </c>
      <c r="BR57" s="114">
        <v>0</v>
      </c>
      <c r="BS57" s="114">
        <v>0</v>
      </c>
      <c r="BT57" s="114">
        <v>0</v>
      </c>
      <c r="BU57" s="114">
        <v>0</v>
      </c>
      <c r="BV57" s="114">
        <v>0</v>
      </c>
      <c r="BW57" s="114">
        <v>0</v>
      </c>
      <c r="BX57" s="114">
        <v>0</v>
      </c>
      <c r="BY57" s="114">
        <v>0</v>
      </c>
      <c r="BZ57" s="114">
        <v>0</v>
      </c>
      <c r="CA57" s="114">
        <v>0</v>
      </c>
      <c r="CB57" s="114">
        <v>0</v>
      </c>
      <c r="CC57" s="114">
        <v>0</v>
      </c>
      <c r="CD57" s="114">
        <v>0</v>
      </c>
      <c r="CE57" s="114">
        <v>0</v>
      </c>
      <c r="CF57" s="114">
        <v>0</v>
      </c>
      <c r="CG57" s="114">
        <v>0</v>
      </c>
      <c r="CH57" s="114">
        <v>0</v>
      </c>
      <c r="CI57" s="114">
        <v>0</v>
      </c>
      <c r="CJ57" s="114">
        <v>0</v>
      </c>
      <c r="CK57" s="114">
        <v>0</v>
      </c>
      <c r="CL57" s="114">
        <v>0</v>
      </c>
      <c r="CM57" s="114">
        <v>0</v>
      </c>
      <c r="CN57" s="114">
        <v>0</v>
      </c>
      <c r="CO57" s="114">
        <v>0</v>
      </c>
      <c r="CP57" s="114">
        <v>0</v>
      </c>
      <c r="CQ57" s="114">
        <v>0</v>
      </c>
      <c r="CR57" s="114">
        <v>0</v>
      </c>
      <c r="CS57" s="114">
        <v>0</v>
      </c>
      <c r="CT57" s="114">
        <v>0</v>
      </c>
      <c r="CU57" s="114">
        <v>0</v>
      </c>
      <c r="CV57" s="114">
        <v>0</v>
      </c>
    </row>
    <row r="58" spans="1:100" x14ac:dyDescent="0.15">
      <c r="A58" s="191" t="s">
        <v>248</v>
      </c>
      <c r="B58" s="114">
        <v>0</v>
      </c>
      <c r="C58" s="114">
        <v>0</v>
      </c>
      <c r="D58" s="114">
        <v>0</v>
      </c>
      <c r="E58" s="114">
        <v>0</v>
      </c>
      <c r="F58" s="114">
        <v>0.8</v>
      </c>
      <c r="G58" s="114">
        <v>0</v>
      </c>
      <c r="H58" s="114">
        <v>0</v>
      </c>
      <c r="I58" s="114">
        <v>0</v>
      </c>
      <c r="J58" s="114">
        <v>0</v>
      </c>
      <c r="K58" s="114">
        <v>0.8</v>
      </c>
      <c r="L58" s="114">
        <v>0.8</v>
      </c>
      <c r="M58" s="114">
        <v>0.8</v>
      </c>
      <c r="N58" s="114">
        <v>0.8</v>
      </c>
      <c r="O58" s="114">
        <v>0.8</v>
      </c>
      <c r="P58" s="114">
        <v>0.8</v>
      </c>
      <c r="Q58" s="114">
        <v>0.8</v>
      </c>
      <c r="R58" s="114">
        <v>0</v>
      </c>
      <c r="S58" s="114">
        <v>0</v>
      </c>
      <c r="T58" s="114">
        <v>0.8</v>
      </c>
      <c r="U58" s="114">
        <v>0.8</v>
      </c>
      <c r="V58" s="114">
        <v>0.8</v>
      </c>
      <c r="W58" s="114">
        <v>0.8</v>
      </c>
      <c r="X58" s="114">
        <v>0.8</v>
      </c>
      <c r="Y58" s="114">
        <v>0.8</v>
      </c>
      <c r="Z58" s="114">
        <v>0.8</v>
      </c>
      <c r="AA58" s="114">
        <v>0.8</v>
      </c>
      <c r="AB58" s="114">
        <v>0.8</v>
      </c>
      <c r="AC58" s="114">
        <v>0.8</v>
      </c>
      <c r="AD58" s="114">
        <v>0</v>
      </c>
      <c r="AE58" s="114">
        <v>0.8</v>
      </c>
      <c r="AF58" s="114">
        <v>0.8</v>
      </c>
      <c r="AG58" s="114">
        <v>0</v>
      </c>
      <c r="AH58" s="114">
        <v>0</v>
      </c>
      <c r="AI58" s="114">
        <v>0</v>
      </c>
      <c r="AJ58" s="114">
        <v>0.8</v>
      </c>
      <c r="AK58" s="114">
        <v>0.8</v>
      </c>
      <c r="AL58" s="114">
        <v>0.8</v>
      </c>
      <c r="AM58" s="114">
        <v>0.8</v>
      </c>
      <c r="AN58" s="114">
        <v>0.8</v>
      </c>
      <c r="AO58" s="114">
        <v>0.8</v>
      </c>
      <c r="AP58" s="114">
        <v>0.8</v>
      </c>
      <c r="AQ58" s="114">
        <v>0.8</v>
      </c>
      <c r="AR58" s="114">
        <v>0.8</v>
      </c>
      <c r="AS58" s="114">
        <v>0.8</v>
      </c>
      <c r="AT58" s="114">
        <v>0</v>
      </c>
      <c r="AU58" s="114">
        <v>0</v>
      </c>
      <c r="AV58" s="114">
        <v>0.8</v>
      </c>
      <c r="AW58" s="114">
        <v>0.8</v>
      </c>
      <c r="AX58" s="114">
        <v>0.8</v>
      </c>
      <c r="AY58" s="114">
        <v>0.8</v>
      </c>
      <c r="AZ58" s="114">
        <v>0.8</v>
      </c>
      <c r="BA58" s="114">
        <v>0.8</v>
      </c>
      <c r="BB58" s="114">
        <v>0.8</v>
      </c>
      <c r="BC58" s="114">
        <v>0.8</v>
      </c>
      <c r="BD58" s="114">
        <v>0.8</v>
      </c>
      <c r="BE58" s="114">
        <v>0</v>
      </c>
      <c r="BF58" s="114">
        <v>0</v>
      </c>
      <c r="BG58" s="114">
        <v>0.8</v>
      </c>
      <c r="BH58" s="114">
        <v>0.8</v>
      </c>
      <c r="BI58" s="114">
        <v>0.8</v>
      </c>
      <c r="BJ58" s="114">
        <v>0.8</v>
      </c>
      <c r="BK58" s="114">
        <v>0</v>
      </c>
      <c r="BL58" s="114">
        <v>0</v>
      </c>
      <c r="BM58" s="114">
        <v>0</v>
      </c>
      <c r="BN58" s="114">
        <v>0</v>
      </c>
      <c r="BO58" s="114">
        <v>0</v>
      </c>
      <c r="BP58" s="114">
        <v>0</v>
      </c>
      <c r="BQ58" s="114">
        <v>0</v>
      </c>
      <c r="BR58" s="114">
        <v>0</v>
      </c>
      <c r="BS58" s="114">
        <v>0</v>
      </c>
      <c r="BT58" s="114">
        <v>0</v>
      </c>
      <c r="BU58" s="114">
        <v>0</v>
      </c>
      <c r="BV58" s="114">
        <v>0</v>
      </c>
      <c r="BW58" s="114">
        <v>0</v>
      </c>
      <c r="BX58" s="114">
        <v>0.8</v>
      </c>
      <c r="BY58" s="114">
        <v>0</v>
      </c>
      <c r="BZ58" s="114">
        <v>0</v>
      </c>
      <c r="CA58" s="114">
        <v>0</v>
      </c>
      <c r="CB58" s="114">
        <v>0</v>
      </c>
      <c r="CC58" s="114">
        <v>0</v>
      </c>
      <c r="CD58" s="114">
        <v>0</v>
      </c>
      <c r="CE58" s="114">
        <v>0</v>
      </c>
      <c r="CF58" s="114">
        <v>0</v>
      </c>
      <c r="CG58" s="114">
        <v>0</v>
      </c>
      <c r="CH58" s="114">
        <v>0</v>
      </c>
      <c r="CI58" s="114">
        <v>0</v>
      </c>
      <c r="CJ58" s="114">
        <v>0</v>
      </c>
      <c r="CK58" s="114">
        <v>0</v>
      </c>
      <c r="CL58" s="114">
        <v>0.8</v>
      </c>
      <c r="CM58" s="114">
        <v>0</v>
      </c>
      <c r="CN58" s="114">
        <v>0</v>
      </c>
      <c r="CO58" s="114">
        <v>0</v>
      </c>
      <c r="CP58" s="114">
        <v>0</v>
      </c>
      <c r="CQ58" s="114">
        <v>0</v>
      </c>
      <c r="CR58" s="114">
        <v>0</v>
      </c>
      <c r="CS58" s="114">
        <v>0</v>
      </c>
      <c r="CT58" s="114">
        <v>0</v>
      </c>
      <c r="CU58" s="114">
        <v>0</v>
      </c>
      <c r="CV58" s="114">
        <v>0</v>
      </c>
    </row>
    <row r="59" spans="1:100" x14ac:dyDescent="0.15">
      <c r="A59" s="191" t="s">
        <v>249</v>
      </c>
      <c r="B59" s="114">
        <v>0</v>
      </c>
      <c r="C59" s="114">
        <v>0.8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0.8</v>
      </c>
      <c r="L59" s="114">
        <v>0.8</v>
      </c>
      <c r="M59" s="114">
        <v>0.8</v>
      </c>
      <c r="N59" s="114">
        <v>0.8</v>
      </c>
      <c r="O59" s="114">
        <v>0.8</v>
      </c>
      <c r="P59" s="114">
        <v>0.8</v>
      </c>
      <c r="Q59" s="114">
        <v>0.8</v>
      </c>
      <c r="R59" s="114">
        <v>0.8</v>
      </c>
      <c r="S59" s="114">
        <v>0.8</v>
      </c>
      <c r="T59" s="114">
        <v>0.8</v>
      </c>
      <c r="U59" s="114">
        <v>0.8</v>
      </c>
      <c r="V59" s="114">
        <v>0.8</v>
      </c>
      <c r="W59" s="114">
        <v>0.8</v>
      </c>
      <c r="X59" s="114">
        <v>0.8</v>
      </c>
      <c r="Y59" s="114">
        <v>0.8</v>
      </c>
      <c r="Z59" s="114">
        <v>0.8</v>
      </c>
      <c r="AA59" s="114">
        <v>0.8</v>
      </c>
      <c r="AB59" s="114">
        <v>0.8</v>
      </c>
      <c r="AC59" s="114">
        <v>0.8</v>
      </c>
      <c r="AD59" s="114">
        <v>0.8</v>
      </c>
      <c r="AE59" s="114">
        <v>0</v>
      </c>
      <c r="AF59" s="114">
        <v>0.8</v>
      </c>
      <c r="AG59" s="114">
        <v>0</v>
      </c>
      <c r="AH59" s="114">
        <v>0</v>
      </c>
      <c r="AI59" s="114">
        <v>0</v>
      </c>
      <c r="AJ59" s="114">
        <v>0.8</v>
      </c>
      <c r="AK59" s="114">
        <v>0.8</v>
      </c>
      <c r="AL59" s="114">
        <v>0.8</v>
      </c>
      <c r="AM59" s="114">
        <v>0.8</v>
      </c>
      <c r="AN59" s="114">
        <v>0.8</v>
      </c>
      <c r="AO59" s="114">
        <v>0</v>
      </c>
      <c r="AP59" s="114">
        <v>0</v>
      </c>
      <c r="AQ59" s="114">
        <v>0.8</v>
      </c>
      <c r="AR59" s="114">
        <v>0.8</v>
      </c>
      <c r="AS59" s="114">
        <v>0.8</v>
      </c>
      <c r="AT59" s="114">
        <v>0.8</v>
      </c>
      <c r="AU59" s="114">
        <v>0</v>
      </c>
      <c r="AV59" s="114">
        <v>0.8</v>
      </c>
      <c r="AW59" s="114">
        <v>0.8</v>
      </c>
      <c r="AX59" s="114">
        <v>0.8</v>
      </c>
      <c r="AY59" s="114">
        <v>0.8</v>
      </c>
      <c r="AZ59" s="114">
        <v>0.8</v>
      </c>
      <c r="BA59" s="114">
        <v>0.8</v>
      </c>
      <c r="BB59" s="114">
        <v>0.8</v>
      </c>
      <c r="BC59" s="114">
        <v>0.8</v>
      </c>
      <c r="BD59" s="114">
        <v>0</v>
      </c>
      <c r="BE59" s="114">
        <v>0</v>
      </c>
      <c r="BF59" s="114">
        <v>0</v>
      </c>
      <c r="BG59" s="114">
        <v>0.8</v>
      </c>
      <c r="BH59" s="114">
        <v>0</v>
      </c>
      <c r="BI59" s="114">
        <v>0</v>
      </c>
      <c r="BJ59" s="114">
        <v>0</v>
      </c>
      <c r="BK59" s="114">
        <v>0</v>
      </c>
      <c r="BL59" s="114">
        <v>0</v>
      </c>
      <c r="BM59" s="114">
        <v>0</v>
      </c>
      <c r="BN59" s="114">
        <v>0</v>
      </c>
      <c r="BO59" s="114">
        <v>0</v>
      </c>
      <c r="BP59" s="114">
        <v>0</v>
      </c>
      <c r="BQ59" s="114">
        <v>0</v>
      </c>
      <c r="BR59" s="114">
        <v>0</v>
      </c>
      <c r="BS59" s="114">
        <v>0</v>
      </c>
      <c r="BT59" s="114">
        <v>0</v>
      </c>
      <c r="BU59" s="114">
        <v>0</v>
      </c>
      <c r="BV59" s="114">
        <v>0</v>
      </c>
      <c r="BW59" s="114">
        <v>0</v>
      </c>
      <c r="BX59" s="114">
        <v>0</v>
      </c>
      <c r="BY59" s="114">
        <v>0</v>
      </c>
      <c r="BZ59" s="114">
        <v>0</v>
      </c>
      <c r="CA59" s="114">
        <v>0</v>
      </c>
      <c r="CB59" s="114">
        <v>0</v>
      </c>
      <c r="CC59" s="114">
        <v>0</v>
      </c>
      <c r="CD59" s="114">
        <v>0</v>
      </c>
      <c r="CE59" s="114">
        <v>0</v>
      </c>
      <c r="CF59" s="114">
        <v>0</v>
      </c>
      <c r="CG59" s="114">
        <v>0</v>
      </c>
      <c r="CH59" s="114">
        <v>0</v>
      </c>
      <c r="CI59" s="114">
        <v>0</v>
      </c>
      <c r="CJ59" s="114">
        <v>0</v>
      </c>
      <c r="CK59" s="114">
        <v>0</v>
      </c>
      <c r="CL59" s="114">
        <v>0</v>
      </c>
      <c r="CM59" s="114">
        <v>0</v>
      </c>
      <c r="CN59" s="114">
        <v>0</v>
      </c>
      <c r="CO59" s="114">
        <v>0</v>
      </c>
      <c r="CP59" s="114">
        <v>0</v>
      </c>
      <c r="CQ59" s="114">
        <v>0</v>
      </c>
      <c r="CR59" s="114">
        <v>0</v>
      </c>
      <c r="CS59" s="114">
        <v>0</v>
      </c>
      <c r="CT59" s="114">
        <v>0</v>
      </c>
      <c r="CU59" s="114">
        <v>0</v>
      </c>
      <c r="CV59" s="114">
        <v>0</v>
      </c>
    </row>
    <row r="60" spans="1:100" x14ac:dyDescent="0.15">
      <c r="A60" s="191" t="s">
        <v>250</v>
      </c>
      <c r="B60" s="114">
        <v>0</v>
      </c>
      <c r="C60" s="114">
        <v>0</v>
      </c>
      <c r="D60" s="114">
        <v>0.8</v>
      </c>
      <c r="E60" s="114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0.8</v>
      </c>
      <c r="L60" s="114">
        <v>0.8</v>
      </c>
      <c r="M60" s="114">
        <v>0.8</v>
      </c>
      <c r="N60" s="114">
        <v>0.8</v>
      </c>
      <c r="O60" s="114">
        <v>0.8</v>
      </c>
      <c r="P60" s="114">
        <v>0.8</v>
      </c>
      <c r="Q60" s="114">
        <v>0.8</v>
      </c>
      <c r="R60" s="114">
        <v>0.8</v>
      </c>
      <c r="S60" s="114">
        <v>0.8</v>
      </c>
      <c r="T60" s="114">
        <v>0.8</v>
      </c>
      <c r="U60" s="114">
        <v>0.8</v>
      </c>
      <c r="V60" s="114">
        <v>0.8</v>
      </c>
      <c r="W60" s="114">
        <v>0.8</v>
      </c>
      <c r="X60" s="114">
        <v>0.8</v>
      </c>
      <c r="Y60" s="114">
        <v>0.8</v>
      </c>
      <c r="Z60" s="114">
        <v>0.8</v>
      </c>
      <c r="AA60" s="114">
        <v>0.8</v>
      </c>
      <c r="AB60" s="114">
        <v>0.8</v>
      </c>
      <c r="AC60" s="114">
        <v>0.8</v>
      </c>
      <c r="AD60" s="114">
        <v>0.8</v>
      </c>
      <c r="AE60" s="114">
        <v>0</v>
      </c>
      <c r="AF60" s="114">
        <v>0.8</v>
      </c>
      <c r="AG60" s="114">
        <v>0</v>
      </c>
      <c r="AH60" s="114">
        <v>0</v>
      </c>
      <c r="AI60" s="114">
        <v>0</v>
      </c>
      <c r="AJ60" s="114">
        <v>0.8</v>
      </c>
      <c r="AK60" s="114">
        <v>0.8</v>
      </c>
      <c r="AL60" s="114">
        <v>0.8</v>
      </c>
      <c r="AM60" s="114">
        <v>0.8</v>
      </c>
      <c r="AN60" s="114">
        <v>0.8</v>
      </c>
      <c r="AO60" s="114">
        <v>0.8</v>
      </c>
      <c r="AP60" s="114">
        <v>0.8</v>
      </c>
      <c r="AQ60" s="114">
        <v>0.8</v>
      </c>
      <c r="AR60" s="114">
        <v>0.8</v>
      </c>
      <c r="AS60" s="114">
        <v>0.8</v>
      </c>
      <c r="AT60" s="114">
        <v>0</v>
      </c>
      <c r="AU60" s="114">
        <v>0</v>
      </c>
      <c r="AV60" s="114">
        <v>0</v>
      </c>
      <c r="AW60" s="114">
        <v>0.8</v>
      </c>
      <c r="AX60" s="114">
        <v>0.8</v>
      </c>
      <c r="AY60" s="114">
        <v>0.8</v>
      </c>
      <c r="AZ60" s="114">
        <v>0.8</v>
      </c>
      <c r="BA60" s="114">
        <v>0.8</v>
      </c>
      <c r="BB60" s="114">
        <v>0.8</v>
      </c>
      <c r="BC60" s="114">
        <v>0.8</v>
      </c>
      <c r="BD60" s="114">
        <v>0.8</v>
      </c>
      <c r="BE60" s="114">
        <v>0</v>
      </c>
      <c r="BF60" s="114">
        <v>0</v>
      </c>
      <c r="BG60" s="114">
        <v>0.8</v>
      </c>
      <c r="BH60" s="114">
        <v>0.8</v>
      </c>
      <c r="BI60" s="114">
        <v>0</v>
      </c>
      <c r="BJ60" s="114">
        <v>0</v>
      </c>
      <c r="BK60" s="114">
        <v>0</v>
      </c>
      <c r="BL60" s="114">
        <v>0</v>
      </c>
      <c r="BM60" s="114">
        <v>0</v>
      </c>
      <c r="BN60" s="114">
        <v>0</v>
      </c>
      <c r="BO60" s="114">
        <v>0</v>
      </c>
      <c r="BP60" s="114">
        <v>0</v>
      </c>
      <c r="BQ60" s="114">
        <v>0</v>
      </c>
      <c r="BR60" s="114">
        <v>0</v>
      </c>
      <c r="BS60" s="114">
        <v>0</v>
      </c>
      <c r="BT60" s="114">
        <v>0</v>
      </c>
      <c r="BU60" s="114">
        <v>0</v>
      </c>
      <c r="BV60" s="114">
        <v>0</v>
      </c>
      <c r="BW60" s="114">
        <v>0</v>
      </c>
      <c r="BX60" s="114">
        <v>0</v>
      </c>
      <c r="BY60" s="114">
        <v>0.8</v>
      </c>
      <c r="BZ60" s="114">
        <v>0</v>
      </c>
      <c r="CA60" s="114">
        <v>0</v>
      </c>
      <c r="CB60" s="114">
        <v>0</v>
      </c>
      <c r="CC60" s="114">
        <v>0</v>
      </c>
      <c r="CD60" s="114">
        <v>0</v>
      </c>
      <c r="CE60" s="114">
        <v>0</v>
      </c>
      <c r="CF60" s="114">
        <v>0</v>
      </c>
      <c r="CG60" s="114">
        <v>0</v>
      </c>
      <c r="CH60" s="114">
        <v>0</v>
      </c>
      <c r="CI60" s="114">
        <v>0</v>
      </c>
      <c r="CJ60" s="114">
        <v>0.8</v>
      </c>
      <c r="CK60" s="114">
        <v>0</v>
      </c>
      <c r="CL60" s="114">
        <v>0.8</v>
      </c>
      <c r="CM60" s="114">
        <v>0</v>
      </c>
      <c r="CN60" s="114">
        <v>0</v>
      </c>
      <c r="CO60" s="114">
        <v>0</v>
      </c>
      <c r="CP60" s="114">
        <v>0</v>
      </c>
      <c r="CQ60" s="114">
        <v>0</v>
      </c>
      <c r="CR60" s="114">
        <v>0</v>
      </c>
      <c r="CS60" s="114">
        <v>0</v>
      </c>
      <c r="CT60" s="114">
        <v>0</v>
      </c>
      <c r="CU60" s="114">
        <v>0</v>
      </c>
      <c r="CV60" s="114">
        <v>0</v>
      </c>
    </row>
    <row r="61" spans="1:100" x14ac:dyDescent="0.15">
      <c r="A61" s="191" t="s">
        <v>251</v>
      </c>
      <c r="B61" s="114">
        <v>0</v>
      </c>
      <c r="C61" s="114">
        <v>0</v>
      </c>
      <c r="D61" s="114">
        <v>0</v>
      </c>
      <c r="E61" s="114">
        <v>0</v>
      </c>
      <c r="F61" s="114">
        <v>0</v>
      </c>
      <c r="G61" s="114">
        <v>0</v>
      </c>
      <c r="H61" s="114">
        <v>0</v>
      </c>
      <c r="I61" s="114">
        <v>0</v>
      </c>
      <c r="J61" s="114">
        <v>0</v>
      </c>
      <c r="K61" s="114">
        <v>0.8</v>
      </c>
      <c r="L61" s="114">
        <v>0.8</v>
      </c>
      <c r="M61" s="114">
        <v>0.8</v>
      </c>
      <c r="N61" s="114">
        <v>0.8</v>
      </c>
      <c r="O61" s="114">
        <v>0.8</v>
      </c>
      <c r="P61" s="114">
        <v>0.8</v>
      </c>
      <c r="Q61" s="114">
        <v>0.8</v>
      </c>
      <c r="R61" s="114">
        <v>0.8</v>
      </c>
      <c r="S61" s="114">
        <v>0.8</v>
      </c>
      <c r="T61" s="114">
        <v>0</v>
      </c>
      <c r="U61" s="114">
        <v>0</v>
      </c>
      <c r="V61" s="114">
        <v>0.8</v>
      </c>
      <c r="W61" s="114">
        <v>0</v>
      </c>
      <c r="X61" s="114">
        <v>0.8</v>
      </c>
      <c r="Y61" s="114">
        <v>0.8</v>
      </c>
      <c r="Z61" s="114">
        <v>0.8</v>
      </c>
      <c r="AA61" s="114">
        <v>0.8</v>
      </c>
      <c r="AB61" s="114">
        <v>0</v>
      </c>
      <c r="AC61" s="114">
        <v>0</v>
      </c>
      <c r="AD61" s="114">
        <v>0</v>
      </c>
      <c r="AE61" s="114">
        <v>0</v>
      </c>
      <c r="AF61" s="114">
        <v>0.8</v>
      </c>
      <c r="AG61" s="114">
        <v>0</v>
      </c>
      <c r="AH61" s="114">
        <v>0</v>
      </c>
      <c r="AI61" s="114">
        <v>0</v>
      </c>
      <c r="AJ61" s="114">
        <v>0</v>
      </c>
      <c r="AK61" s="114">
        <v>0.8</v>
      </c>
      <c r="AL61" s="114">
        <v>0.8</v>
      </c>
      <c r="AM61" s="114">
        <v>0</v>
      </c>
      <c r="AN61" s="114">
        <v>0</v>
      </c>
      <c r="AO61" s="114">
        <v>0</v>
      </c>
      <c r="AP61" s="114">
        <v>0</v>
      </c>
      <c r="AQ61" s="114">
        <v>0.8</v>
      </c>
      <c r="AR61" s="114">
        <v>0.8</v>
      </c>
      <c r="AS61" s="114">
        <v>0.8</v>
      </c>
      <c r="AT61" s="114">
        <v>0</v>
      </c>
      <c r="AU61" s="114">
        <v>0</v>
      </c>
      <c r="AV61" s="114">
        <v>0</v>
      </c>
      <c r="AW61" s="114">
        <v>0.8</v>
      </c>
      <c r="AX61" s="114">
        <v>0</v>
      </c>
      <c r="AY61" s="114">
        <v>0</v>
      </c>
      <c r="AZ61" s="114">
        <v>0</v>
      </c>
      <c r="BA61" s="114">
        <v>0.8</v>
      </c>
      <c r="BB61" s="114">
        <v>0</v>
      </c>
      <c r="BC61" s="114">
        <v>0</v>
      </c>
      <c r="BD61" s="114">
        <v>0</v>
      </c>
      <c r="BE61" s="114">
        <v>0</v>
      </c>
      <c r="BF61" s="114">
        <v>0</v>
      </c>
      <c r="BG61" s="114">
        <v>0.8</v>
      </c>
      <c r="BH61" s="114">
        <v>0</v>
      </c>
      <c r="BI61" s="114">
        <v>0</v>
      </c>
      <c r="BJ61" s="114">
        <v>0</v>
      </c>
      <c r="BK61" s="114">
        <v>0</v>
      </c>
      <c r="BL61" s="114">
        <v>0</v>
      </c>
      <c r="BM61" s="114">
        <v>0</v>
      </c>
      <c r="BN61" s="114">
        <v>0</v>
      </c>
      <c r="BO61" s="114">
        <v>0</v>
      </c>
      <c r="BP61" s="114">
        <v>0</v>
      </c>
      <c r="BQ61" s="114">
        <v>0</v>
      </c>
      <c r="BR61" s="114">
        <v>0</v>
      </c>
      <c r="BS61" s="114">
        <v>0</v>
      </c>
      <c r="BT61" s="114">
        <v>0</v>
      </c>
      <c r="BU61" s="114">
        <v>0</v>
      </c>
      <c r="BV61" s="114">
        <v>0</v>
      </c>
      <c r="BW61" s="114">
        <v>0</v>
      </c>
      <c r="BX61" s="114">
        <v>0</v>
      </c>
      <c r="BY61" s="114">
        <v>0</v>
      </c>
      <c r="BZ61" s="114">
        <v>0</v>
      </c>
      <c r="CA61" s="114">
        <v>0</v>
      </c>
      <c r="CB61" s="114">
        <v>0</v>
      </c>
      <c r="CC61" s="114">
        <v>0</v>
      </c>
      <c r="CD61" s="114">
        <v>0</v>
      </c>
      <c r="CE61" s="114">
        <v>0</v>
      </c>
      <c r="CF61" s="114">
        <v>0</v>
      </c>
      <c r="CG61" s="114">
        <v>0</v>
      </c>
      <c r="CH61" s="114">
        <v>0</v>
      </c>
      <c r="CI61" s="114">
        <v>0</v>
      </c>
      <c r="CJ61" s="114">
        <v>0.8</v>
      </c>
      <c r="CK61" s="114">
        <v>0.8</v>
      </c>
      <c r="CL61" s="114">
        <v>0</v>
      </c>
      <c r="CM61" s="114">
        <v>0</v>
      </c>
      <c r="CN61" s="114">
        <v>0</v>
      </c>
      <c r="CO61" s="114">
        <v>0</v>
      </c>
      <c r="CP61" s="114">
        <v>0</v>
      </c>
      <c r="CQ61" s="114">
        <v>0</v>
      </c>
      <c r="CR61" s="114">
        <v>0</v>
      </c>
      <c r="CS61" s="114">
        <v>0</v>
      </c>
      <c r="CT61" s="114">
        <v>0</v>
      </c>
      <c r="CU61" s="114">
        <v>0</v>
      </c>
      <c r="CV61" s="114">
        <v>0</v>
      </c>
    </row>
    <row r="62" spans="1:100" x14ac:dyDescent="0.15">
      <c r="A62" s="191" t="s">
        <v>252</v>
      </c>
      <c r="B62" s="114">
        <v>0</v>
      </c>
      <c r="C62" s="114">
        <v>0</v>
      </c>
      <c r="D62" s="114">
        <v>0</v>
      </c>
      <c r="E62" s="114">
        <v>0</v>
      </c>
      <c r="F62" s="114">
        <v>0</v>
      </c>
      <c r="G62" s="114">
        <v>0</v>
      </c>
      <c r="H62" s="114">
        <v>0</v>
      </c>
      <c r="I62" s="114">
        <v>0</v>
      </c>
      <c r="J62" s="114">
        <v>0</v>
      </c>
      <c r="K62" s="114">
        <v>0</v>
      </c>
      <c r="L62" s="114">
        <v>0</v>
      </c>
      <c r="M62" s="114">
        <v>0</v>
      </c>
      <c r="N62" s="114">
        <v>0.8</v>
      </c>
      <c r="O62" s="114">
        <v>0.8</v>
      </c>
      <c r="P62" s="114">
        <v>0</v>
      </c>
      <c r="Q62" s="114">
        <v>0.8</v>
      </c>
      <c r="R62" s="114">
        <v>0.8</v>
      </c>
      <c r="S62" s="114">
        <v>0</v>
      </c>
      <c r="T62" s="114">
        <v>0</v>
      </c>
      <c r="U62" s="114">
        <v>0</v>
      </c>
      <c r="V62" s="114">
        <v>0</v>
      </c>
      <c r="W62" s="114">
        <v>0</v>
      </c>
      <c r="X62" s="114">
        <v>0</v>
      </c>
      <c r="Y62" s="114">
        <v>0.8</v>
      </c>
      <c r="Z62" s="114">
        <v>0</v>
      </c>
      <c r="AA62" s="114">
        <v>0.8</v>
      </c>
      <c r="AB62" s="114">
        <v>0</v>
      </c>
      <c r="AC62" s="114">
        <v>0</v>
      </c>
      <c r="AD62" s="114">
        <v>0</v>
      </c>
      <c r="AE62" s="114">
        <v>0</v>
      </c>
      <c r="AF62" s="114">
        <v>0</v>
      </c>
      <c r="AG62" s="114">
        <v>0</v>
      </c>
      <c r="AH62" s="114">
        <v>0.8</v>
      </c>
      <c r="AI62" s="114">
        <v>0.8</v>
      </c>
      <c r="AJ62" s="114">
        <v>0</v>
      </c>
      <c r="AK62" s="114">
        <v>0</v>
      </c>
      <c r="AL62" s="114">
        <v>0</v>
      </c>
      <c r="AM62" s="114">
        <v>0</v>
      </c>
      <c r="AN62" s="114">
        <v>0</v>
      </c>
      <c r="AO62" s="114">
        <v>0</v>
      </c>
      <c r="AP62" s="114">
        <v>0</v>
      </c>
      <c r="AQ62" s="114">
        <v>0.8</v>
      </c>
      <c r="AR62" s="114">
        <v>0.8</v>
      </c>
      <c r="AS62" s="114">
        <v>0.8</v>
      </c>
      <c r="AT62" s="114">
        <v>0.8</v>
      </c>
      <c r="AU62" s="114">
        <v>0.8</v>
      </c>
      <c r="AV62" s="114">
        <v>0.8</v>
      </c>
      <c r="AW62" s="114">
        <v>0</v>
      </c>
      <c r="AX62" s="114">
        <v>0</v>
      </c>
      <c r="AY62" s="114">
        <v>0.8</v>
      </c>
      <c r="AZ62" s="114">
        <v>0.8</v>
      </c>
      <c r="BA62" s="114">
        <v>0.8</v>
      </c>
      <c r="BB62" s="114">
        <v>0.8</v>
      </c>
      <c r="BC62" s="114">
        <v>0.8</v>
      </c>
      <c r="BD62" s="114">
        <v>0.8</v>
      </c>
      <c r="BE62" s="114">
        <v>0</v>
      </c>
      <c r="BF62" s="114">
        <v>0</v>
      </c>
      <c r="BG62" s="114">
        <v>0.8</v>
      </c>
      <c r="BH62" s="114">
        <v>0.8</v>
      </c>
      <c r="BI62" s="114">
        <v>0</v>
      </c>
      <c r="BJ62" s="114">
        <v>0</v>
      </c>
      <c r="BK62" s="114">
        <v>0</v>
      </c>
      <c r="BL62" s="114">
        <v>0</v>
      </c>
      <c r="BM62" s="114">
        <v>0</v>
      </c>
      <c r="BN62" s="114">
        <v>0.8</v>
      </c>
      <c r="BO62" s="114">
        <v>0</v>
      </c>
      <c r="BP62" s="114">
        <v>0</v>
      </c>
      <c r="BQ62" s="114">
        <v>0</v>
      </c>
      <c r="BR62" s="114">
        <v>0</v>
      </c>
      <c r="BS62" s="114">
        <v>0</v>
      </c>
      <c r="BT62" s="114">
        <v>0</v>
      </c>
      <c r="BU62" s="114">
        <v>0</v>
      </c>
      <c r="BV62" s="114">
        <v>0</v>
      </c>
      <c r="BW62" s="114">
        <v>0</v>
      </c>
      <c r="BX62" s="114">
        <v>0</v>
      </c>
      <c r="BY62" s="114">
        <v>0.8</v>
      </c>
      <c r="BZ62" s="114">
        <v>0</v>
      </c>
      <c r="CA62" s="114">
        <v>0</v>
      </c>
      <c r="CB62" s="114">
        <v>0</v>
      </c>
      <c r="CC62" s="114">
        <v>0</v>
      </c>
      <c r="CD62" s="114">
        <v>0</v>
      </c>
      <c r="CE62" s="114">
        <v>0</v>
      </c>
      <c r="CF62" s="114">
        <v>0</v>
      </c>
      <c r="CG62" s="114">
        <v>0</v>
      </c>
      <c r="CH62" s="114">
        <v>0</v>
      </c>
      <c r="CI62" s="114">
        <v>0</v>
      </c>
      <c r="CJ62" s="114">
        <v>0.8</v>
      </c>
      <c r="CK62" s="114">
        <v>0.8</v>
      </c>
      <c r="CL62" s="114">
        <v>0.8</v>
      </c>
      <c r="CM62" s="114">
        <v>0</v>
      </c>
      <c r="CN62" s="114">
        <v>0</v>
      </c>
      <c r="CO62" s="114">
        <v>0</v>
      </c>
      <c r="CP62" s="114">
        <v>0</v>
      </c>
      <c r="CQ62" s="114">
        <v>0</v>
      </c>
      <c r="CR62" s="114">
        <v>0</v>
      </c>
      <c r="CS62" s="114">
        <v>0</v>
      </c>
      <c r="CT62" s="114">
        <v>0</v>
      </c>
      <c r="CU62" s="114">
        <v>0</v>
      </c>
      <c r="CV62" s="114">
        <v>0</v>
      </c>
    </row>
    <row r="63" spans="1:100" x14ac:dyDescent="0.15">
      <c r="A63" s="191" t="s">
        <v>253</v>
      </c>
      <c r="B63" s="114">
        <v>0</v>
      </c>
      <c r="C63" s="114">
        <v>0</v>
      </c>
      <c r="D63" s="114">
        <v>0</v>
      </c>
      <c r="E63" s="114">
        <v>0</v>
      </c>
      <c r="F63" s="114">
        <v>0</v>
      </c>
      <c r="G63" s="114">
        <v>0</v>
      </c>
      <c r="H63" s="114">
        <v>0</v>
      </c>
      <c r="I63" s="114">
        <v>0</v>
      </c>
      <c r="J63" s="114">
        <v>0</v>
      </c>
      <c r="K63" s="114">
        <v>0.8</v>
      </c>
      <c r="L63" s="114">
        <v>0.8</v>
      </c>
      <c r="M63" s="114">
        <v>0</v>
      </c>
      <c r="N63" s="114">
        <v>0.8</v>
      </c>
      <c r="O63" s="114">
        <v>0.8</v>
      </c>
      <c r="P63" s="114">
        <v>0.8</v>
      </c>
      <c r="Q63" s="114">
        <v>0.8</v>
      </c>
      <c r="R63" s="114">
        <v>0.8</v>
      </c>
      <c r="S63" s="114">
        <v>0.8</v>
      </c>
      <c r="T63" s="114">
        <v>0</v>
      </c>
      <c r="U63" s="114">
        <v>0</v>
      </c>
      <c r="V63" s="114">
        <v>0.8</v>
      </c>
      <c r="W63" s="114">
        <v>0</v>
      </c>
      <c r="X63" s="114">
        <v>0.8</v>
      </c>
      <c r="Y63" s="114">
        <v>0.8</v>
      </c>
      <c r="Z63" s="114">
        <v>0.8</v>
      </c>
      <c r="AA63" s="114">
        <v>0.8</v>
      </c>
      <c r="AB63" s="114">
        <v>0</v>
      </c>
      <c r="AC63" s="114">
        <v>0</v>
      </c>
      <c r="AD63" s="114">
        <v>0</v>
      </c>
      <c r="AE63" s="114">
        <v>0</v>
      </c>
      <c r="AF63" s="114">
        <v>0.8</v>
      </c>
      <c r="AG63" s="114">
        <v>0</v>
      </c>
      <c r="AH63" s="114">
        <v>0</v>
      </c>
      <c r="AI63" s="114">
        <v>0</v>
      </c>
      <c r="AJ63" s="114">
        <v>0</v>
      </c>
      <c r="AK63" s="114">
        <v>0.8</v>
      </c>
      <c r="AL63" s="114">
        <v>0.8</v>
      </c>
      <c r="AM63" s="114">
        <v>0</v>
      </c>
      <c r="AN63" s="114">
        <v>0</v>
      </c>
      <c r="AO63" s="114">
        <v>0</v>
      </c>
      <c r="AP63" s="114">
        <v>0</v>
      </c>
      <c r="AQ63" s="114">
        <v>0.8</v>
      </c>
      <c r="AR63" s="114">
        <v>0.8</v>
      </c>
      <c r="AS63" s="114">
        <v>0.8</v>
      </c>
      <c r="AT63" s="114">
        <v>0</v>
      </c>
      <c r="AU63" s="114">
        <v>0</v>
      </c>
      <c r="AV63" s="114">
        <v>0</v>
      </c>
      <c r="AW63" s="114">
        <v>0</v>
      </c>
      <c r="AX63" s="114">
        <v>0</v>
      </c>
      <c r="AY63" s="114">
        <v>0</v>
      </c>
      <c r="AZ63" s="114">
        <v>0</v>
      </c>
      <c r="BA63" s="114">
        <v>0.8</v>
      </c>
      <c r="BB63" s="114">
        <v>0</v>
      </c>
      <c r="BC63" s="114">
        <v>0</v>
      </c>
      <c r="BD63" s="114">
        <v>0</v>
      </c>
      <c r="BE63" s="114">
        <v>0</v>
      </c>
      <c r="BF63" s="114">
        <v>0</v>
      </c>
      <c r="BG63" s="114">
        <v>0.8</v>
      </c>
      <c r="BH63" s="114">
        <v>0</v>
      </c>
      <c r="BI63" s="114">
        <v>0</v>
      </c>
      <c r="BJ63" s="114">
        <v>0</v>
      </c>
      <c r="BK63" s="114">
        <v>0</v>
      </c>
      <c r="BL63" s="114">
        <v>0</v>
      </c>
      <c r="BM63" s="114">
        <v>0</v>
      </c>
      <c r="BN63" s="114">
        <v>0</v>
      </c>
      <c r="BO63" s="114">
        <v>0</v>
      </c>
      <c r="BP63" s="114">
        <v>0</v>
      </c>
      <c r="BQ63" s="114">
        <v>0</v>
      </c>
      <c r="BR63" s="114">
        <v>0</v>
      </c>
      <c r="BS63" s="114">
        <v>0</v>
      </c>
      <c r="BT63" s="114">
        <v>0</v>
      </c>
      <c r="BU63" s="114">
        <v>0</v>
      </c>
      <c r="BV63" s="114">
        <v>0</v>
      </c>
      <c r="BW63" s="114">
        <v>0</v>
      </c>
      <c r="BX63" s="114">
        <v>0</v>
      </c>
      <c r="BY63" s="114">
        <v>0</v>
      </c>
      <c r="BZ63" s="114">
        <v>0</v>
      </c>
      <c r="CA63" s="114">
        <v>0</v>
      </c>
      <c r="CB63" s="114">
        <v>0</v>
      </c>
      <c r="CC63" s="114">
        <v>0</v>
      </c>
      <c r="CD63" s="114">
        <v>0</v>
      </c>
      <c r="CE63" s="114">
        <v>0</v>
      </c>
      <c r="CF63" s="114">
        <v>0</v>
      </c>
      <c r="CG63" s="114">
        <v>0</v>
      </c>
      <c r="CH63" s="114">
        <v>0</v>
      </c>
      <c r="CI63" s="114">
        <v>0</v>
      </c>
      <c r="CJ63" s="114">
        <v>0.8</v>
      </c>
      <c r="CK63" s="114">
        <v>0.8</v>
      </c>
      <c r="CL63" s="114">
        <v>0</v>
      </c>
      <c r="CM63" s="114">
        <v>0</v>
      </c>
      <c r="CN63" s="114">
        <v>0</v>
      </c>
      <c r="CO63" s="114">
        <v>0</v>
      </c>
      <c r="CP63" s="114">
        <v>0</v>
      </c>
      <c r="CQ63" s="114">
        <v>0</v>
      </c>
      <c r="CR63" s="114">
        <v>0</v>
      </c>
      <c r="CS63" s="114">
        <v>0</v>
      </c>
      <c r="CT63" s="114">
        <v>0</v>
      </c>
      <c r="CU63" s="114">
        <v>0</v>
      </c>
      <c r="CV63" s="114">
        <v>0</v>
      </c>
    </row>
    <row r="64" spans="1:100" x14ac:dyDescent="0.15">
      <c r="A64" s="191" t="s">
        <v>254</v>
      </c>
      <c r="B64" s="114">
        <v>0</v>
      </c>
      <c r="C64" s="114">
        <v>0</v>
      </c>
      <c r="D64" s="114">
        <v>0</v>
      </c>
      <c r="E64" s="114">
        <v>0</v>
      </c>
      <c r="F64" s="114">
        <v>0</v>
      </c>
      <c r="G64" s="114">
        <v>0</v>
      </c>
      <c r="H64" s="114">
        <v>0</v>
      </c>
      <c r="I64" s="114">
        <v>0</v>
      </c>
      <c r="J64" s="114">
        <v>0</v>
      </c>
      <c r="K64" s="114">
        <v>0</v>
      </c>
      <c r="L64" s="114">
        <v>0</v>
      </c>
      <c r="M64" s="114">
        <v>0</v>
      </c>
      <c r="N64" s="114">
        <v>0.8</v>
      </c>
      <c r="O64" s="114">
        <v>0.8</v>
      </c>
      <c r="P64" s="114">
        <v>0</v>
      </c>
      <c r="Q64" s="114">
        <v>0.8</v>
      </c>
      <c r="R64" s="114">
        <v>0.8</v>
      </c>
      <c r="S64" s="114">
        <v>0</v>
      </c>
      <c r="T64" s="114">
        <v>0</v>
      </c>
      <c r="U64" s="114">
        <v>0</v>
      </c>
      <c r="V64" s="114">
        <v>0</v>
      </c>
      <c r="W64" s="114">
        <v>0</v>
      </c>
      <c r="X64" s="114">
        <v>0</v>
      </c>
      <c r="Y64" s="114">
        <v>0.8</v>
      </c>
      <c r="Z64" s="114">
        <v>0</v>
      </c>
      <c r="AA64" s="114">
        <v>0</v>
      </c>
      <c r="AB64" s="114">
        <v>0</v>
      </c>
      <c r="AC64" s="114">
        <v>0</v>
      </c>
      <c r="AD64" s="114">
        <v>0</v>
      </c>
      <c r="AE64" s="114">
        <v>0</v>
      </c>
      <c r="AF64" s="114">
        <v>0</v>
      </c>
      <c r="AG64" s="114">
        <v>0</v>
      </c>
      <c r="AH64" s="114">
        <v>0.8</v>
      </c>
      <c r="AI64" s="114">
        <v>0.8</v>
      </c>
      <c r="AJ64" s="114">
        <v>0</v>
      </c>
      <c r="AK64" s="114">
        <v>0</v>
      </c>
      <c r="AL64" s="114">
        <v>0</v>
      </c>
      <c r="AM64" s="114">
        <v>0</v>
      </c>
      <c r="AN64" s="114">
        <v>0</v>
      </c>
      <c r="AO64" s="114">
        <v>0</v>
      </c>
      <c r="AP64" s="114">
        <v>0</v>
      </c>
      <c r="AQ64" s="114">
        <v>0.8</v>
      </c>
      <c r="AR64" s="114">
        <v>0.8</v>
      </c>
      <c r="AS64" s="114">
        <v>0.8</v>
      </c>
      <c r="AT64" s="114">
        <v>0</v>
      </c>
      <c r="AU64" s="114">
        <v>0.8</v>
      </c>
      <c r="AV64" s="114">
        <v>0.8</v>
      </c>
      <c r="AW64" s="114">
        <v>0</v>
      </c>
      <c r="AX64" s="114">
        <v>0</v>
      </c>
      <c r="AY64" s="114">
        <v>0.8</v>
      </c>
      <c r="AZ64" s="114">
        <v>0.8</v>
      </c>
      <c r="BA64" s="114">
        <v>0.8</v>
      </c>
      <c r="BB64" s="114">
        <v>0.8</v>
      </c>
      <c r="BC64" s="114">
        <v>0.8</v>
      </c>
      <c r="BD64" s="114">
        <v>0.8</v>
      </c>
      <c r="BE64" s="114">
        <v>0</v>
      </c>
      <c r="BF64" s="114">
        <v>0</v>
      </c>
      <c r="BG64" s="114">
        <v>0</v>
      </c>
      <c r="BH64" s="114">
        <v>0</v>
      </c>
      <c r="BI64" s="114">
        <v>0</v>
      </c>
      <c r="BJ64" s="114">
        <v>0</v>
      </c>
      <c r="BK64" s="114">
        <v>0</v>
      </c>
      <c r="BL64" s="114">
        <v>0</v>
      </c>
      <c r="BM64" s="114">
        <v>0</v>
      </c>
      <c r="BN64" s="114">
        <v>0.8</v>
      </c>
      <c r="BO64" s="114">
        <v>0</v>
      </c>
      <c r="BP64" s="114">
        <v>0</v>
      </c>
      <c r="BQ64" s="114">
        <v>0</v>
      </c>
      <c r="BR64" s="114">
        <v>0</v>
      </c>
      <c r="BS64" s="114">
        <v>0</v>
      </c>
      <c r="BT64" s="114">
        <v>0</v>
      </c>
      <c r="BU64" s="114">
        <v>0</v>
      </c>
      <c r="BV64" s="114">
        <v>0</v>
      </c>
      <c r="BW64" s="114">
        <v>0</v>
      </c>
      <c r="BX64" s="114">
        <v>0</v>
      </c>
      <c r="BY64" s="114">
        <v>0</v>
      </c>
      <c r="BZ64" s="114">
        <v>0</v>
      </c>
      <c r="CA64" s="114">
        <v>0</v>
      </c>
      <c r="CB64" s="114">
        <v>0</v>
      </c>
      <c r="CC64" s="114">
        <v>0</v>
      </c>
      <c r="CD64" s="114">
        <v>0</v>
      </c>
      <c r="CE64" s="114">
        <v>0</v>
      </c>
      <c r="CF64" s="114">
        <v>0</v>
      </c>
      <c r="CG64" s="114">
        <v>0</v>
      </c>
      <c r="CH64" s="114">
        <v>0</v>
      </c>
      <c r="CI64" s="114">
        <v>0</v>
      </c>
      <c r="CJ64" s="114">
        <v>0.8</v>
      </c>
      <c r="CK64" s="114">
        <v>0.8</v>
      </c>
      <c r="CL64" s="114">
        <v>0.8</v>
      </c>
      <c r="CM64" s="114">
        <v>0</v>
      </c>
      <c r="CN64" s="114">
        <v>0</v>
      </c>
      <c r="CO64" s="114">
        <v>0</v>
      </c>
      <c r="CP64" s="114">
        <v>0</v>
      </c>
      <c r="CQ64" s="114">
        <v>0</v>
      </c>
      <c r="CR64" s="114">
        <v>0</v>
      </c>
      <c r="CS64" s="114">
        <v>0</v>
      </c>
      <c r="CT64" s="114">
        <v>0</v>
      </c>
      <c r="CU64" s="114">
        <v>0</v>
      </c>
      <c r="CV64" s="114">
        <v>0</v>
      </c>
    </row>
    <row r="65" spans="1:100" x14ac:dyDescent="0.15">
      <c r="A65" s="191" t="s">
        <v>255</v>
      </c>
      <c r="B65" s="114">
        <v>0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0.8</v>
      </c>
      <c r="L65" s="114">
        <v>0.8</v>
      </c>
      <c r="M65" s="114">
        <v>0.8</v>
      </c>
      <c r="N65" s="114">
        <v>0.8</v>
      </c>
      <c r="O65" s="114">
        <v>0.8</v>
      </c>
      <c r="P65" s="114">
        <v>0.8</v>
      </c>
      <c r="Q65" s="114">
        <v>0.8</v>
      </c>
      <c r="R65" s="114">
        <v>0.8</v>
      </c>
      <c r="S65" s="114">
        <v>0.8</v>
      </c>
      <c r="T65" s="114">
        <v>0</v>
      </c>
      <c r="U65" s="114">
        <v>0</v>
      </c>
      <c r="V65" s="114">
        <v>0.8</v>
      </c>
      <c r="W65" s="114">
        <v>0</v>
      </c>
      <c r="X65" s="114">
        <v>0.8</v>
      </c>
      <c r="Y65" s="114">
        <v>0.8</v>
      </c>
      <c r="Z65" s="114">
        <v>0.8</v>
      </c>
      <c r="AA65" s="114">
        <v>0.8</v>
      </c>
      <c r="AB65" s="114">
        <v>0</v>
      </c>
      <c r="AC65" s="114">
        <v>0</v>
      </c>
      <c r="AD65" s="114">
        <v>0</v>
      </c>
      <c r="AE65" s="114">
        <v>0</v>
      </c>
      <c r="AF65" s="114">
        <v>0.8</v>
      </c>
      <c r="AG65" s="114">
        <v>0</v>
      </c>
      <c r="AH65" s="114">
        <v>0</v>
      </c>
      <c r="AI65" s="114">
        <v>0</v>
      </c>
      <c r="AJ65" s="114">
        <v>0.8</v>
      </c>
      <c r="AK65" s="114">
        <v>0.8</v>
      </c>
      <c r="AL65" s="114">
        <v>0.8</v>
      </c>
      <c r="AM65" s="114">
        <v>0</v>
      </c>
      <c r="AN65" s="114">
        <v>0</v>
      </c>
      <c r="AO65" s="114">
        <v>0</v>
      </c>
      <c r="AP65" s="114">
        <v>0</v>
      </c>
      <c r="AQ65" s="114">
        <v>0.8</v>
      </c>
      <c r="AR65" s="114">
        <v>0.8</v>
      </c>
      <c r="AS65" s="114">
        <v>0.8</v>
      </c>
      <c r="AT65" s="114">
        <v>0</v>
      </c>
      <c r="AU65" s="114">
        <v>0</v>
      </c>
      <c r="AV65" s="114">
        <v>0</v>
      </c>
      <c r="AW65" s="114">
        <v>0.8</v>
      </c>
      <c r="AX65" s="114">
        <v>0.8</v>
      </c>
      <c r="AY65" s="114">
        <v>0</v>
      </c>
      <c r="AZ65" s="114">
        <v>0</v>
      </c>
      <c r="BA65" s="114">
        <v>0.8</v>
      </c>
      <c r="BB65" s="114">
        <v>0</v>
      </c>
      <c r="BC65" s="114">
        <v>0</v>
      </c>
      <c r="BD65" s="114">
        <v>0</v>
      </c>
      <c r="BE65" s="114">
        <v>0</v>
      </c>
      <c r="BF65" s="114">
        <v>0</v>
      </c>
      <c r="BG65" s="114">
        <v>0.8</v>
      </c>
      <c r="BH65" s="114">
        <v>0</v>
      </c>
      <c r="BI65" s="114">
        <v>0</v>
      </c>
      <c r="BJ65" s="114">
        <v>0</v>
      </c>
      <c r="BK65" s="114">
        <v>0</v>
      </c>
      <c r="BL65" s="114">
        <v>0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>
        <v>0</v>
      </c>
      <c r="BZ65" s="114">
        <v>0</v>
      </c>
      <c r="CA65" s="114">
        <v>0</v>
      </c>
      <c r="CB65" s="114">
        <v>0</v>
      </c>
      <c r="CC65" s="114">
        <v>0</v>
      </c>
      <c r="CD65" s="114">
        <v>0</v>
      </c>
      <c r="CE65" s="114">
        <v>0</v>
      </c>
      <c r="CF65" s="114">
        <v>0</v>
      </c>
      <c r="CG65" s="114">
        <v>0</v>
      </c>
      <c r="CH65" s="114">
        <v>0</v>
      </c>
      <c r="CI65" s="114">
        <v>0</v>
      </c>
      <c r="CJ65" s="114">
        <v>0</v>
      </c>
      <c r="CK65" s="114">
        <v>0</v>
      </c>
      <c r="CL65" s="114">
        <v>0</v>
      </c>
      <c r="CM65" s="114">
        <v>0</v>
      </c>
      <c r="CN65" s="114">
        <v>0</v>
      </c>
      <c r="CO65" s="114">
        <v>0</v>
      </c>
      <c r="CP65" s="114">
        <v>0</v>
      </c>
      <c r="CQ65" s="114">
        <v>0</v>
      </c>
      <c r="CR65" s="114">
        <v>0</v>
      </c>
      <c r="CS65" s="114">
        <v>0</v>
      </c>
      <c r="CT65" s="114">
        <v>0</v>
      </c>
      <c r="CU65" s="114">
        <v>0</v>
      </c>
      <c r="CV65" s="114">
        <v>0</v>
      </c>
    </row>
    <row r="66" spans="1:100" x14ac:dyDescent="0.15">
      <c r="A66" s="191" t="s">
        <v>256</v>
      </c>
      <c r="B66" s="114">
        <v>0</v>
      </c>
      <c r="C66" s="114">
        <v>0</v>
      </c>
      <c r="D66" s="114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0.8</v>
      </c>
      <c r="O66" s="114">
        <v>0.8</v>
      </c>
      <c r="P66" s="114">
        <v>0</v>
      </c>
      <c r="Q66" s="114">
        <v>0.8</v>
      </c>
      <c r="R66" s="114">
        <v>0.8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0</v>
      </c>
      <c r="Z66" s="114">
        <v>0</v>
      </c>
      <c r="AA66" s="114">
        <v>0.8</v>
      </c>
      <c r="AB66" s="114">
        <v>0</v>
      </c>
      <c r="AC66" s="114">
        <v>0</v>
      </c>
      <c r="AD66" s="114">
        <v>0</v>
      </c>
      <c r="AE66" s="114">
        <v>0</v>
      </c>
      <c r="AF66" s="114">
        <v>0</v>
      </c>
      <c r="AG66" s="114">
        <v>0</v>
      </c>
      <c r="AH66" s="114">
        <v>0.8</v>
      </c>
      <c r="AI66" s="114">
        <v>0.8</v>
      </c>
      <c r="AJ66" s="114">
        <v>0</v>
      </c>
      <c r="AK66" s="114">
        <v>0</v>
      </c>
      <c r="AL66" s="114">
        <v>0.8</v>
      </c>
      <c r="AM66" s="114">
        <v>0</v>
      </c>
      <c r="AN66" s="114">
        <v>0</v>
      </c>
      <c r="AO66" s="114">
        <v>0</v>
      </c>
      <c r="AP66" s="114">
        <v>0</v>
      </c>
      <c r="AQ66" s="114">
        <v>0.8</v>
      </c>
      <c r="AR66" s="114">
        <v>0.8</v>
      </c>
      <c r="AS66" s="114">
        <v>0.8</v>
      </c>
      <c r="AT66" s="114">
        <v>0.8</v>
      </c>
      <c r="AU66" s="114">
        <v>0.8</v>
      </c>
      <c r="AV66" s="114">
        <v>0.8</v>
      </c>
      <c r="AW66" s="114">
        <v>0</v>
      </c>
      <c r="AX66" s="114">
        <v>0</v>
      </c>
      <c r="AY66" s="114">
        <v>0.8</v>
      </c>
      <c r="AZ66" s="114">
        <v>0.8</v>
      </c>
      <c r="BA66" s="114">
        <v>0.8</v>
      </c>
      <c r="BB66" s="114">
        <v>0.8</v>
      </c>
      <c r="BC66" s="114">
        <v>0.8</v>
      </c>
      <c r="BD66" s="114">
        <v>0.8</v>
      </c>
      <c r="BE66" s="114">
        <v>0</v>
      </c>
      <c r="BF66" s="114">
        <v>0</v>
      </c>
      <c r="BG66" s="114">
        <v>0</v>
      </c>
      <c r="BH66" s="114">
        <v>0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0.8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0.8</v>
      </c>
      <c r="BZ66" s="114">
        <v>0</v>
      </c>
      <c r="CA66" s="114">
        <v>0</v>
      </c>
      <c r="CB66" s="114">
        <v>0</v>
      </c>
      <c r="CC66" s="114">
        <v>0</v>
      </c>
      <c r="CD66" s="114">
        <v>0</v>
      </c>
      <c r="CE66" s="114">
        <v>0</v>
      </c>
      <c r="CF66" s="114">
        <v>0</v>
      </c>
      <c r="CG66" s="114">
        <v>0</v>
      </c>
      <c r="CH66" s="114">
        <v>0</v>
      </c>
      <c r="CI66" s="114">
        <v>0</v>
      </c>
      <c r="CJ66" s="114">
        <v>0.8</v>
      </c>
      <c r="CK66" s="114">
        <v>0.8</v>
      </c>
      <c r="CL66" s="114">
        <v>0.8</v>
      </c>
      <c r="CM66" s="114">
        <v>0</v>
      </c>
      <c r="CN66" s="114">
        <v>0</v>
      </c>
      <c r="CO66" s="114">
        <v>0</v>
      </c>
      <c r="CP66" s="114">
        <v>0</v>
      </c>
      <c r="CQ66" s="114">
        <v>0</v>
      </c>
      <c r="CR66" s="114">
        <v>0</v>
      </c>
      <c r="CS66" s="114">
        <v>0</v>
      </c>
      <c r="CT66" s="114">
        <v>0</v>
      </c>
      <c r="CU66" s="114">
        <v>0</v>
      </c>
      <c r="CV66" s="114">
        <v>0</v>
      </c>
    </row>
    <row r="67" spans="1:100" x14ac:dyDescent="0.15">
      <c r="A67" s="191" t="s">
        <v>257</v>
      </c>
      <c r="B67" s="114">
        <v>0</v>
      </c>
      <c r="C67" s="114">
        <v>0</v>
      </c>
      <c r="D67" s="114">
        <v>0</v>
      </c>
      <c r="E67" s="114">
        <v>0</v>
      </c>
      <c r="F67" s="114">
        <v>0</v>
      </c>
      <c r="G67" s="114">
        <v>0</v>
      </c>
      <c r="H67" s="114">
        <v>0</v>
      </c>
      <c r="I67" s="114">
        <v>0</v>
      </c>
      <c r="J67" s="114">
        <v>0</v>
      </c>
      <c r="K67" s="114">
        <v>0.8</v>
      </c>
      <c r="L67" s="114">
        <v>0.8</v>
      </c>
      <c r="M67" s="114">
        <v>0.8</v>
      </c>
      <c r="N67" s="114">
        <v>0.8</v>
      </c>
      <c r="O67" s="114">
        <v>0.8</v>
      </c>
      <c r="P67" s="114">
        <v>0.8</v>
      </c>
      <c r="Q67" s="114">
        <v>0.8</v>
      </c>
      <c r="R67" s="114">
        <v>0.8</v>
      </c>
      <c r="S67" s="114">
        <v>0.8</v>
      </c>
      <c r="T67" s="114">
        <v>0</v>
      </c>
      <c r="U67" s="114">
        <v>0</v>
      </c>
      <c r="V67" s="114">
        <v>0.8</v>
      </c>
      <c r="W67" s="114">
        <v>0</v>
      </c>
      <c r="X67" s="114">
        <v>0.8</v>
      </c>
      <c r="Y67" s="114">
        <v>0.8</v>
      </c>
      <c r="Z67" s="114">
        <v>0.8</v>
      </c>
      <c r="AA67" s="114">
        <v>0.8</v>
      </c>
      <c r="AB67" s="114">
        <v>0</v>
      </c>
      <c r="AC67" s="114">
        <v>0</v>
      </c>
      <c r="AD67" s="114">
        <v>0</v>
      </c>
      <c r="AE67" s="114">
        <v>0</v>
      </c>
      <c r="AF67" s="114">
        <v>0.8</v>
      </c>
      <c r="AG67" s="114">
        <v>0</v>
      </c>
      <c r="AH67" s="114">
        <v>0</v>
      </c>
      <c r="AI67" s="114">
        <v>0</v>
      </c>
      <c r="AJ67" s="114">
        <v>0.8</v>
      </c>
      <c r="AK67" s="114">
        <v>0.8</v>
      </c>
      <c r="AL67" s="114">
        <v>0.8</v>
      </c>
      <c r="AM67" s="114">
        <v>0</v>
      </c>
      <c r="AN67" s="114">
        <v>0</v>
      </c>
      <c r="AO67" s="114">
        <v>0</v>
      </c>
      <c r="AP67" s="114">
        <v>0</v>
      </c>
      <c r="AQ67" s="114">
        <v>0.8</v>
      </c>
      <c r="AR67" s="114">
        <v>0.8</v>
      </c>
      <c r="AS67" s="114">
        <v>0.8</v>
      </c>
      <c r="AT67" s="114">
        <v>0.8</v>
      </c>
      <c r="AU67" s="114">
        <v>0</v>
      </c>
      <c r="AV67" s="114">
        <v>0</v>
      </c>
      <c r="AW67" s="114">
        <v>0.8</v>
      </c>
      <c r="AX67" s="114">
        <v>0.8</v>
      </c>
      <c r="AY67" s="114">
        <v>0.8</v>
      </c>
      <c r="AZ67" s="114">
        <v>0.8</v>
      </c>
      <c r="BA67" s="114">
        <v>0.8</v>
      </c>
      <c r="BB67" s="114">
        <v>0</v>
      </c>
      <c r="BC67" s="114">
        <v>0</v>
      </c>
      <c r="BD67" s="114">
        <v>0</v>
      </c>
      <c r="BE67" s="114">
        <v>0</v>
      </c>
      <c r="BF67" s="114">
        <v>0</v>
      </c>
      <c r="BG67" s="114">
        <v>0.8</v>
      </c>
      <c r="BH67" s="114">
        <v>0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0.8</v>
      </c>
      <c r="BZ67" s="114">
        <v>0</v>
      </c>
      <c r="CA67" s="114">
        <v>0</v>
      </c>
      <c r="CB67" s="114">
        <v>0</v>
      </c>
      <c r="CC67" s="114">
        <v>0</v>
      </c>
      <c r="CD67" s="114">
        <v>0</v>
      </c>
      <c r="CE67" s="114">
        <v>0</v>
      </c>
      <c r="CF67" s="114">
        <v>0</v>
      </c>
      <c r="CG67" s="114">
        <v>0</v>
      </c>
      <c r="CH67" s="114">
        <v>0</v>
      </c>
      <c r="CI67" s="114">
        <v>0</v>
      </c>
      <c r="CJ67" s="114">
        <v>0.8</v>
      </c>
      <c r="CK67" s="114">
        <v>0</v>
      </c>
      <c r="CL67" s="114">
        <v>0</v>
      </c>
      <c r="CM67" s="114">
        <v>0</v>
      </c>
      <c r="CN67" s="114">
        <v>0</v>
      </c>
      <c r="CO67" s="114">
        <v>0</v>
      </c>
      <c r="CP67" s="114">
        <v>0</v>
      </c>
      <c r="CQ67" s="114">
        <v>0</v>
      </c>
      <c r="CR67" s="114">
        <v>0</v>
      </c>
      <c r="CS67" s="114">
        <v>0</v>
      </c>
      <c r="CT67" s="114">
        <v>0</v>
      </c>
      <c r="CU67" s="114">
        <v>0</v>
      </c>
      <c r="CV67" s="114">
        <v>0</v>
      </c>
    </row>
    <row r="68" spans="1:100" x14ac:dyDescent="0.15">
      <c r="A68" s="191" t="s">
        <v>258</v>
      </c>
      <c r="B68" s="114">
        <v>0</v>
      </c>
      <c r="C68" s="114">
        <v>0</v>
      </c>
      <c r="D68" s="114">
        <v>0</v>
      </c>
      <c r="E68" s="114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0</v>
      </c>
      <c r="AA68" s="114">
        <v>0</v>
      </c>
      <c r="AB68" s="114">
        <v>0</v>
      </c>
      <c r="AC68" s="114">
        <v>0</v>
      </c>
      <c r="AD68" s="114">
        <v>0</v>
      </c>
      <c r="AE68" s="114">
        <v>0</v>
      </c>
      <c r="AF68" s="114">
        <v>0</v>
      </c>
      <c r="AG68" s="114">
        <v>0</v>
      </c>
      <c r="AH68" s="114">
        <v>0.8</v>
      </c>
      <c r="AI68" s="114">
        <v>0.8</v>
      </c>
      <c r="AJ68" s="114">
        <v>0.8</v>
      </c>
      <c r="AK68" s="114">
        <v>0</v>
      </c>
      <c r="AL68" s="114">
        <v>0</v>
      </c>
      <c r="AM68" s="114">
        <v>0</v>
      </c>
      <c r="AN68" s="114">
        <v>0</v>
      </c>
      <c r="AO68" s="114">
        <v>0</v>
      </c>
      <c r="AP68" s="114">
        <v>0</v>
      </c>
      <c r="AQ68" s="114">
        <v>0.8</v>
      </c>
      <c r="AR68" s="114">
        <v>0.8</v>
      </c>
      <c r="AS68" s="114">
        <v>0.8</v>
      </c>
      <c r="AT68" s="114">
        <v>0.8</v>
      </c>
      <c r="AU68" s="114">
        <v>0.8</v>
      </c>
      <c r="AV68" s="114">
        <v>0.8</v>
      </c>
      <c r="AW68" s="114">
        <v>0</v>
      </c>
      <c r="AX68" s="114">
        <v>0</v>
      </c>
      <c r="AY68" s="114">
        <v>0</v>
      </c>
      <c r="AZ68" s="114">
        <v>0</v>
      </c>
      <c r="BA68" s="114">
        <v>0</v>
      </c>
      <c r="BB68" s="114">
        <v>0</v>
      </c>
      <c r="BC68" s="114">
        <v>0</v>
      </c>
      <c r="BD68" s="114">
        <v>0.8</v>
      </c>
      <c r="BE68" s="114">
        <v>0</v>
      </c>
      <c r="BF68" s="114">
        <v>0</v>
      </c>
      <c r="BG68" s="114">
        <v>0</v>
      </c>
      <c r="BH68" s="114">
        <v>0</v>
      </c>
      <c r="BI68" s="114">
        <v>0</v>
      </c>
      <c r="BJ68" s="114">
        <v>0</v>
      </c>
      <c r="BK68" s="114">
        <v>0.8</v>
      </c>
      <c r="BL68" s="114">
        <v>0.8</v>
      </c>
      <c r="BM68" s="114">
        <v>0.8</v>
      </c>
      <c r="BN68" s="114">
        <v>0.8</v>
      </c>
      <c r="BO68" s="114">
        <v>0</v>
      </c>
      <c r="BP68" s="114">
        <v>0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>
        <v>0</v>
      </c>
      <c r="BZ68" s="114">
        <v>0</v>
      </c>
      <c r="CA68" s="114">
        <v>0</v>
      </c>
      <c r="CB68" s="114">
        <v>0</v>
      </c>
      <c r="CC68" s="114">
        <v>0</v>
      </c>
      <c r="CD68" s="114">
        <v>0.8</v>
      </c>
      <c r="CE68" s="114">
        <v>0</v>
      </c>
      <c r="CF68" s="114">
        <v>0</v>
      </c>
      <c r="CG68" s="114">
        <v>0</v>
      </c>
      <c r="CH68" s="114">
        <v>0</v>
      </c>
      <c r="CI68" s="114">
        <v>0</v>
      </c>
      <c r="CJ68" s="114">
        <v>0</v>
      </c>
      <c r="CK68" s="114">
        <v>0</v>
      </c>
      <c r="CL68" s="114">
        <v>0</v>
      </c>
      <c r="CM68" s="114">
        <v>0</v>
      </c>
      <c r="CN68" s="114">
        <v>0</v>
      </c>
      <c r="CO68" s="114">
        <v>0</v>
      </c>
      <c r="CP68" s="114">
        <v>0</v>
      </c>
      <c r="CQ68" s="114">
        <v>0</v>
      </c>
      <c r="CR68" s="114">
        <v>0</v>
      </c>
      <c r="CS68" s="114">
        <v>0</v>
      </c>
      <c r="CT68" s="114">
        <v>0</v>
      </c>
      <c r="CU68" s="114">
        <v>0</v>
      </c>
      <c r="CV68" s="114">
        <v>0</v>
      </c>
    </row>
    <row r="69" spans="1:100" x14ac:dyDescent="0.15">
      <c r="A69" s="191" t="s">
        <v>259</v>
      </c>
      <c r="B69" s="114">
        <v>0</v>
      </c>
      <c r="C69" s="114">
        <v>0</v>
      </c>
      <c r="D69" s="114">
        <v>0</v>
      </c>
      <c r="E69" s="114">
        <v>0</v>
      </c>
      <c r="F69" s="114">
        <v>0</v>
      </c>
      <c r="G69" s="114">
        <v>0</v>
      </c>
      <c r="H69" s="114">
        <v>0</v>
      </c>
      <c r="I69" s="114">
        <v>0</v>
      </c>
      <c r="J69" s="114">
        <v>0</v>
      </c>
      <c r="K69" s="114">
        <v>0</v>
      </c>
      <c r="L69" s="114">
        <v>0</v>
      </c>
      <c r="M69" s="114">
        <v>0</v>
      </c>
      <c r="N69" s="114">
        <v>0</v>
      </c>
      <c r="O69" s="114">
        <v>0</v>
      </c>
      <c r="P69" s="114">
        <v>0</v>
      </c>
      <c r="Q69" s="114">
        <v>0</v>
      </c>
      <c r="R69" s="114">
        <v>0</v>
      </c>
      <c r="S69" s="114">
        <v>0</v>
      </c>
      <c r="T69" s="114">
        <v>0</v>
      </c>
      <c r="U69" s="114">
        <v>0</v>
      </c>
      <c r="V69" s="114">
        <v>0</v>
      </c>
      <c r="W69" s="114">
        <v>0</v>
      </c>
      <c r="X69" s="114">
        <v>0</v>
      </c>
      <c r="Y69" s="114">
        <v>0</v>
      </c>
      <c r="Z69" s="114">
        <v>0</v>
      </c>
      <c r="AA69" s="114">
        <v>0</v>
      </c>
      <c r="AB69" s="114">
        <v>0</v>
      </c>
      <c r="AC69" s="114">
        <v>0</v>
      </c>
      <c r="AD69" s="114">
        <v>0</v>
      </c>
      <c r="AE69" s="114">
        <v>0</v>
      </c>
      <c r="AF69" s="114">
        <v>0</v>
      </c>
      <c r="AG69" s="114">
        <v>0</v>
      </c>
      <c r="AH69" s="114">
        <v>0.8</v>
      </c>
      <c r="AI69" s="114">
        <v>0.8</v>
      </c>
      <c r="AJ69" s="114">
        <v>0.8</v>
      </c>
      <c r="AK69" s="114">
        <v>0</v>
      </c>
      <c r="AL69" s="114">
        <v>0</v>
      </c>
      <c r="AM69" s="114">
        <v>0</v>
      </c>
      <c r="AN69" s="114">
        <v>0</v>
      </c>
      <c r="AO69" s="114">
        <v>0</v>
      </c>
      <c r="AP69" s="114">
        <v>0</v>
      </c>
      <c r="AQ69" s="114">
        <v>0.8</v>
      </c>
      <c r="AR69" s="114">
        <v>0.8</v>
      </c>
      <c r="AS69" s="114">
        <v>0.8</v>
      </c>
      <c r="AT69" s="114">
        <v>0.8</v>
      </c>
      <c r="AU69" s="114">
        <v>0.8</v>
      </c>
      <c r="AV69" s="114">
        <v>0.8</v>
      </c>
      <c r="AW69" s="114">
        <v>0</v>
      </c>
      <c r="AX69" s="114">
        <v>0</v>
      </c>
      <c r="AY69" s="114">
        <v>0</v>
      </c>
      <c r="AZ69" s="114">
        <v>0</v>
      </c>
      <c r="BA69" s="114">
        <v>0</v>
      </c>
      <c r="BB69" s="114">
        <v>0</v>
      </c>
      <c r="BC69" s="114">
        <v>0</v>
      </c>
      <c r="BD69" s="114">
        <v>0.8</v>
      </c>
      <c r="BE69" s="114">
        <v>0</v>
      </c>
      <c r="BF69" s="114">
        <v>0</v>
      </c>
      <c r="BG69" s="114">
        <v>0</v>
      </c>
      <c r="BH69" s="114">
        <v>0</v>
      </c>
      <c r="BI69" s="114">
        <v>0</v>
      </c>
      <c r="BJ69" s="114">
        <v>0</v>
      </c>
      <c r="BK69" s="114">
        <v>0.8</v>
      </c>
      <c r="BL69" s="114">
        <v>0.8</v>
      </c>
      <c r="BM69" s="114">
        <v>0.8</v>
      </c>
      <c r="BN69" s="114">
        <v>0.8</v>
      </c>
      <c r="BO69" s="114">
        <v>0</v>
      </c>
      <c r="BP69" s="114">
        <v>0</v>
      </c>
      <c r="BQ69" s="114">
        <v>0</v>
      </c>
      <c r="BR69" s="114">
        <v>0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>
        <v>0</v>
      </c>
      <c r="BZ69" s="114">
        <v>0</v>
      </c>
      <c r="CA69" s="114">
        <v>0</v>
      </c>
      <c r="CB69" s="114">
        <v>0</v>
      </c>
      <c r="CC69" s="114">
        <v>0</v>
      </c>
      <c r="CD69" s="114">
        <v>0.8</v>
      </c>
      <c r="CE69" s="114">
        <v>0</v>
      </c>
      <c r="CF69" s="114">
        <v>0</v>
      </c>
      <c r="CG69" s="114">
        <v>0</v>
      </c>
      <c r="CH69" s="114">
        <v>0</v>
      </c>
      <c r="CI69" s="114">
        <v>0</v>
      </c>
      <c r="CJ69" s="114">
        <v>0.8</v>
      </c>
      <c r="CK69" s="114">
        <v>0</v>
      </c>
      <c r="CL69" s="114">
        <v>0</v>
      </c>
      <c r="CM69" s="114">
        <v>0</v>
      </c>
      <c r="CN69" s="114">
        <v>0</v>
      </c>
      <c r="CO69" s="114">
        <v>0</v>
      </c>
      <c r="CP69" s="114">
        <v>0</v>
      </c>
      <c r="CQ69" s="114">
        <v>0</v>
      </c>
      <c r="CR69" s="114">
        <v>0</v>
      </c>
      <c r="CS69" s="114">
        <v>0</v>
      </c>
      <c r="CT69" s="114">
        <v>0</v>
      </c>
      <c r="CU69" s="114">
        <v>0</v>
      </c>
      <c r="CV69" s="114">
        <v>0</v>
      </c>
    </row>
    <row r="70" spans="1:100" x14ac:dyDescent="0.15">
      <c r="A70" s="191" t="s">
        <v>260</v>
      </c>
      <c r="B70" s="114">
        <v>0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0</v>
      </c>
      <c r="V70" s="114">
        <v>0</v>
      </c>
      <c r="W70" s="114">
        <v>0</v>
      </c>
      <c r="X70" s="114">
        <v>0</v>
      </c>
      <c r="Y70" s="114">
        <v>0</v>
      </c>
      <c r="Z70" s="114">
        <v>0</v>
      </c>
      <c r="AA70" s="114">
        <v>0</v>
      </c>
      <c r="AB70" s="114">
        <v>0</v>
      </c>
      <c r="AC70" s="114">
        <v>0</v>
      </c>
      <c r="AD70" s="114">
        <v>0</v>
      </c>
      <c r="AE70" s="114">
        <v>0</v>
      </c>
      <c r="AF70" s="114">
        <v>0</v>
      </c>
      <c r="AG70" s="114">
        <v>0</v>
      </c>
      <c r="AH70" s="114">
        <v>0.8</v>
      </c>
      <c r="AI70" s="114">
        <v>0.8</v>
      </c>
      <c r="AJ70" s="114">
        <v>0.8</v>
      </c>
      <c r="AK70" s="114">
        <v>0</v>
      </c>
      <c r="AL70" s="114">
        <v>0</v>
      </c>
      <c r="AM70" s="114">
        <v>0</v>
      </c>
      <c r="AN70" s="114">
        <v>0</v>
      </c>
      <c r="AO70" s="114">
        <v>0</v>
      </c>
      <c r="AP70" s="114">
        <v>0</v>
      </c>
      <c r="AQ70" s="114">
        <v>0.8</v>
      </c>
      <c r="AR70" s="114">
        <v>0.8</v>
      </c>
      <c r="AS70" s="114">
        <v>0.8</v>
      </c>
      <c r="AT70" s="114">
        <v>0.8</v>
      </c>
      <c r="AU70" s="114">
        <v>0.8</v>
      </c>
      <c r="AV70" s="114">
        <v>0.8</v>
      </c>
      <c r="AW70" s="114">
        <v>0</v>
      </c>
      <c r="AX70" s="114">
        <v>0</v>
      </c>
      <c r="AY70" s="114">
        <v>0</v>
      </c>
      <c r="AZ70" s="114">
        <v>0</v>
      </c>
      <c r="BA70" s="114">
        <v>0</v>
      </c>
      <c r="BB70" s="114">
        <v>0</v>
      </c>
      <c r="BC70" s="114">
        <v>0</v>
      </c>
      <c r="BD70" s="114">
        <v>0.8</v>
      </c>
      <c r="BE70" s="114">
        <v>0</v>
      </c>
      <c r="BF70" s="114">
        <v>0</v>
      </c>
      <c r="BG70" s="114">
        <v>0</v>
      </c>
      <c r="BH70" s="114">
        <v>0</v>
      </c>
      <c r="BI70" s="114">
        <v>0</v>
      </c>
      <c r="BJ70" s="114">
        <v>0</v>
      </c>
      <c r="BK70" s="114">
        <v>0.8</v>
      </c>
      <c r="BL70" s="114">
        <v>0.8</v>
      </c>
      <c r="BM70" s="114">
        <v>0.8</v>
      </c>
      <c r="BN70" s="114">
        <v>0.8</v>
      </c>
      <c r="BO70" s="114">
        <v>0</v>
      </c>
      <c r="BP70" s="114">
        <v>0</v>
      </c>
      <c r="BQ70" s="114">
        <v>0</v>
      </c>
      <c r="BR70" s="114">
        <v>0</v>
      </c>
      <c r="BS70" s="114">
        <v>0</v>
      </c>
      <c r="BT70" s="114">
        <v>0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  <c r="BZ70" s="114">
        <v>0</v>
      </c>
      <c r="CA70" s="114">
        <v>0</v>
      </c>
      <c r="CB70" s="114">
        <v>0</v>
      </c>
      <c r="CC70" s="114">
        <v>0</v>
      </c>
      <c r="CD70" s="114">
        <v>0.8</v>
      </c>
      <c r="CE70" s="114">
        <v>0</v>
      </c>
      <c r="CF70" s="114">
        <v>0</v>
      </c>
      <c r="CG70" s="114">
        <v>0</v>
      </c>
      <c r="CH70" s="114">
        <v>0</v>
      </c>
      <c r="CI70" s="114">
        <v>0</v>
      </c>
      <c r="CJ70" s="114">
        <v>0.8</v>
      </c>
      <c r="CK70" s="114">
        <v>0</v>
      </c>
      <c r="CL70" s="114">
        <v>0</v>
      </c>
      <c r="CM70" s="114">
        <v>0</v>
      </c>
      <c r="CN70" s="114">
        <v>0</v>
      </c>
      <c r="CO70" s="114">
        <v>0</v>
      </c>
      <c r="CP70" s="114">
        <v>0</v>
      </c>
      <c r="CQ70" s="114">
        <v>0</v>
      </c>
      <c r="CR70" s="114">
        <v>0</v>
      </c>
      <c r="CS70" s="114">
        <v>0</v>
      </c>
      <c r="CT70" s="114">
        <v>0</v>
      </c>
      <c r="CU70" s="114">
        <v>0</v>
      </c>
      <c r="CV70" s="114">
        <v>0</v>
      </c>
    </row>
    <row r="71" spans="1:100" x14ac:dyDescent="0.15">
      <c r="A71" s="191" t="s">
        <v>261</v>
      </c>
      <c r="B71" s="114">
        <v>0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0</v>
      </c>
      <c r="W71" s="114">
        <v>0</v>
      </c>
      <c r="X71" s="114">
        <v>0</v>
      </c>
      <c r="Y71" s="114">
        <v>0</v>
      </c>
      <c r="Z71" s="114">
        <v>0</v>
      </c>
      <c r="AA71" s="114">
        <v>0</v>
      </c>
      <c r="AB71" s="114">
        <v>0</v>
      </c>
      <c r="AC71" s="114">
        <v>0</v>
      </c>
      <c r="AD71" s="114">
        <v>0</v>
      </c>
      <c r="AE71" s="114">
        <v>0</v>
      </c>
      <c r="AF71" s="114">
        <v>0</v>
      </c>
      <c r="AG71" s="114">
        <v>0</v>
      </c>
      <c r="AH71" s="114">
        <v>0.8</v>
      </c>
      <c r="AI71" s="114">
        <v>0.8</v>
      </c>
      <c r="AJ71" s="114">
        <v>0</v>
      </c>
      <c r="AK71" s="114">
        <v>0</v>
      </c>
      <c r="AL71" s="114">
        <v>0</v>
      </c>
      <c r="AM71" s="114">
        <v>0</v>
      </c>
      <c r="AN71" s="114">
        <v>0</v>
      </c>
      <c r="AO71" s="114">
        <v>0</v>
      </c>
      <c r="AP71" s="114">
        <v>0</v>
      </c>
      <c r="AQ71" s="114">
        <v>0.8</v>
      </c>
      <c r="AR71" s="114">
        <v>0.8</v>
      </c>
      <c r="AS71" s="114">
        <v>0.8</v>
      </c>
      <c r="AT71" s="114">
        <v>0.8</v>
      </c>
      <c r="AU71" s="114">
        <v>0.8</v>
      </c>
      <c r="AV71" s="114">
        <v>0.8</v>
      </c>
      <c r="AW71" s="114">
        <v>0</v>
      </c>
      <c r="AX71" s="114">
        <v>0</v>
      </c>
      <c r="AY71" s="114">
        <v>0</v>
      </c>
      <c r="AZ71" s="114">
        <v>0</v>
      </c>
      <c r="BA71" s="114">
        <v>0</v>
      </c>
      <c r="BB71" s="114">
        <v>0</v>
      </c>
      <c r="BC71" s="114">
        <v>0</v>
      </c>
      <c r="BD71" s="114">
        <v>0.8</v>
      </c>
      <c r="BE71" s="114">
        <v>0</v>
      </c>
      <c r="BF71" s="114">
        <v>0</v>
      </c>
      <c r="BG71" s="114">
        <v>0</v>
      </c>
      <c r="BH71" s="114">
        <v>0</v>
      </c>
      <c r="BI71" s="114">
        <v>0</v>
      </c>
      <c r="BJ71" s="114">
        <v>0</v>
      </c>
      <c r="BK71" s="114">
        <v>0.8</v>
      </c>
      <c r="BL71" s="114">
        <v>0.8</v>
      </c>
      <c r="BM71" s="114">
        <v>0.8</v>
      </c>
      <c r="BN71" s="114">
        <v>0.8</v>
      </c>
      <c r="BO71" s="114">
        <v>0</v>
      </c>
      <c r="BP71" s="114">
        <v>0</v>
      </c>
      <c r="BQ71" s="114">
        <v>0</v>
      </c>
      <c r="BR71" s="114">
        <v>0</v>
      </c>
      <c r="BS71" s="114">
        <v>0</v>
      </c>
      <c r="BT71" s="114">
        <v>0</v>
      </c>
      <c r="BU71" s="114">
        <v>0</v>
      </c>
      <c r="BV71" s="114">
        <v>0</v>
      </c>
      <c r="BW71" s="114">
        <v>0</v>
      </c>
      <c r="BX71" s="114">
        <v>0</v>
      </c>
      <c r="BY71" s="114">
        <v>0</v>
      </c>
      <c r="BZ71" s="114">
        <v>0</v>
      </c>
      <c r="CA71" s="114">
        <v>0</v>
      </c>
      <c r="CB71" s="114">
        <v>0</v>
      </c>
      <c r="CC71" s="114">
        <v>0</v>
      </c>
      <c r="CD71" s="114">
        <v>0</v>
      </c>
      <c r="CE71" s="114">
        <v>0</v>
      </c>
      <c r="CF71" s="114">
        <v>0</v>
      </c>
      <c r="CG71" s="114">
        <v>0</v>
      </c>
      <c r="CH71" s="114">
        <v>0</v>
      </c>
      <c r="CI71" s="114">
        <v>0</v>
      </c>
      <c r="CJ71" s="114">
        <v>0</v>
      </c>
      <c r="CK71" s="114">
        <v>0</v>
      </c>
      <c r="CL71" s="114">
        <v>0</v>
      </c>
      <c r="CM71" s="114">
        <v>0</v>
      </c>
      <c r="CN71" s="114">
        <v>0</v>
      </c>
      <c r="CO71" s="114">
        <v>0</v>
      </c>
      <c r="CP71" s="114">
        <v>0</v>
      </c>
      <c r="CQ71" s="114">
        <v>0</v>
      </c>
      <c r="CR71" s="114">
        <v>0</v>
      </c>
      <c r="CS71" s="114">
        <v>0</v>
      </c>
      <c r="CT71" s="114">
        <v>0</v>
      </c>
      <c r="CU71" s="114">
        <v>0</v>
      </c>
      <c r="CV71" s="114">
        <v>0</v>
      </c>
    </row>
    <row r="72" spans="1:100" x14ac:dyDescent="0.15">
      <c r="A72" s="191" t="s">
        <v>262</v>
      </c>
      <c r="B72" s="114">
        <v>0</v>
      </c>
      <c r="C72" s="114">
        <v>0</v>
      </c>
      <c r="D72" s="114">
        <v>0</v>
      </c>
      <c r="E72" s="114">
        <v>0</v>
      </c>
      <c r="F72" s="114">
        <v>0</v>
      </c>
      <c r="G72" s="114">
        <v>0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</v>
      </c>
      <c r="R72" s="114">
        <v>0</v>
      </c>
      <c r="S72" s="114">
        <v>0</v>
      </c>
      <c r="T72" s="114">
        <v>0</v>
      </c>
      <c r="U72" s="114">
        <v>0</v>
      </c>
      <c r="V72" s="114">
        <v>0</v>
      </c>
      <c r="W72" s="114">
        <v>0</v>
      </c>
      <c r="X72" s="114">
        <v>0</v>
      </c>
      <c r="Y72" s="114">
        <v>0</v>
      </c>
      <c r="Z72" s="114">
        <v>0</v>
      </c>
      <c r="AA72" s="114">
        <v>0</v>
      </c>
      <c r="AB72" s="114">
        <v>0</v>
      </c>
      <c r="AC72" s="114">
        <v>0</v>
      </c>
      <c r="AD72" s="114">
        <v>0</v>
      </c>
      <c r="AE72" s="114">
        <v>0</v>
      </c>
      <c r="AF72" s="114">
        <v>0</v>
      </c>
      <c r="AG72" s="114">
        <v>0</v>
      </c>
      <c r="AH72" s="114">
        <v>0</v>
      </c>
      <c r="AI72" s="114">
        <v>0</v>
      </c>
      <c r="AJ72" s="114">
        <v>0</v>
      </c>
      <c r="AK72" s="114">
        <v>0</v>
      </c>
      <c r="AL72" s="114">
        <v>0</v>
      </c>
      <c r="AM72" s="114">
        <v>0</v>
      </c>
      <c r="AN72" s="114">
        <v>0</v>
      </c>
      <c r="AO72" s="114">
        <v>0</v>
      </c>
      <c r="AP72" s="114">
        <v>0</v>
      </c>
      <c r="AQ72" s="114">
        <v>0</v>
      </c>
      <c r="AR72" s="114">
        <v>0</v>
      </c>
      <c r="AS72" s="114">
        <v>0</v>
      </c>
      <c r="AT72" s="114">
        <v>0</v>
      </c>
      <c r="AU72" s="114">
        <v>0</v>
      </c>
      <c r="AV72" s="114">
        <v>0</v>
      </c>
      <c r="AW72" s="114">
        <v>0</v>
      </c>
      <c r="AX72" s="114">
        <v>0</v>
      </c>
      <c r="AY72" s="114">
        <v>0</v>
      </c>
      <c r="AZ72" s="114">
        <v>0</v>
      </c>
      <c r="BA72" s="114">
        <v>0</v>
      </c>
      <c r="BB72" s="114">
        <v>0</v>
      </c>
      <c r="BC72" s="114">
        <v>0</v>
      </c>
      <c r="BD72" s="114">
        <v>0</v>
      </c>
      <c r="BE72" s="114">
        <v>0</v>
      </c>
      <c r="BF72" s="114">
        <v>0</v>
      </c>
      <c r="BG72" s="114">
        <v>0</v>
      </c>
      <c r="BH72" s="114">
        <v>0</v>
      </c>
      <c r="BI72" s="114">
        <v>0</v>
      </c>
      <c r="BJ72" s="114">
        <v>0</v>
      </c>
      <c r="BK72" s="114">
        <v>0.8</v>
      </c>
      <c r="BL72" s="114">
        <v>0.8</v>
      </c>
      <c r="BM72" s="114">
        <v>0</v>
      </c>
      <c r="BN72" s="114">
        <v>0</v>
      </c>
      <c r="BO72" s="114">
        <v>0</v>
      </c>
      <c r="BP72" s="114">
        <v>0</v>
      </c>
      <c r="BQ72" s="114">
        <v>0</v>
      </c>
      <c r="BR72" s="114">
        <v>0</v>
      </c>
      <c r="BS72" s="114">
        <v>0</v>
      </c>
      <c r="BT72" s="114">
        <v>0</v>
      </c>
      <c r="BU72" s="114">
        <v>0</v>
      </c>
      <c r="BV72" s="114">
        <v>0</v>
      </c>
      <c r="BW72" s="114">
        <v>0</v>
      </c>
      <c r="BX72" s="114">
        <v>0</v>
      </c>
      <c r="BY72" s="114">
        <v>0</v>
      </c>
      <c r="BZ72" s="114">
        <v>0</v>
      </c>
      <c r="CA72" s="114">
        <v>0</v>
      </c>
      <c r="CB72" s="114">
        <v>0</v>
      </c>
      <c r="CC72" s="114">
        <v>0</v>
      </c>
      <c r="CD72" s="114">
        <v>0.8</v>
      </c>
      <c r="CE72" s="114">
        <v>0</v>
      </c>
      <c r="CF72" s="114">
        <v>0</v>
      </c>
      <c r="CG72" s="114">
        <v>0</v>
      </c>
      <c r="CH72" s="114">
        <v>0</v>
      </c>
      <c r="CI72" s="114">
        <v>0</v>
      </c>
      <c r="CJ72" s="114">
        <v>0</v>
      </c>
      <c r="CK72" s="114">
        <v>0</v>
      </c>
      <c r="CL72" s="114">
        <v>0</v>
      </c>
      <c r="CM72" s="114">
        <v>0</v>
      </c>
      <c r="CN72" s="114">
        <v>0</v>
      </c>
      <c r="CO72" s="114">
        <v>0</v>
      </c>
      <c r="CP72" s="114">
        <v>0</v>
      </c>
      <c r="CQ72" s="114">
        <v>0</v>
      </c>
      <c r="CR72" s="114">
        <v>0</v>
      </c>
      <c r="CS72" s="114">
        <v>0</v>
      </c>
      <c r="CT72" s="114">
        <v>0</v>
      </c>
      <c r="CU72" s="114">
        <v>0</v>
      </c>
      <c r="CV72" s="114">
        <v>0</v>
      </c>
    </row>
    <row r="73" spans="1:100" x14ac:dyDescent="0.15">
      <c r="A73" s="191" t="s">
        <v>263</v>
      </c>
      <c r="B73" s="114">
        <v>0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0</v>
      </c>
      <c r="P73" s="114">
        <v>0</v>
      </c>
      <c r="Q73" s="114">
        <v>0</v>
      </c>
      <c r="R73" s="114">
        <v>0</v>
      </c>
      <c r="S73" s="114">
        <v>0</v>
      </c>
      <c r="T73" s="114">
        <v>0</v>
      </c>
      <c r="U73" s="114">
        <v>0.8</v>
      </c>
      <c r="V73" s="114">
        <v>0</v>
      </c>
      <c r="W73" s="114">
        <v>0</v>
      </c>
      <c r="X73" s="114">
        <v>0</v>
      </c>
      <c r="Y73" s="114">
        <v>0</v>
      </c>
      <c r="Z73" s="114">
        <v>0.8</v>
      </c>
      <c r="AA73" s="114">
        <v>0</v>
      </c>
      <c r="AB73" s="114">
        <v>0</v>
      </c>
      <c r="AC73" s="114">
        <v>0</v>
      </c>
      <c r="AD73" s="114">
        <v>0</v>
      </c>
      <c r="AE73" s="114">
        <v>0</v>
      </c>
      <c r="AF73" s="114">
        <v>0</v>
      </c>
      <c r="AG73" s="114">
        <v>0</v>
      </c>
      <c r="AH73" s="114">
        <v>0.8</v>
      </c>
      <c r="AI73" s="114">
        <v>0.8</v>
      </c>
      <c r="AJ73" s="114">
        <v>0</v>
      </c>
      <c r="AK73" s="114">
        <v>0</v>
      </c>
      <c r="AL73" s="114">
        <v>0</v>
      </c>
      <c r="AM73" s="114">
        <v>0</v>
      </c>
      <c r="AN73" s="114">
        <v>0</v>
      </c>
      <c r="AO73" s="114">
        <v>0</v>
      </c>
      <c r="AP73" s="114">
        <v>0</v>
      </c>
      <c r="AQ73" s="114">
        <v>0.8</v>
      </c>
      <c r="AR73" s="114">
        <v>0.8</v>
      </c>
      <c r="AS73" s="114">
        <v>0.8</v>
      </c>
      <c r="AT73" s="114">
        <v>0.8</v>
      </c>
      <c r="AU73" s="114">
        <v>0.8</v>
      </c>
      <c r="AV73" s="114">
        <v>0</v>
      </c>
      <c r="AW73" s="114">
        <v>0</v>
      </c>
      <c r="AX73" s="114">
        <v>0</v>
      </c>
      <c r="AY73" s="114">
        <v>0</v>
      </c>
      <c r="AZ73" s="114">
        <v>0</v>
      </c>
      <c r="BA73" s="114">
        <v>0</v>
      </c>
      <c r="BB73" s="114">
        <v>0</v>
      </c>
      <c r="BC73" s="114">
        <v>0.8</v>
      </c>
      <c r="BD73" s="114">
        <v>0</v>
      </c>
      <c r="BE73" s="114">
        <v>0</v>
      </c>
      <c r="BF73" s="114">
        <v>0</v>
      </c>
      <c r="BG73" s="114">
        <v>0</v>
      </c>
      <c r="BH73" s="114">
        <v>0</v>
      </c>
      <c r="BI73" s="114">
        <v>0</v>
      </c>
      <c r="BJ73" s="114">
        <v>0</v>
      </c>
      <c r="BK73" s="114">
        <v>0</v>
      </c>
      <c r="BL73" s="114">
        <v>0</v>
      </c>
      <c r="BM73" s="114">
        <v>0.8</v>
      </c>
      <c r="BN73" s="114">
        <v>0</v>
      </c>
      <c r="BO73" s="114">
        <v>0</v>
      </c>
      <c r="BP73" s="114">
        <v>0</v>
      </c>
      <c r="BQ73" s="114">
        <v>0</v>
      </c>
      <c r="BR73" s="114">
        <v>0</v>
      </c>
      <c r="BS73" s="114">
        <v>0</v>
      </c>
      <c r="BT73" s="114">
        <v>0</v>
      </c>
      <c r="BU73" s="114">
        <v>0</v>
      </c>
      <c r="BV73" s="114">
        <v>0</v>
      </c>
      <c r="BW73" s="114">
        <v>0</v>
      </c>
      <c r="BX73" s="114">
        <v>0</v>
      </c>
      <c r="BY73" s="114">
        <v>0</v>
      </c>
      <c r="BZ73" s="114">
        <v>0</v>
      </c>
      <c r="CA73" s="114">
        <v>0</v>
      </c>
      <c r="CB73" s="114">
        <v>0</v>
      </c>
      <c r="CC73" s="114">
        <v>0</v>
      </c>
      <c r="CD73" s="114">
        <v>0</v>
      </c>
      <c r="CE73" s="114">
        <v>0</v>
      </c>
      <c r="CF73" s="114">
        <v>0</v>
      </c>
      <c r="CG73" s="114">
        <v>0</v>
      </c>
      <c r="CH73" s="114">
        <v>0</v>
      </c>
      <c r="CI73" s="114">
        <v>0</v>
      </c>
      <c r="CJ73" s="114">
        <v>0</v>
      </c>
      <c r="CK73" s="114">
        <v>0</v>
      </c>
      <c r="CL73" s="114">
        <v>0</v>
      </c>
      <c r="CM73" s="114">
        <v>0</v>
      </c>
      <c r="CN73" s="114">
        <v>0</v>
      </c>
      <c r="CO73" s="114">
        <v>0</v>
      </c>
      <c r="CP73" s="114">
        <v>0</v>
      </c>
      <c r="CQ73" s="114">
        <v>0</v>
      </c>
      <c r="CR73" s="114">
        <v>0</v>
      </c>
      <c r="CS73" s="114">
        <v>0</v>
      </c>
      <c r="CT73" s="114">
        <v>0</v>
      </c>
      <c r="CU73" s="114">
        <v>0</v>
      </c>
      <c r="CV73" s="114">
        <v>0</v>
      </c>
    </row>
    <row r="74" spans="1:100" x14ac:dyDescent="0.15">
      <c r="A74" s="191" t="s">
        <v>264</v>
      </c>
      <c r="B74" s="114">
        <v>0</v>
      </c>
      <c r="C74" s="114">
        <v>0</v>
      </c>
      <c r="D74" s="114">
        <v>0</v>
      </c>
      <c r="E74" s="114">
        <v>0</v>
      </c>
      <c r="F74" s="114">
        <v>0</v>
      </c>
      <c r="G74" s="114">
        <v>0.8</v>
      </c>
      <c r="H74" s="114">
        <v>0</v>
      </c>
      <c r="I74" s="114">
        <v>0</v>
      </c>
      <c r="J74" s="114">
        <v>0.8</v>
      </c>
      <c r="K74" s="114">
        <v>0.8</v>
      </c>
      <c r="L74" s="114">
        <v>0.8</v>
      </c>
      <c r="M74" s="114">
        <v>0.8</v>
      </c>
      <c r="N74" s="114">
        <v>0.8</v>
      </c>
      <c r="O74" s="114">
        <v>0.8</v>
      </c>
      <c r="P74" s="114">
        <v>0.8</v>
      </c>
      <c r="Q74" s="114">
        <v>0</v>
      </c>
      <c r="R74" s="114">
        <v>0</v>
      </c>
      <c r="S74" s="114">
        <v>0</v>
      </c>
      <c r="T74" s="114">
        <v>0.8</v>
      </c>
      <c r="U74" s="114">
        <v>0.8</v>
      </c>
      <c r="V74" s="114">
        <v>0</v>
      </c>
      <c r="W74" s="114">
        <v>0.8</v>
      </c>
      <c r="X74" s="114">
        <v>0.8</v>
      </c>
      <c r="Y74" s="114">
        <v>0</v>
      </c>
      <c r="Z74" s="114">
        <v>0</v>
      </c>
      <c r="AA74" s="114">
        <v>0.8</v>
      </c>
      <c r="AB74" s="114">
        <v>0.8</v>
      </c>
      <c r="AC74" s="114">
        <v>0</v>
      </c>
      <c r="AD74" s="114">
        <v>0</v>
      </c>
      <c r="AE74" s="114">
        <v>0.8</v>
      </c>
      <c r="AF74" s="114">
        <v>0.8</v>
      </c>
      <c r="AG74" s="114">
        <v>0.8</v>
      </c>
      <c r="AH74" s="114">
        <v>0.8</v>
      </c>
      <c r="AI74" s="114">
        <v>0</v>
      </c>
      <c r="AJ74" s="114">
        <v>0</v>
      </c>
      <c r="AK74" s="114">
        <v>0</v>
      </c>
      <c r="AL74" s="114">
        <v>0</v>
      </c>
      <c r="AM74" s="114">
        <v>0</v>
      </c>
      <c r="AN74" s="114">
        <v>0</v>
      </c>
      <c r="AO74" s="114">
        <v>0</v>
      </c>
      <c r="AP74" s="114">
        <v>0</v>
      </c>
      <c r="AQ74" s="114">
        <v>0</v>
      </c>
      <c r="AR74" s="114">
        <v>0</v>
      </c>
      <c r="AS74" s="114">
        <v>0</v>
      </c>
      <c r="AT74" s="114">
        <v>0</v>
      </c>
      <c r="AU74" s="114">
        <v>0</v>
      </c>
      <c r="AV74" s="114">
        <v>0</v>
      </c>
      <c r="AW74" s="114">
        <v>0</v>
      </c>
      <c r="AX74" s="114">
        <v>0</v>
      </c>
      <c r="AY74" s="114">
        <v>0</v>
      </c>
      <c r="AZ74" s="114">
        <v>0</v>
      </c>
      <c r="BA74" s="114">
        <v>0</v>
      </c>
      <c r="BB74" s="114">
        <v>0</v>
      </c>
      <c r="BC74" s="114">
        <v>0</v>
      </c>
      <c r="BD74" s="114">
        <v>0</v>
      </c>
      <c r="BE74" s="114">
        <v>0.8</v>
      </c>
      <c r="BF74" s="114">
        <v>0</v>
      </c>
      <c r="BG74" s="114">
        <v>0</v>
      </c>
      <c r="BH74" s="114">
        <v>0</v>
      </c>
      <c r="BI74" s="114">
        <v>0</v>
      </c>
      <c r="BJ74" s="114">
        <v>0</v>
      </c>
      <c r="BK74" s="114">
        <v>0</v>
      </c>
      <c r="BL74" s="114">
        <v>0</v>
      </c>
      <c r="BM74" s="114">
        <v>0</v>
      </c>
      <c r="BN74" s="114">
        <v>0</v>
      </c>
      <c r="BO74" s="114">
        <v>0</v>
      </c>
      <c r="BP74" s="114">
        <v>0</v>
      </c>
      <c r="BQ74" s="114">
        <v>0</v>
      </c>
      <c r="BR74" s="114">
        <v>0</v>
      </c>
      <c r="BS74" s="114">
        <v>0</v>
      </c>
      <c r="BT74" s="114">
        <v>0</v>
      </c>
      <c r="BU74" s="114">
        <v>0</v>
      </c>
      <c r="BV74" s="114">
        <v>0.8</v>
      </c>
      <c r="BW74" s="114">
        <v>0</v>
      </c>
      <c r="BX74" s="114">
        <v>0.8</v>
      </c>
      <c r="BY74" s="114">
        <v>0.8</v>
      </c>
      <c r="BZ74" s="114">
        <v>0</v>
      </c>
      <c r="CA74" s="114">
        <v>0</v>
      </c>
      <c r="CB74" s="114">
        <v>0.8</v>
      </c>
      <c r="CC74" s="114">
        <v>0</v>
      </c>
      <c r="CD74" s="114">
        <v>0</v>
      </c>
      <c r="CE74" s="114">
        <v>0</v>
      </c>
      <c r="CF74" s="114">
        <v>0</v>
      </c>
      <c r="CG74" s="114">
        <v>0</v>
      </c>
      <c r="CH74" s="114">
        <v>0</v>
      </c>
      <c r="CI74" s="114">
        <v>0</v>
      </c>
      <c r="CJ74" s="114">
        <v>0</v>
      </c>
      <c r="CK74" s="114">
        <v>0.8</v>
      </c>
      <c r="CL74" s="114">
        <v>0</v>
      </c>
      <c r="CM74" s="114">
        <v>0</v>
      </c>
      <c r="CN74" s="114">
        <v>0</v>
      </c>
      <c r="CO74" s="114">
        <v>0</v>
      </c>
      <c r="CP74" s="114">
        <v>0</v>
      </c>
      <c r="CQ74" s="114">
        <v>0</v>
      </c>
      <c r="CR74" s="114">
        <v>0</v>
      </c>
      <c r="CS74" s="114">
        <v>0</v>
      </c>
      <c r="CT74" s="114">
        <v>0</v>
      </c>
      <c r="CU74" s="114">
        <v>0</v>
      </c>
      <c r="CV74" s="114">
        <v>0</v>
      </c>
    </row>
    <row r="75" spans="1:100" x14ac:dyDescent="0.15">
      <c r="A75" s="191" t="s">
        <v>265</v>
      </c>
      <c r="B75" s="114">
        <v>0</v>
      </c>
      <c r="C75" s="114">
        <v>0</v>
      </c>
      <c r="D75" s="114">
        <v>0</v>
      </c>
      <c r="E75" s="114">
        <v>0</v>
      </c>
      <c r="F75" s="114">
        <v>0</v>
      </c>
      <c r="G75" s="114">
        <v>0.8</v>
      </c>
      <c r="H75" s="114">
        <v>0</v>
      </c>
      <c r="I75" s="114">
        <v>0</v>
      </c>
      <c r="J75" s="114">
        <v>0</v>
      </c>
      <c r="K75" s="114">
        <v>0.8</v>
      </c>
      <c r="L75" s="114">
        <v>0.8</v>
      </c>
      <c r="M75" s="114">
        <v>0.8</v>
      </c>
      <c r="N75" s="114">
        <v>0.8</v>
      </c>
      <c r="O75" s="114">
        <v>0.8</v>
      </c>
      <c r="P75" s="114">
        <v>0.8</v>
      </c>
      <c r="Q75" s="114">
        <v>0</v>
      </c>
      <c r="R75" s="114">
        <v>0</v>
      </c>
      <c r="S75" s="114">
        <v>0</v>
      </c>
      <c r="T75" s="114">
        <v>0.8</v>
      </c>
      <c r="U75" s="114">
        <v>0.8</v>
      </c>
      <c r="V75" s="114">
        <v>0.8</v>
      </c>
      <c r="W75" s="114">
        <v>0.8</v>
      </c>
      <c r="X75" s="114">
        <v>0.8</v>
      </c>
      <c r="Y75" s="114">
        <v>0.8</v>
      </c>
      <c r="Z75" s="114">
        <v>0.8</v>
      </c>
      <c r="AA75" s="114">
        <v>0.8</v>
      </c>
      <c r="AB75" s="114">
        <v>0.8</v>
      </c>
      <c r="AC75" s="114">
        <v>0.8</v>
      </c>
      <c r="AD75" s="114">
        <v>0.8</v>
      </c>
      <c r="AE75" s="114">
        <v>0.8</v>
      </c>
      <c r="AF75" s="114">
        <v>0.8</v>
      </c>
      <c r="AG75" s="114">
        <v>0.8</v>
      </c>
      <c r="AH75" s="114">
        <v>0.8</v>
      </c>
      <c r="AI75" s="114">
        <v>0.8</v>
      </c>
      <c r="AJ75" s="114">
        <v>0</v>
      </c>
      <c r="AK75" s="114">
        <v>0.8</v>
      </c>
      <c r="AL75" s="114">
        <v>0.8</v>
      </c>
      <c r="AM75" s="114">
        <v>0.8</v>
      </c>
      <c r="AN75" s="114">
        <v>0.8</v>
      </c>
      <c r="AO75" s="114">
        <v>0.8</v>
      </c>
      <c r="AP75" s="114">
        <v>0.8</v>
      </c>
      <c r="AQ75" s="114">
        <v>0.8</v>
      </c>
      <c r="AR75" s="114">
        <v>0.8</v>
      </c>
      <c r="AS75" s="114">
        <v>0.8</v>
      </c>
      <c r="AT75" s="114">
        <v>0.8</v>
      </c>
      <c r="AU75" s="114">
        <v>0.8</v>
      </c>
      <c r="AV75" s="114">
        <v>0.8</v>
      </c>
      <c r="AW75" s="114">
        <v>0.8</v>
      </c>
      <c r="AX75" s="114">
        <v>0.8</v>
      </c>
      <c r="AY75" s="114">
        <v>0.8</v>
      </c>
      <c r="AZ75" s="114">
        <v>0.8</v>
      </c>
      <c r="BA75" s="114">
        <v>0.8</v>
      </c>
      <c r="BB75" s="114">
        <v>0.8</v>
      </c>
      <c r="BC75" s="114">
        <v>0.8</v>
      </c>
      <c r="BD75" s="114">
        <v>0.8</v>
      </c>
      <c r="BE75" s="114">
        <v>0.8</v>
      </c>
      <c r="BF75" s="114">
        <v>0.8</v>
      </c>
      <c r="BG75" s="114">
        <v>0.8</v>
      </c>
      <c r="BH75" s="114">
        <v>0.8</v>
      </c>
      <c r="BI75" s="114">
        <v>0</v>
      </c>
      <c r="BJ75" s="114">
        <v>0</v>
      </c>
      <c r="BK75" s="114">
        <v>0</v>
      </c>
      <c r="BL75" s="114">
        <v>0</v>
      </c>
      <c r="BM75" s="114">
        <v>0.8</v>
      </c>
      <c r="BN75" s="114">
        <v>0.8</v>
      </c>
      <c r="BO75" s="114">
        <v>0</v>
      </c>
      <c r="BP75" s="114">
        <v>0</v>
      </c>
      <c r="BQ75" s="114">
        <v>0</v>
      </c>
      <c r="BR75" s="114">
        <v>0</v>
      </c>
      <c r="BS75" s="114">
        <v>0</v>
      </c>
      <c r="BT75" s="114">
        <v>0</v>
      </c>
      <c r="BU75" s="114">
        <v>0</v>
      </c>
      <c r="BV75" s="114">
        <v>0.8</v>
      </c>
      <c r="BW75" s="114">
        <v>0</v>
      </c>
      <c r="BX75" s="114">
        <v>0.8</v>
      </c>
      <c r="BY75" s="114">
        <v>0.8</v>
      </c>
      <c r="BZ75" s="114">
        <v>0</v>
      </c>
      <c r="CA75" s="114">
        <v>0</v>
      </c>
      <c r="CB75" s="114">
        <v>0.8</v>
      </c>
      <c r="CC75" s="114">
        <v>0</v>
      </c>
      <c r="CD75" s="114">
        <v>0</v>
      </c>
      <c r="CE75" s="114">
        <v>0</v>
      </c>
      <c r="CF75" s="114">
        <v>0</v>
      </c>
      <c r="CG75" s="114">
        <v>0</v>
      </c>
      <c r="CH75" s="114">
        <v>0</v>
      </c>
      <c r="CI75" s="114">
        <v>0</v>
      </c>
      <c r="CJ75" s="114">
        <v>0.8</v>
      </c>
      <c r="CK75" s="114">
        <v>0.8</v>
      </c>
      <c r="CL75" s="114">
        <v>0</v>
      </c>
      <c r="CM75" s="114">
        <v>0</v>
      </c>
      <c r="CN75" s="114">
        <v>0</v>
      </c>
      <c r="CO75" s="114">
        <v>0</v>
      </c>
      <c r="CP75" s="114">
        <v>0</v>
      </c>
      <c r="CQ75" s="114">
        <v>0</v>
      </c>
      <c r="CR75" s="114">
        <v>0</v>
      </c>
      <c r="CS75" s="114">
        <v>0</v>
      </c>
      <c r="CT75" s="114">
        <v>0</v>
      </c>
      <c r="CU75" s="114">
        <v>0</v>
      </c>
      <c r="CV75" s="114">
        <v>0</v>
      </c>
    </row>
    <row r="76" spans="1:100" x14ac:dyDescent="0.15">
      <c r="A76" s="191" t="s">
        <v>266</v>
      </c>
      <c r="B76" s="114">
        <v>0.8</v>
      </c>
      <c r="C76" s="114">
        <v>0.8</v>
      </c>
      <c r="D76" s="114">
        <v>0.8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0.8</v>
      </c>
      <c r="L76" s="114">
        <v>0.8</v>
      </c>
      <c r="M76" s="114">
        <v>0.8</v>
      </c>
      <c r="N76" s="114">
        <v>0.8</v>
      </c>
      <c r="O76" s="114">
        <v>0.8</v>
      </c>
      <c r="P76" s="114">
        <v>0</v>
      </c>
      <c r="Q76" s="114">
        <v>0.8</v>
      </c>
      <c r="R76" s="114">
        <v>0.8</v>
      </c>
      <c r="S76" s="114">
        <v>0.8</v>
      </c>
      <c r="T76" s="114">
        <v>0.8</v>
      </c>
      <c r="U76" s="114">
        <v>0.8</v>
      </c>
      <c r="V76" s="114">
        <v>0.8</v>
      </c>
      <c r="W76" s="114">
        <v>0.8</v>
      </c>
      <c r="X76" s="114">
        <v>0.8</v>
      </c>
      <c r="Y76" s="114">
        <v>0.8</v>
      </c>
      <c r="Z76" s="114">
        <v>0.8</v>
      </c>
      <c r="AA76" s="114">
        <v>0.8</v>
      </c>
      <c r="AB76" s="114">
        <v>0.8</v>
      </c>
      <c r="AC76" s="114">
        <v>0</v>
      </c>
      <c r="AD76" s="114">
        <v>0.8</v>
      </c>
      <c r="AE76" s="114">
        <v>0.8</v>
      </c>
      <c r="AF76" s="114">
        <v>0.8</v>
      </c>
      <c r="AG76" s="114">
        <v>0</v>
      </c>
      <c r="AH76" s="114">
        <v>0.8</v>
      </c>
      <c r="AI76" s="114">
        <v>0.8</v>
      </c>
      <c r="AJ76" s="114">
        <v>0</v>
      </c>
      <c r="AK76" s="114">
        <v>0.8</v>
      </c>
      <c r="AL76" s="114">
        <v>0.8</v>
      </c>
      <c r="AM76" s="114">
        <v>0.8</v>
      </c>
      <c r="AN76" s="114">
        <v>0.8</v>
      </c>
      <c r="AO76" s="114">
        <v>0.8</v>
      </c>
      <c r="AP76" s="114">
        <v>0.8</v>
      </c>
      <c r="AQ76" s="114">
        <v>0.8</v>
      </c>
      <c r="AR76" s="114">
        <v>0.8</v>
      </c>
      <c r="AS76" s="114">
        <v>0.8</v>
      </c>
      <c r="AT76" s="114">
        <v>0.8</v>
      </c>
      <c r="AU76" s="114">
        <v>0.8</v>
      </c>
      <c r="AV76" s="114">
        <v>0.8</v>
      </c>
      <c r="AW76" s="114">
        <v>0</v>
      </c>
      <c r="AX76" s="114">
        <v>0</v>
      </c>
      <c r="AY76" s="114">
        <v>0.8</v>
      </c>
      <c r="AZ76" s="114">
        <v>0.8</v>
      </c>
      <c r="BA76" s="114">
        <v>0.8</v>
      </c>
      <c r="BB76" s="114">
        <v>0.8</v>
      </c>
      <c r="BC76" s="114">
        <v>0.8</v>
      </c>
      <c r="BD76" s="114">
        <v>0</v>
      </c>
      <c r="BE76" s="114">
        <v>0</v>
      </c>
      <c r="BF76" s="114">
        <v>0</v>
      </c>
      <c r="BG76" s="114">
        <v>0.8</v>
      </c>
      <c r="BH76" s="114">
        <v>0.8</v>
      </c>
      <c r="BI76" s="114">
        <v>0</v>
      </c>
      <c r="BJ76" s="114">
        <v>0</v>
      </c>
      <c r="BK76" s="114">
        <v>0</v>
      </c>
      <c r="BL76" s="114">
        <v>0</v>
      </c>
      <c r="BM76" s="114">
        <v>0.8</v>
      </c>
      <c r="BN76" s="114">
        <v>0.8</v>
      </c>
      <c r="BO76" s="114">
        <v>0</v>
      </c>
      <c r="BP76" s="114">
        <v>0</v>
      </c>
      <c r="BQ76" s="114">
        <v>0</v>
      </c>
      <c r="BR76" s="114">
        <v>0</v>
      </c>
      <c r="BS76" s="114">
        <v>0</v>
      </c>
      <c r="BT76" s="114">
        <v>0</v>
      </c>
      <c r="BU76" s="114">
        <v>0</v>
      </c>
      <c r="BV76" s="114">
        <v>0</v>
      </c>
      <c r="BW76" s="114">
        <v>0</v>
      </c>
      <c r="BX76" s="114">
        <v>0.8</v>
      </c>
      <c r="BY76" s="114">
        <v>0.8</v>
      </c>
      <c r="BZ76" s="114">
        <v>0</v>
      </c>
      <c r="CA76" s="114">
        <v>0</v>
      </c>
      <c r="CB76" s="114">
        <v>0</v>
      </c>
      <c r="CC76" s="114">
        <v>0</v>
      </c>
      <c r="CD76" s="114">
        <v>0</v>
      </c>
      <c r="CE76" s="114">
        <v>0</v>
      </c>
      <c r="CF76" s="114">
        <v>0</v>
      </c>
      <c r="CG76" s="114">
        <v>0</v>
      </c>
      <c r="CH76" s="114">
        <v>0</v>
      </c>
      <c r="CI76" s="114">
        <v>0</v>
      </c>
      <c r="CJ76" s="114">
        <v>0</v>
      </c>
      <c r="CK76" s="114">
        <v>0</v>
      </c>
      <c r="CL76" s="114">
        <v>0</v>
      </c>
      <c r="CM76" s="114">
        <v>0</v>
      </c>
      <c r="CN76" s="114">
        <v>0</v>
      </c>
      <c r="CO76" s="114">
        <v>0</v>
      </c>
      <c r="CP76" s="114">
        <v>0</v>
      </c>
      <c r="CQ76" s="114">
        <v>0</v>
      </c>
      <c r="CR76" s="114">
        <v>0</v>
      </c>
      <c r="CS76" s="114">
        <v>0</v>
      </c>
      <c r="CT76" s="114">
        <v>0</v>
      </c>
      <c r="CU76" s="114">
        <v>0</v>
      </c>
      <c r="CV76" s="114">
        <v>0</v>
      </c>
    </row>
    <row r="77" spans="1:100" x14ac:dyDescent="0.15">
      <c r="A77" s="191" t="s">
        <v>267</v>
      </c>
      <c r="B77" s="114">
        <v>0</v>
      </c>
      <c r="C77" s="114">
        <v>0</v>
      </c>
      <c r="D77" s="114">
        <v>0.8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0.8</v>
      </c>
      <c r="L77" s="114">
        <v>0.8</v>
      </c>
      <c r="M77" s="114">
        <v>0</v>
      </c>
      <c r="N77" s="114">
        <v>0.8</v>
      </c>
      <c r="O77" s="114">
        <v>0.8</v>
      </c>
      <c r="P77" s="114">
        <v>0</v>
      </c>
      <c r="Q77" s="114">
        <v>0.8</v>
      </c>
      <c r="R77" s="114">
        <v>0.8</v>
      </c>
      <c r="S77" s="114">
        <v>0.8</v>
      </c>
      <c r="T77" s="114">
        <v>0.8</v>
      </c>
      <c r="U77" s="114">
        <v>0.8</v>
      </c>
      <c r="V77" s="114">
        <v>0</v>
      </c>
      <c r="W77" s="114">
        <v>0</v>
      </c>
      <c r="X77" s="114">
        <v>0</v>
      </c>
      <c r="Y77" s="114">
        <v>0</v>
      </c>
      <c r="Z77" s="114">
        <v>0.8</v>
      </c>
      <c r="AA77" s="114">
        <v>0.8</v>
      </c>
      <c r="AB77" s="114">
        <v>0.8</v>
      </c>
      <c r="AC77" s="114">
        <v>0</v>
      </c>
      <c r="AD77" s="114">
        <v>0</v>
      </c>
      <c r="AE77" s="114">
        <v>0</v>
      </c>
      <c r="AF77" s="114">
        <v>0.8</v>
      </c>
      <c r="AG77" s="114">
        <v>0.8</v>
      </c>
      <c r="AH77" s="114">
        <v>0.8</v>
      </c>
      <c r="AI77" s="114">
        <v>0.8</v>
      </c>
      <c r="AJ77" s="114">
        <v>0</v>
      </c>
      <c r="AK77" s="114">
        <v>0.8</v>
      </c>
      <c r="AL77" s="114">
        <v>0</v>
      </c>
      <c r="AM77" s="114">
        <v>0</v>
      </c>
      <c r="AN77" s="114">
        <v>0</v>
      </c>
      <c r="AO77" s="114">
        <v>0</v>
      </c>
      <c r="AP77" s="114">
        <v>0</v>
      </c>
      <c r="AQ77" s="114">
        <v>0.8</v>
      </c>
      <c r="AR77" s="114">
        <v>0.8</v>
      </c>
      <c r="AS77" s="114">
        <v>0.8</v>
      </c>
      <c r="AT77" s="114">
        <v>0.8</v>
      </c>
      <c r="AU77" s="114">
        <v>0.8</v>
      </c>
      <c r="AV77" s="114">
        <v>0</v>
      </c>
      <c r="AW77" s="114">
        <v>0</v>
      </c>
      <c r="AX77" s="114">
        <v>0</v>
      </c>
      <c r="AY77" s="114">
        <v>0.8</v>
      </c>
      <c r="AZ77" s="114">
        <v>0.8</v>
      </c>
      <c r="BA77" s="114">
        <v>0.8</v>
      </c>
      <c r="BB77" s="114">
        <v>0</v>
      </c>
      <c r="BC77" s="114">
        <v>0.8</v>
      </c>
      <c r="BD77" s="114">
        <v>0</v>
      </c>
      <c r="BE77" s="114">
        <v>0</v>
      </c>
      <c r="BF77" s="114">
        <v>0</v>
      </c>
      <c r="BG77" s="114">
        <v>0</v>
      </c>
      <c r="BH77" s="114">
        <v>0</v>
      </c>
      <c r="BI77" s="114">
        <v>0</v>
      </c>
      <c r="BJ77" s="114">
        <v>0</v>
      </c>
      <c r="BK77" s="114">
        <v>0</v>
      </c>
      <c r="BL77" s="114">
        <v>0</v>
      </c>
      <c r="BM77" s="114">
        <v>0.8</v>
      </c>
      <c r="BN77" s="114">
        <v>0.8</v>
      </c>
      <c r="BO77" s="114">
        <v>0.8</v>
      </c>
      <c r="BP77" s="114">
        <v>0</v>
      </c>
      <c r="BQ77" s="114">
        <v>0</v>
      </c>
      <c r="BR77" s="114">
        <v>0</v>
      </c>
      <c r="BS77" s="114">
        <v>0</v>
      </c>
      <c r="BT77" s="114">
        <v>0</v>
      </c>
      <c r="BU77" s="114">
        <v>0</v>
      </c>
      <c r="BV77" s="114">
        <v>0</v>
      </c>
      <c r="BW77" s="114">
        <v>0</v>
      </c>
      <c r="BX77" s="114">
        <v>0</v>
      </c>
      <c r="BY77" s="114">
        <v>0.8</v>
      </c>
      <c r="BZ77" s="114">
        <v>0</v>
      </c>
      <c r="CA77" s="114">
        <v>0</v>
      </c>
      <c r="CB77" s="114">
        <v>0</v>
      </c>
      <c r="CC77" s="114">
        <v>0</v>
      </c>
      <c r="CD77" s="114">
        <v>0</v>
      </c>
      <c r="CE77" s="114">
        <v>0</v>
      </c>
      <c r="CF77" s="114">
        <v>0</v>
      </c>
      <c r="CG77" s="114">
        <v>0</v>
      </c>
      <c r="CH77" s="114">
        <v>0</v>
      </c>
      <c r="CI77" s="114">
        <v>0</v>
      </c>
      <c r="CJ77" s="114">
        <v>0.8</v>
      </c>
      <c r="CK77" s="114">
        <v>0</v>
      </c>
      <c r="CL77" s="114">
        <v>0</v>
      </c>
      <c r="CM77" s="114">
        <v>0</v>
      </c>
      <c r="CN77" s="114">
        <v>0</v>
      </c>
      <c r="CO77" s="114">
        <v>0</v>
      </c>
      <c r="CP77" s="114">
        <v>0</v>
      </c>
      <c r="CQ77" s="114">
        <v>0</v>
      </c>
      <c r="CR77" s="114">
        <v>0</v>
      </c>
      <c r="CS77" s="114">
        <v>0</v>
      </c>
      <c r="CT77" s="114">
        <v>0</v>
      </c>
      <c r="CU77" s="114">
        <v>0</v>
      </c>
      <c r="CV77" s="114">
        <v>0</v>
      </c>
    </row>
    <row r="78" spans="1:100" x14ac:dyDescent="0.15">
      <c r="A78" s="191" t="s">
        <v>268</v>
      </c>
      <c r="B78" s="114">
        <v>0</v>
      </c>
      <c r="C78" s="114">
        <v>0</v>
      </c>
      <c r="D78" s="114">
        <v>0</v>
      </c>
      <c r="E78" s="114">
        <v>0</v>
      </c>
      <c r="F78" s="114">
        <v>0</v>
      </c>
      <c r="G78" s="114">
        <v>0.8</v>
      </c>
      <c r="H78" s="114">
        <v>0</v>
      </c>
      <c r="I78" s="114">
        <v>0.8</v>
      </c>
      <c r="J78" s="114">
        <v>0</v>
      </c>
      <c r="K78" s="114">
        <v>0</v>
      </c>
      <c r="L78" s="114">
        <v>0</v>
      </c>
      <c r="M78" s="114">
        <v>0</v>
      </c>
      <c r="N78" s="114">
        <v>0.8</v>
      </c>
      <c r="O78" s="114">
        <v>0.8</v>
      </c>
      <c r="P78" s="114">
        <v>0</v>
      </c>
      <c r="Q78" s="114">
        <v>0.8</v>
      </c>
      <c r="R78" s="114">
        <v>0.8</v>
      </c>
      <c r="S78" s="114">
        <v>0.8</v>
      </c>
      <c r="T78" s="114">
        <v>0</v>
      </c>
      <c r="U78" s="114">
        <v>0.8</v>
      </c>
      <c r="V78" s="114">
        <v>0</v>
      </c>
      <c r="W78" s="114">
        <v>0</v>
      </c>
      <c r="X78" s="114">
        <v>0</v>
      </c>
      <c r="Y78" s="114">
        <v>0</v>
      </c>
      <c r="Z78" s="114">
        <v>0.8</v>
      </c>
      <c r="AA78" s="114">
        <v>0</v>
      </c>
      <c r="AB78" s="114">
        <v>0</v>
      </c>
      <c r="AC78" s="114">
        <v>0</v>
      </c>
      <c r="AD78" s="114">
        <v>0</v>
      </c>
      <c r="AE78" s="114">
        <v>0</v>
      </c>
      <c r="AF78" s="114">
        <v>0</v>
      </c>
      <c r="AG78" s="114">
        <v>0.8</v>
      </c>
      <c r="AH78" s="114">
        <v>0.8</v>
      </c>
      <c r="AI78" s="114">
        <v>0.8</v>
      </c>
      <c r="AJ78" s="114">
        <v>0</v>
      </c>
      <c r="AK78" s="114">
        <v>0</v>
      </c>
      <c r="AL78" s="114">
        <v>0</v>
      </c>
      <c r="AM78" s="114">
        <v>0</v>
      </c>
      <c r="AN78" s="114">
        <v>0</v>
      </c>
      <c r="AO78" s="114">
        <v>0</v>
      </c>
      <c r="AP78" s="114">
        <v>0</v>
      </c>
      <c r="AQ78" s="114">
        <v>0.8</v>
      </c>
      <c r="AR78" s="114">
        <v>0.8</v>
      </c>
      <c r="AS78" s="114">
        <v>0.8</v>
      </c>
      <c r="AT78" s="114">
        <v>0.8</v>
      </c>
      <c r="AU78" s="114">
        <v>0.8</v>
      </c>
      <c r="AV78" s="114">
        <v>0</v>
      </c>
      <c r="AW78" s="114">
        <v>0</v>
      </c>
      <c r="AX78" s="114">
        <v>0</v>
      </c>
      <c r="AY78" s="114">
        <v>0.8</v>
      </c>
      <c r="AZ78" s="114">
        <v>0.8</v>
      </c>
      <c r="BA78" s="114">
        <v>0.8</v>
      </c>
      <c r="BB78" s="114">
        <v>0</v>
      </c>
      <c r="BC78" s="114">
        <v>0.8</v>
      </c>
      <c r="BD78" s="114">
        <v>0</v>
      </c>
      <c r="BE78" s="114">
        <v>0</v>
      </c>
      <c r="BF78" s="114">
        <v>0</v>
      </c>
      <c r="BG78" s="114">
        <v>0</v>
      </c>
      <c r="BH78" s="114">
        <v>0</v>
      </c>
      <c r="BI78" s="114">
        <v>0</v>
      </c>
      <c r="BJ78" s="114">
        <v>0</v>
      </c>
      <c r="BK78" s="114">
        <v>0</v>
      </c>
      <c r="BL78" s="114">
        <v>0</v>
      </c>
      <c r="BM78" s="114">
        <v>0.8</v>
      </c>
      <c r="BN78" s="114">
        <v>0.8</v>
      </c>
      <c r="BO78" s="114">
        <v>0.8</v>
      </c>
      <c r="BP78" s="114">
        <v>0</v>
      </c>
      <c r="BQ78" s="114">
        <v>0</v>
      </c>
      <c r="BR78" s="114">
        <v>0</v>
      </c>
      <c r="BS78" s="114">
        <v>0</v>
      </c>
      <c r="BT78" s="114">
        <v>0</v>
      </c>
      <c r="BU78" s="114">
        <v>0</v>
      </c>
      <c r="BV78" s="114">
        <v>0</v>
      </c>
      <c r="BW78" s="114">
        <v>0</v>
      </c>
      <c r="BX78" s="114">
        <v>0</v>
      </c>
      <c r="BY78" s="114">
        <v>0.8</v>
      </c>
      <c r="BZ78" s="114">
        <v>0</v>
      </c>
      <c r="CA78" s="114">
        <v>0</v>
      </c>
      <c r="CB78" s="114">
        <v>0</v>
      </c>
      <c r="CC78" s="114">
        <v>0</v>
      </c>
      <c r="CD78" s="114">
        <v>0</v>
      </c>
      <c r="CE78" s="114">
        <v>0</v>
      </c>
      <c r="CF78" s="114">
        <v>0</v>
      </c>
      <c r="CG78" s="114">
        <v>0</v>
      </c>
      <c r="CH78" s="114">
        <v>0</v>
      </c>
      <c r="CI78" s="114">
        <v>0</v>
      </c>
      <c r="CJ78" s="114">
        <v>0.8</v>
      </c>
      <c r="CK78" s="114">
        <v>0.8</v>
      </c>
      <c r="CL78" s="114">
        <v>0</v>
      </c>
      <c r="CM78" s="114">
        <v>0</v>
      </c>
      <c r="CN78" s="114">
        <v>0</v>
      </c>
      <c r="CO78" s="114">
        <v>0</v>
      </c>
      <c r="CP78" s="114">
        <v>0</v>
      </c>
      <c r="CQ78" s="114">
        <v>0</v>
      </c>
      <c r="CR78" s="114">
        <v>0</v>
      </c>
      <c r="CS78" s="114">
        <v>0</v>
      </c>
      <c r="CT78" s="114">
        <v>0</v>
      </c>
      <c r="CU78" s="114">
        <v>0</v>
      </c>
      <c r="CV78" s="114">
        <v>0</v>
      </c>
    </row>
    <row r="79" spans="1:100" x14ac:dyDescent="0.15">
      <c r="A79" s="191" t="s">
        <v>269</v>
      </c>
      <c r="B79" s="114">
        <v>0</v>
      </c>
      <c r="C79" s="114">
        <v>0</v>
      </c>
      <c r="D79" s="114">
        <v>0</v>
      </c>
      <c r="E79" s="114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0.8</v>
      </c>
      <c r="K79" s="114">
        <v>0.8</v>
      </c>
      <c r="L79" s="114">
        <v>0.8</v>
      </c>
      <c r="M79" s="114">
        <v>0.8</v>
      </c>
      <c r="N79" s="114">
        <v>0.8</v>
      </c>
      <c r="O79" s="114">
        <v>0.8</v>
      </c>
      <c r="P79" s="114">
        <v>0</v>
      </c>
      <c r="Q79" s="114">
        <v>0.8</v>
      </c>
      <c r="R79" s="114">
        <v>0.8</v>
      </c>
      <c r="S79" s="114">
        <v>0.8</v>
      </c>
      <c r="T79" s="114">
        <v>0.8</v>
      </c>
      <c r="U79" s="114">
        <v>0.8</v>
      </c>
      <c r="V79" s="114">
        <v>0</v>
      </c>
      <c r="W79" s="114">
        <v>0.8</v>
      </c>
      <c r="X79" s="114">
        <v>0.8</v>
      </c>
      <c r="Y79" s="114">
        <v>0</v>
      </c>
      <c r="Z79" s="114">
        <v>0.8</v>
      </c>
      <c r="AA79" s="114">
        <v>0.8</v>
      </c>
      <c r="AB79" s="114">
        <v>0.8</v>
      </c>
      <c r="AC79" s="114">
        <v>0</v>
      </c>
      <c r="AD79" s="114">
        <v>0</v>
      </c>
      <c r="AE79" s="114">
        <v>0</v>
      </c>
      <c r="AF79" s="114">
        <v>0.8</v>
      </c>
      <c r="AG79" s="114">
        <v>0.8</v>
      </c>
      <c r="AH79" s="114">
        <v>0.8</v>
      </c>
      <c r="AI79" s="114">
        <v>0.8</v>
      </c>
      <c r="AJ79" s="114">
        <v>0</v>
      </c>
      <c r="AK79" s="114">
        <v>0.8</v>
      </c>
      <c r="AL79" s="114">
        <v>0.8</v>
      </c>
      <c r="AM79" s="114">
        <v>0.8</v>
      </c>
      <c r="AN79" s="114">
        <v>0.8</v>
      </c>
      <c r="AO79" s="114">
        <v>0.8</v>
      </c>
      <c r="AP79" s="114">
        <v>0.8</v>
      </c>
      <c r="AQ79" s="114">
        <v>0.8</v>
      </c>
      <c r="AR79" s="114">
        <v>0.8</v>
      </c>
      <c r="AS79" s="114">
        <v>0.8</v>
      </c>
      <c r="AT79" s="114">
        <v>0.8</v>
      </c>
      <c r="AU79" s="114">
        <v>0.8</v>
      </c>
      <c r="AV79" s="114">
        <v>0.8</v>
      </c>
      <c r="AW79" s="114">
        <v>0.8</v>
      </c>
      <c r="AX79" s="114">
        <v>0.8</v>
      </c>
      <c r="AY79" s="114">
        <v>0.8</v>
      </c>
      <c r="AZ79" s="114">
        <v>0.8</v>
      </c>
      <c r="BA79" s="114">
        <v>0.8</v>
      </c>
      <c r="BB79" s="114">
        <v>0.8</v>
      </c>
      <c r="BC79" s="114">
        <v>0.8</v>
      </c>
      <c r="BD79" s="114">
        <v>0.8</v>
      </c>
      <c r="BE79" s="114">
        <v>0</v>
      </c>
      <c r="BF79" s="114">
        <v>0</v>
      </c>
      <c r="BG79" s="114">
        <v>0.8</v>
      </c>
      <c r="BH79" s="114">
        <v>0.8</v>
      </c>
      <c r="BI79" s="114">
        <v>0</v>
      </c>
      <c r="BJ79" s="114">
        <v>0</v>
      </c>
      <c r="BK79" s="114">
        <v>0</v>
      </c>
      <c r="BL79" s="114">
        <v>0</v>
      </c>
      <c r="BM79" s="114">
        <v>0.8</v>
      </c>
      <c r="BN79" s="114">
        <v>0.8</v>
      </c>
      <c r="BO79" s="114">
        <v>0.8</v>
      </c>
      <c r="BP79" s="114">
        <v>0</v>
      </c>
      <c r="BQ79" s="114">
        <v>0</v>
      </c>
      <c r="BR79" s="114">
        <v>0</v>
      </c>
      <c r="BS79" s="114">
        <v>0</v>
      </c>
      <c r="BT79" s="114">
        <v>0</v>
      </c>
      <c r="BU79" s="114">
        <v>0</v>
      </c>
      <c r="BV79" s="114">
        <v>0</v>
      </c>
      <c r="BW79" s="114">
        <v>0</v>
      </c>
      <c r="BX79" s="114">
        <v>0</v>
      </c>
      <c r="BY79" s="114">
        <v>0.8</v>
      </c>
      <c r="BZ79" s="114">
        <v>0</v>
      </c>
      <c r="CA79" s="114">
        <v>0</v>
      </c>
      <c r="CB79" s="114">
        <v>0</v>
      </c>
      <c r="CC79" s="114">
        <v>0</v>
      </c>
      <c r="CD79" s="114">
        <v>0</v>
      </c>
      <c r="CE79" s="114">
        <v>0</v>
      </c>
      <c r="CF79" s="114">
        <v>0</v>
      </c>
      <c r="CG79" s="114">
        <v>0</v>
      </c>
      <c r="CH79" s="114">
        <v>0</v>
      </c>
      <c r="CI79" s="114">
        <v>0</v>
      </c>
      <c r="CJ79" s="114">
        <v>0.8</v>
      </c>
      <c r="CK79" s="114">
        <v>0</v>
      </c>
      <c r="CL79" s="114">
        <v>0</v>
      </c>
      <c r="CM79" s="114">
        <v>0</v>
      </c>
      <c r="CN79" s="114">
        <v>0</v>
      </c>
      <c r="CO79" s="114">
        <v>0</v>
      </c>
      <c r="CP79" s="114">
        <v>0</v>
      </c>
      <c r="CQ79" s="114">
        <v>0</v>
      </c>
      <c r="CR79" s="114">
        <v>0</v>
      </c>
      <c r="CS79" s="114">
        <v>0</v>
      </c>
      <c r="CT79" s="114">
        <v>0</v>
      </c>
      <c r="CU79" s="114">
        <v>0</v>
      </c>
      <c r="CV79" s="114">
        <v>0</v>
      </c>
    </row>
    <row r="80" spans="1:100" x14ac:dyDescent="0.15">
      <c r="A80" s="191" t="s">
        <v>270</v>
      </c>
      <c r="B80" s="114">
        <v>0</v>
      </c>
      <c r="C80" s="114">
        <v>0</v>
      </c>
      <c r="D80" s="114">
        <v>0</v>
      </c>
      <c r="E80" s="114">
        <v>0</v>
      </c>
      <c r="F80" s="114">
        <v>0</v>
      </c>
      <c r="G80" s="114">
        <v>0.8</v>
      </c>
      <c r="H80" s="114">
        <v>0</v>
      </c>
      <c r="I80" s="114">
        <v>0.8</v>
      </c>
      <c r="J80" s="114">
        <v>0.8</v>
      </c>
      <c r="K80" s="114">
        <v>0.8</v>
      </c>
      <c r="L80" s="114">
        <v>0.8</v>
      </c>
      <c r="M80" s="114">
        <v>0.8</v>
      </c>
      <c r="N80" s="114">
        <v>0.8</v>
      </c>
      <c r="O80" s="114">
        <v>0.8</v>
      </c>
      <c r="P80" s="114">
        <v>0.8</v>
      </c>
      <c r="Q80" s="114">
        <v>0.8</v>
      </c>
      <c r="R80" s="114">
        <v>0.8</v>
      </c>
      <c r="S80" s="114">
        <v>0.8</v>
      </c>
      <c r="T80" s="114">
        <v>0.8</v>
      </c>
      <c r="U80" s="114">
        <v>0.8</v>
      </c>
      <c r="V80" s="114">
        <v>0</v>
      </c>
      <c r="W80" s="114">
        <v>0.8</v>
      </c>
      <c r="X80" s="114">
        <v>0.8</v>
      </c>
      <c r="Y80" s="114">
        <v>0</v>
      </c>
      <c r="Z80" s="114">
        <v>0.8</v>
      </c>
      <c r="AA80" s="114">
        <v>0.8</v>
      </c>
      <c r="AB80" s="114">
        <v>0.8</v>
      </c>
      <c r="AC80" s="114">
        <v>0.8</v>
      </c>
      <c r="AD80" s="114">
        <v>0</v>
      </c>
      <c r="AE80" s="114">
        <v>0</v>
      </c>
      <c r="AF80" s="114">
        <v>0.8</v>
      </c>
      <c r="AG80" s="114">
        <v>0.8</v>
      </c>
      <c r="AH80" s="114">
        <v>0.8</v>
      </c>
      <c r="AI80" s="114">
        <v>0.8</v>
      </c>
      <c r="AJ80" s="114">
        <v>0</v>
      </c>
      <c r="AK80" s="114">
        <v>0.8</v>
      </c>
      <c r="AL80" s="114">
        <v>0.8</v>
      </c>
      <c r="AM80" s="114">
        <v>0.8</v>
      </c>
      <c r="AN80" s="114">
        <v>0.8</v>
      </c>
      <c r="AO80" s="114">
        <v>0.8</v>
      </c>
      <c r="AP80" s="114">
        <v>0.8</v>
      </c>
      <c r="AQ80" s="114">
        <v>0.8</v>
      </c>
      <c r="AR80" s="114">
        <v>0.8</v>
      </c>
      <c r="AS80" s="114">
        <v>0.8</v>
      </c>
      <c r="AT80" s="114">
        <v>0.8</v>
      </c>
      <c r="AU80" s="114">
        <v>0.8</v>
      </c>
      <c r="AV80" s="114">
        <v>0.8</v>
      </c>
      <c r="AW80" s="114">
        <v>0.8</v>
      </c>
      <c r="AX80" s="114">
        <v>0.8</v>
      </c>
      <c r="AY80" s="114">
        <v>0.8</v>
      </c>
      <c r="AZ80" s="114">
        <v>0.8</v>
      </c>
      <c r="BA80" s="114">
        <v>0.8</v>
      </c>
      <c r="BB80" s="114">
        <v>0.8</v>
      </c>
      <c r="BC80" s="114">
        <v>0.8</v>
      </c>
      <c r="BD80" s="114">
        <v>0.8</v>
      </c>
      <c r="BE80" s="114">
        <v>0</v>
      </c>
      <c r="BF80" s="114">
        <v>0</v>
      </c>
      <c r="BG80" s="114">
        <v>0.8</v>
      </c>
      <c r="BH80" s="114">
        <v>0.8</v>
      </c>
      <c r="BI80" s="114">
        <v>0</v>
      </c>
      <c r="BJ80" s="114">
        <v>0</v>
      </c>
      <c r="BK80" s="114">
        <v>0</v>
      </c>
      <c r="BL80" s="114">
        <v>0</v>
      </c>
      <c r="BM80" s="114">
        <v>0.8</v>
      </c>
      <c r="BN80" s="114">
        <v>0.8</v>
      </c>
      <c r="BO80" s="114">
        <v>0.8</v>
      </c>
      <c r="BP80" s="114">
        <v>0</v>
      </c>
      <c r="BQ80" s="114">
        <v>0</v>
      </c>
      <c r="BR80" s="114">
        <v>0</v>
      </c>
      <c r="BS80" s="114">
        <v>0</v>
      </c>
      <c r="BT80" s="114">
        <v>0</v>
      </c>
      <c r="BU80" s="114">
        <v>0</v>
      </c>
      <c r="BV80" s="114">
        <v>0.8</v>
      </c>
      <c r="BW80" s="114">
        <v>0</v>
      </c>
      <c r="BX80" s="114">
        <v>0</v>
      </c>
      <c r="BY80" s="114">
        <v>0.8</v>
      </c>
      <c r="BZ80" s="114">
        <v>0</v>
      </c>
      <c r="CA80" s="114">
        <v>0</v>
      </c>
      <c r="CB80" s="114">
        <v>0</v>
      </c>
      <c r="CC80" s="114">
        <v>0</v>
      </c>
      <c r="CD80" s="114">
        <v>0</v>
      </c>
      <c r="CE80" s="114">
        <v>0</v>
      </c>
      <c r="CF80" s="114">
        <v>0</v>
      </c>
      <c r="CG80" s="114">
        <v>0</v>
      </c>
      <c r="CH80" s="114">
        <v>0</v>
      </c>
      <c r="CI80" s="114">
        <v>0</v>
      </c>
      <c r="CJ80" s="114">
        <v>0.8</v>
      </c>
      <c r="CK80" s="114">
        <v>0</v>
      </c>
      <c r="CL80" s="114">
        <v>0</v>
      </c>
      <c r="CM80" s="114">
        <v>0</v>
      </c>
      <c r="CN80" s="114">
        <v>0</v>
      </c>
      <c r="CO80" s="114">
        <v>0</v>
      </c>
      <c r="CP80" s="114">
        <v>0</v>
      </c>
      <c r="CQ80" s="114">
        <v>0</v>
      </c>
      <c r="CR80" s="114">
        <v>0</v>
      </c>
      <c r="CS80" s="114">
        <v>0</v>
      </c>
      <c r="CT80" s="114">
        <v>0</v>
      </c>
      <c r="CU80" s="114">
        <v>0</v>
      </c>
      <c r="CV80" s="114">
        <v>0</v>
      </c>
    </row>
    <row r="81" spans="1:100" x14ac:dyDescent="0.15">
      <c r="A81" s="191" t="s">
        <v>271</v>
      </c>
      <c r="B81" s="114">
        <v>0</v>
      </c>
      <c r="C81" s="114">
        <v>0</v>
      </c>
      <c r="D81" s="114">
        <v>0</v>
      </c>
      <c r="E81" s="114">
        <v>0</v>
      </c>
      <c r="F81" s="114">
        <v>0</v>
      </c>
      <c r="G81" s="114">
        <v>0.8</v>
      </c>
      <c r="H81" s="114">
        <v>0</v>
      </c>
      <c r="I81" s="114">
        <v>0.8</v>
      </c>
      <c r="J81" s="114">
        <v>0</v>
      </c>
      <c r="K81" s="114">
        <v>0.8</v>
      </c>
      <c r="L81" s="114">
        <v>0.8</v>
      </c>
      <c r="M81" s="114">
        <v>0.8</v>
      </c>
      <c r="N81" s="114">
        <v>0.8</v>
      </c>
      <c r="O81" s="114">
        <v>0.8</v>
      </c>
      <c r="P81" s="114">
        <v>0.8</v>
      </c>
      <c r="Q81" s="114">
        <v>0.8</v>
      </c>
      <c r="R81" s="114">
        <v>0.8</v>
      </c>
      <c r="S81" s="114">
        <v>0.8</v>
      </c>
      <c r="T81" s="114">
        <v>0.8</v>
      </c>
      <c r="U81" s="114">
        <v>0.8</v>
      </c>
      <c r="V81" s="114">
        <v>0</v>
      </c>
      <c r="W81" s="114">
        <v>0.8</v>
      </c>
      <c r="X81" s="114">
        <v>0.8</v>
      </c>
      <c r="Y81" s="114">
        <v>0</v>
      </c>
      <c r="Z81" s="114">
        <v>0.8</v>
      </c>
      <c r="AA81" s="114">
        <v>0.8</v>
      </c>
      <c r="AB81" s="114">
        <v>0.8</v>
      </c>
      <c r="AC81" s="114">
        <v>0.8</v>
      </c>
      <c r="AD81" s="114">
        <v>0</v>
      </c>
      <c r="AE81" s="114">
        <v>0</v>
      </c>
      <c r="AF81" s="114">
        <v>0.8</v>
      </c>
      <c r="AG81" s="114">
        <v>0.8</v>
      </c>
      <c r="AH81" s="114">
        <v>0.8</v>
      </c>
      <c r="AI81" s="114">
        <v>0.8</v>
      </c>
      <c r="AJ81" s="114">
        <v>0</v>
      </c>
      <c r="AK81" s="114">
        <v>0.8</v>
      </c>
      <c r="AL81" s="114">
        <v>0.8</v>
      </c>
      <c r="AM81" s="114">
        <v>0.8</v>
      </c>
      <c r="AN81" s="114">
        <v>0.8</v>
      </c>
      <c r="AO81" s="114">
        <v>0.8</v>
      </c>
      <c r="AP81" s="114">
        <v>0.8</v>
      </c>
      <c r="AQ81" s="114">
        <v>0.8</v>
      </c>
      <c r="AR81" s="114">
        <v>0.8</v>
      </c>
      <c r="AS81" s="114">
        <v>0.8</v>
      </c>
      <c r="AT81" s="114">
        <v>0.8</v>
      </c>
      <c r="AU81" s="114">
        <v>0.8</v>
      </c>
      <c r="AV81" s="114">
        <v>0.8</v>
      </c>
      <c r="AW81" s="114">
        <v>0.8</v>
      </c>
      <c r="AX81" s="114">
        <v>0.8</v>
      </c>
      <c r="AY81" s="114">
        <v>0.8</v>
      </c>
      <c r="AZ81" s="114">
        <v>0.8</v>
      </c>
      <c r="BA81" s="114">
        <v>0.8</v>
      </c>
      <c r="BB81" s="114">
        <v>0.8</v>
      </c>
      <c r="BC81" s="114">
        <v>0.8</v>
      </c>
      <c r="BD81" s="114">
        <v>0.8</v>
      </c>
      <c r="BE81" s="114">
        <v>0</v>
      </c>
      <c r="BF81" s="114">
        <v>0</v>
      </c>
      <c r="BG81" s="114">
        <v>0.8</v>
      </c>
      <c r="BH81" s="114">
        <v>0.8</v>
      </c>
      <c r="BI81" s="114">
        <v>0</v>
      </c>
      <c r="BJ81" s="114">
        <v>0</v>
      </c>
      <c r="BK81" s="114">
        <v>0</v>
      </c>
      <c r="BL81" s="114">
        <v>0</v>
      </c>
      <c r="BM81" s="114">
        <v>0.8</v>
      </c>
      <c r="BN81" s="114">
        <v>0.8</v>
      </c>
      <c r="BO81" s="114">
        <v>0.8</v>
      </c>
      <c r="BP81" s="114">
        <v>0</v>
      </c>
      <c r="BQ81" s="114">
        <v>0</v>
      </c>
      <c r="BR81" s="114">
        <v>0</v>
      </c>
      <c r="BS81" s="114">
        <v>0</v>
      </c>
      <c r="BT81" s="114">
        <v>0</v>
      </c>
      <c r="BU81" s="114">
        <v>0.8</v>
      </c>
      <c r="BV81" s="114">
        <v>0.8</v>
      </c>
      <c r="BW81" s="114">
        <v>0</v>
      </c>
      <c r="BX81" s="114">
        <v>0</v>
      </c>
      <c r="BY81" s="114">
        <v>0.8</v>
      </c>
      <c r="BZ81" s="114">
        <v>0</v>
      </c>
      <c r="CA81" s="114">
        <v>0</v>
      </c>
      <c r="CB81" s="114">
        <v>0.8</v>
      </c>
      <c r="CC81" s="114">
        <v>0</v>
      </c>
      <c r="CD81" s="114">
        <v>0</v>
      </c>
      <c r="CE81" s="114">
        <v>0</v>
      </c>
      <c r="CF81" s="114">
        <v>0</v>
      </c>
      <c r="CG81" s="114">
        <v>0</v>
      </c>
      <c r="CH81" s="114">
        <v>0</v>
      </c>
      <c r="CI81" s="114">
        <v>0</v>
      </c>
      <c r="CJ81" s="114">
        <v>0.8</v>
      </c>
      <c r="CK81" s="114">
        <v>0</v>
      </c>
      <c r="CL81" s="114">
        <v>0</v>
      </c>
      <c r="CM81" s="114">
        <v>0</v>
      </c>
      <c r="CN81" s="114">
        <v>0</v>
      </c>
      <c r="CO81" s="114">
        <v>0</v>
      </c>
      <c r="CP81" s="114">
        <v>0</v>
      </c>
      <c r="CQ81" s="114">
        <v>0</v>
      </c>
      <c r="CR81" s="114">
        <v>0</v>
      </c>
      <c r="CS81" s="114">
        <v>0</v>
      </c>
      <c r="CT81" s="114">
        <v>0</v>
      </c>
      <c r="CU81" s="114">
        <v>0</v>
      </c>
      <c r="CV81" s="114">
        <v>0</v>
      </c>
    </row>
    <row r="82" spans="1:100" x14ac:dyDescent="0.15">
      <c r="A82" s="191" t="s">
        <v>272</v>
      </c>
      <c r="B82" s="114">
        <v>0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0.8</v>
      </c>
      <c r="O82" s="114">
        <v>0.8</v>
      </c>
      <c r="P82" s="114">
        <v>0</v>
      </c>
      <c r="Q82" s="114">
        <v>0.8</v>
      </c>
      <c r="R82" s="114">
        <v>0.8</v>
      </c>
      <c r="S82" s="114">
        <v>0.8</v>
      </c>
      <c r="T82" s="114">
        <v>0</v>
      </c>
      <c r="U82" s="114">
        <v>0.8</v>
      </c>
      <c r="V82" s="114">
        <v>0</v>
      </c>
      <c r="W82" s="114">
        <v>0</v>
      </c>
      <c r="X82" s="114">
        <v>0</v>
      </c>
      <c r="Y82" s="114">
        <v>0</v>
      </c>
      <c r="Z82" s="114">
        <v>0.8</v>
      </c>
      <c r="AA82" s="114">
        <v>0</v>
      </c>
      <c r="AB82" s="114">
        <v>0</v>
      </c>
      <c r="AC82" s="114">
        <v>0</v>
      </c>
      <c r="AD82" s="114">
        <v>0</v>
      </c>
      <c r="AE82" s="114">
        <v>0</v>
      </c>
      <c r="AF82" s="114">
        <v>0</v>
      </c>
      <c r="AG82" s="114">
        <v>0.8</v>
      </c>
      <c r="AH82" s="114">
        <v>0.8</v>
      </c>
      <c r="AI82" s="114">
        <v>0.8</v>
      </c>
      <c r="AJ82" s="114">
        <v>0</v>
      </c>
      <c r="AK82" s="114">
        <v>0</v>
      </c>
      <c r="AL82" s="114">
        <v>0</v>
      </c>
      <c r="AM82" s="114">
        <v>0</v>
      </c>
      <c r="AN82" s="114">
        <v>0</v>
      </c>
      <c r="AO82" s="114">
        <v>0</v>
      </c>
      <c r="AP82" s="114">
        <v>0</v>
      </c>
      <c r="AQ82" s="114">
        <v>0.8</v>
      </c>
      <c r="AR82" s="114">
        <v>0.8</v>
      </c>
      <c r="AS82" s="114">
        <v>0.8</v>
      </c>
      <c r="AT82" s="114">
        <v>0.8</v>
      </c>
      <c r="AU82" s="114">
        <v>0.8</v>
      </c>
      <c r="AV82" s="114">
        <v>0</v>
      </c>
      <c r="AW82" s="114">
        <v>0</v>
      </c>
      <c r="AX82" s="114">
        <v>0</v>
      </c>
      <c r="AY82" s="114">
        <v>0.8</v>
      </c>
      <c r="AZ82" s="114">
        <v>0.8</v>
      </c>
      <c r="BA82" s="114">
        <v>0.8</v>
      </c>
      <c r="BB82" s="114">
        <v>0</v>
      </c>
      <c r="BC82" s="114">
        <v>0.8</v>
      </c>
      <c r="BD82" s="114">
        <v>0</v>
      </c>
      <c r="BE82" s="114">
        <v>0</v>
      </c>
      <c r="BF82" s="114">
        <v>0</v>
      </c>
      <c r="BG82" s="114">
        <v>0</v>
      </c>
      <c r="BH82" s="114">
        <v>0</v>
      </c>
      <c r="BI82" s="114">
        <v>0</v>
      </c>
      <c r="BJ82" s="114">
        <v>0</v>
      </c>
      <c r="BK82" s="114">
        <v>0</v>
      </c>
      <c r="BL82" s="114">
        <v>0</v>
      </c>
      <c r="BM82" s="114">
        <v>0.8</v>
      </c>
      <c r="BN82" s="114">
        <v>0.8</v>
      </c>
      <c r="BO82" s="114">
        <v>0</v>
      </c>
      <c r="BP82" s="114">
        <v>0</v>
      </c>
      <c r="BQ82" s="114">
        <v>0</v>
      </c>
      <c r="BR82" s="114">
        <v>0</v>
      </c>
      <c r="BS82" s="114">
        <v>0</v>
      </c>
      <c r="BT82" s="114">
        <v>0</v>
      </c>
      <c r="BU82" s="114">
        <v>0</v>
      </c>
      <c r="BV82" s="114">
        <v>0</v>
      </c>
      <c r="BW82" s="114">
        <v>0</v>
      </c>
      <c r="BX82" s="114">
        <v>0</v>
      </c>
      <c r="BY82" s="114">
        <v>0</v>
      </c>
      <c r="BZ82" s="114">
        <v>0</v>
      </c>
      <c r="CA82" s="114">
        <v>0</v>
      </c>
      <c r="CB82" s="114">
        <v>0</v>
      </c>
      <c r="CC82" s="114">
        <v>0</v>
      </c>
      <c r="CD82" s="114">
        <v>0</v>
      </c>
      <c r="CE82" s="114">
        <v>0.8</v>
      </c>
      <c r="CF82" s="114">
        <v>0</v>
      </c>
      <c r="CG82" s="114">
        <v>0</v>
      </c>
      <c r="CH82" s="114">
        <v>0</v>
      </c>
      <c r="CI82" s="114">
        <v>0</v>
      </c>
      <c r="CJ82" s="114">
        <v>0</v>
      </c>
      <c r="CK82" s="114">
        <v>0</v>
      </c>
      <c r="CL82" s="114">
        <v>0</v>
      </c>
      <c r="CM82" s="114">
        <v>0</v>
      </c>
      <c r="CN82" s="114">
        <v>0</v>
      </c>
      <c r="CO82" s="114">
        <v>0</v>
      </c>
      <c r="CP82" s="114">
        <v>0</v>
      </c>
      <c r="CQ82" s="114">
        <v>0</v>
      </c>
      <c r="CR82" s="114">
        <v>0</v>
      </c>
      <c r="CS82" s="114">
        <v>0</v>
      </c>
      <c r="CT82" s="114">
        <v>0</v>
      </c>
      <c r="CU82" s="114">
        <v>0</v>
      </c>
      <c r="CV82" s="114">
        <v>0</v>
      </c>
    </row>
    <row r="83" spans="1:100" x14ac:dyDescent="0.15">
      <c r="A83" s="191" t="s">
        <v>273</v>
      </c>
      <c r="B83" s="114">
        <v>0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0.8</v>
      </c>
      <c r="L83" s="114">
        <v>0.8</v>
      </c>
      <c r="M83" s="114">
        <v>0.8</v>
      </c>
      <c r="N83" s="114">
        <v>0.8</v>
      </c>
      <c r="O83" s="114">
        <v>0.8</v>
      </c>
      <c r="P83" s="114">
        <v>0</v>
      </c>
      <c r="Q83" s="114">
        <v>0.8</v>
      </c>
      <c r="R83" s="114">
        <v>0.8</v>
      </c>
      <c r="S83" s="114">
        <v>0.8</v>
      </c>
      <c r="T83" s="114">
        <v>0.8</v>
      </c>
      <c r="U83" s="114">
        <v>0.8</v>
      </c>
      <c r="V83" s="114">
        <v>0</v>
      </c>
      <c r="W83" s="114">
        <v>0.8</v>
      </c>
      <c r="X83" s="114">
        <v>0.8</v>
      </c>
      <c r="Y83" s="114">
        <v>0</v>
      </c>
      <c r="Z83" s="114">
        <v>0.8</v>
      </c>
      <c r="AA83" s="114">
        <v>0.8</v>
      </c>
      <c r="AB83" s="114">
        <v>0.8</v>
      </c>
      <c r="AC83" s="114">
        <v>0</v>
      </c>
      <c r="AD83" s="114">
        <v>0</v>
      </c>
      <c r="AE83" s="114">
        <v>0</v>
      </c>
      <c r="AF83" s="114">
        <v>0.8</v>
      </c>
      <c r="AG83" s="114">
        <v>0</v>
      </c>
      <c r="AH83" s="114">
        <v>0.8</v>
      </c>
      <c r="AI83" s="114">
        <v>0.8</v>
      </c>
      <c r="AJ83" s="114">
        <v>0</v>
      </c>
      <c r="AK83" s="114">
        <v>0.8</v>
      </c>
      <c r="AL83" s="114">
        <v>0.8</v>
      </c>
      <c r="AM83" s="114">
        <v>0.8</v>
      </c>
      <c r="AN83" s="114">
        <v>0.8</v>
      </c>
      <c r="AO83" s="114">
        <v>0.8</v>
      </c>
      <c r="AP83" s="114">
        <v>0.8</v>
      </c>
      <c r="AQ83" s="114">
        <v>0.8</v>
      </c>
      <c r="AR83" s="114">
        <v>0.8</v>
      </c>
      <c r="AS83" s="114">
        <v>0.8</v>
      </c>
      <c r="AT83" s="114">
        <v>0.8</v>
      </c>
      <c r="AU83" s="114">
        <v>0.8</v>
      </c>
      <c r="AV83" s="114">
        <v>0.8</v>
      </c>
      <c r="AW83" s="114">
        <v>0.8</v>
      </c>
      <c r="AX83" s="114">
        <v>0.8</v>
      </c>
      <c r="AY83" s="114">
        <v>0.8</v>
      </c>
      <c r="AZ83" s="114">
        <v>0.8</v>
      </c>
      <c r="BA83" s="114">
        <v>0.8</v>
      </c>
      <c r="BB83" s="114">
        <v>0.8</v>
      </c>
      <c r="BC83" s="114">
        <v>0.8</v>
      </c>
      <c r="BD83" s="114">
        <v>0.8</v>
      </c>
      <c r="BE83" s="114">
        <v>0</v>
      </c>
      <c r="BF83" s="114">
        <v>0</v>
      </c>
      <c r="BG83" s="114">
        <v>0.8</v>
      </c>
      <c r="BH83" s="114">
        <v>0.8</v>
      </c>
      <c r="BI83" s="114">
        <v>0</v>
      </c>
      <c r="BJ83" s="114">
        <v>0</v>
      </c>
      <c r="BK83" s="114">
        <v>0</v>
      </c>
      <c r="BL83" s="114">
        <v>0</v>
      </c>
      <c r="BM83" s="114">
        <v>0.8</v>
      </c>
      <c r="BN83" s="114">
        <v>0.8</v>
      </c>
      <c r="BO83" s="114">
        <v>0</v>
      </c>
      <c r="BP83" s="114">
        <v>0</v>
      </c>
      <c r="BQ83" s="114">
        <v>0</v>
      </c>
      <c r="BR83" s="114">
        <v>0</v>
      </c>
      <c r="BS83" s="114">
        <v>0</v>
      </c>
      <c r="BT83" s="114">
        <v>0</v>
      </c>
      <c r="BU83" s="114">
        <v>0</v>
      </c>
      <c r="BV83" s="114">
        <v>0</v>
      </c>
      <c r="BW83" s="114">
        <v>0</v>
      </c>
      <c r="BX83" s="114">
        <v>0</v>
      </c>
      <c r="BY83" s="114">
        <v>0</v>
      </c>
      <c r="BZ83" s="114">
        <v>0</v>
      </c>
      <c r="CA83" s="114">
        <v>0</v>
      </c>
      <c r="CB83" s="114">
        <v>0</v>
      </c>
      <c r="CC83" s="114">
        <v>0</v>
      </c>
      <c r="CD83" s="114">
        <v>0</v>
      </c>
      <c r="CE83" s="114">
        <v>0</v>
      </c>
      <c r="CF83" s="114">
        <v>0</v>
      </c>
      <c r="CG83" s="114">
        <v>0</v>
      </c>
      <c r="CH83" s="114">
        <v>0</v>
      </c>
      <c r="CI83" s="114">
        <v>0</v>
      </c>
      <c r="CJ83" s="114">
        <v>0</v>
      </c>
      <c r="CK83" s="114">
        <v>0</v>
      </c>
      <c r="CL83" s="114">
        <v>0</v>
      </c>
      <c r="CM83" s="114">
        <v>0</v>
      </c>
      <c r="CN83" s="114">
        <v>0</v>
      </c>
      <c r="CO83" s="114">
        <v>0</v>
      </c>
      <c r="CP83" s="114">
        <v>0</v>
      </c>
      <c r="CQ83" s="114">
        <v>0</v>
      </c>
      <c r="CR83" s="114">
        <v>0</v>
      </c>
      <c r="CS83" s="114">
        <v>0</v>
      </c>
      <c r="CT83" s="114">
        <v>0</v>
      </c>
      <c r="CU83" s="114">
        <v>0</v>
      </c>
      <c r="CV83" s="114">
        <v>0</v>
      </c>
    </row>
    <row r="84" spans="1:100" x14ac:dyDescent="0.15">
      <c r="A84" s="191" t="s">
        <v>274</v>
      </c>
      <c r="B84" s="114">
        <v>0</v>
      </c>
      <c r="C84" s="114">
        <v>0</v>
      </c>
      <c r="D84" s="114">
        <v>0</v>
      </c>
      <c r="E84" s="114">
        <v>0</v>
      </c>
      <c r="F84" s="114">
        <v>0</v>
      </c>
      <c r="G84" s="114">
        <v>0.8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0.8</v>
      </c>
      <c r="O84" s="114">
        <v>0.8</v>
      </c>
      <c r="P84" s="114">
        <v>0</v>
      </c>
      <c r="Q84" s="114">
        <v>0.8</v>
      </c>
      <c r="R84" s="114">
        <v>0.8</v>
      </c>
      <c r="S84" s="114">
        <v>0.8</v>
      </c>
      <c r="T84" s="114">
        <v>0</v>
      </c>
      <c r="U84" s="114">
        <v>0.8</v>
      </c>
      <c r="V84" s="114">
        <v>0</v>
      </c>
      <c r="W84" s="114">
        <v>0</v>
      </c>
      <c r="X84" s="114">
        <v>0</v>
      </c>
      <c r="Y84" s="114">
        <v>0</v>
      </c>
      <c r="Z84" s="114">
        <v>0.8</v>
      </c>
      <c r="AA84" s="114">
        <v>0</v>
      </c>
      <c r="AB84" s="114">
        <v>0</v>
      </c>
      <c r="AC84" s="114">
        <v>0</v>
      </c>
      <c r="AD84" s="114">
        <v>0</v>
      </c>
      <c r="AE84" s="114">
        <v>0</v>
      </c>
      <c r="AF84" s="114">
        <v>0</v>
      </c>
      <c r="AG84" s="114">
        <v>0.8</v>
      </c>
      <c r="AH84" s="114">
        <v>0.8</v>
      </c>
      <c r="AI84" s="114">
        <v>0.8</v>
      </c>
      <c r="AJ84" s="114">
        <v>0</v>
      </c>
      <c r="AK84" s="114">
        <v>0</v>
      </c>
      <c r="AL84" s="114">
        <v>0</v>
      </c>
      <c r="AM84" s="114">
        <v>0</v>
      </c>
      <c r="AN84" s="114">
        <v>0</v>
      </c>
      <c r="AO84" s="114">
        <v>0</v>
      </c>
      <c r="AP84" s="114">
        <v>0</v>
      </c>
      <c r="AQ84" s="114">
        <v>0.8</v>
      </c>
      <c r="AR84" s="114">
        <v>0.8</v>
      </c>
      <c r="AS84" s="114">
        <v>0.8</v>
      </c>
      <c r="AT84" s="114">
        <v>0.8</v>
      </c>
      <c r="AU84" s="114">
        <v>0.8</v>
      </c>
      <c r="AV84" s="114">
        <v>0</v>
      </c>
      <c r="AW84" s="114">
        <v>0</v>
      </c>
      <c r="AX84" s="114">
        <v>0</v>
      </c>
      <c r="AY84" s="114">
        <v>0.8</v>
      </c>
      <c r="AZ84" s="114">
        <v>0.8</v>
      </c>
      <c r="BA84" s="114">
        <v>0.8</v>
      </c>
      <c r="BB84" s="114">
        <v>0</v>
      </c>
      <c r="BC84" s="114">
        <v>0.8</v>
      </c>
      <c r="BD84" s="114">
        <v>0</v>
      </c>
      <c r="BE84" s="114">
        <v>0</v>
      </c>
      <c r="BF84" s="114">
        <v>0</v>
      </c>
      <c r="BG84" s="114">
        <v>0</v>
      </c>
      <c r="BH84" s="114">
        <v>0</v>
      </c>
      <c r="BI84" s="114">
        <v>0</v>
      </c>
      <c r="BJ84" s="114">
        <v>0</v>
      </c>
      <c r="BK84" s="114">
        <v>0</v>
      </c>
      <c r="BL84" s="114">
        <v>0</v>
      </c>
      <c r="BM84" s="114">
        <v>0.8</v>
      </c>
      <c r="BN84" s="114">
        <v>0.8</v>
      </c>
      <c r="BO84" s="114">
        <v>0.8</v>
      </c>
      <c r="BP84" s="114">
        <v>0</v>
      </c>
      <c r="BQ84" s="114">
        <v>0</v>
      </c>
      <c r="BR84" s="114">
        <v>0</v>
      </c>
      <c r="BS84" s="114">
        <v>0</v>
      </c>
      <c r="BT84" s="114">
        <v>0</v>
      </c>
      <c r="BU84" s="114">
        <v>0</v>
      </c>
      <c r="BV84" s="114">
        <v>0</v>
      </c>
      <c r="BW84" s="114">
        <v>0</v>
      </c>
      <c r="BX84" s="114">
        <v>0</v>
      </c>
      <c r="BY84" s="114">
        <v>0.8</v>
      </c>
      <c r="BZ84" s="114">
        <v>0</v>
      </c>
      <c r="CA84" s="114">
        <v>0.8</v>
      </c>
      <c r="CB84" s="114">
        <v>0</v>
      </c>
      <c r="CC84" s="114">
        <v>0</v>
      </c>
      <c r="CD84" s="114">
        <v>0</v>
      </c>
      <c r="CE84" s="114">
        <v>0</v>
      </c>
      <c r="CF84" s="114">
        <v>0</v>
      </c>
      <c r="CG84" s="114">
        <v>0</v>
      </c>
      <c r="CH84" s="114">
        <v>0</v>
      </c>
      <c r="CI84" s="114">
        <v>0</v>
      </c>
      <c r="CJ84" s="114">
        <v>0.8</v>
      </c>
      <c r="CK84" s="114">
        <v>0</v>
      </c>
      <c r="CL84" s="114">
        <v>0</v>
      </c>
      <c r="CM84" s="114">
        <v>0</v>
      </c>
      <c r="CN84" s="114">
        <v>0</v>
      </c>
      <c r="CO84" s="114">
        <v>0</v>
      </c>
      <c r="CP84" s="114">
        <v>0</v>
      </c>
      <c r="CQ84" s="114">
        <v>0</v>
      </c>
      <c r="CR84" s="114">
        <v>0</v>
      </c>
      <c r="CS84" s="114">
        <v>0</v>
      </c>
      <c r="CT84" s="114">
        <v>0</v>
      </c>
      <c r="CU84" s="114">
        <v>0</v>
      </c>
      <c r="CV84" s="114">
        <v>0</v>
      </c>
    </row>
    <row r="85" spans="1:100" x14ac:dyDescent="0.15">
      <c r="A85" s="191" t="s">
        <v>275</v>
      </c>
      <c r="B85" s="114">
        <v>0</v>
      </c>
      <c r="C85" s="114">
        <v>0</v>
      </c>
      <c r="D85" s="114">
        <v>0</v>
      </c>
      <c r="E85" s="114">
        <v>0</v>
      </c>
      <c r="F85" s="114">
        <v>0.8</v>
      </c>
      <c r="G85" s="114">
        <v>0</v>
      </c>
      <c r="H85" s="114">
        <v>0</v>
      </c>
      <c r="I85" s="114">
        <v>0</v>
      </c>
      <c r="J85" s="114">
        <v>0</v>
      </c>
      <c r="K85" s="114">
        <v>0.8</v>
      </c>
      <c r="L85" s="114">
        <v>0.8</v>
      </c>
      <c r="M85" s="114">
        <v>0</v>
      </c>
      <c r="N85" s="114">
        <v>0.8</v>
      </c>
      <c r="O85" s="114">
        <v>0.8</v>
      </c>
      <c r="P85" s="114">
        <v>0</v>
      </c>
      <c r="Q85" s="114">
        <v>0.8</v>
      </c>
      <c r="R85" s="114">
        <v>0.8</v>
      </c>
      <c r="S85" s="114">
        <v>0.8</v>
      </c>
      <c r="T85" s="114">
        <v>0.8</v>
      </c>
      <c r="U85" s="114">
        <v>0.8</v>
      </c>
      <c r="V85" s="114">
        <v>0</v>
      </c>
      <c r="W85" s="114">
        <v>0</v>
      </c>
      <c r="X85" s="114">
        <v>0</v>
      </c>
      <c r="Y85" s="114">
        <v>0</v>
      </c>
      <c r="Z85" s="114">
        <v>0.8</v>
      </c>
      <c r="AA85" s="114">
        <v>0.8</v>
      </c>
      <c r="AB85" s="114">
        <v>0</v>
      </c>
      <c r="AC85" s="114">
        <v>0</v>
      </c>
      <c r="AD85" s="114">
        <v>0</v>
      </c>
      <c r="AE85" s="114">
        <v>0</v>
      </c>
      <c r="AF85" s="114">
        <v>0.8</v>
      </c>
      <c r="AG85" s="114">
        <v>0</v>
      </c>
      <c r="AH85" s="114">
        <v>0.8</v>
      </c>
      <c r="AI85" s="114">
        <v>0.8</v>
      </c>
      <c r="AJ85" s="114">
        <v>0</v>
      </c>
      <c r="AK85" s="114">
        <v>0.8</v>
      </c>
      <c r="AL85" s="114">
        <v>0</v>
      </c>
      <c r="AM85" s="114">
        <v>0</v>
      </c>
      <c r="AN85" s="114">
        <v>0</v>
      </c>
      <c r="AO85" s="114">
        <v>0</v>
      </c>
      <c r="AP85" s="114">
        <v>0</v>
      </c>
      <c r="AQ85" s="114">
        <v>0.8</v>
      </c>
      <c r="AR85" s="114">
        <v>0.8</v>
      </c>
      <c r="AS85" s="114">
        <v>0.8</v>
      </c>
      <c r="AT85" s="114">
        <v>0.8</v>
      </c>
      <c r="AU85" s="114">
        <v>0.8</v>
      </c>
      <c r="AV85" s="114">
        <v>0</v>
      </c>
      <c r="AW85" s="114">
        <v>0</v>
      </c>
      <c r="AX85" s="114">
        <v>0.8</v>
      </c>
      <c r="AY85" s="114">
        <v>0.8</v>
      </c>
      <c r="AZ85" s="114">
        <v>0.8</v>
      </c>
      <c r="BA85" s="114">
        <v>0.8</v>
      </c>
      <c r="BB85" s="114">
        <v>0.8</v>
      </c>
      <c r="BC85" s="114">
        <v>0.8</v>
      </c>
      <c r="BD85" s="114">
        <v>0</v>
      </c>
      <c r="BE85" s="114">
        <v>0</v>
      </c>
      <c r="BF85" s="114">
        <v>0</v>
      </c>
      <c r="BG85" s="114">
        <v>0</v>
      </c>
      <c r="BH85" s="114">
        <v>0</v>
      </c>
      <c r="BI85" s="114">
        <v>0</v>
      </c>
      <c r="BJ85" s="114">
        <v>0</v>
      </c>
      <c r="BK85" s="114">
        <v>0</v>
      </c>
      <c r="BL85" s="114">
        <v>0</v>
      </c>
      <c r="BM85" s="114">
        <v>0.8</v>
      </c>
      <c r="BN85" s="114">
        <v>0.8</v>
      </c>
      <c r="BO85" s="114">
        <v>0.8</v>
      </c>
      <c r="BP85" s="114">
        <v>0</v>
      </c>
      <c r="BQ85" s="114">
        <v>0</v>
      </c>
      <c r="BR85" s="114">
        <v>0</v>
      </c>
      <c r="BS85" s="114">
        <v>0</v>
      </c>
      <c r="BT85" s="114">
        <v>0</v>
      </c>
      <c r="BU85" s="114">
        <v>0</v>
      </c>
      <c r="BV85" s="114">
        <v>0.8</v>
      </c>
      <c r="BW85" s="114">
        <v>0</v>
      </c>
      <c r="BX85" s="114">
        <v>0</v>
      </c>
      <c r="BY85" s="114">
        <v>0.8</v>
      </c>
      <c r="BZ85" s="114">
        <v>0</v>
      </c>
      <c r="CA85" s="114">
        <v>0.8</v>
      </c>
      <c r="CB85" s="114">
        <v>0.8</v>
      </c>
      <c r="CC85" s="114">
        <v>0</v>
      </c>
      <c r="CD85" s="114">
        <v>0</v>
      </c>
      <c r="CE85" s="114">
        <v>0.8</v>
      </c>
      <c r="CF85" s="114">
        <v>0</v>
      </c>
      <c r="CG85" s="114">
        <v>0</v>
      </c>
      <c r="CH85" s="114">
        <v>0</v>
      </c>
      <c r="CI85" s="114">
        <v>0</v>
      </c>
      <c r="CJ85" s="114">
        <v>0.8</v>
      </c>
      <c r="CK85" s="114">
        <v>0.8</v>
      </c>
      <c r="CL85" s="114">
        <v>0</v>
      </c>
      <c r="CM85" s="114">
        <v>0</v>
      </c>
      <c r="CN85" s="114">
        <v>0</v>
      </c>
      <c r="CO85" s="114">
        <v>0</v>
      </c>
      <c r="CP85" s="114">
        <v>0</v>
      </c>
      <c r="CQ85" s="114">
        <v>0</v>
      </c>
      <c r="CR85" s="114">
        <v>0</v>
      </c>
      <c r="CS85" s="114">
        <v>0</v>
      </c>
      <c r="CT85" s="114">
        <v>0</v>
      </c>
      <c r="CU85" s="114">
        <v>0</v>
      </c>
      <c r="CV85" s="114">
        <v>0</v>
      </c>
    </row>
    <row r="86" spans="1:100" x14ac:dyDescent="0.15">
      <c r="A86" s="191" t="s">
        <v>276</v>
      </c>
      <c r="B86" s="114">
        <v>0</v>
      </c>
      <c r="C86" s="114">
        <v>0</v>
      </c>
      <c r="D86" s="114">
        <v>0</v>
      </c>
      <c r="E86" s="114">
        <v>0</v>
      </c>
      <c r="F86" s="114">
        <v>0.8</v>
      </c>
      <c r="G86" s="114">
        <v>0.8</v>
      </c>
      <c r="H86" s="114">
        <v>0</v>
      </c>
      <c r="I86" s="114">
        <v>0.8</v>
      </c>
      <c r="J86" s="114">
        <v>0</v>
      </c>
      <c r="K86" s="114">
        <v>0</v>
      </c>
      <c r="L86" s="114">
        <v>0</v>
      </c>
      <c r="M86" s="114">
        <v>0</v>
      </c>
      <c r="N86" s="114">
        <v>0.8</v>
      </c>
      <c r="O86" s="114">
        <v>0.8</v>
      </c>
      <c r="P86" s="114">
        <v>0</v>
      </c>
      <c r="Q86" s="114">
        <v>0.8</v>
      </c>
      <c r="R86" s="114">
        <v>0.8</v>
      </c>
      <c r="S86" s="114">
        <v>0.8</v>
      </c>
      <c r="T86" s="114">
        <v>0</v>
      </c>
      <c r="U86" s="114">
        <v>0.8</v>
      </c>
      <c r="V86" s="114">
        <v>0</v>
      </c>
      <c r="W86" s="114">
        <v>0</v>
      </c>
      <c r="X86" s="114">
        <v>0</v>
      </c>
      <c r="Y86" s="114">
        <v>0</v>
      </c>
      <c r="Z86" s="114">
        <v>0.8</v>
      </c>
      <c r="AA86" s="114">
        <v>0</v>
      </c>
      <c r="AB86" s="114">
        <v>0</v>
      </c>
      <c r="AC86" s="114">
        <v>0</v>
      </c>
      <c r="AD86" s="114">
        <v>0</v>
      </c>
      <c r="AE86" s="114">
        <v>0</v>
      </c>
      <c r="AF86" s="114">
        <v>0</v>
      </c>
      <c r="AG86" s="114">
        <v>0.8</v>
      </c>
      <c r="AH86" s="114">
        <v>0.8</v>
      </c>
      <c r="AI86" s="114">
        <v>0.8</v>
      </c>
      <c r="AJ86" s="114">
        <v>0</v>
      </c>
      <c r="AK86" s="114">
        <v>0</v>
      </c>
      <c r="AL86" s="114">
        <v>0</v>
      </c>
      <c r="AM86" s="114">
        <v>0</v>
      </c>
      <c r="AN86" s="114">
        <v>0</v>
      </c>
      <c r="AO86" s="114">
        <v>0</v>
      </c>
      <c r="AP86" s="114">
        <v>0</v>
      </c>
      <c r="AQ86" s="114">
        <v>0.8</v>
      </c>
      <c r="AR86" s="114">
        <v>0.8</v>
      </c>
      <c r="AS86" s="114">
        <v>0.8</v>
      </c>
      <c r="AT86" s="114">
        <v>0.8</v>
      </c>
      <c r="AU86" s="114">
        <v>0.8</v>
      </c>
      <c r="AV86" s="114">
        <v>0.8</v>
      </c>
      <c r="AW86" s="114">
        <v>0</v>
      </c>
      <c r="AX86" s="114">
        <v>0</v>
      </c>
      <c r="AY86" s="114">
        <v>0.8</v>
      </c>
      <c r="AZ86" s="114">
        <v>0.8</v>
      </c>
      <c r="BA86" s="114">
        <v>0.8</v>
      </c>
      <c r="BB86" s="114">
        <v>0</v>
      </c>
      <c r="BC86" s="114">
        <v>0.8</v>
      </c>
      <c r="BD86" s="114">
        <v>0.8</v>
      </c>
      <c r="BE86" s="114">
        <v>0</v>
      </c>
      <c r="BF86" s="114">
        <v>0</v>
      </c>
      <c r="BG86" s="114">
        <v>0.8</v>
      </c>
      <c r="BH86" s="114">
        <v>0.8</v>
      </c>
      <c r="BI86" s="114">
        <v>0</v>
      </c>
      <c r="BJ86" s="114">
        <v>0</v>
      </c>
      <c r="BK86" s="114">
        <v>0</v>
      </c>
      <c r="BL86" s="114">
        <v>0</v>
      </c>
      <c r="BM86" s="114">
        <v>0.8</v>
      </c>
      <c r="BN86" s="114">
        <v>0.8</v>
      </c>
      <c r="BO86" s="114">
        <v>0.8</v>
      </c>
      <c r="BP86" s="114">
        <v>0</v>
      </c>
      <c r="BQ86" s="114">
        <v>0</v>
      </c>
      <c r="BR86" s="114">
        <v>0</v>
      </c>
      <c r="BS86" s="114">
        <v>0</v>
      </c>
      <c r="BT86" s="114">
        <v>0</v>
      </c>
      <c r="BU86" s="114">
        <v>0</v>
      </c>
      <c r="BV86" s="114">
        <v>0.8</v>
      </c>
      <c r="BW86" s="114">
        <v>0.8</v>
      </c>
      <c r="BX86" s="114">
        <v>0</v>
      </c>
      <c r="BY86" s="114">
        <v>0.8</v>
      </c>
      <c r="BZ86" s="114">
        <v>0</v>
      </c>
      <c r="CA86" s="114">
        <v>0.8</v>
      </c>
      <c r="CB86" s="114">
        <v>0</v>
      </c>
      <c r="CC86" s="114">
        <v>0</v>
      </c>
      <c r="CD86" s="114">
        <v>0</v>
      </c>
      <c r="CE86" s="114">
        <v>0</v>
      </c>
      <c r="CF86" s="114">
        <v>0</v>
      </c>
      <c r="CG86" s="114">
        <v>0</v>
      </c>
      <c r="CH86" s="114">
        <v>0</v>
      </c>
      <c r="CI86" s="114">
        <v>0</v>
      </c>
      <c r="CJ86" s="114">
        <v>0.8</v>
      </c>
      <c r="CK86" s="114">
        <v>0</v>
      </c>
      <c r="CL86" s="114">
        <v>0</v>
      </c>
      <c r="CM86" s="114">
        <v>0</v>
      </c>
      <c r="CN86" s="114">
        <v>0</v>
      </c>
      <c r="CO86" s="114">
        <v>0</v>
      </c>
      <c r="CP86" s="114">
        <v>0</v>
      </c>
      <c r="CQ86" s="114">
        <v>0</v>
      </c>
      <c r="CR86" s="114">
        <v>0</v>
      </c>
      <c r="CS86" s="114">
        <v>0</v>
      </c>
      <c r="CT86" s="114">
        <v>0</v>
      </c>
      <c r="CU86" s="114">
        <v>0</v>
      </c>
      <c r="CV86" s="114">
        <v>0</v>
      </c>
    </row>
    <row r="87" spans="1:100" x14ac:dyDescent="0.15">
      <c r="A87" s="191" t="s">
        <v>277</v>
      </c>
      <c r="B87" s="114">
        <v>0</v>
      </c>
      <c r="C87" s="114">
        <v>0</v>
      </c>
      <c r="D87" s="114">
        <v>0.8</v>
      </c>
      <c r="E87" s="114">
        <v>0</v>
      </c>
      <c r="F87" s="114">
        <v>0.8</v>
      </c>
      <c r="G87" s="114">
        <v>0.8</v>
      </c>
      <c r="H87" s="114">
        <v>0</v>
      </c>
      <c r="I87" s="114">
        <v>0.8</v>
      </c>
      <c r="J87" s="114">
        <v>0</v>
      </c>
      <c r="K87" s="114">
        <v>0.8</v>
      </c>
      <c r="L87" s="114">
        <v>0.8</v>
      </c>
      <c r="M87" s="114">
        <v>0.8</v>
      </c>
      <c r="N87" s="114">
        <v>0.8</v>
      </c>
      <c r="O87" s="114">
        <v>0.8</v>
      </c>
      <c r="P87" s="114">
        <v>0</v>
      </c>
      <c r="Q87" s="114">
        <v>0.8</v>
      </c>
      <c r="R87" s="114">
        <v>0.8</v>
      </c>
      <c r="S87" s="114">
        <v>0.8</v>
      </c>
      <c r="T87" s="114">
        <v>0.8</v>
      </c>
      <c r="U87" s="114">
        <v>0.8</v>
      </c>
      <c r="V87" s="114">
        <v>0</v>
      </c>
      <c r="W87" s="114">
        <v>0.8</v>
      </c>
      <c r="X87" s="114">
        <v>0.8</v>
      </c>
      <c r="Y87" s="114">
        <v>0</v>
      </c>
      <c r="Z87" s="114">
        <v>0.8</v>
      </c>
      <c r="AA87" s="114">
        <v>0.8</v>
      </c>
      <c r="AB87" s="114">
        <v>0.8</v>
      </c>
      <c r="AC87" s="114">
        <v>0.8</v>
      </c>
      <c r="AD87" s="114">
        <v>0</v>
      </c>
      <c r="AE87" s="114">
        <v>0</v>
      </c>
      <c r="AF87" s="114">
        <v>0.8</v>
      </c>
      <c r="AG87" s="114">
        <v>0.8</v>
      </c>
      <c r="AH87" s="114">
        <v>0.8</v>
      </c>
      <c r="AI87" s="114">
        <v>0.8</v>
      </c>
      <c r="AJ87" s="114">
        <v>0.8</v>
      </c>
      <c r="AK87" s="114">
        <v>0.8</v>
      </c>
      <c r="AL87" s="114">
        <v>0.8</v>
      </c>
      <c r="AM87" s="114">
        <v>0.8</v>
      </c>
      <c r="AN87" s="114">
        <v>0.8</v>
      </c>
      <c r="AO87" s="114">
        <v>0.8</v>
      </c>
      <c r="AP87" s="114">
        <v>0.8</v>
      </c>
      <c r="AQ87" s="114">
        <v>0.8</v>
      </c>
      <c r="AR87" s="114">
        <v>0.8</v>
      </c>
      <c r="AS87" s="114">
        <v>0.8</v>
      </c>
      <c r="AT87" s="114">
        <v>0.8</v>
      </c>
      <c r="AU87" s="114">
        <v>0.8</v>
      </c>
      <c r="AV87" s="114">
        <v>0.8</v>
      </c>
      <c r="AW87" s="114">
        <v>0.8</v>
      </c>
      <c r="AX87" s="114">
        <v>0.8</v>
      </c>
      <c r="AY87" s="114">
        <v>0.8</v>
      </c>
      <c r="AZ87" s="114">
        <v>0.8</v>
      </c>
      <c r="BA87" s="114">
        <v>0.8</v>
      </c>
      <c r="BB87" s="114">
        <v>0.8</v>
      </c>
      <c r="BC87" s="114">
        <v>0.8</v>
      </c>
      <c r="BD87" s="114">
        <v>0.8</v>
      </c>
      <c r="BE87" s="114">
        <v>0</v>
      </c>
      <c r="BF87" s="114">
        <v>0</v>
      </c>
      <c r="BG87" s="114">
        <v>0.8</v>
      </c>
      <c r="BH87" s="114">
        <v>0.8</v>
      </c>
      <c r="BI87" s="114">
        <v>0.8</v>
      </c>
      <c r="BJ87" s="114">
        <v>0.8</v>
      </c>
      <c r="BK87" s="114">
        <v>0.8</v>
      </c>
      <c r="BL87" s="114">
        <v>0.8</v>
      </c>
      <c r="BM87" s="114">
        <v>0.8</v>
      </c>
      <c r="BN87" s="114">
        <v>0.8</v>
      </c>
      <c r="BO87" s="114">
        <v>0.8</v>
      </c>
      <c r="BP87" s="114">
        <v>0</v>
      </c>
      <c r="BQ87" s="114">
        <v>0</v>
      </c>
      <c r="BR87" s="114">
        <v>0</v>
      </c>
      <c r="BS87" s="114">
        <v>0</v>
      </c>
      <c r="BT87" s="114">
        <v>0</v>
      </c>
      <c r="BU87" s="114">
        <v>0.8</v>
      </c>
      <c r="BV87" s="114">
        <v>0.8</v>
      </c>
      <c r="BW87" s="114">
        <v>0.8</v>
      </c>
      <c r="BX87" s="114">
        <v>0</v>
      </c>
      <c r="BY87" s="114">
        <v>0.8</v>
      </c>
      <c r="BZ87" s="114">
        <v>0</v>
      </c>
      <c r="CA87" s="114">
        <v>0.8</v>
      </c>
      <c r="CB87" s="114">
        <v>0.8</v>
      </c>
      <c r="CC87" s="114">
        <v>0.8</v>
      </c>
      <c r="CD87" s="114">
        <v>0</v>
      </c>
      <c r="CE87" s="114">
        <v>0.8</v>
      </c>
      <c r="CF87" s="114">
        <v>0</v>
      </c>
      <c r="CG87" s="114">
        <v>0</v>
      </c>
      <c r="CH87" s="114">
        <v>0</v>
      </c>
      <c r="CI87" s="114">
        <v>0</v>
      </c>
      <c r="CJ87" s="114">
        <v>0.8</v>
      </c>
      <c r="CK87" s="114">
        <v>0.8</v>
      </c>
      <c r="CL87" s="114">
        <v>0</v>
      </c>
      <c r="CM87" s="114">
        <v>0</v>
      </c>
      <c r="CN87" s="114">
        <v>0</v>
      </c>
      <c r="CO87" s="114">
        <v>0</v>
      </c>
      <c r="CP87" s="114">
        <v>0</v>
      </c>
      <c r="CQ87" s="114">
        <v>0</v>
      </c>
      <c r="CR87" s="114">
        <v>0</v>
      </c>
      <c r="CS87" s="114">
        <v>0</v>
      </c>
      <c r="CT87" s="114">
        <v>0</v>
      </c>
      <c r="CU87" s="114">
        <v>0</v>
      </c>
      <c r="CV87" s="114">
        <v>0</v>
      </c>
    </row>
    <row r="88" spans="1:100" x14ac:dyDescent="0.15">
      <c r="A88" s="191" t="s">
        <v>278</v>
      </c>
      <c r="B88" s="114">
        <v>0</v>
      </c>
      <c r="C88" s="114">
        <v>0</v>
      </c>
      <c r="D88" s="114">
        <v>0.8</v>
      </c>
      <c r="E88" s="114">
        <v>0</v>
      </c>
      <c r="F88" s="114">
        <v>0.8</v>
      </c>
      <c r="G88" s="114">
        <v>0.8</v>
      </c>
      <c r="H88" s="114">
        <v>0</v>
      </c>
      <c r="I88" s="114">
        <v>0.8</v>
      </c>
      <c r="J88" s="114">
        <v>0</v>
      </c>
      <c r="K88" s="114">
        <v>0.8</v>
      </c>
      <c r="L88" s="114">
        <v>0.8</v>
      </c>
      <c r="M88" s="114">
        <v>0.8</v>
      </c>
      <c r="N88" s="114">
        <v>0.8</v>
      </c>
      <c r="O88" s="114">
        <v>0.8</v>
      </c>
      <c r="P88" s="114">
        <v>0</v>
      </c>
      <c r="Q88" s="114">
        <v>0.8</v>
      </c>
      <c r="R88" s="114">
        <v>0.8</v>
      </c>
      <c r="S88" s="114">
        <v>0.8</v>
      </c>
      <c r="T88" s="114">
        <v>0.8</v>
      </c>
      <c r="U88" s="114">
        <v>0.8</v>
      </c>
      <c r="V88" s="114">
        <v>0</v>
      </c>
      <c r="W88" s="114">
        <v>0.8</v>
      </c>
      <c r="X88" s="114">
        <v>0.8</v>
      </c>
      <c r="Y88" s="114">
        <v>0</v>
      </c>
      <c r="Z88" s="114">
        <v>0.8</v>
      </c>
      <c r="AA88" s="114">
        <v>0.8</v>
      </c>
      <c r="AB88" s="114">
        <v>0.8</v>
      </c>
      <c r="AC88" s="114">
        <v>0.8</v>
      </c>
      <c r="AD88" s="114">
        <v>0</v>
      </c>
      <c r="AE88" s="114">
        <v>0</v>
      </c>
      <c r="AF88" s="114">
        <v>0.8</v>
      </c>
      <c r="AG88" s="114">
        <v>0.8</v>
      </c>
      <c r="AH88" s="114">
        <v>0.8</v>
      </c>
      <c r="AI88" s="114">
        <v>0.8</v>
      </c>
      <c r="AJ88" s="114">
        <v>0.8</v>
      </c>
      <c r="AK88" s="114">
        <v>0.8</v>
      </c>
      <c r="AL88" s="114">
        <v>0.8</v>
      </c>
      <c r="AM88" s="114">
        <v>0.8</v>
      </c>
      <c r="AN88" s="114">
        <v>0.8</v>
      </c>
      <c r="AO88" s="114">
        <v>0.8</v>
      </c>
      <c r="AP88" s="114">
        <v>0.8</v>
      </c>
      <c r="AQ88" s="114">
        <v>0.8</v>
      </c>
      <c r="AR88" s="114">
        <v>0.8</v>
      </c>
      <c r="AS88" s="114">
        <v>0.8</v>
      </c>
      <c r="AT88" s="114">
        <v>0.8</v>
      </c>
      <c r="AU88" s="114">
        <v>0.8</v>
      </c>
      <c r="AV88" s="114">
        <v>0.8</v>
      </c>
      <c r="AW88" s="114">
        <v>0.8</v>
      </c>
      <c r="AX88" s="114">
        <v>0.8</v>
      </c>
      <c r="AY88" s="114">
        <v>0.8</v>
      </c>
      <c r="AZ88" s="114">
        <v>0.8</v>
      </c>
      <c r="BA88" s="114">
        <v>0</v>
      </c>
      <c r="BB88" s="114">
        <v>0.8</v>
      </c>
      <c r="BC88" s="114">
        <v>0.8</v>
      </c>
      <c r="BD88" s="114">
        <v>0.8</v>
      </c>
      <c r="BE88" s="114">
        <v>0</v>
      </c>
      <c r="BF88" s="114">
        <v>0</v>
      </c>
      <c r="BG88" s="114">
        <v>0.8</v>
      </c>
      <c r="BH88" s="114">
        <v>0.8</v>
      </c>
      <c r="BI88" s="114">
        <v>0.8</v>
      </c>
      <c r="BJ88" s="114">
        <v>0.8</v>
      </c>
      <c r="BK88" s="114">
        <v>0.8</v>
      </c>
      <c r="BL88" s="114">
        <v>0.8</v>
      </c>
      <c r="BM88" s="114">
        <v>0.8</v>
      </c>
      <c r="BN88" s="114">
        <v>0.8</v>
      </c>
      <c r="BO88" s="114">
        <v>0.8</v>
      </c>
      <c r="BP88" s="114">
        <v>0</v>
      </c>
      <c r="BQ88" s="114">
        <v>0</v>
      </c>
      <c r="BR88" s="114">
        <v>0</v>
      </c>
      <c r="BS88" s="114">
        <v>0</v>
      </c>
      <c r="BT88" s="114">
        <v>0</v>
      </c>
      <c r="BU88" s="114">
        <v>0.8</v>
      </c>
      <c r="BV88" s="114">
        <v>0.8</v>
      </c>
      <c r="BW88" s="114">
        <v>0.8</v>
      </c>
      <c r="BX88" s="114">
        <v>0</v>
      </c>
      <c r="BY88" s="114">
        <v>0.8</v>
      </c>
      <c r="BZ88" s="114">
        <v>0</v>
      </c>
      <c r="CA88" s="114">
        <v>0.8</v>
      </c>
      <c r="CB88" s="114">
        <v>0.8</v>
      </c>
      <c r="CC88" s="114">
        <v>0.8</v>
      </c>
      <c r="CD88" s="114">
        <v>0</v>
      </c>
      <c r="CE88" s="114">
        <v>0.8</v>
      </c>
      <c r="CF88" s="114">
        <v>0</v>
      </c>
      <c r="CG88" s="114">
        <v>0</v>
      </c>
      <c r="CH88" s="114">
        <v>0</v>
      </c>
      <c r="CI88" s="114">
        <v>0</v>
      </c>
      <c r="CJ88" s="114">
        <v>0.8</v>
      </c>
      <c r="CK88" s="114">
        <v>0.8</v>
      </c>
      <c r="CL88" s="114">
        <v>0</v>
      </c>
      <c r="CM88" s="114">
        <v>0</v>
      </c>
      <c r="CN88" s="114">
        <v>0</v>
      </c>
      <c r="CO88" s="114">
        <v>0</v>
      </c>
      <c r="CP88" s="114">
        <v>0</v>
      </c>
      <c r="CQ88" s="114">
        <v>0</v>
      </c>
      <c r="CR88" s="114">
        <v>0</v>
      </c>
      <c r="CS88" s="114">
        <v>0</v>
      </c>
      <c r="CT88" s="114">
        <v>0</v>
      </c>
      <c r="CU88" s="114">
        <v>0</v>
      </c>
      <c r="CV88" s="114">
        <v>0</v>
      </c>
    </row>
    <row r="89" spans="1:100" x14ac:dyDescent="0.15">
      <c r="A89" s="191" t="s">
        <v>279</v>
      </c>
      <c r="B89" s="114">
        <v>0</v>
      </c>
      <c r="C89" s="114">
        <v>0</v>
      </c>
      <c r="D89" s="114">
        <v>0</v>
      </c>
      <c r="E89" s="114">
        <v>0</v>
      </c>
      <c r="F89" s="114">
        <v>0.8</v>
      </c>
      <c r="G89" s="114">
        <v>0.8</v>
      </c>
      <c r="H89" s="114">
        <v>0</v>
      </c>
      <c r="I89" s="114">
        <v>0.8</v>
      </c>
      <c r="J89" s="114">
        <v>0</v>
      </c>
      <c r="K89" s="114">
        <v>0.8</v>
      </c>
      <c r="L89" s="114">
        <v>0.8</v>
      </c>
      <c r="M89" s="114">
        <v>0.8</v>
      </c>
      <c r="N89" s="114">
        <v>0.8</v>
      </c>
      <c r="O89" s="114">
        <v>0.8</v>
      </c>
      <c r="P89" s="114">
        <v>0.8</v>
      </c>
      <c r="Q89" s="114">
        <v>0.8</v>
      </c>
      <c r="R89" s="114">
        <v>0.8</v>
      </c>
      <c r="S89" s="114">
        <v>0.8</v>
      </c>
      <c r="T89" s="114">
        <v>0.8</v>
      </c>
      <c r="U89" s="114">
        <v>0.8</v>
      </c>
      <c r="V89" s="114">
        <v>0</v>
      </c>
      <c r="W89" s="114">
        <v>0.8</v>
      </c>
      <c r="X89" s="114">
        <v>0.8</v>
      </c>
      <c r="Y89" s="114">
        <v>0</v>
      </c>
      <c r="Z89" s="114">
        <v>0.8</v>
      </c>
      <c r="AA89" s="114">
        <v>0.8</v>
      </c>
      <c r="AB89" s="114">
        <v>0.8</v>
      </c>
      <c r="AC89" s="114">
        <v>0.8</v>
      </c>
      <c r="AD89" s="114">
        <v>0</v>
      </c>
      <c r="AE89" s="114">
        <v>0</v>
      </c>
      <c r="AF89" s="114">
        <v>0.8</v>
      </c>
      <c r="AG89" s="114">
        <v>0.8</v>
      </c>
      <c r="AH89" s="114">
        <v>0.8</v>
      </c>
      <c r="AI89" s="114">
        <v>0.8</v>
      </c>
      <c r="AJ89" s="114">
        <v>0.8</v>
      </c>
      <c r="AK89" s="114">
        <v>0.8</v>
      </c>
      <c r="AL89" s="114">
        <v>0.8</v>
      </c>
      <c r="AM89" s="114">
        <v>0.8</v>
      </c>
      <c r="AN89" s="114">
        <v>0.8</v>
      </c>
      <c r="AO89" s="114">
        <v>0.8</v>
      </c>
      <c r="AP89" s="114">
        <v>0.8</v>
      </c>
      <c r="AQ89" s="114">
        <v>0.8</v>
      </c>
      <c r="AR89" s="114">
        <v>0.8</v>
      </c>
      <c r="AS89" s="114">
        <v>0.8</v>
      </c>
      <c r="AT89" s="114">
        <v>0.8</v>
      </c>
      <c r="AU89" s="114">
        <v>0.8</v>
      </c>
      <c r="AV89" s="114">
        <v>0.8</v>
      </c>
      <c r="AW89" s="114">
        <v>0.8</v>
      </c>
      <c r="AX89" s="114">
        <v>0.8</v>
      </c>
      <c r="AY89" s="114">
        <v>0.8</v>
      </c>
      <c r="AZ89" s="114">
        <v>0.8</v>
      </c>
      <c r="BA89" s="114">
        <v>0.8</v>
      </c>
      <c r="BB89" s="114">
        <v>0.8</v>
      </c>
      <c r="BC89" s="114">
        <v>0.8</v>
      </c>
      <c r="BD89" s="114">
        <v>0.8</v>
      </c>
      <c r="BE89" s="114">
        <v>0</v>
      </c>
      <c r="BF89" s="114">
        <v>0</v>
      </c>
      <c r="BG89" s="114">
        <v>0.8</v>
      </c>
      <c r="BH89" s="114">
        <v>0.8</v>
      </c>
      <c r="BI89" s="114">
        <v>0.8</v>
      </c>
      <c r="BJ89" s="114">
        <v>0.8</v>
      </c>
      <c r="BK89" s="114">
        <v>0.8</v>
      </c>
      <c r="BL89" s="114">
        <v>0.8</v>
      </c>
      <c r="BM89" s="114">
        <v>0.8</v>
      </c>
      <c r="BN89" s="114">
        <v>0.8</v>
      </c>
      <c r="BO89" s="114">
        <v>0.8</v>
      </c>
      <c r="BP89" s="114">
        <v>0</v>
      </c>
      <c r="BQ89" s="114">
        <v>0</v>
      </c>
      <c r="BR89" s="114">
        <v>0</v>
      </c>
      <c r="BS89" s="114">
        <v>0</v>
      </c>
      <c r="BT89" s="114">
        <v>0</v>
      </c>
      <c r="BU89" s="114">
        <v>0</v>
      </c>
      <c r="BV89" s="114">
        <v>0.8</v>
      </c>
      <c r="BW89" s="114">
        <v>0.8</v>
      </c>
      <c r="BX89" s="114">
        <v>0</v>
      </c>
      <c r="BY89" s="114">
        <v>0.8</v>
      </c>
      <c r="BZ89" s="114">
        <v>0</v>
      </c>
      <c r="CA89" s="114">
        <v>0.8</v>
      </c>
      <c r="CB89" s="114">
        <v>0.8</v>
      </c>
      <c r="CC89" s="114">
        <v>0.8</v>
      </c>
      <c r="CD89" s="114">
        <v>0</v>
      </c>
      <c r="CE89" s="114">
        <v>0.8</v>
      </c>
      <c r="CF89" s="114">
        <v>0.8</v>
      </c>
      <c r="CG89" s="114">
        <v>0</v>
      </c>
      <c r="CH89" s="114">
        <v>0</v>
      </c>
      <c r="CI89" s="114">
        <v>0.8</v>
      </c>
      <c r="CJ89" s="114">
        <v>0.8</v>
      </c>
      <c r="CK89" s="114">
        <v>0.8</v>
      </c>
      <c r="CL89" s="114">
        <v>0</v>
      </c>
      <c r="CM89" s="114">
        <v>0</v>
      </c>
      <c r="CN89" s="114">
        <v>0</v>
      </c>
      <c r="CO89" s="114">
        <v>0</v>
      </c>
      <c r="CP89" s="114">
        <v>0</v>
      </c>
      <c r="CQ89" s="114">
        <v>0</v>
      </c>
      <c r="CR89" s="114">
        <v>0</v>
      </c>
      <c r="CS89" s="114">
        <v>0</v>
      </c>
      <c r="CT89" s="114">
        <v>0</v>
      </c>
      <c r="CU89" s="114">
        <v>0</v>
      </c>
      <c r="CV89" s="114">
        <v>0</v>
      </c>
    </row>
    <row r="90" spans="1:100" x14ac:dyDescent="0.15">
      <c r="A90" s="191" t="s">
        <v>280</v>
      </c>
      <c r="B90" s="114">
        <v>0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0.8</v>
      </c>
      <c r="I90" s="114">
        <v>0.8</v>
      </c>
      <c r="J90" s="114">
        <v>0</v>
      </c>
      <c r="K90" s="114">
        <v>0</v>
      </c>
      <c r="L90" s="114">
        <v>0</v>
      </c>
      <c r="M90" s="114">
        <v>0</v>
      </c>
      <c r="N90" s="114">
        <v>0.8</v>
      </c>
      <c r="O90" s="114">
        <v>0.8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0.8</v>
      </c>
      <c r="V90" s="114">
        <v>0</v>
      </c>
      <c r="W90" s="114">
        <v>0</v>
      </c>
      <c r="X90" s="114">
        <v>0</v>
      </c>
      <c r="Y90" s="114">
        <v>0</v>
      </c>
      <c r="Z90" s="114">
        <v>0.8</v>
      </c>
      <c r="AA90" s="114">
        <v>0</v>
      </c>
      <c r="AB90" s="114">
        <v>0</v>
      </c>
      <c r="AC90" s="114">
        <v>0</v>
      </c>
      <c r="AD90" s="114">
        <v>0.8</v>
      </c>
      <c r="AE90" s="114">
        <v>0.8</v>
      </c>
      <c r="AF90" s="114">
        <v>0</v>
      </c>
      <c r="AG90" s="114">
        <v>0</v>
      </c>
      <c r="AH90" s="114">
        <v>0.8</v>
      </c>
      <c r="AI90" s="114">
        <v>0.8</v>
      </c>
      <c r="AJ90" s="114">
        <v>0</v>
      </c>
      <c r="AK90" s="114">
        <v>0</v>
      </c>
      <c r="AL90" s="114">
        <v>0</v>
      </c>
      <c r="AM90" s="114">
        <v>0</v>
      </c>
      <c r="AN90" s="114">
        <v>0.8</v>
      </c>
      <c r="AO90" s="114">
        <v>0.8</v>
      </c>
      <c r="AP90" s="114">
        <v>0.8</v>
      </c>
      <c r="AQ90" s="114">
        <v>0.8</v>
      </c>
      <c r="AR90" s="114">
        <v>0.8</v>
      </c>
      <c r="AS90" s="114">
        <v>0.8</v>
      </c>
      <c r="AT90" s="114">
        <v>0.8</v>
      </c>
      <c r="AU90" s="114">
        <v>0.8</v>
      </c>
      <c r="AV90" s="114">
        <v>0.8</v>
      </c>
      <c r="AW90" s="114">
        <v>0</v>
      </c>
      <c r="AX90" s="114">
        <v>0</v>
      </c>
      <c r="AY90" s="114">
        <v>0</v>
      </c>
      <c r="AZ90" s="114">
        <v>0</v>
      </c>
      <c r="BA90" s="114">
        <v>0.8</v>
      </c>
      <c r="BB90" s="114">
        <v>0.8</v>
      </c>
      <c r="BC90" s="114">
        <v>0.8</v>
      </c>
      <c r="BD90" s="114">
        <v>0</v>
      </c>
      <c r="BE90" s="114">
        <v>0.8</v>
      </c>
      <c r="BF90" s="114">
        <v>0.8</v>
      </c>
      <c r="BG90" s="114">
        <v>0.8</v>
      </c>
      <c r="BH90" s="114">
        <v>0.8</v>
      </c>
      <c r="BI90" s="114">
        <v>0</v>
      </c>
      <c r="BJ90" s="114">
        <v>0</v>
      </c>
      <c r="BK90" s="114">
        <v>0</v>
      </c>
      <c r="BL90" s="114">
        <v>0</v>
      </c>
      <c r="BM90" s="114">
        <v>0.8</v>
      </c>
      <c r="BN90" s="114">
        <v>0.8</v>
      </c>
      <c r="BO90" s="114">
        <v>0</v>
      </c>
      <c r="BP90" s="114">
        <v>0</v>
      </c>
      <c r="BQ90" s="114">
        <v>0</v>
      </c>
      <c r="BR90" s="114">
        <v>0</v>
      </c>
      <c r="BS90" s="114">
        <v>0</v>
      </c>
      <c r="BT90" s="114">
        <v>0</v>
      </c>
      <c r="BU90" s="114">
        <v>0</v>
      </c>
      <c r="BV90" s="114">
        <v>0</v>
      </c>
      <c r="BW90" s="114">
        <v>0</v>
      </c>
      <c r="BX90" s="114">
        <v>0</v>
      </c>
      <c r="BY90" s="114">
        <v>0</v>
      </c>
      <c r="BZ90" s="114">
        <v>0</v>
      </c>
      <c r="CA90" s="114">
        <v>0</v>
      </c>
      <c r="CB90" s="114">
        <v>0</v>
      </c>
      <c r="CC90" s="114">
        <v>0</v>
      </c>
      <c r="CD90" s="114">
        <v>0</v>
      </c>
      <c r="CE90" s="114">
        <v>0</v>
      </c>
      <c r="CF90" s="114">
        <v>0</v>
      </c>
      <c r="CG90" s="114">
        <v>0</v>
      </c>
      <c r="CH90" s="114">
        <v>0</v>
      </c>
      <c r="CI90" s="114">
        <v>0</v>
      </c>
      <c r="CJ90" s="114">
        <v>0</v>
      </c>
      <c r="CK90" s="114">
        <v>0</v>
      </c>
      <c r="CL90" s="114">
        <v>0.8</v>
      </c>
      <c r="CM90" s="114">
        <v>0</v>
      </c>
      <c r="CN90" s="114">
        <v>0</v>
      </c>
      <c r="CO90" s="114">
        <v>0</v>
      </c>
      <c r="CP90" s="114">
        <v>0</v>
      </c>
      <c r="CQ90" s="114">
        <v>0</v>
      </c>
      <c r="CR90" s="114">
        <v>0</v>
      </c>
      <c r="CS90" s="114">
        <v>0</v>
      </c>
      <c r="CT90" s="114">
        <v>0</v>
      </c>
      <c r="CU90" s="114">
        <v>0</v>
      </c>
      <c r="CV90" s="114">
        <v>0</v>
      </c>
    </row>
    <row r="91" spans="1:100" x14ac:dyDescent="0.15">
      <c r="A91" s="191" t="s">
        <v>281</v>
      </c>
      <c r="B91" s="114">
        <v>0.8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0.8</v>
      </c>
      <c r="I91" s="114">
        <v>0</v>
      </c>
      <c r="J91" s="114">
        <v>0</v>
      </c>
      <c r="K91" s="114">
        <v>0.8</v>
      </c>
      <c r="L91" s="114">
        <v>0.8</v>
      </c>
      <c r="M91" s="114">
        <v>0.8</v>
      </c>
      <c r="N91" s="114">
        <v>0.8</v>
      </c>
      <c r="O91" s="114">
        <v>0.8</v>
      </c>
      <c r="P91" s="114">
        <v>0.8</v>
      </c>
      <c r="Q91" s="114">
        <v>0.8</v>
      </c>
      <c r="R91" s="114">
        <v>0.8</v>
      </c>
      <c r="S91" s="114">
        <v>0.8</v>
      </c>
      <c r="T91" s="114">
        <v>0.8</v>
      </c>
      <c r="U91" s="114">
        <v>0.8</v>
      </c>
      <c r="V91" s="114">
        <v>0.8</v>
      </c>
      <c r="W91" s="114">
        <v>0</v>
      </c>
      <c r="X91" s="114">
        <v>0</v>
      </c>
      <c r="Y91" s="114">
        <v>0</v>
      </c>
      <c r="Z91" s="114">
        <v>0.8</v>
      </c>
      <c r="AA91" s="114">
        <v>0.8</v>
      </c>
      <c r="AB91" s="114">
        <v>0</v>
      </c>
      <c r="AC91" s="114">
        <v>0</v>
      </c>
      <c r="AD91" s="114">
        <v>0.8</v>
      </c>
      <c r="AE91" s="114">
        <v>0.8</v>
      </c>
      <c r="AF91" s="114">
        <v>0.8</v>
      </c>
      <c r="AG91" s="114">
        <v>0</v>
      </c>
      <c r="AH91" s="114">
        <v>0.8</v>
      </c>
      <c r="AI91" s="114">
        <v>0.8</v>
      </c>
      <c r="AJ91" s="114">
        <v>0</v>
      </c>
      <c r="AK91" s="114">
        <v>0.8</v>
      </c>
      <c r="AL91" s="114">
        <v>0.8</v>
      </c>
      <c r="AM91" s="114">
        <v>0</v>
      </c>
      <c r="AN91" s="114">
        <v>0.8</v>
      </c>
      <c r="AO91" s="114">
        <v>0.8</v>
      </c>
      <c r="AP91" s="114">
        <v>0.8</v>
      </c>
      <c r="AQ91" s="114">
        <v>0.8</v>
      </c>
      <c r="AR91" s="114">
        <v>0.8</v>
      </c>
      <c r="AS91" s="114">
        <v>0.8</v>
      </c>
      <c r="AT91" s="114">
        <v>0.8</v>
      </c>
      <c r="AU91" s="114">
        <v>0.8</v>
      </c>
      <c r="AV91" s="114">
        <v>0.8</v>
      </c>
      <c r="AW91" s="114">
        <v>0</v>
      </c>
      <c r="AX91" s="114">
        <v>0.8</v>
      </c>
      <c r="AY91" s="114">
        <v>0</v>
      </c>
      <c r="AZ91" s="114">
        <v>0</v>
      </c>
      <c r="BA91" s="114">
        <v>0.8</v>
      </c>
      <c r="BB91" s="114">
        <v>0.8</v>
      </c>
      <c r="BC91" s="114">
        <v>0.8</v>
      </c>
      <c r="BD91" s="114">
        <v>0.8</v>
      </c>
      <c r="BE91" s="114">
        <v>0.8</v>
      </c>
      <c r="BF91" s="114">
        <v>0.8</v>
      </c>
      <c r="BG91" s="114">
        <v>0.8</v>
      </c>
      <c r="BH91" s="114">
        <v>0.8</v>
      </c>
      <c r="BI91" s="114">
        <v>0.8</v>
      </c>
      <c r="BJ91" s="114">
        <v>0.8</v>
      </c>
      <c r="BK91" s="114">
        <v>0</v>
      </c>
      <c r="BL91" s="114">
        <v>0</v>
      </c>
      <c r="BM91" s="114">
        <v>0.8</v>
      </c>
      <c r="BN91" s="114">
        <v>0.8</v>
      </c>
      <c r="BO91" s="114">
        <v>0</v>
      </c>
      <c r="BP91" s="114">
        <v>0.8</v>
      </c>
      <c r="BQ91" s="114">
        <v>0.8</v>
      </c>
      <c r="BR91" s="114">
        <v>0.8</v>
      </c>
      <c r="BS91" s="114">
        <v>0.8</v>
      </c>
      <c r="BT91" s="114">
        <v>0</v>
      </c>
      <c r="BU91" s="114">
        <v>0.8</v>
      </c>
      <c r="BV91" s="114">
        <v>0.8</v>
      </c>
      <c r="BW91" s="114">
        <v>0</v>
      </c>
      <c r="BX91" s="114">
        <v>0.8</v>
      </c>
      <c r="BY91" s="114">
        <v>0.8</v>
      </c>
      <c r="BZ91" s="114">
        <v>0</v>
      </c>
      <c r="CA91" s="114">
        <v>0</v>
      </c>
      <c r="CB91" s="114">
        <v>0</v>
      </c>
      <c r="CC91" s="114">
        <v>0</v>
      </c>
      <c r="CD91" s="114">
        <v>0</v>
      </c>
      <c r="CE91" s="114">
        <v>0</v>
      </c>
      <c r="CF91" s="114">
        <v>0</v>
      </c>
      <c r="CG91" s="114">
        <v>0</v>
      </c>
      <c r="CH91" s="114">
        <v>0.8</v>
      </c>
      <c r="CI91" s="114">
        <v>0</v>
      </c>
      <c r="CJ91" s="114">
        <v>0</v>
      </c>
      <c r="CK91" s="114">
        <v>0</v>
      </c>
      <c r="CL91" s="114">
        <v>0.8</v>
      </c>
      <c r="CM91" s="114">
        <v>0.8</v>
      </c>
      <c r="CN91" s="114">
        <v>0</v>
      </c>
      <c r="CO91" s="114">
        <v>0</v>
      </c>
      <c r="CP91" s="114">
        <v>0</v>
      </c>
      <c r="CQ91" s="114">
        <v>0</v>
      </c>
      <c r="CR91" s="114">
        <v>0</v>
      </c>
      <c r="CS91" s="114">
        <v>0</v>
      </c>
      <c r="CT91" s="114">
        <v>0</v>
      </c>
      <c r="CU91" s="114">
        <v>0</v>
      </c>
      <c r="CV91" s="114">
        <v>0</v>
      </c>
    </row>
    <row r="92" spans="1:100" x14ac:dyDescent="0.15">
      <c r="A92" s="191" t="s">
        <v>282</v>
      </c>
      <c r="B92" s="114">
        <v>0.8</v>
      </c>
      <c r="C92" s="114">
        <v>0</v>
      </c>
      <c r="D92" s="114">
        <v>0</v>
      </c>
      <c r="E92" s="114">
        <v>0</v>
      </c>
      <c r="F92" s="114">
        <v>0</v>
      </c>
      <c r="G92" s="114">
        <v>0</v>
      </c>
      <c r="H92" s="114">
        <v>0.8</v>
      </c>
      <c r="I92" s="114">
        <v>0</v>
      </c>
      <c r="J92" s="114">
        <v>0</v>
      </c>
      <c r="K92" s="114">
        <v>0</v>
      </c>
      <c r="L92" s="114">
        <v>0</v>
      </c>
      <c r="M92" s="114">
        <v>0</v>
      </c>
      <c r="N92" s="114">
        <v>0.8</v>
      </c>
      <c r="O92" s="114">
        <v>0.8</v>
      </c>
      <c r="P92" s="114">
        <v>0</v>
      </c>
      <c r="Q92" s="114">
        <v>0</v>
      </c>
      <c r="R92" s="114">
        <v>0.8</v>
      </c>
      <c r="S92" s="114">
        <v>0.8</v>
      </c>
      <c r="T92" s="114">
        <v>0.8</v>
      </c>
      <c r="U92" s="114">
        <v>0.8</v>
      </c>
      <c r="V92" s="114">
        <v>0.8</v>
      </c>
      <c r="W92" s="114">
        <v>0</v>
      </c>
      <c r="X92" s="114">
        <v>0</v>
      </c>
      <c r="Y92" s="114">
        <v>0</v>
      </c>
      <c r="Z92" s="114">
        <v>0.8</v>
      </c>
      <c r="AA92" s="114">
        <v>0.8</v>
      </c>
      <c r="AB92" s="114">
        <v>0</v>
      </c>
      <c r="AC92" s="114">
        <v>0</v>
      </c>
      <c r="AD92" s="114">
        <v>0.8</v>
      </c>
      <c r="AE92" s="114">
        <v>0.8</v>
      </c>
      <c r="AF92" s="114">
        <v>0</v>
      </c>
      <c r="AG92" s="114">
        <v>0</v>
      </c>
      <c r="AH92" s="114">
        <v>0.8</v>
      </c>
      <c r="AI92" s="114">
        <v>0.8</v>
      </c>
      <c r="AJ92" s="114">
        <v>0</v>
      </c>
      <c r="AK92" s="114">
        <v>0.8</v>
      </c>
      <c r="AL92" s="114">
        <v>0</v>
      </c>
      <c r="AM92" s="114">
        <v>0</v>
      </c>
      <c r="AN92" s="114">
        <v>0.8</v>
      </c>
      <c r="AO92" s="114">
        <v>0.8</v>
      </c>
      <c r="AP92" s="114">
        <v>0.8</v>
      </c>
      <c r="AQ92" s="114">
        <v>0.8</v>
      </c>
      <c r="AR92" s="114">
        <v>0.8</v>
      </c>
      <c r="AS92" s="114">
        <v>0.8</v>
      </c>
      <c r="AT92" s="114">
        <v>0.8</v>
      </c>
      <c r="AU92" s="114">
        <v>0.8</v>
      </c>
      <c r="AV92" s="114">
        <v>0.8</v>
      </c>
      <c r="AW92" s="114">
        <v>0</v>
      </c>
      <c r="AX92" s="114">
        <v>0.8</v>
      </c>
      <c r="AY92" s="114">
        <v>0</v>
      </c>
      <c r="AZ92" s="114">
        <v>0</v>
      </c>
      <c r="BA92" s="114">
        <v>0.8</v>
      </c>
      <c r="BB92" s="114">
        <v>0.8</v>
      </c>
      <c r="BC92" s="114">
        <v>0.8</v>
      </c>
      <c r="BD92" s="114">
        <v>0.8</v>
      </c>
      <c r="BE92" s="114">
        <v>0.8</v>
      </c>
      <c r="BF92" s="114">
        <v>0.8</v>
      </c>
      <c r="BG92" s="114">
        <v>0</v>
      </c>
      <c r="BH92" s="114">
        <v>0.8</v>
      </c>
      <c r="BI92" s="114">
        <v>0.8</v>
      </c>
      <c r="BJ92" s="114">
        <v>0.8</v>
      </c>
      <c r="BK92" s="114">
        <v>0</v>
      </c>
      <c r="BL92" s="114">
        <v>0</v>
      </c>
      <c r="BM92" s="114">
        <v>0.8</v>
      </c>
      <c r="BN92" s="114">
        <v>0.8</v>
      </c>
      <c r="BO92" s="114">
        <v>0</v>
      </c>
      <c r="BP92" s="114">
        <v>0.8</v>
      </c>
      <c r="BQ92" s="114">
        <v>0.8</v>
      </c>
      <c r="BR92" s="114">
        <v>0.8</v>
      </c>
      <c r="BS92" s="114">
        <v>0.8</v>
      </c>
      <c r="BT92" s="114">
        <v>0</v>
      </c>
      <c r="BU92" s="114">
        <v>0.8</v>
      </c>
      <c r="BV92" s="114">
        <v>0</v>
      </c>
      <c r="BW92" s="114">
        <v>0</v>
      </c>
      <c r="BX92" s="114">
        <v>0.8</v>
      </c>
      <c r="BY92" s="114">
        <v>0</v>
      </c>
      <c r="BZ92" s="114">
        <v>0</v>
      </c>
      <c r="CA92" s="114">
        <v>0</v>
      </c>
      <c r="CB92" s="114">
        <v>0</v>
      </c>
      <c r="CC92" s="114">
        <v>0</v>
      </c>
      <c r="CD92" s="114">
        <v>0</v>
      </c>
      <c r="CE92" s="114">
        <v>0</v>
      </c>
      <c r="CF92" s="114">
        <v>0</v>
      </c>
      <c r="CG92" s="114">
        <v>0</v>
      </c>
      <c r="CH92" s="114">
        <v>0.8</v>
      </c>
      <c r="CI92" s="114">
        <v>0</v>
      </c>
      <c r="CJ92" s="114">
        <v>0</v>
      </c>
      <c r="CK92" s="114">
        <v>0</v>
      </c>
      <c r="CL92" s="114">
        <v>0.8</v>
      </c>
      <c r="CM92" s="114">
        <v>0.8</v>
      </c>
      <c r="CN92" s="114">
        <v>0</v>
      </c>
      <c r="CO92" s="114">
        <v>0</v>
      </c>
      <c r="CP92" s="114">
        <v>0</v>
      </c>
      <c r="CQ92" s="114">
        <v>0</v>
      </c>
      <c r="CR92" s="114">
        <v>0</v>
      </c>
      <c r="CS92" s="114">
        <v>0</v>
      </c>
      <c r="CT92" s="114">
        <v>0</v>
      </c>
      <c r="CU92" s="114">
        <v>0</v>
      </c>
      <c r="CV92" s="114">
        <v>0</v>
      </c>
    </row>
    <row r="93" spans="1:100" x14ac:dyDescent="0.15">
      <c r="A93" s="191" t="s">
        <v>283</v>
      </c>
      <c r="B93" s="114">
        <v>0.8</v>
      </c>
      <c r="C93" s="114">
        <v>0</v>
      </c>
      <c r="D93" s="114">
        <v>0</v>
      </c>
      <c r="E93" s="114">
        <v>0</v>
      </c>
      <c r="F93" s="114">
        <v>0</v>
      </c>
      <c r="G93" s="114">
        <v>0</v>
      </c>
      <c r="H93" s="114">
        <v>0</v>
      </c>
      <c r="I93" s="114">
        <v>0</v>
      </c>
      <c r="J93" s="114">
        <v>0</v>
      </c>
      <c r="K93" s="114">
        <v>0</v>
      </c>
      <c r="L93" s="114">
        <v>0</v>
      </c>
      <c r="M93" s="114">
        <v>0</v>
      </c>
      <c r="N93" s="114">
        <v>0.8</v>
      </c>
      <c r="O93" s="114">
        <v>0.8</v>
      </c>
      <c r="P93" s="114">
        <v>0</v>
      </c>
      <c r="Q93" s="114">
        <v>0</v>
      </c>
      <c r="R93" s="114">
        <v>0</v>
      </c>
      <c r="S93" s="114">
        <v>0.8</v>
      </c>
      <c r="T93" s="114">
        <v>0.8</v>
      </c>
      <c r="U93" s="114">
        <v>0.8</v>
      </c>
      <c r="V93" s="114">
        <v>0</v>
      </c>
      <c r="W93" s="114">
        <v>0</v>
      </c>
      <c r="X93" s="114">
        <v>0</v>
      </c>
      <c r="Y93" s="114">
        <v>0</v>
      </c>
      <c r="Z93" s="114">
        <v>0.8</v>
      </c>
      <c r="AA93" s="114">
        <v>0.8</v>
      </c>
      <c r="AB93" s="114">
        <v>0</v>
      </c>
      <c r="AC93" s="114">
        <v>0</v>
      </c>
      <c r="AD93" s="114">
        <v>0.8</v>
      </c>
      <c r="AE93" s="114">
        <v>0.8</v>
      </c>
      <c r="AF93" s="114">
        <v>0</v>
      </c>
      <c r="AG93" s="114">
        <v>0</v>
      </c>
      <c r="AH93" s="114">
        <v>0.8</v>
      </c>
      <c r="AI93" s="114">
        <v>0.8</v>
      </c>
      <c r="AJ93" s="114">
        <v>0</v>
      </c>
      <c r="AK93" s="114">
        <v>0.8</v>
      </c>
      <c r="AL93" s="114">
        <v>0</v>
      </c>
      <c r="AM93" s="114">
        <v>0</v>
      </c>
      <c r="AN93" s="114">
        <v>0.8</v>
      </c>
      <c r="AO93" s="114">
        <v>0.8</v>
      </c>
      <c r="AP93" s="114">
        <v>0.8</v>
      </c>
      <c r="AQ93" s="114">
        <v>0.8</v>
      </c>
      <c r="AR93" s="114">
        <v>0.8</v>
      </c>
      <c r="AS93" s="114">
        <v>0.8</v>
      </c>
      <c r="AT93" s="114">
        <v>0.8</v>
      </c>
      <c r="AU93" s="114">
        <v>0.8</v>
      </c>
      <c r="AV93" s="114">
        <v>0.8</v>
      </c>
      <c r="AW93" s="114">
        <v>0</v>
      </c>
      <c r="AX93" s="114">
        <v>0.8</v>
      </c>
      <c r="AY93" s="114">
        <v>0</v>
      </c>
      <c r="AZ93" s="114">
        <v>0</v>
      </c>
      <c r="BA93" s="114">
        <v>0.8</v>
      </c>
      <c r="BB93" s="114">
        <v>0.8</v>
      </c>
      <c r="BC93" s="114">
        <v>0.8</v>
      </c>
      <c r="BD93" s="114">
        <v>0.8</v>
      </c>
      <c r="BE93" s="114">
        <v>0.8</v>
      </c>
      <c r="BF93" s="114">
        <v>0.8</v>
      </c>
      <c r="BG93" s="114">
        <v>0</v>
      </c>
      <c r="BH93" s="114">
        <v>0.8</v>
      </c>
      <c r="BI93" s="114">
        <v>0.8</v>
      </c>
      <c r="BJ93" s="114">
        <v>0.8</v>
      </c>
      <c r="BK93" s="114">
        <v>0</v>
      </c>
      <c r="BL93" s="114">
        <v>0</v>
      </c>
      <c r="BM93" s="114">
        <v>0.8</v>
      </c>
      <c r="BN93" s="114">
        <v>0.8</v>
      </c>
      <c r="BO93" s="114">
        <v>0</v>
      </c>
      <c r="BP93" s="114">
        <v>0.8</v>
      </c>
      <c r="BQ93" s="114">
        <v>0.8</v>
      </c>
      <c r="BR93" s="114">
        <v>0.8</v>
      </c>
      <c r="BS93" s="114">
        <v>0.8</v>
      </c>
      <c r="BT93" s="114">
        <v>0</v>
      </c>
      <c r="BU93" s="114">
        <v>0.8</v>
      </c>
      <c r="BV93" s="114">
        <v>0</v>
      </c>
      <c r="BW93" s="114">
        <v>0</v>
      </c>
      <c r="BX93" s="114">
        <v>0</v>
      </c>
      <c r="BY93" s="114">
        <v>0</v>
      </c>
      <c r="BZ93" s="114">
        <v>0</v>
      </c>
      <c r="CA93" s="114">
        <v>0</v>
      </c>
      <c r="CB93" s="114">
        <v>0</v>
      </c>
      <c r="CC93" s="114">
        <v>0</v>
      </c>
      <c r="CD93" s="114">
        <v>0</v>
      </c>
      <c r="CE93" s="114">
        <v>0</v>
      </c>
      <c r="CF93" s="114">
        <v>0</v>
      </c>
      <c r="CG93" s="114">
        <v>0.8</v>
      </c>
      <c r="CH93" s="114">
        <v>0.8</v>
      </c>
      <c r="CI93" s="114">
        <v>0</v>
      </c>
      <c r="CJ93" s="114">
        <v>0</v>
      </c>
      <c r="CK93" s="114">
        <v>0</v>
      </c>
      <c r="CL93" s="114">
        <v>0.8</v>
      </c>
      <c r="CM93" s="114">
        <v>0.8</v>
      </c>
      <c r="CN93" s="114">
        <v>0</v>
      </c>
      <c r="CO93" s="114">
        <v>0</v>
      </c>
      <c r="CP93" s="114">
        <v>0</v>
      </c>
      <c r="CQ93" s="114">
        <v>0</v>
      </c>
      <c r="CR93" s="114">
        <v>0</v>
      </c>
      <c r="CS93" s="114">
        <v>0</v>
      </c>
      <c r="CT93" s="114">
        <v>0</v>
      </c>
      <c r="CU93" s="114">
        <v>0</v>
      </c>
      <c r="CV93" s="114">
        <v>0</v>
      </c>
    </row>
    <row r="94" spans="1:100" x14ac:dyDescent="0.15">
      <c r="A94" s="191" t="s">
        <v>284</v>
      </c>
      <c r="B94" s="114">
        <v>0</v>
      </c>
      <c r="C94" s="114">
        <v>0</v>
      </c>
      <c r="D94" s="114">
        <v>0</v>
      </c>
      <c r="E94" s="114">
        <v>0</v>
      </c>
      <c r="F94" s="114">
        <v>0</v>
      </c>
      <c r="G94" s="114">
        <v>0</v>
      </c>
      <c r="H94" s="114">
        <v>0</v>
      </c>
      <c r="I94" s="114">
        <v>0</v>
      </c>
      <c r="J94" s="114">
        <v>0</v>
      </c>
      <c r="K94" s="114">
        <v>0</v>
      </c>
      <c r="L94" s="114">
        <v>0</v>
      </c>
      <c r="M94" s="114">
        <v>0</v>
      </c>
      <c r="N94" s="114">
        <v>0</v>
      </c>
      <c r="O94" s="114">
        <v>0</v>
      </c>
      <c r="P94" s="114">
        <v>0</v>
      </c>
      <c r="Q94" s="114">
        <v>0</v>
      </c>
      <c r="R94" s="114">
        <v>0</v>
      </c>
      <c r="S94" s="114">
        <v>0</v>
      </c>
      <c r="T94" s="114">
        <v>0</v>
      </c>
      <c r="U94" s="114">
        <v>0</v>
      </c>
      <c r="V94" s="114">
        <v>0</v>
      </c>
      <c r="W94" s="114">
        <v>0</v>
      </c>
      <c r="X94" s="114">
        <v>0</v>
      </c>
      <c r="Y94" s="114">
        <v>0</v>
      </c>
      <c r="Z94" s="114">
        <v>0</v>
      </c>
      <c r="AA94" s="114">
        <v>0</v>
      </c>
      <c r="AB94" s="114">
        <v>0</v>
      </c>
      <c r="AC94" s="114">
        <v>0</v>
      </c>
      <c r="AD94" s="114">
        <v>0.8</v>
      </c>
      <c r="AE94" s="114">
        <v>0.8</v>
      </c>
      <c r="AF94" s="114">
        <v>0</v>
      </c>
      <c r="AG94" s="114">
        <v>0</v>
      </c>
      <c r="AH94" s="114">
        <v>0.8</v>
      </c>
      <c r="AI94" s="114">
        <v>0.8</v>
      </c>
      <c r="AJ94" s="114">
        <v>0</v>
      </c>
      <c r="AK94" s="114">
        <v>0</v>
      </c>
      <c r="AL94" s="114">
        <v>0</v>
      </c>
      <c r="AM94" s="114">
        <v>0</v>
      </c>
      <c r="AN94" s="114">
        <v>0.8</v>
      </c>
      <c r="AO94" s="114">
        <v>0</v>
      </c>
      <c r="AP94" s="114">
        <v>0.8</v>
      </c>
      <c r="AQ94" s="114">
        <v>0</v>
      </c>
      <c r="AR94" s="114">
        <v>0.8</v>
      </c>
      <c r="AS94" s="114">
        <v>0.8</v>
      </c>
      <c r="AT94" s="114">
        <v>0.8</v>
      </c>
      <c r="AU94" s="114">
        <v>0.8</v>
      </c>
      <c r="AV94" s="114">
        <v>0.8</v>
      </c>
      <c r="AW94" s="114">
        <v>0</v>
      </c>
      <c r="AX94" s="114">
        <v>0</v>
      </c>
      <c r="AY94" s="114">
        <v>0</v>
      </c>
      <c r="AZ94" s="114">
        <v>0</v>
      </c>
      <c r="BA94" s="114">
        <v>0.8</v>
      </c>
      <c r="BB94" s="114">
        <v>0.8</v>
      </c>
      <c r="BC94" s="114">
        <v>0</v>
      </c>
      <c r="BD94" s="114">
        <v>0.8</v>
      </c>
      <c r="BE94" s="114">
        <v>0.8</v>
      </c>
      <c r="BF94" s="114">
        <v>0.8</v>
      </c>
      <c r="BG94" s="114">
        <v>0</v>
      </c>
      <c r="BH94" s="114">
        <v>0</v>
      </c>
      <c r="BI94" s="114">
        <v>0.8</v>
      </c>
      <c r="BJ94" s="114">
        <v>0.8</v>
      </c>
      <c r="BK94" s="114">
        <v>0</v>
      </c>
      <c r="BL94" s="114">
        <v>0</v>
      </c>
      <c r="BM94" s="114">
        <v>0.8</v>
      </c>
      <c r="BN94" s="114">
        <v>0.8</v>
      </c>
      <c r="BO94" s="114">
        <v>0</v>
      </c>
      <c r="BP94" s="114">
        <v>0.8</v>
      </c>
      <c r="BQ94" s="114">
        <v>0.8</v>
      </c>
      <c r="BR94" s="114">
        <v>0.8</v>
      </c>
      <c r="BS94" s="114">
        <v>0.8</v>
      </c>
      <c r="BT94" s="114">
        <v>0</v>
      </c>
      <c r="BU94" s="114">
        <v>0.8</v>
      </c>
      <c r="BV94" s="114">
        <v>0</v>
      </c>
      <c r="BW94" s="114">
        <v>0</v>
      </c>
      <c r="BX94" s="114">
        <v>0</v>
      </c>
      <c r="BY94" s="114">
        <v>0</v>
      </c>
      <c r="BZ94" s="114">
        <v>0</v>
      </c>
      <c r="CA94" s="114">
        <v>0</v>
      </c>
      <c r="CB94" s="114">
        <v>0</v>
      </c>
      <c r="CC94" s="114">
        <v>0</v>
      </c>
      <c r="CD94" s="114">
        <v>0</v>
      </c>
      <c r="CE94" s="114">
        <v>0</v>
      </c>
      <c r="CF94" s="114">
        <v>0</v>
      </c>
      <c r="CG94" s="114">
        <v>0.8</v>
      </c>
      <c r="CH94" s="114">
        <v>0.8</v>
      </c>
      <c r="CI94" s="114">
        <v>0</v>
      </c>
      <c r="CJ94" s="114">
        <v>0</v>
      </c>
      <c r="CK94" s="114">
        <v>0</v>
      </c>
      <c r="CL94" s="114">
        <v>0.8</v>
      </c>
      <c r="CM94" s="114">
        <v>0</v>
      </c>
      <c r="CN94" s="114">
        <v>0.8</v>
      </c>
      <c r="CO94" s="114">
        <v>0.8</v>
      </c>
      <c r="CP94" s="114">
        <v>0</v>
      </c>
      <c r="CQ94" s="114">
        <v>0</v>
      </c>
      <c r="CR94" s="114">
        <v>0</v>
      </c>
      <c r="CS94" s="114">
        <v>0</v>
      </c>
      <c r="CT94" s="114">
        <v>0</v>
      </c>
      <c r="CU94" s="114">
        <v>0</v>
      </c>
      <c r="CV94" s="114">
        <v>0</v>
      </c>
    </row>
    <row r="95" spans="1:100" x14ac:dyDescent="0.15">
      <c r="A95" s="191" t="s">
        <v>285</v>
      </c>
      <c r="B95" s="114">
        <v>0</v>
      </c>
      <c r="C95" s="114">
        <v>0</v>
      </c>
      <c r="D95" s="114">
        <v>0</v>
      </c>
      <c r="E95" s="114">
        <v>0</v>
      </c>
      <c r="F95" s="114">
        <v>0</v>
      </c>
      <c r="G95" s="114">
        <v>0</v>
      </c>
      <c r="H95" s="114">
        <v>0.8</v>
      </c>
      <c r="I95" s="114">
        <v>0</v>
      </c>
      <c r="J95" s="114">
        <v>0</v>
      </c>
      <c r="K95" s="114">
        <v>0</v>
      </c>
      <c r="L95" s="114">
        <v>0</v>
      </c>
      <c r="M95" s="114">
        <v>0</v>
      </c>
      <c r="N95" s="114">
        <v>0</v>
      </c>
      <c r="O95" s="114">
        <v>0</v>
      </c>
      <c r="P95" s="114">
        <v>0</v>
      </c>
      <c r="Q95" s="114">
        <v>0</v>
      </c>
      <c r="R95" s="114">
        <v>0</v>
      </c>
      <c r="S95" s="114">
        <v>0</v>
      </c>
      <c r="T95" s="114">
        <v>0</v>
      </c>
      <c r="U95" s="114">
        <v>0.8</v>
      </c>
      <c r="V95" s="114">
        <v>0</v>
      </c>
      <c r="W95" s="114">
        <v>0</v>
      </c>
      <c r="X95" s="114">
        <v>0</v>
      </c>
      <c r="Y95" s="114">
        <v>0</v>
      </c>
      <c r="Z95" s="114">
        <v>0.8</v>
      </c>
      <c r="AA95" s="114">
        <v>0</v>
      </c>
      <c r="AB95" s="114">
        <v>0</v>
      </c>
      <c r="AC95" s="114">
        <v>0</v>
      </c>
      <c r="AD95" s="114">
        <v>0</v>
      </c>
      <c r="AE95" s="114">
        <v>0</v>
      </c>
      <c r="AF95" s="114">
        <v>0</v>
      </c>
      <c r="AG95" s="114">
        <v>0</v>
      </c>
      <c r="AH95" s="114">
        <v>0.8</v>
      </c>
      <c r="AI95" s="114">
        <v>0.8</v>
      </c>
      <c r="AJ95" s="114">
        <v>0</v>
      </c>
      <c r="AK95" s="114">
        <v>0.8</v>
      </c>
      <c r="AL95" s="114">
        <v>0</v>
      </c>
      <c r="AM95" s="114">
        <v>0</v>
      </c>
      <c r="AN95" s="114">
        <v>0</v>
      </c>
      <c r="AO95" s="114">
        <v>0</v>
      </c>
      <c r="AP95" s="114">
        <v>0</v>
      </c>
      <c r="AQ95" s="114">
        <v>0.8</v>
      </c>
      <c r="AR95" s="114">
        <v>0.8</v>
      </c>
      <c r="AS95" s="114">
        <v>0.8</v>
      </c>
      <c r="AT95" s="114">
        <v>0.8</v>
      </c>
      <c r="AU95" s="114">
        <v>0.8</v>
      </c>
      <c r="AV95" s="114">
        <v>0.8</v>
      </c>
      <c r="AW95" s="114">
        <v>0</v>
      </c>
      <c r="AX95" s="114">
        <v>0</v>
      </c>
      <c r="AY95" s="114">
        <v>0.8</v>
      </c>
      <c r="AZ95" s="114">
        <v>0.8</v>
      </c>
      <c r="BA95" s="114">
        <v>0.8</v>
      </c>
      <c r="BB95" s="114">
        <v>0</v>
      </c>
      <c r="BC95" s="114">
        <v>0.8</v>
      </c>
      <c r="BD95" s="114">
        <v>0.8</v>
      </c>
      <c r="BE95" s="114">
        <v>0</v>
      </c>
      <c r="BF95" s="114">
        <v>0</v>
      </c>
      <c r="BG95" s="114">
        <v>0</v>
      </c>
      <c r="BH95" s="114">
        <v>0.8</v>
      </c>
      <c r="BI95" s="114">
        <v>0.8</v>
      </c>
      <c r="BJ95" s="114">
        <v>0.8</v>
      </c>
      <c r="BK95" s="114">
        <v>0.8</v>
      </c>
      <c r="BL95" s="114">
        <v>0.8</v>
      </c>
      <c r="BM95" s="114">
        <v>0.8</v>
      </c>
      <c r="BN95" s="114">
        <v>0.8</v>
      </c>
      <c r="BO95" s="114">
        <v>0</v>
      </c>
      <c r="BP95" s="114">
        <v>0</v>
      </c>
      <c r="BQ95" s="114">
        <v>0</v>
      </c>
      <c r="BR95" s="114">
        <v>0</v>
      </c>
      <c r="BS95" s="114">
        <v>0</v>
      </c>
      <c r="BT95" s="114">
        <v>0</v>
      </c>
      <c r="BU95" s="114">
        <v>0</v>
      </c>
      <c r="BV95" s="114">
        <v>0.8</v>
      </c>
      <c r="BW95" s="114">
        <v>0.8</v>
      </c>
      <c r="BX95" s="114">
        <v>0</v>
      </c>
      <c r="BY95" s="114">
        <v>0</v>
      </c>
      <c r="BZ95" s="114">
        <v>0.8</v>
      </c>
      <c r="CA95" s="114">
        <v>0</v>
      </c>
      <c r="CB95" s="114">
        <v>0.8</v>
      </c>
      <c r="CC95" s="114">
        <v>0.8</v>
      </c>
      <c r="CD95" s="114">
        <v>0</v>
      </c>
      <c r="CE95" s="114">
        <v>0</v>
      </c>
      <c r="CF95" s="114">
        <v>0.8</v>
      </c>
      <c r="CG95" s="114">
        <v>0</v>
      </c>
      <c r="CH95" s="114">
        <v>0</v>
      </c>
      <c r="CI95" s="114">
        <v>0.8</v>
      </c>
      <c r="CJ95" s="114">
        <v>0</v>
      </c>
      <c r="CK95" s="114">
        <v>0.8</v>
      </c>
      <c r="CL95" s="114">
        <v>0</v>
      </c>
      <c r="CM95" s="114">
        <v>0</v>
      </c>
      <c r="CN95" s="114">
        <v>0</v>
      </c>
      <c r="CO95" s="114">
        <v>0</v>
      </c>
      <c r="CP95" s="114">
        <v>0</v>
      </c>
      <c r="CQ95" s="114">
        <v>0</v>
      </c>
      <c r="CR95" s="114">
        <v>0</v>
      </c>
      <c r="CS95" s="114">
        <v>0</v>
      </c>
      <c r="CT95" s="114">
        <v>0</v>
      </c>
      <c r="CU95" s="114">
        <v>0</v>
      </c>
      <c r="CV95" s="114">
        <v>0</v>
      </c>
    </row>
    <row r="96" spans="1:100" x14ac:dyDescent="0.15">
      <c r="A96" s="191" t="s">
        <v>286</v>
      </c>
      <c r="B96" s="114">
        <v>0</v>
      </c>
      <c r="C96" s="114">
        <v>0</v>
      </c>
      <c r="D96" s="114">
        <v>0</v>
      </c>
      <c r="E96" s="114">
        <v>0.8</v>
      </c>
      <c r="F96" s="114">
        <v>0</v>
      </c>
      <c r="G96" s="114">
        <v>0</v>
      </c>
      <c r="H96" s="114">
        <v>0.8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0.8</v>
      </c>
      <c r="V96" s="114">
        <v>0</v>
      </c>
      <c r="W96" s="114">
        <v>0</v>
      </c>
      <c r="X96" s="114">
        <v>0</v>
      </c>
      <c r="Y96" s="114">
        <v>0</v>
      </c>
      <c r="Z96" s="114">
        <v>0.8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0</v>
      </c>
      <c r="AG96" s="114">
        <v>0</v>
      </c>
      <c r="AH96" s="114">
        <v>0.8</v>
      </c>
      <c r="AI96" s="114">
        <v>0.8</v>
      </c>
      <c r="AJ96" s="114">
        <v>0</v>
      </c>
      <c r="AK96" s="114">
        <v>0.8</v>
      </c>
      <c r="AL96" s="114">
        <v>0</v>
      </c>
      <c r="AM96" s="114">
        <v>0</v>
      </c>
      <c r="AN96" s="114">
        <v>0</v>
      </c>
      <c r="AO96" s="114">
        <v>0</v>
      </c>
      <c r="AP96" s="114">
        <v>0</v>
      </c>
      <c r="AQ96" s="114">
        <v>0.8</v>
      </c>
      <c r="AR96" s="114">
        <v>0.8</v>
      </c>
      <c r="AS96" s="114">
        <v>0.8</v>
      </c>
      <c r="AT96" s="114">
        <v>0.8</v>
      </c>
      <c r="AU96" s="114">
        <v>0.8</v>
      </c>
      <c r="AV96" s="114">
        <v>0.8</v>
      </c>
      <c r="AW96" s="114">
        <v>0</v>
      </c>
      <c r="AX96" s="114">
        <v>0</v>
      </c>
      <c r="AY96" s="114">
        <v>0</v>
      </c>
      <c r="AZ96" s="114">
        <v>0</v>
      </c>
      <c r="BA96" s="114">
        <v>0.8</v>
      </c>
      <c r="BB96" s="114">
        <v>0</v>
      </c>
      <c r="BC96" s="114">
        <v>0.8</v>
      </c>
      <c r="BD96" s="114">
        <v>0.8</v>
      </c>
      <c r="BE96" s="114">
        <v>0</v>
      </c>
      <c r="BF96" s="114">
        <v>0</v>
      </c>
      <c r="BG96" s="114">
        <v>0</v>
      </c>
      <c r="BH96" s="114">
        <v>0</v>
      </c>
      <c r="BI96" s="114">
        <v>0.8</v>
      </c>
      <c r="BJ96" s="114">
        <v>0.8</v>
      </c>
      <c r="BK96" s="114">
        <v>0</v>
      </c>
      <c r="BL96" s="114">
        <v>0</v>
      </c>
      <c r="BM96" s="114">
        <v>0.8</v>
      </c>
      <c r="BN96" s="114">
        <v>0.8</v>
      </c>
      <c r="BO96" s="114">
        <v>0</v>
      </c>
      <c r="BP96" s="114">
        <v>0</v>
      </c>
      <c r="BQ96" s="114">
        <v>0</v>
      </c>
      <c r="BR96" s="114">
        <v>0</v>
      </c>
      <c r="BS96" s="114">
        <v>0</v>
      </c>
      <c r="BT96" s="114">
        <v>0</v>
      </c>
      <c r="BU96" s="114">
        <v>0</v>
      </c>
      <c r="BV96" s="114">
        <v>0.8</v>
      </c>
      <c r="BW96" s="114">
        <v>0.8</v>
      </c>
      <c r="BX96" s="114">
        <v>0</v>
      </c>
      <c r="BY96" s="114">
        <v>0</v>
      </c>
      <c r="BZ96" s="114">
        <v>0</v>
      </c>
      <c r="CA96" s="114">
        <v>0</v>
      </c>
      <c r="CB96" s="114">
        <v>0</v>
      </c>
      <c r="CC96" s="114">
        <v>0.8</v>
      </c>
      <c r="CD96" s="114">
        <v>0</v>
      </c>
      <c r="CE96" s="114">
        <v>0</v>
      </c>
      <c r="CF96" s="114">
        <v>0.8</v>
      </c>
      <c r="CG96" s="114">
        <v>0</v>
      </c>
      <c r="CH96" s="114">
        <v>0</v>
      </c>
      <c r="CI96" s="114">
        <v>0.8</v>
      </c>
      <c r="CJ96" s="114">
        <v>0</v>
      </c>
      <c r="CK96" s="114">
        <v>0.8</v>
      </c>
      <c r="CL96" s="114">
        <v>0</v>
      </c>
      <c r="CM96" s="114">
        <v>0</v>
      </c>
      <c r="CN96" s="114">
        <v>0</v>
      </c>
      <c r="CO96" s="114">
        <v>0</v>
      </c>
      <c r="CP96" s="114">
        <v>0</v>
      </c>
      <c r="CQ96" s="114">
        <v>0</v>
      </c>
      <c r="CR96" s="114">
        <v>0</v>
      </c>
      <c r="CS96" s="114">
        <v>0</v>
      </c>
      <c r="CT96" s="114">
        <v>0</v>
      </c>
      <c r="CU96" s="114">
        <v>0</v>
      </c>
      <c r="CV96" s="114">
        <v>0</v>
      </c>
    </row>
    <row r="97" spans="1:100" x14ac:dyDescent="0.15">
      <c r="A97" s="191" t="s">
        <v>287</v>
      </c>
      <c r="B97" s="114">
        <v>0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0</v>
      </c>
      <c r="AD97" s="114">
        <v>0</v>
      </c>
      <c r="AE97" s="114">
        <v>0</v>
      </c>
      <c r="AF97" s="114">
        <v>0</v>
      </c>
      <c r="AG97" s="114">
        <v>0</v>
      </c>
      <c r="AH97" s="114">
        <v>0</v>
      </c>
      <c r="AI97" s="114">
        <v>0</v>
      </c>
      <c r="AJ97" s="114">
        <v>0</v>
      </c>
      <c r="AK97" s="114">
        <v>0</v>
      </c>
      <c r="AL97" s="114">
        <v>0</v>
      </c>
      <c r="AM97" s="114">
        <v>0</v>
      </c>
      <c r="AN97" s="114">
        <v>0</v>
      </c>
      <c r="AO97" s="114">
        <v>0</v>
      </c>
      <c r="AP97" s="114">
        <v>0</v>
      </c>
      <c r="AQ97" s="114">
        <v>0</v>
      </c>
      <c r="AR97" s="114">
        <v>0</v>
      </c>
      <c r="AS97" s="114">
        <v>0</v>
      </c>
      <c r="AT97" s="114">
        <v>0</v>
      </c>
      <c r="AU97" s="114">
        <v>0</v>
      </c>
      <c r="AV97" s="114">
        <v>0</v>
      </c>
      <c r="AW97" s="114">
        <v>0</v>
      </c>
      <c r="AX97" s="114">
        <v>0</v>
      </c>
      <c r="AY97" s="114">
        <v>0</v>
      </c>
      <c r="AZ97" s="114">
        <v>0</v>
      </c>
      <c r="BA97" s="114">
        <v>0</v>
      </c>
      <c r="BB97" s="114">
        <v>0</v>
      </c>
      <c r="BC97" s="114">
        <v>0</v>
      </c>
      <c r="BD97" s="114">
        <v>0</v>
      </c>
      <c r="BE97" s="114">
        <v>0</v>
      </c>
      <c r="BF97" s="114">
        <v>0</v>
      </c>
      <c r="BG97" s="114">
        <v>0</v>
      </c>
      <c r="BH97" s="114">
        <v>0</v>
      </c>
      <c r="BI97" s="114">
        <v>0</v>
      </c>
      <c r="BJ97" s="114">
        <v>0.8</v>
      </c>
      <c r="BK97" s="114">
        <v>0.8</v>
      </c>
      <c r="BL97" s="114">
        <v>0</v>
      </c>
      <c r="BM97" s="114">
        <v>0</v>
      </c>
      <c r="BN97" s="114">
        <v>0</v>
      </c>
      <c r="BO97" s="114">
        <v>0</v>
      </c>
      <c r="BP97" s="114">
        <v>0</v>
      </c>
      <c r="BQ97" s="114">
        <v>0</v>
      </c>
      <c r="BR97" s="114">
        <v>0</v>
      </c>
      <c r="BS97" s="114">
        <v>0</v>
      </c>
      <c r="BT97" s="114">
        <v>0</v>
      </c>
      <c r="BU97" s="114">
        <v>0</v>
      </c>
      <c r="BV97" s="114">
        <v>0</v>
      </c>
      <c r="BW97" s="114">
        <v>0</v>
      </c>
      <c r="BX97" s="114">
        <v>0</v>
      </c>
      <c r="BY97" s="114">
        <v>0</v>
      </c>
      <c r="BZ97" s="114">
        <v>0</v>
      </c>
      <c r="CA97" s="114">
        <v>0</v>
      </c>
      <c r="CB97" s="114">
        <v>0</v>
      </c>
      <c r="CC97" s="114">
        <v>0</v>
      </c>
      <c r="CD97" s="114">
        <v>0</v>
      </c>
      <c r="CE97" s="114">
        <v>0</v>
      </c>
      <c r="CF97" s="114">
        <v>0</v>
      </c>
      <c r="CG97" s="114">
        <v>0</v>
      </c>
      <c r="CH97" s="114">
        <v>0</v>
      </c>
      <c r="CI97" s="114">
        <v>0</v>
      </c>
      <c r="CJ97" s="114">
        <v>0</v>
      </c>
      <c r="CK97" s="114">
        <v>0</v>
      </c>
      <c r="CL97" s="114">
        <v>0</v>
      </c>
      <c r="CM97" s="114">
        <v>0</v>
      </c>
      <c r="CN97" s="114">
        <v>0</v>
      </c>
      <c r="CO97" s="114">
        <v>0</v>
      </c>
      <c r="CP97" s="114">
        <v>0</v>
      </c>
      <c r="CQ97" s="114">
        <v>0</v>
      </c>
      <c r="CR97" s="114">
        <v>0</v>
      </c>
      <c r="CS97" s="114">
        <v>0</v>
      </c>
      <c r="CT97" s="114">
        <v>0</v>
      </c>
      <c r="CU97" s="114">
        <v>0</v>
      </c>
      <c r="CV97" s="114">
        <v>0</v>
      </c>
    </row>
    <row r="98" spans="1:100" x14ac:dyDescent="0.15">
      <c r="A98" s="191" t="s">
        <v>288</v>
      </c>
      <c r="B98" s="114">
        <v>0</v>
      </c>
      <c r="C98" s="114">
        <v>0</v>
      </c>
      <c r="D98" s="114">
        <v>0</v>
      </c>
      <c r="E98" s="114">
        <v>0</v>
      </c>
      <c r="F98" s="114">
        <v>0.8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0.8</v>
      </c>
      <c r="AA98" s="114">
        <v>0</v>
      </c>
      <c r="AB98" s="114">
        <v>0</v>
      </c>
      <c r="AC98" s="114">
        <v>0</v>
      </c>
      <c r="AD98" s="114">
        <v>0</v>
      </c>
      <c r="AE98" s="114">
        <v>0</v>
      </c>
      <c r="AF98" s="114">
        <v>0</v>
      </c>
      <c r="AG98" s="114">
        <v>0</v>
      </c>
      <c r="AH98" s="114">
        <v>0.8</v>
      </c>
      <c r="AI98" s="114">
        <v>0</v>
      </c>
      <c r="AJ98" s="114">
        <v>0</v>
      </c>
      <c r="AK98" s="114">
        <v>0</v>
      </c>
      <c r="AL98" s="114">
        <v>0</v>
      </c>
      <c r="AM98" s="114">
        <v>0</v>
      </c>
      <c r="AN98" s="114">
        <v>0</v>
      </c>
      <c r="AO98" s="114">
        <v>0</v>
      </c>
      <c r="AP98" s="114">
        <v>0</v>
      </c>
      <c r="AQ98" s="114">
        <v>0.8</v>
      </c>
      <c r="AR98" s="114">
        <v>0</v>
      </c>
      <c r="AS98" s="114">
        <v>0</v>
      </c>
      <c r="AT98" s="114">
        <v>0.8</v>
      </c>
      <c r="AU98" s="114">
        <v>0.8</v>
      </c>
      <c r="AV98" s="114">
        <v>0.8</v>
      </c>
      <c r="AW98" s="114">
        <v>0</v>
      </c>
      <c r="AX98" s="114">
        <v>0</v>
      </c>
      <c r="AY98" s="114">
        <v>0</v>
      </c>
      <c r="AZ98" s="114">
        <v>0</v>
      </c>
      <c r="BA98" s="114">
        <v>0.8</v>
      </c>
      <c r="BB98" s="114">
        <v>0</v>
      </c>
      <c r="BC98" s="114">
        <v>0</v>
      </c>
      <c r="BD98" s="114">
        <v>0</v>
      </c>
      <c r="BE98" s="114">
        <v>0</v>
      </c>
      <c r="BF98" s="114">
        <v>0</v>
      </c>
      <c r="BG98" s="114">
        <v>0</v>
      </c>
      <c r="BH98" s="114">
        <v>0</v>
      </c>
      <c r="BI98" s="114">
        <v>0</v>
      </c>
      <c r="BJ98" s="114">
        <v>0</v>
      </c>
      <c r="BK98" s="114">
        <v>0</v>
      </c>
      <c r="BL98" s="114">
        <v>0</v>
      </c>
      <c r="BM98" s="114">
        <v>0.8</v>
      </c>
      <c r="BN98" s="114">
        <v>0.8</v>
      </c>
      <c r="BO98" s="114">
        <v>0.8</v>
      </c>
      <c r="BP98" s="114">
        <v>0</v>
      </c>
      <c r="BQ98" s="114">
        <v>0</v>
      </c>
      <c r="BR98" s="114">
        <v>0</v>
      </c>
      <c r="BS98" s="114">
        <v>0</v>
      </c>
      <c r="BT98" s="114">
        <v>0</v>
      </c>
      <c r="BU98" s="114">
        <v>0</v>
      </c>
      <c r="BV98" s="114">
        <v>0</v>
      </c>
      <c r="BW98" s="114">
        <v>0</v>
      </c>
      <c r="BX98" s="114">
        <v>0</v>
      </c>
      <c r="BY98" s="114">
        <v>0</v>
      </c>
      <c r="BZ98" s="114">
        <v>0</v>
      </c>
      <c r="CA98" s="114">
        <v>0</v>
      </c>
      <c r="CB98" s="114">
        <v>0</v>
      </c>
      <c r="CC98" s="114">
        <v>0</v>
      </c>
      <c r="CD98" s="114">
        <v>0</v>
      </c>
      <c r="CE98" s="114">
        <v>0</v>
      </c>
      <c r="CF98" s="114">
        <v>0</v>
      </c>
      <c r="CG98" s="114">
        <v>0</v>
      </c>
      <c r="CH98" s="114">
        <v>0</v>
      </c>
      <c r="CI98" s="114">
        <v>0</v>
      </c>
      <c r="CJ98" s="114">
        <v>0</v>
      </c>
      <c r="CK98" s="114">
        <v>0</v>
      </c>
      <c r="CL98" s="114">
        <v>0</v>
      </c>
      <c r="CM98" s="114">
        <v>0</v>
      </c>
      <c r="CN98" s="114">
        <v>0</v>
      </c>
      <c r="CO98" s="114">
        <v>0</v>
      </c>
      <c r="CP98" s="114">
        <v>0</v>
      </c>
      <c r="CQ98" s="114">
        <v>0</v>
      </c>
      <c r="CR98" s="114">
        <v>0</v>
      </c>
      <c r="CS98" s="114">
        <v>0</v>
      </c>
      <c r="CT98" s="114">
        <v>0</v>
      </c>
      <c r="CU98" s="114">
        <v>0</v>
      </c>
      <c r="CV98" s="114">
        <v>0</v>
      </c>
    </row>
    <row r="99" spans="1:100" x14ac:dyDescent="0.15">
      <c r="A99" s="191" t="s">
        <v>289</v>
      </c>
      <c r="B99" s="114">
        <v>0</v>
      </c>
      <c r="C99" s="114">
        <v>0</v>
      </c>
      <c r="D99" s="114">
        <v>0</v>
      </c>
      <c r="E99" s="114">
        <v>0</v>
      </c>
      <c r="F99" s="114">
        <v>0</v>
      </c>
      <c r="G99" s="114">
        <v>0</v>
      </c>
      <c r="H99" s="114">
        <v>0</v>
      </c>
      <c r="I99" s="114">
        <v>0</v>
      </c>
      <c r="J99" s="114">
        <v>0</v>
      </c>
      <c r="K99" s="114">
        <v>0</v>
      </c>
      <c r="L99" s="114">
        <v>0</v>
      </c>
      <c r="M99" s="114">
        <v>0</v>
      </c>
      <c r="N99" s="114">
        <v>0</v>
      </c>
      <c r="O99" s="114">
        <v>0</v>
      </c>
      <c r="P99" s="114">
        <v>0</v>
      </c>
      <c r="Q99" s="114">
        <v>0</v>
      </c>
      <c r="R99" s="114">
        <v>0</v>
      </c>
      <c r="S99" s="114">
        <v>0.8</v>
      </c>
      <c r="T99" s="114">
        <v>0</v>
      </c>
      <c r="U99" s="114">
        <v>0</v>
      </c>
      <c r="V99" s="114">
        <v>0</v>
      </c>
      <c r="W99" s="114">
        <v>0</v>
      </c>
      <c r="X99" s="114">
        <v>0</v>
      </c>
      <c r="Y99" s="114">
        <v>0</v>
      </c>
      <c r="Z99" s="114">
        <v>0.8</v>
      </c>
      <c r="AA99" s="114">
        <v>0</v>
      </c>
      <c r="AB99" s="114">
        <v>0</v>
      </c>
      <c r="AC99" s="114">
        <v>0</v>
      </c>
      <c r="AD99" s="114">
        <v>0</v>
      </c>
      <c r="AE99" s="114">
        <v>0</v>
      </c>
      <c r="AF99" s="114">
        <v>0</v>
      </c>
      <c r="AG99" s="114">
        <v>0</v>
      </c>
      <c r="AH99" s="114">
        <v>0.8</v>
      </c>
      <c r="AI99" s="114">
        <v>0</v>
      </c>
      <c r="AJ99" s="114">
        <v>0</v>
      </c>
      <c r="AK99" s="114">
        <v>0</v>
      </c>
      <c r="AL99" s="114">
        <v>0</v>
      </c>
      <c r="AM99" s="114">
        <v>0</v>
      </c>
      <c r="AN99" s="114">
        <v>0</v>
      </c>
      <c r="AO99" s="114">
        <v>0</v>
      </c>
      <c r="AP99" s="114">
        <v>0</v>
      </c>
      <c r="AQ99" s="114">
        <v>0.8</v>
      </c>
      <c r="AR99" s="114">
        <v>0</v>
      </c>
      <c r="AS99" s="114">
        <v>0.8</v>
      </c>
      <c r="AT99" s="114">
        <v>0.8</v>
      </c>
      <c r="AU99" s="114">
        <v>0.8</v>
      </c>
      <c r="AV99" s="114">
        <v>0.8</v>
      </c>
      <c r="AW99" s="114">
        <v>0.8</v>
      </c>
      <c r="AX99" s="114">
        <v>0</v>
      </c>
      <c r="AY99" s="114">
        <v>0.8</v>
      </c>
      <c r="AZ99" s="114">
        <v>0.8</v>
      </c>
      <c r="BA99" s="114">
        <v>0.8</v>
      </c>
      <c r="BB99" s="114">
        <v>0</v>
      </c>
      <c r="BC99" s="114">
        <v>0</v>
      </c>
      <c r="BD99" s="114">
        <v>0</v>
      </c>
      <c r="BE99" s="114">
        <v>0</v>
      </c>
      <c r="BF99" s="114">
        <v>0</v>
      </c>
      <c r="BG99" s="114">
        <v>0</v>
      </c>
      <c r="BH99" s="114">
        <v>0.8</v>
      </c>
      <c r="BI99" s="114">
        <v>0</v>
      </c>
      <c r="BJ99" s="114">
        <v>0</v>
      </c>
      <c r="BK99" s="114">
        <v>0</v>
      </c>
      <c r="BL99" s="114">
        <v>0</v>
      </c>
      <c r="BM99" s="114">
        <v>0.8</v>
      </c>
      <c r="BN99" s="114">
        <v>0.8</v>
      </c>
      <c r="BO99" s="114">
        <v>0.8</v>
      </c>
      <c r="BP99" s="114">
        <v>0.8</v>
      </c>
      <c r="BQ99" s="114">
        <v>0.8</v>
      </c>
      <c r="BR99" s="114">
        <v>0.8</v>
      </c>
      <c r="BS99" s="114">
        <v>0.8</v>
      </c>
      <c r="BT99" s="114">
        <v>0</v>
      </c>
      <c r="BU99" s="114">
        <v>0.8</v>
      </c>
      <c r="BV99" s="114">
        <v>0.8</v>
      </c>
      <c r="BW99" s="114">
        <v>0.8</v>
      </c>
      <c r="BX99" s="114">
        <v>0.8</v>
      </c>
      <c r="BY99" s="114">
        <v>0.8</v>
      </c>
      <c r="BZ99" s="114">
        <v>0.8</v>
      </c>
      <c r="CA99" s="114">
        <v>0</v>
      </c>
      <c r="CB99" s="114">
        <v>0.8</v>
      </c>
      <c r="CC99" s="114">
        <v>0.8</v>
      </c>
      <c r="CD99" s="114">
        <v>0</v>
      </c>
      <c r="CE99" s="114">
        <v>0</v>
      </c>
      <c r="CF99" s="114">
        <v>0</v>
      </c>
      <c r="CG99" s="114">
        <v>0.8</v>
      </c>
      <c r="CH99" s="114">
        <v>0.8</v>
      </c>
      <c r="CI99" s="114">
        <v>0.8</v>
      </c>
      <c r="CJ99" s="114">
        <v>0.8</v>
      </c>
      <c r="CK99" s="114">
        <v>0.8</v>
      </c>
      <c r="CL99" s="114">
        <v>0</v>
      </c>
      <c r="CM99" s="114">
        <v>0</v>
      </c>
      <c r="CN99" s="114">
        <v>0</v>
      </c>
      <c r="CO99" s="114">
        <v>0</v>
      </c>
      <c r="CP99" s="114">
        <v>0</v>
      </c>
      <c r="CQ99" s="114">
        <v>0</v>
      </c>
      <c r="CR99" s="114">
        <v>0</v>
      </c>
      <c r="CS99" s="114">
        <v>0</v>
      </c>
      <c r="CT99" s="114">
        <v>0</v>
      </c>
      <c r="CU99" s="114">
        <v>0</v>
      </c>
      <c r="CV99" s="114">
        <v>0</v>
      </c>
    </row>
    <row r="100" spans="1:100" x14ac:dyDescent="0.15">
      <c r="A100" s="191" t="s">
        <v>290</v>
      </c>
      <c r="B100" s="114">
        <v>0</v>
      </c>
      <c r="C100" s="114">
        <v>0</v>
      </c>
      <c r="D100" s="114">
        <v>0</v>
      </c>
      <c r="E100" s="114">
        <v>0</v>
      </c>
      <c r="F100" s="114">
        <v>0</v>
      </c>
      <c r="G100" s="114">
        <v>0</v>
      </c>
      <c r="H100" s="114">
        <v>0</v>
      </c>
      <c r="I100" s="114">
        <v>0</v>
      </c>
      <c r="J100" s="114">
        <v>0</v>
      </c>
      <c r="K100" s="114">
        <v>0</v>
      </c>
      <c r="L100" s="114">
        <v>0</v>
      </c>
      <c r="M100" s="114">
        <v>0</v>
      </c>
      <c r="N100" s="114">
        <v>0</v>
      </c>
      <c r="O100" s="114">
        <v>0</v>
      </c>
      <c r="P100" s="114">
        <v>0</v>
      </c>
      <c r="Q100" s="114">
        <v>0</v>
      </c>
      <c r="R100" s="114">
        <v>0</v>
      </c>
      <c r="S100" s="114">
        <v>0</v>
      </c>
      <c r="T100" s="114">
        <v>0</v>
      </c>
      <c r="U100" s="114">
        <v>0</v>
      </c>
      <c r="V100" s="114">
        <v>0</v>
      </c>
      <c r="W100" s="114">
        <v>0</v>
      </c>
      <c r="X100" s="114">
        <v>0</v>
      </c>
      <c r="Y100" s="114">
        <v>0</v>
      </c>
      <c r="Z100" s="114">
        <v>0</v>
      </c>
      <c r="AA100" s="114">
        <v>0</v>
      </c>
      <c r="AB100" s="114">
        <v>0</v>
      </c>
      <c r="AC100" s="114">
        <v>0</v>
      </c>
      <c r="AD100" s="114">
        <v>0</v>
      </c>
      <c r="AE100" s="114">
        <v>0</v>
      </c>
      <c r="AF100" s="114">
        <v>0</v>
      </c>
      <c r="AG100" s="114">
        <v>0</v>
      </c>
      <c r="AH100" s="114">
        <v>0</v>
      </c>
      <c r="AI100" s="114">
        <v>0</v>
      </c>
      <c r="AJ100" s="114">
        <v>0</v>
      </c>
      <c r="AK100" s="114">
        <v>0</v>
      </c>
      <c r="AL100" s="114">
        <v>0</v>
      </c>
      <c r="AM100" s="114">
        <v>0</v>
      </c>
      <c r="AN100" s="114">
        <v>0</v>
      </c>
      <c r="AO100" s="114">
        <v>0</v>
      </c>
      <c r="AP100" s="114">
        <v>0</v>
      </c>
      <c r="AQ100" s="114">
        <v>0</v>
      </c>
      <c r="AR100" s="114">
        <v>0</v>
      </c>
      <c r="AS100" s="114">
        <v>0</v>
      </c>
      <c r="AT100" s="114">
        <v>0</v>
      </c>
      <c r="AU100" s="114">
        <v>0</v>
      </c>
      <c r="AV100" s="114">
        <v>0</v>
      </c>
      <c r="AW100" s="114">
        <v>0</v>
      </c>
      <c r="AX100" s="114">
        <v>0</v>
      </c>
      <c r="AY100" s="114">
        <v>0</v>
      </c>
      <c r="AZ100" s="114">
        <v>0</v>
      </c>
      <c r="BA100" s="114">
        <v>0</v>
      </c>
      <c r="BB100" s="114">
        <v>0</v>
      </c>
      <c r="BC100" s="114">
        <v>0</v>
      </c>
      <c r="BD100" s="114">
        <v>0</v>
      </c>
      <c r="BE100" s="114">
        <v>0</v>
      </c>
      <c r="BF100" s="114">
        <v>0</v>
      </c>
      <c r="BG100" s="114">
        <v>0</v>
      </c>
      <c r="BH100" s="114">
        <v>0</v>
      </c>
      <c r="BI100" s="114">
        <v>0</v>
      </c>
      <c r="BJ100" s="114">
        <v>0</v>
      </c>
      <c r="BK100" s="114">
        <v>0</v>
      </c>
      <c r="BL100" s="114">
        <v>0</v>
      </c>
      <c r="BM100" s="114">
        <v>0</v>
      </c>
      <c r="BN100" s="114">
        <v>0</v>
      </c>
      <c r="BO100" s="114">
        <v>0</v>
      </c>
      <c r="BP100" s="114">
        <v>0</v>
      </c>
      <c r="BQ100" s="114">
        <v>0</v>
      </c>
      <c r="BR100" s="114">
        <v>0</v>
      </c>
      <c r="BS100" s="114">
        <v>0</v>
      </c>
      <c r="BT100" s="114">
        <v>0</v>
      </c>
      <c r="BU100" s="114">
        <v>0</v>
      </c>
      <c r="BV100" s="114">
        <v>0</v>
      </c>
      <c r="BW100" s="114">
        <v>0</v>
      </c>
      <c r="BX100" s="114">
        <v>0</v>
      </c>
      <c r="BY100" s="114">
        <v>0</v>
      </c>
      <c r="BZ100" s="114">
        <v>0</v>
      </c>
      <c r="CA100" s="114">
        <v>0</v>
      </c>
      <c r="CB100" s="114">
        <v>0</v>
      </c>
      <c r="CC100" s="114">
        <v>0</v>
      </c>
      <c r="CD100" s="114">
        <v>0</v>
      </c>
      <c r="CE100" s="114">
        <v>0</v>
      </c>
      <c r="CF100" s="114">
        <v>0</v>
      </c>
      <c r="CG100" s="114">
        <v>0</v>
      </c>
      <c r="CH100" s="114">
        <v>0</v>
      </c>
      <c r="CI100" s="114">
        <v>0</v>
      </c>
      <c r="CJ100" s="114">
        <v>0</v>
      </c>
      <c r="CK100" s="114">
        <v>0</v>
      </c>
      <c r="CL100" s="114">
        <v>0</v>
      </c>
      <c r="CM100" s="114">
        <v>0</v>
      </c>
      <c r="CN100" s="114">
        <v>0</v>
      </c>
      <c r="CO100" s="114">
        <v>0</v>
      </c>
      <c r="CP100" s="114">
        <v>0</v>
      </c>
      <c r="CQ100" s="114">
        <v>0</v>
      </c>
      <c r="CR100" s="114">
        <v>0</v>
      </c>
      <c r="CS100" s="114">
        <v>0</v>
      </c>
      <c r="CT100" s="114">
        <v>0</v>
      </c>
      <c r="CU100" s="114">
        <v>0</v>
      </c>
      <c r="CV100" s="114">
        <v>0</v>
      </c>
    </row>
    <row r="101" spans="1:100" x14ac:dyDescent="0.15">
      <c r="A101" s="191" t="s">
        <v>308</v>
      </c>
      <c r="B101" s="114">
        <v>0</v>
      </c>
      <c r="C101" s="114">
        <v>0</v>
      </c>
      <c r="D101" s="114">
        <v>0.8</v>
      </c>
      <c r="E101" s="114">
        <v>0</v>
      </c>
      <c r="F101" s="114">
        <v>0.8</v>
      </c>
      <c r="G101" s="114">
        <v>0</v>
      </c>
      <c r="H101" s="114">
        <v>0</v>
      </c>
      <c r="I101" s="114">
        <v>0</v>
      </c>
      <c r="J101" s="114">
        <v>0.8</v>
      </c>
      <c r="K101" s="114">
        <v>0.8</v>
      </c>
      <c r="L101" s="114">
        <v>0</v>
      </c>
      <c r="M101" s="114">
        <v>0</v>
      </c>
      <c r="N101" s="114">
        <v>0.8</v>
      </c>
      <c r="O101" s="114">
        <v>0.8</v>
      </c>
      <c r="P101" s="114">
        <v>0</v>
      </c>
      <c r="Q101" s="114">
        <v>0.8</v>
      </c>
      <c r="R101" s="114">
        <v>0.8</v>
      </c>
      <c r="S101" s="114">
        <v>0</v>
      </c>
      <c r="T101" s="114">
        <v>0.8</v>
      </c>
      <c r="U101" s="114">
        <v>0.8</v>
      </c>
      <c r="V101" s="114">
        <v>0.8</v>
      </c>
      <c r="W101" s="114">
        <v>0.8</v>
      </c>
      <c r="X101" s="114">
        <v>0.8</v>
      </c>
      <c r="Y101" s="114">
        <v>0.8</v>
      </c>
      <c r="Z101" s="114">
        <v>0.8</v>
      </c>
      <c r="AA101" s="114">
        <v>0.8</v>
      </c>
      <c r="AB101" s="114">
        <v>0.8</v>
      </c>
      <c r="AC101" s="114">
        <v>0.8</v>
      </c>
      <c r="AD101" s="114">
        <v>0.8</v>
      </c>
      <c r="AE101" s="114">
        <v>0.8</v>
      </c>
      <c r="AF101" s="114">
        <v>0.8</v>
      </c>
      <c r="AG101" s="114">
        <v>0.8</v>
      </c>
      <c r="AH101" s="114">
        <v>0</v>
      </c>
      <c r="AI101" s="114">
        <v>0</v>
      </c>
      <c r="AJ101" s="114">
        <v>0</v>
      </c>
      <c r="AK101" s="114">
        <v>0.8</v>
      </c>
      <c r="AL101" s="114">
        <v>0</v>
      </c>
      <c r="AM101" s="114">
        <v>0</v>
      </c>
      <c r="AN101" s="114">
        <v>0</v>
      </c>
      <c r="AO101" s="114">
        <v>0</v>
      </c>
      <c r="AP101" s="114">
        <v>0</v>
      </c>
      <c r="AQ101" s="114">
        <v>0</v>
      </c>
      <c r="AR101" s="114">
        <v>0</v>
      </c>
      <c r="AS101" s="114">
        <v>0.8</v>
      </c>
      <c r="AT101" s="114">
        <v>0</v>
      </c>
      <c r="AU101" s="114">
        <v>0</v>
      </c>
      <c r="AV101" s="114">
        <v>0</v>
      </c>
      <c r="AW101" s="114">
        <v>0</v>
      </c>
      <c r="AX101" s="114">
        <v>0.8</v>
      </c>
      <c r="AY101" s="114">
        <v>0</v>
      </c>
      <c r="AZ101" s="114">
        <v>0</v>
      </c>
      <c r="BA101" s="114">
        <v>0.8</v>
      </c>
      <c r="BB101" s="114">
        <v>0</v>
      </c>
      <c r="BC101" s="114">
        <v>0</v>
      </c>
      <c r="BD101" s="114">
        <v>0</v>
      </c>
      <c r="BE101" s="114">
        <v>0</v>
      </c>
      <c r="BF101" s="114">
        <v>0</v>
      </c>
      <c r="BG101" s="114">
        <v>0</v>
      </c>
      <c r="BH101" s="114">
        <v>0</v>
      </c>
      <c r="BI101" s="114">
        <v>0</v>
      </c>
      <c r="BJ101" s="114">
        <v>0</v>
      </c>
      <c r="BK101" s="114">
        <v>0</v>
      </c>
      <c r="BL101" s="114">
        <v>0</v>
      </c>
      <c r="BM101" s="114">
        <v>0</v>
      </c>
      <c r="BN101" s="114">
        <v>0</v>
      </c>
      <c r="BO101" s="114">
        <v>0</v>
      </c>
      <c r="BP101" s="114">
        <v>0</v>
      </c>
      <c r="BQ101" s="114">
        <v>0</v>
      </c>
      <c r="BR101" s="114">
        <v>0</v>
      </c>
      <c r="BS101" s="114">
        <v>0</v>
      </c>
      <c r="BT101" s="114">
        <v>0</v>
      </c>
      <c r="BU101" s="114">
        <v>0</v>
      </c>
      <c r="BV101" s="114">
        <v>0</v>
      </c>
      <c r="BW101" s="114">
        <v>0</v>
      </c>
      <c r="BX101" s="114">
        <v>0</v>
      </c>
      <c r="BY101" s="114">
        <v>0</v>
      </c>
      <c r="BZ101" s="114">
        <v>0</v>
      </c>
      <c r="CA101" s="114">
        <v>0</v>
      </c>
      <c r="CB101" s="114">
        <v>0</v>
      </c>
      <c r="CC101" s="114">
        <v>0</v>
      </c>
      <c r="CD101" s="114">
        <v>0</v>
      </c>
      <c r="CE101" s="114">
        <v>0</v>
      </c>
      <c r="CF101" s="114">
        <v>0</v>
      </c>
      <c r="CG101" s="114">
        <v>0</v>
      </c>
      <c r="CH101" s="114">
        <v>0</v>
      </c>
      <c r="CI101" s="114">
        <v>0</v>
      </c>
      <c r="CJ101" s="114">
        <v>0</v>
      </c>
      <c r="CK101" s="114">
        <v>0</v>
      </c>
      <c r="CL101" s="114">
        <v>0</v>
      </c>
      <c r="CM101" s="114">
        <v>0</v>
      </c>
      <c r="CN101" s="114">
        <v>0</v>
      </c>
      <c r="CO101" s="114">
        <v>0</v>
      </c>
      <c r="CP101" s="114">
        <v>0</v>
      </c>
      <c r="CQ101" s="114">
        <v>0</v>
      </c>
      <c r="CR101" s="114">
        <v>0</v>
      </c>
      <c r="CS101" s="114">
        <v>0</v>
      </c>
      <c r="CT101" s="114">
        <v>0</v>
      </c>
      <c r="CU101" s="114">
        <v>0</v>
      </c>
      <c r="CV101" s="11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CV101"/>
  <sheetViews>
    <sheetView workbookViewId="0">
      <selection activeCell="A3" sqref="A3"/>
    </sheetView>
  </sheetViews>
  <sheetFormatPr baseColWidth="10" defaultRowHeight="13" x14ac:dyDescent="0.15"/>
  <cols>
    <col min="1" max="1" width="31.5" style="114" bestFit="1" customWidth="1"/>
    <col min="2" max="100" width="2.33203125" style="114" customWidth="1"/>
    <col min="101" max="16384" width="10.83203125" style="114"/>
  </cols>
  <sheetData>
    <row r="1" spans="1:100" x14ac:dyDescent="0.15">
      <c r="A1" s="63" t="s">
        <v>139</v>
      </c>
      <c r="B1" s="194" t="s">
        <v>192</v>
      </c>
      <c r="C1" s="194" t="s">
        <v>193</v>
      </c>
      <c r="D1" s="194" t="s">
        <v>194</v>
      </c>
      <c r="E1" s="194" t="s">
        <v>195</v>
      </c>
      <c r="F1" s="194" t="s">
        <v>196</v>
      </c>
      <c r="G1" s="194" t="s">
        <v>197</v>
      </c>
      <c r="H1" s="194" t="s">
        <v>198</v>
      </c>
      <c r="I1" s="194" t="s">
        <v>199</v>
      </c>
      <c r="J1" s="194" t="s">
        <v>200</v>
      </c>
      <c r="K1" s="194" t="s">
        <v>201</v>
      </c>
      <c r="L1" s="194" t="s">
        <v>202</v>
      </c>
      <c r="M1" s="194" t="s">
        <v>203</v>
      </c>
      <c r="N1" s="194" t="s">
        <v>204</v>
      </c>
      <c r="O1" s="194" t="s">
        <v>205</v>
      </c>
      <c r="P1" s="194" t="s">
        <v>206</v>
      </c>
      <c r="Q1" s="194" t="s">
        <v>207</v>
      </c>
      <c r="R1" s="194" t="s">
        <v>208</v>
      </c>
      <c r="S1" s="194" t="s">
        <v>209</v>
      </c>
      <c r="T1" s="194" t="s">
        <v>210</v>
      </c>
      <c r="U1" s="194" t="s">
        <v>211</v>
      </c>
      <c r="V1" s="194" t="s">
        <v>212</v>
      </c>
      <c r="W1" s="194" t="s">
        <v>213</v>
      </c>
      <c r="X1" s="194" t="s">
        <v>214</v>
      </c>
      <c r="Y1" s="194" t="s">
        <v>215</v>
      </c>
      <c r="Z1" s="194" t="s">
        <v>216</v>
      </c>
      <c r="AA1" s="194" t="s">
        <v>217</v>
      </c>
      <c r="AB1" s="194" t="s">
        <v>218</v>
      </c>
      <c r="AC1" s="194" t="s">
        <v>219</v>
      </c>
      <c r="AD1" s="194" t="s">
        <v>220</v>
      </c>
      <c r="AE1" s="194" t="s">
        <v>221</v>
      </c>
      <c r="AF1" s="194" t="s">
        <v>222</v>
      </c>
      <c r="AG1" s="194" t="s">
        <v>223</v>
      </c>
      <c r="AH1" s="194" t="s">
        <v>224</v>
      </c>
      <c r="AI1" s="194" t="s">
        <v>225</v>
      </c>
      <c r="AJ1" s="194" t="s">
        <v>226</v>
      </c>
      <c r="AK1" s="194" t="s">
        <v>227</v>
      </c>
      <c r="AL1" s="194" t="s">
        <v>228</v>
      </c>
      <c r="AM1" s="194" t="s">
        <v>229</v>
      </c>
      <c r="AN1" s="194" t="s">
        <v>230</v>
      </c>
      <c r="AO1" s="194" t="s">
        <v>231</v>
      </c>
      <c r="AP1" s="194" t="s">
        <v>232</v>
      </c>
      <c r="AQ1" s="194" t="s">
        <v>233</v>
      </c>
      <c r="AR1" s="194" t="s">
        <v>234</v>
      </c>
      <c r="AS1" s="194" t="s">
        <v>235</v>
      </c>
      <c r="AT1" s="194" t="s">
        <v>236</v>
      </c>
      <c r="AU1" s="194" t="s">
        <v>237</v>
      </c>
      <c r="AV1" s="194" t="s">
        <v>238</v>
      </c>
      <c r="AW1" s="194" t="s">
        <v>239</v>
      </c>
      <c r="AX1" s="194" t="s">
        <v>240</v>
      </c>
      <c r="AY1" s="194" t="s">
        <v>241</v>
      </c>
      <c r="AZ1" s="194" t="s">
        <v>242</v>
      </c>
      <c r="BA1" s="194" t="s">
        <v>243</v>
      </c>
      <c r="BB1" s="194" t="s">
        <v>244</v>
      </c>
      <c r="BC1" s="194" t="s">
        <v>245</v>
      </c>
      <c r="BD1" s="194" t="s">
        <v>246</v>
      </c>
      <c r="BE1" s="194" t="s">
        <v>247</v>
      </c>
      <c r="BF1" s="194" t="s">
        <v>248</v>
      </c>
      <c r="BG1" s="194" t="s">
        <v>249</v>
      </c>
      <c r="BH1" s="194" t="s">
        <v>250</v>
      </c>
      <c r="BI1" s="194" t="s">
        <v>251</v>
      </c>
      <c r="BJ1" s="194" t="s">
        <v>252</v>
      </c>
      <c r="BK1" s="194" t="s">
        <v>253</v>
      </c>
      <c r="BL1" s="194" t="s">
        <v>254</v>
      </c>
      <c r="BM1" s="194" t="s">
        <v>255</v>
      </c>
      <c r="BN1" s="194" t="s">
        <v>256</v>
      </c>
      <c r="BO1" s="194" t="s">
        <v>257</v>
      </c>
      <c r="BP1" s="194" t="s">
        <v>258</v>
      </c>
      <c r="BQ1" s="194" t="s">
        <v>259</v>
      </c>
      <c r="BR1" s="194" t="s">
        <v>260</v>
      </c>
      <c r="BS1" s="194" t="s">
        <v>261</v>
      </c>
      <c r="BT1" s="194" t="s">
        <v>262</v>
      </c>
      <c r="BU1" s="194" t="s">
        <v>263</v>
      </c>
      <c r="BV1" s="194" t="s">
        <v>264</v>
      </c>
      <c r="BW1" s="194" t="s">
        <v>265</v>
      </c>
      <c r="BX1" s="194" t="s">
        <v>266</v>
      </c>
      <c r="BY1" s="194" t="s">
        <v>267</v>
      </c>
      <c r="BZ1" s="194" t="s">
        <v>268</v>
      </c>
      <c r="CA1" s="194" t="s">
        <v>269</v>
      </c>
      <c r="CB1" s="194" t="s">
        <v>270</v>
      </c>
      <c r="CC1" s="194" t="s">
        <v>271</v>
      </c>
      <c r="CD1" s="194" t="s">
        <v>272</v>
      </c>
      <c r="CE1" s="194" t="s">
        <v>273</v>
      </c>
      <c r="CF1" s="194" t="s">
        <v>274</v>
      </c>
      <c r="CG1" s="194" t="s">
        <v>275</v>
      </c>
      <c r="CH1" s="194" t="s">
        <v>276</v>
      </c>
      <c r="CI1" s="194" t="s">
        <v>277</v>
      </c>
      <c r="CJ1" s="194" t="s">
        <v>278</v>
      </c>
      <c r="CK1" s="194" t="s">
        <v>279</v>
      </c>
      <c r="CL1" s="194" t="s">
        <v>280</v>
      </c>
      <c r="CM1" s="194" t="s">
        <v>281</v>
      </c>
      <c r="CN1" s="194" t="s">
        <v>282</v>
      </c>
      <c r="CO1" s="194" t="s">
        <v>283</v>
      </c>
      <c r="CP1" s="194" t="s">
        <v>284</v>
      </c>
      <c r="CQ1" s="194" t="s">
        <v>285</v>
      </c>
      <c r="CR1" s="194" t="s">
        <v>286</v>
      </c>
      <c r="CS1" s="194" t="s">
        <v>287</v>
      </c>
      <c r="CT1" s="194" t="s">
        <v>288</v>
      </c>
      <c r="CU1" s="194" t="s">
        <v>289</v>
      </c>
      <c r="CV1" s="194" t="s">
        <v>290</v>
      </c>
    </row>
    <row r="2" spans="1:100" customFormat="1" x14ac:dyDescent="0.15">
      <c r="A2" s="193" t="s">
        <v>192</v>
      </c>
      <c r="B2" s="114">
        <v>0</v>
      </c>
      <c r="C2" s="114">
        <v>0</v>
      </c>
      <c r="D2" s="114">
        <v>0</v>
      </c>
      <c r="E2" s="114">
        <v>0</v>
      </c>
      <c r="F2" s="114">
        <v>0</v>
      </c>
      <c r="G2" s="114">
        <v>0</v>
      </c>
      <c r="H2" s="114">
        <v>0</v>
      </c>
      <c r="I2" s="114">
        <v>0</v>
      </c>
      <c r="J2" s="114">
        <v>0</v>
      </c>
      <c r="K2" s="114">
        <v>0</v>
      </c>
      <c r="L2" s="114">
        <v>0</v>
      </c>
      <c r="M2" s="114">
        <v>0</v>
      </c>
      <c r="N2" s="114">
        <v>0</v>
      </c>
      <c r="O2" s="114">
        <v>0</v>
      </c>
      <c r="P2" s="114">
        <v>0</v>
      </c>
      <c r="Q2" s="114">
        <v>0</v>
      </c>
      <c r="R2" s="114">
        <v>0</v>
      </c>
      <c r="S2" s="114">
        <v>0</v>
      </c>
      <c r="T2" s="114">
        <v>0</v>
      </c>
      <c r="U2" s="114">
        <v>0</v>
      </c>
      <c r="V2" s="114">
        <v>0</v>
      </c>
      <c r="W2" s="114">
        <v>0</v>
      </c>
      <c r="X2" s="114">
        <v>0</v>
      </c>
      <c r="Y2" s="114">
        <v>0</v>
      </c>
      <c r="Z2" s="114">
        <v>1</v>
      </c>
      <c r="AA2" s="114">
        <v>0</v>
      </c>
      <c r="AB2" s="114">
        <v>0</v>
      </c>
      <c r="AC2" s="114">
        <v>0</v>
      </c>
      <c r="AD2" s="114">
        <v>0</v>
      </c>
      <c r="AE2" s="114">
        <v>0</v>
      </c>
      <c r="AF2" s="114">
        <v>0</v>
      </c>
      <c r="AG2" s="114">
        <v>0</v>
      </c>
      <c r="AH2" s="114">
        <v>0</v>
      </c>
      <c r="AI2" s="114">
        <v>0</v>
      </c>
      <c r="AJ2" s="114">
        <v>0</v>
      </c>
      <c r="AK2" s="114">
        <v>0</v>
      </c>
      <c r="AL2" s="114">
        <v>0</v>
      </c>
      <c r="AM2" s="114">
        <v>0</v>
      </c>
      <c r="AN2" s="114">
        <v>0</v>
      </c>
      <c r="AO2" s="114">
        <v>0</v>
      </c>
      <c r="AP2" s="114">
        <v>0</v>
      </c>
      <c r="AQ2" s="114">
        <v>0</v>
      </c>
      <c r="AR2" s="114">
        <v>0</v>
      </c>
      <c r="AS2" s="114">
        <v>0</v>
      </c>
      <c r="AT2" s="114">
        <v>0</v>
      </c>
      <c r="AU2" s="114">
        <v>0</v>
      </c>
      <c r="AV2" s="114">
        <v>0</v>
      </c>
      <c r="AW2" s="114">
        <v>0</v>
      </c>
      <c r="AX2" s="114">
        <v>0</v>
      </c>
      <c r="AY2" s="114">
        <v>0</v>
      </c>
      <c r="AZ2" s="114">
        <v>0</v>
      </c>
      <c r="BA2" s="114">
        <v>0</v>
      </c>
      <c r="BB2" s="114">
        <v>0</v>
      </c>
      <c r="BC2" s="114">
        <v>0</v>
      </c>
      <c r="BD2" s="114">
        <v>0</v>
      </c>
      <c r="BE2" s="114">
        <v>0</v>
      </c>
      <c r="BF2" s="114">
        <v>0</v>
      </c>
      <c r="BG2" s="114">
        <v>0</v>
      </c>
      <c r="BH2" s="114">
        <v>0</v>
      </c>
      <c r="BI2" s="114">
        <v>0</v>
      </c>
      <c r="BJ2" s="114">
        <v>0</v>
      </c>
      <c r="BK2" s="114">
        <v>0</v>
      </c>
      <c r="BL2" s="114">
        <v>0</v>
      </c>
      <c r="BM2" s="114">
        <v>0</v>
      </c>
      <c r="BN2" s="114">
        <v>0</v>
      </c>
      <c r="BO2" s="114">
        <v>0</v>
      </c>
      <c r="BP2" s="114">
        <v>0</v>
      </c>
      <c r="BQ2" s="114">
        <v>0</v>
      </c>
      <c r="BR2" s="114">
        <v>0</v>
      </c>
      <c r="BS2" s="114">
        <v>0</v>
      </c>
      <c r="BT2" s="114">
        <v>0</v>
      </c>
      <c r="BU2" s="114">
        <v>0</v>
      </c>
      <c r="BV2" s="114">
        <v>0</v>
      </c>
      <c r="BW2" s="114">
        <v>0</v>
      </c>
      <c r="BX2" s="114">
        <v>0</v>
      </c>
      <c r="BY2" s="114">
        <v>0</v>
      </c>
      <c r="BZ2" s="114">
        <v>0</v>
      </c>
      <c r="CA2" s="114">
        <v>0</v>
      </c>
      <c r="CB2" s="114">
        <v>0</v>
      </c>
      <c r="CC2" s="114">
        <v>0</v>
      </c>
      <c r="CD2" s="114">
        <v>0</v>
      </c>
      <c r="CE2" s="114">
        <v>0</v>
      </c>
      <c r="CF2" s="114">
        <v>0</v>
      </c>
      <c r="CG2" s="114">
        <v>0</v>
      </c>
      <c r="CH2" s="114">
        <v>0</v>
      </c>
      <c r="CI2" s="114">
        <v>0</v>
      </c>
      <c r="CJ2" s="114">
        <v>0</v>
      </c>
      <c r="CK2" s="114">
        <v>0</v>
      </c>
      <c r="CL2" s="114">
        <v>0</v>
      </c>
      <c r="CM2" s="114">
        <v>0</v>
      </c>
      <c r="CN2" s="114">
        <v>0</v>
      </c>
      <c r="CO2" s="114">
        <v>0</v>
      </c>
      <c r="CP2" s="114">
        <v>0</v>
      </c>
      <c r="CQ2" s="114">
        <v>0</v>
      </c>
      <c r="CR2" s="114">
        <v>0</v>
      </c>
      <c r="CS2" s="114">
        <v>0</v>
      </c>
      <c r="CT2" s="114">
        <v>0</v>
      </c>
      <c r="CU2" s="114">
        <v>0</v>
      </c>
      <c r="CV2" s="114">
        <v>0</v>
      </c>
    </row>
    <row r="3" spans="1:100" customFormat="1" x14ac:dyDescent="0.15">
      <c r="A3" s="193" t="s">
        <v>193</v>
      </c>
      <c r="B3" s="114">
        <v>0</v>
      </c>
      <c r="C3" s="114">
        <v>0</v>
      </c>
      <c r="D3" s="114">
        <v>0</v>
      </c>
      <c r="E3" s="114">
        <v>0</v>
      </c>
      <c r="F3" s="114">
        <v>0</v>
      </c>
      <c r="G3" s="114">
        <v>0</v>
      </c>
      <c r="H3" s="114">
        <v>0</v>
      </c>
      <c r="I3" s="114">
        <v>0</v>
      </c>
      <c r="J3" s="114">
        <v>0</v>
      </c>
      <c r="K3" s="114">
        <v>0</v>
      </c>
      <c r="L3" s="114">
        <v>0</v>
      </c>
      <c r="M3" s="114">
        <v>0</v>
      </c>
      <c r="N3" s="114">
        <v>0</v>
      </c>
      <c r="O3" s="114">
        <v>0</v>
      </c>
      <c r="P3" s="114">
        <v>0</v>
      </c>
      <c r="Q3" s="114">
        <v>0</v>
      </c>
      <c r="R3" s="114">
        <v>0</v>
      </c>
      <c r="S3" s="114">
        <v>0</v>
      </c>
      <c r="T3" s="114">
        <v>0</v>
      </c>
      <c r="U3" s="114">
        <v>0</v>
      </c>
      <c r="V3" s="114">
        <v>0</v>
      </c>
      <c r="W3" s="114">
        <v>0</v>
      </c>
      <c r="X3" s="114">
        <v>0</v>
      </c>
      <c r="Y3" s="114">
        <v>0</v>
      </c>
      <c r="Z3" s="114">
        <v>1</v>
      </c>
      <c r="AA3" s="114">
        <v>0</v>
      </c>
      <c r="AB3" s="114">
        <v>0</v>
      </c>
      <c r="AC3" s="114">
        <v>0</v>
      </c>
      <c r="AD3" s="114">
        <v>0</v>
      </c>
      <c r="AE3" s="114">
        <v>0</v>
      </c>
      <c r="AF3" s="114">
        <v>0</v>
      </c>
      <c r="AG3" s="114">
        <v>0</v>
      </c>
      <c r="AH3" s="114">
        <v>0</v>
      </c>
      <c r="AI3" s="114">
        <v>0</v>
      </c>
      <c r="AJ3" s="114">
        <v>0</v>
      </c>
      <c r="AK3" s="114">
        <v>0</v>
      </c>
      <c r="AL3" s="114">
        <v>0</v>
      </c>
      <c r="AM3" s="114">
        <v>0</v>
      </c>
      <c r="AN3" s="114">
        <v>0</v>
      </c>
      <c r="AO3" s="114">
        <v>0</v>
      </c>
      <c r="AP3" s="114">
        <v>0</v>
      </c>
      <c r="AQ3" s="114">
        <v>0</v>
      </c>
      <c r="AR3" s="114">
        <v>0</v>
      </c>
      <c r="AS3" s="114">
        <v>0</v>
      </c>
      <c r="AT3" s="114">
        <v>0</v>
      </c>
      <c r="AU3" s="114">
        <v>0</v>
      </c>
      <c r="AV3" s="114">
        <v>0</v>
      </c>
      <c r="AW3" s="114">
        <v>0</v>
      </c>
      <c r="AX3" s="114">
        <v>0</v>
      </c>
      <c r="AY3" s="114">
        <v>0</v>
      </c>
      <c r="AZ3" s="114">
        <v>0</v>
      </c>
      <c r="BA3" s="114">
        <v>0</v>
      </c>
      <c r="BB3" s="114">
        <v>0</v>
      </c>
      <c r="BC3" s="114">
        <v>0</v>
      </c>
      <c r="BD3" s="114">
        <v>0</v>
      </c>
      <c r="BE3" s="114">
        <v>0</v>
      </c>
      <c r="BF3" s="114">
        <v>0</v>
      </c>
      <c r="BG3" s="114">
        <v>0</v>
      </c>
      <c r="BH3" s="114">
        <v>0</v>
      </c>
      <c r="BI3" s="114">
        <v>0</v>
      </c>
      <c r="BJ3" s="114">
        <v>0</v>
      </c>
      <c r="BK3" s="114">
        <v>0</v>
      </c>
      <c r="BL3" s="114">
        <v>0</v>
      </c>
      <c r="BM3" s="114">
        <v>0</v>
      </c>
      <c r="BN3" s="114">
        <v>0</v>
      </c>
      <c r="BO3" s="114">
        <v>0</v>
      </c>
      <c r="BP3" s="114">
        <v>0</v>
      </c>
      <c r="BQ3" s="114">
        <v>0</v>
      </c>
      <c r="BR3" s="114">
        <v>0</v>
      </c>
      <c r="BS3" s="114">
        <v>0</v>
      </c>
      <c r="BT3" s="114">
        <v>0</v>
      </c>
      <c r="BU3" s="114">
        <v>0</v>
      </c>
      <c r="BV3" s="114">
        <v>0</v>
      </c>
      <c r="BW3" s="114">
        <v>0</v>
      </c>
      <c r="BX3" s="114">
        <v>0</v>
      </c>
      <c r="BY3" s="114">
        <v>0</v>
      </c>
      <c r="BZ3" s="114">
        <v>0</v>
      </c>
      <c r="CA3" s="114">
        <v>0</v>
      </c>
      <c r="CB3" s="114">
        <v>0</v>
      </c>
      <c r="CC3" s="114">
        <v>0</v>
      </c>
      <c r="CD3" s="114">
        <v>0</v>
      </c>
      <c r="CE3" s="114">
        <v>0</v>
      </c>
      <c r="CF3" s="114">
        <v>0</v>
      </c>
      <c r="CG3" s="114">
        <v>0</v>
      </c>
      <c r="CH3" s="114">
        <v>0</v>
      </c>
      <c r="CI3" s="114">
        <v>0</v>
      </c>
      <c r="CJ3" s="114">
        <v>0</v>
      </c>
      <c r="CK3" s="114">
        <v>0</v>
      </c>
      <c r="CL3" s="114">
        <v>0</v>
      </c>
      <c r="CM3" s="114">
        <v>0</v>
      </c>
      <c r="CN3" s="114">
        <v>0</v>
      </c>
      <c r="CO3" s="114">
        <v>0</v>
      </c>
      <c r="CP3" s="114">
        <v>0</v>
      </c>
      <c r="CQ3" s="114">
        <v>0</v>
      </c>
      <c r="CR3" s="114">
        <v>0</v>
      </c>
      <c r="CS3" s="114">
        <v>0</v>
      </c>
      <c r="CT3" s="114">
        <v>0</v>
      </c>
      <c r="CU3" s="114">
        <v>0</v>
      </c>
      <c r="CV3" s="114">
        <v>0</v>
      </c>
    </row>
    <row r="4" spans="1:100" customFormat="1" x14ac:dyDescent="0.15">
      <c r="A4" s="193" t="s">
        <v>194</v>
      </c>
      <c r="B4" s="114">
        <v>0</v>
      </c>
      <c r="C4" s="114">
        <v>0</v>
      </c>
      <c r="D4" s="114">
        <v>0</v>
      </c>
      <c r="E4" s="114">
        <v>0</v>
      </c>
      <c r="F4" s="114">
        <v>0</v>
      </c>
      <c r="G4" s="114">
        <v>0</v>
      </c>
      <c r="H4" s="114">
        <v>0</v>
      </c>
      <c r="I4" s="114">
        <v>0</v>
      </c>
      <c r="J4" s="114">
        <v>0</v>
      </c>
      <c r="K4" s="114">
        <v>0</v>
      </c>
      <c r="L4" s="114">
        <v>0</v>
      </c>
      <c r="M4" s="114">
        <v>0</v>
      </c>
      <c r="N4" s="114">
        <v>0</v>
      </c>
      <c r="O4" s="114">
        <v>0</v>
      </c>
      <c r="P4" s="114">
        <v>0</v>
      </c>
      <c r="Q4" s="114">
        <v>0</v>
      </c>
      <c r="R4" s="114">
        <v>0</v>
      </c>
      <c r="S4" s="114">
        <v>0</v>
      </c>
      <c r="T4" s="114">
        <v>0</v>
      </c>
      <c r="U4" s="114">
        <v>0</v>
      </c>
      <c r="V4" s="114">
        <v>0</v>
      </c>
      <c r="W4" s="114">
        <v>0</v>
      </c>
      <c r="X4" s="114">
        <v>0</v>
      </c>
      <c r="Y4" s="114">
        <v>0</v>
      </c>
      <c r="Z4" s="114">
        <v>1</v>
      </c>
      <c r="AA4" s="114">
        <v>0</v>
      </c>
      <c r="AB4" s="114">
        <v>0</v>
      </c>
      <c r="AC4" s="114">
        <v>0</v>
      </c>
      <c r="AD4" s="114">
        <v>0</v>
      </c>
      <c r="AE4" s="114">
        <v>0</v>
      </c>
      <c r="AF4" s="114">
        <v>0</v>
      </c>
      <c r="AG4" s="114">
        <v>0</v>
      </c>
      <c r="AH4" s="114">
        <v>0</v>
      </c>
      <c r="AI4" s="114">
        <v>0</v>
      </c>
      <c r="AJ4" s="114">
        <v>0</v>
      </c>
      <c r="AK4" s="114">
        <v>0</v>
      </c>
      <c r="AL4" s="114">
        <v>0</v>
      </c>
      <c r="AM4" s="114">
        <v>0</v>
      </c>
      <c r="AN4" s="114">
        <v>0</v>
      </c>
      <c r="AO4" s="114">
        <v>0</v>
      </c>
      <c r="AP4" s="114">
        <v>0</v>
      </c>
      <c r="AQ4" s="114">
        <v>0</v>
      </c>
      <c r="AR4" s="114">
        <v>0</v>
      </c>
      <c r="AS4" s="114">
        <v>0</v>
      </c>
      <c r="AT4" s="114">
        <v>0</v>
      </c>
      <c r="AU4" s="114">
        <v>0</v>
      </c>
      <c r="AV4" s="114">
        <v>0</v>
      </c>
      <c r="AW4" s="114">
        <v>0</v>
      </c>
      <c r="AX4" s="114">
        <v>0</v>
      </c>
      <c r="AY4" s="114">
        <v>0</v>
      </c>
      <c r="AZ4" s="114">
        <v>0</v>
      </c>
      <c r="BA4" s="114">
        <v>0</v>
      </c>
      <c r="BB4" s="114">
        <v>0</v>
      </c>
      <c r="BC4" s="114">
        <v>0</v>
      </c>
      <c r="BD4" s="114">
        <v>0</v>
      </c>
      <c r="BE4" s="114">
        <v>0</v>
      </c>
      <c r="BF4" s="114">
        <v>0</v>
      </c>
      <c r="BG4" s="114">
        <v>0</v>
      </c>
      <c r="BH4" s="114">
        <v>0</v>
      </c>
      <c r="BI4" s="114">
        <v>0</v>
      </c>
      <c r="BJ4" s="114">
        <v>0</v>
      </c>
      <c r="BK4" s="114">
        <v>0</v>
      </c>
      <c r="BL4" s="114">
        <v>0</v>
      </c>
      <c r="BM4" s="114">
        <v>0</v>
      </c>
      <c r="BN4" s="114">
        <v>0</v>
      </c>
      <c r="BO4" s="114">
        <v>0</v>
      </c>
      <c r="BP4" s="114">
        <v>0</v>
      </c>
      <c r="BQ4" s="114">
        <v>0</v>
      </c>
      <c r="BR4" s="114">
        <v>0</v>
      </c>
      <c r="BS4" s="114">
        <v>0</v>
      </c>
      <c r="BT4" s="114">
        <v>0</v>
      </c>
      <c r="BU4" s="114">
        <v>0</v>
      </c>
      <c r="BV4" s="114">
        <v>0</v>
      </c>
      <c r="BW4" s="114">
        <v>0</v>
      </c>
      <c r="BX4" s="114">
        <v>0</v>
      </c>
      <c r="BY4" s="114">
        <v>0</v>
      </c>
      <c r="BZ4" s="114">
        <v>0</v>
      </c>
      <c r="CA4" s="114">
        <v>0</v>
      </c>
      <c r="CB4" s="114">
        <v>0</v>
      </c>
      <c r="CC4" s="114">
        <v>0</v>
      </c>
      <c r="CD4" s="114">
        <v>0</v>
      </c>
      <c r="CE4" s="114">
        <v>0</v>
      </c>
      <c r="CF4" s="114">
        <v>0</v>
      </c>
      <c r="CG4" s="114">
        <v>0</v>
      </c>
      <c r="CH4" s="114">
        <v>0</v>
      </c>
      <c r="CI4" s="114">
        <v>0</v>
      </c>
      <c r="CJ4" s="114">
        <v>0</v>
      </c>
      <c r="CK4" s="114">
        <v>0</v>
      </c>
      <c r="CL4" s="114">
        <v>0</v>
      </c>
      <c r="CM4" s="114">
        <v>0</v>
      </c>
      <c r="CN4" s="114">
        <v>0</v>
      </c>
      <c r="CO4" s="114">
        <v>0</v>
      </c>
      <c r="CP4" s="114">
        <v>0</v>
      </c>
      <c r="CQ4" s="114">
        <v>0</v>
      </c>
      <c r="CR4" s="114">
        <v>0</v>
      </c>
      <c r="CS4" s="114">
        <v>0</v>
      </c>
      <c r="CT4" s="114">
        <v>0</v>
      </c>
      <c r="CU4" s="114">
        <v>0</v>
      </c>
      <c r="CV4" s="114">
        <v>0</v>
      </c>
    </row>
    <row r="5" spans="1:100" customFormat="1" x14ac:dyDescent="0.15">
      <c r="A5" s="193" t="s">
        <v>195</v>
      </c>
      <c r="B5" s="114">
        <v>0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0</v>
      </c>
      <c r="AG5" s="114">
        <v>0</v>
      </c>
      <c r="AH5" s="114">
        <v>0</v>
      </c>
      <c r="AI5" s="114">
        <v>0</v>
      </c>
      <c r="AJ5" s="114">
        <v>0</v>
      </c>
      <c r="AK5" s="114">
        <v>0</v>
      </c>
      <c r="AL5" s="114">
        <v>0</v>
      </c>
      <c r="AM5" s="114">
        <v>0</v>
      </c>
      <c r="AN5" s="114">
        <v>0</v>
      </c>
      <c r="AO5" s="114">
        <v>0</v>
      </c>
      <c r="AP5" s="114">
        <v>0</v>
      </c>
      <c r="AQ5" s="114">
        <v>0</v>
      </c>
      <c r="AR5" s="114">
        <v>0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  <c r="BB5" s="114">
        <v>0</v>
      </c>
      <c r="BC5" s="114">
        <v>0</v>
      </c>
      <c r="BD5" s="114">
        <v>0</v>
      </c>
      <c r="BE5" s="114">
        <v>0</v>
      </c>
      <c r="BF5" s="114">
        <v>0</v>
      </c>
      <c r="BG5" s="114">
        <v>0</v>
      </c>
      <c r="BH5" s="114">
        <v>0</v>
      </c>
      <c r="BI5" s="114">
        <v>0</v>
      </c>
      <c r="BJ5" s="114">
        <v>0</v>
      </c>
      <c r="BK5" s="114">
        <v>0</v>
      </c>
      <c r="BL5" s="114">
        <v>0</v>
      </c>
      <c r="BM5" s="114">
        <v>0</v>
      </c>
      <c r="BN5" s="114">
        <v>0</v>
      </c>
      <c r="BO5" s="114">
        <v>0</v>
      </c>
      <c r="BP5" s="114">
        <v>0</v>
      </c>
      <c r="BQ5" s="114">
        <v>0</v>
      </c>
      <c r="BR5" s="114">
        <v>0</v>
      </c>
      <c r="BS5" s="114">
        <v>0</v>
      </c>
      <c r="BT5" s="114">
        <v>0</v>
      </c>
      <c r="BU5" s="114">
        <v>0</v>
      </c>
      <c r="BV5" s="114">
        <v>0</v>
      </c>
      <c r="BW5" s="114">
        <v>0</v>
      </c>
      <c r="BX5" s="114">
        <v>0</v>
      </c>
      <c r="BY5" s="114">
        <v>0</v>
      </c>
      <c r="BZ5" s="114">
        <v>0</v>
      </c>
      <c r="CA5" s="114">
        <v>0</v>
      </c>
      <c r="CB5" s="114">
        <v>0</v>
      </c>
      <c r="CC5" s="114">
        <v>0</v>
      </c>
      <c r="CD5" s="114">
        <v>0</v>
      </c>
      <c r="CE5" s="114">
        <v>0</v>
      </c>
      <c r="CF5" s="114">
        <v>0</v>
      </c>
      <c r="CG5" s="114">
        <v>0</v>
      </c>
      <c r="CH5" s="114">
        <v>0</v>
      </c>
      <c r="CI5" s="114">
        <v>0</v>
      </c>
      <c r="CJ5" s="114">
        <v>0</v>
      </c>
      <c r="CK5" s="114">
        <v>0</v>
      </c>
      <c r="CL5" s="114">
        <v>0</v>
      </c>
      <c r="CM5" s="114">
        <v>0</v>
      </c>
      <c r="CN5" s="114">
        <v>0</v>
      </c>
      <c r="CO5" s="114">
        <v>0</v>
      </c>
      <c r="CP5" s="114">
        <v>0</v>
      </c>
      <c r="CQ5" s="114">
        <v>0</v>
      </c>
      <c r="CR5" s="114">
        <v>0</v>
      </c>
      <c r="CS5" s="114">
        <v>0</v>
      </c>
      <c r="CT5" s="114">
        <v>0</v>
      </c>
      <c r="CU5" s="114">
        <v>0</v>
      </c>
      <c r="CV5" s="114">
        <v>0</v>
      </c>
    </row>
    <row r="6" spans="1:100" customFormat="1" x14ac:dyDescent="0.15">
      <c r="A6" s="193" t="s">
        <v>196</v>
      </c>
      <c r="B6" s="114">
        <v>0</v>
      </c>
      <c r="C6" s="114">
        <v>0</v>
      </c>
      <c r="D6" s="114">
        <v>0</v>
      </c>
      <c r="E6" s="114">
        <v>0</v>
      </c>
      <c r="F6" s="114">
        <v>0</v>
      </c>
      <c r="G6" s="114">
        <v>0</v>
      </c>
      <c r="H6" s="114">
        <v>0</v>
      </c>
      <c r="I6" s="114">
        <v>0</v>
      </c>
      <c r="J6" s="114">
        <v>1</v>
      </c>
      <c r="K6" s="114">
        <v>0</v>
      </c>
      <c r="L6" s="114">
        <v>0</v>
      </c>
      <c r="M6" s="114">
        <v>0</v>
      </c>
      <c r="N6" s="114">
        <v>0</v>
      </c>
      <c r="O6" s="114">
        <v>0</v>
      </c>
      <c r="P6" s="114">
        <v>0</v>
      </c>
      <c r="Q6" s="114">
        <v>0</v>
      </c>
      <c r="R6" s="114">
        <v>0</v>
      </c>
      <c r="S6" s="114">
        <v>0</v>
      </c>
      <c r="T6" s="114">
        <v>0</v>
      </c>
      <c r="U6" s="114">
        <v>0</v>
      </c>
      <c r="V6" s="114">
        <v>0</v>
      </c>
      <c r="W6" s="114">
        <v>0</v>
      </c>
      <c r="X6" s="114">
        <v>0</v>
      </c>
      <c r="Y6" s="114">
        <v>0</v>
      </c>
      <c r="Z6" s="114">
        <v>1</v>
      </c>
      <c r="AA6" s="114">
        <v>0</v>
      </c>
      <c r="AB6" s="114">
        <v>0</v>
      </c>
      <c r="AC6" s="114">
        <v>0</v>
      </c>
      <c r="AD6" s="114">
        <v>0</v>
      </c>
      <c r="AE6" s="114">
        <v>0</v>
      </c>
      <c r="AF6" s="114">
        <v>0</v>
      </c>
      <c r="AG6" s="114">
        <v>0</v>
      </c>
      <c r="AH6" s="114">
        <v>0</v>
      </c>
      <c r="AI6" s="114">
        <v>0</v>
      </c>
      <c r="AJ6" s="114">
        <v>0</v>
      </c>
      <c r="AK6" s="114">
        <v>0</v>
      </c>
      <c r="AL6" s="114">
        <v>0</v>
      </c>
      <c r="AM6" s="114">
        <v>0</v>
      </c>
      <c r="AN6" s="114">
        <v>0</v>
      </c>
      <c r="AO6" s="114">
        <v>0</v>
      </c>
      <c r="AP6" s="114">
        <v>0</v>
      </c>
      <c r="AQ6" s="114">
        <v>0</v>
      </c>
      <c r="AR6" s="114">
        <v>0</v>
      </c>
      <c r="AS6" s="114">
        <v>0</v>
      </c>
      <c r="AT6" s="114">
        <v>0</v>
      </c>
      <c r="AU6" s="114">
        <v>0</v>
      </c>
      <c r="AV6" s="114">
        <v>0</v>
      </c>
      <c r="AW6" s="114">
        <v>0</v>
      </c>
      <c r="AX6" s="114">
        <v>0</v>
      </c>
      <c r="AY6" s="114">
        <v>0</v>
      </c>
      <c r="AZ6" s="114">
        <v>0</v>
      </c>
      <c r="BA6" s="114">
        <v>0</v>
      </c>
      <c r="BB6" s="114">
        <v>0</v>
      </c>
      <c r="BC6" s="114">
        <v>0</v>
      </c>
      <c r="BD6" s="114">
        <v>0</v>
      </c>
      <c r="BE6" s="114">
        <v>0</v>
      </c>
      <c r="BF6" s="114">
        <v>0</v>
      </c>
      <c r="BG6" s="114">
        <v>0</v>
      </c>
      <c r="BH6" s="114">
        <v>0</v>
      </c>
      <c r="BI6" s="114">
        <v>0</v>
      </c>
      <c r="BJ6" s="114">
        <v>0</v>
      </c>
      <c r="BK6" s="114">
        <v>0</v>
      </c>
      <c r="BL6" s="114">
        <v>0</v>
      </c>
      <c r="BM6" s="114">
        <v>0</v>
      </c>
      <c r="BN6" s="114">
        <v>0</v>
      </c>
      <c r="BO6" s="114">
        <v>0</v>
      </c>
      <c r="BP6" s="114">
        <v>0</v>
      </c>
      <c r="BQ6" s="114">
        <v>0</v>
      </c>
      <c r="BR6" s="114">
        <v>0</v>
      </c>
      <c r="BS6" s="114">
        <v>0</v>
      </c>
      <c r="BT6" s="114">
        <v>0</v>
      </c>
      <c r="BU6" s="114">
        <v>0</v>
      </c>
      <c r="BV6" s="114">
        <v>0</v>
      </c>
      <c r="BW6" s="114">
        <v>0</v>
      </c>
      <c r="BX6" s="114">
        <v>0</v>
      </c>
      <c r="BY6" s="114">
        <v>0</v>
      </c>
      <c r="BZ6" s="114">
        <v>0</v>
      </c>
      <c r="CA6" s="114">
        <v>0</v>
      </c>
      <c r="CB6" s="114">
        <v>0</v>
      </c>
      <c r="CC6" s="114">
        <v>0</v>
      </c>
      <c r="CD6" s="114">
        <v>0</v>
      </c>
      <c r="CE6" s="114">
        <v>0</v>
      </c>
      <c r="CF6" s="114">
        <v>0</v>
      </c>
      <c r="CG6" s="114">
        <v>0</v>
      </c>
      <c r="CH6" s="114">
        <v>0</v>
      </c>
      <c r="CI6" s="114">
        <v>0</v>
      </c>
      <c r="CJ6" s="114">
        <v>0</v>
      </c>
      <c r="CK6" s="114">
        <v>0</v>
      </c>
      <c r="CL6" s="114">
        <v>0</v>
      </c>
      <c r="CM6" s="114">
        <v>0</v>
      </c>
      <c r="CN6" s="114">
        <v>0</v>
      </c>
      <c r="CO6" s="114">
        <v>0</v>
      </c>
      <c r="CP6" s="114">
        <v>0</v>
      </c>
      <c r="CQ6" s="114">
        <v>0</v>
      </c>
      <c r="CR6" s="114">
        <v>0</v>
      </c>
      <c r="CS6" s="114">
        <v>0</v>
      </c>
      <c r="CT6" s="114">
        <v>0</v>
      </c>
      <c r="CU6" s="114">
        <v>0</v>
      </c>
      <c r="CV6" s="114">
        <v>0</v>
      </c>
    </row>
    <row r="7" spans="1:100" customFormat="1" x14ac:dyDescent="0.15">
      <c r="A7" s="193" t="s">
        <v>197</v>
      </c>
      <c r="B7" s="114">
        <v>0</v>
      </c>
      <c r="C7" s="114">
        <v>0</v>
      </c>
      <c r="D7" s="114">
        <v>0</v>
      </c>
      <c r="E7" s="114">
        <v>0</v>
      </c>
      <c r="F7" s="114">
        <v>0</v>
      </c>
      <c r="G7" s="114">
        <v>0</v>
      </c>
      <c r="H7" s="114">
        <v>0</v>
      </c>
      <c r="I7" s="114">
        <v>0</v>
      </c>
      <c r="J7" s="114">
        <v>1</v>
      </c>
      <c r="K7" s="114">
        <v>0</v>
      </c>
      <c r="L7" s="114">
        <v>0</v>
      </c>
      <c r="M7" s="114">
        <v>0</v>
      </c>
      <c r="N7" s="114">
        <v>0</v>
      </c>
      <c r="O7" s="114">
        <v>0</v>
      </c>
      <c r="P7" s="114">
        <v>0</v>
      </c>
      <c r="Q7" s="114">
        <v>0</v>
      </c>
      <c r="R7" s="114">
        <v>0</v>
      </c>
      <c r="S7" s="114">
        <v>0</v>
      </c>
      <c r="T7" s="114">
        <v>0</v>
      </c>
      <c r="U7" s="114">
        <v>0</v>
      </c>
      <c r="V7" s="114">
        <v>0</v>
      </c>
      <c r="W7" s="114">
        <v>0</v>
      </c>
      <c r="X7" s="114">
        <v>0</v>
      </c>
      <c r="Y7" s="114">
        <v>0</v>
      </c>
      <c r="Z7" s="114">
        <v>1</v>
      </c>
      <c r="AA7" s="114">
        <v>0</v>
      </c>
      <c r="AB7" s="114">
        <v>0</v>
      </c>
      <c r="AC7" s="114">
        <v>0</v>
      </c>
      <c r="AD7" s="114">
        <v>0</v>
      </c>
      <c r="AE7" s="114">
        <v>0</v>
      </c>
      <c r="AF7" s="114">
        <v>0</v>
      </c>
      <c r="AG7" s="114">
        <v>0</v>
      </c>
      <c r="AH7" s="114">
        <v>0</v>
      </c>
      <c r="AI7" s="114">
        <v>0</v>
      </c>
      <c r="AJ7" s="114">
        <v>0</v>
      </c>
      <c r="AK7" s="114">
        <v>0</v>
      </c>
      <c r="AL7" s="114">
        <v>0</v>
      </c>
      <c r="AM7" s="114">
        <v>0</v>
      </c>
      <c r="AN7" s="114">
        <v>0</v>
      </c>
      <c r="AO7" s="114">
        <v>0</v>
      </c>
      <c r="AP7" s="114">
        <v>0</v>
      </c>
      <c r="AQ7" s="114">
        <v>0</v>
      </c>
      <c r="AR7" s="114">
        <v>0</v>
      </c>
      <c r="AS7" s="114">
        <v>0</v>
      </c>
      <c r="AT7" s="114">
        <v>0</v>
      </c>
      <c r="AU7" s="114">
        <v>0</v>
      </c>
      <c r="AV7" s="114">
        <v>0</v>
      </c>
      <c r="AW7" s="114">
        <v>0</v>
      </c>
      <c r="AX7" s="114">
        <v>0</v>
      </c>
      <c r="AY7" s="114">
        <v>0</v>
      </c>
      <c r="AZ7" s="114">
        <v>0</v>
      </c>
      <c r="BA7" s="114">
        <v>0</v>
      </c>
      <c r="BB7" s="114">
        <v>0</v>
      </c>
      <c r="BC7" s="114">
        <v>0</v>
      </c>
      <c r="BD7" s="114">
        <v>0</v>
      </c>
      <c r="BE7" s="114">
        <v>0</v>
      </c>
      <c r="BF7" s="114">
        <v>0</v>
      </c>
      <c r="BG7" s="114">
        <v>0</v>
      </c>
      <c r="BH7" s="114">
        <v>0</v>
      </c>
      <c r="BI7" s="114">
        <v>0</v>
      </c>
      <c r="BJ7" s="114">
        <v>0</v>
      </c>
      <c r="BK7" s="114">
        <v>0</v>
      </c>
      <c r="BL7" s="114">
        <v>0</v>
      </c>
      <c r="BM7" s="114">
        <v>0</v>
      </c>
      <c r="BN7" s="114">
        <v>0</v>
      </c>
      <c r="BO7" s="114">
        <v>0</v>
      </c>
      <c r="BP7" s="114">
        <v>0</v>
      </c>
      <c r="BQ7" s="114">
        <v>0</v>
      </c>
      <c r="BR7" s="114">
        <v>0</v>
      </c>
      <c r="BS7" s="114">
        <v>0</v>
      </c>
      <c r="BT7" s="114">
        <v>0</v>
      </c>
      <c r="BU7" s="114">
        <v>0</v>
      </c>
      <c r="BV7" s="114">
        <v>0</v>
      </c>
      <c r="BW7" s="114">
        <v>0</v>
      </c>
      <c r="BX7" s="114">
        <v>0</v>
      </c>
      <c r="BY7" s="114">
        <v>0</v>
      </c>
      <c r="BZ7" s="114">
        <v>0</v>
      </c>
      <c r="CA7" s="114">
        <v>0</v>
      </c>
      <c r="CB7" s="114">
        <v>0</v>
      </c>
      <c r="CC7" s="114">
        <v>0</v>
      </c>
      <c r="CD7" s="114">
        <v>0</v>
      </c>
      <c r="CE7" s="114">
        <v>0</v>
      </c>
      <c r="CF7" s="114">
        <v>0</v>
      </c>
      <c r="CG7" s="114">
        <v>0</v>
      </c>
      <c r="CH7" s="114">
        <v>0</v>
      </c>
      <c r="CI7" s="114">
        <v>0</v>
      </c>
      <c r="CJ7" s="114">
        <v>0</v>
      </c>
      <c r="CK7" s="114">
        <v>0</v>
      </c>
      <c r="CL7" s="114">
        <v>0</v>
      </c>
      <c r="CM7" s="114">
        <v>0</v>
      </c>
      <c r="CN7" s="114">
        <v>0</v>
      </c>
      <c r="CO7" s="114">
        <v>0</v>
      </c>
      <c r="CP7" s="114">
        <v>0</v>
      </c>
      <c r="CQ7" s="114">
        <v>0</v>
      </c>
      <c r="CR7" s="114">
        <v>0</v>
      </c>
      <c r="CS7" s="114">
        <v>0</v>
      </c>
      <c r="CT7" s="114">
        <v>0</v>
      </c>
      <c r="CU7" s="114">
        <v>0</v>
      </c>
      <c r="CV7" s="114">
        <v>0</v>
      </c>
    </row>
    <row r="8" spans="1:100" customFormat="1" x14ac:dyDescent="0.15">
      <c r="A8" s="193" t="s">
        <v>198</v>
      </c>
      <c r="B8" s="114">
        <v>0</v>
      </c>
      <c r="C8" s="114">
        <v>0</v>
      </c>
      <c r="D8" s="114">
        <v>0</v>
      </c>
      <c r="E8" s="114">
        <v>0</v>
      </c>
      <c r="F8" s="114">
        <v>0</v>
      </c>
      <c r="G8" s="114">
        <v>0</v>
      </c>
      <c r="H8" s="114">
        <v>0</v>
      </c>
      <c r="I8" s="114">
        <v>0</v>
      </c>
      <c r="J8" s="114">
        <v>1</v>
      </c>
      <c r="K8" s="114">
        <v>0</v>
      </c>
      <c r="L8" s="114">
        <v>0</v>
      </c>
      <c r="M8" s="114">
        <v>0</v>
      </c>
      <c r="N8" s="114">
        <v>0</v>
      </c>
      <c r="O8" s="114">
        <v>0</v>
      </c>
      <c r="P8" s="114">
        <v>0</v>
      </c>
      <c r="Q8" s="114">
        <v>0</v>
      </c>
      <c r="R8" s="114">
        <v>0</v>
      </c>
      <c r="S8" s="114">
        <v>0</v>
      </c>
      <c r="T8" s="114">
        <v>0</v>
      </c>
      <c r="U8" s="114">
        <v>0</v>
      </c>
      <c r="V8" s="114">
        <v>0</v>
      </c>
      <c r="W8" s="114">
        <v>0</v>
      </c>
      <c r="X8" s="114">
        <v>0</v>
      </c>
      <c r="Y8" s="114">
        <v>0</v>
      </c>
      <c r="Z8" s="114">
        <v>1</v>
      </c>
      <c r="AA8" s="114">
        <v>0</v>
      </c>
      <c r="AB8" s="114">
        <v>0</v>
      </c>
      <c r="AC8" s="114">
        <v>0</v>
      </c>
      <c r="AD8" s="114">
        <v>0</v>
      </c>
      <c r="AE8" s="114">
        <v>0</v>
      </c>
      <c r="AF8" s="114">
        <v>0</v>
      </c>
      <c r="AG8" s="114">
        <v>0</v>
      </c>
      <c r="AH8" s="114">
        <v>0</v>
      </c>
      <c r="AI8" s="114">
        <v>0</v>
      </c>
      <c r="AJ8" s="114">
        <v>0</v>
      </c>
      <c r="AK8" s="114">
        <v>0</v>
      </c>
      <c r="AL8" s="114">
        <v>0</v>
      </c>
      <c r="AM8" s="114">
        <v>0</v>
      </c>
      <c r="AN8" s="114">
        <v>0</v>
      </c>
      <c r="AO8" s="114">
        <v>0</v>
      </c>
      <c r="AP8" s="114">
        <v>0</v>
      </c>
      <c r="AQ8" s="114">
        <v>0</v>
      </c>
      <c r="AR8" s="114">
        <v>0</v>
      </c>
      <c r="AS8" s="114">
        <v>0</v>
      </c>
      <c r="AT8" s="114">
        <v>0</v>
      </c>
      <c r="AU8" s="114">
        <v>0</v>
      </c>
      <c r="AV8" s="114">
        <v>0</v>
      </c>
      <c r="AW8" s="114">
        <v>0</v>
      </c>
      <c r="AX8" s="114">
        <v>0</v>
      </c>
      <c r="AY8" s="114">
        <v>0</v>
      </c>
      <c r="AZ8" s="114">
        <v>0</v>
      </c>
      <c r="BA8" s="114">
        <v>0</v>
      </c>
      <c r="BB8" s="114">
        <v>0</v>
      </c>
      <c r="BC8" s="114">
        <v>0</v>
      </c>
      <c r="BD8" s="114">
        <v>0</v>
      </c>
      <c r="BE8" s="114">
        <v>0</v>
      </c>
      <c r="BF8" s="114">
        <v>0</v>
      </c>
      <c r="BG8" s="114">
        <v>0</v>
      </c>
      <c r="BH8" s="114">
        <v>0</v>
      </c>
      <c r="BI8" s="114">
        <v>0</v>
      </c>
      <c r="BJ8" s="114">
        <v>0</v>
      </c>
      <c r="BK8" s="114">
        <v>0</v>
      </c>
      <c r="BL8" s="114">
        <v>0</v>
      </c>
      <c r="BM8" s="114">
        <v>0</v>
      </c>
      <c r="BN8" s="114">
        <v>0</v>
      </c>
      <c r="BO8" s="114">
        <v>0</v>
      </c>
      <c r="BP8" s="114">
        <v>0</v>
      </c>
      <c r="BQ8" s="114">
        <v>0</v>
      </c>
      <c r="BR8" s="114">
        <v>0</v>
      </c>
      <c r="BS8" s="114">
        <v>0</v>
      </c>
      <c r="BT8" s="114">
        <v>0</v>
      </c>
      <c r="BU8" s="114">
        <v>0</v>
      </c>
      <c r="BV8" s="114">
        <v>0</v>
      </c>
      <c r="BW8" s="114">
        <v>0</v>
      </c>
      <c r="BX8" s="114">
        <v>0</v>
      </c>
      <c r="BY8" s="114">
        <v>0</v>
      </c>
      <c r="BZ8" s="114">
        <v>0</v>
      </c>
      <c r="CA8" s="114">
        <v>0</v>
      </c>
      <c r="CB8" s="114">
        <v>0</v>
      </c>
      <c r="CC8" s="114">
        <v>0</v>
      </c>
      <c r="CD8" s="114">
        <v>0</v>
      </c>
      <c r="CE8" s="114">
        <v>0</v>
      </c>
      <c r="CF8" s="114">
        <v>0</v>
      </c>
      <c r="CG8" s="114">
        <v>0</v>
      </c>
      <c r="CH8" s="114">
        <v>0</v>
      </c>
      <c r="CI8" s="114">
        <v>0</v>
      </c>
      <c r="CJ8" s="114">
        <v>0</v>
      </c>
      <c r="CK8" s="114">
        <v>0</v>
      </c>
      <c r="CL8" s="114">
        <v>0</v>
      </c>
      <c r="CM8" s="114">
        <v>0</v>
      </c>
      <c r="CN8" s="114">
        <v>0</v>
      </c>
      <c r="CO8" s="114">
        <v>0</v>
      </c>
      <c r="CP8" s="114">
        <v>0</v>
      </c>
      <c r="CQ8" s="114">
        <v>0</v>
      </c>
      <c r="CR8" s="114">
        <v>0</v>
      </c>
      <c r="CS8" s="114">
        <v>0</v>
      </c>
      <c r="CT8" s="114">
        <v>0</v>
      </c>
      <c r="CU8" s="114">
        <v>0</v>
      </c>
      <c r="CV8" s="114">
        <v>0</v>
      </c>
    </row>
    <row r="9" spans="1:100" customFormat="1" x14ac:dyDescent="0.15">
      <c r="A9" s="193" t="s">
        <v>199</v>
      </c>
      <c r="B9" s="114">
        <v>0</v>
      </c>
      <c r="C9" s="114">
        <v>0</v>
      </c>
      <c r="D9" s="114">
        <v>0</v>
      </c>
      <c r="E9" s="114">
        <v>0</v>
      </c>
      <c r="F9" s="114">
        <v>0</v>
      </c>
      <c r="G9" s="114">
        <v>0</v>
      </c>
      <c r="H9" s="114">
        <v>0</v>
      </c>
      <c r="I9" s="114">
        <v>0</v>
      </c>
      <c r="J9" s="114">
        <v>1</v>
      </c>
      <c r="K9" s="114">
        <v>0</v>
      </c>
      <c r="L9" s="114">
        <v>0</v>
      </c>
      <c r="M9" s="114">
        <v>0</v>
      </c>
      <c r="N9" s="114">
        <v>0</v>
      </c>
      <c r="O9" s="114">
        <v>0</v>
      </c>
      <c r="P9" s="114">
        <v>0</v>
      </c>
      <c r="Q9" s="114">
        <v>0</v>
      </c>
      <c r="R9" s="114">
        <v>0</v>
      </c>
      <c r="S9" s="114">
        <v>0</v>
      </c>
      <c r="T9" s="114">
        <v>0</v>
      </c>
      <c r="U9" s="114">
        <v>0</v>
      </c>
      <c r="V9" s="114">
        <v>0</v>
      </c>
      <c r="W9" s="114">
        <v>0</v>
      </c>
      <c r="X9" s="114">
        <v>0</v>
      </c>
      <c r="Y9" s="114">
        <v>0</v>
      </c>
      <c r="Z9" s="114">
        <v>1</v>
      </c>
      <c r="AA9" s="114">
        <v>0</v>
      </c>
      <c r="AB9" s="114">
        <v>0</v>
      </c>
      <c r="AC9" s="114">
        <v>0</v>
      </c>
      <c r="AD9" s="114">
        <v>0</v>
      </c>
      <c r="AE9" s="114">
        <v>0</v>
      </c>
      <c r="AF9" s="114">
        <v>0</v>
      </c>
      <c r="AG9" s="114">
        <v>0</v>
      </c>
      <c r="AH9" s="114">
        <v>0</v>
      </c>
      <c r="AI9" s="114">
        <v>0</v>
      </c>
      <c r="AJ9" s="114">
        <v>0</v>
      </c>
      <c r="AK9" s="114">
        <v>0</v>
      </c>
      <c r="AL9" s="114">
        <v>0</v>
      </c>
      <c r="AM9" s="114">
        <v>0</v>
      </c>
      <c r="AN9" s="114">
        <v>0</v>
      </c>
      <c r="AO9" s="114">
        <v>0</v>
      </c>
      <c r="AP9" s="114">
        <v>0</v>
      </c>
      <c r="AQ9" s="114">
        <v>0</v>
      </c>
      <c r="AR9" s="114">
        <v>0</v>
      </c>
      <c r="AS9" s="114">
        <v>0</v>
      </c>
      <c r="AT9" s="114">
        <v>0</v>
      </c>
      <c r="AU9" s="114">
        <v>0</v>
      </c>
      <c r="AV9" s="114">
        <v>0</v>
      </c>
      <c r="AW9" s="114">
        <v>0</v>
      </c>
      <c r="AX9" s="114">
        <v>0</v>
      </c>
      <c r="AY9" s="114">
        <v>0</v>
      </c>
      <c r="AZ9" s="114">
        <v>0</v>
      </c>
      <c r="BA9" s="114">
        <v>0</v>
      </c>
      <c r="BB9" s="114">
        <v>0</v>
      </c>
      <c r="BC9" s="114">
        <v>0</v>
      </c>
      <c r="BD9" s="114">
        <v>0</v>
      </c>
      <c r="BE9" s="114">
        <v>0</v>
      </c>
      <c r="BF9" s="114">
        <v>0</v>
      </c>
      <c r="BG9" s="114">
        <v>0</v>
      </c>
      <c r="BH9" s="114">
        <v>0</v>
      </c>
      <c r="BI9" s="114">
        <v>0</v>
      </c>
      <c r="BJ9" s="114">
        <v>0</v>
      </c>
      <c r="BK9" s="114">
        <v>0</v>
      </c>
      <c r="BL9" s="114">
        <v>0</v>
      </c>
      <c r="BM9" s="114">
        <v>0</v>
      </c>
      <c r="BN9" s="114">
        <v>0</v>
      </c>
      <c r="BO9" s="114">
        <v>0</v>
      </c>
      <c r="BP9" s="114">
        <v>0</v>
      </c>
      <c r="BQ9" s="114">
        <v>0</v>
      </c>
      <c r="BR9" s="114">
        <v>0</v>
      </c>
      <c r="BS9" s="114">
        <v>0</v>
      </c>
      <c r="BT9" s="114">
        <v>0</v>
      </c>
      <c r="BU9" s="114">
        <v>0</v>
      </c>
      <c r="BV9" s="114">
        <v>0</v>
      </c>
      <c r="BW9" s="114">
        <v>0</v>
      </c>
      <c r="BX9" s="114">
        <v>0</v>
      </c>
      <c r="BY9" s="114">
        <v>0</v>
      </c>
      <c r="BZ9" s="114">
        <v>0</v>
      </c>
      <c r="CA9" s="114">
        <v>0</v>
      </c>
      <c r="CB9" s="114">
        <v>0</v>
      </c>
      <c r="CC9" s="114">
        <v>0</v>
      </c>
      <c r="CD9" s="114">
        <v>0</v>
      </c>
      <c r="CE9" s="114">
        <v>0</v>
      </c>
      <c r="CF9" s="114">
        <v>0</v>
      </c>
      <c r="CG9" s="114">
        <v>0</v>
      </c>
      <c r="CH9" s="114">
        <v>0</v>
      </c>
      <c r="CI9" s="114">
        <v>0</v>
      </c>
      <c r="CJ9" s="114">
        <v>0</v>
      </c>
      <c r="CK9" s="114">
        <v>0</v>
      </c>
      <c r="CL9" s="114">
        <v>0</v>
      </c>
      <c r="CM9" s="114">
        <v>0</v>
      </c>
      <c r="CN9" s="114">
        <v>0</v>
      </c>
      <c r="CO9" s="114">
        <v>0</v>
      </c>
      <c r="CP9" s="114">
        <v>0</v>
      </c>
      <c r="CQ9" s="114">
        <v>0</v>
      </c>
      <c r="CR9" s="114">
        <v>0</v>
      </c>
      <c r="CS9" s="114">
        <v>0</v>
      </c>
      <c r="CT9" s="114">
        <v>0</v>
      </c>
      <c r="CU9" s="114">
        <v>0</v>
      </c>
      <c r="CV9" s="114">
        <v>0</v>
      </c>
    </row>
    <row r="10" spans="1:100" customFormat="1" x14ac:dyDescent="0.15">
      <c r="A10" s="193" t="s">
        <v>200</v>
      </c>
      <c r="B10" s="114">
        <v>0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1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  <c r="CH10" s="114">
        <v>0</v>
      </c>
      <c r="CI10" s="114">
        <v>0</v>
      </c>
      <c r="CJ10" s="114">
        <v>0</v>
      </c>
      <c r="CK10" s="114">
        <v>0</v>
      </c>
      <c r="CL10" s="114">
        <v>0</v>
      </c>
      <c r="CM10" s="114">
        <v>0</v>
      </c>
      <c r="CN10" s="114">
        <v>0</v>
      </c>
      <c r="CO10" s="114">
        <v>0</v>
      </c>
      <c r="CP10" s="114">
        <v>0</v>
      </c>
      <c r="CQ10" s="114">
        <v>0</v>
      </c>
      <c r="CR10" s="114">
        <v>0</v>
      </c>
      <c r="CS10" s="114">
        <v>0</v>
      </c>
      <c r="CT10" s="114">
        <v>0</v>
      </c>
      <c r="CU10" s="114">
        <v>0</v>
      </c>
      <c r="CV10" s="114">
        <v>0</v>
      </c>
    </row>
    <row r="11" spans="1:100" customFormat="1" x14ac:dyDescent="0.15">
      <c r="A11" s="193" t="s">
        <v>201</v>
      </c>
      <c r="B11" s="114">
        <v>0</v>
      </c>
      <c r="C11" s="114">
        <v>0</v>
      </c>
      <c r="D11" s="114">
        <v>0</v>
      </c>
      <c r="E11" s="114">
        <v>0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1</v>
      </c>
      <c r="L11" s="114">
        <v>1</v>
      </c>
      <c r="M11" s="114">
        <v>1</v>
      </c>
      <c r="N11" s="114">
        <v>1</v>
      </c>
      <c r="O11" s="114">
        <v>1</v>
      </c>
      <c r="P11" s="114">
        <v>1</v>
      </c>
      <c r="Q11" s="114">
        <v>1</v>
      </c>
      <c r="R11" s="114">
        <v>1</v>
      </c>
      <c r="S11" s="114">
        <v>1</v>
      </c>
      <c r="T11" s="114">
        <v>0</v>
      </c>
      <c r="U11" s="114">
        <v>0</v>
      </c>
      <c r="V11" s="114">
        <v>1</v>
      </c>
      <c r="W11" s="114">
        <v>0</v>
      </c>
      <c r="X11" s="114">
        <v>1</v>
      </c>
      <c r="Y11" s="114">
        <v>1</v>
      </c>
      <c r="Z11" s="114">
        <v>1</v>
      </c>
      <c r="AA11" s="114">
        <v>1</v>
      </c>
      <c r="AB11" s="114">
        <v>0</v>
      </c>
      <c r="AC11" s="114">
        <v>0</v>
      </c>
      <c r="AD11" s="114">
        <v>0</v>
      </c>
      <c r="AE11" s="114">
        <v>0</v>
      </c>
      <c r="AF11" s="114">
        <v>1</v>
      </c>
      <c r="AG11" s="114">
        <v>0</v>
      </c>
      <c r="AH11" s="114">
        <v>0</v>
      </c>
      <c r="AI11" s="114">
        <v>0</v>
      </c>
      <c r="AJ11" s="114">
        <v>1</v>
      </c>
      <c r="AK11" s="114">
        <v>1</v>
      </c>
      <c r="AL11" s="114">
        <v>1</v>
      </c>
      <c r="AM11" s="114">
        <v>0</v>
      </c>
      <c r="AN11" s="114">
        <v>0</v>
      </c>
      <c r="AO11" s="114">
        <v>0</v>
      </c>
      <c r="AP11" s="114">
        <v>0</v>
      </c>
      <c r="AQ11" s="114">
        <v>1</v>
      </c>
      <c r="AR11" s="114">
        <v>1</v>
      </c>
      <c r="AS11" s="114">
        <v>1</v>
      </c>
      <c r="AT11" s="114">
        <v>1</v>
      </c>
      <c r="AU11" s="114">
        <v>0</v>
      </c>
      <c r="AV11" s="114">
        <v>0</v>
      </c>
      <c r="AW11" s="114">
        <v>1</v>
      </c>
      <c r="AX11" s="114">
        <v>1</v>
      </c>
      <c r="AY11" s="114">
        <v>0</v>
      </c>
      <c r="AZ11" s="114">
        <v>0</v>
      </c>
      <c r="BA11" s="114">
        <v>1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1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  <c r="CH11" s="114">
        <v>0</v>
      </c>
      <c r="CI11" s="114">
        <v>0</v>
      </c>
      <c r="CJ11" s="114">
        <v>0</v>
      </c>
      <c r="CK11" s="114">
        <v>0</v>
      </c>
      <c r="CL11" s="114">
        <v>0</v>
      </c>
      <c r="CM11" s="114">
        <v>0</v>
      </c>
      <c r="CN11" s="114">
        <v>0</v>
      </c>
      <c r="CO11" s="114">
        <v>0</v>
      </c>
      <c r="CP11" s="114">
        <v>0</v>
      </c>
      <c r="CQ11" s="114">
        <v>0</v>
      </c>
      <c r="CR11" s="114">
        <v>0</v>
      </c>
      <c r="CS11" s="114">
        <v>0</v>
      </c>
      <c r="CT11" s="114">
        <v>0</v>
      </c>
      <c r="CU11" s="114">
        <v>0</v>
      </c>
      <c r="CV11" s="114">
        <v>0</v>
      </c>
    </row>
    <row r="12" spans="1:100" customFormat="1" x14ac:dyDescent="0.15">
      <c r="A12" s="193" t="s">
        <v>202</v>
      </c>
      <c r="B12" s="114">
        <v>0</v>
      </c>
      <c r="C12" s="114">
        <v>0</v>
      </c>
      <c r="D12" s="114">
        <v>0</v>
      </c>
      <c r="E12" s="114">
        <v>0</v>
      </c>
      <c r="F12" s="114">
        <v>0</v>
      </c>
      <c r="G12" s="114">
        <v>0</v>
      </c>
      <c r="H12" s="114">
        <v>0</v>
      </c>
      <c r="I12" s="114">
        <v>0</v>
      </c>
      <c r="J12" s="114">
        <v>0</v>
      </c>
      <c r="K12" s="114">
        <v>1</v>
      </c>
      <c r="L12" s="114">
        <v>1</v>
      </c>
      <c r="M12" s="114">
        <v>1</v>
      </c>
      <c r="N12" s="114">
        <v>1</v>
      </c>
      <c r="O12" s="114">
        <v>1</v>
      </c>
      <c r="P12" s="114">
        <v>1</v>
      </c>
      <c r="Q12" s="114">
        <v>1</v>
      </c>
      <c r="R12" s="114">
        <v>1</v>
      </c>
      <c r="S12" s="114">
        <v>1</v>
      </c>
      <c r="T12" s="114">
        <v>0</v>
      </c>
      <c r="U12" s="114">
        <v>0</v>
      </c>
      <c r="V12" s="114">
        <v>1</v>
      </c>
      <c r="W12" s="114">
        <v>0</v>
      </c>
      <c r="X12" s="114">
        <v>1</v>
      </c>
      <c r="Y12" s="114">
        <v>1</v>
      </c>
      <c r="Z12" s="114">
        <v>1</v>
      </c>
      <c r="AA12" s="114">
        <v>1</v>
      </c>
      <c r="AB12" s="114">
        <v>0</v>
      </c>
      <c r="AC12" s="114">
        <v>0</v>
      </c>
      <c r="AD12" s="114">
        <v>0</v>
      </c>
      <c r="AE12" s="114">
        <v>0</v>
      </c>
      <c r="AF12" s="114">
        <v>1</v>
      </c>
      <c r="AG12" s="114">
        <v>0</v>
      </c>
      <c r="AH12" s="114">
        <v>0</v>
      </c>
      <c r="AI12" s="114">
        <v>0</v>
      </c>
      <c r="AJ12" s="114">
        <v>1</v>
      </c>
      <c r="AK12" s="114">
        <v>1</v>
      </c>
      <c r="AL12" s="114">
        <v>1</v>
      </c>
      <c r="AM12" s="114">
        <v>0</v>
      </c>
      <c r="AN12" s="114">
        <v>0</v>
      </c>
      <c r="AO12" s="114">
        <v>0</v>
      </c>
      <c r="AP12" s="114">
        <v>0</v>
      </c>
      <c r="AQ12" s="114">
        <v>1</v>
      </c>
      <c r="AR12" s="114">
        <v>1</v>
      </c>
      <c r="AS12" s="114">
        <v>1</v>
      </c>
      <c r="AT12" s="114">
        <v>1</v>
      </c>
      <c r="AU12" s="114">
        <v>0</v>
      </c>
      <c r="AV12" s="114">
        <v>0</v>
      </c>
      <c r="AW12" s="114">
        <v>1</v>
      </c>
      <c r="AX12" s="114">
        <v>1</v>
      </c>
      <c r="AY12" s="114">
        <v>0</v>
      </c>
      <c r="AZ12" s="114">
        <v>0</v>
      </c>
      <c r="BA12" s="114">
        <v>1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1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  <c r="CH12" s="114">
        <v>0</v>
      </c>
      <c r="CI12" s="114">
        <v>0</v>
      </c>
      <c r="CJ12" s="114">
        <v>0</v>
      </c>
      <c r="CK12" s="114">
        <v>0</v>
      </c>
      <c r="CL12" s="114">
        <v>0</v>
      </c>
      <c r="CM12" s="114">
        <v>0</v>
      </c>
      <c r="CN12" s="114">
        <v>0</v>
      </c>
      <c r="CO12" s="114">
        <v>0</v>
      </c>
      <c r="CP12" s="114">
        <v>0</v>
      </c>
      <c r="CQ12" s="114">
        <v>0</v>
      </c>
      <c r="CR12" s="114">
        <v>0</v>
      </c>
      <c r="CS12" s="114">
        <v>0</v>
      </c>
      <c r="CT12" s="114">
        <v>0</v>
      </c>
      <c r="CU12" s="114">
        <v>0</v>
      </c>
      <c r="CV12" s="114">
        <v>0</v>
      </c>
    </row>
    <row r="13" spans="1:100" customFormat="1" x14ac:dyDescent="0.15">
      <c r="A13" s="193" t="s">
        <v>203</v>
      </c>
      <c r="B13" s="114">
        <v>0</v>
      </c>
      <c r="C13" s="114">
        <v>0</v>
      </c>
      <c r="D13" s="114">
        <v>0</v>
      </c>
      <c r="E13" s="114">
        <v>0</v>
      </c>
      <c r="F13" s="114">
        <v>0</v>
      </c>
      <c r="G13" s="114">
        <v>0</v>
      </c>
      <c r="H13" s="114">
        <v>0</v>
      </c>
      <c r="I13" s="114">
        <v>0</v>
      </c>
      <c r="J13" s="114">
        <v>0</v>
      </c>
      <c r="K13" s="114">
        <v>1</v>
      </c>
      <c r="L13" s="114">
        <v>1</v>
      </c>
      <c r="M13" s="114">
        <v>1</v>
      </c>
      <c r="N13" s="114">
        <v>1</v>
      </c>
      <c r="O13" s="114">
        <v>0</v>
      </c>
      <c r="P13" s="114">
        <v>0</v>
      </c>
      <c r="Q13" s="114">
        <v>1</v>
      </c>
      <c r="R13" s="114">
        <v>1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1</v>
      </c>
      <c r="AI13" s="114">
        <v>1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1</v>
      </c>
      <c r="AR13" s="114">
        <v>1</v>
      </c>
      <c r="AS13" s="114">
        <v>1</v>
      </c>
      <c r="AT13" s="114">
        <v>1</v>
      </c>
      <c r="AU13" s="114">
        <v>1</v>
      </c>
      <c r="AV13" s="114">
        <v>1</v>
      </c>
      <c r="AW13" s="114">
        <v>0</v>
      </c>
      <c r="AX13" s="114">
        <v>0</v>
      </c>
      <c r="AY13" s="114">
        <v>1</v>
      </c>
      <c r="AZ13" s="114">
        <v>1</v>
      </c>
      <c r="BA13" s="114">
        <v>1</v>
      </c>
      <c r="BB13" s="114">
        <v>1</v>
      </c>
      <c r="BC13" s="114">
        <v>1</v>
      </c>
      <c r="BD13" s="114">
        <v>1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1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  <c r="CH13" s="114">
        <v>0</v>
      </c>
      <c r="CI13" s="114">
        <v>0</v>
      </c>
      <c r="CJ13" s="114">
        <v>0</v>
      </c>
      <c r="CK13" s="114">
        <v>0</v>
      </c>
      <c r="CL13" s="114">
        <v>1</v>
      </c>
      <c r="CM13" s="114">
        <v>0</v>
      </c>
      <c r="CN13" s="114">
        <v>0</v>
      </c>
      <c r="CO13" s="114">
        <v>0</v>
      </c>
      <c r="CP13" s="114">
        <v>0</v>
      </c>
      <c r="CQ13" s="114">
        <v>0</v>
      </c>
      <c r="CR13" s="114">
        <v>0</v>
      </c>
      <c r="CS13" s="114">
        <v>0</v>
      </c>
      <c r="CT13" s="114">
        <v>0</v>
      </c>
      <c r="CU13" s="114">
        <v>0</v>
      </c>
      <c r="CV13" s="114">
        <v>0</v>
      </c>
    </row>
    <row r="14" spans="1:100" customFormat="1" x14ac:dyDescent="0.15">
      <c r="A14" s="193" t="s">
        <v>204</v>
      </c>
      <c r="B14" s="114">
        <v>0</v>
      </c>
      <c r="C14" s="114">
        <v>0</v>
      </c>
      <c r="D14" s="114">
        <v>0</v>
      </c>
      <c r="E14" s="114">
        <v>0</v>
      </c>
      <c r="F14" s="114">
        <v>0</v>
      </c>
      <c r="G14" s="114">
        <v>0</v>
      </c>
      <c r="H14" s="114">
        <v>0</v>
      </c>
      <c r="I14" s="114">
        <v>0</v>
      </c>
      <c r="J14" s="114">
        <v>0</v>
      </c>
      <c r="K14" s="114">
        <v>1</v>
      </c>
      <c r="L14" s="114">
        <v>1</v>
      </c>
      <c r="M14" s="114">
        <v>1</v>
      </c>
      <c r="N14" s="114">
        <v>1</v>
      </c>
      <c r="O14" s="114">
        <v>1</v>
      </c>
      <c r="P14" s="114">
        <v>1</v>
      </c>
      <c r="Q14" s="114">
        <v>1</v>
      </c>
      <c r="R14" s="114">
        <v>1</v>
      </c>
      <c r="S14" s="114">
        <v>1</v>
      </c>
      <c r="T14" s="114">
        <v>0</v>
      </c>
      <c r="U14" s="114">
        <v>0</v>
      </c>
      <c r="V14" s="114">
        <v>1</v>
      </c>
      <c r="W14" s="114">
        <v>0</v>
      </c>
      <c r="X14" s="114">
        <v>1</v>
      </c>
      <c r="Y14" s="114">
        <v>1</v>
      </c>
      <c r="Z14" s="114">
        <v>1</v>
      </c>
      <c r="AA14" s="114">
        <v>1</v>
      </c>
      <c r="AB14" s="114">
        <v>0</v>
      </c>
      <c r="AC14" s="114">
        <v>0</v>
      </c>
      <c r="AD14" s="114">
        <v>0</v>
      </c>
      <c r="AE14" s="114">
        <v>0</v>
      </c>
      <c r="AF14" s="114">
        <v>1</v>
      </c>
      <c r="AG14" s="114">
        <v>0</v>
      </c>
      <c r="AH14" s="114">
        <v>0</v>
      </c>
      <c r="AI14" s="114">
        <v>0</v>
      </c>
      <c r="AJ14" s="114">
        <v>0</v>
      </c>
      <c r="AK14" s="114">
        <v>1</v>
      </c>
      <c r="AL14" s="114">
        <v>1</v>
      </c>
      <c r="AM14" s="114">
        <v>0</v>
      </c>
      <c r="AN14" s="114">
        <v>0</v>
      </c>
      <c r="AO14" s="114">
        <v>0</v>
      </c>
      <c r="AP14" s="114">
        <v>0</v>
      </c>
      <c r="AQ14" s="114">
        <v>1</v>
      </c>
      <c r="AR14" s="114">
        <v>1</v>
      </c>
      <c r="AS14" s="114">
        <v>1</v>
      </c>
      <c r="AT14" s="114">
        <v>0</v>
      </c>
      <c r="AU14" s="114">
        <v>0</v>
      </c>
      <c r="AV14" s="114">
        <v>0</v>
      </c>
      <c r="AW14" s="114">
        <v>1</v>
      </c>
      <c r="AX14" s="114">
        <v>0</v>
      </c>
      <c r="AY14" s="114">
        <v>0</v>
      </c>
      <c r="AZ14" s="114">
        <v>0</v>
      </c>
      <c r="BA14" s="114">
        <v>1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1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  <c r="CH14" s="114">
        <v>0</v>
      </c>
      <c r="CI14" s="114">
        <v>0</v>
      </c>
      <c r="CJ14" s="114">
        <v>0</v>
      </c>
      <c r="CK14" s="114">
        <v>0</v>
      </c>
      <c r="CL14" s="114">
        <v>0</v>
      </c>
      <c r="CM14" s="114">
        <v>0</v>
      </c>
      <c r="CN14" s="114">
        <v>0</v>
      </c>
      <c r="CO14" s="114">
        <v>0</v>
      </c>
      <c r="CP14" s="114">
        <v>0</v>
      </c>
      <c r="CQ14" s="114">
        <v>0</v>
      </c>
      <c r="CR14" s="114">
        <v>0</v>
      </c>
      <c r="CS14" s="114">
        <v>0</v>
      </c>
      <c r="CT14" s="114">
        <v>0</v>
      </c>
      <c r="CU14" s="114">
        <v>0</v>
      </c>
      <c r="CV14" s="114">
        <v>0</v>
      </c>
    </row>
    <row r="15" spans="1:100" customFormat="1" x14ac:dyDescent="0.15">
      <c r="A15" s="193" t="s">
        <v>205</v>
      </c>
      <c r="B15" s="114">
        <v>0</v>
      </c>
      <c r="C15" s="114">
        <v>0</v>
      </c>
      <c r="D15" s="114">
        <v>0</v>
      </c>
      <c r="E15" s="114">
        <v>0</v>
      </c>
      <c r="F15" s="114">
        <v>0</v>
      </c>
      <c r="G15" s="114">
        <v>0</v>
      </c>
      <c r="H15" s="114">
        <v>0</v>
      </c>
      <c r="I15" s="114">
        <v>0</v>
      </c>
      <c r="J15" s="114">
        <v>0</v>
      </c>
      <c r="K15" s="114">
        <v>1</v>
      </c>
      <c r="L15" s="114">
        <v>1</v>
      </c>
      <c r="M15" s="114">
        <v>1</v>
      </c>
      <c r="N15" s="114">
        <v>1</v>
      </c>
      <c r="O15" s="114">
        <v>1</v>
      </c>
      <c r="P15" s="114">
        <v>1</v>
      </c>
      <c r="Q15" s="114">
        <v>1</v>
      </c>
      <c r="R15" s="114">
        <v>1</v>
      </c>
      <c r="S15" s="114">
        <v>1</v>
      </c>
      <c r="T15" s="114">
        <v>0</v>
      </c>
      <c r="U15" s="114">
        <v>0</v>
      </c>
      <c r="V15" s="114">
        <v>1</v>
      </c>
      <c r="W15" s="114">
        <v>0</v>
      </c>
      <c r="X15" s="114">
        <v>1</v>
      </c>
      <c r="Y15" s="114">
        <v>1</v>
      </c>
      <c r="Z15" s="114">
        <v>1</v>
      </c>
      <c r="AA15" s="114">
        <v>1</v>
      </c>
      <c r="AB15" s="114">
        <v>0</v>
      </c>
      <c r="AC15" s="114">
        <v>0</v>
      </c>
      <c r="AD15" s="114">
        <v>0</v>
      </c>
      <c r="AE15" s="114">
        <v>0</v>
      </c>
      <c r="AF15" s="114">
        <v>1</v>
      </c>
      <c r="AG15" s="114">
        <v>0</v>
      </c>
      <c r="AH15" s="114">
        <v>0</v>
      </c>
      <c r="AI15" s="114">
        <v>0</v>
      </c>
      <c r="AJ15" s="114">
        <v>0</v>
      </c>
      <c r="AK15" s="114">
        <v>1</v>
      </c>
      <c r="AL15" s="114">
        <v>1</v>
      </c>
      <c r="AM15" s="114">
        <v>0</v>
      </c>
      <c r="AN15" s="114">
        <v>0</v>
      </c>
      <c r="AO15" s="114">
        <v>0</v>
      </c>
      <c r="AP15" s="114">
        <v>0</v>
      </c>
      <c r="AQ15" s="114">
        <v>1</v>
      </c>
      <c r="AR15" s="114">
        <v>1</v>
      </c>
      <c r="AS15" s="114">
        <v>1</v>
      </c>
      <c r="AT15" s="114">
        <v>0</v>
      </c>
      <c r="AU15" s="114">
        <v>0</v>
      </c>
      <c r="AV15" s="114">
        <v>0</v>
      </c>
      <c r="AW15" s="114">
        <v>1</v>
      </c>
      <c r="AX15" s="114">
        <v>0</v>
      </c>
      <c r="AY15" s="114">
        <v>0</v>
      </c>
      <c r="AZ15" s="114">
        <v>0</v>
      </c>
      <c r="BA15" s="114">
        <v>1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1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  <c r="CH15" s="114">
        <v>0</v>
      </c>
      <c r="CI15" s="114">
        <v>0</v>
      </c>
      <c r="CJ15" s="114">
        <v>0</v>
      </c>
      <c r="CK15" s="114">
        <v>0</v>
      </c>
      <c r="CL15" s="114">
        <v>0</v>
      </c>
      <c r="CM15" s="114">
        <v>0</v>
      </c>
      <c r="CN15" s="114">
        <v>0</v>
      </c>
      <c r="CO15" s="114">
        <v>0</v>
      </c>
      <c r="CP15" s="114">
        <v>0</v>
      </c>
      <c r="CQ15" s="114">
        <v>0</v>
      </c>
      <c r="CR15" s="114">
        <v>0</v>
      </c>
      <c r="CS15" s="114">
        <v>0</v>
      </c>
      <c r="CT15" s="114">
        <v>0</v>
      </c>
      <c r="CU15" s="114">
        <v>0</v>
      </c>
      <c r="CV15" s="114">
        <v>0</v>
      </c>
    </row>
    <row r="16" spans="1:100" customFormat="1" x14ac:dyDescent="0.15">
      <c r="A16" s="193" t="s">
        <v>206</v>
      </c>
      <c r="B16" s="114">
        <v>0</v>
      </c>
      <c r="C16" s="114">
        <v>0</v>
      </c>
      <c r="D16" s="114">
        <v>0</v>
      </c>
      <c r="E16" s="114">
        <v>0</v>
      </c>
      <c r="F16" s="114">
        <v>0</v>
      </c>
      <c r="G16" s="114">
        <v>0</v>
      </c>
      <c r="H16" s="114">
        <v>0</v>
      </c>
      <c r="I16" s="114">
        <v>0</v>
      </c>
      <c r="J16" s="114">
        <v>0</v>
      </c>
      <c r="K16" s="114">
        <v>0</v>
      </c>
      <c r="L16" s="114">
        <v>0</v>
      </c>
      <c r="M16" s="114">
        <v>0</v>
      </c>
      <c r="N16" s="114">
        <v>1</v>
      </c>
      <c r="O16" s="114">
        <v>1</v>
      </c>
      <c r="P16" s="114">
        <v>1</v>
      </c>
      <c r="Q16" s="114">
        <v>1</v>
      </c>
      <c r="R16" s="114">
        <v>1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1</v>
      </c>
      <c r="AI16" s="114">
        <v>1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1</v>
      </c>
      <c r="AR16" s="114">
        <v>1</v>
      </c>
      <c r="AS16" s="114">
        <v>1</v>
      </c>
      <c r="AT16" s="114">
        <v>1</v>
      </c>
      <c r="AU16" s="114">
        <v>1</v>
      </c>
      <c r="AV16" s="114">
        <v>1</v>
      </c>
      <c r="AW16" s="114">
        <v>0</v>
      </c>
      <c r="AX16" s="114">
        <v>0</v>
      </c>
      <c r="AY16" s="114">
        <v>1</v>
      </c>
      <c r="AZ16" s="114">
        <v>1</v>
      </c>
      <c r="BA16" s="114">
        <v>1</v>
      </c>
      <c r="BB16" s="114">
        <v>1</v>
      </c>
      <c r="BC16" s="114">
        <v>1</v>
      </c>
      <c r="BD16" s="114">
        <v>1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1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  <c r="CH16" s="114">
        <v>0</v>
      </c>
      <c r="CI16" s="114">
        <v>0</v>
      </c>
      <c r="CJ16" s="114">
        <v>0</v>
      </c>
      <c r="CK16" s="114">
        <v>0</v>
      </c>
      <c r="CL16" s="114">
        <v>1</v>
      </c>
      <c r="CM16" s="114">
        <v>0</v>
      </c>
      <c r="CN16" s="114">
        <v>0</v>
      </c>
      <c r="CO16" s="114">
        <v>0</v>
      </c>
      <c r="CP16" s="114">
        <v>0</v>
      </c>
      <c r="CQ16" s="114">
        <v>0</v>
      </c>
      <c r="CR16" s="114">
        <v>0</v>
      </c>
      <c r="CS16" s="114">
        <v>0</v>
      </c>
      <c r="CT16" s="114">
        <v>0</v>
      </c>
      <c r="CU16" s="114">
        <v>0</v>
      </c>
      <c r="CV16" s="114">
        <v>0</v>
      </c>
    </row>
    <row r="17" spans="1:100" customFormat="1" x14ac:dyDescent="0.15">
      <c r="A17" s="193" t="s">
        <v>207</v>
      </c>
      <c r="B17" s="114">
        <v>0</v>
      </c>
      <c r="C17" s="114">
        <v>0</v>
      </c>
      <c r="D17" s="114">
        <v>0</v>
      </c>
      <c r="E17" s="114">
        <v>0</v>
      </c>
      <c r="F17" s="114">
        <v>0</v>
      </c>
      <c r="G17" s="114">
        <v>0</v>
      </c>
      <c r="H17" s="114">
        <v>0</v>
      </c>
      <c r="I17" s="114">
        <v>0</v>
      </c>
      <c r="J17" s="114">
        <v>0</v>
      </c>
      <c r="K17" s="114">
        <v>0</v>
      </c>
      <c r="L17" s="114">
        <v>0</v>
      </c>
      <c r="M17" s="114">
        <v>0</v>
      </c>
      <c r="N17" s="114">
        <v>0</v>
      </c>
      <c r="O17" s="114">
        <v>0</v>
      </c>
      <c r="P17" s="114">
        <v>0</v>
      </c>
      <c r="Q17" s="114">
        <v>1</v>
      </c>
      <c r="R17" s="114">
        <v>1</v>
      </c>
      <c r="S17" s="114">
        <v>1</v>
      </c>
      <c r="T17" s="114">
        <v>0</v>
      </c>
      <c r="U17" s="114">
        <v>0</v>
      </c>
      <c r="V17" s="114">
        <v>1</v>
      </c>
      <c r="W17" s="114">
        <v>0</v>
      </c>
      <c r="X17" s="114">
        <v>1</v>
      </c>
      <c r="Y17" s="114">
        <v>0</v>
      </c>
      <c r="Z17" s="114">
        <v>1</v>
      </c>
      <c r="AA17" s="114">
        <v>1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1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1</v>
      </c>
      <c r="AR17" s="114">
        <v>1</v>
      </c>
      <c r="AS17" s="114">
        <v>1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1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  <c r="CH17" s="114">
        <v>0</v>
      </c>
      <c r="CI17" s="114">
        <v>0</v>
      </c>
      <c r="CJ17" s="114">
        <v>0</v>
      </c>
      <c r="CK17" s="114">
        <v>0</v>
      </c>
      <c r="CL17" s="114">
        <v>0</v>
      </c>
      <c r="CM17" s="114">
        <v>0</v>
      </c>
      <c r="CN17" s="114">
        <v>0</v>
      </c>
      <c r="CO17" s="114">
        <v>0</v>
      </c>
      <c r="CP17" s="114">
        <v>0</v>
      </c>
      <c r="CQ17" s="114">
        <v>0</v>
      </c>
      <c r="CR17" s="114">
        <v>0</v>
      </c>
      <c r="CS17" s="114">
        <v>0</v>
      </c>
      <c r="CT17" s="114">
        <v>0</v>
      </c>
      <c r="CU17" s="114">
        <v>0</v>
      </c>
      <c r="CV17" s="114">
        <v>0</v>
      </c>
    </row>
    <row r="18" spans="1:100" customFormat="1" x14ac:dyDescent="0.15">
      <c r="A18" s="193" t="s">
        <v>208</v>
      </c>
      <c r="B18" s="114">
        <v>0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0</v>
      </c>
      <c r="I18" s="114">
        <v>0</v>
      </c>
      <c r="J18" s="114">
        <v>0</v>
      </c>
      <c r="K18" s="114">
        <v>0</v>
      </c>
      <c r="L18" s="114">
        <v>0</v>
      </c>
      <c r="M18" s="114">
        <v>0</v>
      </c>
      <c r="N18" s="114">
        <v>0</v>
      </c>
      <c r="O18" s="114">
        <v>0</v>
      </c>
      <c r="P18" s="114">
        <v>0</v>
      </c>
      <c r="Q18" s="114">
        <v>1</v>
      </c>
      <c r="R18" s="114">
        <v>1</v>
      </c>
      <c r="S18" s="114">
        <v>1</v>
      </c>
      <c r="T18" s="114">
        <v>0</v>
      </c>
      <c r="U18" s="114">
        <v>0</v>
      </c>
      <c r="V18" s="114">
        <v>1</v>
      </c>
      <c r="W18" s="114">
        <v>0</v>
      </c>
      <c r="X18" s="114">
        <v>1</v>
      </c>
      <c r="Y18" s="114">
        <v>0</v>
      </c>
      <c r="Z18" s="114">
        <v>1</v>
      </c>
      <c r="AA18" s="114">
        <v>1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1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1</v>
      </c>
      <c r="AR18" s="114">
        <v>1</v>
      </c>
      <c r="AS18" s="114">
        <v>1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  <c r="BG18" s="114">
        <v>1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  <c r="CH18" s="114">
        <v>0</v>
      </c>
      <c r="CI18" s="114">
        <v>0</v>
      </c>
      <c r="CJ18" s="114">
        <v>0</v>
      </c>
      <c r="CK18" s="114">
        <v>0</v>
      </c>
      <c r="CL18" s="114">
        <v>0</v>
      </c>
      <c r="CM18" s="114">
        <v>0</v>
      </c>
      <c r="CN18" s="114">
        <v>0</v>
      </c>
      <c r="CO18" s="114">
        <v>0</v>
      </c>
      <c r="CP18" s="114">
        <v>0</v>
      </c>
      <c r="CQ18" s="114">
        <v>0</v>
      </c>
      <c r="CR18" s="114">
        <v>0</v>
      </c>
      <c r="CS18" s="114">
        <v>0</v>
      </c>
      <c r="CT18" s="114">
        <v>0</v>
      </c>
      <c r="CU18" s="114">
        <v>0</v>
      </c>
      <c r="CV18" s="114">
        <v>0</v>
      </c>
    </row>
    <row r="19" spans="1:100" customFormat="1" x14ac:dyDescent="0.15">
      <c r="A19" s="193" t="s">
        <v>209</v>
      </c>
      <c r="B19" s="114">
        <v>0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0</v>
      </c>
      <c r="I19" s="114">
        <v>0</v>
      </c>
      <c r="J19" s="114">
        <v>0</v>
      </c>
      <c r="K19" s="114">
        <v>0</v>
      </c>
      <c r="L19" s="114">
        <v>0</v>
      </c>
      <c r="M19" s="114">
        <v>0</v>
      </c>
      <c r="N19" s="114">
        <v>1</v>
      </c>
      <c r="O19" s="114">
        <v>1</v>
      </c>
      <c r="P19" s="114">
        <v>0</v>
      </c>
      <c r="Q19" s="114">
        <v>1</v>
      </c>
      <c r="R19" s="114">
        <v>1</v>
      </c>
      <c r="S19" s="114">
        <v>0</v>
      </c>
      <c r="T19" s="114">
        <v>0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1</v>
      </c>
      <c r="AI19" s="114">
        <v>1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1</v>
      </c>
      <c r="AR19" s="114">
        <v>1</v>
      </c>
      <c r="AS19" s="114">
        <v>1</v>
      </c>
      <c r="AT19" s="114">
        <v>1</v>
      </c>
      <c r="AU19" s="114">
        <v>1</v>
      </c>
      <c r="AV19" s="114">
        <v>1</v>
      </c>
      <c r="AW19" s="114">
        <v>0</v>
      </c>
      <c r="AX19" s="114">
        <v>0</v>
      </c>
      <c r="AY19" s="114">
        <v>1</v>
      </c>
      <c r="AZ19" s="114">
        <v>1</v>
      </c>
      <c r="BA19" s="114">
        <v>1</v>
      </c>
      <c r="BB19" s="114">
        <v>1</v>
      </c>
      <c r="BC19" s="114">
        <v>1</v>
      </c>
      <c r="BD19" s="114">
        <v>1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1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  <c r="CH19" s="114">
        <v>0</v>
      </c>
      <c r="CI19" s="114">
        <v>0</v>
      </c>
      <c r="CJ19" s="114">
        <v>0</v>
      </c>
      <c r="CK19" s="114">
        <v>0</v>
      </c>
      <c r="CL19" s="114">
        <v>1</v>
      </c>
      <c r="CM19" s="114">
        <v>0</v>
      </c>
      <c r="CN19" s="114">
        <v>0</v>
      </c>
      <c r="CO19" s="114">
        <v>0</v>
      </c>
      <c r="CP19" s="114">
        <v>0</v>
      </c>
      <c r="CQ19" s="114">
        <v>0</v>
      </c>
      <c r="CR19" s="114">
        <v>0</v>
      </c>
      <c r="CS19" s="114">
        <v>0</v>
      </c>
      <c r="CT19" s="114">
        <v>0</v>
      </c>
      <c r="CU19" s="114">
        <v>0</v>
      </c>
      <c r="CV19" s="114">
        <v>0</v>
      </c>
    </row>
    <row r="20" spans="1:100" customFormat="1" x14ac:dyDescent="0.15">
      <c r="A20" s="193" t="s">
        <v>210</v>
      </c>
      <c r="B20" s="114">
        <v>0</v>
      </c>
      <c r="C20" s="114">
        <v>1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0</v>
      </c>
      <c r="J20" s="114">
        <v>0</v>
      </c>
      <c r="K20" s="114">
        <v>0</v>
      </c>
      <c r="L20" s="114">
        <v>0</v>
      </c>
      <c r="M20" s="114">
        <v>0</v>
      </c>
      <c r="N20" s="114">
        <v>1</v>
      </c>
      <c r="O20" s="114">
        <v>0</v>
      </c>
      <c r="P20" s="114">
        <v>0</v>
      </c>
      <c r="Q20" s="114">
        <v>0</v>
      </c>
      <c r="R20" s="114">
        <v>0</v>
      </c>
      <c r="S20" s="114">
        <v>0</v>
      </c>
      <c r="T20" s="114">
        <v>1</v>
      </c>
      <c r="U20" s="114">
        <v>1</v>
      </c>
      <c r="V20" s="114">
        <v>0</v>
      </c>
      <c r="W20" s="114">
        <v>1</v>
      </c>
      <c r="X20" s="114">
        <v>0</v>
      </c>
      <c r="Y20" s="114">
        <v>0</v>
      </c>
      <c r="Z20" s="114">
        <v>1</v>
      </c>
      <c r="AA20" s="114">
        <v>0</v>
      </c>
      <c r="AB20" s="114">
        <v>1</v>
      </c>
      <c r="AC20" s="114">
        <v>1</v>
      </c>
      <c r="AD20" s="114">
        <v>1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1</v>
      </c>
      <c r="AL20" s="114">
        <v>1</v>
      </c>
      <c r="AM20" s="114">
        <v>0</v>
      </c>
      <c r="AN20" s="114">
        <v>0</v>
      </c>
      <c r="AO20" s="114">
        <v>0</v>
      </c>
      <c r="AP20" s="114">
        <v>0</v>
      </c>
      <c r="AQ20" s="114">
        <v>1</v>
      </c>
      <c r="AR20" s="114">
        <v>0</v>
      </c>
      <c r="AS20" s="114">
        <v>1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1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1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  <c r="CH20" s="114">
        <v>0</v>
      </c>
      <c r="CI20" s="114">
        <v>0</v>
      </c>
      <c r="CJ20" s="114">
        <v>0</v>
      </c>
      <c r="CK20" s="114">
        <v>0</v>
      </c>
      <c r="CL20" s="114">
        <v>0</v>
      </c>
      <c r="CM20" s="114">
        <v>0</v>
      </c>
      <c r="CN20" s="114">
        <v>0</v>
      </c>
      <c r="CO20" s="114">
        <v>0</v>
      </c>
      <c r="CP20" s="114">
        <v>0</v>
      </c>
      <c r="CQ20" s="114">
        <v>0</v>
      </c>
      <c r="CR20" s="114">
        <v>0</v>
      </c>
      <c r="CS20" s="114">
        <v>0</v>
      </c>
      <c r="CT20" s="114">
        <v>0</v>
      </c>
      <c r="CU20" s="114">
        <v>0</v>
      </c>
      <c r="CV20" s="114">
        <v>0</v>
      </c>
    </row>
    <row r="21" spans="1:100" customFormat="1" x14ac:dyDescent="0.15">
      <c r="A21" s="193" t="s">
        <v>211</v>
      </c>
      <c r="B21" s="114">
        <v>0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0</v>
      </c>
      <c r="J21" s="114">
        <v>0</v>
      </c>
      <c r="K21" s="114">
        <v>0</v>
      </c>
      <c r="L21" s="114">
        <v>0</v>
      </c>
      <c r="M21" s="114">
        <v>0</v>
      </c>
      <c r="N21" s="114">
        <v>1</v>
      </c>
      <c r="O21" s="114">
        <v>1</v>
      </c>
      <c r="P21" s="114">
        <v>0</v>
      </c>
      <c r="Q21" s="114">
        <v>0</v>
      </c>
      <c r="R21" s="114">
        <v>0</v>
      </c>
      <c r="S21" s="114">
        <v>0</v>
      </c>
      <c r="T21" s="114">
        <v>1</v>
      </c>
      <c r="U21" s="114">
        <v>1</v>
      </c>
      <c r="V21" s="114">
        <v>1</v>
      </c>
      <c r="W21" s="114">
        <v>1</v>
      </c>
      <c r="X21" s="114">
        <v>0</v>
      </c>
      <c r="Y21" s="114">
        <v>0</v>
      </c>
      <c r="Z21" s="114">
        <v>1</v>
      </c>
      <c r="AA21" s="114">
        <v>0</v>
      </c>
      <c r="AB21" s="114">
        <v>1</v>
      </c>
      <c r="AC21" s="114">
        <v>1</v>
      </c>
      <c r="AD21" s="114">
        <v>1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1</v>
      </c>
      <c r="AL21" s="114">
        <v>1</v>
      </c>
      <c r="AM21" s="114">
        <v>1</v>
      </c>
      <c r="AN21" s="114">
        <v>1</v>
      </c>
      <c r="AO21" s="114">
        <v>0</v>
      </c>
      <c r="AP21" s="114">
        <v>0</v>
      </c>
      <c r="AQ21" s="114">
        <v>1</v>
      </c>
      <c r="AR21" s="114">
        <v>0</v>
      </c>
      <c r="AS21" s="114">
        <v>1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1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1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  <c r="CH21" s="114">
        <v>0</v>
      </c>
      <c r="CI21" s="114">
        <v>0</v>
      </c>
      <c r="CJ21" s="114">
        <v>0</v>
      </c>
      <c r="CK21" s="114">
        <v>0</v>
      </c>
      <c r="CL21" s="114">
        <v>0</v>
      </c>
      <c r="CM21" s="114">
        <v>0</v>
      </c>
      <c r="CN21" s="114">
        <v>0</v>
      </c>
      <c r="CO21" s="114">
        <v>0</v>
      </c>
      <c r="CP21" s="114">
        <v>0</v>
      </c>
      <c r="CQ21" s="114">
        <v>0</v>
      </c>
      <c r="CR21" s="114">
        <v>0</v>
      </c>
      <c r="CS21" s="114">
        <v>0</v>
      </c>
      <c r="CT21" s="114">
        <v>0</v>
      </c>
      <c r="CU21" s="114">
        <v>0</v>
      </c>
      <c r="CV21" s="114">
        <v>0</v>
      </c>
    </row>
    <row r="22" spans="1:100" customFormat="1" x14ac:dyDescent="0.15">
      <c r="A22" s="193" t="s">
        <v>212</v>
      </c>
      <c r="B22" s="114">
        <v>0</v>
      </c>
      <c r="C22" s="114">
        <v>0</v>
      </c>
      <c r="D22" s="114">
        <v>0</v>
      </c>
      <c r="E22" s="114">
        <v>0</v>
      </c>
      <c r="F22" s="114">
        <v>1</v>
      </c>
      <c r="G22" s="114">
        <v>0</v>
      </c>
      <c r="H22" s="114">
        <v>0</v>
      </c>
      <c r="I22" s="114">
        <v>0</v>
      </c>
      <c r="J22" s="114">
        <v>0</v>
      </c>
      <c r="K22" s="114">
        <v>0</v>
      </c>
      <c r="L22" s="114">
        <v>0</v>
      </c>
      <c r="M22" s="114">
        <v>0</v>
      </c>
      <c r="N22" s="114">
        <v>1</v>
      </c>
      <c r="O22" s="114">
        <v>1</v>
      </c>
      <c r="P22" s="114">
        <v>0</v>
      </c>
      <c r="Q22" s="114">
        <v>0</v>
      </c>
      <c r="R22" s="114">
        <v>0</v>
      </c>
      <c r="S22" s="114">
        <v>0</v>
      </c>
      <c r="T22" s="114">
        <v>1</v>
      </c>
      <c r="U22" s="114">
        <v>0</v>
      </c>
      <c r="V22" s="114">
        <v>1</v>
      </c>
      <c r="W22" s="114">
        <v>1</v>
      </c>
      <c r="X22" s="114">
        <v>0</v>
      </c>
      <c r="Y22" s="114">
        <v>0</v>
      </c>
      <c r="Z22" s="114">
        <v>1</v>
      </c>
      <c r="AA22" s="114">
        <v>0</v>
      </c>
      <c r="AB22" s="114">
        <v>1</v>
      </c>
      <c r="AC22" s="114">
        <v>1</v>
      </c>
      <c r="AD22" s="114">
        <v>1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1</v>
      </c>
      <c r="AL22" s="114">
        <v>1</v>
      </c>
      <c r="AM22" s="114">
        <v>1</v>
      </c>
      <c r="AN22" s="114">
        <v>1</v>
      </c>
      <c r="AO22" s="114">
        <v>0</v>
      </c>
      <c r="AP22" s="114">
        <v>0</v>
      </c>
      <c r="AQ22" s="114">
        <v>1</v>
      </c>
      <c r="AR22" s="114">
        <v>0</v>
      </c>
      <c r="AS22" s="114">
        <v>1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0</v>
      </c>
      <c r="AZ22" s="114">
        <v>0</v>
      </c>
      <c r="BA22" s="114">
        <v>1</v>
      </c>
      <c r="BB22" s="114">
        <v>0</v>
      </c>
      <c r="BC22" s="114">
        <v>1</v>
      </c>
      <c r="BD22" s="114">
        <v>0</v>
      </c>
      <c r="BE22" s="114">
        <v>0</v>
      </c>
      <c r="BF22" s="114">
        <v>0</v>
      </c>
      <c r="BG22" s="114">
        <v>1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  <c r="CH22" s="114">
        <v>0</v>
      </c>
      <c r="CI22" s="114">
        <v>0</v>
      </c>
      <c r="CJ22" s="114">
        <v>0</v>
      </c>
      <c r="CK22" s="114">
        <v>0</v>
      </c>
      <c r="CL22" s="114">
        <v>0</v>
      </c>
      <c r="CM22" s="114">
        <v>0</v>
      </c>
      <c r="CN22" s="114">
        <v>0</v>
      </c>
      <c r="CO22" s="114">
        <v>0</v>
      </c>
      <c r="CP22" s="114">
        <v>0</v>
      </c>
      <c r="CQ22" s="114">
        <v>0</v>
      </c>
      <c r="CR22" s="114">
        <v>0</v>
      </c>
      <c r="CS22" s="114">
        <v>0</v>
      </c>
      <c r="CT22" s="114">
        <v>0</v>
      </c>
      <c r="CU22" s="114">
        <v>0</v>
      </c>
      <c r="CV22" s="114">
        <v>0</v>
      </c>
    </row>
    <row r="23" spans="1:100" customFormat="1" x14ac:dyDescent="0.15">
      <c r="A23" s="193" t="s">
        <v>213</v>
      </c>
      <c r="B23" s="114">
        <v>0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0</v>
      </c>
      <c r="L23" s="114">
        <v>0</v>
      </c>
      <c r="M23" s="114">
        <v>0</v>
      </c>
      <c r="N23" s="114">
        <v>1</v>
      </c>
      <c r="O23" s="114">
        <v>0</v>
      </c>
      <c r="P23" s="114">
        <v>0</v>
      </c>
      <c r="Q23" s="114">
        <v>0</v>
      </c>
      <c r="R23" s="114">
        <v>0</v>
      </c>
      <c r="S23" s="114">
        <v>0</v>
      </c>
      <c r="T23" s="114">
        <v>0</v>
      </c>
      <c r="U23" s="114">
        <v>0</v>
      </c>
      <c r="V23" s="114">
        <v>0</v>
      </c>
      <c r="W23" s="114">
        <v>1</v>
      </c>
      <c r="X23" s="114">
        <v>0</v>
      </c>
      <c r="Y23" s="114">
        <v>0</v>
      </c>
      <c r="Z23" s="114">
        <v>1</v>
      </c>
      <c r="AA23" s="114">
        <v>0</v>
      </c>
      <c r="AB23" s="114">
        <v>1</v>
      </c>
      <c r="AC23" s="114">
        <v>1</v>
      </c>
      <c r="AD23" s="114">
        <v>0</v>
      </c>
      <c r="AE23" s="114">
        <v>0</v>
      </c>
      <c r="AF23" s="114">
        <v>0</v>
      </c>
      <c r="AG23" s="114">
        <v>0</v>
      </c>
      <c r="AH23" s="114">
        <v>0</v>
      </c>
      <c r="AI23" s="114">
        <v>0</v>
      </c>
      <c r="AJ23" s="114">
        <v>0</v>
      </c>
      <c r="AK23" s="114">
        <v>1</v>
      </c>
      <c r="AL23" s="114">
        <v>1</v>
      </c>
      <c r="AM23" s="114">
        <v>1</v>
      </c>
      <c r="AN23" s="114">
        <v>0</v>
      </c>
      <c r="AO23" s="114">
        <v>0</v>
      </c>
      <c r="AP23" s="114">
        <v>0</v>
      </c>
      <c r="AQ23" s="114">
        <v>1</v>
      </c>
      <c r="AR23" s="114">
        <v>0</v>
      </c>
      <c r="AS23" s="114">
        <v>1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1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1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0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  <c r="CH23" s="114">
        <v>0</v>
      </c>
      <c r="CI23" s="114">
        <v>0</v>
      </c>
      <c r="CJ23" s="114">
        <v>0</v>
      </c>
      <c r="CK23" s="114">
        <v>0</v>
      </c>
      <c r="CL23" s="114">
        <v>0</v>
      </c>
      <c r="CM23" s="114">
        <v>0</v>
      </c>
      <c r="CN23" s="114">
        <v>0</v>
      </c>
      <c r="CO23" s="114">
        <v>0</v>
      </c>
      <c r="CP23" s="114">
        <v>0</v>
      </c>
      <c r="CQ23" s="114">
        <v>0</v>
      </c>
      <c r="CR23" s="114">
        <v>0</v>
      </c>
      <c r="CS23" s="114">
        <v>0</v>
      </c>
      <c r="CT23" s="114">
        <v>0</v>
      </c>
      <c r="CU23" s="114">
        <v>0</v>
      </c>
      <c r="CV23" s="114">
        <v>0</v>
      </c>
    </row>
    <row r="24" spans="1:100" customFormat="1" x14ac:dyDescent="0.15">
      <c r="A24" s="193" t="s">
        <v>214</v>
      </c>
      <c r="B24" s="114">
        <v>0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0</v>
      </c>
      <c r="L24" s="114">
        <v>0</v>
      </c>
      <c r="M24" s="114">
        <v>0</v>
      </c>
      <c r="N24" s="114">
        <v>0</v>
      </c>
      <c r="O24" s="114">
        <v>0</v>
      </c>
      <c r="P24" s="114">
        <v>0</v>
      </c>
      <c r="Q24" s="114">
        <v>0</v>
      </c>
      <c r="R24" s="114">
        <v>0</v>
      </c>
      <c r="S24" s="114">
        <v>0</v>
      </c>
      <c r="T24" s="114">
        <v>0</v>
      </c>
      <c r="U24" s="114">
        <v>0</v>
      </c>
      <c r="V24" s="114">
        <v>0</v>
      </c>
      <c r="W24" s="114">
        <v>0</v>
      </c>
      <c r="X24" s="114">
        <v>0</v>
      </c>
      <c r="Y24" s="114">
        <v>0</v>
      </c>
      <c r="Z24" s="114">
        <v>0</v>
      </c>
      <c r="AA24" s="114">
        <v>0</v>
      </c>
      <c r="AB24" s="114">
        <v>0</v>
      </c>
      <c r="AC24" s="114">
        <v>1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1</v>
      </c>
      <c r="AR24" s="114">
        <v>0</v>
      </c>
      <c r="AS24" s="114">
        <v>0</v>
      </c>
      <c r="AT24" s="114">
        <v>0</v>
      </c>
      <c r="AU24" s="114">
        <v>0</v>
      </c>
      <c r="AV24" s="114">
        <v>0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0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  <c r="CH24" s="114">
        <v>0</v>
      </c>
      <c r="CI24" s="114">
        <v>0</v>
      </c>
      <c r="CJ24" s="114">
        <v>0</v>
      </c>
      <c r="CK24" s="114">
        <v>0</v>
      </c>
      <c r="CL24" s="114">
        <v>0</v>
      </c>
      <c r="CM24" s="114">
        <v>0</v>
      </c>
      <c r="CN24" s="114">
        <v>0</v>
      </c>
      <c r="CO24" s="114">
        <v>0</v>
      </c>
      <c r="CP24" s="114">
        <v>0</v>
      </c>
      <c r="CQ24" s="114">
        <v>0</v>
      </c>
      <c r="CR24" s="114">
        <v>0</v>
      </c>
      <c r="CS24" s="114">
        <v>0</v>
      </c>
      <c r="CT24" s="114">
        <v>0</v>
      </c>
      <c r="CU24" s="114">
        <v>0</v>
      </c>
      <c r="CV24" s="114">
        <v>0</v>
      </c>
    </row>
    <row r="25" spans="1:100" customFormat="1" x14ac:dyDescent="0.15">
      <c r="A25" s="193" t="s">
        <v>215</v>
      </c>
      <c r="B25" s="114">
        <v>0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0</v>
      </c>
      <c r="N25" s="114">
        <v>1</v>
      </c>
      <c r="O25" s="114">
        <v>1</v>
      </c>
      <c r="P25" s="114">
        <v>0</v>
      </c>
      <c r="Q25" s="114">
        <v>1</v>
      </c>
      <c r="R25" s="114">
        <v>1</v>
      </c>
      <c r="S25" s="114">
        <v>0</v>
      </c>
      <c r="T25" s="114">
        <v>0</v>
      </c>
      <c r="U25" s="114">
        <v>0</v>
      </c>
      <c r="V25" s="114">
        <v>0</v>
      </c>
      <c r="W25" s="114">
        <v>0</v>
      </c>
      <c r="X25" s="114">
        <v>0</v>
      </c>
      <c r="Y25" s="114">
        <v>0</v>
      </c>
      <c r="Z25" s="114">
        <v>0</v>
      </c>
      <c r="AA25" s="114">
        <v>0</v>
      </c>
      <c r="AB25" s="114">
        <v>0</v>
      </c>
      <c r="AC25" s="114">
        <v>0</v>
      </c>
      <c r="AD25" s="114">
        <v>0</v>
      </c>
      <c r="AE25" s="114">
        <v>0</v>
      </c>
      <c r="AF25" s="114">
        <v>0</v>
      </c>
      <c r="AG25" s="114">
        <v>0</v>
      </c>
      <c r="AH25" s="114">
        <v>1</v>
      </c>
      <c r="AI25" s="114">
        <v>1</v>
      </c>
      <c r="AJ25" s="114">
        <v>0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1</v>
      </c>
      <c r="AR25" s="114">
        <v>1</v>
      </c>
      <c r="AS25" s="114">
        <v>1</v>
      </c>
      <c r="AT25" s="114">
        <v>1</v>
      </c>
      <c r="AU25" s="114">
        <v>1</v>
      </c>
      <c r="AV25" s="114">
        <v>0</v>
      </c>
      <c r="AW25" s="114">
        <v>0</v>
      </c>
      <c r="AX25" s="114">
        <v>0</v>
      </c>
      <c r="AY25" s="114">
        <v>1</v>
      </c>
      <c r="AZ25" s="114">
        <v>1</v>
      </c>
      <c r="BA25" s="114">
        <v>1</v>
      </c>
      <c r="BB25" s="114">
        <v>1</v>
      </c>
      <c r="BC25" s="114">
        <v>1</v>
      </c>
      <c r="BD25" s="114">
        <v>1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1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0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  <c r="CH25" s="114">
        <v>0</v>
      </c>
      <c r="CI25" s="114">
        <v>0</v>
      </c>
      <c r="CJ25" s="114">
        <v>0</v>
      </c>
      <c r="CK25" s="114">
        <v>0</v>
      </c>
      <c r="CL25" s="114">
        <v>0</v>
      </c>
      <c r="CM25" s="114">
        <v>0</v>
      </c>
      <c r="CN25" s="114">
        <v>0</v>
      </c>
      <c r="CO25" s="114">
        <v>0</v>
      </c>
      <c r="CP25" s="114">
        <v>0</v>
      </c>
      <c r="CQ25" s="114">
        <v>0</v>
      </c>
      <c r="CR25" s="114">
        <v>0</v>
      </c>
      <c r="CS25" s="114">
        <v>0</v>
      </c>
      <c r="CT25" s="114">
        <v>0</v>
      </c>
      <c r="CU25" s="114">
        <v>0</v>
      </c>
      <c r="CV25" s="114">
        <v>0</v>
      </c>
    </row>
    <row r="26" spans="1:100" customFormat="1" x14ac:dyDescent="0.15">
      <c r="A26" s="193" t="s">
        <v>216</v>
      </c>
      <c r="B26" s="114">
        <v>0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0</v>
      </c>
      <c r="M26" s="114">
        <v>0</v>
      </c>
      <c r="N26" s="114">
        <v>0</v>
      </c>
      <c r="O26" s="114">
        <v>0</v>
      </c>
      <c r="P26" s="114">
        <v>0</v>
      </c>
      <c r="Q26" s="114">
        <v>0</v>
      </c>
      <c r="R26" s="114">
        <v>0</v>
      </c>
      <c r="S26" s="114">
        <v>0</v>
      </c>
      <c r="T26" s="114">
        <v>0</v>
      </c>
      <c r="U26" s="114">
        <v>0</v>
      </c>
      <c r="V26" s="114">
        <v>0</v>
      </c>
      <c r="W26" s="114">
        <v>0</v>
      </c>
      <c r="X26" s="114">
        <v>0</v>
      </c>
      <c r="Y26" s="114">
        <v>0</v>
      </c>
      <c r="Z26" s="114">
        <v>1</v>
      </c>
      <c r="AA26" s="114">
        <v>0</v>
      </c>
      <c r="AB26" s="114">
        <v>0</v>
      </c>
      <c r="AC26" s="114">
        <v>0</v>
      </c>
      <c r="AD26" s="114">
        <v>0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1</v>
      </c>
      <c r="AL26" s="114">
        <v>0</v>
      </c>
      <c r="AM26" s="114">
        <v>0</v>
      </c>
      <c r="AN26" s="114">
        <v>0</v>
      </c>
      <c r="AO26" s="114">
        <v>0</v>
      </c>
      <c r="AP26" s="114">
        <v>0</v>
      </c>
      <c r="AQ26" s="114">
        <v>1</v>
      </c>
      <c r="AR26" s="114">
        <v>0</v>
      </c>
      <c r="AS26" s="114">
        <v>1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0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  <c r="CH26" s="114">
        <v>0</v>
      </c>
      <c r="CI26" s="114">
        <v>0</v>
      </c>
      <c r="CJ26" s="114">
        <v>0</v>
      </c>
      <c r="CK26" s="114">
        <v>0</v>
      </c>
      <c r="CL26" s="114">
        <v>0</v>
      </c>
      <c r="CM26" s="114">
        <v>0</v>
      </c>
      <c r="CN26" s="114">
        <v>0</v>
      </c>
      <c r="CO26" s="114">
        <v>0</v>
      </c>
      <c r="CP26" s="114">
        <v>0</v>
      </c>
      <c r="CQ26" s="114">
        <v>0</v>
      </c>
      <c r="CR26" s="114">
        <v>0</v>
      </c>
      <c r="CS26" s="114">
        <v>0</v>
      </c>
      <c r="CT26" s="114">
        <v>0</v>
      </c>
      <c r="CU26" s="114">
        <v>0</v>
      </c>
      <c r="CV26" s="114">
        <v>0</v>
      </c>
    </row>
    <row r="27" spans="1:100" customFormat="1" x14ac:dyDescent="0.15">
      <c r="A27" s="193" t="s">
        <v>217</v>
      </c>
      <c r="B27" s="114">
        <v>0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0</v>
      </c>
      <c r="O27" s="114">
        <v>0</v>
      </c>
      <c r="P27" s="114">
        <v>0</v>
      </c>
      <c r="Q27" s="114">
        <v>0</v>
      </c>
      <c r="R27" s="114">
        <v>0</v>
      </c>
      <c r="S27" s="114">
        <v>0</v>
      </c>
      <c r="T27" s="114">
        <v>0</v>
      </c>
      <c r="U27" s="114">
        <v>1</v>
      </c>
      <c r="V27" s="114">
        <v>0</v>
      </c>
      <c r="W27" s="114">
        <v>0</v>
      </c>
      <c r="X27" s="114">
        <v>0</v>
      </c>
      <c r="Y27" s="114">
        <v>0</v>
      </c>
      <c r="Z27" s="114">
        <v>1</v>
      </c>
      <c r="AA27" s="114">
        <v>0</v>
      </c>
      <c r="AB27" s="114">
        <v>1</v>
      </c>
      <c r="AC27" s="114">
        <v>1</v>
      </c>
      <c r="AD27" s="114">
        <v>0</v>
      </c>
      <c r="AE27" s="114">
        <v>0</v>
      </c>
      <c r="AF27" s="114">
        <v>0</v>
      </c>
      <c r="AG27" s="114">
        <v>0</v>
      </c>
      <c r="AH27" s="114">
        <v>0</v>
      </c>
      <c r="AI27" s="114">
        <v>0</v>
      </c>
      <c r="AJ27" s="114">
        <v>0</v>
      </c>
      <c r="AK27" s="114">
        <v>1</v>
      </c>
      <c r="AL27" s="114">
        <v>0</v>
      </c>
      <c r="AM27" s="114">
        <v>0</v>
      </c>
      <c r="AN27" s="114">
        <v>1</v>
      </c>
      <c r="AO27" s="114">
        <v>1</v>
      </c>
      <c r="AP27" s="114">
        <v>1</v>
      </c>
      <c r="AQ27" s="114">
        <v>1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0</v>
      </c>
      <c r="AX27" s="114">
        <v>0</v>
      </c>
      <c r="AY27" s="114">
        <v>0</v>
      </c>
      <c r="AZ27" s="114">
        <v>0</v>
      </c>
      <c r="BA27" s="114">
        <v>1</v>
      </c>
      <c r="BB27" s="114">
        <v>1</v>
      </c>
      <c r="BC27" s="114">
        <v>1</v>
      </c>
      <c r="BD27" s="114">
        <v>1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0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0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  <c r="CH27" s="114">
        <v>0</v>
      </c>
      <c r="CI27" s="114">
        <v>0</v>
      </c>
      <c r="CJ27" s="114">
        <v>0</v>
      </c>
      <c r="CK27" s="114">
        <v>0</v>
      </c>
      <c r="CL27" s="114">
        <v>0</v>
      </c>
      <c r="CM27" s="114">
        <v>0</v>
      </c>
      <c r="CN27" s="114">
        <v>0</v>
      </c>
      <c r="CO27" s="114">
        <v>0</v>
      </c>
      <c r="CP27" s="114">
        <v>0</v>
      </c>
      <c r="CQ27" s="114">
        <v>0</v>
      </c>
      <c r="CR27" s="114">
        <v>0</v>
      </c>
      <c r="CS27" s="114">
        <v>0</v>
      </c>
      <c r="CT27" s="114">
        <v>0</v>
      </c>
      <c r="CU27" s="114">
        <v>0</v>
      </c>
      <c r="CV27" s="114">
        <v>0</v>
      </c>
    </row>
    <row r="28" spans="1:100" customFormat="1" x14ac:dyDescent="0.15">
      <c r="A28" s="193" t="s">
        <v>218</v>
      </c>
      <c r="B28" s="114">
        <v>0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0</v>
      </c>
      <c r="O28" s="114">
        <v>0</v>
      </c>
      <c r="P28" s="114">
        <v>0</v>
      </c>
      <c r="Q28" s="114">
        <v>0</v>
      </c>
      <c r="R28" s="114">
        <v>0</v>
      </c>
      <c r="S28" s="114">
        <v>0</v>
      </c>
      <c r="T28" s="114">
        <v>0</v>
      </c>
      <c r="U28" s="114">
        <v>0</v>
      </c>
      <c r="V28" s="114">
        <v>0</v>
      </c>
      <c r="W28" s="114">
        <v>0</v>
      </c>
      <c r="X28" s="114">
        <v>0</v>
      </c>
      <c r="Y28" s="114">
        <v>0</v>
      </c>
      <c r="Z28" s="114">
        <v>1</v>
      </c>
      <c r="AA28" s="114">
        <v>1</v>
      </c>
      <c r="AB28" s="114">
        <v>0</v>
      </c>
      <c r="AC28" s="114">
        <v>1</v>
      </c>
      <c r="AD28" s="114">
        <v>0</v>
      </c>
      <c r="AE28" s="114">
        <v>0</v>
      </c>
      <c r="AF28" s="114">
        <v>0</v>
      </c>
      <c r="AG28" s="114">
        <v>0</v>
      </c>
      <c r="AH28" s="114">
        <v>0</v>
      </c>
      <c r="AI28" s="114">
        <v>0</v>
      </c>
      <c r="AJ28" s="114">
        <v>0</v>
      </c>
      <c r="AK28" s="114">
        <v>1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1</v>
      </c>
      <c r="AR28" s="114">
        <v>0</v>
      </c>
      <c r="AS28" s="114">
        <v>1</v>
      </c>
      <c r="AT28" s="114">
        <v>0</v>
      </c>
      <c r="AU28" s="114">
        <v>0</v>
      </c>
      <c r="AV28" s="114">
        <v>0</v>
      </c>
      <c r="AW28" s="114">
        <v>0</v>
      </c>
      <c r="AX28" s="114">
        <v>0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0</v>
      </c>
      <c r="BE28" s="114">
        <v>0</v>
      </c>
      <c r="BF28" s="114">
        <v>0</v>
      </c>
      <c r="BG28" s="114">
        <v>1</v>
      </c>
      <c r="BH28" s="114">
        <v>0</v>
      </c>
      <c r="BI28" s="114">
        <v>0</v>
      </c>
      <c r="BJ28" s="114">
        <v>0</v>
      </c>
      <c r="BK28" s="114">
        <v>0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0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0</v>
      </c>
      <c r="CF28" s="114">
        <v>0</v>
      </c>
      <c r="CG28" s="114">
        <v>0</v>
      </c>
      <c r="CH28" s="114">
        <v>0</v>
      </c>
      <c r="CI28" s="114">
        <v>0</v>
      </c>
      <c r="CJ28" s="114">
        <v>0</v>
      </c>
      <c r="CK28" s="114">
        <v>0</v>
      </c>
      <c r="CL28" s="114">
        <v>0</v>
      </c>
      <c r="CM28" s="114">
        <v>0</v>
      </c>
      <c r="CN28" s="114">
        <v>0</v>
      </c>
      <c r="CO28" s="114">
        <v>0</v>
      </c>
      <c r="CP28" s="114">
        <v>0</v>
      </c>
      <c r="CQ28" s="114">
        <v>0</v>
      </c>
      <c r="CR28" s="114">
        <v>0</v>
      </c>
      <c r="CS28" s="114">
        <v>0</v>
      </c>
      <c r="CT28" s="114">
        <v>0</v>
      </c>
      <c r="CU28" s="114">
        <v>0</v>
      </c>
      <c r="CV28" s="114">
        <v>0</v>
      </c>
    </row>
    <row r="29" spans="1:100" customFormat="1" x14ac:dyDescent="0.15">
      <c r="A29" s="193" t="s">
        <v>219</v>
      </c>
      <c r="B29" s="114">
        <v>0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0</v>
      </c>
      <c r="Q29" s="114">
        <v>0</v>
      </c>
      <c r="R29" s="114">
        <v>0</v>
      </c>
      <c r="S29" s="114">
        <v>0</v>
      </c>
      <c r="T29" s="114">
        <v>0</v>
      </c>
      <c r="U29" s="114">
        <v>1</v>
      </c>
      <c r="V29" s="114">
        <v>0</v>
      </c>
      <c r="W29" s="114">
        <v>0</v>
      </c>
      <c r="X29" s="114">
        <v>0</v>
      </c>
      <c r="Y29" s="114">
        <v>0</v>
      </c>
      <c r="Z29" s="114">
        <v>1</v>
      </c>
      <c r="AA29" s="114">
        <v>1</v>
      </c>
      <c r="AB29" s="114">
        <v>1</v>
      </c>
      <c r="AC29" s="114">
        <v>1</v>
      </c>
      <c r="AD29" s="114">
        <v>0</v>
      </c>
      <c r="AE29" s="114">
        <v>0</v>
      </c>
      <c r="AF29" s="114">
        <v>0</v>
      </c>
      <c r="AG29" s="114">
        <v>0</v>
      </c>
      <c r="AH29" s="114">
        <v>0</v>
      </c>
      <c r="AI29" s="114">
        <v>0</v>
      </c>
      <c r="AJ29" s="114">
        <v>0</v>
      </c>
      <c r="AK29" s="114">
        <v>1</v>
      </c>
      <c r="AL29" s="114">
        <v>0</v>
      </c>
      <c r="AM29" s="114">
        <v>0</v>
      </c>
      <c r="AN29" s="114">
        <v>1</v>
      </c>
      <c r="AO29" s="114">
        <v>1</v>
      </c>
      <c r="AP29" s="114">
        <v>1</v>
      </c>
      <c r="AQ29" s="114">
        <v>0</v>
      </c>
      <c r="AR29" s="114">
        <v>1</v>
      </c>
      <c r="AS29" s="114">
        <v>0</v>
      </c>
      <c r="AT29" s="114">
        <v>0</v>
      </c>
      <c r="AU29" s="114">
        <v>0</v>
      </c>
      <c r="AV29" s="114">
        <v>0</v>
      </c>
      <c r="AW29" s="114">
        <v>0</v>
      </c>
      <c r="AX29" s="114">
        <v>0</v>
      </c>
      <c r="AY29" s="114">
        <v>0</v>
      </c>
      <c r="AZ29" s="114">
        <v>0</v>
      </c>
      <c r="BA29" s="114">
        <v>1</v>
      </c>
      <c r="BB29" s="114">
        <v>1</v>
      </c>
      <c r="BC29" s="114">
        <v>1</v>
      </c>
      <c r="BD29" s="114">
        <v>1</v>
      </c>
      <c r="BE29" s="114">
        <v>0</v>
      </c>
      <c r="BF29" s="114">
        <v>0</v>
      </c>
      <c r="BG29" s="114">
        <v>1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0</v>
      </c>
      <c r="BS29" s="114">
        <v>0</v>
      </c>
      <c r="BT29" s="114">
        <v>0</v>
      </c>
      <c r="BU29" s="114">
        <v>0</v>
      </c>
      <c r="BV29" s="114">
        <v>0</v>
      </c>
      <c r="BW29" s="114">
        <v>0</v>
      </c>
      <c r="BX29" s="114">
        <v>0</v>
      </c>
      <c r="BY29" s="114">
        <v>0</v>
      </c>
      <c r="BZ29" s="114">
        <v>0</v>
      </c>
      <c r="CA29" s="114">
        <v>0</v>
      </c>
      <c r="CB29" s="114">
        <v>0</v>
      </c>
      <c r="CC29" s="114">
        <v>0</v>
      </c>
      <c r="CD29" s="114">
        <v>0</v>
      </c>
      <c r="CE29" s="114">
        <v>0</v>
      </c>
      <c r="CF29" s="114">
        <v>0</v>
      </c>
      <c r="CG29" s="114">
        <v>0</v>
      </c>
      <c r="CH29" s="114">
        <v>0</v>
      </c>
      <c r="CI29" s="114">
        <v>0</v>
      </c>
      <c r="CJ29" s="114">
        <v>0</v>
      </c>
      <c r="CK29" s="114">
        <v>0</v>
      </c>
      <c r="CL29" s="114">
        <v>0</v>
      </c>
      <c r="CM29" s="114">
        <v>0</v>
      </c>
      <c r="CN29" s="114">
        <v>0</v>
      </c>
      <c r="CO29" s="114">
        <v>0</v>
      </c>
      <c r="CP29" s="114">
        <v>0</v>
      </c>
      <c r="CQ29" s="114">
        <v>0</v>
      </c>
      <c r="CR29" s="114">
        <v>0</v>
      </c>
      <c r="CS29" s="114">
        <v>0</v>
      </c>
      <c r="CT29" s="114">
        <v>0</v>
      </c>
      <c r="CU29" s="114">
        <v>0</v>
      </c>
      <c r="CV29" s="114">
        <v>0</v>
      </c>
    </row>
    <row r="30" spans="1:100" customFormat="1" x14ac:dyDescent="0.15">
      <c r="A30" s="193" t="s">
        <v>220</v>
      </c>
      <c r="B30" s="114">
        <v>0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0</v>
      </c>
      <c r="P30" s="114">
        <v>0</v>
      </c>
      <c r="Q30" s="114">
        <v>0</v>
      </c>
      <c r="R30" s="114">
        <v>0</v>
      </c>
      <c r="S30" s="114">
        <v>0</v>
      </c>
      <c r="T30" s="114">
        <v>0</v>
      </c>
      <c r="U30" s="114">
        <v>0</v>
      </c>
      <c r="V30" s="114">
        <v>0</v>
      </c>
      <c r="W30" s="114">
        <v>0</v>
      </c>
      <c r="X30" s="114">
        <v>0</v>
      </c>
      <c r="Y30" s="114">
        <v>0</v>
      </c>
      <c r="Z30" s="114">
        <v>1</v>
      </c>
      <c r="AA30" s="114">
        <v>0</v>
      </c>
      <c r="AB30" s="114">
        <v>0</v>
      </c>
      <c r="AC30" s="114">
        <v>0</v>
      </c>
      <c r="AD30" s="114">
        <v>0</v>
      </c>
      <c r="AE30" s="114">
        <v>0</v>
      </c>
      <c r="AF30" s="114">
        <v>0</v>
      </c>
      <c r="AG30" s="114">
        <v>0</v>
      </c>
      <c r="AH30" s="114">
        <v>0</v>
      </c>
      <c r="AI30" s="114">
        <v>0</v>
      </c>
      <c r="AJ30" s="114">
        <v>0</v>
      </c>
      <c r="AK30" s="114">
        <v>0</v>
      </c>
      <c r="AL30" s="114">
        <v>0</v>
      </c>
      <c r="AM30" s="114">
        <v>0</v>
      </c>
      <c r="AN30" s="114">
        <v>0</v>
      </c>
      <c r="AO30" s="114">
        <v>0</v>
      </c>
      <c r="AP30" s="114">
        <v>0</v>
      </c>
      <c r="AQ30" s="114">
        <v>0</v>
      </c>
      <c r="AR30" s="114">
        <v>0</v>
      </c>
      <c r="AS30" s="114">
        <v>0</v>
      </c>
      <c r="AT30" s="114">
        <v>0</v>
      </c>
      <c r="AU30" s="114">
        <v>0</v>
      </c>
      <c r="AV30" s="114">
        <v>0</v>
      </c>
      <c r="AW30" s="114">
        <v>0</v>
      </c>
      <c r="AX30" s="114">
        <v>0</v>
      </c>
      <c r="AY30" s="114">
        <v>0</v>
      </c>
      <c r="AZ30" s="114">
        <v>0</v>
      </c>
      <c r="BA30" s="114">
        <v>0</v>
      </c>
      <c r="BB30" s="114">
        <v>0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0</v>
      </c>
      <c r="BJ30" s="114">
        <v>0</v>
      </c>
      <c r="BK30" s="114">
        <v>0</v>
      </c>
      <c r="BL30" s="114">
        <v>0</v>
      </c>
      <c r="BM30" s="114">
        <v>0</v>
      </c>
      <c r="BN30" s="114">
        <v>0</v>
      </c>
      <c r="BO30" s="114">
        <v>0</v>
      </c>
      <c r="BP30" s="114">
        <v>0</v>
      </c>
      <c r="BQ30" s="114">
        <v>0</v>
      </c>
      <c r="BR30" s="114">
        <v>0</v>
      </c>
      <c r="BS30" s="114">
        <v>0</v>
      </c>
      <c r="BT30" s="114">
        <v>0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0</v>
      </c>
      <c r="CB30" s="114">
        <v>0</v>
      </c>
      <c r="CC30" s="114">
        <v>0</v>
      </c>
      <c r="CD30" s="114">
        <v>0</v>
      </c>
      <c r="CE30" s="114">
        <v>0</v>
      </c>
      <c r="CF30" s="114">
        <v>0</v>
      </c>
      <c r="CG30" s="114">
        <v>0</v>
      </c>
      <c r="CH30" s="114">
        <v>0</v>
      </c>
      <c r="CI30" s="114">
        <v>0</v>
      </c>
      <c r="CJ30" s="114">
        <v>0</v>
      </c>
      <c r="CK30" s="114">
        <v>0</v>
      </c>
      <c r="CL30" s="114">
        <v>0</v>
      </c>
      <c r="CM30" s="114">
        <v>0</v>
      </c>
      <c r="CN30" s="114">
        <v>0</v>
      </c>
      <c r="CO30" s="114">
        <v>0</v>
      </c>
      <c r="CP30" s="114">
        <v>0</v>
      </c>
      <c r="CQ30" s="114">
        <v>0</v>
      </c>
      <c r="CR30" s="114">
        <v>0</v>
      </c>
      <c r="CS30" s="114">
        <v>0</v>
      </c>
      <c r="CT30" s="114">
        <v>0</v>
      </c>
      <c r="CU30" s="114">
        <v>0</v>
      </c>
      <c r="CV30" s="114">
        <v>0</v>
      </c>
    </row>
    <row r="31" spans="1:100" customFormat="1" x14ac:dyDescent="0.15">
      <c r="A31" s="193" t="s">
        <v>221</v>
      </c>
      <c r="B31" s="114">
        <v>0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0</v>
      </c>
      <c r="N31" s="114">
        <v>0</v>
      </c>
      <c r="O31" s="114">
        <v>0</v>
      </c>
      <c r="P31" s="114">
        <v>0</v>
      </c>
      <c r="Q31" s="114">
        <v>0</v>
      </c>
      <c r="R31" s="114">
        <v>0</v>
      </c>
      <c r="S31" s="114">
        <v>0</v>
      </c>
      <c r="T31" s="114">
        <v>0</v>
      </c>
      <c r="U31" s="114">
        <v>0</v>
      </c>
      <c r="V31" s="114">
        <v>0</v>
      </c>
      <c r="W31" s="114">
        <v>0</v>
      </c>
      <c r="X31" s="114">
        <v>0</v>
      </c>
      <c r="Y31" s="114">
        <v>0</v>
      </c>
      <c r="Z31" s="114">
        <v>1</v>
      </c>
      <c r="AA31" s="114">
        <v>0</v>
      </c>
      <c r="AB31" s="114">
        <v>0</v>
      </c>
      <c r="AC31" s="114">
        <v>0</v>
      </c>
      <c r="AD31" s="114">
        <v>0</v>
      </c>
      <c r="AE31" s="114">
        <v>0</v>
      </c>
      <c r="AF31" s="114">
        <v>0</v>
      </c>
      <c r="AG31" s="114">
        <v>0</v>
      </c>
      <c r="AH31" s="114">
        <v>0</v>
      </c>
      <c r="AI31" s="114">
        <v>0</v>
      </c>
      <c r="AJ31" s="114">
        <v>0</v>
      </c>
      <c r="AK31" s="114">
        <v>0</v>
      </c>
      <c r="AL31" s="114">
        <v>0</v>
      </c>
      <c r="AM31" s="114">
        <v>0</v>
      </c>
      <c r="AN31" s="114">
        <v>0</v>
      </c>
      <c r="AO31" s="114">
        <v>0</v>
      </c>
      <c r="AP31" s="114">
        <v>0</v>
      </c>
      <c r="AQ31" s="114">
        <v>0</v>
      </c>
      <c r="AR31" s="114">
        <v>0</v>
      </c>
      <c r="AS31" s="114">
        <v>0</v>
      </c>
      <c r="AT31" s="114">
        <v>0</v>
      </c>
      <c r="AU31" s="114">
        <v>0</v>
      </c>
      <c r="AV31" s="114">
        <v>0</v>
      </c>
      <c r="AW31" s="114">
        <v>0</v>
      </c>
      <c r="AX31" s="114">
        <v>0</v>
      </c>
      <c r="AY31" s="114">
        <v>0</v>
      </c>
      <c r="AZ31" s="114">
        <v>0</v>
      </c>
      <c r="BA31" s="114">
        <v>0</v>
      </c>
      <c r="BB31" s="114">
        <v>0</v>
      </c>
      <c r="BC31" s="114">
        <v>0</v>
      </c>
      <c r="BD31" s="114">
        <v>0</v>
      </c>
      <c r="BE31" s="114">
        <v>0</v>
      </c>
      <c r="BF31" s="114">
        <v>0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0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0</v>
      </c>
      <c r="BW31" s="114">
        <v>0</v>
      </c>
      <c r="BX31" s="114">
        <v>0</v>
      </c>
      <c r="BY31" s="114">
        <v>0</v>
      </c>
      <c r="BZ31" s="114">
        <v>0</v>
      </c>
      <c r="CA31" s="114">
        <v>0</v>
      </c>
      <c r="CB31" s="114">
        <v>0</v>
      </c>
      <c r="CC31" s="114">
        <v>0</v>
      </c>
      <c r="CD31" s="114">
        <v>0</v>
      </c>
      <c r="CE31" s="114">
        <v>0</v>
      </c>
      <c r="CF31" s="114">
        <v>0</v>
      </c>
      <c r="CG31" s="114">
        <v>0</v>
      </c>
      <c r="CH31" s="114">
        <v>0</v>
      </c>
      <c r="CI31" s="114">
        <v>0</v>
      </c>
      <c r="CJ31" s="114">
        <v>0</v>
      </c>
      <c r="CK31" s="114">
        <v>0</v>
      </c>
      <c r="CL31" s="114">
        <v>0</v>
      </c>
      <c r="CM31" s="114">
        <v>0</v>
      </c>
      <c r="CN31" s="114">
        <v>0</v>
      </c>
      <c r="CO31" s="114">
        <v>0</v>
      </c>
      <c r="CP31" s="114">
        <v>0</v>
      </c>
      <c r="CQ31" s="114">
        <v>0</v>
      </c>
      <c r="CR31" s="114">
        <v>0</v>
      </c>
      <c r="CS31" s="114">
        <v>0</v>
      </c>
      <c r="CT31" s="114">
        <v>0</v>
      </c>
      <c r="CU31" s="114">
        <v>0</v>
      </c>
      <c r="CV31" s="114">
        <v>0</v>
      </c>
    </row>
    <row r="32" spans="1:100" x14ac:dyDescent="0.15">
      <c r="A32" s="193" t="s">
        <v>222</v>
      </c>
      <c r="B32" s="114">
        <v>0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0</v>
      </c>
      <c r="O32" s="114">
        <v>0</v>
      </c>
      <c r="P32" s="114">
        <v>0</v>
      </c>
      <c r="Q32" s="114">
        <v>0</v>
      </c>
      <c r="R32" s="114">
        <v>0</v>
      </c>
      <c r="S32" s="114">
        <v>0</v>
      </c>
      <c r="T32" s="114">
        <v>0</v>
      </c>
      <c r="U32" s="114">
        <v>0</v>
      </c>
      <c r="V32" s="114">
        <v>0</v>
      </c>
      <c r="W32" s="114">
        <v>0</v>
      </c>
      <c r="X32" s="114">
        <v>0</v>
      </c>
      <c r="Y32" s="114">
        <v>0</v>
      </c>
      <c r="Z32" s="114">
        <v>1</v>
      </c>
      <c r="AA32" s="114">
        <v>0</v>
      </c>
      <c r="AB32" s="114">
        <v>0</v>
      </c>
      <c r="AC32" s="114">
        <v>0</v>
      </c>
      <c r="AD32" s="114">
        <v>0</v>
      </c>
      <c r="AE32" s="114">
        <v>0</v>
      </c>
      <c r="AF32" s="114">
        <v>0</v>
      </c>
      <c r="AG32" s="114">
        <v>0</v>
      </c>
      <c r="AH32" s="114">
        <v>0</v>
      </c>
      <c r="AI32" s="114">
        <v>0</v>
      </c>
      <c r="AJ32" s="114">
        <v>0</v>
      </c>
      <c r="AK32" s="114">
        <v>1</v>
      </c>
      <c r="AL32" s="114">
        <v>0</v>
      </c>
      <c r="AM32" s="114">
        <v>0</v>
      </c>
      <c r="AN32" s="114">
        <v>0</v>
      </c>
      <c r="AO32" s="114">
        <v>0</v>
      </c>
      <c r="AP32" s="114">
        <v>0</v>
      </c>
      <c r="AQ32" s="114">
        <v>1</v>
      </c>
      <c r="AR32" s="114">
        <v>0</v>
      </c>
      <c r="AS32" s="114">
        <v>1</v>
      </c>
      <c r="AT32" s="114">
        <v>0</v>
      </c>
      <c r="AU32" s="114">
        <v>0</v>
      </c>
      <c r="AV32" s="114">
        <v>0</v>
      </c>
      <c r="AW32" s="114">
        <v>0</v>
      </c>
      <c r="AX32" s="114">
        <v>0</v>
      </c>
      <c r="AY32" s="114">
        <v>0</v>
      </c>
      <c r="AZ32" s="114">
        <v>0</v>
      </c>
      <c r="BA32" s="114">
        <v>0</v>
      </c>
      <c r="BB32" s="114">
        <v>0</v>
      </c>
      <c r="BC32" s="114">
        <v>0</v>
      </c>
      <c r="BD32" s="114">
        <v>0</v>
      </c>
      <c r="BE32" s="114">
        <v>0</v>
      </c>
      <c r="BF32" s="114">
        <v>0</v>
      </c>
      <c r="BG32" s="114">
        <v>1</v>
      </c>
      <c r="BH32" s="114">
        <v>0</v>
      </c>
      <c r="BI32" s="114">
        <v>0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0</v>
      </c>
      <c r="BR32" s="114">
        <v>0</v>
      </c>
      <c r="BS32" s="114">
        <v>0</v>
      </c>
      <c r="BT32" s="114">
        <v>0</v>
      </c>
      <c r="BU32" s="114">
        <v>0</v>
      </c>
      <c r="BV32" s="114">
        <v>0</v>
      </c>
      <c r="BW32" s="114">
        <v>0</v>
      </c>
      <c r="BX32" s="114">
        <v>0</v>
      </c>
      <c r="BY32" s="114">
        <v>0</v>
      </c>
      <c r="BZ32" s="114">
        <v>0</v>
      </c>
      <c r="CA32" s="114">
        <v>0</v>
      </c>
      <c r="CB32" s="114">
        <v>0</v>
      </c>
      <c r="CC32" s="114">
        <v>0</v>
      </c>
      <c r="CD32" s="114">
        <v>0</v>
      </c>
      <c r="CE32" s="114">
        <v>0</v>
      </c>
      <c r="CF32" s="114">
        <v>0</v>
      </c>
      <c r="CG32" s="114">
        <v>0</v>
      </c>
      <c r="CH32" s="114">
        <v>0</v>
      </c>
      <c r="CI32" s="114">
        <v>0</v>
      </c>
      <c r="CJ32" s="114">
        <v>0</v>
      </c>
      <c r="CK32" s="114">
        <v>0</v>
      </c>
      <c r="CL32" s="114">
        <v>0</v>
      </c>
      <c r="CM32" s="114">
        <v>0</v>
      </c>
      <c r="CN32" s="114">
        <v>0</v>
      </c>
      <c r="CO32" s="114">
        <v>0</v>
      </c>
      <c r="CP32" s="114">
        <v>0</v>
      </c>
      <c r="CQ32" s="114">
        <v>0</v>
      </c>
      <c r="CR32" s="114">
        <v>0</v>
      </c>
      <c r="CS32" s="114">
        <v>0</v>
      </c>
      <c r="CT32" s="114">
        <v>0</v>
      </c>
      <c r="CU32" s="114">
        <v>0</v>
      </c>
      <c r="CV32" s="114">
        <v>0</v>
      </c>
    </row>
    <row r="33" spans="1:100" x14ac:dyDescent="0.15">
      <c r="A33" s="193" t="s">
        <v>223</v>
      </c>
      <c r="B33" s="114">
        <v>0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1</v>
      </c>
      <c r="O33" s="114">
        <v>1</v>
      </c>
      <c r="P33" s="114">
        <v>0</v>
      </c>
      <c r="Q33" s="114">
        <v>1</v>
      </c>
      <c r="R33" s="114">
        <v>1</v>
      </c>
      <c r="S33" s="114">
        <v>0</v>
      </c>
      <c r="T33" s="114">
        <v>0</v>
      </c>
      <c r="U33" s="114">
        <v>1</v>
      </c>
      <c r="V33" s="114">
        <v>0</v>
      </c>
      <c r="W33" s="114">
        <v>0</v>
      </c>
      <c r="X33" s="114">
        <v>0</v>
      </c>
      <c r="Y33" s="114">
        <v>0</v>
      </c>
      <c r="Z33" s="114">
        <v>1</v>
      </c>
      <c r="AA33" s="114">
        <v>0</v>
      </c>
      <c r="AB33" s="114">
        <v>0</v>
      </c>
      <c r="AC33" s="114">
        <v>0</v>
      </c>
      <c r="AD33" s="114">
        <v>0</v>
      </c>
      <c r="AE33" s="114">
        <v>0</v>
      </c>
      <c r="AF33" s="114">
        <v>0</v>
      </c>
      <c r="AG33" s="114">
        <v>0</v>
      </c>
      <c r="AH33" s="114">
        <v>1</v>
      </c>
      <c r="AI33" s="114">
        <v>1</v>
      </c>
      <c r="AJ33" s="114">
        <v>0</v>
      </c>
      <c r="AK33" s="114">
        <v>1</v>
      </c>
      <c r="AL33" s="114">
        <v>0</v>
      </c>
      <c r="AM33" s="114">
        <v>0</v>
      </c>
      <c r="AN33" s="114">
        <v>1</v>
      </c>
      <c r="AO33" s="114">
        <v>1</v>
      </c>
      <c r="AP33" s="114">
        <v>1</v>
      </c>
      <c r="AQ33" s="114">
        <v>1</v>
      </c>
      <c r="AR33" s="114">
        <v>1</v>
      </c>
      <c r="AS33" s="114">
        <v>1</v>
      </c>
      <c r="AT33" s="114">
        <v>1</v>
      </c>
      <c r="AU33" s="114">
        <v>1</v>
      </c>
      <c r="AV33" s="114">
        <v>1</v>
      </c>
      <c r="AW33" s="114">
        <v>0</v>
      </c>
      <c r="AX33" s="114">
        <v>0</v>
      </c>
      <c r="AY33" s="114">
        <v>1</v>
      </c>
      <c r="AZ33" s="114">
        <v>1</v>
      </c>
      <c r="BA33" s="114">
        <v>1</v>
      </c>
      <c r="BB33" s="114">
        <v>1</v>
      </c>
      <c r="BC33" s="114">
        <v>1</v>
      </c>
      <c r="BD33" s="114">
        <v>1</v>
      </c>
      <c r="BE33" s="114">
        <v>0</v>
      </c>
      <c r="BF33" s="114">
        <v>0</v>
      </c>
      <c r="BG33" s="114">
        <v>0</v>
      </c>
      <c r="BH33" s="114">
        <v>0</v>
      </c>
      <c r="BI33" s="114">
        <v>0</v>
      </c>
      <c r="BJ33" s="114">
        <v>0</v>
      </c>
      <c r="BK33" s="114">
        <v>0</v>
      </c>
      <c r="BL33" s="114">
        <v>0</v>
      </c>
      <c r="BM33" s="114">
        <v>0</v>
      </c>
      <c r="BN33" s="114">
        <v>1</v>
      </c>
      <c r="BO33" s="114">
        <v>0</v>
      </c>
      <c r="BP33" s="114">
        <v>0</v>
      </c>
      <c r="BQ33" s="114">
        <v>0</v>
      </c>
      <c r="BR33" s="114">
        <v>0</v>
      </c>
      <c r="BS33" s="114">
        <v>0</v>
      </c>
      <c r="BT33" s="114">
        <v>0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0</v>
      </c>
      <c r="CB33" s="114">
        <v>0</v>
      </c>
      <c r="CC33" s="114">
        <v>0</v>
      </c>
      <c r="CD33" s="114">
        <v>0</v>
      </c>
      <c r="CE33" s="114">
        <v>0</v>
      </c>
      <c r="CF33" s="114">
        <v>0</v>
      </c>
      <c r="CG33" s="114">
        <v>0</v>
      </c>
      <c r="CH33" s="114">
        <v>0</v>
      </c>
      <c r="CI33" s="114">
        <v>0</v>
      </c>
      <c r="CJ33" s="114">
        <v>0</v>
      </c>
      <c r="CK33" s="114">
        <v>0</v>
      </c>
      <c r="CL33" s="114">
        <v>0</v>
      </c>
      <c r="CM33" s="114">
        <v>0</v>
      </c>
      <c r="CN33" s="114">
        <v>0</v>
      </c>
      <c r="CO33" s="114">
        <v>0</v>
      </c>
      <c r="CP33" s="114">
        <v>0</v>
      </c>
      <c r="CQ33" s="114">
        <v>0</v>
      </c>
      <c r="CR33" s="114">
        <v>0</v>
      </c>
      <c r="CS33" s="114">
        <v>0</v>
      </c>
      <c r="CT33" s="114">
        <v>0</v>
      </c>
      <c r="CU33" s="114">
        <v>0</v>
      </c>
      <c r="CV33" s="114">
        <v>0</v>
      </c>
    </row>
    <row r="34" spans="1:100" x14ac:dyDescent="0.15">
      <c r="A34" s="193" t="s">
        <v>224</v>
      </c>
      <c r="B34" s="114">
        <v>0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1</v>
      </c>
      <c r="L34" s="114">
        <v>1</v>
      </c>
      <c r="M34" s="114">
        <v>1</v>
      </c>
      <c r="N34" s="114">
        <v>1</v>
      </c>
      <c r="O34" s="114">
        <v>1</v>
      </c>
      <c r="P34" s="114">
        <v>1</v>
      </c>
      <c r="Q34" s="114">
        <v>1</v>
      </c>
      <c r="R34" s="114">
        <v>1</v>
      </c>
      <c r="S34" s="114">
        <v>1</v>
      </c>
      <c r="T34" s="114">
        <v>0</v>
      </c>
      <c r="U34" s="114">
        <v>0</v>
      </c>
      <c r="V34" s="114">
        <v>1</v>
      </c>
      <c r="W34" s="114">
        <v>0</v>
      </c>
      <c r="X34" s="114">
        <v>1</v>
      </c>
      <c r="Y34" s="114">
        <v>1</v>
      </c>
      <c r="Z34" s="114">
        <v>1</v>
      </c>
      <c r="AA34" s="114">
        <v>1</v>
      </c>
      <c r="AB34" s="114">
        <v>0</v>
      </c>
      <c r="AC34" s="114">
        <v>0</v>
      </c>
      <c r="AD34" s="114">
        <v>0</v>
      </c>
      <c r="AE34" s="114">
        <v>0</v>
      </c>
      <c r="AF34" s="114">
        <v>1</v>
      </c>
      <c r="AG34" s="114">
        <v>0</v>
      </c>
      <c r="AH34" s="114">
        <v>0</v>
      </c>
      <c r="AI34" s="114">
        <v>0</v>
      </c>
      <c r="AJ34" s="114">
        <v>1</v>
      </c>
      <c r="AK34" s="114">
        <v>1</v>
      </c>
      <c r="AL34" s="114">
        <v>1</v>
      </c>
      <c r="AM34" s="114">
        <v>0</v>
      </c>
      <c r="AN34" s="114">
        <v>0</v>
      </c>
      <c r="AO34" s="114">
        <v>0</v>
      </c>
      <c r="AP34" s="114">
        <v>0</v>
      </c>
      <c r="AQ34" s="114">
        <v>1</v>
      </c>
      <c r="AR34" s="114">
        <v>1</v>
      </c>
      <c r="AS34" s="114">
        <v>1</v>
      </c>
      <c r="AT34" s="114">
        <v>0</v>
      </c>
      <c r="AU34" s="114">
        <v>0</v>
      </c>
      <c r="AV34" s="114">
        <v>0</v>
      </c>
      <c r="AW34" s="114">
        <v>1</v>
      </c>
      <c r="AX34" s="114">
        <v>1</v>
      </c>
      <c r="AY34" s="114">
        <v>0</v>
      </c>
      <c r="AZ34" s="114">
        <v>0</v>
      </c>
      <c r="BA34" s="114">
        <v>1</v>
      </c>
      <c r="BB34" s="114">
        <v>0</v>
      </c>
      <c r="BC34" s="114">
        <v>0</v>
      </c>
      <c r="BD34" s="114">
        <v>0</v>
      </c>
      <c r="BE34" s="114">
        <v>0</v>
      </c>
      <c r="BF34" s="114">
        <v>0</v>
      </c>
      <c r="BG34" s="114">
        <v>1</v>
      </c>
      <c r="BH34" s="114">
        <v>0</v>
      </c>
      <c r="BI34" s="114">
        <v>0</v>
      </c>
      <c r="BJ34" s="114">
        <v>0</v>
      </c>
      <c r="BK34" s="114">
        <v>0</v>
      </c>
      <c r="BL34" s="114">
        <v>0</v>
      </c>
      <c r="BM34" s="114">
        <v>0</v>
      </c>
      <c r="BN34" s="114">
        <v>0</v>
      </c>
      <c r="BO34" s="114">
        <v>0</v>
      </c>
      <c r="BP34" s="114">
        <v>0</v>
      </c>
      <c r="BQ34" s="114">
        <v>0</v>
      </c>
      <c r="BR34" s="114">
        <v>0</v>
      </c>
      <c r="BS34" s="114">
        <v>0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0</v>
      </c>
      <c r="CA34" s="114">
        <v>0</v>
      </c>
      <c r="CB34" s="114">
        <v>0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  <c r="CH34" s="114">
        <v>0</v>
      </c>
      <c r="CI34" s="114">
        <v>0</v>
      </c>
      <c r="CJ34" s="114">
        <v>0</v>
      </c>
      <c r="CK34" s="114">
        <v>0</v>
      </c>
      <c r="CL34" s="114">
        <v>0</v>
      </c>
      <c r="CM34" s="114">
        <v>0</v>
      </c>
      <c r="CN34" s="114">
        <v>0</v>
      </c>
      <c r="CO34" s="114">
        <v>0</v>
      </c>
      <c r="CP34" s="114">
        <v>0</v>
      </c>
      <c r="CQ34" s="114">
        <v>0</v>
      </c>
      <c r="CR34" s="114">
        <v>0</v>
      </c>
      <c r="CS34" s="114">
        <v>0</v>
      </c>
      <c r="CT34" s="114">
        <v>0</v>
      </c>
      <c r="CU34" s="114">
        <v>0</v>
      </c>
      <c r="CV34" s="114">
        <v>0</v>
      </c>
    </row>
    <row r="35" spans="1:100" x14ac:dyDescent="0.15">
      <c r="A35" s="193" t="s">
        <v>225</v>
      </c>
      <c r="B35" s="114">
        <v>0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1</v>
      </c>
      <c r="L35" s="114">
        <v>1</v>
      </c>
      <c r="M35" s="114">
        <v>1</v>
      </c>
      <c r="N35" s="114">
        <v>1</v>
      </c>
      <c r="O35" s="114">
        <v>1</v>
      </c>
      <c r="P35" s="114">
        <v>1</v>
      </c>
      <c r="Q35" s="114">
        <v>1</v>
      </c>
      <c r="R35" s="114">
        <v>1</v>
      </c>
      <c r="S35" s="114">
        <v>1</v>
      </c>
      <c r="T35" s="114">
        <v>0</v>
      </c>
      <c r="U35" s="114">
        <v>0</v>
      </c>
      <c r="V35" s="114">
        <v>1</v>
      </c>
      <c r="W35" s="114">
        <v>0</v>
      </c>
      <c r="X35" s="114">
        <v>1</v>
      </c>
      <c r="Y35" s="114">
        <v>1</v>
      </c>
      <c r="Z35" s="114">
        <v>1</v>
      </c>
      <c r="AA35" s="114">
        <v>1</v>
      </c>
      <c r="AB35" s="114">
        <v>0</v>
      </c>
      <c r="AC35" s="114">
        <v>1</v>
      </c>
      <c r="AD35" s="114">
        <v>0</v>
      </c>
      <c r="AE35" s="114">
        <v>0</v>
      </c>
      <c r="AF35" s="114">
        <v>1</v>
      </c>
      <c r="AG35" s="114">
        <v>0</v>
      </c>
      <c r="AH35" s="114">
        <v>1</v>
      </c>
      <c r="AI35" s="114">
        <v>1</v>
      </c>
      <c r="AJ35" s="114">
        <v>1</v>
      </c>
      <c r="AK35" s="114">
        <v>1</v>
      </c>
      <c r="AL35" s="114">
        <v>1</v>
      </c>
      <c r="AM35" s="114">
        <v>1</v>
      </c>
      <c r="AN35" s="114">
        <v>1</v>
      </c>
      <c r="AO35" s="114">
        <v>0</v>
      </c>
      <c r="AP35" s="114">
        <v>0</v>
      </c>
      <c r="AQ35" s="114">
        <v>1</v>
      </c>
      <c r="AR35" s="114">
        <v>1</v>
      </c>
      <c r="AS35" s="114">
        <v>1</v>
      </c>
      <c r="AT35" s="114">
        <v>1</v>
      </c>
      <c r="AU35" s="114">
        <v>1</v>
      </c>
      <c r="AV35" s="114">
        <v>1</v>
      </c>
      <c r="AW35" s="114">
        <v>1</v>
      </c>
      <c r="AX35" s="114">
        <v>1</v>
      </c>
      <c r="AY35" s="114">
        <v>1</v>
      </c>
      <c r="AZ35" s="114">
        <v>1</v>
      </c>
      <c r="BA35" s="114">
        <v>1</v>
      </c>
      <c r="BB35" s="114">
        <v>1</v>
      </c>
      <c r="BC35" s="114">
        <v>1</v>
      </c>
      <c r="BD35" s="114">
        <v>1</v>
      </c>
      <c r="BE35" s="114">
        <v>0</v>
      </c>
      <c r="BF35" s="114">
        <v>0</v>
      </c>
      <c r="BG35" s="114">
        <v>1</v>
      </c>
      <c r="BH35" s="114">
        <v>0</v>
      </c>
      <c r="BI35" s="114">
        <v>1</v>
      </c>
      <c r="BJ35" s="114">
        <v>0</v>
      </c>
      <c r="BK35" s="114">
        <v>0</v>
      </c>
      <c r="BL35" s="114">
        <v>0</v>
      </c>
      <c r="BM35" s="114">
        <v>0</v>
      </c>
      <c r="BN35" s="114">
        <v>1</v>
      </c>
      <c r="BO35" s="114">
        <v>0</v>
      </c>
      <c r="BP35" s="114">
        <v>0</v>
      </c>
      <c r="BQ35" s="114">
        <v>0</v>
      </c>
      <c r="BR35" s="114">
        <v>0</v>
      </c>
      <c r="BS35" s="114">
        <v>0</v>
      </c>
      <c r="BT35" s="114">
        <v>0</v>
      </c>
      <c r="BU35" s="114">
        <v>0</v>
      </c>
      <c r="BV35" s="114">
        <v>0</v>
      </c>
      <c r="BW35" s="114">
        <v>0</v>
      </c>
      <c r="BX35" s="114">
        <v>0</v>
      </c>
      <c r="BY35" s="114">
        <v>0</v>
      </c>
      <c r="BZ35" s="114">
        <v>0</v>
      </c>
      <c r="CA35" s="114">
        <v>0</v>
      </c>
      <c r="CB35" s="114">
        <v>0</v>
      </c>
      <c r="CC35" s="114">
        <v>0</v>
      </c>
      <c r="CD35" s="114">
        <v>0</v>
      </c>
      <c r="CE35" s="114">
        <v>0</v>
      </c>
      <c r="CF35" s="114">
        <v>0</v>
      </c>
      <c r="CG35" s="114">
        <v>0</v>
      </c>
      <c r="CH35" s="114">
        <v>0</v>
      </c>
      <c r="CI35" s="114">
        <v>0</v>
      </c>
      <c r="CJ35" s="114">
        <v>0</v>
      </c>
      <c r="CK35" s="114">
        <v>0</v>
      </c>
      <c r="CL35" s="114">
        <v>1</v>
      </c>
      <c r="CM35" s="114">
        <v>0</v>
      </c>
      <c r="CN35" s="114">
        <v>0</v>
      </c>
      <c r="CO35" s="114">
        <v>0</v>
      </c>
      <c r="CP35" s="114">
        <v>0</v>
      </c>
      <c r="CQ35" s="114">
        <v>0</v>
      </c>
      <c r="CR35" s="114">
        <v>0</v>
      </c>
      <c r="CS35" s="114">
        <v>0</v>
      </c>
      <c r="CT35" s="114">
        <v>0</v>
      </c>
      <c r="CU35" s="114">
        <v>0</v>
      </c>
      <c r="CV35" s="114">
        <v>0</v>
      </c>
    </row>
    <row r="36" spans="1:100" x14ac:dyDescent="0.15">
      <c r="A36" s="193" t="s">
        <v>226</v>
      </c>
      <c r="B36" s="114">
        <v>0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1</v>
      </c>
      <c r="L36" s="114">
        <v>1</v>
      </c>
      <c r="M36" s="114">
        <v>1</v>
      </c>
      <c r="N36" s="114">
        <v>1</v>
      </c>
      <c r="O36" s="114">
        <v>1</v>
      </c>
      <c r="P36" s="114">
        <v>1</v>
      </c>
      <c r="Q36" s="114">
        <v>0</v>
      </c>
      <c r="R36" s="114">
        <v>0</v>
      </c>
      <c r="S36" s="114">
        <v>0</v>
      </c>
      <c r="T36" s="114">
        <v>0</v>
      </c>
      <c r="U36" s="114">
        <v>0</v>
      </c>
      <c r="V36" s="114">
        <v>1</v>
      </c>
      <c r="W36" s="114">
        <v>0</v>
      </c>
      <c r="X36" s="114">
        <v>1</v>
      </c>
      <c r="Y36" s="114">
        <v>1</v>
      </c>
      <c r="Z36" s="114">
        <v>1</v>
      </c>
      <c r="AA36" s="114">
        <v>1</v>
      </c>
      <c r="AB36" s="114">
        <v>0</v>
      </c>
      <c r="AC36" s="114">
        <v>0</v>
      </c>
      <c r="AD36" s="114">
        <v>0</v>
      </c>
      <c r="AE36" s="114">
        <v>0</v>
      </c>
      <c r="AF36" s="114">
        <v>1</v>
      </c>
      <c r="AG36" s="114">
        <v>0</v>
      </c>
      <c r="AH36" s="114">
        <v>0</v>
      </c>
      <c r="AI36" s="114">
        <v>0</v>
      </c>
      <c r="AJ36" s="114">
        <v>0</v>
      </c>
      <c r="AK36" s="114">
        <v>1</v>
      </c>
      <c r="AL36" s="114">
        <v>1</v>
      </c>
      <c r="AM36" s="114">
        <v>0</v>
      </c>
      <c r="AN36" s="114">
        <v>0</v>
      </c>
      <c r="AO36" s="114">
        <v>0</v>
      </c>
      <c r="AP36" s="114">
        <v>1</v>
      </c>
      <c r="AQ36" s="114">
        <v>1</v>
      </c>
      <c r="AR36" s="114">
        <v>1</v>
      </c>
      <c r="AS36" s="114">
        <v>1</v>
      </c>
      <c r="AT36" s="114">
        <v>0</v>
      </c>
      <c r="AU36" s="114">
        <v>0</v>
      </c>
      <c r="AV36" s="114">
        <v>0</v>
      </c>
      <c r="AW36" s="114">
        <v>1</v>
      </c>
      <c r="AX36" s="114">
        <v>0</v>
      </c>
      <c r="AY36" s="114">
        <v>0</v>
      </c>
      <c r="AZ36" s="114">
        <v>0</v>
      </c>
      <c r="BA36" s="114">
        <v>1</v>
      </c>
      <c r="BB36" s="114">
        <v>1</v>
      </c>
      <c r="BC36" s="114">
        <v>0</v>
      </c>
      <c r="BD36" s="114">
        <v>0</v>
      </c>
      <c r="BE36" s="114">
        <v>0</v>
      </c>
      <c r="BF36" s="114">
        <v>0</v>
      </c>
      <c r="BG36" s="114">
        <v>1</v>
      </c>
      <c r="BH36" s="114">
        <v>0</v>
      </c>
      <c r="BI36" s="114">
        <v>0</v>
      </c>
      <c r="BJ36" s="114">
        <v>0</v>
      </c>
      <c r="BK36" s="114">
        <v>0</v>
      </c>
      <c r="BL36" s="114">
        <v>0</v>
      </c>
      <c r="BM36" s="114">
        <v>0</v>
      </c>
      <c r="BN36" s="114">
        <v>0</v>
      </c>
      <c r="BO36" s="114">
        <v>0</v>
      </c>
      <c r="BP36" s="114">
        <v>0</v>
      </c>
      <c r="BQ36" s="114">
        <v>0</v>
      </c>
      <c r="BR36" s="114">
        <v>0</v>
      </c>
      <c r="BS36" s="114">
        <v>0</v>
      </c>
      <c r="BT36" s="114">
        <v>0</v>
      </c>
      <c r="BU36" s="114">
        <v>0</v>
      </c>
      <c r="BV36" s="114">
        <v>0</v>
      </c>
      <c r="BW36" s="114">
        <v>0</v>
      </c>
      <c r="BX36" s="114">
        <v>0</v>
      </c>
      <c r="BY36" s="114">
        <v>0</v>
      </c>
      <c r="BZ36" s="114">
        <v>0</v>
      </c>
      <c r="CA36" s="114">
        <v>0</v>
      </c>
      <c r="CB36" s="114">
        <v>0</v>
      </c>
      <c r="CC36" s="114">
        <v>0</v>
      </c>
      <c r="CD36" s="114">
        <v>0</v>
      </c>
      <c r="CE36" s="114">
        <v>0</v>
      </c>
      <c r="CF36" s="114">
        <v>0</v>
      </c>
      <c r="CG36" s="114">
        <v>0</v>
      </c>
      <c r="CH36" s="114">
        <v>0</v>
      </c>
      <c r="CI36" s="114">
        <v>0</v>
      </c>
      <c r="CJ36" s="114">
        <v>0</v>
      </c>
      <c r="CK36" s="114">
        <v>0</v>
      </c>
      <c r="CL36" s="114">
        <v>0</v>
      </c>
      <c r="CM36" s="114">
        <v>0</v>
      </c>
      <c r="CN36" s="114">
        <v>0</v>
      </c>
      <c r="CO36" s="114">
        <v>0</v>
      </c>
      <c r="CP36" s="114">
        <v>0</v>
      </c>
      <c r="CQ36" s="114">
        <v>0</v>
      </c>
      <c r="CR36" s="114">
        <v>0</v>
      </c>
      <c r="CS36" s="114">
        <v>0</v>
      </c>
      <c r="CT36" s="114">
        <v>0</v>
      </c>
      <c r="CU36" s="114">
        <v>0</v>
      </c>
      <c r="CV36" s="114">
        <v>0</v>
      </c>
    </row>
    <row r="37" spans="1:100" x14ac:dyDescent="0.15">
      <c r="A37" s="193" t="s">
        <v>227</v>
      </c>
      <c r="B37" s="114">
        <v>0</v>
      </c>
      <c r="C37" s="114">
        <v>1</v>
      </c>
      <c r="D37" s="114">
        <v>1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1</v>
      </c>
      <c r="O37" s="114">
        <v>1</v>
      </c>
      <c r="P37" s="114">
        <v>0</v>
      </c>
      <c r="Q37" s="114">
        <v>0</v>
      </c>
      <c r="R37" s="114">
        <v>0</v>
      </c>
      <c r="S37" s="114">
        <v>0</v>
      </c>
      <c r="T37" s="114">
        <v>1</v>
      </c>
      <c r="U37" s="114">
        <v>1</v>
      </c>
      <c r="V37" s="114">
        <v>1</v>
      </c>
      <c r="W37" s="114">
        <v>1</v>
      </c>
      <c r="X37" s="114">
        <v>0</v>
      </c>
      <c r="Y37" s="114">
        <v>0</v>
      </c>
      <c r="Z37" s="114">
        <v>1</v>
      </c>
      <c r="AA37" s="114">
        <v>0</v>
      </c>
      <c r="AB37" s="114">
        <v>1</v>
      </c>
      <c r="AC37" s="114">
        <v>1</v>
      </c>
      <c r="AD37" s="114">
        <v>0</v>
      </c>
      <c r="AE37" s="114">
        <v>0</v>
      </c>
      <c r="AF37" s="114">
        <v>0</v>
      </c>
      <c r="AG37" s="114">
        <v>0</v>
      </c>
      <c r="AH37" s="114">
        <v>0</v>
      </c>
      <c r="AI37" s="114">
        <v>0</v>
      </c>
      <c r="AJ37" s="114">
        <v>0</v>
      </c>
      <c r="AK37" s="114">
        <v>1</v>
      </c>
      <c r="AL37" s="114">
        <v>1</v>
      </c>
      <c r="AM37" s="114">
        <v>1</v>
      </c>
      <c r="AN37" s="114">
        <v>1</v>
      </c>
      <c r="AO37" s="114">
        <v>0</v>
      </c>
      <c r="AP37" s="114">
        <v>0</v>
      </c>
      <c r="AQ37" s="114">
        <v>1</v>
      </c>
      <c r="AR37" s="114">
        <v>0</v>
      </c>
      <c r="AS37" s="114">
        <v>1</v>
      </c>
      <c r="AT37" s="114">
        <v>0</v>
      </c>
      <c r="AU37" s="114">
        <v>0</v>
      </c>
      <c r="AV37" s="114">
        <v>0</v>
      </c>
      <c r="AW37" s="114">
        <v>0</v>
      </c>
      <c r="AX37" s="114">
        <v>0</v>
      </c>
      <c r="AY37" s="114">
        <v>0</v>
      </c>
      <c r="AZ37" s="114">
        <v>0</v>
      </c>
      <c r="BA37" s="114">
        <v>1</v>
      </c>
      <c r="BB37" s="114">
        <v>0</v>
      </c>
      <c r="BC37" s="114">
        <v>0</v>
      </c>
      <c r="BD37" s="114">
        <v>0</v>
      </c>
      <c r="BE37" s="114">
        <v>0</v>
      </c>
      <c r="BF37" s="114">
        <v>0</v>
      </c>
      <c r="BG37" s="114">
        <v>1</v>
      </c>
      <c r="BH37" s="114">
        <v>0</v>
      </c>
      <c r="BI37" s="114">
        <v>1</v>
      </c>
      <c r="BJ37" s="114">
        <v>0</v>
      </c>
      <c r="BK37" s="114">
        <v>0</v>
      </c>
      <c r="BL37" s="114">
        <v>0</v>
      </c>
      <c r="BM37" s="114">
        <v>0</v>
      </c>
      <c r="BN37" s="114">
        <v>0</v>
      </c>
      <c r="BO37" s="114">
        <v>0</v>
      </c>
      <c r="BP37" s="114">
        <v>0</v>
      </c>
      <c r="BQ37" s="114">
        <v>0</v>
      </c>
      <c r="BR37" s="114">
        <v>0</v>
      </c>
      <c r="BS37" s="114">
        <v>0</v>
      </c>
      <c r="BT37" s="114">
        <v>0</v>
      </c>
      <c r="BU37" s="114">
        <v>0</v>
      </c>
      <c r="BV37" s="114">
        <v>0</v>
      </c>
      <c r="BW37" s="114">
        <v>0</v>
      </c>
      <c r="BX37" s="114">
        <v>0</v>
      </c>
      <c r="BY37" s="114">
        <v>0</v>
      </c>
      <c r="BZ37" s="114">
        <v>0</v>
      </c>
      <c r="CA37" s="114">
        <v>0</v>
      </c>
      <c r="CB37" s="114">
        <v>0</v>
      </c>
      <c r="CC37" s="114">
        <v>0</v>
      </c>
      <c r="CD37" s="114">
        <v>0</v>
      </c>
      <c r="CE37" s="114">
        <v>0</v>
      </c>
      <c r="CF37" s="114">
        <v>0</v>
      </c>
      <c r="CG37" s="114">
        <v>0</v>
      </c>
      <c r="CH37" s="114">
        <v>0</v>
      </c>
      <c r="CI37" s="114">
        <v>0</v>
      </c>
      <c r="CJ37" s="114">
        <v>0</v>
      </c>
      <c r="CK37" s="114">
        <v>0</v>
      </c>
      <c r="CL37" s="114">
        <v>0</v>
      </c>
      <c r="CM37" s="114">
        <v>0</v>
      </c>
      <c r="CN37" s="114">
        <v>0</v>
      </c>
      <c r="CO37" s="114">
        <v>0</v>
      </c>
      <c r="CP37" s="114">
        <v>0</v>
      </c>
      <c r="CQ37" s="114">
        <v>0</v>
      </c>
      <c r="CR37" s="114">
        <v>0</v>
      </c>
      <c r="CS37" s="114">
        <v>0</v>
      </c>
      <c r="CT37" s="114">
        <v>0</v>
      </c>
      <c r="CU37" s="114">
        <v>0</v>
      </c>
      <c r="CV37" s="114">
        <v>0</v>
      </c>
    </row>
    <row r="38" spans="1:100" x14ac:dyDescent="0.15">
      <c r="A38" s="193" t="s">
        <v>228</v>
      </c>
      <c r="B38" s="114">
        <v>0</v>
      </c>
      <c r="C38" s="114">
        <v>1</v>
      </c>
      <c r="D38" s="114">
        <v>1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1</v>
      </c>
      <c r="K38" s="114">
        <v>0</v>
      </c>
      <c r="L38" s="114">
        <v>0</v>
      </c>
      <c r="M38" s="114">
        <v>0</v>
      </c>
      <c r="N38" s="114">
        <v>1</v>
      </c>
      <c r="O38" s="114">
        <v>1</v>
      </c>
      <c r="P38" s="114">
        <v>0</v>
      </c>
      <c r="Q38" s="114">
        <v>0</v>
      </c>
      <c r="R38" s="114">
        <v>0</v>
      </c>
      <c r="S38" s="114">
        <v>0</v>
      </c>
      <c r="T38" s="114">
        <v>1</v>
      </c>
      <c r="U38" s="114">
        <v>1</v>
      </c>
      <c r="V38" s="114">
        <v>1</v>
      </c>
      <c r="W38" s="114">
        <v>0</v>
      </c>
      <c r="X38" s="114">
        <v>0</v>
      </c>
      <c r="Y38" s="114">
        <v>0</v>
      </c>
      <c r="Z38" s="114">
        <v>0</v>
      </c>
      <c r="AA38" s="114">
        <v>0</v>
      </c>
      <c r="AB38" s="114">
        <v>0</v>
      </c>
      <c r="AC38" s="114">
        <v>0</v>
      </c>
      <c r="AD38" s="114">
        <v>0</v>
      </c>
      <c r="AE38" s="114">
        <v>0</v>
      </c>
      <c r="AF38" s="114">
        <v>0</v>
      </c>
      <c r="AG38" s="114">
        <v>0</v>
      </c>
      <c r="AH38" s="114">
        <v>0</v>
      </c>
      <c r="AI38" s="114">
        <v>0</v>
      </c>
      <c r="AJ38" s="114">
        <v>0</v>
      </c>
      <c r="AK38" s="114">
        <v>1</v>
      </c>
      <c r="AL38" s="114">
        <v>0</v>
      </c>
      <c r="AM38" s="114">
        <v>1</v>
      </c>
      <c r="AN38" s="114">
        <v>1</v>
      </c>
      <c r="AO38" s="114">
        <v>1</v>
      </c>
      <c r="AP38" s="114">
        <v>1</v>
      </c>
      <c r="AQ38" s="114">
        <v>1</v>
      </c>
      <c r="AR38" s="114">
        <v>0</v>
      </c>
      <c r="AS38" s="114">
        <v>1</v>
      </c>
      <c r="AT38" s="114">
        <v>0</v>
      </c>
      <c r="AU38" s="114">
        <v>0</v>
      </c>
      <c r="AV38" s="114">
        <v>0</v>
      </c>
      <c r="AW38" s="114">
        <v>0</v>
      </c>
      <c r="AX38" s="114">
        <v>0</v>
      </c>
      <c r="AY38" s="114">
        <v>0</v>
      </c>
      <c r="AZ38" s="114">
        <v>0</v>
      </c>
      <c r="BA38" s="114">
        <v>1</v>
      </c>
      <c r="BB38" s="114">
        <v>1</v>
      </c>
      <c r="BC38" s="114">
        <v>1</v>
      </c>
      <c r="BD38" s="114">
        <v>1</v>
      </c>
      <c r="BE38" s="114">
        <v>0</v>
      </c>
      <c r="BF38" s="114">
        <v>0</v>
      </c>
      <c r="BG38" s="114">
        <v>1</v>
      </c>
      <c r="BH38" s="114">
        <v>0</v>
      </c>
      <c r="BI38" s="114">
        <v>1</v>
      </c>
      <c r="BJ38" s="114">
        <v>0</v>
      </c>
      <c r="BK38" s="114">
        <v>0</v>
      </c>
      <c r="BL38" s="114">
        <v>0</v>
      </c>
      <c r="BM38" s="114">
        <v>0</v>
      </c>
      <c r="BN38" s="114">
        <v>0</v>
      </c>
      <c r="BO38" s="114">
        <v>0</v>
      </c>
      <c r="BP38" s="114">
        <v>0</v>
      </c>
      <c r="BQ38" s="114">
        <v>0</v>
      </c>
      <c r="BR38" s="114">
        <v>0</v>
      </c>
      <c r="BS38" s="114">
        <v>0</v>
      </c>
      <c r="BT38" s="114">
        <v>0</v>
      </c>
      <c r="BU38" s="114">
        <v>0</v>
      </c>
      <c r="BV38" s="114">
        <v>0</v>
      </c>
      <c r="BW38" s="114">
        <v>0</v>
      </c>
      <c r="BX38" s="114">
        <v>0</v>
      </c>
      <c r="BY38" s="114">
        <v>0</v>
      </c>
      <c r="BZ38" s="114">
        <v>0</v>
      </c>
      <c r="CA38" s="114">
        <v>0</v>
      </c>
      <c r="CB38" s="114">
        <v>0</v>
      </c>
      <c r="CC38" s="114">
        <v>0</v>
      </c>
      <c r="CD38" s="114">
        <v>0</v>
      </c>
      <c r="CE38" s="114">
        <v>0</v>
      </c>
      <c r="CF38" s="114">
        <v>0</v>
      </c>
      <c r="CG38" s="114">
        <v>0</v>
      </c>
      <c r="CH38" s="114">
        <v>0</v>
      </c>
      <c r="CI38" s="114">
        <v>0</v>
      </c>
      <c r="CJ38" s="114">
        <v>0</v>
      </c>
      <c r="CK38" s="114">
        <v>0</v>
      </c>
      <c r="CL38" s="114">
        <v>1</v>
      </c>
      <c r="CM38" s="114">
        <v>0</v>
      </c>
      <c r="CN38" s="114">
        <v>0</v>
      </c>
      <c r="CO38" s="114">
        <v>0</v>
      </c>
      <c r="CP38" s="114">
        <v>0</v>
      </c>
      <c r="CQ38" s="114">
        <v>0</v>
      </c>
      <c r="CR38" s="114">
        <v>0</v>
      </c>
      <c r="CS38" s="114">
        <v>0</v>
      </c>
      <c r="CT38" s="114">
        <v>0</v>
      </c>
      <c r="CU38" s="114">
        <v>0</v>
      </c>
      <c r="CV38" s="114">
        <v>0</v>
      </c>
    </row>
    <row r="39" spans="1:100" x14ac:dyDescent="0.15">
      <c r="A39" s="193" t="s">
        <v>229</v>
      </c>
      <c r="B39" s="114">
        <v>0</v>
      </c>
      <c r="C39" s="114">
        <v>1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1</v>
      </c>
      <c r="O39" s="114">
        <v>1</v>
      </c>
      <c r="P39" s="114">
        <v>0</v>
      </c>
      <c r="Q39" s="114">
        <v>0</v>
      </c>
      <c r="R39" s="114">
        <v>0</v>
      </c>
      <c r="S39" s="114">
        <v>0</v>
      </c>
      <c r="T39" s="114">
        <v>1</v>
      </c>
      <c r="U39" s="114">
        <v>1</v>
      </c>
      <c r="V39" s="114">
        <v>1</v>
      </c>
      <c r="W39" s="114">
        <v>1</v>
      </c>
      <c r="X39" s="114">
        <v>0</v>
      </c>
      <c r="Y39" s="114">
        <v>0</v>
      </c>
      <c r="Z39" s="114">
        <v>1</v>
      </c>
      <c r="AA39" s="114">
        <v>0</v>
      </c>
      <c r="AB39" s="114">
        <v>1</v>
      </c>
      <c r="AC39" s="114">
        <v>1</v>
      </c>
      <c r="AD39" s="114">
        <v>1</v>
      </c>
      <c r="AE39" s="114">
        <v>1</v>
      </c>
      <c r="AF39" s="114">
        <v>0</v>
      </c>
      <c r="AG39" s="114">
        <v>0</v>
      </c>
      <c r="AH39" s="114">
        <v>0</v>
      </c>
      <c r="AI39" s="114">
        <v>0</v>
      </c>
      <c r="AJ39" s="114">
        <v>0</v>
      </c>
      <c r="AK39" s="114">
        <v>1</v>
      </c>
      <c r="AL39" s="114">
        <v>1</v>
      </c>
      <c r="AM39" s="114">
        <v>1</v>
      </c>
      <c r="AN39" s="114">
        <v>1</v>
      </c>
      <c r="AO39" s="114">
        <v>0</v>
      </c>
      <c r="AP39" s="114">
        <v>0</v>
      </c>
      <c r="AQ39" s="114">
        <v>1</v>
      </c>
      <c r="AR39" s="114">
        <v>0</v>
      </c>
      <c r="AS39" s="114">
        <v>1</v>
      </c>
      <c r="AT39" s="114">
        <v>0</v>
      </c>
      <c r="AU39" s="114">
        <v>0</v>
      </c>
      <c r="AV39" s="114">
        <v>0</v>
      </c>
      <c r="AW39" s="114">
        <v>0</v>
      </c>
      <c r="AX39" s="114">
        <v>0</v>
      </c>
      <c r="AY39" s="114">
        <v>0</v>
      </c>
      <c r="AZ39" s="114">
        <v>0</v>
      </c>
      <c r="BA39" s="114">
        <v>1</v>
      </c>
      <c r="BB39" s="114">
        <v>0</v>
      </c>
      <c r="BC39" s="114">
        <v>1</v>
      </c>
      <c r="BD39" s="114">
        <v>0</v>
      </c>
      <c r="BE39" s="114">
        <v>0</v>
      </c>
      <c r="BF39" s="114">
        <v>0</v>
      </c>
      <c r="BG39" s="114">
        <v>1</v>
      </c>
      <c r="BH39" s="114">
        <v>0</v>
      </c>
      <c r="BI39" s="114">
        <v>1</v>
      </c>
      <c r="BJ39" s="114">
        <v>0</v>
      </c>
      <c r="BK39" s="114">
        <v>0</v>
      </c>
      <c r="BL39" s="114">
        <v>0</v>
      </c>
      <c r="BM39" s="114">
        <v>0</v>
      </c>
      <c r="BN39" s="114">
        <v>0</v>
      </c>
      <c r="BO39" s="114">
        <v>0</v>
      </c>
      <c r="BP39" s="114">
        <v>0</v>
      </c>
      <c r="BQ39" s="114">
        <v>0</v>
      </c>
      <c r="BR39" s="114">
        <v>0</v>
      </c>
      <c r="BS39" s="114">
        <v>0</v>
      </c>
      <c r="BT39" s="114">
        <v>0</v>
      </c>
      <c r="BU39" s="114">
        <v>0</v>
      </c>
      <c r="BV39" s="114">
        <v>0</v>
      </c>
      <c r="BW39" s="114">
        <v>0</v>
      </c>
      <c r="BX39" s="114">
        <v>0</v>
      </c>
      <c r="BY39" s="114">
        <v>0</v>
      </c>
      <c r="BZ39" s="114">
        <v>0</v>
      </c>
      <c r="CA39" s="114">
        <v>0</v>
      </c>
      <c r="CB39" s="114">
        <v>0</v>
      </c>
      <c r="CC39" s="114">
        <v>0</v>
      </c>
      <c r="CD39" s="114">
        <v>0</v>
      </c>
      <c r="CE39" s="114">
        <v>0</v>
      </c>
      <c r="CF39" s="114">
        <v>0</v>
      </c>
      <c r="CG39" s="114">
        <v>0</v>
      </c>
      <c r="CH39" s="114">
        <v>0</v>
      </c>
      <c r="CI39" s="114">
        <v>0</v>
      </c>
      <c r="CJ39" s="114">
        <v>0</v>
      </c>
      <c r="CK39" s="114">
        <v>0</v>
      </c>
      <c r="CL39" s="114">
        <v>0</v>
      </c>
      <c r="CM39" s="114">
        <v>0</v>
      </c>
      <c r="CN39" s="114">
        <v>0</v>
      </c>
      <c r="CO39" s="114">
        <v>0</v>
      </c>
      <c r="CP39" s="114">
        <v>0</v>
      </c>
      <c r="CQ39" s="114">
        <v>0</v>
      </c>
      <c r="CR39" s="114">
        <v>0</v>
      </c>
      <c r="CS39" s="114">
        <v>0</v>
      </c>
      <c r="CT39" s="114">
        <v>0</v>
      </c>
      <c r="CU39" s="114">
        <v>0</v>
      </c>
      <c r="CV39" s="114">
        <v>0</v>
      </c>
    </row>
    <row r="40" spans="1:100" x14ac:dyDescent="0.15">
      <c r="A40" s="193" t="s">
        <v>230</v>
      </c>
      <c r="B40" s="114">
        <v>1</v>
      </c>
      <c r="C40" s="114">
        <v>1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1</v>
      </c>
      <c r="L40" s="114">
        <v>0</v>
      </c>
      <c r="M40" s="114">
        <v>0</v>
      </c>
      <c r="N40" s="114">
        <v>1</v>
      </c>
      <c r="O40" s="114">
        <v>1</v>
      </c>
      <c r="P40" s="114">
        <v>0</v>
      </c>
      <c r="Q40" s="114">
        <v>0</v>
      </c>
      <c r="R40" s="114">
        <v>0</v>
      </c>
      <c r="S40" s="114">
        <v>0</v>
      </c>
      <c r="T40" s="114">
        <v>1</v>
      </c>
      <c r="U40" s="114">
        <v>1</v>
      </c>
      <c r="V40" s="114">
        <v>1</v>
      </c>
      <c r="W40" s="114">
        <v>0</v>
      </c>
      <c r="X40" s="114">
        <v>1</v>
      </c>
      <c r="Y40" s="114">
        <v>0</v>
      </c>
      <c r="Z40" s="114">
        <v>0</v>
      </c>
      <c r="AA40" s="114">
        <v>0</v>
      </c>
      <c r="AB40" s="114">
        <v>0</v>
      </c>
      <c r="AC40" s="114">
        <v>0</v>
      </c>
      <c r="AD40" s="114">
        <v>0</v>
      </c>
      <c r="AE40" s="114">
        <v>0</v>
      </c>
      <c r="AF40" s="114">
        <v>0</v>
      </c>
      <c r="AG40" s="114">
        <v>0</v>
      </c>
      <c r="AH40" s="114">
        <v>0</v>
      </c>
      <c r="AI40" s="114">
        <v>0</v>
      </c>
      <c r="AJ40" s="114">
        <v>0</v>
      </c>
      <c r="AK40" s="114">
        <v>1</v>
      </c>
      <c r="AL40" s="114">
        <v>0</v>
      </c>
      <c r="AM40" s="114">
        <v>1</v>
      </c>
      <c r="AN40" s="114">
        <v>1</v>
      </c>
      <c r="AO40" s="114">
        <v>1</v>
      </c>
      <c r="AP40" s="114">
        <v>1</v>
      </c>
      <c r="AQ40" s="114">
        <v>1</v>
      </c>
      <c r="AR40" s="114">
        <v>0</v>
      </c>
      <c r="AS40" s="114">
        <v>0</v>
      </c>
      <c r="AT40" s="114">
        <v>0</v>
      </c>
      <c r="AU40" s="114">
        <v>0</v>
      </c>
      <c r="AV40" s="114">
        <v>0</v>
      </c>
      <c r="AW40" s="114">
        <v>0</v>
      </c>
      <c r="AX40" s="114">
        <v>0</v>
      </c>
      <c r="AY40" s="114">
        <v>0</v>
      </c>
      <c r="AZ40" s="114">
        <v>0</v>
      </c>
      <c r="BA40" s="114">
        <v>1</v>
      </c>
      <c r="BB40" s="114">
        <v>1</v>
      </c>
      <c r="BC40" s="114">
        <v>1</v>
      </c>
      <c r="BD40" s="114">
        <v>1</v>
      </c>
      <c r="BE40" s="114">
        <v>0</v>
      </c>
      <c r="BF40" s="114">
        <v>0</v>
      </c>
      <c r="BG40" s="114">
        <v>0</v>
      </c>
      <c r="BH40" s="114">
        <v>0</v>
      </c>
      <c r="BI40" s="114">
        <v>0</v>
      </c>
      <c r="BJ40" s="114">
        <v>0</v>
      </c>
      <c r="BK40" s="114">
        <v>0</v>
      </c>
      <c r="BL40" s="114">
        <v>0</v>
      </c>
      <c r="BM40" s="114">
        <v>0</v>
      </c>
      <c r="BN40" s="114">
        <v>0</v>
      </c>
      <c r="BO40" s="114">
        <v>0</v>
      </c>
      <c r="BP40" s="114">
        <v>0</v>
      </c>
      <c r="BQ40" s="114">
        <v>0</v>
      </c>
      <c r="BR40" s="114">
        <v>0</v>
      </c>
      <c r="BS40" s="114">
        <v>0</v>
      </c>
      <c r="BT40" s="114">
        <v>0</v>
      </c>
      <c r="BU40" s="114">
        <v>0</v>
      </c>
      <c r="BV40" s="114">
        <v>0</v>
      </c>
      <c r="BW40" s="114">
        <v>0</v>
      </c>
      <c r="BX40" s="114">
        <v>1</v>
      </c>
      <c r="BY40" s="114">
        <v>0</v>
      </c>
      <c r="BZ40" s="114">
        <v>0</v>
      </c>
      <c r="CA40" s="114">
        <v>0</v>
      </c>
      <c r="CB40" s="114">
        <v>0</v>
      </c>
      <c r="CC40" s="114">
        <v>0</v>
      </c>
      <c r="CD40" s="114">
        <v>0</v>
      </c>
      <c r="CE40" s="114">
        <v>0</v>
      </c>
      <c r="CF40" s="114">
        <v>0</v>
      </c>
      <c r="CG40" s="114">
        <v>0</v>
      </c>
      <c r="CH40" s="114">
        <v>0</v>
      </c>
      <c r="CI40" s="114">
        <v>0</v>
      </c>
      <c r="CJ40" s="114">
        <v>0</v>
      </c>
      <c r="CK40" s="114">
        <v>0</v>
      </c>
      <c r="CL40" s="114">
        <v>1</v>
      </c>
      <c r="CM40" s="114">
        <v>0</v>
      </c>
      <c r="CN40" s="114">
        <v>0</v>
      </c>
      <c r="CO40" s="114">
        <v>0</v>
      </c>
      <c r="CP40" s="114">
        <v>0</v>
      </c>
      <c r="CQ40" s="114">
        <v>0</v>
      </c>
      <c r="CR40" s="114">
        <v>0</v>
      </c>
      <c r="CS40" s="114">
        <v>0</v>
      </c>
      <c r="CT40" s="114">
        <v>0</v>
      </c>
      <c r="CU40" s="114">
        <v>0</v>
      </c>
      <c r="CV40" s="114">
        <v>0</v>
      </c>
    </row>
    <row r="41" spans="1:100" x14ac:dyDescent="0.15">
      <c r="A41" s="193" t="s">
        <v>231</v>
      </c>
      <c r="B41" s="114">
        <v>0</v>
      </c>
      <c r="C41" s="114">
        <v>1</v>
      </c>
      <c r="D41" s="114">
        <v>0</v>
      </c>
      <c r="E41" s="114">
        <v>0</v>
      </c>
      <c r="F41" s="114">
        <v>1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1</v>
      </c>
      <c r="O41" s="114">
        <v>1</v>
      </c>
      <c r="P41" s="114">
        <v>0</v>
      </c>
      <c r="Q41" s="114">
        <v>0</v>
      </c>
      <c r="R41" s="114">
        <v>0</v>
      </c>
      <c r="S41" s="114">
        <v>0</v>
      </c>
      <c r="T41" s="114">
        <v>1</v>
      </c>
      <c r="U41" s="114">
        <v>1</v>
      </c>
      <c r="V41" s="114">
        <v>1</v>
      </c>
      <c r="W41" s="114">
        <v>1</v>
      </c>
      <c r="X41" s="114">
        <v>0</v>
      </c>
      <c r="Y41" s="114">
        <v>0</v>
      </c>
      <c r="Z41" s="114">
        <v>1</v>
      </c>
      <c r="AA41" s="114">
        <v>0</v>
      </c>
      <c r="AB41" s="114">
        <v>1</v>
      </c>
      <c r="AC41" s="114">
        <v>1</v>
      </c>
      <c r="AD41" s="114">
        <v>1</v>
      </c>
      <c r="AE41" s="114">
        <v>1</v>
      </c>
      <c r="AF41" s="114">
        <v>0</v>
      </c>
      <c r="AG41" s="114">
        <v>0</v>
      </c>
      <c r="AH41" s="114">
        <v>0</v>
      </c>
      <c r="AI41" s="114">
        <v>0</v>
      </c>
      <c r="AJ41" s="114">
        <v>0</v>
      </c>
      <c r="AK41" s="114">
        <v>1</v>
      </c>
      <c r="AL41" s="114">
        <v>1</v>
      </c>
      <c r="AM41" s="114">
        <v>1</v>
      </c>
      <c r="AN41" s="114">
        <v>1</v>
      </c>
      <c r="AO41" s="114">
        <v>0</v>
      </c>
      <c r="AP41" s="114">
        <v>0</v>
      </c>
      <c r="AQ41" s="114">
        <v>1</v>
      </c>
      <c r="AR41" s="114">
        <v>0</v>
      </c>
      <c r="AS41" s="114">
        <v>1</v>
      </c>
      <c r="AT41" s="114">
        <v>0</v>
      </c>
      <c r="AU41" s="114">
        <v>0</v>
      </c>
      <c r="AV41" s="114">
        <v>0</v>
      </c>
      <c r="AW41" s="114">
        <v>0</v>
      </c>
      <c r="AX41" s="114">
        <v>0</v>
      </c>
      <c r="AY41" s="114">
        <v>0</v>
      </c>
      <c r="AZ41" s="114">
        <v>0</v>
      </c>
      <c r="BA41" s="114">
        <v>1</v>
      </c>
      <c r="BB41" s="114">
        <v>0</v>
      </c>
      <c r="BC41" s="114">
        <v>1</v>
      </c>
      <c r="BD41" s="114">
        <v>0</v>
      </c>
      <c r="BE41" s="114">
        <v>0</v>
      </c>
      <c r="BF41" s="114">
        <v>0</v>
      </c>
      <c r="BG41" s="114">
        <v>1</v>
      </c>
      <c r="BH41" s="114">
        <v>0</v>
      </c>
      <c r="BI41" s="114">
        <v>1</v>
      </c>
      <c r="BJ41" s="114">
        <v>1</v>
      </c>
      <c r="BK41" s="114">
        <v>0</v>
      </c>
      <c r="BL41" s="114">
        <v>0</v>
      </c>
      <c r="BM41" s="114">
        <v>0</v>
      </c>
      <c r="BN41" s="114">
        <v>0</v>
      </c>
      <c r="BO41" s="114">
        <v>0</v>
      </c>
      <c r="BP41" s="114">
        <v>0</v>
      </c>
      <c r="BQ41" s="114">
        <v>0</v>
      </c>
      <c r="BR41" s="114">
        <v>0</v>
      </c>
      <c r="BS41" s="114">
        <v>0</v>
      </c>
      <c r="BT41" s="114">
        <v>0</v>
      </c>
      <c r="BU41" s="114">
        <v>0</v>
      </c>
      <c r="BV41" s="114">
        <v>0</v>
      </c>
      <c r="BW41" s="114">
        <v>0</v>
      </c>
      <c r="BX41" s="114">
        <v>0</v>
      </c>
      <c r="BY41" s="114">
        <v>0</v>
      </c>
      <c r="BZ41" s="114">
        <v>0</v>
      </c>
      <c r="CA41" s="114">
        <v>0</v>
      </c>
      <c r="CB41" s="114">
        <v>0</v>
      </c>
      <c r="CC41" s="114">
        <v>0</v>
      </c>
      <c r="CD41" s="114">
        <v>0</v>
      </c>
      <c r="CE41" s="114">
        <v>0</v>
      </c>
      <c r="CF41" s="114">
        <v>0</v>
      </c>
      <c r="CG41" s="114">
        <v>0</v>
      </c>
      <c r="CH41" s="114">
        <v>0</v>
      </c>
      <c r="CI41" s="114">
        <v>0</v>
      </c>
      <c r="CJ41" s="114">
        <v>0</v>
      </c>
      <c r="CK41" s="114">
        <v>0</v>
      </c>
      <c r="CL41" s="114">
        <v>0</v>
      </c>
      <c r="CM41" s="114">
        <v>0</v>
      </c>
      <c r="CN41" s="114">
        <v>0</v>
      </c>
      <c r="CO41" s="114">
        <v>0</v>
      </c>
      <c r="CP41" s="114">
        <v>0</v>
      </c>
      <c r="CQ41" s="114">
        <v>0</v>
      </c>
      <c r="CR41" s="114">
        <v>0</v>
      </c>
      <c r="CS41" s="114">
        <v>0</v>
      </c>
      <c r="CT41" s="114">
        <v>0</v>
      </c>
      <c r="CU41" s="114">
        <v>0</v>
      </c>
      <c r="CV41" s="114">
        <v>0</v>
      </c>
    </row>
    <row r="42" spans="1:100" x14ac:dyDescent="0.15">
      <c r="A42" s="193" t="s">
        <v>232</v>
      </c>
      <c r="B42" s="114">
        <v>1</v>
      </c>
      <c r="C42" s="114">
        <v>1</v>
      </c>
      <c r="D42" s="114">
        <v>0</v>
      </c>
      <c r="E42" s="114">
        <v>0</v>
      </c>
      <c r="F42" s="114">
        <v>1</v>
      </c>
      <c r="G42" s="114">
        <v>0</v>
      </c>
      <c r="H42" s="114">
        <v>0</v>
      </c>
      <c r="I42" s="114">
        <v>0</v>
      </c>
      <c r="J42" s="114">
        <v>1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1</v>
      </c>
      <c r="U42" s="114">
        <v>1</v>
      </c>
      <c r="V42" s="114">
        <v>1</v>
      </c>
      <c r="W42" s="114">
        <v>1</v>
      </c>
      <c r="X42" s="114">
        <v>0</v>
      </c>
      <c r="Y42" s="114">
        <v>0</v>
      </c>
      <c r="Z42" s="114">
        <v>0</v>
      </c>
      <c r="AA42" s="114">
        <v>0</v>
      </c>
      <c r="AB42" s="114">
        <v>1</v>
      </c>
      <c r="AC42" s="114">
        <v>1</v>
      </c>
      <c r="AD42" s="114">
        <v>0</v>
      </c>
      <c r="AE42" s="114">
        <v>0</v>
      </c>
      <c r="AF42" s="114">
        <v>0</v>
      </c>
      <c r="AG42" s="114">
        <v>0</v>
      </c>
      <c r="AH42" s="114">
        <v>0</v>
      </c>
      <c r="AI42" s="114">
        <v>0</v>
      </c>
      <c r="AJ42" s="114">
        <v>0</v>
      </c>
      <c r="AK42" s="114">
        <v>1</v>
      </c>
      <c r="AL42" s="114">
        <v>1</v>
      </c>
      <c r="AM42" s="114">
        <v>1</v>
      </c>
      <c r="AN42" s="114">
        <v>1</v>
      </c>
      <c r="AO42" s="114">
        <v>1</v>
      </c>
      <c r="AP42" s="114">
        <v>1</v>
      </c>
      <c r="AQ42" s="114">
        <v>0</v>
      </c>
      <c r="AR42" s="114">
        <v>1</v>
      </c>
      <c r="AS42" s="114">
        <v>0</v>
      </c>
      <c r="AT42" s="114">
        <v>0</v>
      </c>
      <c r="AU42" s="114">
        <v>0</v>
      </c>
      <c r="AV42" s="114">
        <v>0</v>
      </c>
      <c r="AW42" s="114">
        <v>0</v>
      </c>
      <c r="AX42" s="114">
        <v>0</v>
      </c>
      <c r="AY42" s="114">
        <v>0</v>
      </c>
      <c r="AZ42" s="114">
        <v>0</v>
      </c>
      <c r="BA42" s="114">
        <v>1</v>
      </c>
      <c r="BB42" s="114">
        <v>1</v>
      </c>
      <c r="BC42" s="114">
        <v>1</v>
      </c>
      <c r="BD42" s="114">
        <v>1</v>
      </c>
      <c r="BE42" s="114">
        <v>0</v>
      </c>
      <c r="BF42" s="114">
        <v>0</v>
      </c>
      <c r="BG42" s="114">
        <v>1</v>
      </c>
      <c r="BH42" s="114">
        <v>0</v>
      </c>
      <c r="BI42" s="114">
        <v>0</v>
      </c>
      <c r="BJ42" s="114">
        <v>0</v>
      </c>
      <c r="BK42" s="114">
        <v>0</v>
      </c>
      <c r="BL42" s="114">
        <v>0</v>
      </c>
      <c r="BM42" s="114">
        <v>0</v>
      </c>
      <c r="BN42" s="114">
        <v>0</v>
      </c>
      <c r="BO42" s="114">
        <v>0</v>
      </c>
      <c r="BP42" s="114">
        <v>0</v>
      </c>
      <c r="BQ42" s="114">
        <v>0</v>
      </c>
      <c r="BR42" s="114">
        <v>0</v>
      </c>
      <c r="BS42" s="114">
        <v>0</v>
      </c>
      <c r="BT42" s="114">
        <v>0</v>
      </c>
      <c r="BU42" s="114">
        <v>0</v>
      </c>
      <c r="BV42" s="114">
        <v>0</v>
      </c>
      <c r="BW42" s="114">
        <v>0</v>
      </c>
      <c r="BX42" s="114">
        <v>1</v>
      </c>
      <c r="BY42" s="114">
        <v>0</v>
      </c>
      <c r="BZ42" s="114">
        <v>0</v>
      </c>
      <c r="CA42" s="114">
        <v>0</v>
      </c>
      <c r="CB42" s="114">
        <v>0</v>
      </c>
      <c r="CC42" s="114">
        <v>0</v>
      </c>
      <c r="CD42" s="114">
        <v>0</v>
      </c>
      <c r="CE42" s="114">
        <v>0</v>
      </c>
      <c r="CF42" s="114">
        <v>0</v>
      </c>
      <c r="CG42" s="114">
        <v>0</v>
      </c>
      <c r="CH42" s="114">
        <v>0</v>
      </c>
      <c r="CI42" s="114">
        <v>0</v>
      </c>
      <c r="CJ42" s="114">
        <v>0</v>
      </c>
      <c r="CK42" s="114">
        <v>0</v>
      </c>
      <c r="CL42" s="114">
        <v>1</v>
      </c>
      <c r="CM42" s="114">
        <v>0</v>
      </c>
      <c r="CN42" s="114">
        <v>0</v>
      </c>
      <c r="CO42" s="114">
        <v>0</v>
      </c>
      <c r="CP42" s="114">
        <v>0</v>
      </c>
      <c r="CQ42" s="114">
        <v>0</v>
      </c>
      <c r="CR42" s="114">
        <v>0</v>
      </c>
      <c r="CS42" s="114">
        <v>0</v>
      </c>
      <c r="CT42" s="114">
        <v>0</v>
      </c>
      <c r="CU42" s="114">
        <v>0</v>
      </c>
      <c r="CV42" s="114">
        <v>0</v>
      </c>
    </row>
    <row r="43" spans="1:100" x14ac:dyDescent="0.15">
      <c r="A43" s="193" t="s">
        <v>233</v>
      </c>
      <c r="B43" s="114">
        <v>0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1</v>
      </c>
      <c r="L43" s="114">
        <v>1</v>
      </c>
      <c r="M43" s="114">
        <v>1</v>
      </c>
      <c r="N43" s="114">
        <v>1</v>
      </c>
      <c r="O43" s="114">
        <v>1</v>
      </c>
      <c r="P43" s="114">
        <v>1</v>
      </c>
      <c r="Q43" s="114">
        <v>1</v>
      </c>
      <c r="R43" s="114">
        <v>0</v>
      </c>
      <c r="S43" s="114">
        <v>0</v>
      </c>
      <c r="T43" s="114">
        <v>0</v>
      </c>
      <c r="U43" s="114">
        <v>0</v>
      </c>
      <c r="V43" s="114">
        <v>1</v>
      </c>
      <c r="W43" s="114">
        <v>0</v>
      </c>
      <c r="X43" s="114">
        <v>1</v>
      </c>
      <c r="Y43" s="114">
        <v>1</v>
      </c>
      <c r="Z43" s="114">
        <v>1</v>
      </c>
      <c r="AA43" s="114">
        <v>1</v>
      </c>
      <c r="AB43" s="114">
        <v>0</v>
      </c>
      <c r="AC43" s="114">
        <v>0</v>
      </c>
      <c r="AD43" s="114">
        <v>0</v>
      </c>
      <c r="AE43" s="114">
        <v>0</v>
      </c>
      <c r="AF43" s="114">
        <v>1</v>
      </c>
      <c r="AG43" s="114">
        <v>0</v>
      </c>
      <c r="AH43" s="114">
        <v>0</v>
      </c>
      <c r="AI43" s="114">
        <v>0</v>
      </c>
      <c r="AJ43" s="114">
        <v>1</v>
      </c>
      <c r="AK43" s="114">
        <v>1</v>
      </c>
      <c r="AL43" s="114">
        <v>1</v>
      </c>
      <c r="AM43" s="114">
        <v>0</v>
      </c>
      <c r="AN43" s="114">
        <v>0</v>
      </c>
      <c r="AO43" s="114">
        <v>0</v>
      </c>
      <c r="AP43" s="114">
        <v>0</v>
      </c>
      <c r="AQ43" s="114">
        <v>1</v>
      </c>
      <c r="AR43" s="114">
        <v>1</v>
      </c>
      <c r="AS43" s="114">
        <v>1</v>
      </c>
      <c r="AT43" s="114">
        <v>0</v>
      </c>
      <c r="AU43" s="114">
        <v>0</v>
      </c>
      <c r="AV43" s="114">
        <v>0</v>
      </c>
      <c r="AW43" s="114">
        <v>1</v>
      </c>
      <c r="AX43" s="114">
        <v>1</v>
      </c>
      <c r="AY43" s="114">
        <v>1</v>
      </c>
      <c r="AZ43" s="114">
        <v>0</v>
      </c>
      <c r="BA43" s="114">
        <v>1</v>
      </c>
      <c r="BB43" s="114">
        <v>0</v>
      </c>
      <c r="BC43" s="114">
        <v>0</v>
      </c>
      <c r="BD43" s="114">
        <v>0</v>
      </c>
      <c r="BE43" s="114">
        <v>0</v>
      </c>
      <c r="BF43" s="114">
        <v>0</v>
      </c>
      <c r="BG43" s="114">
        <v>1</v>
      </c>
      <c r="BH43" s="114">
        <v>0</v>
      </c>
      <c r="BI43" s="114">
        <v>1</v>
      </c>
      <c r="BJ43" s="114">
        <v>0</v>
      </c>
      <c r="BK43" s="114">
        <v>0</v>
      </c>
      <c r="BL43" s="114">
        <v>0</v>
      </c>
      <c r="BM43" s="114">
        <v>0</v>
      </c>
      <c r="BN43" s="114">
        <v>0</v>
      </c>
      <c r="BO43" s="114">
        <v>0</v>
      </c>
      <c r="BP43" s="114">
        <v>0</v>
      </c>
      <c r="BQ43" s="114">
        <v>0</v>
      </c>
      <c r="BR43" s="114">
        <v>0</v>
      </c>
      <c r="BS43" s="114">
        <v>0</v>
      </c>
      <c r="BT43" s="114">
        <v>0</v>
      </c>
      <c r="BU43" s="114">
        <v>0</v>
      </c>
      <c r="BV43" s="114">
        <v>0</v>
      </c>
      <c r="BW43" s="114">
        <v>0</v>
      </c>
      <c r="BX43" s="114">
        <v>0</v>
      </c>
      <c r="BY43" s="114">
        <v>0</v>
      </c>
      <c r="BZ43" s="114">
        <v>0</v>
      </c>
      <c r="CA43" s="114">
        <v>0</v>
      </c>
      <c r="CB43" s="114">
        <v>0</v>
      </c>
      <c r="CC43" s="114">
        <v>0</v>
      </c>
      <c r="CD43" s="114">
        <v>0</v>
      </c>
      <c r="CE43" s="114">
        <v>0</v>
      </c>
      <c r="CF43" s="114">
        <v>0</v>
      </c>
      <c r="CG43" s="114">
        <v>0</v>
      </c>
      <c r="CH43" s="114">
        <v>0</v>
      </c>
      <c r="CI43" s="114">
        <v>0</v>
      </c>
      <c r="CJ43" s="114">
        <v>0</v>
      </c>
      <c r="CK43" s="114">
        <v>0</v>
      </c>
      <c r="CL43" s="114">
        <v>0</v>
      </c>
      <c r="CM43" s="114">
        <v>0</v>
      </c>
      <c r="CN43" s="114">
        <v>0</v>
      </c>
      <c r="CO43" s="114">
        <v>0</v>
      </c>
      <c r="CP43" s="114">
        <v>0</v>
      </c>
      <c r="CQ43" s="114">
        <v>0</v>
      </c>
      <c r="CR43" s="114">
        <v>0</v>
      </c>
      <c r="CS43" s="114">
        <v>0</v>
      </c>
      <c r="CT43" s="114">
        <v>0</v>
      </c>
      <c r="CU43" s="114">
        <v>0</v>
      </c>
      <c r="CV43" s="114">
        <v>0</v>
      </c>
    </row>
    <row r="44" spans="1:100" x14ac:dyDescent="0.15">
      <c r="A44" s="193" t="s">
        <v>234</v>
      </c>
      <c r="B44" s="114">
        <v>0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1</v>
      </c>
      <c r="L44" s="114">
        <v>1</v>
      </c>
      <c r="M44" s="114">
        <v>1</v>
      </c>
      <c r="N44" s="114">
        <v>1</v>
      </c>
      <c r="O44" s="114">
        <v>1</v>
      </c>
      <c r="P44" s="114">
        <v>1</v>
      </c>
      <c r="Q44" s="114">
        <v>1</v>
      </c>
      <c r="R44" s="114">
        <v>1</v>
      </c>
      <c r="S44" s="114">
        <v>0</v>
      </c>
      <c r="T44" s="114">
        <v>0</v>
      </c>
      <c r="U44" s="114">
        <v>0</v>
      </c>
      <c r="V44" s="114">
        <v>1</v>
      </c>
      <c r="W44" s="114">
        <v>0</v>
      </c>
      <c r="X44" s="114">
        <v>1</v>
      </c>
      <c r="Y44" s="114">
        <v>1</v>
      </c>
      <c r="Z44" s="114">
        <v>1</v>
      </c>
      <c r="AA44" s="114">
        <v>1</v>
      </c>
      <c r="AB44" s="114">
        <v>0</v>
      </c>
      <c r="AC44" s="114">
        <v>0</v>
      </c>
      <c r="AD44" s="114">
        <v>0</v>
      </c>
      <c r="AE44" s="114">
        <v>0</v>
      </c>
      <c r="AF44" s="114">
        <v>1</v>
      </c>
      <c r="AG44" s="114">
        <v>0</v>
      </c>
      <c r="AH44" s="114">
        <v>1</v>
      </c>
      <c r="AI44" s="114">
        <v>1</v>
      </c>
      <c r="AJ44" s="114">
        <v>1</v>
      </c>
      <c r="AK44" s="114">
        <v>1</v>
      </c>
      <c r="AL44" s="114">
        <v>1</v>
      </c>
      <c r="AM44" s="114">
        <v>0</v>
      </c>
      <c r="AN44" s="114">
        <v>0</v>
      </c>
      <c r="AO44" s="114">
        <v>0</v>
      </c>
      <c r="AP44" s="114">
        <v>0</v>
      </c>
      <c r="AQ44" s="114">
        <v>1</v>
      </c>
      <c r="AR44" s="114">
        <v>1</v>
      </c>
      <c r="AS44" s="114">
        <v>1</v>
      </c>
      <c r="AT44" s="114">
        <v>1</v>
      </c>
      <c r="AU44" s="114">
        <v>1</v>
      </c>
      <c r="AV44" s="114">
        <v>1</v>
      </c>
      <c r="AW44" s="114">
        <v>1</v>
      </c>
      <c r="AX44" s="114">
        <v>1</v>
      </c>
      <c r="AY44" s="114">
        <v>1</v>
      </c>
      <c r="AZ44" s="114">
        <v>1</v>
      </c>
      <c r="BA44" s="114">
        <v>1</v>
      </c>
      <c r="BB44" s="114">
        <v>1</v>
      </c>
      <c r="BC44" s="114">
        <v>1</v>
      </c>
      <c r="BD44" s="114">
        <v>1</v>
      </c>
      <c r="BE44" s="114">
        <v>0</v>
      </c>
      <c r="BF44" s="114">
        <v>0</v>
      </c>
      <c r="BG44" s="114">
        <v>1</v>
      </c>
      <c r="BH44" s="114">
        <v>0</v>
      </c>
      <c r="BI44" s="114">
        <v>1</v>
      </c>
      <c r="BJ44" s="114">
        <v>0</v>
      </c>
      <c r="BK44" s="114">
        <v>0</v>
      </c>
      <c r="BL44" s="114">
        <v>0</v>
      </c>
      <c r="BM44" s="114">
        <v>0</v>
      </c>
      <c r="BN44" s="114">
        <v>1</v>
      </c>
      <c r="BO44" s="114">
        <v>0</v>
      </c>
      <c r="BP44" s="114">
        <v>0</v>
      </c>
      <c r="BQ44" s="114">
        <v>0</v>
      </c>
      <c r="BR44" s="114">
        <v>0</v>
      </c>
      <c r="BS44" s="114">
        <v>0</v>
      </c>
      <c r="BT44" s="114">
        <v>0</v>
      </c>
      <c r="BU44" s="114">
        <v>1</v>
      </c>
      <c r="BV44" s="114">
        <v>0</v>
      </c>
      <c r="BW44" s="114">
        <v>0</v>
      </c>
      <c r="BX44" s="114">
        <v>1</v>
      </c>
      <c r="BY44" s="114">
        <v>1</v>
      </c>
      <c r="BZ44" s="114">
        <v>0</v>
      </c>
      <c r="CA44" s="114">
        <v>0</v>
      </c>
      <c r="CB44" s="114">
        <v>0</v>
      </c>
      <c r="CC44" s="114">
        <v>0</v>
      </c>
      <c r="CD44" s="114">
        <v>0</v>
      </c>
      <c r="CE44" s="114">
        <v>0</v>
      </c>
      <c r="CF44" s="114">
        <v>0</v>
      </c>
      <c r="CG44" s="114">
        <v>0</v>
      </c>
      <c r="CH44" s="114">
        <v>0</v>
      </c>
      <c r="CI44" s="114">
        <v>0</v>
      </c>
      <c r="CJ44" s="114">
        <v>1</v>
      </c>
      <c r="CK44" s="114">
        <v>0</v>
      </c>
      <c r="CL44" s="114">
        <v>1</v>
      </c>
      <c r="CM44" s="114">
        <v>0</v>
      </c>
      <c r="CN44" s="114">
        <v>0</v>
      </c>
      <c r="CO44" s="114">
        <v>0</v>
      </c>
      <c r="CP44" s="114">
        <v>0</v>
      </c>
      <c r="CQ44" s="114">
        <v>0</v>
      </c>
      <c r="CR44" s="114">
        <v>0</v>
      </c>
      <c r="CS44" s="114">
        <v>0</v>
      </c>
      <c r="CT44" s="114">
        <v>0</v>
      </c>
      <c r="CU44" s="114">
        <v>0</v>
      </c>
      <c r="CV44" s="114">
        <v>0</v>
      </c>
    </row>
    <row r="45" spans="1:100" x14ac:dyDescent="0.15">
      <c r="A45" s="193" t="s">
        <v>235</v>
      </c>
      <c r="B45" s="114">
        <v>0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1</v>
      </c>
      <c r="L45" s="114">
        <v>1</v>
      </c>
      <c r="M45" s="114">
        <v>1</v>
      </c>
      <c r="N45" s="114">
        <v>1</v>
      </c>
      <c r="O45" s="114">
        <v>1</v>
      </c>
      <c r="P45" s="114">
        <v>1</v>
      </c>
      <c r="Q45" s="114">
        <v>1</v>
      </c>
      <c r="R45" s="114">
        <v>1</v>
      </c>
      <c r="S45" s="114">
        <v>1</v>
      </c>
      <c r="T45" s="114">
        <v>0</v>
      </c>
      <c r="U45" s="114">
        <v>0</v>
      </c>
      <c r="V45" s="114">
        <v>1</v>
      </c>
      <c r="W45" s="114">
        <v>0</v>
      </c>
      <c r="X45" s="114">
        <v>1</v>
      </c>
      <c r="Y45" s="114">
        <v>1</v>
      </c>
      <c r="Z45" s="114">
        <v>1</v>
      </c>
      <c r="AA45" s="114">
        <v>1</v>
      </c>
      <c r="AB45" s="114">
        <v>0</v>
      </c>
      <c r="AC45" s="114">
        <v>0</v>
      </c>
      <c r="AD45" s="114">
        <v>0</v>
      </c>
      <c r="AE45" s="114">
        <v>0</v>
      </c>
      <c r="AF45" s="114">
        <v>1</v>
      </c>
      <c r="AG45" s="114">
        <v>0</v>
      </c>
      <c r="AH45" s="114">
        <v>0</v>
      </c>
      <c r="AI45" s="114">
        <v>0</v>
      </c>
      <c r="AJ45" s="114">
        <v>1</v>
      </c>
      <c r="AK45" s="114">
        <v>1</v>
      </c>
      <c r="AL45" s="114">
        <v>1</v>
      </c>
      <c r="AM45" s="114">
        <v>0</v>
      </c>
      <c r="AN45" s="114">
        <v>0</v>
      </c>
      <c r="AO45" s="114">
        <v>0</v>
      </c>
      <c r="AP45" s="114">
        <v>0</v>
      </c>
      <c r="AQ45" s="114">
        <v>1</v>
      </c>
      <c r="AR45" s="114">
        <v>1</v>
      </c>
      <c r="AS45" s="114">
        <v>1</v>
      </c>
      <c r="AT45" s="114">
        <v>1</v>
      </c>
      <c r="AU45" s="114">
        <v>0</v>
      </c>
      <c r="AV45" s="114">
        <v>1</v>
      </c>
      <c r="AW45" s="114">
        <v>1</v>
      </c>
      <c r="AX45" s="114">
        <v>1</v>
      </c>
      <c r="AY45" s="114">
        <v>1</v>
      </c>
      <c r="AZ45" s="114">
        <v>1</v>
      </c>
      <c r="BA45" s="114">
        <v>1</v>
      </c>
      <c r="BB45" s="114">
        <v>1</v>
      </c>
      <c r="BC45" s="114">
        <v>0</v>
      </c>
      <c r="BD45" s="114">
        <v>0</v>
      </c>
      <c r="BE45" s="114">
        <v>0</v>
      </c>
      <c r="BF45" s="114">
        <v>0</v>
      </c>
      <c r="BG45" s="114">
        <v>1</v>
      </c>
      <c r="BH45" s="114">
        <v>0</v>
      </c>
      <c r="BI45" s="114">
        <v>1</v>
      </c>
      <c r="BJ45" s="114">
        <v>0</v>
      </c>
      <c r="BK45" s="114">
        <v>0</v>
      </c>
      <c r="BL45" s="114">
        <v>0</v>
      </c>
      <c r="BM45" s="114">
        <v>0</v>
      </c>
      <c r="BN45" s="114">
        <v>0</v>
      </c>
      <c r="BO45" s="114">
        <v>0</v>
      </c>
      <c r="BP45" s="114">
        <v>0</v>
      </c>
      <c r="BQ45" s="114">
        <v>0</v>
      </c>
      <c r="BR45" s="114">
        <v>0</v>
      </c>
      <c r="BS45" s="114">
        <v>0</v>
      </c>
      <c r="BT45" s="114">
        <v>0</v>
      </c>
      <c r="BU45" s="114">
        <v>0</v>
      </c>
      <c r="BV45" s="114">
        <v>0</v>
      </c>
      <c r="BW45" s="114">
        <v>0</v>
      </c>
      <c r="BX45" s="114">
        <v>0</v>
      </c>
      <c r="BY45" s="114">
        <v>0</v>
      </c>
      <c r="BZ45" s="114">
        <v>0</v>
      </c>
      <c r="CA45" s="114">
        <v>0</v>
      </c>
      <c r="CB45" s="114">
        <v>0</v>
      </c>
      <c r="CC45" s="114">
        <v>0</v>
      </c>
      <c r="CD45" s="114">
        <v>0</v>
      </c>
      <c r="CE45" s="114">
        <v>0</v>
      </c>
      <c r="CF45" s="114">
        <v>0</v>
      </c>
      <c r="CG45" s="114">
        <v>0</v>
      </c>
      <c r="CH45" s="114">
        <v>0</v>
      </c>
      <c r="CI45" s="114">
        <v>0</v>
      </c>
      <c r="CJ45" s="114">
        <v>0</v>
      </c>
      <c r="CK45" s="114">
        <v>0</v>
      </c>
      <c r="CL45" s="114">
        <v>0</v>
      </c>
      <c r="CM45" s="114">
        <v>0</v>
      </c>
      <c r="CN45" s="114">
        <v>0</v>
      </c>
      <c r="CO45" s="114">
        <v>0</v>
      </c>
      <c r="CP45" s="114">
        <v>0</v>
      </c>
      <c r="CQ45" s="114">
        <v>0</v>
      </c>
      <c r="CR45" s="114">
        <v>0</v>
      </c>
      <c r="CS45" s="114">
        <v>0</v>
      </c>
      <c r="CT45" s="114">
        <v>0</v>
      </c>
      <c r="CU45" s="114">
        <v>0</v>
      </c>
      <c r="CV45" s="114">
        <v>0</v>
      </c>
    </row>
    <row r="46" spans="1:100" x14ac:dyDescent="0.15">
      <c r="A46" s="193" t="s">
        <v>236</v>
      </c>
      <c r="B46" s="114">
        <v>0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1</v>
      </c>
      <c r="L46" s="114">
        <v>1</v>
      </c>
      <c r="M46" s="114">
        <v>1</v>
      </c>
      <c r="N46" s="114">
        <v>1</v>
      </c>
      <c r="O46" s="114">
        <v>1</v>
      </c>
      <c r="P46" s="114">
        <v>1</v>
      </c>
      <c r="Q46" s="114">
        <v>1</v>
      </c>
      <c r="R46" s="114">
        <v>1</v>
      </c>
      <c r="S46" s="114">
        <v>0</v>
      </c>
      <c r="T46" s="114">
        <v>0</v>
      </c>
      <c r="U46" s="114">
        <v>1</v>
      </c>
      <c r="V46" s="114">
        <v>1</v>
      </c>
      <c r="W46" s="114">
        <v>0</v>
      </c>
      <c r="X46" s="114">
        <v>0</v>
      </c>
      <c r="Y46" s="114">
        <v>1</v>
      </c>
      <c r="Z46" s="114">
        <v>0</v>
      </c>
      <c r="AA46" s="114">
        <v>1</v>
      </c>
      <c r="AB46" s="114">
        <v>0</v>
      </c>
      <c r="AC46" s="114">
        <v>0</v>
      </c>
      <c r="AD46" s="114">
        <v>0</v>
      </c>
      <c r="AE46" s="114">
        <v>0</v>
      </c>
      <c r="AF46" s="114">
        <v>0</v>
      </c>
      <c r="AG46" s="114">
        <v>0</v>
      </c>
      <c r="AH46" s="114">
        <v>1</v>
      </c>
      <c r="AI46" s="114">
        <v>1</v>
      </c>
      <c r="AJ46" s="114">
        <v>0</v>
      </c>
      <c r="AK46" s="114">
        <v>1</v>
      </c>
      <c r="AL46" s="114">
        <v>1</v>
      </c>
      <c r="AM46" s="114">
        <v>0</v>
      </c>
      <c r="AN46" s="114">
        <v>0</v>
      </c>
      <c r="AO46" s="114">
        <v>0</v>
      </c>
      <c r="AP46" s="114">
        <v>0</v>
      </c>
      <c r="AQ46" s="114">
        <v>1</v>
      </c>
      <c r="AR46" s="114">
        <v>1</v>
      </c>
      <c r="AS46" s="114">
        <v>1</v>
      </c>
      <c r="AT46" s="114">
        <v>1</v>
      </c>
      <c r="AU46" s="114">
        <v>1</v>
      </c>
      <c r="AV46" s="114">
        <v>1</v>
      </c>
      <c r="AW46" s="114">
        <v>0</v>
      </c>
      <c r="AX46" s="114">
        <v>1</v>
      </c>
      <c r="AY46" s="114">
        <v>1</v>
      </c>
      <c r="AZ46" s="114">
        <v>1</v>
      </c>
      <c r="BA46" s="114">
        <v>1</v>
      </c>
      <c r="BB46" s="114">
        <v>1</v>
      </c>
      <c r="BC46" s="114">
        <v>1</v>
      </c>
      <c r="BD46" s="114">
        <v>1</v>
      </c>
      <c r="BE46" s="114">
        <v>0</v>
      </c>
      <c r="BF46" s="114">
        <v>0</v>
      </c>
      <c r="BG46" s="114">
        <v>1</v>
      </c>
      <c r="BH46" s="114">
        <v>0</v>
      </c>
      <c r="BI46" s="114">
        <v>0</v>
      </c>
      <c r="BJ46" s="114">
        <v>0</v>
      </c>
      <c r="BK46" s="114">
        <v>0</v>
      </c>
      <c r="BL46" s="114">
        <v>0</v>
      </c>
      <c r="BM46" s="114">
        <v>0</v>
      </c>
      <c r="BN46" s="114">
        <v>1</v>
      </c>
      <c r="BO46" s="114">
        <v>0</v>
      </c>
      <c r="BP46" s="114">
        <v>0</v>
      </c>
      <c r="BQ46" s="114">
        <v>0</v>
      </c>
      <c r="BR46" s="114">
        <v>0</v>
      </c>
      <c r="BS46" s="114">
        <v>0</v>
      </c>
      <c r="BT46" s="114">
        <v>0</v>
      </c>
      <c r="BU46" s="114">
        <v>1</v>
      </c>
      <c r="BV46" s="114">
        <v>0</v>
      </c>
      <c r="BW46" s="114">
        <v>0</v>
      </c>
      <c r="BX46" s="114">
        <v>0</v>
      </c>
      <c r="BY46" s="114">
        <v>0</v>
      </c>
      <c r="BZ46" s="114">
        <v>0</v>
      </c>
      <c r="CA46" s="114">
        <v>0</v>
      </c>
      <c r="CB46" s="114">
        <v>0</v>
      </c>
      <c r="CC46" s="114">
        <v>0</v>
      </c>
      <c r="CD46" s="114">
        <v>0</v>
      </c>
      <c r="CE46" s="114">
        <v>0</v>
      </c>
      <c r="CF46" s="114">
        <v>0</v>
      </c>
      <c r="CG46" s="114">
        <v>0</v>
      </c>
      <c r="CH46" s="114">
        <v>0</v>
      </c>
      <c r="CI46" s="114">
        <v>0</v>
      </c>
      <c r="CJ46" s="114">
        <v>0</v>
      </c>
      <c r="CK46" s="114">
        <v>0</v>
      </c>
      <c r="CL46" s="114">
        <v>1</v>
      </c>
      <c r="CM46" s="114">
        <v>0</v>
      </c>
      <c r="CN46" s="114">
        <v>0</v>
      </c>
      <c r="CO46" s="114">
        <v>0</v>
      </c>
      <c r="CP46" s="114">
        <v>0</v>
      </c>
      <c r="CQ46" s="114">
        <v>0</v>
      </c>
      <c r="CR46" s="114">
        <v>0</v>
      </c>
      <c r="CS46" s="114">
        <v>0</v>
      </c>
      <c r="CT46" s="114">
        <v>0</v>
      </c>
      <c r="CU46" s="114">
        <v>0</v>
      </c>
      <c r="CV46" s="114">
        <v>0</v>
      </c>
    </row>
    <row r="47" spans="1:100" x14ac:dyDescent="0.15">
      <c r="A47" s="193" t="s">
        <v>237</v>
      </c>
      <c r="B47" s="114">
        <v>0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0</v>
      </c>
      <c r="J47" s="114">
        <v>0</v>
      </c>
      <c r="K47" s="114">
        <v>1</v>
      </c>
      <c r="L47" s="114">
        <v>1</v>
      </c>
      <c r="M47" s="114">
        <v>1</v>
      </c>
      <c r="N47" s="114">
        <v>1</v>
      </c>
      <c r="O47" s="114">
        <v>1</v>
      </c>
      <c r="P47" s="114">
        <v>1</v>
      </c>
      <c r="Q47" s="114">
        <v>1</v>
      </c>
      <c r="R47" s="114">
        <v>1</v>
      </c>
      <c r="S47" s="114">
        <v>1</v>
      </c>
      <c r="T47" s="114">
        <v>0</v>
      </c>
      <c r="U47" s="114">
        <v>0</v>
      </c>
      <c r="V47" s="114">
        <v>1</v>
      </c>
      <c r="W47" s="114">
        <v>0</v>
      </c>
      <c r="X47" s="114">
        <v>1</v>
      </c>
      <c r="Y47" s="114">
        <v>1</v>
      </c>
      <c r="Z47" s="114">
        <v>1</v>
      </c>
      <c r="AA47" s="114">
        <v>1</v>
      </c>
      <c r="AB47" s="114">
        <v>0</v>
      </c>
      <c r="AC47" s="114">
        <v>0</v>
      </c>
      <c r="AD47" s="114">
        <v>0</v>
      </c>
      <c r="AE47" s="114">
        <v>0</v>
      </c>
      <c r="AF47" s="114">
        <v>1</v>
      </c>
      <c r="AG47" s="114">
        <v>1</v>
      </c>
      <c r="AH47" s="114">
        <v>0</v>
      </c>
      <c r="AI47" s="114">
        <v>0</v>
      </c>
      <c r="AJ47" s="114">
        <v>1</v>
      </c>
      <c r="AK47" s="114">
        <v>1</v>
      </c>
      <c r="AL47" s="114">
        <v>1</v>
      </c>
      <c r="AM47" s="114">
        <v>0</v>
      </c>
      <c r="AN47" s="114">
        <v>0</v>
      </c>
      <c r="AO47" s="114">
        <v>0</v>
      </c>
      <c r="AP47" s="114">
        <v>0</v>
      </c>
      <c r="AQ47" s="114">
        <v>1</v>
      </c>
      <c r="AR47" s="114">
        <v>1</v>
      </c>
      <c r="AS47" s="114">
        <v>1</v>
      </c>
      <c r="AT47" s="114">
        <v>1</v>
      </c>
      <c r="AU47" s="114">
        <v>1</v>
      </c>
      <c r="AV47" s="114">
        <v>1</v>
      </c>
      <c r="AW47" s="114">
        <v>1</v>
      </c>
      <c r="AX47" s="114">
        <v>1</v>
      </c>
      <c r="AY47" s="114">
        <v>1</v>
      </c>
      <c r="AZ47" s="114">
        <v>1</v>
      </c>
      <c r="BA47" s="114">
        <v>1</v>
      </c>
      <c r="BB47" s="114">
        <v>0</v>
      </c>
      <c r="BC47" s="114">
        <v>0</v>
      </c>
      <c r="BD47" s="114">
        <v>0</v>
      </c>
      <c r="BE47" s="114">
        <v>0</v>
      </c>
      <c r="BF47" s="114">
        <v>0</v>
      </c>
      <c r="BG47" s="114">
        <v>1</v>
      </c>
      <c r="BH47" s="114">
        <v>0</v>
      </c>
      <c r="BI47" s="114">
        <v>1</v>
      </c>
      <c r="BJ47" s="114">
        <v>1</v>
      </c>
      <c r="BK47" s="114">
        <v>0</v>
      </c>
      <c r="BL47" s="114">
        <v>0</v>
      </c>
      <c r="BM47" s="114">
        <v>0</v>
      </c>
      <c r="BN47" s="114">
        <v>0</v>
      </c>
      <c r="BO47" s="114">
        <v>0</v>
      </c>
      <c r="BP47" s="114">
        <v>0</v>
      </c>
      <c r="BQ47" s="114">
        <v>0</v>
      </c>
      <c r="BR47" s="114">
        <v>0</v>
      </c>
      <c r="BS47" s="114">
        <v>0</v>
      </c>
      <c r="BT47" s="114">
        <v>0</v>
      </c>
      <c r="BU47" s="114">
        <v>1</v>
      </c>
      <c r="BV47" s="114">
        <v>0</v>
      </c>
      <c r="BW47" s="114">
        <v>0</v>
      </c>
      <c r="BX47" s="114">
        <v>0</v>
      </c>
      <c r="BY47" s="114">
        <v>0</v>
      </c>
      <c r="BZ47" s="114">
        <v>0</v>
      </c>
      <c r="CA47" s="114">
        <v>0</v>
      </c>
      <c r="CB47" s="114">
        <v>0</v>
      </c>
      <c r="CC47" s="114">
        <v>0</v>
      </c>
      <c r="CD47" s="114">
        <v>0</v>
      </c>
      <c r="CE47" s="114">
        <v>0</v>
      </c>
      <c r="CF47" s="114">
        <v>0</v>
      </c>
      <c r="CG47" s="114">
        <v>0</v>
      </c>
      <c r="CH47" s="114">
        <v>0</v>
      </c>
      <c r="CI47" s="114">
        <v>0</v>
      </c>
      <c r="CJ47" s="114">
        <v>0</v>
      </c>
      <c r="CK47" s="114">
        <v>0</v>
      </c>
      <c r="CL47" s="114">
        <v>0</v>
      </c>
      <c r="CM47" s="114">
        <v>0</v>
      </c>
      <c r="CN47" s="114">
        <v>0</v>
      </c>
      <c r="CO47" s="114">
        <v>0</v>
      </c>
      <c r="CP47" s="114">
        <v>0</v>
      </c>
      <c r="CQ47" s="114">
        <v>0</v>
      </c>
      <c r="CR47" s="114">
        <v>0</v>
      </c>
      <c r="CS47" s="114">
        <v>0</v>
      </c>
      <c r="CT47" s="114">
        <v>0</v>
      </c>
      <c r="CU47" s="114">
        <v>0</v>
      </c>
      <c r="CV47" s="114">
        <v>0</v>
      </c>
    </row>
    <row r="48" spans="1:100" x14ac:dyDescent="0.15">
      <c r="A48" s="193" t="s">
        <v>238</v>
      </c>
      <c r="B48" s="114"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1</v>
      </c>
      <c r="L48" s="114">
        <v>1</v>
      </c>
      <c r="M48" s="114">
        <v>1</v>
      </c>
      <c r="N48" s="114">
        <v>1</v>
      </c>
      <c r="O48" s="114">
        <v>1</v>
      </c>
      <c r="P48" s="114">
        <v>1</v>
      </c>
      <c r="Q48" s="114">
        <v>1</v>
      </c>
      <c r="R48" s="114">
        <v>1</v>
      </c>
      <c r="S48" s="114">
        <v>0</v>
      </c>
      <c r="T48" s="114">
        <v>0</v>
      </c>
      <c r="U48" s="114">
        <v>0</v>
      </c>
      <c r="V48" s="114">
        <v>0</v>
      </c>
      <c r="W48" s="114">
        <v>0</v>
      </c>
      <c r="X48" s="114">
        <v>1</v>
      </c>
      <c r="Y48" s="114">
        <v>0</v>
      </c>
      <c r="Z48" s="114">
        <v>0</v>
      </c>
      <c r="AA48" s="114">
        <v>0</v>
      </c>
      <c r="AB48" s="114">
        <v>0</v>
      </c>
      <c r="AC48" s="114">
        <v>0</v>
      </c>
      <c r="AD48" s="114">
        <v>0</v>
      </c>
      <c r="AE48" s="114">
        <v>0</v>
      </c>
      <c r="AF48" s="114">
        <v>0</v>
      </c>
      <c r="AG48" s="114">
        <v>0</v>
      </c>
      <c r="AH48" s="114">
        <v>1</v>
      </c>
      <c r="AI48" s="114">
        <v>1</v>
      </c>
      <c r="AJ48" s="114">
        <v>1</v>
      </c>
      <c r="AK48" s="114">
        <v>1</v>
      </c>
      <c r="AL48" s="114">
        <v>1</v>
      </c>
      <c r="AM48" s="114">
        <v>0</v>
      </c>
      <c r="AN48" s="114">
        <v>0</v>
      </c>
      <c r="AO48" s="114">
        <v>0</v>
      </c>
      <c r="AP48" s="114">
        <v>0</v>
      </c>
      <c r="AQ48" s="114">
        <v>1</v>
      </c>
      <c r="AR48" s="114">
        <v>1</v>
      </c>
      <c r="AS48" s="114">
        <v>1</v>
      </c>
      <c r="AT48" s="114">
        <v>1</v>
      </c>
      <c r="AU48" s="114">
        <v>1</v>
      </c>
      <c r="AV48" s="114">
        <v>1</v>
      </c>
      <c r="AW48" s="114">
        <v>1</v>
      </c>
      <c r="AX48" s="114">
        <v>1</v>
      </c>
      <c r="AY48" s="114">
        <v>1</v>
      </c>
      <c r="AZ48" s="114">
        <v>1</v>
      </c>
      <c r="BA48" s="114">
        <v>1</v>
      </c>
      <c r="BB48" s="114">
        <v>1</v>
      </c>
      <c r="BC48" s="114">
        <v>1</v>
      </c>
      <c r="BD48" s="114">
        <v>1</v>
      </c>
      <c r="BE48" s="114">
        <v>0</v>
      </c>
      <c r="BF48" s="114">
        <v>0</v>
      </c>
      <c r="BG48" s="114">
        <v>1</v>
      </c>
      <c r="BH48" s="114">
        <v>1</v>
      </c>
      <c r="BI48" s="114">
        <v>1</v>
      </c>
      <c r="BJ48" s="114">
        <v>1</v>
      </c>
      <c r="BK48" s="114">
        <v>0</v>
      </c>
      <c r="BL48" s="114">
        <v>0</v>
      </c>
      <c r="BM48" s="114">
        <v>0</v>
      </c>
      <c r="BN48" s="114">
        <v>1</v>
      </c>
      <c r="BO48" s="114">
        <v>0</v>
      </c>
      <c r="BP48" s="114">
        <v>0</v>
      </c>
      <c r="BQ48" s="114">
        <v>0</v>
      </c>
      <c r="BR48" s="114">
        <v>0</v>
      </c>
      <c r="BS48" s="114">
        <v>0</v>
      </c>
      <c r="BT48" s="114">
        <v>0</v>
      </c>
      <c r="BU48" s="114">
        <v>1</v>
      </c>
      <c r="BV48" s="114">
        <v>0</v>
      </c>
      <c r="BW48" s="114">
        <v>0</v>
      </c>
      <c r="BX48" s="114">
        <v>0</v>
      </c>
      <c r="BY48" s="114">
        <v>0</v>
      </c>
      <c r="BZ48" s="114">
        <v>0</v>
      </c>
      <c r="CA48" s="114">
        <v>0</v>
      </c>
      <c r="CB48" s="114">
        <v>0</v>
      </c>
      <c r="CC48" s="114">
        <v>0</v>
      </c>
      <c r="CD48" s="114">
        <v>0</v>
      </c>
      <c r="CE48" s="114">
        <v>0</v>
      </c>
      <c r="CF48" s="114">
        <v>0</v>
      </c>
      <c r="CG48" s="114">
        <v>0</v>
      </c>
      <c r="CH48" s="114">
        <v>0</v>
      </c>
      <c r="CI48" s="114">
        <v>0</v>
      </c>
      <c r="CJ48" s="114">
        <v>0</v>
      </c>
      <c r="CK48" s="114">
        <v>0</v>
      </c>
      <c r="CL48" s="114">
        <v>1</v>
      </c>
      <c r="CM48" s="114">
        <v>0</v>
      </c>
      <c r="CN48" s="114">
        <v>0</v>
      </c>
      <c r="CO48" s="114">
        <v>0</v>
      </c>
      <c r="CP48" s="114">
        <v>0</v>
      </c>
      <c r="CQ48" s="114">
        <v>0</v>
      </c>
      <c r="CR48" s="114">
        <v>0</v>
      </c>
      <c r="CS48" s="114">
        <v>0</v>
      </c>
      <c r="CT48" s="114">
        <v>0</v>
      </c>
      <c r="CU48" s="114">
        <v>0</v>
      </c>
      <c r="CV48" s="114">
        <v>0</v>
      </c>
    </row>
    <row r="49" spans="1:100" x14ac:dyDescent="0.15">
      <c r="A49" s="193" t="s">
        <v>239</v>
      </c>
      <c r="B49" s="114">
        <v>0</v>
      </c>
      <c r="C49" s="114">
        <v>1</v>
      </c>
      <c r="D49" s="114">
        <v>0</v>
      </c>
      <c r="E49" s="114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1</v>
      </c>
      <c r="L49" s="114">
        <v>1</v>
      </c>
      <c r="M49" s="114">
        <v>1</v>
      </c>
      <c r="N49" s="114">
        <v>1</v>
      </c>
      <c r="O49" s="114">
        <v>1</v>
      </c>
      <c r="P49" s="114">
        <v>1</v>
      </c>
      <c r="Q49" s="114">
        <v>1</v>
      </c>
      <c r="R49" s="114">
        <v>0</v>
      </c>
      <c r="S49" s="114">
        <v>0</v>
      </c>
      <c r="T49" s="114">
        <v>0</v>
      </c>
      <c r="U49" s="114">
        <v>0</v>
      </c>
      <c r="V49" s="114">
        <v>1</v>
      </c>
      <c r="W49" s="114">
        <v>0</v>
      </c>
      <c r="X49" s="114">
        <v>1</v>
      </c>
      <c r="Y49" s="114">
        <v>1</v>
      </c>
      <c r="Z49" s="114">
        <v>1</v>
      </c>
      <c r="AA49" s="114">
        <v>1</v>
      </c>
      <c r="AB49" s="114">
        <v>1</v>
      </c>
      <c r="AC49" s="114">
        <v>0</v>
      </c>
      <c r="AD49" s="114">
        <v>0</v>
      </c>
      <c r="AE49" s="114">
        <v>0</v>
      </c>
      <c r="AF49" s="114">
        <v>1</v>
      </c>
      <c r="AG49" s="114">
        <v>0</v>
      </c>
      <c r="AH49" s="114">
        <v>0</v>
      </c>
      <c r="AI49" s="114">
        <v>0</v>
      </c>
      <c r="AJ49" s="114">
        <v>1</v>
      </c>
      <c r="AK49" s="114">
        <v>1</v>
      </c>
      <c r="AL49" s="114">
        <v>1</v>
      </c>
      <c r="AM49" s="114">
        <v>0</v>
      </c>
      <c r="AN49" s="114">
        <v>0</v>
      </c>
      <c r="AO49" s="114">
        <v>0</v>
      </c>
      <c r="AP49" s="114">
        <v>0</v>
      </c>
      <c r="AQ49" s="114">
        <v>1</v>
      </c>
      <c r="AR49" s="114">
        <v>1</v>
      </c>
      <c r="AS49" s="114">
        <v>1</v>
      </c>
      <c r="AT49" s="114">
        <v>0</v>
      </c>
      <c r="AU49" s="114">
        <v>0</v>
      </c>
      <c r="AV49" s="114">
        <v>0</v>
      </c>
      <c r="AW49" s="114">
        <v>1</v>
      </c>
      <c r="AX49" s="114">
        <v>1</v>
      </c>
      <c r="AY49" s="114">
        <v>1</v>
      </c>
      <c r="AZ49" s="114">
        <v>0</v>
      </c>
      <c r="BA49" s="114">
        <v>1</v>
      </c>
      <c r="BB49" s="114">
        <v>0</v>
      </c>
      <c r="BC49" s="114">
        <v>0</v>
      </c>
      <c r="BD49" s="114">
        <v>0</v>
      </c>
      <c r="BE49" s="114">
        <v>0</v>
      </c>
      <c r="BF49" s="114">
        <v>0</v>
      </c>
      <c r="BG49" s="114">
        <v>1</v>
      </c>
      <c r="BH49" s="114">
        <v>0</v>
      </c>
      <c r="BI49" s="114">
        <v>1</v>
      </c>
      <c r="BJ49" s="114">
        <v>0</v>
      </c>
      <c r="BK49" s="114">
        <v>0</v>
      </c>
      <c r="BL49" s="114">
        <v>0</v>
      </c>
      <c r="BM49" s="114">
        <v>0</v>
      </c>
      <c r="BN49" s="114">
        <v>0</v>
      </c>
      <c r="BO49" s="114">
        <v>0</v>
      </c>
      <c r="BP49" s="114">
        <v>0</v>
      </c>
      <c r="BQ49" s="114">
        <v>0</v>
      </c>
      <c r="BR49" s="114">
        <v>0</v>
      </c>
      <c r="BS49" s="114">
        <v>0</v>
      </c>
      <c r="BT49" s="114">
        <v>0</v>
      </c>
      <c r="BU49" s="114">
        <v>0</v>
      </c>
      <c r="BV49" s="114">
        <v>0</v>
      </c>
      <c r="BW49" s="114">
        <v>0</v>
      </c>
      <c r="BX49" s="114">
        <v>0</v>
      </c>
      <c r="BY49" s="114">
        <v>0</v>
      </c>
      <c r="BZ49" s="114">
        <v>0</v>
      </c>
      <c r="CA49" s="114">
        <v>0</v>
      </c>
      <c r="CB49" s="114">
        <v>0</v>
      </c>
      <c r="CC49" s="114">
        <v>0</v>
      </c>
      <c r="CD49" s="114">
        <v>0</v>
      </c>
      <c r="CE49" s="114">
        <v>0</v>
      </c>
      <c r="CF49" s="114">
        <v>0</v>
      </c>
      <c r="CG49" s="114">
        <v>0</v>
      </c>
      <c r="CH49" s="114">
        <v>0</v>
      </c>
      <c r="CI49" s="114">
        <v>0</v>
      </c>
      <c r="CJ49" s="114">
        <v>0</v>
      </c>
      <c r="CK49" s="114">
        <v>0</v>
      </c>
      <c r="CL49" s="114">
        <v>0</v>
      </c>
      <c r="CM49" s="114">
        <v>0</v>
      </c>
      <c r="CN49" s="114">
        <v>0</v>
      </c>
      <c r="CO49" s="114">
        <v>0</v>
      </c>
      <c r="CP49" s="114">
        <v>0</v>
      </c>
      <c r="CQ49" s="114">
        <v>0</v>
      </c>
      <c r="CR49" s="114">
        <v>0</v>
      </c>
      <c r="CS49" s="114">
        <v>0</v>
      </c>
      <c r="CT49" s="114">
        <v>0</v>
      </c>
      <c r="CU49" s="114">
        <v>0</v>
      </c>
      <c r="CV49" s="114">
        <v>0</v>
      </c>
    </row>
    <row r="50" spans="1:100" x14ac:dyDescent="0.15">
      <c r="A50" s="193" t="s">
        <v>240</v>
      </c>
      <c r="B50" s="114">
        <v>0</v>
      </c>
      <c r="C50" s="114">
        <v>0</v>
      </c>
      <c r="D50" s="114">
        <v>1</v>
      </c>
      <c r="E50" s="114">
        <v>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</v>
      </c>
      <c r="N50" s="114">
        <v>1</v>
      </c>
      <c r="O50" s="114">
        <v>1</v>
      </c>
      <c r="P50" s="114">
        <v>0</v>
      </c>
      <c r="Q50" s="114">
        <v>1</v>
      </c>
      <c r="R50" s="114">
        <v>1</v>
      </c>
      <c r="S50" s="114">
        <v>0</v>
      </c>
      <c r="T50" s="114">
        <v>0</v>
      </c>
      <c r="U50" s="114">
        <v>0</v>
      </c>
      <c r="V50" s="114">
        <v>0</v>
      </c>
      <c r="W50" s="114">
        <v>0</v>
      </c>
      <c r="X50" s="114">
        <v>0</v>
      </c>
      <c r="Y50" s="114">
        <v>0</v>
      </c>
      <c r="Z50" s="114">
        <v>0</v>
      </c>
      <c r="AA50" s="114">
        <v>1</v>
      </c>
      <c r="AB50" s="114">
        <v>0</v>
      </c>
      <c r="AC50" s="114">
        <v>0</v>
      </c>
      <c r="AD50" s="114">
        <v>0</v>
      </c>
      <c r="AE50" s="114">
        <v>0</v>
      </c>
      <c r="AF50" s="114">
        <v>0</v>
      </c>
      <c r="AG50" s="114">
        <v>0</v>
      </c>
      <c r="AH50" s="114">
        <v>1</v>
      </c>
      <c r="AI50" s="114">
        <v>1</v>
      </c>
      <c r="AJ50" s="114">
        <v>0</v>
      </c>
      <c r="AK50" s="114">
        <v>0</v>
      </c>
      <c r="AL50" s="114">
        <v>1</v>
      </c>
      <c r="AM50" s="114">
        <v>0</v>
      </c>
      <c r="AN50" s="114">
        <v>0</v>
      </c>
      <c r="AO50" s="114">
        <v>0</v>
      </c>
      <c r="AP50" s="114">
        <v>0</v>
      </c>
      <c r="AQ50" s="114">
        <v>1</v>
      </c>
      <c r="AR50" s="114">
        <v>1</v>
      </c>
      <c r="AS50" s="114">
        <v>1</v>
      </c>
      <c r="AT50" s="114">
        <v>1</v>
      </c>
      <c r="AU50" s="114">
        <v>1</v>
      </c>
      <c r="AV50" s="114">
        <v>1</v>
      </c>
      <c r="AW50" s="114">
        <v>0</v>
      </c>
      <c r="AX50" s="114">
        <v>0</v>
      </c>
      <c r="AY50" s="114">
        <v>1</v>
      </c>
      <c r="AZ50" s="114">
        <v>1</v>
      </c>
      <c r="BA50" s="114">
        <v>1</v>
      </c>
      <c r="BB50" s="114">
        <v>1</v>
      </c>
      <c r="BC50" s="114">
        <v>1</v>
      </c>
      <c r="BD50" s="114">
        <v>1</v>
      </c>
      <c r="BE50" s="114">
        <v>0</v>
      </c>
      <c r="BF50" s="114">
        <v>0</v>
      </c>
      <c r="BG50" s="114">
        <v>0</v>
      </c>
      <c r="BH50" s="114">
        <v>0</v>
      </c>
      <c r="BI50" s="114">
        <v>0</v>
      </c>
      <c r="BJ50" s="114">
        <v>0</v>
      </c>
      <c r="BK50" s="114">
        <v>0</v>
      </c>
      <c r="BL50" s="114">
        <v>0</v>
      </c>
      <c r="BM50" s="114">
        <v>0</v>
      </c>
      <c r="BN50" s="114">
        <v>1</v>
      </c>
      <c r="BO50" s="114">
        <v>0</v>
      </c>
      <c r="BP50" s="114">
        <v>0</v>
      </c>
      <c r="BQ50" s="114">
        <v>0</v>
      </c>
      <c r="BR50" s="114">
        <v>0</v>
      </c>
      <c r="BS50" s="114">
        <v>0</v>
      </c>
      <c r="BT50" s="114">
        <v>0</v>
      </c>
      <c r="BU50" s="114">
        <v>0</v>
      </c>
      <c r="BV50" s="114">
        <v>0</v>
      </c>
      <c r="BW50" s="114">
        <v>0</v>
      </c>
      <c r="BX50" s="114">
        <v>0</v>
      </c>
      <c r="BY50" s="114">
        <v>0</v>
      </c>
      <c r="BZ50" s="114">
        <v>0</v>
      </c>
      <c r="CA50" s="114">
        <v>0</v>
      </c>
      <c r="CB50" s="114">
        <v>0</v>
      </c>
      <c r="CC50" s="114">
        <v>0</v>
      </c>
      <c r="CD50" s="114">
        <v>0</v>
      </c>
      <c r="CE50" s="114">
        <v>0</v>
      </c>
      <c r="CF50" s="114">
        <v>0</v>
      </c>
      <c r="CG50" s="114">
        <v>0</v>
      </c>
      <c r="CH50" s="114">
        <v>0</v>
      </c>
      <c r="CI50" s="114">
        <v>0</v>
      </c>
      <c r="CJ50" s="114">
        <v>0</v>
      </c>
      <c r="CK50" s="114">
        <v>1</v>
      </c>
      <c r="CL50" s="114">
        <v>1</v>
      </c>
      <c r="CM50" s="114">
        <v>0</v>
      </c>
      <c r="CN50" s="114">
        <v>0</v>
      </c>
      <c r="CO50" s="114">
        <v>0</v>
      </c>
      <c r="CP50" s="114">
        <v>0</v>
      </c>
      <c r="CQ50" s="114">
        <v>0</v>
      </c>
      <c r="CR50" s="114">
        <v>0</v>
      </c>
      <c r="CS50" s="114">
        <v>0</v>
      </c>
      <c r="CT50" s="114">
        <v>0</v>
      </c>
      <c r="CU50" s="114">
        <v>0</v>
      </c>
      <c r="CV50" s="114">
        <v>0</v>
      </c>
    </row>
    <row r="51" spans="1:100" x14ac:dyDescent="0.15">
      <c r="A51" s="193" t="s">
        <v>241</v>
      </c>
      <c r="B51" s="114">
        <v>0</v>
      </c>
      <c r="C51" s="114">
        <v>1</v>
      </c>
      <c r="D51" s="114">
        <v>0</v>
      </c>
      <c r="E51" s="114">
        <v>0</v>
      </c>
      <c r="F51" s="114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1</v>
      </c>
      <c r="L51" s="114">
        <v>1</v>
      </c>
      <c r="M51" s="114">
        <v>1</v>
      </c>
      <c r="N51" s="114">
        <v>1</v>
      </c>
      <c r="O51" s="114">
        <v>1</v>
      </c>
      <c r="P51" s="114">
        <v>1</v>
      </c>
      <c r="Q51" s="114">
        <v>1</v>
      </c>
      <c r="R51" s="114">
        <v>1</v>
      </c>
      <c r="S51" s="114">
        <v>1</v>
      </c>
      <c r="T51" s="114">
        <v>0</v>
      </c>
      <c r="U51" s="114">
        <v>0</v>
      </c>
      <c r="V51" s="114">
        <v>1</v>
      </c>
      <c r="W51" s="114">
        <v>0</v>
      </c>
      <c r="X51" s="114">
        <v>1</v>
      </c>
      <c r="Y51" s="114">
        <v>1</v>
      </c>
      <c r="Z51" s="114">
        <v>1</v>
      </c>
      <c r="AA51" s="114">
        <v>1</v>
      </c>
      <c r="AB51" s="114">
        <v>0</v>
      </c>
      <c r="AC51" s="114">
        <v>0</v>
      </c>
      <c r="AD51" s="114">
        <v>0</v>
      </c>
      <c r="AE51" s="114">
        <v>0</v>
      </c>
      <c r="AF51" s="114">
        <v>1</v>
      </c>
      <c r="AG51" s="114">
        <v>1</v>
      </c>
      <c r="AH51" s="114">
        <v>0</v>
      </c>
      <c r="AI51" s="114">
        <v>0</v>
      </c>
      <c r="AJ51" s="114">
        <v>1</v>
      </c>
      <c r="AK51" s="114">
        <v>1</v>
      </c>
      <c r="AL51" s="114">
        <v>1</v>
      </c>
      <c r="AM51" s="114">
        <v>0</v>
      </c>
      <c r="AN51" s="114">
        <v>0</v>
      </c>
      <c r="AO51" s="114">
        <v>0</v>
      </c>
      <c r="AP51" s="114">
        <v>0</v>
      </c>
      <c r="AQ51" s="114">
        <v>1</v>
      </c>
      <c r="AR51" s="114">
        <v>1</v>
      </c>
      <c r="AS51" s="114">
        <v>1</v>
      </c>
      <c r="AT51" s="114">
        <v>1</v>
      </c>
      <c r="AU51" s="114">
        <v>0</v>
      </c>
      <c r="AV51" s="114">
        <v>1</v>
      </c>
      <c r="AW51" s="114">
        <v>1</v>
      </c>
      <c r="AX51" s="114">
        <v>1</v>
      </c>
      <c r="AY51" s="114">
        <v>1</v>
      </c>
      <c r="AZ51" s="114">
        <v>1</v>
      </c>
      <c r="BA51" s="114">
        <v>1</v>
      </c>
      <c r="BB51" s="114">
        <v>0</v>
      </c>
      <c r="BC51" s="114">
        <v>0</v>
      </c>
      <c r="BD51" s="114">
        <v>0</v>
      </c>
      <c r="BE51" s="114">
        <v>0</v>
      </c>
      <c r="BF51" s="114">
        <v>0</v>
      </c>
      <c r="BG51" s="114">
        <v>1</v>
      </c>
      <c r="BH51" s="114">
        <v>0</v>
      </c>
      <c r="BI51" s="114">
        <v>1</v>
      </c>
      <c r="BJ51" s="114">
        <v>1</v>
      </c>
      <c r="BK51" s="114">
        <v>0</v>
      </c>
      <c r="BL51" s="114">
        <v>0</v>
      </c>
      <c r="BM51" s="114">
        <v>0</v>
      </c>
      <c r="BN51" s="114">
        <v>0</v>
      </c>
      <c r="BO51" s="114">
        <v>0</v>
      </c>
      <c r="BP51" s="114">
        <v>0</v>
      </c>
      <c r="BQ51" s="114">
        <v>0</v>
      </c>
      <c r="BR51" s="114">
        <v>0</v>
      </c>
      <c r="BS51" s="114">
        <v>0</v>
      </c>
      <c r="BT51" s="114">
        <v>0</v>
      </c>
      <c r="BU51" s="114">
        <v>0</v>
      </c>
      <c r="BV51" s="114">
        <v>0</v>
      </c>
      <c r="BW51" s="114">
        <v>0</v>
      </c>
      <c r="BX51" s="114">
        <v>0</v>
      </c>
      <c r="BY51" s="114">
        <v>0</v>
      </c>
      <c r="BZ51" s="114">
        <v>0</v>
      </c>
      <c r="CA51" s="114">
        <v>0</v>
      </c>
      <c r="CB51" s="114">
        <v>0</v>
      </c>
      <c r="CC51" s="114">
        <v>0</v>
      </c>
      <c r="CD51" s="114">
        <v>0</v>
      </c>
      <c r="CE51" s="114">
        <v>0</v>
      </c>
      <c r="CF51" s="114">
        <v>0</v>
      </c>
      <c r="CG51" s="114">
        <v>0</v>
      </c>
      <c r="CH51" s="114">
        <v>0</v>
      </c>
      <c r="CI51" s="114">
        <v>0</v>
      </c>
      <c r="CJ51" s="114">
        <v>0</v>
      </c>
      <c r="CK51" s="114">
        <v>0</v>
      </c>
      <c r="CL51" s="114">
        <v>0</v>
      </c>
      <c r="CM51" s="114">
        <v>0</v>
      </c>
      <c r="CN51" s="114">
        <v>0</v>
      </c>
      <c r="CO51" s="114">
        <v>0</v>
      </c>
      <c r="CP51" s="114">
        <v>0</v>
      </c>
      <c r="CQ51" s="114">
        <v>0</v>
      </c>
      <c r="CR51" s="114">
        <v>0</v>
      </c>
      <c r="CS51" s="114">
        <v>0</v>
      </c>
      <c r="CT51" s="114">
        <v>0</v>
      </c>
      <c r="CU51" s="114">
        <v>0</v>
      </c>
      <c r="CV51" s="114">
        <v>0</v>
      </c>
    </row>
    <row r="52" spans="1:100" x14ac:dyDescent="0.15">
      <c r="A52" s="193" t="s">
        <v>242</v>
      </c>
      <c r="B52" s="114">
        <v>0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1</v>
      </c>
      <c r="O52" s="114">
        <v>1</v>
      </c>
      <c r="P52" s="114">
        <v>0</v>
      </c>
      <c r="Q52" s="114">
        <v>1</v>
      </c>
      <c r="R52" s="114">
        <v>1</v>
      </c>
      <c r="S52" s="114">
        <v>0</v>
      </c>
      <c r="T52" s="114">
        <v>0</v>
      </c>
      <c r="U52" s="114">
        <v>0</v>
      </c>
      <c r="V52" s="114">
        <v>0</v>
      </c>
      <c r="W52" s="114">
        <v>0</v>
      </c>
      <c r="X52" s="114">
        <v>0</v>
      </c>
      <c r="Y52" s="114">
        <v>0</v>
      </c>
      <c r="Z52" s="114">
        <v>0</v>
      </c>
      <c r="AA52" s="114">
        <v>0</v>
      </c>
      <c r="AB52" s="114">
        <v>0</v>
      </c>
      <c r="AC52" s="114">
        <v>0</v>
      </c>
      <c r="AD52" s="114">
        <v>0</v>
      </c>
      <c r="AE52" s="114">
        <v>0</v>
      </c>
      <c r="AF52" s="114">
        <v>0</v>
      </c>
      <c r="AG52" s="114">
        <v>0</v>
      </c>
      <c r="AH52" s="114">
        <v>1</v>
      </c>
      <c r="AI52" s="114">
        <v>1</v>
      </c>
      <c r="AJ52" s="114">
        <v>0</v>
      </c>
      <c r="AK52" s="114">
        <v>0</v>
      </c>
      <c r="AL52" s="114">
        <v>0</v>
      </c>
      <c r="AM52" s="114">
        <v>0</v>
      </c>
      <c r="AN52" s="114">
        <v>0</v>
      </c>
      <c r="AO52" s="114">
        <v>0</v>
      </c>
      <c r="AP52" s="114">
        <v>0</v>
      </c>
      <c r="AQ52" s="114">
        <v>1</v>
      </c>
      <c r="AR52" s="114">
        <v>1</v>
      </c>
      <c r="AS52" s="114">
        <v>0</v>
      </c>
      <c r="AT52" s="114">
        <v>0</v>
      </c>
      <c r="AU52" s="114">
        <v>1</v>
      </c>
      <c r="AV52" s="114">
        <v>1</v>
      </c>
      <c r="AW52" s="114">
        <v>1</v>
      </c>
      <c r="AX52" s="114">
        <v>0</v>
      </c>
      <c r="AY52" s="114">
        <v>1</v>
      </c>
      <c r="AZ52" s="114">
        <v>1</v>
      </c>
      <c r="BA52" s="114">
        <v>1</v>
      </c>
      <c r="BB52" s="114">
        <v>1</v>
      </c>
      <c r="BC52" s="114">
        <v>1</v>
      </c>
      <c r="BD52" s="114">
        <v>1</v>
      </c>
      <c r="BE52" s="114">
        <v>0</v>
      </c>
      <c r="BF52" s="114">
        <v>0</v>
      </c>
      <c r="BG52" s="114">
        <v>1</v>
      </c>
      <c r="BH52" s="114">
        <v>0</v>
      </c>
      <c r="BI52" s="114">
        <v>0</v>
      </c>
      <c r="BJ52" s="114">
        <v>1</v>
      </c>
      <c r="BK52" s="114">
        <v>0</v>
      </c>
      <c r="BL52" s="114">
        <v>0</v>
      </c>
      <c r="BM52" s="114">
        <v>0</v>
      </c>
      <c r="BN52" s="114">
        <v>1</v>
      </c>
      <c r="BO52" s="114">
        <v>0</v>
      </c>
      <c r="BP52" s="114">
        <v>0</v>
      </c>
      <c r="BQ52" s="114">
        <v>0</v>
      </c>
      <c r="BR52" s="114">
        <v>0</v>
      </c>
      <c r="BS52" s="114">
        <v>0</v>
      </c>
      <c r="BT52" s="114">
        <v>0</v>
      </c>
      <c r="BU52" s="114">
        <v>0</v>
      </c>
      <c r="BV52" s="114">
        <v>0</v>
      </c>
      <c r="BW52" s="114">
        <v>0</v>
      </c>
      <c r="BX52" s="114">
        <v>0</v>
      </c>
      <c r="BY52" s="114">
        <v>0</v>
      </c>
      <c r="BZ52" s="114">
        <v>0</v>
      </c>
      <c r="CA52" s="114">
        <v>0</v>
      </c>
      <c r="CB52" s="114">
        <v>0</v>
      </c>
      <c r="CC52" s="114">
        <v>0</v>
      </c>
      <c r="CD52" s="114">
        <v>0</v>
      </c>
      <c r="CE52" s="114">
        <v>0</v>
      </c>
      <c r="CF52" s="114">
        <v>0</v>
      </c>
      <c r="CG52" s="114">
        <v>0</v>
      </c>
      <c r="CH52" s="114">
        <v>0</v>
      </c>
      <c r="CI52" s="114">
        <v>0</v>
      </c>
      <c r="CJ52" s="114">
        <v>1</v>
      </c>
      <c r="CK52" s="114">
        <v>1</v>
      </c>
      <c r="CL52" s="114">
        <v>1</v>
      </c>
      <c r="CM52" s="114">
        <v>0</v>
      </c>
      <c r="CN52" s="114">
        <v>0</v>
      </c>
      <c r="CO52" s="114">
        <v>0</v>
      </c>
      <c r="CP52" s="114">
        <v>0</v>
      </c>
      <c r="CQ52" s="114">
        <v>0</v>
      </c>
      <c r="CR52" s="114">
        <v>0</v>
      </c>
      <c r="CS52" s="114">
        <v>0</v>
      </c>
      <c r="CT52" s="114">
        <v>0</v>
      </c>
      <c r="CU52" s="114">
        <v>0</v>
      </c>
      <c r="CV52" s="114">
        <v>0</v>
      </c>
    </row>
    <row r="53" spans="1:100" x14ac:dyDescent="0.15">
      <c r="A53" s="193" t="s">
        <v>243</v>
      </c>
      <c r="B53" s="114">
        <v>0</v>
      </c>
      <c r="C53" s="114">
        <v>0</v>
      </c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1</v>
      </c>
      <c r="L53" s="114">
        <v>1</v>
      </c>
      <c r="M53" s="114">
        <v>1</v>
      </c>
      <c r="N53" s="114">
        <v>1</v>
      </c>
      <c r="O53" s="114">
        <v>1</v>
      </c>
      <c r="P53" s="114">
        <v>1</v>
      </c>
      <c r="Q53" s="114">
        <v>1</v>
      </c>
      <c r="R53" s="114">
        <v>0</v>
      </c>
      <c r="S53" s="114">
        <v>0</v>
      </c>
      <c r="T53" s="114">
        <v>1</v>
      </c>
      <c r="U53" s="114">
        <v>1</v>
      </c>
      <c r="V53" s="114">
        <v>1</v>
      </c>
      <c r="W53" s="114">
        <v>1</v>
      </c>
      <c r="X53" s="114">
        <v>1</v>
      </c>
      <c r="Y53" s="114">
        <v>1</v>
      </c>
      <c r="Z53" s="114">
        <v>1</v>
      </c>
      <c r="AA53" s="114">
        <v>1</v>
      </c>
      <c r="AB53" s="114">
        <v>1</v>
      </c>
      <c r="AC53" s="114">
        <v>1</v>
      </c>
      <c r="AD53" s="114">
        <v>0</v>
      </c>
      <c r="AE53" s="114">
        <v>1</v>
      </c>
      <c r="AF53" s="114">
        <v>1</v>
      </c>
      <c r="AG53" s="114">
        <v>0</v>
      </c>
      <c r="AH53" s="114">
        <v>0</v>
      </c>
      <c r="AI53" s="114">
        <v>0</v>
      </c>
      <c r="AJ53" s="114">
        <v>1</v>
      </c>
      <c r="AK53" s="114">
        <v>1</v>
      </c>
      <c r="AL53" s="114">
        <v>1</v>
      </c>
      <c r="AM53" s="114">
        <v>1</v>
      </c>
      <c r="AN53" s="114">
        <v>1</v>
      </c>
      <c r="AO53" s="114">
        <v>0</v>
      </c>
      <c r="AP53" s="114">
        <v>0</v>
      </c>
      <c r="AQ53" s="114">
        <v>1</v>
      </c>
      <c r="AR53" s="114">
        <v>1</v>
      </c>
      <c r="AS53" s="114">
        <v>1</v>
      </c>
      <c r="AT53" s="114">
        <v>1</v>
      </c>
      <c r="AU53" s="114">
        <v>0</v>
      </c>
      <c r="AV53" s="114">
        <v>0</v>
      </c>
      <c r="AW53" s="114">
        <v>1</v>
      </c>
      <c r="AX53" s="114">
        <v>1</v>
      </c>
      <c r="AY53" s="114">
        <v>1</v>
      </c>
      <c r="AZ53" s="114">
        <v>0</v>
      </c>
      <c r="BA53" s="114">
        <v>1</v>
      </c>
      <c r="BB53" s="114">
        <v>0</v>
      </c>
      <c r="BC53" s="114">
        <v>1</v>
      </c>
      <c r="BD53" s="114">
        <v>0</v>
      </c>
      <c r="BE53" s="114">
        <v>0</v>
      </c>
      <c r="BF53" s="114">
        <v>0</v>
      </c>
      <c r="BG53" s="114">
        <v>1</v>
      </c>
      <c r="BH53" s="114">
        <v>0</v>
      </c>
      <c r="BI53" s="114">
        <v>1</v>
      </c>
      <c r="BJ53" s="114">
        <v>0</v>
      </c>
      <c r="BK53" s="114">
        <v>0</v>
      </c>
      <c r="BL53" s="114">
        <v>0</v>
      </c>
      <c r="BM53" s="114">
        <v>0</v>
      </c>
      <c r="BN53" s="114">
        <v>0</v>
      </c>
      <c r="BO53" s="114">
        <v>0</v>
      </c>
      <c r="BP53" s="114">
        <v>0</v>
      </c>
      <c r="BQ53" s="114">
        <v>0</v>
      </c>
      <c r="BR53" s="114">
        <v>0</v>
      </c>
      <c r="BS53" s="114">
        <v>0</v>
      </c>
      <c r="BT53" s="114">
        <v>0</v>
      </c>
      <c r="BU53" s="114">
        <v>0</v>
      </c>
      <c r="BV53" s="114">
        <v>0</v>
      </c>
      <c r="BW53" s="114">
        <v>0</v>
      </c>
      <c r="BX53" s="114">
        <v>0</v>
      </c>
      <c r="BY53" s="114">
        <v>0</v>
      </c>
      <c r="BZ53" s="114">
        <v>0</v>
      </c>
      <c r="CA53" s="114">
        <v>0</v>
      </c>
      <c r="CB53" s="114">
        <v>0</v>
      </c>
      <c r="CC53" s="114">
        <v>0</v>
      </c>
      <c r="CD53" s="114">
        <v>0</v>
      </c>
      <c r="CE53" s="114">
        <v>0</v>
      </c>
      <c r="CF53" s="114">
        <v>0</v>
      </c>
      <c r="CG53" s="114">
        <v>0</v>
      </c>
      <c r="CH53" s="114">
        <v>0</v>
      </c>
      <c r="CI53" s="114">
        <v>0</v>
      </c>
      <c r="CJ53" s="114">
        <v>0</v>
      </c>
      <c r="CK53" s="114">
        <v>0</v>
      </c>
      <c r="CL53" s="114">
        <v>0</v>
      </c>
      <c r="CM53" s="114">
        <v>0</v>
      </c>
      <c r="CN53" s="114">
        <v>0</v>
      </c>
      <c r="CO53" s="114">
        <v>0</v>
      </c>
      <c r="CP53" s="114">
        <v>0</v>
      </c>
      <c r="CQ53" s="114">
        <v>0</v>
      </c>
      <c r="CR53" s="114">
        <v>0</v>
      </c>
      <c r="CS53" s="114">
        <v>0</v>
      </c>
      <c r="CT53" s="114">
        <v>0</v>
      </c>
      <c r="CU53" s="114">
        <v>0</v>
      </c>
      <c r="CV53" s="114">
        <v>0</v>
      </c>
    </row>
    <row r="54" spans="1:100" x14ac:dyDescent="0.15">
      <c r="A54" s="193" t="s">
        <v>244</v>
      </c>
      <c r="B54" s="114">
        <v>0</v>
      </c>
      <c r="C54" s="114">
        <v>1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1</v>
      </c>
      <c r="K54" s="114">
        <v>0</v>
      </c>
      <c r="L54" s="114">
        <v>0</v>
      </c>
      <c r="M54" s="114">
        <v>0</v>
      </c>
      <c r="N54" s="114">
        <v>1</v>
      </c>
      <c r="O54" s="114">
        <v>1</v>
      </c>
      <c r="P54" s="114">
        <v>0</v>
      </c>
      <c r="Q54" s="114">
        <v>1</v>
      </c>
      <c r="R54" s="114">
        <v>1</v>
      </c>
      <c r="S54" s="114">
        <v>0</v>
      </c>
      <c r="T54" s="114">
        <v>1</v>
      </c>
      <c r="U54" s="114">
        <v>1</v>
      </c>
      <c r="V54" s="114">
        <v>0</v>
      </c>
      <c r="W54" s="114">
        <v>0</v>
      </c>
      <c r="X54" s="114">
        <v>0</v>
      </c>
      <c r="Y54" s="114">
        <v>0</v>
      </c>
      <c r="Z54" s="114">
        <v>0</v>
      </c>
      <c r="AA54" s="114">
        <v>1</v>
      </c>
      <c r="AB54" s="114">
        <v>0</v>
      </c>
      <c r="AC54" s="114">
        <v>1</v>
      </c>
      <c r="AD54" s="114">
        <v>0</v>
      </c>
      <c r="AE54" s="114">
        <v>0</v>
      </c>
      <c r="AF54" s="114">
        <v>0</v>
      </c>
      <c r="AG54" s="114">
        <v>0</v>
      </c>
      <c r="AH54" s="114">
        <v>1</v>
      </c>
      <c r="AI54" s="114">
        <v>1</v>
      </c>
      <c r="AJ54" s="114">
        <v>0</v>
      </c>
      <c r="AK54" s="114">
        <v>1</v>
      </c>
      <c r="AL54" s="114">
        <v>0</v>
      </c>
      <c r="AM54" s="114">
        <v>0</v>
      </c>
      <c r="AN54" s="114">
        <v>1</v>
      </c>
      <c r="AO54" s="114">
        <v>1</v>
      </c>
      <c r="AP54" s="114">
        <v>1</v>
      </c>
      <c r="AQ54" s="114">
        <v>1</v>
      </c>
      <c r="AR54" s="114">
        <v>1</v>
      </c>
      <c r="AS54" s="114">
        <v>1</v>
      </c>
      <c r="AT54" s="114">
        <v>1</v>
      </c>
      <c r="AU54" s="114">
        <v>1</v>
      </c>
      <c r="AV54" s="114">
        <v>1</v>
      </c>
      <c r="AW54" s="114">
        <v>0</v>
      </c>
      <c r="AX54" s="114">
        <v>0</v>
      </c>
      <c r="AY54" s="114">
        <v>1</v>
      </c>
      <c r="AZ54" s="114">
        <v>1</v>
      </c>
      <c r="BA54" s="114">
        <v>1</v>
      </c>
      <c r="BB54" s="114">
        <v>1</v>
      </c>
      <c r="BC54" s="114">
        <v>1</v>
      </c>
      <c r="BD54" s="114">
        <v>1</v>
      </c>
      <c r="BE54" s="114">
        <v>0</v>
      </c>
      <c r="BF54" s="114">
        <v>0</v>
      </c>
      <c r="BG54" s="114">
        <v>0</v>
      </c>
      <c r="BH54" s="114">
        <v>0</v>
      </c>
      <c r="BI54" s="114">
        <v>0</v>
      </c>
      <c r="BJ54" s="114">
        <v>0</v>
      </c>
      <c r="BK54" s="114">
        <v>0</v>
      </c>
      <c r="BL54" s="114">
        <v>0</v>
      </c>
      <c r="BM54" s="114">
        <v>0</v>
      </c>
      <c r="BN54" s="114">
        <v>1</v>
      </c>
      <c r="BO54" s="114">
        <v>0</v>
      </c>
      <c r="BP54" s="114">
        <v>0</v>
      </c>
      <c r="BQ54" s="114">
        <v>0</v>
      </c>
      <c r="BR54" s="114">
        <v>0</v>
      </c>
      <c r="BS54" s="114">
        <v>0</v>
      </c>
      <c r="BT54" s="114">
        <v>0</v>
      </c>
      <c r="BU54" s="114">
        <v>0</v>
      </c>
      <c r="BV54" s="114">
        <v>0</v>
      </c>
      <c r="BW54" s="114">
        <v>0</v>
      </c>
      <c r="BX54" s="114">
        <v>0</v>
      </c>
      <c r="BY54" s="114">
        <v>0</v>
      </c>
      <c r="BZ54" s="114">
        <v>0</v>
      </c>
      <c r="CA54" s="114">
        <v>0</v>
      </c>
      <c r="CB54" s="114">
        <v>0</v>
      </c>
      <c r="CC54" s="114">
        <v>0</v>
      </c>
      <c r="CD54" s="114">
        <v>0</v>
      </c>
      <c r="CE54" s="114">
        <v>0</v>
      </c>
      <c r="CF54" s="114">
        <v>0</v>
      </c>
      <c r="CG54" s="114">
        <v>0</v>
      </c>
      <c r="CH54" s="114">
        <v>0</v>
      </c>
      <c r="CI54" s="114">
        <v>0</v>
      </c>
      <c r="CJ54" s="114">
        <v>0</v>
      </c>
      <c r="CK54" s="114">
        <v>0</v>
      </c>
      <c r="CL54" s="114">
        <v>1</v>
      </c>
      <c r="CM54" s="114">
        <v>0</v>
      </c>
      <c r="CN54" s="114">
        <v>0</v>
      </c>
      <c r="CO54" s="114">
        <v>0</v>
      </c>
      <c r="CP54" s="114">
        <v>0</v>
      </c>
      <c r="CQ54" s="114">
        <v>0</v>
      </c>
      <c r="CR54" s="114">
        <v>0</v>
      </c>
      <c r="CS54" s="114">
        <v>0</v>
      </c>
      <c r="CT54" s="114">
        <v>0</v>
      </c>
      <c r="CU54" s="114">
        <v>0</v>
      </c>
      <c r="CV54" s="114">
        <v>0</v>
      </c>
    </row>
    <row r="55" spans="1:100" x14ac:dyDescent="0.15">
      <c r="A55" s="193" t="s">
        <v>245</v>
      </c>
      <c r="B55" s="114">
        <v>0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1</v>
      </c>
      <c r="L55" s="114">
        <v>1</v>
      </c>
      <c r="M55" s="114">
        <v>1</v>
      </c>
      <c r="N55" s="114">
        <v>1</v>
      </c>
      <c r="O55" s="114">
        <v>1</v>
      </c>
      <c r="P55" s="114">
        <v>1</v>
      </c>
      <c r="Q55" s="114">
        <v>1</v>
      </c>
      <c r="R55" s="114">
        <v>1</v>
      </c>
      <c r="S55" s="114">
        <v>1</v>
      </c>
      <c r="T55" s="114">
        <v>1</v>
      </c>
      <c r="U55" s="114">
        <v>1</v>
      </c>
      <c r="V55" s="114">
        <v>1</v>
      </c>
      <c r="W55" s="114">
        <v>1</v>
      </c>
      <c r="X55" s="114">
        <v>1</v>
      </c>
      <c r="Y55" s="114">
        <v>1</v>
      </c>
      <c r="Z55" s="114">
        <v>1</v>
      </c>
      <c r="AA55" s="114">
        <v>1</v>
      </c>
      <c r="AB55" s="114">
        <v>1</v>
      </c>
      <c r="AC55" s="114">
        <v>1</v>
      </c>
      <c r="AD55" s="114">
        <v>1</v>
      </c>
      <c r="AE55" s="114">
        <v>1</v>
      </c>
      <c r="AF55" s="114">
        <v>1</v>
      </c>
      <c r="AG55" s="114">
        <v>0</v>
      </c>
      <c r="AH55" s="114">
        <v>0</v>
      </c>
      <c r="AI55" s="114">
        <v>0</v>
      </c>
      <c r="AJ55" s="114">
        <v>1</v>
      </c>
      <c r="AK55" s="114">
        <v>1</v>
      </c>
      <c r="AL55" s="114">
        <v>1</v>
      </c>
      <c r="AM55" s="114">
        <v>1</v>
      </c>
      <c r="AN55" s="114">
        <v>1</v>
      </c>
      <c r="AO55" s="114">
        <v>0</v>
      </c>
      <c r="AP55" s="114">
        <v>0</v>
      </c>
      <c r="AQ55" s="114">
        <v>1</v>
      </c>
      <c r="AR55" s="114">
        <v>1</v>
      </c>
      <c r="AS55" s="114">
        <v>1</v>
      </c>
      <c r="AT55" s="114">
        <v>1</v>
      </c>
      <c r="AU55" s="114">
        <v>0</v>
      </c>
      <c r="AV55" s="114">
        <v>1</v>
      </c>
      <c r="AW55" s="114">
        <v>1</v>
      </c>
      <c r="AX55" s="114">
        <v>1</v>
      </c>
      <c r="AY55" s="114">
        <v>1</v>
      </c>
      <c r="AZ55" s="114">
        <v>1</v>
      </c>
      <c r="BA55" s="114">
        <v>1</v>
      </c>
      <c r="BB55" s="114">
        <v>0</v>
      </c>
      <c r="BC55" s="114">
        <v>0</v>
      </c>
      <c r="BD55" s="114">
        <v>0</v>
      </c>
      <c r="BE55" s="114">
        <v>0</v>
      </c>
      <c r="BF55" s="114">
        <v>0</v>
      </c>
      <c r="BG55" s="114">
        <v>1</v>
      </c>
      <c r="BH55" s="114">
        <v>0</v>
      </c>
      <c r="BI55" s="114">
        <v>1</v>
      </c>
      <c r="BJ55" s="114">
        <v>1</v>
      </c>
      <c r="BK55" s="114">
        <v>0</v>
      </c>
      <c r="BL55" s="114">
        <v>0</v>
      </c>
      <c r="BM55" s="114">
        <v>0</v>
      </c>
      <c r="BN55" s="114">
        <v>0</v>
      </c>
      <c r="BO55" s="114">
        <v>0</v>
      </c>
      <c r="BP55" s="114">
        <v>0</v>
      </c>
      <c r="BQ55" s="114">
        <v>0</v>
      </c>
      <c r="BR55" s="114">
        <v>0</v>
      </c>
      <c r="BS55" s="114">
        <v>0</v>
      </c>
      <c r="BT55" s="114">
        <v>0</v>
      </c>
      <c r="BU55" s="114">
        <v>0</v>
      </c>
      <c r="BV55" s="114">
        <v>0</v>
      </c>
      <c r="BW55" s="114">
        <v>0</v>
      </c>
      <c r="BX55" s="114">
        <v>0</v>
      </c>
      <c r="BY55" s="114">
        <v>0</v>
      </c>
      <c r="BZ55" s="114">
        <v>0</v>
      </c>
      <c r="CA55" s="114">
        <v>0</v>
      </c>
      <c r="CB55" s="114">
        <v>0</v>
      </c>
      <c r="CC55" s="114">
        <v>0</v>
      </c>
      <c r="CD55" s="114">
        <v>0</v>
      </c>
      <c r="CE55" s="114">
        <v>0</v>
      </c>
      <c r="CF55" s="114">
        <v>0</v>
      </c>
      <c r="CG55" s="114">
        <v>0</v>
      </c>
      <c r="CH55" s="114">
        <v>0</v>
      </c>
      <c r="CI55" s="114">
        <v>0</v>
      </c>
      <c r="CJ55" s="114">
        <v>0</v>
      </c>
      <c r="CK55" s="114">
        <v>0</v>
      </c>
      <c r="CL55" s="114">
        <v>0</v>
      </c>
      <c r="CM55" s="114">
        <v>0</v>
      </c>
      <c r="CN55" s="114">
        <v>0</v>
      </c>
      <c r="CO55" s="114">
        <v>0</v>
      </c>
      <c r="CP55" s="114">
        <v>0</v>
      </c>
      <c r="CQ55" s="114">
        <v>0</v>
      </c>
      <c r="CR55" s="114">
        <v>0</v>
      </c>
      <c r="CS55" s="114">
        <v>0</v>
      </c>
      <c r="CT55" s="114">
        <v>0</v>
      </c>
      <c r="CU55" s="114">
        <v>0</v>
      </c>
      <c r="CV55" s="114">
        <v>0</v>
      </c>
    </row>
    <row r="56" spans="1:100" x14ac:dyDescent="0.15">
      <c r="A56" s="193" t="s">
        <v>246</v>
      </c>
      <c r="B56" s="114">
        <v>0</v>
      </c>
      <c r="C56" s="114">
        <v>1</v>
      </c>
      <c r="D56" s="114">
        <v>0</v>
      </c>
      <c r="E56" s="114">
        <v>0</v>
      </c>
      <c r="F56" s="114">
        <v>1</v>
      </c>
      <c r="G56" s="114">
        <v>0</v>
      </c>
      <c r="H56" s="114">
        <v>0</v>
      </c>
      <c r="I56" s="114">
        <v>0</v>
      </c>
      <c r="J56" s="114">
        <v>1</v>
      </c>
      <c r="K56" s="114">
        <v>0</v>
      </c>
      <c r="L56" s="114">
        <v>0</v>
      </c>
      <c r="M56" s="114">
        <v>0</v>
      </c>
      <c r="N56" s="114">
        <v>1</v>
      </c>
      <c r="O56" s="114">
        <v>1</v>
      </c>
      <c r="P56" s="114">
        <v>0</v>
      </c>
      <c r="Q56" s="114">
        <v>1</v>
      </c>
      <c r="R56" s="114">
        <v>1</v>
      </c>
      <c r="S56" s="114">
        <v>0</v>
      </c>
      <c r="T56" s="114">
        <v>1</v>
      </c>
      <c r="U56" s="114">
        <v>1</v>
      </c>
      <c r="V56" s="114">
        <v>1</v>
      </c>
      <c r="W56" s="114">
        <v>1</v>
      </c>
      <c r="X56" s="114">
        <v>0</v>
      </c>
      <c r="Y56" s="114">
        <v>0</v>
      </c>
      <c r="Z56" s="114">
        <v>0</v>
      </c>
      <c r="AA56" s="114">
        <v>1</v>
      </c>
      <c r="AB56" s="114">
        <v>0</v>
      </c>
      <c r="AC56" s="114">
        <v>1</v>
      </c>
      <c r="AD56" s="114">
        <v>0</v>
      </c>
      <c r="AE56" s="114">
        <v>0</v>
      </c>
      <c r="AF56" s="114">
        <v>0</v>
      </c>
      <c r="AG56" s="114">
        <v>0</v>
      </c>
      <c r="AH56" s="114">
        <v>1</v>
      </c>
      <c r="AI56" s="114">
        <v>1</v>
      </c>
      <c r="AJ56" s="114">
        <v>0</v>
      </c>
      <c r="AK56" s="114">
        <v>1</v>
      </c>
      <c r="AL56" s="114">
        <v>1</v>
      </c>
      <c r="AM56" s="114">
        <v>1</v>
      </c>
      <c r="AN56" s="114">
        <v>1</v>
      </c>
      <c r="AO56" s="114">
        <v>1</v>
      </c>
      <c r="AP56" s="114">
        <v>1</v>
      </c>
      <c r="AQ56" s="114">
        <v>1</v>
      </c>
      <c r="AR56" s="114">
        <v>1</v>
      </c>
      <c r="AS56" s="114">
        <v>1</v>
      </c>
      <c r="AT56" s="114">
        <v>1</v>
      </c>
      <c r="AU56" s="114">
        <v>1</v>
      </c>
      <c r="AV56" s="114">
        <v>1</v>
      </c>
      <c r="AW56" s="114">
        <v>0</v>
      </c>
      <c r="AX56" s="114">
        <v>0</v>
      </c>
      <c r="AY56" s="114">
        <v>1</v>
      </c>
      <c r="AZ56" s="114">
        <v>1</v>
      </c>
      <c r="BA56" s="114">
        <v>1</v>
      </c>
      <c r="BB56" s="114">
        <v>1</v>
      </c>
      <c r="BC56" s="114">
        <v>1</v>
      </c>
      <c r="BD56" s="114">
        <v>1</v>
      </c>
      <c r="BE56" s="114">
        <v>0</v>
      </c>
      <c r="BF56" s="114">
        <v>0</v>
      </c>
      <c r="BG56" s="114">
        <v>1</v>
      </c>
      <c r="BH56" s="114">
        <v>1</v>
      </c>
      <c r="BI56" s="114">
        <v>1</v>
      </c>
      <c r="BJ56" s="114">
        <v>1</v>
      </c>
      <c r="BK56" s="114">
        <v>0</v>
      </c>
      <c r="BL56" s="114">
        <v>0</v>
      </c>
      <c r="BM56" s="114">
        <v>0</v>
      </c>
      <c r="BN56" s="114">
        <v>1</v>
      </c>
      <c r="BO56" s="114">
        <v>0</v>
      </c>
      <c r="BP56" s="114">
        <v>0</v>
      </c>
      <c r="BQ56" s="114">
        <v>0</v>
      </c>
      <c r="BR56" s="114">
        <v>0</v>
      </c>
      <c r="BS56" s="114">
        <v>0</v>
      </c>
      <c r="BT56" s="114">
        <v>0</v>
      </c>
      <c r="BU56" s="114">
        <v>0</v>
      </c>
      <c r="BV56" s="114">
        <v>0</v>
      </c>
      <c r="BW56" s="114">
        <v>0</v>
      </c>
      <c r="BX56" s="114">
        <v>1</v>
      </c>
      <c r="BY56" s="114">
        <v>0</v>
      </c>
      <c r="BZ56" s="114">
        <v>0</v>
      </c>
      <c r="CA56" s="114">
        <v>0</v>
      </c>
      <c r="CB56" s="114">
        <v>0</v>
      </c>
      <c r="CC56" s="114">
        <v>0</v>
      </c>
      <c r="CD56" s="114">
        <v>0</v>
      </c>
      <c r="CE56" s="114">
        <v>0</v>
      </c>
      <c r="CF56" s="114">
        <v>0</v>
      </c>
      <c r="CG56" s="114">
        <v>0</v>
      </c>
      <c r="CH56" s="114">
        <v>0</v>
      </c>
      <c r="CI56" s="114">
        <v>0</v>
      </c>
      <c r="CJ56" s="114">
        <v>0</v>
      </c>
      <c r="CK56" s="114">
        <v>0</v>
      </c>
      <c r="CL56" s="114">
        <v>1</v>
      </c>
      <c r="CM56" s="114">
        <v>0</v>
      </c>
      <c r="CN56" s="114">
        <v>0</v>
      </c>
      <c r="CO56" s="114">
        <v>0</v>
      </c>
      <c r="CP56" s="114">
        <v>0</v>
      </c>
      <c r="CQ56" s="114">
        <v>0</v>
      </c>
      <c r="CR56" s="114">
        <v>0</v>
      </c>
      <c r="CS56" s="114">
        <v>0</v>
      </c>
      <c r="CT56" s="114">
        <v>0</v>
      </c>
      <c r="CU56" s="114">
        <v>0</v>
      </c>
      <c r="CV56" s="114">
        <v>0</v>
      </c>
    </row>
    <row r="57" spans="1:100" x14ac:dyDescent="0.15">
      <c r="A57" s="193" t="s">
        <v>247</v>
      </c>
      <c r="B57" s="114">
        <v>0</v>
      </c>
      <c r="C57" s="114">
        <v>0</v>
      </c>
      <c r="D57" s="114">
        <v>0</v>
      </c>
      <c r="E57" s="114">
        <v>0</v>
      </c>
      <c r="F57" s="114">
        <v>1</v>
      </c>
      <c r="G57" s="114">
        <v>0</v>
      </c>
      <c r="H57" s="114">
        <v>0</v>
      </c>
      <c r="I57" s="114">
        <v>0</v>
      </c>
      <c r="J57" s="114">
        <v>0</v>
      </c>
      <c r="K57" s="114">
        <v>1</v>
      </c>
      <c r="L57" s="114">
        <v>1</v>
      </c>
      <c r="M57" s="114">
        <v>1</v>
      </c>
      <c r="N57" s="114">
        <v>1</v>
      </c>
      <c r="O57" s="114">
        <v>1</v>
      </c>
      <c r="P57" s="114">
        <v>1</v>
      </c>
      <c r="Q57" s="114">
        <v>0</v>
      </c>
      <c r="R57" s="114">
        <v>0</v>
      </c>
      <c r="S57" s="114">
        <v>0</v>
      </c>
      <c r="T57" s="114">
        <v>1</v>
      </c>
      <c r="U57" s="114">
        <v>1</v>
      </c>
      <c r="V57" s="114">
        <v>1</v>
      </c>
      <c r="W57" s="114">
        <v>1</v>
      </c>
      <c r="X57" s="114">
        <v>1</v>
      </c>
      <c r="Y57" s="114">
        <v>1</v>
      </c>
      <c r="Z57" s="114">
        <v>1</v>
      </c>
      <c r="AA57" s="114">
        <v>1</v>
      </c>
      <c r="AB57" s="114">
        <v>1</v>
      </c>
      <c r="AC57" s="114">
        <v>1</v>
      </c>
      <c r="AD57" s="114">
        <v>1</v>
      </c>
      <c r="AE57" s="114">
        <v>1</v>
      </c>
      <c r="AF57" s="114">
        <v>1</v>
      </c>
      <c r="AG57" s="114">
        <v>0</v>
      </c>
      <c r="AH57" s="114">
        <v>0</v>
      </c>
      <c r="AI57" s="114">
        <v>0</v>
      </c>
      <c r="AJ57" s="114">
        <v>1</v>
      </c>
      <c r="AK57" s="114">
        <v>1</v>
      </c>
      <c r="AL57" s="114">
        <v>1</v>
      </c>
      <c r="AM57" s="114">
        <v>1</v>
      </c>
      <c r="AN57" s="114">
        <v>1</v>
      </c>
      <c r="AO57" s="114">
        <v>0</v>
      </c>
      <c r="AP57" s="114">
        <v>0</v>
      </c>
      <c r="AQ57" s="114">
        <v>1</v>
      </c>
      <c r="AR57" s="114">
        <v>1</v>
      </c>
      <c r="AS57" s="114">
        <v>1</v>
      </c>
      <c r="AT57" s="114">
        <v>1</v>
      </c>
      <c r="AU57" s="114">
        <v>0</v>
      </c>
      <c r="AV57" s="114">
        <v>1</v>
      </c>
      <c r="AW57" s="114">
        <v>1</v>
      </c>
      <c r="AX57" s="114">
        <v>1</v>
      </c>
      <c r="AY57" s="114">
        <v>1</v>
      </c>
      <c r="AZ57" s="114">
        <v>1</v>
      </c>
      <c r="BA57" s="114">
        <v>1</v>
      </c>
      <c r="BB57" s="114">
        <v>1</v>
      </c>
      <c r="BC57" s="114">
        <v>1</v>
      </c>
      <c r="BD57" s="114">
        <v>0</v>
      </c>
      <c r="BE57" s="114">
        <v>0</v>
      </c>
      <c r="BF57" s="114">
        <v>0</v>
      </c>
      <c r="BG57" s="114">
        <v>1</v>
      </c>
      <c r="BH57" s="114">
        <v>0</v>
      </c>
      <c r="BI57" s="114">
        <v>1</v>
      </c>
      <c r="BJ57" s="114">
        <v>1</v>
      </c>
      <c r="BK57" s="114">
        <v>0</v>
      </c>
      <c r="BL57" s="114">
        <v>0</v>
      </c>
      <c r="BM57" s="114">
        <v>0</v>
      </c>
      <c r="BN57" s="114">
        <v>0</v>
      </c>
      <c r="BO57" s="114">
        <v>0</v>
      </c>
      <c r="BP57" s="114">
        <v>0</v>
      </c>
      <c r="BQ57" s="114">
        <v>0</v>
      </c>
      <c r="BR57" s="114">
        <v>0</v>
      </c>
      <c r="BS57" s="114">
        <v>0</v>
      </c>
      <c r="BT57" s="114">
        <v>0</v>
      </c>
      <c r="BU57" s="114">
        <v>0</v>
      </c>
      <c r="BV57" s="114">
        <v>0</v>
      </c>
      <c r="BW57" s="114">
        <v>0</v>
      </c>
      <c r="BX57" s="114">
        <v>0</v>
      </c>
      <c r="BY57" s="114">
        <v>0</v>
      </c>
      <c r="BZ57" s="114">
        <v>0</v>
      </c>
      <c r="CA57" s="114">
        <v>0</v>
      </c>
      <c r="CB57" s="114">
        <v>0</v>
      </c>
      <c r="CC57" s="114">
        <v>0</v>
      </c>
      <c r="CD57" s="114">
        <v>0</v>
      </c>
      <c r="CE57" s="114">
        <v>0</v>
      </c>
      <c r="CF57" s="114">
        <v>0</v>
      </c>
      <c r="CG57" s="114">
        <v>0</v>
      </c>
      <c r="CH57" s="114">
        <v>0</v>
      </c>
      <c r="CI57" s="114">
        <v>0</v>
      </c>
      <c r="CJ57" s="114">
        <v>0</v>
      </c>
      <c r="CK57" s="114">
        <v>0</v>
      </c>
      <c r="CL57" s="114">
        <v>0</v>
      </c>
      <c r="CM57" s="114">
        <v>0</v>
      </c>
      <c r="CN57" s="114">
        <v>0</v>
      </c>
      <c r="CO57" s="114">
        <v>0</v>
      </c>
      <c r="CP57" s="114">
        <v>0</v>
      </c>
      <c r="CQ57" s="114">
        <v>0</v>
      </c>
      <c r="CR57" s="114">
        <v>0</v>
      </c>
      <c r="CS57" s="114">
        <v>0</v>
      </c>
      <c r="CT57" s="114">
        <v>0</v>
      </c>
      <c r="CU57" s="114">
        <v>0</v>
      </c>
      <c r="CV57" s="114">
        <v>0</v>
      </c>
    </row>
    <row r="58" spans="1:100" x14ac:dyDescent="0.15">
      <c r="A58" s="193" t="s">
        <v>248</v>
      </c>
      <c r="B58" s="114">
        <v>0</v>
      </c>
      <c r="C58" s="114">
        <v>0</v>
      </c>
      <c r="D58" s="114">
        <v>0</v>
      </c>
      <c r="E58" s="114">
        <v>0</v>
      </c>
      <c r="F58" s="114">
        <v>1</v>
      </c>
      <c r="G58" s="114">
        <v>0</v>
      </c>
      <c r="H58" s="114">
        <v>0</v>
      </c>
      <c r="I58" s="114">
        <v>0</v>
      </c>
      <c r="J58" s="114">
        <v>0</v>
      </c>
      <c r="K58" s="114">
        <v>1</v>
      </c>
      <c r="L58" s="114">
        <v>1</v>
      </c>
      <c r="M58" s="114">
        <v>1</v>
      </c>
      <c r="N58" s="114">
        <v>1</v>
      </c>
      <c r="O58" s="114">
        <v>1</v>
      </c>
      <c r="P58" s="114">
        <v>1</v>
      </c>
      <c r="Q58" s="114">
        <v>1</v>
      </c>
      <c r="R58" s="114">
        <v>0</v>
      </c>
      <c r="S58" s="114">
        <v>0</v>
      </c>
      <c r="T58" s="114">
        <v>1</v>
      </c>
      <c r="U58" s="114">
        <v>1</v>
      </c>
      <c r="V58" s="114">
        <v>1</v>
      </c>
      <c r="W58" s="114">
        <v>1</v>
      </c>
      <c r="X58" s="114">
        <v>1</v>
      </c>
      <c r="Y58" s="114">
        <v>1</v>
      </c>
      <c r="Z58" s="114">
        <v>1</v>
      </c>
      <c r="AA58" s="114">
        <v>1</v>
      </c>
      <c r="AB58" s="114">
        <v>1</v>
      </c>
      <c r="AC58" s="114">
        <v>1</v>
      </c>
      <c r="AD58" s="114">
        <v>0</v>
      </c>
      <c r="AE58" s="114">
        <v>1</v>
      </c>
      <c r="AF58" s="114">
        <v>1</v>
      </c>
      <c r="AG58" s="114">
        <v>0</v>
      </c>
      <c r="AH58" s="114">
        <v>0</v>
      </c>
      <c r="AI58" s="114">
        <v>0</v>
      </c>
      <c r="AJ58" s="114">
        <v>1</v>
      </c>
      <c r="AK58" s="114">
        <v>1</v>
      </c>
      <c r="AL58" s="114">
        <v>1</v>
      </c>
      <c r="AM58" s="114">
        <v>1</v>
      </c>
      <c r="AN58" s="114">
        <v>1</v>
      </c>
      <c r="AO58" s="114">
        <v>1</v>
      </c>
      <c r="AP58" s="114">
        <v>1</v>
      </c>
      <c r="AQ58" s="114">
        <v>1</v>
      </c>
      <c r="AR58" s="114">
        <v>1</v>
      </c>
      <c r="AS58" s="114">
        <v>1</v>
      </c>
      <c r="AT58" s="114">
        <v>0</v>
      </c>
      <c r="AU58" s="114">
        <v>0</v>
      </c>
      <c r="AV58" s="114">
        <v>1</v>
      </c>
      <c r="AW58" s="114">
        <v>1</v>
      </c>
      <c r="AX58" s="114">
        <v>1</v>
      </c>
      <c r="AY58" s="114">
        <v>1</v>
      </c>
      <c r="AZ58" s="114">
        <v>1</v>
      </c>
      <c r="BA58" s="114">
        <v>1</v>
      </c>
      <c r="BB58" s="114">
        <v>1</v>
      </c>
      <c r="BC58" s="114">
        <v>1</v>
      </c>
      <c r="BD58" s="114">
        <v>1</v>
      </c>
      <c r="BE58" s="114">
        <v>0</v>
      </c>
      <c r="BF58" s="114">
        <v>0</v>
      </c>
      <c r="BG58" s="114">
        <v>1</v>
      </c>
      <c r="BH58" s="114">
        <v>1</v>
      </c>
      <c r="BI58" s="114">
        <v>1</v>
      </c>
      <c r="BJ58" s="114">
        <v>1</v>
      </c>
      <c r="BK58" s="114">
        <v>0</v>
      </c>
      <c r="BL58" s="114">
        <v>0</v>
      </c>
      <c r="BM58" s="114">
        <v>0</v>
      </c>
      <c r="BN58" s="114">
        <v>0</v>
      </c>
      <c r="BO58" s="114">
        <v>0</v>
      </c>
      <c r="BP58" s="114">
        <v>0</v>
      </c>
      <c r="BQ58" s="114">
        <v>0</v>
      </c>
      <c r="BR58" s="114">
        <v>0</v>
      </c>
      <c r="BS58" s="114">
        <v>0</v>
      </c>
      <c r="BT58" s="114">
        <v>0</v>
      </c>
      <c r="BU58" s="114">
        <v>0</v>
      </c>
      <c r="BV58" s="114">
        <v>0</v>
      </c>
      <c r="BW58" s="114">
        <v>0</v>
      </c>
      <c r="BX58" s="114">
        <v>1</v>
      </c>
      <c r="BY58" s="114">
        <v>0</v>
      </c>
      <c r="BZ58" s="114">
        <v>0</v>
      </c>
      <c r="CA58" s="114">
        <v>0</v>
      </c>
      <c r="CB58" s="114">
        <v>0</v>
      </c>
      <c r="CC58" s="114">
        <v>0</v>
      </c>
      <c r="CD58" s="114">
        <v>0</v>
      </c>
      <c r="CE58" s="114">
        <v>0</v>
      </c>
      <c r="CF58" s="114">
        <v>0</v>
      </c>
      <c r="CG58" s="114">
        <v>0</v>
      </c>
      <c r="CH58" s="114">
        <v>0</v>
      </c>
      <c r="CI58" s="114">
        <v>0</v>
      </c>
      <c r="CJ58" s="114">
        <v>0</v>
      </c>
      <c r="CK58" s="114">
        <v>0</v>
      </c>
      <c r="CL58" s="114">
        <v>1</v>
      </c>
      <c r="CM58" s="114">
        <v>0</v>
      </c>
      <c r="CN58" s="114">
        <v>0</v>
      </c>
      <c r="CO58" s="114">
        <v>0</v>
      </c>
      <c r="CP58" s="114">
        <v>0</v>
      </c>
      <c r="CQ58" s="114">
        <v>0</v>
      </c>
      <c r="CR58" s="114">
        <v>0</v>
      </c>
      <c r="CS58" s="114">
        <v>0</v>
      </c>
      <c r="CT58" s="114">
        <v>0</v>
      </c>
      <c r="CU58" s="114">
        <v>0</v>
      </c>
      <c r="CV58" s="114">
        <v>0</v>
      </c>
    </row>
    <row r="59" spans="1:100" x14ac:dyDescent="0.15">
      <c r="A59" s="193" t="s">
        <v>249</v>
      </c>
      <c r="B59" s="114">
        <v>0</v>
      </c>
      <c r="C59" s="114">
        <v>1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1</v>
      </c>
      <c r="L59" s="114">
        <v>1</v>
      </c>
      <c r="M59" s="114">
        <v>1</v>
      </c>
      <c r="N59" s="114">
        <v>1</v>
      </c>
      <c r="O59" s="114">
        <v>1</v>
      </c>
      <c r="P59" s="114">
        <v>1</v>
      </c>
      <c r="Q59" s="114">
        <v>1</v>
      </c>
      <c r="R59" s="114">
        <v>1</v>
      </c>
      <c r="S59" s="114">
        <v>1</v>
      </c>
      <c r="T59" s="114">
        <v>1</v>
      </c>
      <c r="U59" s="114">
        <v>1</v>
      </c>
      <c r="V59" s="114">
        <v>1</v>
      </c>
      <c r="W59" s="114">
        <v>1</v>
      </c>
      <c r="X59" s="114">
        <v>1</v>
      </c>
      <c r="Y59" s="114">
        <v>1</v>
      </c>
      <c r="Z59" s="114">
        <v>1</v>
      </c>
      <c r="AA59" s="114">
        <v>1</v>
      </c>
      <c r="AB59" s="114">
        <v>1</v>
      </c>
      <c r="AC59" s="114">
        <v>1</v>
      </c>
      <c r="AD59" s="114">
        <v>1</v>
      </c>
      <c r="AE59" s="114">
        <v>0</v>
      </c>
      <c r="AF59" s="114">
        <v>1</v>
      </c>
      <c r="AG59" s="114">
        <v>0</v>
      </c>
      <c r="AH59" s="114">
        <v>0</v>
      </c>
      <c r="AI59" s="114">
        <v>0</v>
      </c>
      <c r="AJ59" s="114">
        <v>1</v>
      </c>
      <c r="AK59" s="114">
        <v>1</v>
      </c>
      <c r="AL59" s="114">
        <v>1</v>
      </c>
      <c r="AM59" s="114">
        <v>1</v>
      </c>
      <c r="AN59" s="114">
        <v>1</v>
      </c>
      <c r="AO59" s="114">
        <v>0</v>
      </c>
      <c r="AP59" s="114">
        <v>0</v>
      </c>
      <c r="AQ59" s="114">
        <v>1</v>
      </c>
      <c r="AR59" s="114">
        <v>1</v>
      </c>
      <c r="AS59" s="114">
        <v>1</v>
      </c>
      <c r="AT59" s="114">
        <v>1</v>
      </c>
      <c r="AU59" s="114">
        <v>0</v>
      </c>
      <c r="AV59" s="114">
        <v>1</v>
      </c>
      <c r="AW59" s="114">
        <v>1</v>
      </c>
      <c r="AX59" s="114">
        <v>1</v>
      </c>
      <c r="AY59" s="114">
        <v>1</v>
      </c>
      <c r="AZ59" s="114">
        <v>1</v>
      </c>
      <c r="BA59" s="114">
        <v>1</v>
      </c>
      <c r="BB59" s="114">
        <v>1</v>
      </c>
      <c r="BC59" s="114">
        <v>1</v>
      </c>
      <c r="BD59" s="114">
        <v>0</v>
      </c>
      <c r="BE59" s="114">
        <v>0</v>
      </c>
      <c r="BF59" s="114">
        <v>0</v>
      </c>
      <c r="BG59" s="114">
        <v>1</v>
      </c>
      <c r="BH59" s="114">
        <v>0</v>
      </c>
      <c r="BI59" s="114">
        <v>0</v>
      </c>
      <c r="BJ59" s="114">
        <v>0</v>
      </c>
      <c r="BK59" s="114">
        <v>0</v>
      </c>
      <c r="BL59" s="114">
        <v>0</v>
      </c>
      <c r="BM59" s="114">
        <v>0</v>
      </c>
      <c r="BN59" s="114">
        <v>0</v>
      </c>
      <c r="BO59" s="114">
        <v>0</v>
      </c>
      <c r="BP59" s="114">
        <v>0</v>
      </c>
      <c r="BQ59" s="114">
        <v>0</v>
      </c>
      <c r="BR59" s="114">
        <v>0</v>
      </c>
      <c r="BS59" s="114">
        <v>0</v>
      </c>
      <c r="BT59" s="114">
        <v>0</v>
      </c>
      <c r="BU59" s="114">
        <v>0</v>
      </c>
      <c r="BV59" s="114">
        <v>0</v>
      </c>
      <c r="BW59" s="114">
        <v>0</v>
      </c>
      <c r="BX59" s="114">
        <v>0</v>
      </c>
      <c r="BY59" s="114">
        <v>0</v>
      </c>
      <c r="BZ59" s="114">
        <v>0</v>
      </c>
      <c r="CA59" s="114">
        <v>0</v>
      </c>
      <c r="CB59" s="114">
        <v>0</v>
      </c>
      <c r="CC59" s="114">
        <v>0</v>
      </c>
      <c r="CD59" s="114">
        <v>0</v>
      </c>
      <c r="CE59" s="114">
        <v>0</v>
      </c>
      <c r="CF59" s="114">
        <v>0</v>
      </c>
      <c r="CG59" s="114">
        <v>0</v>
      </c>
      <c r="CH59" s="114">
        <v>0</v>
      </c>
      <c r="CI59" s="114">
        <v>0</v>
      </c>
      <c r="CJ59" s="114">
        <v>0</v>
      </c>
      <c r="CK59" s="114">
        <v>0</v>
      </c>
      <c r="CL59" s="114">
        <v>0</v>
      </c>
      <c r="CM59" s="114">
        <v>0</v>
      </c>
      <c r="CN59" s="114">
        <v>0</v>
      </c>
      <c r="CO59" s="114">
        <v>0</v>
      </c>
      <c r="CP59" s="114">
        <v>0</v>
      </c>
      <c r="CQ59" s="114">
        <v>0</v>
      </c>
      <c r="CR59" s="114">
        <v>0</v>
      </c>
      <c r="CS59" s="114">
        <v>0</v>
      </c>
      <c r="CT59" s="114">
        <v>0</v>
      </c>
      <c r="CU59" s="114">
        <v>0</v>
      </c>
      <c r="CV59" s="114">
        <v>0</v>
      </c>
    </row>
    <row r="60" spans="1:100" x14ac:dyDescent="0.15">
      <c r="A60" s="193" t="s">
        <v>250</v>
      </c>
      <c r="B60" s="114">
        <v>0</v>
      </c>
      <c r="C60" s="114">
        <v>0</v>
      </c>
      <c r="D60" s="114">
        <v>1</v>
      </c>
      <c r="E60" s="114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1</v>
      </c>
      <c r="L60" s="114">
        <v>1</v>
      </c>
      <c r="M60" s="114">
        <v>1</v>
      </c>
      <c r="N60" s="114">
        <v>1</v>
      </c>
      <c r="O60" s="114">
        <v>1</v>
      </c>
      <c r="P60" s="114">
        <v>1</v>
      </c>
      <c r="Q60" s="114">
        <v>1</v>
      </c>
      <c r="R60" s="114">
        <v>1</v>
      </c>
      <c r="S60" s="114">
        <v>1</v>
      </c>
      <c r="T60" s="114">
        <v>1</v>
      </c>
      <c r="U60" s="114">
        <v>1</v>
      </c>
      <c r="V60" s="114">
        <v>1</v>
      </c>
      <c r="W60" s="114">
        <v>1</v>
      </c>
      <c r="X60" s="114">
        <v>1</v>
      </c>
      <c r="Y60" s="114">
        <v>1</v>
      </c>
      <c r="Z60" s="114">
        <v>1</v>
      </c>
      <c r="AA60" s="114">
        <v>1</v>
      </c>
      <c r="AB60" s="114">
        <v>1</v>
      </c>
      <c r="AC60" s="114">
        <v>1</v>
      </c>
      <c r="AD60" s="114">
        <v>1</v>
      </c>
      <c r="AE60" s="114">
        <v>0</v>
      </c>
      <c r="AF60" s="114">
        <v>1</v>
      </c>
      <c r="AG60" s="114">
        <v>0</v>
      </c>
      <c r="AH60" s="114">
        <v>0</v>
      </c>
      <c r="AI60" s="114">
        <v>0</v>
      </c>
      <c r="AJ60" s="114">
        <v>1</v>
      </c>
      <c r="AK60" s="114">
        <v>1</v>
      </c>
      <c r="AL60" s="114">
        <v>1</v>
      </c>
      <c r="AM60" s="114">
        <v>1</v>
      </c>
      <c r="AN60" s="114">
        <v>1</v>
      </c>
      <c r="AO60" s="114">
        <v>1</v>
      </c>
      <c r="AP60" s="114">
        <v>1</v>
      </c>
      <c r="AQ60" s="114">
        <v>1</v>
      </c>
      <c r="AR60" s="114">
        <v>1</v>
      </c>
      <c r="AS60" s="114">
        <v>1</v>
      </c>
      <c r="AT60" s="114">
        <v>0</v>
      </c>
      <c r="AU60" s="114">
        <v>0</v>
      </c>
      <c r="AV60" s="114">
        <v>0</v>
      </c>
      <c r="AW60" s="114">
        <v>1</v>
      </c>
      <c r="AX60" s="114">
        <v>1</v>
      </c>
      <c r="AY60" s="114">
        <v>1</v>
      </c>
      <c r="AZ60" s="114">
        <v>1</v>
      </c>
      <c r="BA60" s="114">
        <v>1</v>
      </c>
      <c r="BB60" s="114">
        <v>1</v>
      </c>
      <c r="BC60" s="114">
        <v>1</v>
      </c>
      <c r="BD60" s="114">
        <v>1</v>
      </c>
      <c r="BE60" s="114">
        <v>0</v>
      </c>
      <c r="BF60" s="114">
        <v>0</v>
      </c>
      <c r="BG60" s="114">
        <v>1</v>
      </c>
      <c r="BH60" s="114">
        <v>1</v>
      </c>
      <c r="BI60" s="114">
        <v>0</v>
      </c>
      <c r="BJ60" s="114">
        <v>0</v>
      </c>
      <c r="BK60" s="114">
        <v>0</v>
      </c>
      <c r="BL60" s="114">
        <v>0</v>
      </c>
      <c r="BM60" s="114">
        <v>0</v>
      </c>
      <c r="BN60" s="114">
        <v>0</v>
      </c>
      <c r="BO60" s="114">
        <v>0</v>
      </c>
      <c r="BP60" s="114">
        <v>0</v>
      </c>
      <c r="BQ60" s="114">
        <v>0</v>
      </c>
      <c r="BR60" s="114">
        <v>0</v>
      </c>
      <c r="BS60" s="114">
        <v>0</v>
      </c>
      <c r="BT60" s="114">
        <v>0</v>
      </c>
      <c r="BU60" s="114">
        <v>0</v>
      </c>
      <c r="BV60" s="114">
        <v>0</v>
      </c>
      <c r="BW60" s="114">
        <v>0</v>
      </c>
      <c r="BX60" s="114">
        <v>0</v>
      </c>
      <c r="BY60" s="114">
        <v>1</v>
      </c>
      <c r="BZ60" s="114">
        <v>0</v>
      </c>
      <c r="CA60" s="114">
        <v>0</v>
      </c>
      <c r="CB60" s="114">
        <v>0</v>
      </c>
      <c r="CC60" s="114">
        <v>0</v>
      </c>
      <c r="CD60" s="114">
        <v>0</v>
      </c>
      <c r="CE60" s="114">
        <v>0</v>
      </c>
      <c r="CF60" s="114">
        <v>0</v>
      </c>
      <c r="CG60" s="114">
        <v>0</v>
      </c>
      <c r="CH60" s="114">
        <v>0</v>
      </c>
      <c r="CI60" s="114">
        <v>0</v>
      </c>
      <c r="CJ60" s="114">
        <v>1</v>
      </c>
      <c r="CK60" s="114">
        <v>0</v>
      </c>
      <c r="CL60" s="114">
        <v>1</v>
      </c>
      <c r="CM60" s="114">
        <v>0</v>
      </c>
      <c r="CN60" s="114">
        <v>0</v>
      </c>
      <c r="CO60" s="114">
        <v>0</v>
      </c>
      <c r="CP60" s="114">
        <v>0</v>
      </c>
      <c r="CQ60" s="114">
        <v>0</v>
      </c>
      <c r="CR60" s="114">
        <v>0</v>
      </c>
      <c r="CS60" s="114">
        <v>0</v>
      </c>
      <c r="CT60" s="114">
        <v>0</v>
      </c>
      <c r="CU60" s="114">
        <v>0</v>
      </c>
      <c r="CV60" s="114">
        <v>0</v>
      </c>
    </row>
    <row r="61" spans="1:100" x14ac:dyDescent="0.15">
      <c r="A61" s="193" t="s">
        <v>251</v>
      </c>
      <c r="B61" s="114">
        <v>0</v>
      </c>
      <c r="C61" s="114">
        <v>0</v>
      </c>
      <c r="D61" s="114">
        <v>0</v>
      </c>
      <c r="E61" s="114">
        <v>0</v>
      </c>
      <c r="F61" s="114">
        <v>0</v>
      </c>
      <c r="G61" s="114">
        <v>0</v>
      </c>
      <c r="H61" s="114">
        <v>0</v>
      </c>
      <c r="I61" s="114">
        <v>0</v>
      </c>
      <c r="J61" s="114">
        <v>0</v>
      </c>
      <c r="K61" s="114">
        <v>1</v>
      </c>
      <c r="L61" s="114">
        <v>1</v>
      </c>
      <c r="M61" s="114">
        <v>1</v>
      </c>
      <c r="N61" s="114">
        <v>1</v>
      </c>
      <c r="O61" s="114">
        <v>1</v>
      </c>
      <c r="P61" s="114">
        <v>1</v>
      </c>
      <c r="Q61" s="114">
        <v>1</v>
      </c>
      <c r="R61" s="114">
        <v>1</v>
      </c>
      <c r="S61" s="114">
        <v>1</v>
      </c>
      <c r="T61" s="114">
        <v>0</v>
      </c>
      <c r="U61" s="114">
        <v>0</v>
      </c>
      <c r="V61" s="114">
        <v>1</v>
      </c>
      <c r="W61" s="114">
        <v>0</v>
      </c>
      <c r="X61" s="114">
        <v>1</v>
      </c>
      <c r="Y61" s="114">
        <v>1</v>
      </c>
      <c r="Z61" s="114">
        <v>1</v>
      </c>
      <c r="AA61" s="114">
        <v>1</v>
      </c>
      <c r="AB61" s="114">
        <v>0</v>
      </c>
      <c r="AC61" s="114">
        <v>0</v>
      </c>
      <c r="AD61" s="114">
        <v>0</v>
      </c>
      <c r="AE61" s="114">
        <v>0</v>
      </c>
      <c r="AF61" s="114">
        <v>1</v>
      </c>
      <c r="AG61" s="114">
        <v>0</v>
      </c>
      <c r="AH61" s="114">
        <v>0</v>
      </c>
      <c r="AI61" s="114">
        <v>0</v>
      </c>
      <c r="AJ61" s="114">
        <v>0</v>
      </c>
      <c r="AK61" s="114">
        <v>1</v>
      </c>
      <c r="AL61" s="114">
        <v>1</v>
      </c>
      <c r="AM61" s="114">
        <v>0</v>
      </c>
      <c r="AN61" s="114">
        <v>0</v>
      </c>
      <c r="AO61" s="114">
        <v>0</v>
      </c>
      <c r="AP61" s="114">
        <v>0</v>
      </c>
      <c r="AQ61" s="114">
        <v>1</v>
      </c>
      <c r="AR61" s="114">
        <v>1</v>
      </c>
      <c r="AS61" s="114">
        <v>1</v>
      </c>
      <c r="AT61" s="114">
        <v>0</v>
      </c>
      <c r="AU61" s="114">
        <v>0</v>
      </c>
      <c r="AV61" s="114">
        <v>0</v>
      </c>
      <c r="AW61" s="114">
        <v>1</v>
      </c>
      <c r="AX61" s="114">
        <v>0</v>
      </c>
      <c r="AY61" s="114">
        <v>0</v>
      </c>
      <c r="AZ61" s="114">
        <v>0</v>
      </c>
      <c r="BA61" s="114">
        <v>1</v>
      </c>
      <c r="BB61" s="114">
        <v>0</v>
      </c>
      <c r="BC61" s="114">
        <v>0</v>
      </c>
      <c r="BD61" s="114">
        <v>0</v>
      </c>
      <c r="BE61" s="114">
        <v>0</v>
      </c>
      <c r="BF61" s="114">
        <v>0</v>
      </c>
      <c r="BG61" s="114">
        <v>1</v>
      </c>
      <c r="BH61" s="114">
        <v>0</v>
      </c>
      <c r="BI61" s="114">
        <v>0</v>
      </c>
      <c r="BJ61" s="114">
        <v>0</v>
      </c>
      <c r="BK61" s="114">
        <v>0</v>
      </c>
      <c r="BL61" s="114">
        <v>0</v>
      </c>
      <c r="BM61" s="114">
        <v>0</v>
      </c>
      <c r="BN61" s="114">
        <v>0</v>
      </c>
      <c r="BO61" s="114">
        <v>0</v>
      </c>
      <c r="BP61" s="114">
        <v>0</v>
      </c>
      <c r="BQ61" s="114">
        <v>0</v>
      </c>
      <c r="BR61" s="114">
        <v>0</v>
      </c>
      <c r="BS61" s="114">
        <v>0</v>
      </c>
      <c r="BT61" s="114">
        <v>0</v>
      </c>
      <c r="BU61" s="114">
        <v>0</v>
      </c>
      <c r="BV61" s="114">
        <v>0</v>
      </c>
      <c r="BW61" s="114">
        <v>0</v>
      </c>
      <c r="BX61" s="114">
        <v>0</v>
      </c>
      <c r="BY61" s="114">
        <v>0</v>
      </c>
      <c r="BZ61" s="114">
        <v>0</v>
      </c>
      <c r="CA61" s="114">
        <v>0</v>
      </c>
      <c r="CB61" s="114">
        <v>0</v>
      </c>
      <c r="CC61" s="114">
        <v>0</v>
      </c>
      <c r="CD61" s="114">
        <v>0</v>
      </c>
      <c r="CE61" s="114">
        <v>0</v>
      </c>
      <c r="CF61" s="114">
        <v>0</v>
      </c>
      <c r="CG61" s="114">
        <v>0</v>
      </c>
      <c r="CH61" s="114">
        <v>0</v>
      </c>
      <c r="CI61" s="114">
        <v>0</v>
      </c>
      <c r="CJ61" s="114">
        <v>1</v>
      </c>
      <c r="CK61" s="114">
        <v>1</v>
      </c>
      <c r="CL61" s="114">
        <v>0</v>
      </c>
      <c r="CM61" s="114">
        <v>0</v>
      </c>
      <c r="CN61" s="114">
        <v>0</v>
      </c>
      <c r="CO61" s="114">
        <v>0</v>
      </c>
      <c r="CP61" s="114">
        <v>0</v>
      </c>
      <c r="CQ61" s="114">
        <v>0</v>
      </c>
      <c r="CR61" s="114">
        <v>0</v>
      </c>
      <c r="CS61" s="114">
        <v>0</v>
      </c>
      <c r="CT61" s="114">
        <v>0</v>
      </c>
      <c r="CU61" s="114">
        <v>0</v>
      </c>
      <c r="CV61" s="114">
        <v>0</v>
      </c>
    </row>
    <row r="62" spans="1:100" x14ac:dyDescent="0.15">
      <c r="A62" s="193" t="s">
        <v>252</v>
      </c>
      <c r="B62" s="114">
        <v>0</v>
      </c>
      <c r="C62" s="114">
        <v>0</v>
      </c>
      <c r="D62" s="114">
        <v>0</v>
      </c>
      <c r="E62" s="114">
        <v>0</v>
      </c>
      <c r="F62" s="114">
        <v>0</v>
      </c>
      <c r="G62" s="114">
        <v>0</v>
      </c>
      <c r="H62" s="114">
        <v>0</v>
      </c>
      <c r="I62" s="114">
        <v>0</v>
      </c>
      <c r="J62" s="114">
        <v>0</v>
      </c>
      <c r="K62" s="114">
        <v>0</v>
      </c>
      <c r="L62" s="114">
        <v>0</v>
      </c>
      <c r="M62" s="114">
        <v>0</v>
      </c>
      <c r="N62" s="114">
        <v>1</v>
      </c>
      <c r="O62" s="114">
        <v>1</v>
      </c>
      <c r="P62" s="114">
        <v>0</v>
      </c>
      <c r="Q62" s="114">
        <v>1</v>
      </c>
      <c r="R62" s="114">
        <v>1</v>
      </c>
      <c r="S62" s="114">
        <v>0</v>
      </c>
      <c r="T62" s="114">
        <v>0</v>
      </c>
      <c r="U62" s="114">
        <v>0</v>
      </c>
      <c r="V62" s="114">
        <v>0</v>
      </c>
      <c r="W62" s="114">
        <v>0</v>
      </c>
      <c r="X62" s="114">
        <v>0</v>
      </c>
      <c r="Y62" s="114">
        <v>1</v>
      </c>
      <c r="Z62" s="114">
        <v>0</v>
      </c>
      <c r="AA62" s="114">
        <v>1</v>
      </c>
      <c r="AB62" s="114">
        <v>0</v>
      </c>
      <c r="AC62" s="114">
        <v>0</v>
      </c>
      <c r="AD62" s="114">
        <v>0</v>
      </c>
      <c r="AE62" s="114">
        <v>0</v>
      </c>
      <c r="AF62" s="114">
        <v>0</v>
      </c>
      <c r="AG62" s="114">
        <v>0</v>
      </c>
      <c r="AH62" s="114">
        <v>1</v>
      </c>
      <c r="AI62" s="114">
        <v>1</v>
      </c>
      <c r="AJ62" s="114">
        <v>0</v>
      </c>
      <c r="AK62" s="114">
        <v>0</v>
      </c>
      <c r="AL62" s="114">
        <v>0</v>
      </c>
      <c r="AM62" s="114">
        <v>0</v>
      </c>
      <c r="AN62" s="114">
        <v>0</v>
      </c>
      <c r="AO62" s="114">
        <v>0</v>
      </c>
      <c r="AP62" s="114">
        <v>0</v>
      </c>
      <c r="AQ62" s="114">
        <v>1</v>
      </c>
      <c r="AR62" s="114">
        <v>1</v>
      </c>
      <c r="AS62" s="114">
        <v>1</v>
      </c>
      <c r="AT62" s="114">
        <v>1</v>
      </c>
      <c r="AU62" s="114">
        <v>1</v>
      </c>
      <c r="AV62" s="114">
        <v>1</v>
      </c>
      <c r="AW62" s="114">
        <v>0</v>
      </c>
      <c r="AX62" s="114">
        <v>0</v>
      </c>
      <c r="AY62" s="114">
        <v>1</v>
      </c>
      <c r="AZ62" s="114">
        <v>1</v>
      </c>
      <c r="BA62" s="114">
        <v>1</v>
      </c>
      <c r="BB62" s="114">
        <v>1</v>
      </c>
      <c r="BC62" s="114">
        <v>1</v>
      </c>
      <c r="BD62" s="114">
        <v>1</v>
      </c>
      <c r="BE62" s="114">
        <v>0</v>
      </c>
      <c r="BF62" s="114">
        <v>0</v>
      </c>
      <c r="BG62" s="114">
        <v>1</v>
      </c>
      <c r="BH62" s="114">
        <v>1</v>
      </c>
      <c r="BI62" s="114">
        <v>0</v>
      </c>
      <c r="BJ62" s="114">
        <v>0</v>
      </c>
      <c r="BK62" s="114">
        <v>0</v>
      </c>
      <c r="BL62" s="114">
        <v>0</v>
      </c>
      <c r="BM62" s="114">
        <v>0</v>
      </c>
      <c r="BN62" s="114">
        <v>1</v>
      </c>
      <c r="BO62" s="114">
        <v>0</v>
      </c>
      <c r="BP62" s="114">
        <v>0</v>
      </c>
      <c r="BQ62" s="114">
        <v>0</v>
      </c>
      <c r="BR62" s="114">
        <v>0</v>
      </c>
      <c r="BS62" s="114">
        <v>0</v>
      </c>
      <c r="BT62" s="114">
        <v>0</v>
      </c>
      <c r="BU62" s="114">
        <v>0</v>
      </c>
      <c r="BV62" s="114">
        <v>0</v>
      </c>
      <c r="BW62" s="114">
        <v>0</v>
      </c>
      <c r="BX62" s="114">
        <v>0</v>
      </c>
      <c r="BY62" s="114">
        <v>1</v>
      </c>
      <c r="BZ62" s="114">
        <v>0</v>
      </c>
      <c r="CA62" s="114">
        <v>0</v>
      </c>
      <c r="CB62" s="114">
        <v>0</v>
      </c>
      <c r="CC62" s="114">
        <v>0</v>
      </c>
      <c r="CD62" s="114">
        <v>0</v>
      </c>
      <c r="CE62" s="114">
        <v>0</v>
      </c>
      <c r="CF62" s="114">
        <v>0</v>
      </c>
      <c r="CG62" s="114">
        <v>0</v>
      </c>
      <c r="CH62" s="114">
        <v>0</v>
      </c>
      <c r="CI62" s="114">
        <v>0</v>
      </c>
      <c r="CJ62" s="114">
        <v>1</v>
      </c>
      <c r="CK62" s="114">
        <v>1</v>
      </c>
      <c r="CL62" s="114">
        <v>1</v>
      </c>
      <c r="CM62" s="114">
        <v>0</v>
      </c>
      <c r="CN62" s="114">
        <v>0</v>
      </c>
      <c r="CO62" s="114">
        <v>0</v>
      </c>
      <c r="CP62" s="114">
        <v>0</v>
      </c>
      <c r="CQ62" s="114">
        <v>0</v>
      </c>
      <c r="CR62" s="114">
        <v>0</v>
      </c>
      <c r="CS62" s="114">
        <v>0</v>
      </c>
      <c r="CT62" s="114">
        <v>0</v>
      </c>
      <c r="CU62" s="114">
        <v>0</v>
      </c>
      <c r="CV62" s="114">
        <v>0</v>
      </c>
    </row>
    <row r="63" spans="1:100" x14ac:dyDescent="0.15">
      <c r="A63" s="193" t="s">
        <v>253</v>
      </c>
      <c r="B63" s="114">
        <v>0</v>
      </c>
      <c r="C63" s="114">
        <v>0</v>
      </c>
      <c r="D63" s="114">
        <v>0</v>
      </c>
      <c r="E63" s="114">
        <v>0</v>
      </c>
      <c r="F63" s="114">
        <v>0</v>
      </c>
      <c r="G63" s="114">
        <v>0</v>
      </c>
      <c r="H63" s="114">
        <v>0</v>
      </c>
      <c r="I63" s="114">
        <v>0</v>
      </c>
      <c r="J63" s="114">
        <v>0</v>
      </c>
      <c r="K63" s="114">
        <v>1</v>
      </c>
      <c r="L63" s="114">
        <v>1</v>
      </c>
      <c r="M63" s="114">
        <v>0</v>
      </c>
      <c r="N63" s="114">
        <v>1</v>
      </c>
      <c r="O63" s="114">
        <v>1</v>
      </c>
      <c r="P63" s="114">
        <v>1</v>
      </c>
      <c r="Q63" s="114">
        <v>1</v>
      </c>
      <c r="R63" s="114">
        <v>1</v>
      </c>
      <c r="S63" s="114">
        <v>1</v>
      </c>
      <c r="T63" s="114">
        <v>0</v>
      </c>
      <c r="U63" s="114">
        <v>0</v>
      </c>
      <c r="V63" s="114">
        <v>1</v>
      </c>
      <c r="W63" s="114">
        <v>0</v>
      </c>
      <c r="X63" s="114">
        <v>1</v>
      </c>
      <c r="Y63" s="114">
        <v>1</v>
      </c>
      <c r="Z63" s="114">
        <v>1</v>
      </c>
      <c r="AA63" s="114">
        <v>1</v>
      </c>
      <c r="AB63" s="114">
        <v>0</v>
      </c>
      <c r="AC63" s="114">
        <v>0</v>
      </c>
      <c r="AD63" s="114">
        <v>0</v>
      </c>
      <c r="AE63" s="114">
        <v>0</v>
      </c>
      <c r="AF63" s="114">
        <v>1</v>
      </c>
      <c r="AG63" s="114">
        <v>0</v>
      </c>
      <c r="AH63" s="114">
        <v>0</v>
      </c>
      <c r="AI63" s="114">
        <v>0</v>
      </c>
      <c r="AJ63" s="114">
        <v>0</v>
      </c>
      <c r="AK63" s="114">
        <v>1</v>
      </c>
      <c r="AL63" s="114">
        <v>1</v>
      </c>
      <c r="AM63" s="114">
        <v>0</v>
      </c>
      <c r="AN63" s="114">
        <v>0</v>
      </c>
      <c r="AO63" s="114">
        <v>0</v>
      </c>
      <c r="AP63" s="114">
        <v>0</v>
      </c>
      <c r="AQ63" s="114">
        <v>1</v>
      </c>
      <c r="AR63" s="114">
        <v>1</v>
      </c>
      <c r="AS63" s="114">
        <v>1</v>
      </c>
      <c r="AT63" s="114">
        <v>0</v>
      </c>
      <c r="AU63" s="114">
        <v>0</v>
      </c>
      <c r="AV63" s="114">
        <v>0</v>
      </c>
      <c r="AW63" s="114">
        <v>0</v>
      </c>
      <c r="AX63" s="114">
        <v>0</v>
      </c>
      <c r="AY63" s="114">
        <v>0</v>
      </c>
      <c r="AZ63" s="114">
        <v>0</v>
      </c>
      <c r="BA63" s="114">
        <v>1</v>
      </c>
      <c r="BB63" s="114">
        <v>0</v>
      </c>
      <c r="BC63" s="114">
        <v>0</v>
      </c>
      <c r="BD63" s="114">
        <v>0</v>
      </c>
      <c r="BE63" s="114">
        <v>0</v>
      </c>
      <c r="BF63" s="114">
        <v>0</v>
      </c>
      <c r="BG63" s="114">
        <v>1</v>
      </c>
      <c r="BH63" s="114">
        <v>0</v>
      </c>
      <c r="BI63" s="114">
        <v>0</v>
      </c>
      <c r="BJ63" s="114">
        <v>0</v>
      </c>
      <c r="BK63" s="114">
        <v>0</v>
      </c>
      <c r="BL63" s="114">
        <v>0</v>
      </c>
      <c r="BM63" s="114">
        <v>0</v>
      </c>
      <c r="BN63" s="114">
        <v>0</v>
      </c>
      <c r="BO63" s="114">
        <v>0</v>
      </c>
      <c r="BP63" s="114">
        <v>0</v>
      </c>
      <c r="BQ63" s="114">
        <v>0</v>
      </c>
      <c r="BR63" s="114">
        <v>0</v>
      </c>
      <c r="BS63" s="114">
        <v>0</v>
      </c>
      <c r="BT63" s="114">
        <v>0</v>
      </c>
      <c r="BU63" s="114">
        <v>0</v>
      </c>
      <c r="BV63" s="114">
        <v>0</v>
      </c>
      <c r="BW63" s="114">
        <v>0</v>
      </c>
      <c r="BX63" s="114">
        <v>0</v>
      </c>
      <c r="BY63" s="114">
        <v>0</v>
      </c>
      <c r="BZ63" s="114">
        <v>0</v>
      </c>
      <c r="CA63" s="114">
        <v>0</v>
      </c>
      <c r="CB63" s="114">
        <v>0</v>
      </c>
      <c r="CC63" s="114">
        <v>0</v>
      </c>
      <c r="CD63" s="114">
        <v>0</v>
      </c>
      <c r="CE63" s="114">
        <v>0</v>
      </c>
      <c r="CF63" s="114">
        <v>0</v>
      </c>
      <c r="CG63" s="114">
        <v>0</v>
      </c>
      <c r="CH63" s="114">
        <v>0</v>
      </c>
      <c r="CI63" s="114">
        <v>0</v>
      </c>
      <c r="CJ63" s="114">
        <v>1</v>
      </c>
      <c r="CK63" s="114">
        <v>1</v>
      </c>
      <c r="CL63" s="114">
        <v>0</v>
      </c>
      <c r="CM63" s="114">
        <v>0</v>
      </c>
      <c r="CN63" s="114">
        <v>0</v>
      </c>
      <c r="CO63" s="114">
        <v>0</v>
      </c>
      <c r="CP63" s="114">
        <v>0</v>
      </c>
      <c r="CQ63" s="114">
        <v>0</v>
      </c>
      <c r="CR63" s="114">
        <v>0</v>
      </c>
      <c r="CS63" s="114">
        <v>0</v>
      </c>
      <c r="CT63" s="114">
        <v>0</v>
      </c>
      <c r="CU63" s="114">
        <v>0</v>
      </c>
      <c r="CV63" s="114">
        <v>0</v>
      </c>
    </row>
    <row r="64" spans="1:100" x14ac:dyDescent="0.15">
      <c r="A64" s="193" t="s">
        <v>254</v>
      </c>
      <c r="B64" s="114">
        <v>0</v>
      </c>
      <c r="C64" s="114">
        <v>0</v>
      </c>
      <c r="D64" s="114">
        <v>0</v>
      </c>
      <c r="E64" s="114">
        <v>0</v>
      </c>
      <c r="F64" s="114">
        <v>0</v>
      </c>
      <c r="G64" s="114">
        <v>0</v>
      </c>
      <c r="H64" s="114">
        <v>0</v>
      </c>
      <c r="I64" s="114">
        <v>0</v>
      </c>
      <c r="J64" s="114">
        <v>0</v>
      </c>
      <c r="K64" s="114">
        <v>0</v>
      </c>
      <c r="L64" s="114">
        <v>0</v>
      </c>
      <c r="M64" s="114">
        <v>0</v>
      </c>
      <c r="N64" s="114">
        <v>1</v>
      </c>
      <c r="O64" s="114">
        <v>1</v>
      </c>
      <c r="P64" s="114">
        <v>0</v>
      </c>
      <c r="Q64" s="114">
        <v>1</v>
      </c>
      <c r="R64" s="114">
        <v>1</v>
      </c>
      <c r="S64" s="114">
        <v>0</v>
      </c>
      <c r="T64" s="114">
        <v>0</v>
      </c>
      <c r="U64" s="114">
        <v>0</v>
      </c>
      <c r="V64" s="114">
        <v>0</v>
      </c>
      <c r="W64" s="114">
        <v>0</v>
      </c>
      <c r="X64" s="114">
        <v>0</v>
      </c>
      <c r="Y64" s="114">
        <v>1</v>
      </c>
      <c r="Z64" s="114">
        <v>0</v>
      </c>
      <c r="AA64" s="114">
        <v>0</v>
      </c>
      <c r="AB64" s="114">
        <v>0</v>
      </c>
      <c r="AC64" s="114">
        <v>0</v>
      </c>
      <c r="AD64" s="114">
        <v>0</v>
      </c>
      <c r="AE64" s="114">
        <v>0</v>
      </c>
      <c r="AF64" s="114">
        <v>0</v>
      </c>
      <c r="AG64" s="114">
        <v>0</v>
      </c>
      <c r="AH64" s="114">
        <v>1</v>
      </c>
      <c r="AI64" s="114">
        <v>1</v>
      </c>
      <c r="AJ64" s="114">
        <v>0</v>
      </c>
      <c r="AK64" s="114">
        <v>0</v>
      </c>
      <c r="AL64" s="114">
        <v>0</v>
      </c>
      <c r="AM64" s="114">
        <v>0</v>
      </c>
      <c r="AN64" s="114">
        <v>0</v>
      </c>
      <c r="AO64" s="114">
        <v>0</v>
      </c>
      <c r="AP64" s="114">
        <v>0</v>
      </c>
      <c r="AQ64" s="114">
        <v>1</v>
      </c>
      <c r="AR64" s="114">
        <v>1</v>
      </c>
      <c r="AS64" s="114">
        <v>1</v>
      </c>
      <c r="AT64" s="114">
        <v>0</v>
      </c>
      <c r="AU64" s="114">
        <v>1</v>
      </c>
      <c r="AV64" s="114">
        <v>1</v>
      </c>
      <c r="AW64" s="114">
        <v>0</v>
      </c>
      <c r="AX64" s="114">
        <v>0</v>
      </c>
      <c r="AY64" s="114">
        <v>1</v>
      </c>
      <c r="AZ64" s="114">
        <v>1</v>
      </c>
      <c r="BA64" s="114">
        <v>1</v>
      </c>
      <c r="BB64" s="114">
        <v>1</v>
      </c>
      <c r="BC64" s="114">
        <v>1</v>
      </c>
      <c r="BD64" s="114">
        <v>1</v>
      </c>
      <c r="BE64" s="114">
        <v>0</v>
      </c>
      <c r="BF64" s="114">
        <v>0</v>
      </c>
      <c r="BG64" s="114">
        <v>0</v>
      </c>
      <c r="BH64" s="114">
        <v>0</v>
      </c>
      <c r="BI64" s="114">
        <v>0</v>
      </c>
      <c r="BJ64" s="114">
        <v>0</v>
      </c>
      <c r="BK64" s="114">
        <v>0</v>
      </c>
      <c r="BL64" s="114">
        <v>0</v>
      </c>
      <c r="BM64" s="114">
        <v>0</v>
      </c>
      <c r="BN64" s="114">
        <v>1</v>
      </c>
      <c r="BO64" s="114">
        <v>0</v>
      </c>
      <c r="BP64" s="114">
        <v>0</v>
      </c>
      <c r="BQ64" s="114">
        <v>0</v>
      </c>
      <c r="BR64" s="114">
        <v>0</v>
      </c>
      <c r="BS64" s="114">
        <v>0</v>
      </c>
      <c r="BT64" s="114">
        <v>0</v>
      </c>
      <c r="BU64" s="114">
        <v>0</v>
      </c>
      <c r="BV64" s="114">
        <v>0</v>
      </c>
      <c r="BW64" s="114">
        <v>0</v>
      </c>
      <c r="BX64" s="114">
        <v>0</v>
      </c>
      <c r="BY64" s="114">
        <v>0</v>
      </c>
      <c r="BZ64" s="114">
        <v>0</v>
      </c>
      <c r="CA64" s="114">
        <v>0</v>
      </c>
      <c r="CB64" s="114">
        <v>0</v>
      </c>
      <c r="CC64" s="114">
        <v>0</v>
      </c>
      <c r="CD64" s="114">
        <v>0</v>
      </c>
      <c r="CE64" s="114">
        <v>0</v>
      </c>
      <c r="CF64" s="114">
        <v>0</v>
      </c>
      <c r="CG64" s="114">
        <v>0</v>
      </c>
      <c r="CH64" s="114">
        <v>0</v>
      </c>
      <c r="CI64" s="114">
        <v>0</v>
      </c>
      <c r="CJ64" s="114">
        <v>1</v>
      </c>
      <c r="CK64" s="114">
        <v>1</v>
      </c>
      <c r="CL64" s="114">
        <v>1</v>
      </c>
      <c r="CM64" s="114">
        <v>0</v>
      </c>
      <c r="CN64" s="114">
        <v>0</v>
      </c>
      <c r="CO64" s="114">
        <v>0</v>
      </c>
      <c r="CP64" s="114">
        <v>0</v>
      </c>
      <c r="CQ64" s="114">
        <v>0</v>
      </c>
      <c r="CR64" s="114">
        <v>0</v>
      </c>
      <c r="CS64" s="114">
        <v>0</v>
      </c>
      <c r="CT64" s="114">
        <v>0</v>
      </c>
      <c r="CU64" s="114">
        <v>0</v>
      </c>
      <c r="CV64" s="114">
        <v>0</v>
      </c>
    </row>
    <row r="65" spans="1:100" x14ac:dyDescent="0.15">
      <c r="A65" s="193" t="s">
        <v>255</v>
      </c>
      <c r="B65" s="114">
        <v>0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1</v>
      </c>
      <c r="L65" s="114">
        <v>1</v>
      </c>
      <c r="M65" s="114">
        <v>1</v>
      </c>
      <c r="N65" s="114">
        <v>1</v>
      </c>
      <c r="O65" s="114">
        <v>1</v>
      </c>
      <c r="P65" s="114">
        <v>1</v>
      </c>
      <c r="Q65" s="114">
        <v>1</v>
      </c>
      <c r="R65" s="114">
        <v>1</v>
      </c>
      <c r="S65" s="114">
        <v>1</v>
      </c>
      <c r="T65" s="114">
        <v>0</v>
      </c>
      <c r="U65" s="114">
        <v>0</v>
      </c>
      <c r="V65" s="114">
        <v>1</v>
      </c>
      <c r="W65" s="114">
        <v>0</v>
      </c>
      <c r="X65" s="114">
        <v>1</v>
      </c>
      <c r="Y65" s="114">
        <v>1</v>
      </c>
      <c r="Z65" s="114">
        <v>1</v>
      </c>
      <c r="AA65" s="114">
        <v>1</v>
      </c>
      <c r="AB65" s="114">
        <v>0</v>
      </c>
      <c r="AC65" s="114">
        <v>0</v>
      </c>
      <c r="AD65" s="114">
        <v>0</v>
      </c>
      <c r="AE65" s="114">
        <v>0</v>
      </c>
      <c r="AF65" s="114">
        <v>1</v>
      </c>
      <c r="AG65" s="114">
        <v>0</v>
      </c>
      <c r="AH65" s="114">
        <v>0</v>
      </c>
      <c r="AI65" s="114">
        <v>0</v>
      </c>
      <c r="AJ65" s="114">
        <v>1</v>
      </c>
      <c r="AK65" s="114">
        <v>1</v>
      </c>
      <c r="AL65" s="114">
        <v>1</v>
      </c>
      <c r="AM65" s="114">
        <v>0</v>
      </c>
      <c r="AN65" s="114">
        <v>0</v>
      </c>
      <c r="AO65" s="114">
        <v>0</v>
      </c>
      <c r="AP65" s="114">
        <v>0</v>
      </c>
      <c r="AQ65" s="114">
        <v>1</v>
      </c>
      <c r="AR65" s="114">
        <v>1</v>
      </c>
      <c r="AS65" s="114">
        <v>1</v>
      </c>
      <c r="AT65" s="114">
        <v>0</v>
      </c>
      <c r="AU65" s="114">
        <v>0</v>
      </c>
      <c r="AV65" s="114">
        <v>0</v>
      </c>
      <c r="AW65" s="114">
        <v>1</v>
      </c>
      <c r="AX65" s="114">
        <v>1</v>
      </c>
      <c r="AY65" s="114">
        <v>0</v>
      </c>
      <c r="AZ65" s="114">
        <v>0</v>
      </c>
      <c r="BA65" s="114">
        <v>1</v>
      </c>
      <c r="BB65" s="114">
        <v>0</v>
      </c>
      <c r="BC65" s="114">
        <v>0</v>
      </c>
      <c r="BD65" s="114">
        <v>0</v>
      </c>
      <c r="BE65" s="114">
        <v>0</v>
      </c>
      <c r="BF65" s="114">
        <v>0</v>
      </c>
      <c r="BG65" s="114">
        <v>1</v>
      </c>
      <c r="BH65" s="114">
        <v>0</v>
      </c>
      <c r="BI65" s="114">
        <v>0</v>
      </c>
      <c r="BJ65" s="114">
        <v>0</v>
      </c>
      <c r="BK65" s="114">
        <v>0</v>
      </c>
      <c r="BL65" s="114">
        <v>0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>
        <v>0</v>
      </c>
      <c r="BZ65" s="114">
        <v>0</v>
      </c>
      <c r="CA65" s="114">
        <v>0</v>
      </c>
      <c r="CB65" s="114">
        <v>0</v>
      </c>
      <c r="CC65" s="114">
        <v>0</v>
      </c>
      <c r="CD65" s="114">
        <v>0</v>
      </c>
      <c r="CE65" s="114">
        <v>0</v>
      </c>
      <c r="CF65" s="114">
        <v>0</v>
      </c>
      <c r="CG65" s="114">
        <v>0</v>
      </c>
      <c r="CH65" s="114">
        <v>0</v>
      </c>
      <c r="CI65" s="114">
        <v>0</v>
      </c>
      <c r="CJ65" s="114">
        <v>0</v>
      </c>
      <c r="CK65" s="114">
        <v>0</v>
      </c>
      <c r="CL65" s="114">
        <v>0</v>
      </c>
      <c r="CM65" s="114">
        <v>0</v>
      </c>
      <c r="CN65" s="114">
        <v>0</v>
      </c>
      <c r="CO65" s="114">
        <v>0</v>
      </c>
      <c r="CP65" s="114">
        <v>0</v>
      </c>
      <c r="CQ65" s="114">
        <v>0</v>
      </c>
      <c r="CR65" s="114">
        <v>0</v>
      </c>
      <c r="CS65" s="114">
        <v>0</v>
      </c>
      <c r="CT65" s="114">
        <v>0</v>
      </c>
      <c r="CU65" s="114">
        <v>0</v>
      </c>
      <c r="CV65" s="114">
        <v>0</v>
      </c>
    </row>
    <row r="66" spans="1:100" x14ac:dyDescent="0.15">
      <c r="A66" s="193" t="s">
        <v>256</v>
      </c>
      <c r="B66" s="114">
        <v>0</v>
      </c>
      <c r="C66" s="114">
        <v>0</v>
      </c>
      <c r="D66" s="114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1</v>
      </c>
      <c r="O66" s="114">
        <v>1</v>
      </c>
      <c r="P66" s="114">
        <v>0</v>
      </c>
      <c r="Q66" s="114">
        <v>1</v>
      </c>
      <c r="R66" s="114">
        <v>1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0</v>
      </c>
      <c r="Z66" s="114">
        <v>0</v>
      </c>
      <c r="AA66" s="114">
        <v>1</v>
      </c>
      <c r="AB66" s="114">
        <v>0</v>
      </c>
      <c r="AC66" s="114">
        <v>0</v>
      </c>
      <c r="AD66" s="114">
        <v>0</v>
      </c>
      <c r="AE66" s="114">
        <v>0</v>
      </c>
      <c r="AF66" s="114">
        <v>0</v>
      </c>
      <c r="AG66" s="114">
        <v>0</v>
      </c>
      <c r="AH66" s="114">
        <v>1</v>
      </c>
      <c r="AI66" s="114">
        <v>1</v>
      </c>
      <c r="AJ66" s="114">
        <v>0</v>
      </c>
      <c r="AK66" s="114">
        <v>0</v>
      </c>
      <c r="AL66" s="114">
        <v>1</v>
      </c>
      <c r="AM66" s="114">
        <v>0</v>
      </c>
      <c r="AN66" s="114">
        <v>0</v>
      </c>
      <c r="AO66" s="114">
        <v>0</v>
      </c>
      <c r="AP66" s="114">
        <v>0</v>
      </c>
      <c r="AQ66" s="114">
        <v>1</v>
      </c>
      <c r="AR66" s="114">
        <v>1</v>
      </c>
      <c r="AS66" s="114">
        <v>1</v>
      </c>
      <c r="AT66" s="114">
        <v>1</v>
      </c>
      <c r="AU66" s="114">
        <v>1</v>
      </c>
      <c r="AV66" s="114">
        <v>1</v>
      </c>
      <c r="AW66" s="114">
        <v>0</v>
      </c>
      <c r="AX66" s="114">
        <v>0</v>
      </c>
      <c r="AY66" s="114">
        <v>1</v>
      </c>
      <c r="AZ66" s="114">
        <v>1</v>
      </c>
      <c r="BA66" s="114">
        <v>1</v>
      </c>
      <c r="BB66" s="114">
        <v>1</v>
      </c>
      <c r="BC66" s="114">
        <v>1</v>
      </c>
      <c r="BD66" s="114">
        <v>1</v>
      </c>
      <c r="BE66" s="114">
        <v>0</v>
      </c>
      <c r="BF66" s="114">
        <v>0</v>
      </c>
      <c r="BG66" s="114">
        <v>0</v>
      </c>
      <c r="BH66" s="114">
        <v>0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1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1</v>
      </c>
      <c r="BZ66" s="114">
        <v>0</v>
      </c>
      <c r="CA66" s="114">
        <v>0</v>
      </c>
      <c r="CB66" s="114">
        <v>0</v>
      </c>
      <c r="CC66" s="114">
        <v>0</v>
      </c>
      <c r="CD66" s="114">
        <v>0</v>
      </c>
      <c r="CE66" s="114">
        <v>0</v>
      </c>
      <c r="CF66" s="114">
        <v>0</v>
      </c>
      <c r="CG66" s="114">
        <v>0</v>
      </c>
      <c r="CH66" s="114">
        <v>0</v>
      </c>
      <c r="CI66" s="114">
        <v>0</v>
      </c>
      <c r="CJ66" s="114">
        <v>1</v>
      </c>
      <c r="CK66" s="114">
        <v>1</v>
      </c>
      <c r="CL66" s="114">
        <v>1</v>
      </c>
      <c r="CM66" s="114">
        <v>0</v>
      </c>
      <c r="CN66" s="114">
        <v>0</v>
      </c>
      <c r="CO66" s="114">
        <v>0</v>
      </c>
      <c r="CP66" s="114">
        <v>0</v>
      </c>
      <c r="CQ66" s="114">
        <v>0</v>
      </c>
      <c r="CR66" s="114">
        <v>0</v>
      </c>
      <c r="CS66" s="114">
        <v>0</v>
      </c>
      <c r="CT66" s="114">
        <v>0</v>
      </c>
      <c r="CU66" s="114">
        <v>0</v>
      </c>
      <c r="CV66" s="114">
        <v>0</v>
      </c>
    </row>
    <row r="67" spans="1:100" x14ac:dyDescent="0.15">
      <c r="A67" s="193" t="s">
        <v>257</v>
      </c>
      <c r="B67" s="114">
        <v>0</v>
      </c>
      <c r="C67" s="114">
        <v>0</v>
      </c>
      <c r="D67" s="114">
        <v>0</v>
      </c>
      <c r="E67" s="114">
        <v>0</v>
      </c>
      <c r="F67" s="114">
        <v>0</v>
      </c>
      <c r="G67" s="114">
        <v>0</v>
      </c>
      <c r="H67" s="114">
        <v>0</v>
      </c>
      <c r="I67" s="114">
        <v>0</v>
      </c>
      <c r="J67" s="114">
        <v>0</v>
      </c>
      <c r="K67" s="114">
        <v>1</v>
      </c>
      <c r="L67" s="114">
        <v>1</v>
      </c>
      <c r="M67" s="114">
        <v>1</v>
      </c>
      <c r="N67" s="114">
        <v>1</v>
      </c>
      <c r="O67" s="114">
        <v>1</v>
      </c>
      <c r="P67" s="114">
        <v>1</v>
      </c>
      <c r="Q67" s="114">
        <v>1</v>
      </c>
      <c r="R67" s="114">
        <v>1</v>
      </c>
      <c r="S67" s="114">
        <v>1</v>
      </c>
      <c r="T67" s="114">
        <v>0</v>
      </c>
      <c r="U67" s="114">
        <v>0</v>
      </c>
      <c r="V67" s="114">
        <v>1</v>
      </c>
      <c r="W67" s="114">
        <v>0</v>
      </c>
      <c r="X67" s="114">
        <v>1</v>
      </c>
      <c r="Y67" s="114">
        <v>1</v>
      </c>
      <c r="Z67" s="114">
        <v>1</v>
      </c>
      <c r="AA67" s="114">
        <v>1</v>
      </c>
      <c r="AB67" s="114">
        <v>0</v>
      </c>
      <c r="AC67" s="114">
        <v>0</v>
      </c>
      <c r="AD67" s="114">
        <v>0</v>
      </c>
      <c r="AE67" s="114">
        <v>0</v>
      </c>
      <c r="AF67" s="114">
        <v>1</v>
      </c>
      <c r="AG67" s="114">
        <v>0</v>
      </c>
      <c r="AH67" s="114">
        <v>0</v>
      </c>
      <c r="AI67" s="114">
        <v>0</v>
      </c>
      <c r="AJ67" s="114">
        <v>1</v>
      </c>
      <c r="AK67" s="114">
        <v>1</v>
      </c>
      <c r="AL67" s="114">
        <v>1</v>
      </c>
      <c r="AM67" s="114">
        <v>0</v>
      </c>
      <c r="AN67" s="114">
        <v>0</v>
      </c>
      <c r="AO67" s="114">
        <v>0</v>
      </c>
      <c r="AP67" s="114">
        <v>0</v>
      </c>
      <c r="AQ67" s="114">
        <v>1</v>
      </c>
      <c r="AR67" s="114">
        <v>1</v>
      </c>
      <c r="AS67" s="114">
        <v>1</v>
      </c>
      <c r="AT67" s="114">
        <v>1</v>
      </c>
      <c r="AU67" s="114">
        <v>0</v>
      </c>
      <c r="AV67" s="114">
        <v>0</v>
      </c>
      <c r="AW67" s="114">
        <v>1</v>
      </c>
      <c r="AX67" s="114">
        <v>1</v>
      </c>
      <c r="AY67" s="114">
        <v>1</v>
      </c>
      <c r="AZ67" s="114">
        <v>1</v>
      </c>
      <c r="BA67" s="114">
        <v>1</v>
      </c>
      <c r="BB67" s="114">
        <v>0</v>
      </c>
      <c r="BC67" s="114">
        <v>0</v>
      </c>
      <c r="BD67" s="114">
        <v>0</v>
      </c>
      <c r="BE67" s="114">
        <v>0</v>
      </c>
      <c r="BF67" s="114">
        <v>0</v>
      </c>
      <c r="BG67" s="114">
        <v>1</v>
      </c>
      <c r="BH67" s="114">
        <v>0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1</v>
      </c>
      <c r="BZ67" s="114">
        <v>0</v>
      </c>
      <c r="CA67" s="114">
        <v>0</v>
      </c>
      <c r="CB67" s="114">
        <v>0</v>
      </c>
      <c r="CC67" s="114">
        <v>0</v>
      </c>
      <c r="CD67" s="114">
        <v>0</v>
      </c>
      <c r="CE67" s="114">
        <v>0</v>
      </c>
      <c r="CF67" s="114">
        <v>0</v>
      </c>
      <c r="CG67" s="114">
        <v>0</v>
      </c>
      <c r="CH67" s="114">
        <v>0</v>
      </c>
      <c r="CI67" s="114">
        <v>0</v>
      </c>
      <c r="CJ67" s="114">
        <v>1</v>
      </c>
      <c r="CK67" s="114">
        <v>0</v>
      </c>
      <c r="CL67" s="114">
        <v>0</v>
      </c>
      <c r="CM67" s="114">
        <v>0</v>
      </c>
      <c r="CN67" s="114">
        <v>0</v>
      </c>
      <c r="CO67" s="114">
        <v>0</v>
      </c>
      <c r="CP67" s="114">
        <v>0</v>
      </c>
      <c r="CQ67" s="114">
        <v>0</v>
      </c>
      <c r="CR67" s="114">
        <v>0</v>
      </c>
      <c r="CS67" s="114">
        <v>0</v>
      </c>
      <c r="CT67" s="114">
        <v>0</v>
      </c>
      <c r="CU67" s="114">
        <v>0</v>
      </c>
      <c r="CV67" s="114">
        <v>0</v>
      </c>
    </row>
    <row r="68" spans="1:100" x14ac:dyDescent="0.15">
      <c r="A68" s="193" t="s">
        <v>258</v>
      </c>
      <c r="B68" s="114">
        <v>0</v>
      </c>
      <c r="C68" s="114">
        <v>0</v>
      </c>
      <c r="D68" s="114">
        <v>0</v>
      </c>
      <c r="E68" s="114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0</v>
      </c>
      <c r="AA68" s="114">
        <v>0</v>
      </c>
      <c r="AB68" s="114">
        <v>0</v>
      </c>
      <c r="AC68" s="114">
        <v>0</v>
      </c>
      <c r="AD68" s="114">
        <v>0</v>
      </c>
      <c r="AE68" s="114">
        <v>0</v>
      </c>
      <c r="AF68" s="114">
        <v>0</v>
      </c>
      <c r="AG68" s="114">
        <v>0</v>
      </c>
      <c r="AH68" s="114">
        <v>1</v>
      </c>
      <c r="AI68" s="114">
        <v>1</v>
      </c>
      <c r="AJ68" s="114">
        <v>1</v>
      </c>
      <c r="AK68" s="114">
        <v>0</v>
      </c>
      <c r="AL68" s="114">
        <v>0</v>
      </c>
      <c r="AM68" s="114">
        <v>0</v>
      </c>
      <c r="AN68" s="114">
        <v>0</v>
      </c>
      <c r="AO68" s="114">
        <v>0</v>
      </c>
      <c r="AP68" s="114">
        <v>0</v>
      </c>
      <c r="AQ68" s="114">
        <v>1</v>
      </c>
      <c r="AR68" s="114">
        <v>1</v>
      </c>
      <c r="AS68" s="114">
        <v>1</v>
      </c>
      <c r="AT68" s="114">
        <v>1</v>
      </c>
      <c r="AU68" s="114">
        <v>1</v>
      </c>
      <c r="AV68" s="114">
        <v>1</v>
      </c>
      <c r="AW68" s="114">
        <v>0</v>
      </c>
      <c r="AX68" s="114">
        <v>0</v>
      </c>
      <c r="AY68" s="114">
        <v>0</v>
      </c>
      <c r="AZ68" s="114">
        <v>0</v>
      </c>
      <c r="BA68" s="114">
        <v>0</v>
      </c>
      <c r="BB68" s="114">
        <v>0</v>
      </c>
      <c r="BC68" s="114">
        <v>0</v>
      </c>
      <c r="BD68" s="114">
        <v>1</v>
      </c>
      <c r="BE68" s="114">
        <v>0</v>
      </c>
      <c r="BF68" s="114">
        <v>0</v>
      </c>
      <c r="BG68" s="114">
        <v>0</v>
      </c>
      <c r="BH68" s="114">
        <v>0</v>
      </c>
      <c r="BI68" s="114">
        <v>0</v>
      </c>
      <c r="BJ68" s="114">
        <v>0</v>
      </c>
      <c r="BK68" s="114">
        <v>1</v>
      </c>
      <c r="BL68" s="114">
        <v>1</v>
      </c>
      <c r="BM68" s="114">
        <v>1</v>
      </c>
      <c r="BN68" s="114">
        <v>1</v>
      </c>
      <c r="BO68" s="114">
        <v>0</v>
      </c>
      <c r="BP68" s="114">
        <v>0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>
        <v>0</v>
      </c>
      <c r="BZ68" s="114">
        <v>0</v>
      </c>
      <c r="CA68" s="114">
        <v>0</v>
      </c>
      <c r="CB68" s="114">
        <v>0</v>
      </c>
      <c r="CC68" s="114">
        <v>0</v>
      </c>
      <c r="CD68" s="114">
        <v>1</v>
      </c>
      <c r="CE68" s="114">
        <v>0</v>
      </c>
      <c r="CF68" s="114">
        <v>0</v>
      </c>
      <c r="CG68" s="114">
        <v>0</v>
      </c>
      <c r="CH68" s="114">
        <v>0</v>
      </c>
      <c r="CI68" s="114">
        <v>0</v>
      </c>
      <c r="CJ68" s="114">
        <v>0</v>
      </c>
      <c r="CK68" s="114">
        <v>0</v>
      </c>
      <c r="CL68" s="114">
        <v>0</v>
      </c>
      <c r="CM68" s="114">
        <v>0</v>
      </c>
      <c r="CN68" s="114">
        <v>0</v>
      </c>
      <c r="CO68" s="114">
        <v>0</v>
      </c>
      <c r="CP68" s="114">
        <v>0</v>
      </c>
      <c r="CQ68" s="114">
        <v>0</v>
      </c>
      <c r="CR68" s="114">
        <v>0</v>
      </c>
      <c r="CS68" s="114">
        <v>0</v>
      </c>
      <c r="CT68" s="114">
        <v>0</v>
      </c>
      <c r="CU68" s="114">
        <v>0</v>
      </c>
      <c r="CV68" s="114">
        <v>0</v>
      </c>
    </row>
    <row r="69" spans="1:100" x14ac:dyDescent="0.15">
      <c r="A69" s="193" t="s">
        <v>259</v>
      </c>
      <c r="B69" s="114">
        <v>0</v>
      </c>
      <c r="C69" s="114">
        <v>0</v>
      </c>
      <c r="D69" s="114">
        <v>0</v>
      </c>
      <c r="E69" s="114">
        <v>0</v>
      </c>
      <c r="F69" s="114">
        <v>0</v>
      </c>
      <c r="G69" s="114">
        <v>0</v>
      </c>
      <c r="H69" s="114">
        <v>0</v>
      </c>
      <c r="I69" s="114">
        <v>0</v>
      </c>
      <c r="J69" s="114">
        <v>0</v>
      </c>
      <c r="K69" s="114">
        <v>0</v>
      </c>
      <c r="L69" s="114">
        <v>0</v>
      </c>
      <c r="M69" s="114">
        <v>0</v>
      </c>
      <c r="N69" s="114">
        <v>0</v>
      </c>
      <c r="O69" s="114">
        <v>0</v>
      </c>
      <c r="P69" s="114">
        <v>0</v>
      </c>
      <c r="Q69" s="114">
        <v>0</v>
      </c>
      <c r="R69" s="114">
        <v>0</v>
      </c>
      <c r="S69" s="114">
        <v>0</v>
      </c>
      <c r="T69" s="114">
        <v>0</v>
      </c>
      <c r="U69" s="114">
        <v>0</v>
      </c>
      <c r="V69" s="114">
        <v>0</v>
      </c>
      <c r="W69" s="114">
        <v>0</v>
      </c>
      <c r="X69" s="114">
        <v>0</v>
      </c>
      <c r="Y69" s="114">
        <v>0</v>
      </c>
      <c r="Z69" s="114">
        <v>0</v>
      </c>
      <c r="AA69" s="114">
        <v>0</v>
      </c>
      <c r="AB69" s="114">
        <v>0</v>
      </c>
      <c r="AC69" s="114">
        <v>0</v>
      </c>
      <c r="AD69" s="114">
        <v>0</v>
      </c>
      <c r="AE69" s="114">
        <v>0</v>
      </c>
      <c r="AF69" s="114">
        <v>0</v>
      </c>
      <c r="AG69" s="114">
        <v>0</v>
      </c>
      <c r="AH69" s="114">
        <v>1</v>
      </c>
      <c r="AI69" s="114">
        <v>1</v>
      </c>
      <c r="AJ69" s="114">
        <v>1</v>
      </c>
      <c r="AK69" s="114">
        <v>0</v>
      </c>
      <c r="AL69" s="114">
        <v>0</v>
      </c>
      <c r="AM69" s="114">
        <v>0</v>
      </c>
      <c r="AN69" s="114">
        <v>0</v>
      </c>
      <c r="AO69" s="114">
        <v>0</v>
      </c>
      <c r="AP69" s="114">
        <v>0</v>
      </c>
      <c r="AQ69" s="114">
        <v>1</v>
      </c>
      <c r="AR69" s="114">
        <v>1</v>
      </c>
      <c r="AS69" s="114">
        <v>1</v>
      </c>
      <c r="AT69" s="114">
        <v>1</v>
      </c>
      <c r="AU69" s="114">
        <v>1</v>
      </c>
      <c r="AV69" s="114">
        <v>1</v>
      </c>
      <c r="AW69" s="114">
        <v>0</v>
      </c>
      <c r="AX69" s="114">
        <v>0</v>
      </c>
      <c r="AY69" s="114">
        <v>0</v>
      </c>
      <c r="AZ69" s="114">
        <v>0</v>
      </c>
      <c r="BA69" s="114">
        <v>0</v>
      </c>
      <c r="BB69" s="114">
        <v>0</v>
      </c>
      <c r="BC69" s="114">
        <v>0</v>
      </c>
      <c r="BD69" s="114">
        <v>1</v>
      </c>
      <c r="BE69" s="114">
        <v>0</v>
      </c>
      <c r="BF69" s="114">
        <v>0</v>
      </c>
      <c r="BG69" s="114">
        <v>0</v>
      </c>
      <c r="BH69" s="114">
        <v>0</v>
      </c>
      <c r="BI69" s="114">
        <v>0</v>
      </c>
      <c r="BJ69" s="114">
        <v>0</v>
      </c>
      <c r="BK69" s="114">
        <v>1</v>
      </c>
      <c r="BL69" s="114">
        <v>1</v>
      </c>
      <c r="BM69" s="114">
        <v>1</v>
      </c>
      <c r="BN69" s="114">
        <v>1</v>
      </c>
      <c r="BO69" s="114">
        <v>0</v>
      </c>
      <c r="BP69" s="114">
        <v>0</v>
      </c>
      <c r="BQ69" s="114">
        <v>0</v>
      </c>
      <c r="BR69" s="114">
        <v>0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>
        <v>0</v>
      </c>
      <c r="BZ69" s="114">
        <v>0</v>
      </c>
      <c r="CA69" s="114">
        <v>0</v>
      </c>
      <c r="CB69" s="114">
        <v>0</v>
      </c>
      <c r="CC69" s="114">
        <v>0</v>
      </c>
      <c r="CD69" s="114">
        <v>1</v>
      </c>
      <c r="CE69" s="114">
        <v>0</v>
      </c>
      <c r="CF69" s="114">
        <v>0</v>
      </c>
      <c r="CG69" s="114">
        <v>0</v>
      </c>
      <c r="CH69" s="114">
        <v>0</v>
      </c>
      <c r="CI69" s="114">
        <v>0</v>
      </c>
      <c r="CJ69" s="114">
        <v>1</v>
      </c>
      <c r="CK69" s="114">
        <v>0</v>
      </c>
      <c r="CL69" s="114">
        <v>0</v>
      </c>
      <c r="CM69" s="114">
        <v>0</v>
      </c>
      <c r="CN69" s="114">
        <v>0</v>
      </c>
      <c r="CO69" s="114">
        <v>0</v>
      </c>
      <c r="CP69" s="114">
        <v>0</v>
      </c>
      <c r="CQ69" s="114">
        <v>0</v>
      </c>
      <c r="CR69" s="114">
        <v>0</v>
      </c>
      <c r="CS69" s="114">
        <v>0</v>
      </c>
      <c r="CT69" s="114">
        <v>0</v>
      </c>
      <c r="CU69" s="114">
        <v>0</v>
      </c>
      <c r="CV69" s="114">
        <v>0</v>
      </c>
    </row>
    <row r="70" spans="1:100" x14ac:dyDescent="0.15">
      <c r="A70" s="193" t="s">
        <v>260</v>
      </c>
      <c r="B70" s="114">
        <v>0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0</v>
      </c>
      <c r="V70" s="114">
        <v>0</v>
      </c>
      <c r="W70" s="114">
        <v>0</v>
      </c>
      <c r="X70" s="114">
        <v>0</v>
      </c>
      <c r="Y70" s="114">
        <v>0</v>
      </c>
      <c r="Z70" s="114">
        <v>0</v>
      </c>
      <c r="AA70" s="114">
        <v>0</v>
      </c>
      <c r="AB70" s="114">
        <v>0</v>
      </c>
      <c r="AC70" s="114">
        <v>0</v>
      </c>
      <c r="AD70" s="114">
        <v>0</v>
      </c>
      <c r="AE70" s="114">
        <v>0</v>
      </c>
      <c r="AF70" s="114">
        <v>0</v>
      </c>
      <c r="AG70" s="114">
        <v>0</v>
      </c>
      <c r="AH70" s="114">
        <v>1</v>
      </c>
      <c r="AI70" s="114">
        <v>1</v>
      </c>
      <c r="AJ70" s="114">
        <v>1</v>
      </c>
      <c r="AK70" s="114">
        <v>0</v>
      </c>
      <c r="AL70" s="114">
        <v>0</v>
      </c>
      <c r="AM70" s="114">
        <v>0</v>
      </c>
      <c r="AN70" s="114">
        <v>0</v>
      </c>
      <c r="AO70" s="114">
        <v>0</v>
      </c>
      <c r="AP70" s="114">
        <v>0</v>
      </c>
      <c r="AQ70" s="114">
        <v>1</v>
      </c>
      <c r="AR70" s="114">
        <v>1</v>
      </c>
      <c r="AS70" s="114">
        <v>1</v>
      </c>
      <c r="AT70" s="114">
        <v>1</v>
      </c>
      <c r="AU70" s="114">
        <v>1</v>
      </c>
      <c r="AV70" s="114">
        <v>1</v>
      </c>
      <c r="AW70" s="114">
        <v>0</v>
      </c>
      <c r="AX70" s="114">
        <v>0</v>
      </c>
      <c r="AY70" s="114">
        <v>0</v>
      </c>
      <c r="AZ70" s="114">
        <v>0</v>
      </c>
      <c r="BA70" s="114">
        <v>0</v>
      </c>
      <c r="BB70" s="114">
        <v>0</v>
      </c>
      <c r="BC70" s="114">
        <v>0</v>
      </c>
      <c r="BD70" s="114">
        <v>1</v>
      </c>
      <c r="BE70" s="114">
        <v>0</v>
      </c>
      <c r="BF70" s="114">
        <v>0</v>
      </c>
      <c r="BG70" s="114">
        <v>0</v>
      </c>
      <c r="BH70" s="114">
        <v>0</v>
      </c>
      <c r="BI70" s="114">
        <v>0</v>
      </c>
      <c r="BJ70" s="114">
        <v>0</v>
      </c>
      <c r="BK70" s="114">
        <v>1</v>
      </c>
      <c r="BL70" s="114">
        <v>1</v>
      </c>
      <c r="BM70" s="114">
        <v>1</v>
      </c>
      <c r="BN70" s="114">
        <v>1</v>
      </c>
      <c r="BO70" s="114">
        <v>0</v>
      </c>
      <c r="BP70" s="114">
        <v>0</v>
      </c>
      <c r="BQ70" s="114">
        <v>0</v>
      </c>
      <c r="BR70" s="114">
        <v>0</v>
      </c>
      <c r="BS70" s="114">
        <v>0</v>
      </c>
      <c r="BT70" s="114">
        <v>0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  <c r="BZ70" s="114">
        <v>0</v>
      </c>
      <c r="CA70" s="114">
        <v>0</v>
      </c>
      <c r="CB70" s="114">
        <v>0</v>
      </c>
      <c r="CC70" s="114">
        <v>0</v>
      </c>
      <c r="CD70" s="114">
        <v>1</v>
      </c>
      <c r="CE70" s="114">
        <v>0</v>
      </c>
      <c r="CF70" s="114">
        <v>0</v>
      </c>
      <c r="CG70" s="114">
        <v>0</v>
      </c>
      <c r="CH70" s="114">
        <v>0</v>
      </c>
      <c r="CI70" s="114">
        <v>0</v>
      </c>
      <c r="CJ70" s="114">
        <v>1</v>
      </c>
      <c r="CK70" s="114">
        <v>0</v>
      </c>
      <c r="CL70" s="114">
        <v>0</v>
      </c>
      <c r="CM70" s="114">
        <v>0</v>
      </c>
      <c r="CN70" s="114">
        <v>0</v>
      </c>
      <c r="CO70" s="114">
        <v>0</v>
      </c>
      <c r="CP70" s="114">
        <v>0</v>
      </c>
      <c r="CQ70" s="114">
        <v>0</v>
      </c>
      <c r="CR70" s="114">
        <v>0</v>
      </c>
      <c r="CS70" s="114">
        <v>0</v>
      </c>
      <c r="CT70" s="114">
        <v>0</v>
      </c>
      <c r="CU70" s="114">
        <v>0</v>
      </c>
      <c r="CV70" s="114">
        <v>0</v>
      </c>
    </row>
    <row r="71" spans="1:100" x14ac:dyDescent="0.15">
      <c r="A71" s="193" t="s">
        <v>261</v>
      </c>
      <c r="B71" s="114">
        <v>0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0</v>
      </c>
      <c r="W71" s="114">
        <v>0</v>
      </c>
      <c r="X71" s="114">
        <v>0</v>
      </c>
      <c r="Y71" s="114">
        <v>0</v>
      </c>
      <c r="Z71" s="114">
        <v>0</v>
      </c>
      <c r="AA71" s="114">
        <v>0</v>
      </c>
      <c r="AB71" s="114">
        <v>0</v>
      </c>
      <c r="AC71" s="114">
        <v>0</v>
      </c>
      <c r="AD71" s="114">
        <v>0</v>
      </c>
      <c r="AE71" s="114">
        <v>0</v>
      </c>
      <c r="AF71" s="114">
        <v>0</v>
      </c>
      <c r="AG71" s="114">
        <v>0</v>
      </c>
      <c r="AH71" s="114">
        <v>1</v>
      </c>
      <c r="AI71" s="114">
        <v>1</v>
      </c>
      <c r="AJ71" s="114">
        <v>0</v>
      </c>
      <c r="AK71" s="114">
        <v>0</v>
      </c>
      <c r="AL71" s="114">
        <v>0</v>
      </c>
      <c r="AM71" s="114">
        <v>0</v>
      </c>
      <c r="AN71" s="114">
        <v>0</v>
      </c>
      <c r="AO71" s="114">
        <v>0</v>
      </c>
      <c r="AP71" s="114">
        <v>0</v>
      </c>
      <c r="AQ71" s="114">
        <v>1</v>
      </c>
      <c r="AR71" s="114">
        <v>1</v>
      </c>
      <c r="AS71" s="114">
        <v>1</v>
      </c>
      <c r="AT71" s="114">
        <v>1</v>
      </c>
      <c r="AU71" s="114">
        <v>1</v>
      </c>
      <c r="AV71" s="114">
        <v>1</v>
      </c>
      <c r="AW71" s="114">
        <v>0</v>
      </c>
      <c r="AX71" s="114">
        <v>0</v>
      </c>
      <c r="AY71" s="114">
        <v>0</v>
      </c>
      <c r="AZ71" s="114">
        <v>0</v>
      </c>
      <c r="BA71" s="114">
        <v>0</v>
      </c>
      <c r="BB71" s="114">
        <v>0</v>
      </c>
      <c r="BC71" s="114">
        <v>0</v>
      </c>
      <c r="BD71" s="114">
        <v>1</v>
      </c>
      <c r="BE71" s="114">
        <v>0</v>
      </c>
      <c r="BF71" s="114">
        <v>0</v>
      </c>
      <c r="BG71" s="114">
        <v>0</v>
      </c>
      <c r="BH71" s="114">
        <v>0</v>
      </c>
      <c r="BI71" s="114">
        <v>0</v>
      </c>
      <c r="BJ71" s="114">
        <v>0</v>
      </c>
      <c r="BK71" s="114">
        <v>1</v>
      </c>
      <c r="BL71" s="114">
        <v>1</v>
      </c>
      <c r="BM71" s="114">
        <v>1</v>
      </c>
      <c r="BN71" s="114">
        <v>1</v>
      </c>
      <c r="BO71" s="114">
        <v>0</v>
      </c>
      <c r="BP71" s="114">
        <v>0</v>
      </c>
      <c r="BQ71" s="114">
        <v>0</v>
      </c>
      <c r="BR71" s="114">
        <v>0</v>
      </c>
      <c r="BS71" s="114">
        <v>0</v>
      </c>
      <c r="BT71" s="114">
        <v>0</v>
      </c>
      <c r="BU71" s="114">
        <v>0</v>
      </c>
      <c r="BV71" s="114">
        <v>0</v>
      </c>
      <c r="BW71" s="114">
        <v>0</v>
      </c>
      <c r="BX71" s="114">
        <v>0</v>
      </c>
      <c r="BY71" s="114">
        <v>0</v>
      </c>
      <c r="BZ71" s="114">
        <v>0</v>
      </c>
      <c r="CA71" s="114">
        <v>0</v>
      </c>
      <c r="CB71" s="114">
        <v>0</v>
      </c>
      <c r="CC71" s="114">
        <v>0</v>
      </c>
      <c r="CD71" s="114">
        <v>0</v>
      </c>
      <c r="CE71" s="114">
        <v>0</v>
      </c>
      <c r="CF71" s="114">
        <v>0</v>
      </c>
      <c r="CG71" s="114">
        <v>0</v>
      </c>
      <c r="CH71" s="114">
        <v>0</v>
      </c>
      <c r="CI71" s="114">
        <v>0</v>
      </c>
      <c r="CJ71" s="114">
        <v>0</v>
      </c>
      <c r="CK71" s="114">
        <v>0</v>
      </c>
      <c r="CL71" s="114">
        <v>0</v>
      </c>
      <c r="CM71" s="114">
        <v>0</v>
      </c>
      <c r="CN71" s="114">
        <v>0</v>
      </c>
      <c r="CO71" s="114">
        <v>0</v>
      </c>
      <c r="CP71" s="114">
        <v>0</v>
      </c>
      <c r="CQ71" s="114">
        <v>0</v>
      </c>
      <c r="CR71" s="114">
        <v>0</v>
      </c>
      <c r="CS71" s="114">
        <v>0</v>
      </c>
      <c r="CT71" s="114">
        <v>0</v>
      </c>
      <c r="CU71" s="114">
        <v>0</v>
      </c>
      <c r="CV71" s="114">
        <v>0</v>
      </c>
    </row>
    <row r="72" spans="1:100" x14ac:dyDescent="0.15">
      <c r="A72" s="193" t="s">
        <v>262</v>
      </c>
      <c r="B72" s="114">
        <v>0</v>
      </c>
      <c r="C72" s="114">
        <v>0</v>
      </c>
      <c r="D72" s="114">
        <v>0</v>
      </c>
      <c r="E72" s="114">
        <v>0</v>
      </c>
      <c r="F72" s="114">
        <v>0</v>
      </c>
      <c r="G72" s="114">
        <v>0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</v>
      </c>
      <c r="R72" s="114">
        <v>0</v>
      </c>
      <c r="S72" s="114">
        <v>0</v>
      </c>
      <c r="T72" s="114">
        <v>0</v>
      </c>
      <c r="U72" s="114">
        <v>0</v>
      </c>
      <c r="V72" s="114">
        <v>0</v>
      </c>
      <c r="W72" s="114">
        <v>0</v>
      </c>
      <c r="X72" s="114">
        <v>0</v>
      </c>
      <c r="Y72" s="114">
        <v>0</v>
      </c>
      <c r="Z72" s="114">
        <v>0</v>
      </c>
      <c r="AA72" s="114">
        <v>0</v>
      </c>
      <c r="AB72" s="114">
        <v>0</v>
      </c>
      <c r="AC72" s="114">
        <v>0</v>
      </c>
      <c r="AD72" s="114">
        <v>0</v>
      </c>
      <c r="AE72" s="114">
        <v>0</v>
      </c>
      <c r="AF72" s="114">
        <v>0</v>
      </c>
      <c r="AG72" s="114">
        <v>0</v>
      </c>
      <c r="AH72" s="114">
        <v>0</v>
      </c>
      <c r="AI72" s="114">
        <v>0</v>
      </c>
      <c r="AJ72" s="114">
        <v>0</v>
      </c>
      <c r="AK72" s="114">
        <v>0</v>
      </c>
      <c r="AL72" s="114">
        <v>0</v>
      </c>
      <c r="AM72" s="114">
        <v>0</v>
      </c>
      <c r="AN72" s="114">
        <v>0</v>
      </c>
      <c r="AO72" s="114">
        <v>0</v>
      </c>
      <c r="AP72" s="114">
        <v>0</v>
      </c>
      <c r="AQ72" s="114">
        <v>0</v>
      </c>
      <c r="AR72" s="114">
        <v>0</v>
      </c>
      <c r="AS72" s="114">
        <v>0</v>
      </c>
      <c r="AT72" s="114">
        <v>0</v>
      </c>
      <c r="AU72" s="114">
        <v>0</v>
      </c>
      <c r="AV72" s="114">
        <v>0</v>
      </c>
      <c r="AW72" s="114">
        <v>0</v>
      </c>
      <c r="AX72" s="114">
        <v>0</v>
      </c>
      <c r="AY72" s="114">
        <v>0</v>
      </c>
      <c r="AZ72" s="114">
        <v>0</v>
      </c>
      <c r="BA72" s="114">
        <v>0</v>
      </c>
      <c r="BB72" s="114">
        <v>0</v>
      </c>
      <c r="BC72" s="114">
        <v>0</v>
      </c>
      <c r="BD72" s="114">
        <v>0</v>
      </c>
      <c r="BE72" s="114">
        <v>0</v>
      </c>
      <c r="BF72" s="114">
        <v>0</v>
      </c>
      <c r="BG72" s="114">
        <v>0</v>
      </c>
      <c r="BH72" s="114">
        <v>0</v>
      </c>
      <c r="BI72" s="114">
        <v>0</v>
      </c>
      <c r="BJ72" s="114">
        <v>0</v>
      </c>
      <c r="BK72" s="114">
        <v>1</v>
      </c>
      <c r="BL72" s="114">
        <v>1</v>
      </c>
      <c r="BM72" s="114">
        <v>0</v>
      </c>
      <c r="BN72" s="114">
        <v>0</v>
      </c>
      <c r="BO72" s="114">
        <v>0</v>
      </c>
      <c r="BP72" s="114">
        <v>0</v>
      </c>
      <c r="BQ72" s="114">
        <v>0</v>
      </c>
      <c r="BR72" s="114">
        <v>0</v>
      </c>
      <c r="BS72" s="114">
        <v>0</v>
      </c>
      <c r="BT72" s="114">
        <v>0</v>
      </c>
      <c r="BU72" s="114">
        <v>0</v>
      </c>
      <c r="BV72" s="114">
        <v>0</v>
      </c>
      <c r="BW72" s="114">
        <v>0</v>
      </c>
      <c r="BX72" s="114">
        <v>0</v>
      </c>
      <c r="BY72" s="114">
        <v>0</v>
      </c>
      <c r="BZ72" s="114">
        <v>0</v>
      </c>
      <c r="CA72" s="114">
        <v>0</v>
      </c>
      <c r="CB72" s="114">
        <v>0</v>
      </c>
      <c r="CC72" s="114">
        <v>0</v>
      </c>
      <c r="CD72" s="114">
        <v>1</v>
      </c>
      <c r="CE72" s="114">
        <v>0</v>
      </c>
      <c r="CF72" s="114">
        <v>0</v>
      </c>
      <c r="CG72" s="114">
        <v>0</v>
      </c>
      <c r="CH72" s="114">
        <v>0</v>
      </c>
      <c r="CI72" s="114">
        <v>0</v>
      </c>
      <c r="CJ72" s="114">
        <v>0</v>
      </c>
      <c r="CK72" s="114">
        <v>0</v>
      </c>
      <c r="CL72" s="114">
        <v>0</v>
      </c>
      <c r="CM72" s="114">
        <v>0</v>
      </c>
      <c r="CN72" s="114">
        <v>0</v>
      </c>
      <c r="CO72" s="114">
        <v>0</v>
      </c>
      <c r="CP72" s="114">
        <v>0</v>
      </c>
      <c r="CQ72" s="114">
        <v>0</v>
      </c>
      <c r="CR72" s="114">
        <v>0</v>
      </c>
      <c r="CS72" s="114">
        <v>0</v>
      </c>
      <c r="CT72" s="114">
        <v>0</v>
      </c>
      <c r="CU72" s="114">
        <v>0</v>
      </c>
      <c r="CV72" s="114">
        <v>0</v>
      </c>
    </row>
    <row r="73" spans="1:100" x14ac:dyDescent="0.15">
      <c r="A73" s="193" t="s">
        <v>263</v>
      </c>
      <c r="B73" s="114">
        <v>0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0</v>
      </c>
      <c r="P73" s="114">
        <v>0</v>
      </c>
      <c r="Q73" s="114">
        <v>0</v>
      </c>
      <c r="R73" s="114">
        <v>0</v>
      </c>
      <c r="S73" s="114">
        <v>0</v>
      </c>
      <c r="T73" s="114">
        <v>0</v>
      </c>
      <c r="U73" s="114">
        <v>1</v>
      </c>
      <c r="V73" s="114">
        <v>0</v>
      </c>
      <c r="W73" s="114">
        <v>0</v>
      </c>
      <c r="X73" s="114">
        <v>0</v>
      </c>
      <c r="Y73" s="114">
        <v>0</v>
      </c>
      <c r="Z73" s="114">
        <v>1</v>
      </c>
      <c r="AA73" s="114">
        <v>0</v>
      </c>
      <c r="AB73" s="114">
        <v>0</v>
      </c>
      <c r="AC73" s="114">
        <v>0</v>
      </c>
      <c r="AD73" s="114">
        <v>0</v>
      </c>
      <c r="AE73" s="114">
        <v>0</v>
      </c>
      <c r="AF73" s="114">
        <v>0</v>
      </c>
      <c r="AG73" s="114">
        <v>0</v>
      </c>
      <c r="AH73" s="114">
        <v>1</v>
      </c>
      <c r="AI73" s="114">
        <v>1</v>
      </c>
      <c r="AJ73" s="114">
        <v>0</v>
      </c>
      <c r="AK73" s="114">
        <v>0</v>
      </c>
      <c r="AL73" s="114">
        <v>0</v>
      </c>
      <c r="AM73" s="114">
        <v>0</v>
      </c>
      <c r="AN73" s="114">
        <v>0</v>
      </c>
      <c r="AO73" s="114">
        <v>0</v>
      </c>
      <c r="AP73" s="114">
        <v>0</v>
      </c>
      <c r="AQ73" s="114">
        <v>1</v>
      </c>
      <c r="AR73" s="114">
        <v>1</v>
      </c>
      <c r="AS73" s="114">
        <v>1</v>
      </c>
      <c r="AT73" s="114">
        <v>1</v>
      </c>
      <c r="AU73" s="114">
        <v>1</v>
      </c>
      <c r="AV73" s="114">
        <v>0</v>
      </c>
      <c r="AW73" s="114">
        <v>0</v>
      </c>
      <c r="AX73" s="114">
        <v>0</v>
      </c>
      <c r="AY73" s="114">
        <v>0</v>
      </c>
      <c r="AZ73" s="114">
        <v>0</v>
      </c>
      <c r="BA73" s="114">
        <v>0</v>
      </c>
      <c r="BB73" s="114">
        <v>0</v>
      </c>
      <c r="BC73" s="114">
        <v>1</v>
      </c>
      <c r="BD73" s="114">
        <v>0</v>
      </c>
      <c r="BE73" s="114">
        <v>0</v>
      </c>
      <c r="BF73" s="114">
        <v>0</v>
      </c>
      <c r="BG73" s="114">
        <v>0</v>
      </c>
      <c r="BH73" s="114">
        <v>0</v>
      </c>
      <c r="BI73" s="114">
        <v>0</v>
      </c>
      <c r="BJ73" s="114">
        <v>0</v>
      </c>
      <c r="BK73" s="114">
        <v>0</v>
      </c>
      <c r="BL73" s="114">
        <v>0</v>
      </c>
      <c r="BM73" s="114">
        <v>1</v>
      </c>
      <c r="BN73" s="114">
        <v>0</v>
      </c>
      <c r="BO73" s="114">
        <v>0</v>
      </c>
      <c r="BP73" s="114">
        <v>0</v>
      </c>
      <c r="BQ73" s="114">
        <v>0</v>
      </c>
      <c r="BR73" s="114">
        <v>0</v>
      </c>
      <c r="BS73" s="114">
        <v>0</v>
      </c>
      <c r="BT73" s="114">
        <v>0</v>
      </c>
      <c r="BU73" s="114">
        <v>0</v>
      </c>
      <c r="BV73" s="114">
        <v>0</v>
      </c>
      <c r="BW73" s="114">
        <v>0</v>
      </c>
      <c r="BX73" s="114">
        <v>0</v>
      </c>
      <c r="BY73" s="114">
        <v>0</v>
      </c>
      <c r="BZ73" s="114">
        <v>0</v>
      </c>
      <c r="CA73" s="114">
        <v>0</v>
      </c>
      <c r="CB73" s="114">
        <v>0</v>
      </c>
      <c r="CC73" s="114">
        <v>0</v>
      </c>
      <c r="CD73" s="114">
        <v>0</v>
      </c>
      <c r="CE73" s="114">
        <v>0</v>
      </c>
      <c r="CF73" s="114">
        <v>0</v>
      </c>
      <c r="CG73" s="114">
        <v>0</v>
      </c>
      <c r="CH73" s="114">
        <v>0</v>
      </c>
      <c r="CI73" s="114">
        <v>0</v>
      </c>
      <c r="CJ73" s="114">
        <v>0</v>
      </c>
      <c r="CK73" s="114">
        <v>0</v>
      </c>
      <c r="CL73" s="114">
        <v>0</v>
      </c>
      <c r="CM73" s="114">
        <v>0</v>
      </c>
      <c r="CN73" s="114">
        <v>0</v>
      </c>
      <c r="CO73" s="114">
        <v>0</v>
      </c>
      <c r="CP73" s="114">
        <v>0</v>
      </c>
      <c r="CQ73" s="114">
        <v>0</v>
      </c>
      <c r="CR73" s="114">
        <v>0</v>
      </c>
      <c r="CS73" s="114">
        <v>0</v>
      </c>
      <c r="CT73" s="114">
        <v>0</v>
      </c>
      <c r="CU73" s="114">
        <v>0</v>
      </c>
      <c r="CV73" s="114">
        <v>0</v>
      </c>
    </row>
    <row r="74" spans="1:100" x14ac:dyDescent="0.15">
      <c r="A74" s="193" t="s">
        <v>264</v>
      </c>
      <c r="B74" s="114">
        <v>0</v>
      </c>
      <c r="C74" s="114">
        <v>0</v>
      </c>
      <c r="D74" s="114">
        <v>0</v>
      </c>
      <c r="E74" s="114">
        <v>0</v>
      </c>
      <c r="F74" s="114">
        <v>0</v>
      </c>
      <c r="G74" s="114">
        <v>1</v>
      </c>
      <c r="H74" s="114">
        <v>0</v>
      </c>
      <c r="I74" s="114">
        <v>0</v>
      </c>
      <c r="J74" s="114">
        <v>1</v>
      </c>
      <c r="K74" s="114">
        <v>1</v>
      </c>
      <c r="L74" s="114">
        <v>1</v>
      </c>
      <c r="M74" s="114">
        <v>1</v>
      </c>
      <c r="N74" s="114">
        <v>1</v>
      </c>
      <c r="O74" s="114">
        <v>1</v>
      </c>
      <c r="P74" s="114">
        <v>1</v>
      </c>
      <c r="Q74" s="114">
        <v>0</v>
      </c>
      <c r="R74" s="114">
        <v>0</v>
      </c>
      <c r="S74" s="114">
        <v>0</v>
      </c>
      <c r="T74" s="114">
        <v>1</v>
      </c>
      <c r="U74" s="114">
        <v>1</v>
      </c>
      <c r="V74" s="114">
        <v>0</v>
      </c>
      <c r="W74" s="114">
        <v>1</v>
      </c>
      <c r="X74" s="114">
        <v>1</v>
      </c>
      <c r="Y74" s="114">
        <v>0</v>
      </c>
      <c r="Z74" s="114">
        <v>0</v>
      </c>
      <c r="AA74" s="114">
        <v>1</v>
      </c>
      <c r="AB74" s="114">
        <v>1</v>
      </c>
      <c r="AC74" s="114">
        <v>0</v>
      </c>
      <c r="AD74" s="114">
        <v>0</v>
      </c>
      <c r="AE74" s="114">
        <v>1</v>
      </c>
      <c r="AF74" s="114">
        <v>1</v>
      </c>
      <c r="AG74" s="114">
        <v>1</v>
      </c>
      <c r="AH74" s="114">
        <v>1</v>
      </c>
      <c r="AI74" s="114">
        <v>0</v>
      </c>
      <c r="AJ74" s="114">
        <v>0</v>
      </c>
      <c r="AK74" s="114">
        <v>0</v>
      </c>
      <c r="AL74" s="114">
        <v>0</v>
      </c>
      <c r="AM74" s="114">
        <v>0</v>
      </c>
      <c r="AN74" s="114">
        <v>0</v>
      </c>
      <c r="AO74" s="114">
        <v>0</v>
      </c>
      <c r="AP74" s="114">
        <v>0</v>
      </c>
      <c r="AQ74" s="114">
        <v>0</v>
      </c>
      <c r="AR74" s="114">
        <v>0</v>
      </c>
      <c r="AS74" s="114">
        <v>0</v>
      </c>
      <c r="AT74" s="114">
        <v>0</v>
      </c>
      <c r="AU74" s="114">
        <v>0</v>
      </c>
      <c r="AV74" s="114">
        <v>0</v>
      </c>
      <c r="AW74" s="114">
        <v>0</v>
      </c>
      <c r="AX74" s="114">
        <v>0</v>
      </c>
      <c r="AY74" s="114">
        <v>0</v>
      </c>
      <c r="AZ74" s="114">
        <v>0</v>
      </c>
      <c r="BA74" s="114">
        <v>0</v>
      </c>
      <c r="BB74" s="114">
        <v>0</v>
      </c>
      <c r="BC74" s="114">
        <v>0</v>
      </c>
      <c r="BD74" s="114">
        <v>0</v>
      </c>
      <c r="BE74" s="114">
        <v>1</v>
      </c>
      <c r="BF74" s="114">
        <v>0</v>
      </c>
      <c r="BG74" s="114">
        <v>0</v>
      </c>
      <c r="BH74" s="114">
        <v>0</v>
      </c>
      <c r="BI74" s="114">
        <v>0</v>
      </c>
      <c r="BJ74" s="114">
        <v>0</v>
      </c>
      <c r="BK74" s="114">
        <v>0</v>
      </c>
      <c r="BL74" s="114">
        <v>0</v>
      </c>
      <c r="BM74" s="114">
        <v>0</v>
      </c>
      <c r="BN74" s="114">
        <v>0</v>
      </c>
      <c r="BO74" s="114">
        <v>0</v>
      </c>
      <c r="BP74" s="114">
        <v>0</v>
      </c>
      <c r="BQ74" s="114">
        <v>0</v>
      </c>
      <c r="BR74" s="114">
        <v>0</v>
      </c>
      <c r="BS74" s="114">
        <v>0</v>
      </c>
      <c r="BT74" s="114">
        <v>0</v>
      </c>
      <c r="BU74" s="114">
        <v>0</v>
      </c>
      <c r="BV74" s="114">
        <v>1</v>
      </c>
      <c r="BW74" s="114">
        <v>0</v>
      </c>
      <c r="BX74" s="114">
        <v>1</v>
      </c>
      <c r="BY74" s="114">
        <v>1</v>
      </c>
      <c r="BZ74" s="114">
        <v>0</v>
      </c>
      <c r="CA74" s="114">
        <v>0</v>
      </c>
      <c r="CB74" s="114">
        <v>1</v>
      </c>
      <c r="CC74" s="114">
        <v>0</v>
      </c>
      <c r="CD74" s="114">
        <v>0</v>
      </c>
      <c r="CE74" s="114">
        <v>0</v>
      </c>
      <c r="CF74" s="114">
        <v>0</v>
      </c>
      <c r="CG74" s="114">
        <v>0</v>
      </c>
      <c r="CH74" s="114">
        <v>0</v>
      </c>
      <c r="CI74" s="114">
        <v>0</v>
      </c>
      <c r="CJ74" s="114">
        <v>0</v>
      </c>
      <c r="CK74" s="114">
        <v>1</v>
      </c>
      <c r="CL74" s="114">
        <v>0</v>
      </c>
      <c r="CM74" s="114">
        <v>0</v>
      </c>
      <c r="CN74" s="114">
        <v>0</v>
      </c>
      <c r="CO74" s="114">
        <v>0</v>
      </c>
      <c r="CP74" s="114">
        <v>0</v>
      </c>
      <c r="CQ74" s="114">
        <v>0</v>
      </c>
      <c r="CR74" s="114">
        <v>0</v>
      </c>
      <c r="CS74" s="114">
        <v>0</v>
      </c>
      <c r="CT74" s="114">
        <v>0</v>
      </c>
      <c r="CU74" s="114">
        <v>0</v>
      </c>
      <c r="CV74" s="114">
        <v>0</v>
      </c>
    </row>
    <row r="75" spans="1:100" x14ac:dyDescent="0.15">
      <c r="A75" s="193" t="s">
        <v>265</v>
      </c>
      <c r="B75" s="114">
        <v>0</v>
      </c>
      <c r="C75" s="114">
        <v>0</v>
      </c>
      <c r="D75" s="114">
        <v>0</v>
      </c>
      <c r="E75" s="114">
        <v>0</v>
      </c>
      <c r="F75" s="114">
        <v>0</v>
      </c>
      <c r="G75" s="114">
        <v>1</v>
      </c>
      <c r="H75" s="114">
        <v>0</v>
      </c>
      <c r="I75" s="114">
        <v>0</v>
      </c>
      <c r="J75" s="114">
        <v>0</v>
      </c>
      <c r="K75" s="114">
        <v>1</v>
      </c>
      <c r="L75" s="114">
        <v>1</v>
      </c>
      <c r="M75" s="114">
        <v>1</v>
      </c>
      <c r="N75" s="114">
        <v>1</v>
      </c>
      <c r="O75" s="114">
        <v>1</v>
      </c>
      <c r="P75" s="114">
        <v>1</v>
      </c>
      <c r="Q75" s="114">
        <v>0</v>
      </c>
      <c r="R75" s="114">
        <v>0</v>
      </c>
      <c r="S75" s="114">
        <v>0</v>
      </c>
      <c r="T75" s="114">
        <v>1</v>
      </c>
      <c r="U75" s="114">
        <v>1</v>
      </c>
      <c r="V75" s="114">
        <v>1</v>
      </c>
      <c r="W75" s="114">
        <v>1</v>
      </c>
      <c r="X75" s="114">
        <v>1</v>
      </c>
      <c r="Y75" s="114">
        <v>1</v>
      </c>
      <c r="Z75" s="114">
        <v>1</v>
      </c>
      <c r="AA75" s="114">
        <v>1</v>
      </c>
      <c r="AB75" s="114">
        <v>1</v>
      </c>
      <c r="AC75" s="114">
        <v>1</v>
      </c>
      <c r="AD75" s="114">
        <v>1</v>
      </c>
      <c r="AE75" s="114">
        <v>1</v>
      </c>
      <c r="AF75" s="114">
        <v>1</v>
      </c>
      <c r="AG75" s="114">
        <v>1</v>
      </c>
      <c r="AH75" s="114">
        <v>1</v>
      </c>
      <c r="AI75" s="114">
        <v>1</v>
      </c>
      <c r="AJ75" s="114">
        <v>0</v>
      </c>
      <c r="AK75" s="114">
        <v>1</v>
      </c>
      <c r="AL75" s="114">
        <v>1</v>
      </c>
      <c r="AM75" s="114">
        <v>1</v>
      </c>
      <c r="AN75" s="114">
        <v>1</v>
      </c>
      <c r="AO75" s="114">
        <v>1</v>
      </c>
      <c r="AP75" s="114">
        <v>1</v>
      </c>
      <c r="AQ75" s="114">
        <v>1</v>
      </c>
      <c r="AR75" s="114">
        <v>1</v>
      </c>
      <c r="AS75" s="114">
        <v>1</v>
      </c>
      <c r="AT75" s="114">
        <v>1</v>
      </c>
      <c r="AU75" s="114">
        <v>1</v>
      </c>
      <c r="AV75" s="114">
        <v>1</v>
      </c>
      <c r="AW75" s="114">
        <v>1</v>
      </c>
      <c r="AX75" s="114">
        <v>1</v>
      </c>
      <c r="AY75" s="114">
        <v>1</v>
      </c>
      <c r="AZ75" s="114">
        <v>1</v>
      </c>
      <c r="BA75" s="114">
        <v>1</v>
      </c>
      <c r="BB75" s="114">
        <v>1</v>
      </c>
      <c r="BC75" s="114">
        <v>1</v>
      </c>
      <c r="BD75" s="114">
        <v>1</v>
      </c>
      <c r="BE75" s="114">
        <v>1</v>
      </c>
      <c r="BF75" s="114">
        <v>1</v>
      </c>
      <c r="BG75" s="114">
        <v>1</v>
      </c>
      <c r="BH75" s="114">
        <v>1</v>
      </c>
      <c r="BI75" s="114">
        <v>0</v>
      </c>
      <c r="BJ75" s="114">
        <v>0</v>
      </c>
      <c r="BK75" s="114">
        <v>0</v>
      </c>
      <c r="BL75" s="114">
        <v>0</v>
      </c>
      <c r="BM75" s="114">
        <v>1</v>
      </c>
      <c r="BN75" s="114">
        <v>1</v>
      </c>
      <c r="BO75" s="114">
        <v>0</v>
      </c>
      <c r="BP75" s="114">
        <v>0</v>
      </c>
      <c r="BQ75" s="114">
        <v>0</v>
      </c>
      <c r="BR75" s="114">
        <v>0</v>
      </c>
      <c r="BS75" s="114">
        <v>0</v>
      </c>
      <c r="BT75" s="114">
        <v>0</v>
      </c>
      <c r="BU75" s="114">
        <v>0</v>
      </c>
      <c r="BV75" s="114">
        <v>1</v>
      </c>
      <c r="BW75" s="114">
        <v>0</v>
      </c>
      <c r="BX75" s="114">
        <v>1</v>
      </c>
      <c r="BY75" s="114">
        <v>1</v>
      </c>
      <c r="BZ75" s="114">
        <v>0</v>
      </c>
      <c r="CA75" s="114">
        <v>0</v>
      </c>
      <c r="CB75" s="114">
        <v>1</v>
      </c>
      <c r="CC75" s="114">
        <v>0</v>
      </c>
      <c r="CD75" s="114">
        <v>0</v>
      </c>
      <c r="CE75" s="114">
        <v>0</v>
      </c>
      <c r="CF75" s="114">
        <v>0</v>
      </c>
      <c r="CG75" s="114">
        <v>0</v>
      </c>
      <c r="CH75" s="114">
        <v>0</v>
      </c>
      <c r="CI75" s="114">
        <v>0</v>
      </c>
      <c r="CJ75" s="114">
        <v>1</v>
      </c>
      <c r="CK75" s="114">
        <v>1</v>
      </c>
      <c r="CL75" s="114">
        <v>0</v>
      </c>
      <c r="CM75" s="114">
        <v>0</v>
      </c>
      <c r="CN75" s="114">
        <v>0</v>
      </c>
      <c r="CO75" s="114">
        <v>0</v>
      </c>
      <c r="CP75" s="114">
        <v>0</v>
      </c>
      <c r="CQ75" s="114">
        <v>0</v>
      </c>
      <c r="CR75" s="114">
        <v>0</v>
      </c>
      <c r="CS75" s="114">
        <v>0</v>
      </c>
      <c r="CT75" s="114">
        <v>0</v>
      </c>
      <c r="CU75" s="114">
        <v>0</v>
      </c>
      <c r="CV75" s="114">
        <v>0</v>
      </c>
    </row>
    <row r="76" spans="1:100" x14ac:dyDescent="0.15">
      <c r="A76" s="193" t="s">
        <v>266</v>
      </c>
      <c r="B76" s="114">
        <v>1</v>
      </c>
      <c r="C76" s="114">
        <v>1</v>
      </c>
      <c r="D76" s="114">
        <v>1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1</v>
      </c>
      <c r="L76" s="114">
        <v>1</v>
      </c>
      <c r="M76" s="114">
        <v>1</v>
      </c>
      <c r="N76" s="114">
        <v>1</v>
      </c>
      <c r="O76" s="114">
        <v>1</v>
      </c>
      <c r="P76" s="114">
        <v>0</v>
      </c>
      <c r="Q76" s="114">
        <v>1</v>
      </c>
      <c r="R76" s="114">
        <v>1</v>
      </c>
      <c r="S76" s="114">
        <v>1</v>
      </c>
      <c r="T76" s="114">
        <v>1</v>
      </c>
      <c r="U76" s="114">
        <v>1</v>
      </c>
      <c r="V76" s="114">
        <v>1</v>
      </c>
      <c r="W76" s="114">
        <v>1</v>
      </c>
      <c r="X76" s="114">
        <v>1</v>
      </c>
      <c r="Y76" s="114">
        <v>1</v>
      </c>
      <c r="Z76" s="114">
        <v>1</v>
      </c>
      <c r="AA76" s="114">
        <v>1</v>
      </c>
      <c r="AB76" s="114">
        <v>1</v>
      </c>
      <c r="AC76" s="114">
        <v>0</v>
      </c>
      <c r="AD76" s="114">
        <v>1</v>
      </c>
      <c r="AE76" s="114">
        <v>1</v>
      </c>
      <c r="AF76" s="114">
        <v>1</v>
      </c>
      <c r="AG76" s="114">
        <v>0</v>
      </c>
      <c r="AH76" s="114">
        <v>1</v>
      </c>
      <c r="AI76" s="114">
        <v>1</v>
      </c>
      <c r="AJ76" s="114">
        <v>0</v>
      </c>
      <c r="AK76" s="114">
        <v>1</v>
      </c>
      <c r="AL76" s="114">
        <v>1</v>
      </c>
      <c r="AM76" s="114">
        <v>1</v>
      </c>
      <c r="AN76" s="114">
        <v>1</v>
      </c>
      <c r="AO76" s="114">
        <v>1</v>
      </c>
      <c r="AP76" s="114">
        <v>1</v>
      </c>
      <c r="AQ76" s="114">
        <v>1</v>
      </c>
      <c r="AR76" s="114">
        <v>1</v>
      </c>
      <c r="AS76" s="114">
        <v>1</v>
      </c>
      <c r="AT76" s="114">
        <v>1</v>
      </c>
      <c r="AU76" s="114">
        <v>1</v>
      </c>
      <c r="AV76" s="114">
        <v>1</v>
      </c>
      <c r="AW76" s="114">
        <v>0</v>
      </c>
      <c r="AX76" s="114">
        <v>0</v>
      </c>
      <c r="AY76" s="114">
        <v>1</v>
      </c>
      <c r="AZ76" s="114">
        <v>1</v>
      </c>
      <c r="BA76" s="114">
        <v>1</v>
      </c>
      <c r="BB76" s="114">
        <v>1</v>
      </c>
      <c r="BC76" s="114">
        <v>1</v>
      </c>
      <c r="BD76" s="114">
        <v>0</v>
      </c>
      <c r="BE76" s="114">
        <v>0</v>
      </c>
      <c r="BF76" s="114">
        <v>0</v>
      </c>
      <c r="BG76" s="114">
        <v>1</v>
      </c>
      <c r="BH76" s="114">
        <v>1</v>
      </c>
      <c r="BI76" s="114">
        <v>0</v>
      </c>
      <c r="BJ76" s="114">
        <v>0</v>
      </c>
      <c r="BK76" s="114">
        <v>0</v>
      </c>
      <c r="BL76" s="114">
        <v>0</v>
      </c>
      <c r="BM76" s="114">
        <v>1</v>
      </c>
      <c r="BN76" s="114">
        <v>1</v>
      </c>
      <c r="BO76" s="114">
        <v>0</v>
      </c>
      <c r="BP76" s="114">
        <v>0</v>
      </c>
      <c r="BQ76" s="114">
        <v>0</v>
      </c>
      <c r="BR76" s="114">
        <v>0</v>
      </c>
      <c r="BS76" s="114">
        <v>0</v>
      </c>
      <c r="BT76" s="114">
        <v>0</v>
      </c>
      <c r="BU76" s="114">
        <v>0</v>
      </c>
      <c r="BV76" s="114">
        <v>0</v>
      </c>
      <c r="BW76" s="114">
        <v>0</v>
      </c>
      <c r="BX76" s="114">
        <v>1</v>
      </c>
      <c r="BY76" s="114">
        <v>1</v>
      </c>
      <c r="BZ76" s="114">
        <v>0</v>
      </c>
      <c r="CA76" s="114">
        <v>0</v>
      </c>
      <c r="CB76" s="114">
        <v>0</v>
      </c>
      <c r="CC76" s="114">
        <v>0</v>
      </c>
      <c r="CD76" s="114">
        <v>0</v>
      </c>
      <c r="CE76" s="114">
        <v>0</v>
      </c>
      <c r="CF76" s="114">
        <v>0</v>
      </c>
      <c r="CG76" s="114">
        <v>0</v>
      </c>
      <c r="CH76" s="114">
        <v>0</v>
      </c>
      <c r="CI76" s="114">
        <v>0</v>
      </c>
      <c r="CJ76" s="114">
        <v>0</v>
      </c>
      <c r="CK76" s="114">
        <v>0</v>
      </c>
      <c r="CL76" s="114">
        <v>0</v>
      </c>
      <c r="CM76" s="114">
        <v>0</v>
      </c>
      <c r="CN76" s="114">
        <v>0</v>
      </c>
      <c r="CO76" s="114">
        <v>0</v>
      </c>
      <c r="CP76" s="114">
        <v>0</v>
      </c>
      <c r="CQ76" s="114">
        <v>0</v>
      </c>
      <c r="CR76" s="114">
        <v>0</v>
      </c>
      <c r="CS76" s="114">
        <v>0</v>
      </c>
      <c r="CT76" s="114">
        <v>0</v>
      </c>
      <c r="CU76" s="114">
        <v>0</v>
      </c>
      <c r="CV76" s="114">
        <v>0</v>
      </c>
    </row>
    <row r="77" spans="1:100" x14ac:dyDescent="0.15">
      <c r="A77" s="193" t="s">
        <v>267</v>
      </c>
      <c r="B77" s="114">
        <v>0</v>
      </c>
      <c r="C77" s="114">
        <v>0</v>
      </c>
      <c r="D77" s="114">
        <v>1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1</v>
      </c>
      <c r="L77" s="114">
        <v>1</v>
      </c>
      <c r="M77" s="114">
        <v>0</v>
      </c>
      <c r="N77" s="114">
        <v>1</v>
      </c>
      <c r="O77" s="114">
        <v>1</v>
      </c>
      <c r="P77" s="114">
        <v>0</v>
      </c>
      <c r="Q77" s="114">
        <v>1</v>
      </c>
      <c r="R77" s="114">
        <v>1</v>
      </c>
      <c r="S77" s="114">
        <v>1</v>
      </c>
      <c r="T77" s="114">
        <v>1</v>
      </c>
      <c r="U77" s="114">
        <v>1</v>
      </c>
      <c r="V77" s="114">
        <v>0</v>
      </c>
      <c r="W77" s="114">
        <v>0</v>
      </c>
      <c r="X77" s="114">
        <v>0</v>
      </c>
      <c r="Y77" s="114">
        <v>0</v>
      </c>
      <c r="Z77" s="114">
        <v>1</v>
      </c>
      <c r="AA77" s="114">
        <v>1</v>
      </c>
      <c r="AB77" s="114">
        <v>1</v>
      </c>
      <c r="AC77" s="114">
        <v>0</v>
      </c>
      <c r="AD77" s="114">
        <v>0</v>
      </c>
      <c r="AE77" s="114">
        <v>0</v>
      </c>
      <c r="AF77" s="114">
        <v>1</v>
      </c>
      <c r="AG77" s="114">
        <v>1</v>
      </c>
      <c r="AH77" s="114">
        <v>1</v>
      </c>
      <c r="AI77" s="114">
        <v>1</v>
      </c>
      <c r="AJ77" s="114">
        <v>0</v>
      </c>
      <c r="AK77" s="114">
        <v>1</v>
      </c>
      <c r="AL77" s="114">
        <v>0</v>
      </c>
      <c r="AM77" s="114">
        <v>0</v>
      </c>
      <c r="AN77" s="114">
        <v>0</v>
      </c>
      <c r="AO77" s="114">
        <v>0</v>
      </c>
      <c r="AP77" s="114">
        <v>0</v>
      </c>
      <c r="AQ77" s="114">
        <v>1</v>
      </c>
      <c r="AR77" s="114">
        <v>1</v>
      </c>
      <c r="AS77" s="114">
        <v>1</v>
      </c>
      <c r="AT77" s="114">
        <v>1</v>
      </c>
      <c r="AU77" s="114">
        <v>1</v>
      </c>
      <c r="AV77" s="114">
        <v>0</v>
      </c>
      <c r="AW77" s="114">
        <v>0</v>
      </c>
      <c r="AX77" s="114">
        <v>0</v>
      </c>
      <c r="AY77" s="114">
        <v>1</v>
      </c>
      <c r="AZ77" s="114">
        <v>1</v>
      </c>
      <c r="BA77" s="114">
        <v>1</v>
      </c>
      <c r="BB77" s="114">
        <v>0</v>
      </c>
      <c r="BC77" s="114">
        <v>1</v>
      </c>
      <c r="BD77" s="114">
        <v>0</v>
      </c>
      <c r="BE77" s="114">
        <v>0</v>
      </c>
      <c r="BF77" s="114">
        <v>0</v>
      </c>
      <c r="BG77" s="114">
        <v>0</v>
      </c>
      <c r="BH77" s="114">
        <v>0</v>
      </c>
      <c r="BI77" s="114">
        <v>0</v>
      </c>
      <c r="BJ77" s="114">
        <v>0</v>
      </c>
      <c r="BK77" s="114">
        <v>0</v>
      </c>
      <c r="BL77" s="114">
        <v>0</v>
      </c>
      <c r="BM77" s="114">
        <v>1</v>
      </c>
      <c r="BN77" s="114">
        <v>1</v>
      </c>
      <c r="BO77" s="114">
        <v>1</v>
      </c>
      <c r="BP77" s="114">
        <v>0</v>
      </c>
      <c r="BQ77" s="114">
        <v>0</v>
      </c>
      <c r="BR77" s="114">
        <v>0</v>
      </c>
      <c r="BS77" s="114">
        <v>0</v>
      </c>
      <c r="BT77" s="114">
        <v>0</v>
      </c>
      <c r="BU77" s="114">
        <v>0</v>
      </c>
      <c r="BV77" s="114">
        <v>0</v>
      </c>
      <c r="BW77" s="114">
        <v>0</v>
      </c>
      <c r="BX77" s="114">
        <v>0</v>
      </c>
      <c r="BY77" s="114">
        <v>1</v>
      </c>
      <c r="BZ77" s="114">
        <v>0</v>
      </c>
      <c r="CA77" s="114">
        <v>0</v>
      </c>
      <c r="CB77" s="114">
        <v>0</v>
      </c>
      <c r="CC77" s="114">
        <v>0</v>
      </c>
      <c r="CD77" s="114">
        <v>0</v>
      </c>
      <c r="CE77" s="114">
        <v>0</v>
      </c>
      <c r="CF77" s="114">
        <v>0</v>
      </c>
      <c r="CG77" s="114">
        <v>0</v>
      </c>
      <c r="CH77" s="114">
        <v>0</v>
      </c>
      <c r="CI77" s="114">
        <v>0</v>
      </c>
      <c r="CJ77" s="114">
        <v>1</v>
      </c>
      <c r="CK77" s="114">
        <v>0</v>
      </c>
      <c r="CL77" s="114">
        <v>0</v>
      </c>
      <c r="CM77" s="114">
        <v>0</v>
      </c>
      <c r="CN77" s="114">
        <v>0</v>
      </c>
      <c r="CO77" s="114">
        <v>0</v>
      </c>
      <c r="CP77" s="114">
        <v>0</v>
      </c>
      <c r="CQ77" s="114">
        <v>0</v>
      </c>
      <c r="CR77" s="114">
        <v>0</v>
      </c>
      <c r="CS77" s="114">
        <v>0</v>
      </c>
      <c r="CT77" s="114">
        <v>0</v>
      </c>
      <c r="CU77" s="114">
        <v>0</v>
      </c>
      <c r="CV77" s="114">
        <v>0</v>
      </c>
    </row>
    <row r="78" spans="1:100" x14ac:dyDescent="0.15">
      <c r="A78" s="193" t="s">
        <v>268</v>
      </c>
      <c r="B78" s="114">
        <v>0</v>
      </c>
      <c r="C78" s="114">
        <v>0</v>
      </c>
      <c r="D78" s="114">
        <v>0</v>
      </c>
      <c r="E78" s="114">
        <v>0</v>
      </c>
      <c r="F78" s="114">
        <v>0</v>
      </c>
      <c r="G78" s="114">
        <v>1</v>
      </c>
      <c r="H78" s="114">
        <v>0</v>
      </c>
      <c r="I78" s="114">
        <v>1</v>
      </c>
      <c r="J78" s="114">
        <v>0</v>
      </c>
      <c r="K78" s="114">
        <v>0</v>
      </c>
      <c r="L78" s="114">
        <v>0</v>
      </c>
      <c r="M78" s="114">
        <v>0</v>
      </c>
      <c r="N78" s="114">
        <v>1</v>
      </c>
      <c r="O78" s="114">
        <v>1</v>
      </c>
      <c r="P78" s="114">
        <v>0</v>
      </c>
      <c r="Q78" s="114">
        <v>1</v>
      </c>
      <c r="R78" s="114">
        <v>1</v>
      </c>
      <c r="S78" s="114">
        <v>1</v>
      </c>
      <c r="T78" s="114">
        <v>0</v>
      </c>
      <c r="U78" s="114">
        <v>1</v>
      </c>
      <c r="V78" s="114">
        <v>0</v>
      </c>
      <c r="W78" s="114">
        <v>0</v>
      </c>
      <c r="X78" s="114">
        <v>0</v>
      </c>
      <c r="Y78" s="114">
        <v>0</v>
      </c>
      <c r="Z78" s="114">
        <v>1</v>
      </c>
      <c r="AA78" s="114">
        <v>0</v>
      </c>
      <c r="AB78" s="114">
        <v>0</v>
      </c>
      <c r="AC78" s="114">
        <v>0</v>
      </c>
      <c r="AD78" s="114">
        <v>0</v>
      </c>
      <c r="AE78" s="114">
        <v>0</v>
      </c>
      <c r="AF78" s="114">
        <v>0</v>
      </c>
      <c r="AG78" s="114">
        <v>1</v>
      </c>
      <c r="AH78" s="114">
        <v>1</v>
      </c>
      <c r="AI78" s="114">
        <v>1</v>
      </c>
      <c r="AJ78" s="114">
        <v>0</v>
      </c>
      <c r="AK78" s="114">
        <v>0</v>
      </c>
      <c r="AL78" s="114">
        <v>0</v>
      </c>
      <c r="AM78" s="114">
        <v>0</v>
      </c>
      <c r="AN78" s="114">
        <v>0</v>
      </c>
      <c r="AO78" s="114">
        <v>0</v>
      </c>
      <c r="AP78" s="114">
        <v>0</v>
      </c>
      <c r="AQ78" s="114">
        <v>1</v>
      </c>
      <c r="AR78" s="114">
        <v>1</v>
      </c>
      <c r="AS78" s="114">
        <v>1</v>
      </c>
      <c r="AT78" s="114">
        <v>1</v>
      </c>
      <c r="AU78" s="114">
        <v>1</v>
      </c>
      <c r="AV78" s="114">
        <v>0</v>
      </c>
      <c r="AW78" s="114">
        <v>0</v>
      </c>
      <c r="AX78" s="114">
        <v>0</v>
      </c>
      <c r="AY78" s="114">
        <v>1</v>
      </c>
      <c r="AZ78" s="114">
        <v>1</v>
      </c>
      <c r="BA78" s="114">
        <v>1</v>
      </c>
      <c r="BB78" s="114">
        <v>0</v>
      </c>
      <c r="BC78" s="114">
        <v>1</v>
      </c>
      <c r="BD78" s="114">
        <v>0</v>
      </c>
      <c r="BE78" s="114">
        <v>0</v>
      </c>
      <c r="BF78" s="114">
        <v>0</v>
      </c>
      <c r="BG78" s="114">
        <v>0</v>
      </c>
      <c r="BH78" s="114">
        <v>0</v>
      </c>
      <c r="BI78" s="114">
        <v>0</v>
      </c>
      <c r="BJ78" s="114">
        <v>0</v>
      </c>
      <c r="BK78" s="114">
        <v>0</v>
      </c>
      <c r="BL78" s="114">
        <v>0</v>
      </c>
      <c r="BM78" s="114">
        <v>1</v>
      </c>
      <c r="BN78" s="114">
        <v>1</v>
      </c>
      <c r="BO78" s="114">
        <v>1</v>
      </c>
      <c r="BP78" s="114">
        <v>0</v>
      </c>
      <c r="BQ78" s="114">
        <v>0</v>
      </c>
      <c r="BR78" s="114">
        <v>0</v>
      </c>
      <c r="BS78" s="114">
        <v>0</v>
      </c>
      <c r="BT78" s="114">
        <v>0</v>
      </c>
      <c r="BU78" s="114">
        <v>0</v>
      </c>
      <c r="BV78" s="114">
        <v>0</v>
      </c>
      <c r="BW78" s="114">
        <v>0</v>
      </c>
      <c r="BX78" s="114">
        <v>0</v>
      </c>
      <c r="BY78" s="114">
        <v>1</v>
      </c>
      <c r="BZ78" s="114">
        <v>0</v>
      </c>
      <c r="CA78" s="114">
        <v>0</v>
      </c>
      <c r="CB78" s="114">
        <v>0</v>
      </c>
      <c r="CC78" s="114">
        <v>0</v>
      </c>
      <c r="CD78" s="114">
        <v>0</v>
      </c>
      <c r="CE78" s="114">
        <v>0</v>
      </c>
      <c r="CF78" s="114">
        <v>0</v>
      </c>
      <c r="CG78" s="114">
        <v>0</v>
      </c>
      <c r="CH78" s="114">
        <v>0</v>
      </c>
      <c r="CI78" s="114">
        <v>0</v>
      </c>
      <c r="CJ78" s="114">
        <v>1</v>
      </c>
      <c r="CK78" s="114">
        <v>1</v>
      </c>
      <c r="CL78" s="114">
        <v>0</v>
      </c>
      <c r="CM78" s="114">
        <v>0</v>
      </c>
      <c r="CN78" s="114">
        <v>0</v>
      </c>
      <c r="CO78" s="114">
        <v>0</v>
      </c>
      <c r="CP78" s="114">
        <v>0</v>
      </c>
      <c r="CQ78" s="114">
        <v>0</v>
      </c>
      <c r="CR78" s="114">
        <v>0</v>
      </c>
      <c r="CS78" s="114">
        <v>0</v>
      </c>
      <c r="CT78" s="114">
        <v>0</v>
      </c>
      <c r="CU78" s="114">
        <v>0</v>
      </c>
      <c r="CV78" s="114">
        <v>0</v>
      </c>
    </row>
    <row r="79" spans="1:100" x14ac:dyDescent="0.15">
      <c r="A79" s="193" t="s">
        <v>269</v>
      </c>
      <c r="B79" s="114">
        <v>0</v>
      </c>
      <c r="C79" s="114">
        <v>0</v>
      </c>
      <c r="D79" s="114">
        <v>0</v>
      </c>
      <c r="E79" s="114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1</v>
      </c>
      <c r="K79" s="114">
        <v>1</v>
      </c>
      <c r="L79" s="114">
        <v>1</v>
      </c>
      <c r="M79" s="114">
        <v>1</v>
      </c>
      <c r="N79" s="114">
        <v>1</v>
      </c>
      <c r="O79" s="114">
        <v>1</v>
      </c>
      <c r="P79" s="114">
        <v>0</v>
      </c>
      <c r="Q79" s="114">
        <v>1</v>
      </c>
      <c r="R79" s="114">
        <v>1</v>
      </c>
      <c r="S79" s="114">
        <v>1</v>
      </c>
      <c r="T79" s="114">
        <v>1</v>
      </c>
      <c r="U79" s="114">
        <v>1</v>
      </c>
      <c r="V79" s="114">
        <v>0</v>
      </c>
      <c r="W79" s="114">
        <v>1</v>
      </c>
      <c r="X79" s="114">
        <v>1</v>
      </c>
      <c r="Y79" s="114">
        <v>0</v>
      </c>
      <c r="Z79" s="114">
        <v>1</v>
      </c>
      <c r="AA79" s="114">
        <v>1</v>
      </c>
      <c r="AB79" s="114">
        <v>1</v>
      </c>
      <c r="AC79" s="114">
        <v>0</v>
      </c>
      <c r="AD79" s="114">
        <v>0</v>
      </c>
      <c r="AE79" s="114">
        <v>0</v>
      </c>
      <c r="AF79" s="114">
        <v>1</v>
      </c>
      <c r="AG79" s="114">
        <v>1</v>
      </c>
      <c r="AH79" s="114">
        <v>1</v>
      </c>
      <c r="AI79" s="114">
        <v>1</v>
      </c>
      <c r="AJ79" s="114">
        <v>0</v>
      </c>
      <c r="AK79" s="114">
        <v>1</v>
      </c>
      <c r="AL79" s="114">
        <v>1</v>
      </c>
      <c r="AM79" s="114">
        <v>1</v>
      </c>
      <c r="AN79" s="114">
        <v>1</v>
      </c>
      <c r="AO79" s="114">
        <v>1</v>
      </c>
      <c r="AP79" s="114">
        <v>1</v>
      </c>
      <c r="AQ79" s="114">
        <v>1</v>
      </c>
      <c r="AR79" s="114">
        <v>1</v>
      </c>
      <c r="AS79" s="114">
        <v>1</v>
      </c>
      <c r="AT79" s="114">
        <v>1</v>
      </c>
      <c r="AU79" s="114">
        <v>1</v>
      </c>
      <c r="AV79" s="114">
        <v>1</v>
      </c>
      <c r="AW79" s="114">
        <v>1</v>
      </c>
      <c r="AX79" s="114">
        <v>1</v>
      </c>
      <c r="AY79" s="114">
        <v>1</v>
      </c>
      <c r="AZ79" s="114">
        <v>1</v>
      </c>
      <c r="BA79" s="114">
        <v>1</v>
      </c>
      <c r="BB79" s="114">
        <v>1</v>
      </c>
      <c r="BC79" s="114">
        <v>1</v>
      </c>
      <c r="BD79" s="114">
        <v>1</v>
      </c>
      <c r="BE79" s="114">
        <v>0</v>
      </c>
      <c r="BF79" s="114">
        <v>0</v>
      </c>
      <c r="BG79" s="114">
        <v>1</v>
      </c>
      <c r="BH79" s="114">
        <v>1</v>
      </c>
      <c r="BI79" s="114">
        <v>0</v>
      </c>
      <c r="BJ79" s="114">
        <v>0</v>
      </c>
      <c r="BK79" s="114">
        <v>0</v>
      </c>
      <c r="BL79" s="114">
        <v>0</v>
      </c>
      <c r="BM79" s="114">
        <v>1</v>
      </c>
      <c r="BN79" s="114">
        <v>1</v>
      </c>
      <c r="BO79" s="114">
        <v>1</v>
      </c>
      <c r="BP79" s="114">
        <v>0</v>
      </c>
      <c r="BQ79" s="114">
        <v>0</v>
      </c>
      <c r="BR79" s="114">
        <v>0</v>
      </c>
      <c r="BS79" s="114">
        <v>0</v>
      </c>
      <c r="BT79" s="114">
        <v>0</v>
      </c>
      <c r="BU79" s="114">
        <v>0</v>
      </c>
      <c r="BV79" s="114">
        <v>0</v>
      </c>
      <c r="BW79" s="114">
        <v>0</v>
      </c>
      <c r="BX79" s="114">
        <v>0</v>
      </c>
      <c r="BY79" s="114">
        <v>1</v>
      </c>
      <c r="BZ79" s="114">
        <v>0</v>
      </c>
      <c r="CA79" s="114">
        <v>0</v>
      </c>
      <c r="CB79" s="114">
        <v>0</v>
      </c>
      <c r="CC79" s="114">
        <v>0</v>
      </c>
      <c r="CD79" s="114">
        <v>0</v>
      </c>
      <c r="CE79" s="114">
        <v>0</v>
      </c>
      <c r="CF79" s="114">
        <v>0</v>
      </c>
      <c r="CG79" s="114">
        <v>0</v>
      </c>
      <c r="CH79" s="114">
        <v>0</v>
      </c>
      <c r="CI79" s="114">
        <v>0</v>
      </c>
      <c r="CJ79" s="114">
        <v>1</v>
      </c>
      <c r="CK79" s="114">
        <v>0</v>
      </c>
      <c r="CL79" s="114">
        <v>0</v>
      </c>
      <c r="CM79" s="114">
        <v>0</v>
      </c>
      <c r="CN79" s="114">
        <v>0</v>
      </c>
      <c r="CO79" s="114">
        <v>0</v>
      </c>
      <c r="CP79" s="114">
        <v>0</v>
      </c>
      <c r="CQ79" s="114">
        <v>0</v>
      </c>
      <c r="CR79" s="114">
        <v>0</v>
      </c>
      <c r="CS79" s="114">
        <v>0</v>
      </c>
      <c r="CT79" s="114">
        <v>0</v>
      </c>
      <c r="CU79" s="114">
        <v>0</v>
      </c>
      <c r="CV79" s="114">
        <v>0</v>
      </c>
    </row>
    <row r="80" spans="1:100" x14ac:dyDescent="0.15">
      <c r="A80" s="193" t="s">
        <v>270</v>
      </c>
      <c r="B80" s="114">
        <v>0</v>
      </c>
      <c r="C80" s="114">
        <v>0</v>
      </c>
      <c r="D80" s="114">
        <v>0</v>
      </c>
      <c r="E80" s="114">
        <v>0</v>
      </c>
      <c r="F80" s="114">
        <v>0</v>
      </c>
      <c r="G80" s="114">
        <v>1</v>
      </c>
      <c r="H80" s="114">
        <v>0</v>
      </c>
      <c r="I80" s="114">
        <v>1</v>
      </c>
      <c r="J80" s="114">
        <v>1</v>
      </c>
      <c r="K80" s="114">
        <v>1</v>
      </c>
      <c r="L80" s="114">
        <v>1</v>
      </c>
      <c r="M80" s="114">
        <v>1</v>
      </c>
      <c r="N80" s="114">
        <v>1</v>
      </c>
      <c r="O80" s="114">
        <v>1</v>
      </c>
      <c r="P80" s="114">
        <v>1</v>
      </c>
      <c r="Q80" s="114">
        <v>1</v>
      </c>
      <c r="R80" s="114">
        <v>1</v>
      </c>
      <c r="S80" s="114">
        <v>1</v>
      </c>
      <c r="T80" s="114">
        <v>1</v>
      </c>
      <c r="U80" s="114">
        <v>1</v>
      </c>
      <c r="V80" s="114">
        <v>0</v>
      </c>
      <c r="W80" s="114">
        <v>1</v>
      </c>
      <c r="X80" s="114">
        <v>1</v>
      </c>
      <c r="Y80" s="114">
        <v>0</v>
      </c>
      <c r="Z80" s="114">
        <v>1</v>
      </c>
      <c r="AA80" s="114">
        <v>1</v>
      </c>
      <c r="AB80" s="114">
        <v>1</v>
      </c>
      <c r="AC80" s="114">
        <v>1</v>
      </c>
      <c r="AD80" s="114">
        <v>0</v>
      </c>
      <c r="AE80" s="114">
        <v>0</v>
      </c>
      <c r="AF80" s="114">
        <v>1</v>
      </c>
      <c r="AG80" s="114">
        <v>1</v>
      </c>
      <c r="AH80" s="114">
        <v>1</v>
      </c>
      <c r="AI80" s="114">
        <v>1</v>
      </c>
      <c r="AJ80" s="114">
        <v>0</v>
      </c>
      <c r="AK80" s="114">
        <v>1</v>
      </c>
      <c r="AL80" s="114">
        <v>1</v>
      </c>
      <c r="AM80" s="114">
        <v>1</v>
      </c>
      <c r="AN80" s="114">
        <v>1</v>
      </c>
      <c r="AO80" s="114">
        <v>1</v>
      </c>
      <c r="AP80" s="114">
        <v>1</v>
      </c>
      <c r="AQ80" s="114">
        <v>1</v>
      </c>
      <c r="AR80" s="114">
        <v>1</v>
      </c>
      <c r="AS80" s="114">
        <v>1</v>
      </c>
      <c r="AT80" s="114">
        <v>1</v>
      </c>
      <c r="AU80" s="114">
        <v>1</v>
      </c>
      <c r="AV80" s="114">
        <v>1</v>
      </c>
      <c r="AW80" s="114">
        <v>1</v>
      </c>
      <c r="AX80" s="114">
        <v>1</v>
      </c>
      <c r="AY80" s="114">
        <v>1</v>
      </c>
      <c r="AZ80" s="114">
        <v>1</v>
      </c>
      <c r="BA80" s="114">
        <v>1</v>
      </c>
      <c r="BB80" s="114">
        <v>1</v>
      </c>
      <c r="BC80" s="114">
        <v>1</v>
      </c>
      <c r="BD80" s="114">
        <v>1</v>
      </c>
      <c r="BE80" s="114">
        <v>0</v>
      </c>
      <c r="BF80" s="114">
        <v>0</v>
      </c>
      <c r="BG80" s="114">
        <v>1</v>
      </c>
      <c r="BH80" s="114">
        <v>1</v>
      </c>
      <c r="BI80" s="114">
        <v>0</v>
      </c>
      <c r="BJ80" s="114">
        <v>0</v>
      </c>
      <c r="BK80" s="114">
        <v>0</v>
      </c>
      <c r="BL80" s="114">
        <v>0</v>
      </c>
      <c r="BM80" s="114">
        <v>1</v>
      </c>
      <c r="BN80" s="114">
        <v>1</v>
      </c>
      <c r="BO80" s="114">
        <v>1</v>
      </c>
      <c r="BP80" s="114">
        <v>0</v>
      </c>
      <c r="BQ80" s="114">
        <v>0</v>
      </c>
      <c r="BR80" s="114">
        <v>0</v>
      </c>
      <c r="BS80" s="114">
        <v>0</v>
      </c>
      <c r="BT80" s="114">
        <v>0</v>
      </c>
      <c r="BU80" s="114">
        <v>0</v>
      </c>
      <c r="BV80" s="114">
        <v>1</v>
      </c>
      <c r="BW80" s="114">
        <v>0</v>
      </c>
      <c r="BX80" s="114">
        <v>0</v>
      </c>
      <c r="BY80" s="114">
        <v>1</v>
      </c>
      <c r="BZ80" s="114">
        <v>0</v>
      </c>
      <c r="CA80" s="114">
        <v>0</v>
      </c>
      <c r="CB80" s="114">
        <v>0</v>
      </c>
      <c r="CC80" s="114">
        <v>0</v>
      </c>
      <c r="CD80" s="114">
        <v>0</v>
      </c>
      <c r="CE80" s="114">
        <v>0</v>
      </c>
      <c r="CF80" s="114">
        <v>0</v>
      </c>
      <c r="CG80" s="114">
        <v>0</v>
      </c>
      <c r="CH80" s="114">
        <v>0</v>
      </c>
      <c r="CI80" s="114">
        <v>0</v>
      </c>
      <c r="CJ80" s="114">
        <v>1</v>
      </c>
      <c r="CK80" s="114">
        <v>0</v>
      </c>
      <c r="CL80" s="114">
        <v>0</v>
      </c>
      <c r="CM80" s="114">
        <v>0</v>
      </c>
      <c r="CN80" s="114">
        <v>0</v>
      </c>
      <c r="CO80" s="114">
        <v>0</v>
      </c>
      <c r="CP80" s="114">
        <v>0</v>
      </c>
      <c r="CQ80" s="114">
        <v>0</v>
      </c>
      <c r="CR80" s="114">
        <v>0</v>
      </c>
      <c r="CS80" s="114">
        <v>0</v>
      </c>
      <c r="CT80" s="114">
        <v>0</v>
      </c>
      <c r="CU80" s="114">
        <v>0</v>
      </c>
      <c r="CV80" s="114">
        <v>0</v>
      </c>
    </row>
    <row r="81" spans="1:100" x14ac:dyDescent="0.15">
      <c r="A81" s="193" t="s">
        <v>271</v>
      </c>
      <c r="B81" s="114">
        <v>0</v>
      </c>
      <c r="C81" s="114">
        <v>0</v>
      </c>
      <c r="D81" s="114">
        <v>0</v>
      </c>
      <c r="E81" s="114">
        <v>0</v>
      </c>
      <c r="F81" s="114">
        <v>0</v>
      </c>
      <c r="G81" s="114">
        <v>1</v>
      </c>
      <c r="H81" s="114">
        <v>0</v>
      </c>
      <c r="I81" s="114">
        <v>1</v>
      </c>
      <c r="J81" s="114">
        <v>0</v>
      </c>
      <c r="K81" s="114">
        <v>1</v>
      </c>
      <c r="L81" s="114">
        <v>1</v>
      </c>
      <c r="M81" s="114">
        <v>1</v>
      </c>
      <c r="N81" s="114">
        <v>1</v>
      </c>
      <c r="O81" s="114">
        <v>1</v>
      </c>
      <c r="P81" s="114">
        <v>1</v>
      </c>
      <c r="Q81" s="114">
        <v>1</v>
      </c>
      <c r="R81" s="114">
        <v>1</v>
      </c>
      <c r="S81" s="114">
        <v>1</v>
      </c>
      <c r="T81" s="114">
        <v>1</v>
      </c>
      <c r="U81" s="114">
        <v>1</v>
      </c>
      <c r="V81" s="114">
        <v>0</v>
      </c>
      <c r="W81" s="114">
        <v>1</v>
      </c>
      <c r="X81" s="114">
        <v>1</v>
      </c>
      <c r="Y81" s="114">
        <v>0</v>
      </c>
      <c r="Z81" s="114">
        <v>1</v>
      </c>
      <c r="AA81" s="114">
        <v>1</v>
      </c>
      <c r="AB81" s="114">
        <v>1</v>
      </c>
      <c r="AC81" s="114">
        <v>1</v>
      </c>
      <c r="AD81" s="114">
        <v>0</v>
      </c>
      <c r="AE81" s="114">
        <v>0</v>
      </c>
      <c r="AF81" s="114">
        <v>1</v>
      </c>
      <c r="AG81" s="114">
        <v>1</v>
      </c>
      <c r="AH81" s="114">
        <v>1</v>
      </c>
      <c r="AI81" s="114">
        <v>1</v>
      </c>
      <c r="AJ81" s="114">
        <v>0</v>
      </c>
      <c r="AK81" s="114">
        <v>1</v>
      </c>
      <c r="AL81" s="114">
        <v>1</v>
      </c>
      <c r="AM81" s="114">
        <v>1</v>
      </c>
      <c r="AN81" s="114">
        <v>1</v>
      </c>
      <c r="AO81" s="114">
        <v>1</v>
      </c>
      <c r="AP81" s="114">
        <v>1</v>
      </c>
      <c r="AQ81" s="114">
        <v>1</v>
      </c>
      <c r="AR81" s="114">
        <v>1</v>
      </c>
      <c r="AS81" s="114">
        <v>1</v>
      </c>
      <c r="AT81" s="114">
        <v>1</v>
      </c>
      <c r="AU81" s="114">
        <v>1</v>
      </c>
      <c r="AV81" s="114">
        <v>1</v>
      </c>
      <c r="AW81" s="114">
        <v>1</v>
      </c>
      <c r="AX81" s="114">
        <v>1</v>
      </c>
      <c r="AY81" s="114">
        <v>1</v>
      </c>
      <c r="AZ81" s="114">
        <v>1</v>
      </c>
      <c r="BA81" s="114">
        <v>1</v>
      </c>
      <c r="BB81" s="114">
        <v>1</v>
      </c>
      <c r="BC81" s="114">
        <v>1</v>
      </c>
      <c r="BD81" s="114">
        <v>1</v>
      </c>
      <c r="BE81" s="114">
        <v>0</v>
      </c>
      <c r="BF81" s="114">
        <v>0</v>
      </c>
      <c r="BG81" s="114">
        <v>1</v>
      </c>
      <c r="BH81" s="114">
        <v>1</v>
      </c>
      <c r="BI81" s="114">
        <v>0</v>
      </c>
      <c r="BJ81" s="114">
        <v>0</v>
      </c>
      <c r="BK81" s="114">
        <v>0</v>
      </c>
      <c r="BL81" s="114">
        <v>0</v>
      </c>
      <c r="BM81" s="114">
        <v>1</v>
      </c>
      <c r="BN81" s="114">
        <v>1</v>
      </c>
      <c r="BO81" s="114">
        <v>1</v>
      </c>
      <c r="BP81" s="114">
        <v>0</v>
      </c>
      <c r="BQ81" s="114">
        <v>0</v>
      </c>
      <c r="BR81" s="114">
        <v>0</v>
      </c>
      <c r="BS81" s="114">
        <v>0</v>
      </c>
      <c r="BT81" s="114">
        <v>0</v>
      </c>
      <c r="BU81" s="114">
        <v>1</v>
      </c>
      <c r="BV81" s="114">
        <v>1</v>
      </c>
      <c r="BW81" s="114">
        <v>0</v>
      </c>
      <c r="BX81" s="114">
        <v>0</v>
      </c>
      <c r="BY81" s="114">
        <v>1</v>
      </c>
      <c r="BZ81" s="114">
        <v>0</v>
      </c>
      <c r="CA81" s="114">
        <v>0</v>
      </c>
      <c r="CB81" s="114">
        <v>1</v>
      </c>
      <c r="CC81" s="114">
        <v>0</v>
      </c>
      <c r="CD81" s="114">
        <v>0</v>
      </c>
      <c r="CE81" s="114">
        <v>0</v>
      </c>
      <c r="CF81" s="114">
        <v>0</v>
      </c>
      <c r="CG81" s="114">
        <v>0</v>
      </c>
      <c r="CH81" s="114">
        <v>0</v>
      </c>
      <c r="CI81" s="114">
        <v>0</v>
      </c>
      <c r="CJ81" s="114">
        <v>1</v>
      </c>
      <c r="CK81" s="114">
        <v>0</v>
      </c>
      <c r="CL81" s="114">
        <v>0</v>
      </c>
      <c r="CM81" s="114">
        <v>0</v>
      </c>
      <c r="CN81" s="114">
        <v>0</v>
      </c>
      <c r="CO81" s="114">
        <v>0</v>
      </c>
      <c r="CP81" s="114">
        <v>0</v>
      </c>
      <c r="CQ81" s="114">
        <v>0</v>
      </c>
      <c r="CR81" s="114">
        <v>0</v>
      </c>
      <c r="CS81" s="114">
        <v>0</v>
      </c>
      <c r="CT81" s="114">
        <v>0</v>
      </c>
      <c r="CU81" s="114">
        <v>0</v>
      </c>
      <c r="CV81" s="114">
        <v>0</v>
      </c>
    </row>
    <row r="82" spans="1:100" x14ac:dyDescent="0.15">
      <c r="A82" s="193" t="s">
        <v>272</v>
      </c>
      <c r="B82" s="114">
        <v>0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1</v>
      </c>
      <c r="O82" s="114">
        <v>1</v>
      </c>
      <c r="P82" s="114">
        <v>0</v>
      </c>
      <c r="Q82" s="114">
        <v>1</v>
      </c>
      <c r="R82" s="114">
        <v>1</v>
      </c>
      <c r="S82" s="114">
        <v>1</v>
      </c>
      <c r="T82" s="114">
        <v>0</v>
      </c>
      <c r="U82" s="114">
        <v>1</v>
      </c>
      <c r="V82" s="114">
        <v>0</v>
      </c>
      <c r="W82" s="114">
        <v>0</v>
      </c>
      <c r="X82" s="114">
        <v>0</v>
      </c>
      <c r="Y82" s="114">
        <v>0</v>
      </c>
      <c r="Z82" s="114">
        <v>1</v>
      </c>
      <c r="AA82" s="114">
        <v>0</v>
      </c>
      <c r="AB82" s="114">
        <v>0</v>
      </c>
      <c r="AC82" s="114">
        <v>0</v>
      </c>
      <c r="AD82" s="114">
        <v>0</v>
      </c>
      <c r="AE82" s="114">
        <v>0</v>
      </c>
      <c r="AF82" s="114">
        <v>0</v>
      </c>
      <c r="AG82" s="114">
        <v>1</v>
      </c>
      <c r="AH82" s="114">
        <v>1</v>
      </c>
      <c r="AI82" s="114">
        <v>1</v>
      </c>
      <c r="AJ82" s="114">
        <v>0</v>
      </c>
      <c r="AK82" s="114">
        <v>0</v>
      </c>
      <c r="AL82" s="114">
        <v>0</v>
      </c>
      <c r="AM82" s="114">
        <v>0</v>
      </c>
      <c r="AN82" s="114">
        <v>0</v>
      </c>
      <c r="AO82" s="114">
        <v>0</v>
      </c>
      <c r="AP82" s="114">
        <v>0</v>
      </c>
      <c r="AQ82" s="114">
        <v>1</v>
      </c>
      <c r="AR82" s="114">
        <v>1</v>
      </c>
      <c r="AS82" s="114">
        <v>1</v>
      </c>
      <c r="AT82" s="114">
        <v>1</v>
      </c>
      <c r="AU82" s="114">
        <v>1</v>
      </c>
      <c r="AV82" s="114">
        <v>0</v>
      </c>
      <c r="AW82" s="114">
        <v>0</v>
      </c>
      <c r="AX82" s="114">
        <v>0</v>
      </c>
      <c r="AY82" s="114">
        <v>1</v>
      </c>
      <c r="AZ82" s="114">
        <v>1</v>
      </c>
      <c r="BA82" s="114">
        <v>1</v>
      </c>
      <c r="BB82" s="114">
        <v>0</v>
      </c>
      <c r="BC82" s="114">
        <v>1</v>
      </c>
      <c r="BD82" s="114">
        <v>0</v>
      </c>
      <c r="BE82" s="114">
        <v>0</v>
      </c>
      <c r="BF82" s="114">
        <v>0</v>
      </c>
      <c r="BG82" s="114">
        <v>0</v>
      </c>
      <c r="BH82" s="114">
        <v>0</v>
      </c>
      <c r="BI82" s="114">
        <v>0</v>
      </c>
      <c r="BJ82" s="114">
        <v>0</v>
      </c>
      <c r="BK82" s="114">
        <v>0</v>
      </c>
      <c r="BL82" s="114">
        <v>0</v>
      </c>
      <c r="BM82" s="114">
        <v>1</v>
      </c>
      <c r="BN82" s="114">
        <v>1</v>
      </c>
      <c r="BO82" s="114">
        <v>0</v>
      </c>
      <c r="BP82" s="114">
        <v>0</v>
      </c>
      <c r="BQ82" s="114">
        <v>0</v>
      </c>
      <c r="BR82" s="114">
        <v>0</v>
      </c>
      <c r="BS82" s="114">
        <v>0</v>
      </c>
      <c r="BT82" s="114">
        <v>0</v>
      </c>
      <c r="BU82" s="114">
        <v>0</v>
      </c>
      <c r="BV82" s="114">
        <v>0</v>
      </c>
      <c r="BW82" s="114">
        <v>0</v>
      </c>
      <c r="BX82" s="114">
        <v>0</v>
      </c>
      <c r="BY82" s="114">
        <v>0</v>
      </c>
      <c r="BZ82" s="114">
        <v>0</v>
      </c>
      <c r="CA82" s="114">
        <v>0</v>
      </c>
      <c r="CB82" s="114">
        <v>0</v>
      </c>
      <c r="CC82" s="114">
        <v>0</v>
      </c>
      <c r="CD82" s="114">
        <v>0</v>
      </c>
      <c r="CE82" s="114">
        <v>1</v>
      </c>
      <c r="CF82" s="114">
        <v>0</v>
      </c>
      <c r="CG82" s="114">
        <v>0</v>
      </c>
      <c r="CH82" s="114">
        <v>0</v>
      </c>
      <c r="CI82" s="114">
        <v>0</v>
      </c>
      <c r="CJ82" s="114">
        <v>0</v>
      </c>
      <c r="CK82" s="114">
        <v>0</v>
      </c>
      <c r="CL82" s="114">
        <v>0</v>
      </c>
      <c r="CM82" s="114">
        <v>0</v>
      </c>
      <c r="CN82" s="114">
        <v>0</v>
      </c>
      <c r="CO82" s="114">
        <v>0</v>
      </c>
      <c r="CP82" s="114">
        <v>0</v>
      </c>
      <c r="CQ82" s="114">
        <v>0</v>
      </c>
      <c r="CR82" s="114">
        <v>0</v>
      </c>
      <c r="CS82" s="114">
        <v>0</v>
      </c>
      <c r="CT82" s="114">
        <v>0</v>
      </c>
      <c r="CU82" s="114">
        <v>0</v>
      </c>
      <c r="CV82" s="114">
        <v>0</v>
      </c>
    </row>
    <row r="83" spans="1:100" x14ac:dyDescent="0.15">
      <c r="A83" s="193" t="s">
        <v>273</v>
      </c>
      <c r="B83" s="114">
        <v>0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1</v>
      </c>
      <c r="L83" s="114">
        <v>1</v>
      </c>
      <c r="M83" s="114">
        <v>1</v>
      </c>
      <c r="N83" s="114">
        <v>1</v>
      </c>
      <c r="O83" s="114">
        <v>1</v>
      </c>
      <c r="P83" s="114">
        <v>0</v>
      </c>
      <c r="Q83" s="114">
        <v>1</v>
      </c>
      <c r="R83" s="114">
        <v>1</v>
      </c>
      <c r="S83" s="114">
        <v>1</v>
      </c>
      <c r="T83" s="114">
        <v>1</v>
      </c>
      <c r="U83" s="114">
        <v>1</v>
      </c>
      <c r="V83" s="114">
        <v>0</v>
      </c>
      <c r="W83" s="114">
        <v>1</v>
      </c>
      <c r="X83" s="114">
        <v>1</v>
      </c>
      <c r="Y83" s="114">
        <v>0</v>
      </c>
      <c r="Z83" s="114">
        <v>1</v>
      </c>
      <c r="AA83" s="114">
        <v>1</v>
      </c>
      <c r="AB83" s="114">
        <v>1</v>
      </c>
      <c r="AC83" s="114">
        <v>0</v>
      </c>
      <c r="AD83" s="114">
        <v>0</v>
      </c>
      <c r="AE83" s="114">
        <v>0</v>
      </c>
      <c r="AF83" s="114">
        <v>1</v>
      </c>
      <c r="AG83" s="114">
        <v>0</v>
      </c>
      <c r="AH83" s="114">
        <v>1</v>
      </c>
      <c r="AI83" s="114">
        <v>1</v>
      </c>
      <c r="AJ83" s="114">
        <v>0</v>
      </c>
      <c r="AK83" s="114">
        <v>1</v>
      </c>
      <c r="AL83" s="114">
        <v>1</v>
      </c>
      <c r="AM83" s="114">
        <v>1</v>
      </c>
      <c r="AN83" s="114">
        <v>1</v>
      </c>
      <c r="AO83" s="114">
        <v>1</v>
      </c>
      <c r="AP83" s="114">
        <v>1</v>
      </c>
      <c r="AQ83" s="114">
        <v>1</v>
      </c>
      <c r="AR83" s="114">
        <v>1</v>
      </c>
      <c r="AS83" s="114">
        <v>1</v>
      </c>
      <c r="AT83" s="114">
        <v>1</v>
      </c>
      <c r="AU83" s="114">
        <v>1</v>
      </c>
      <c r="AV83" s="114">
        <v>1</v>
      </c>
      <c r="AW83" s="114">
        <v>1</v>
      </c>
      <c r="AX83" s="114">
        <v>1</v>
      </c>
      <c r="AY83" s="114">
        <v>1</v>
      </c>
      <c r="AZ83" s="114">
        <v>1</v>
      </c>
      <c r="BA83" s="114">
        <v>1</v>
      </c>
      <c r="BB83" s="114">
        <v>1</v>
      </c>
      <c r="BC83" s="114">
        <v>1</v>
      </c>
      <c r="BD83" s="114">
        <v>1</v>
      </c>
      <c r="BE83" s="114">
        <v>0</v>
      </c>
      <c r="BF83" s="114">
        <v>0</v>
      </c>
      <c r="BG83" s="114">
        <v>1</v>
      </c>
      <c r="BH83" s="114">
        <v>1</v>
      </c>
      <c r="BI83" s="114">
        <v>0</v>
      </c>
      <c r="BJ83" s="114">
        <v>0</v>
      </c>
      <c r="BK83" s="114">
        <v>0</v>
      </c>
      <c r="BL83" s="114">
        <v>0</v>
      </c>
      <c r="BM83" s="114">
        <v>1</v>
      </c>
      <c r="BN83" s="114">
        <v>1</v>
      </c>
      <c r="BO83" s="114">
        <v>0</v>
      </c>
      <c r="BP83" s="114">
        <v>0</v>
      </c>
      <c r="BQ83" s="114">
        <v>0</v>
      </c>
      <c r="BR83" s="114">
        <v>0</v>
      </c>
      <c r="BS83" s="114">
        <v>0</v>
      </c>
      <c r="BT83" s="114">
        <v>0</v>
      </c>
      <c r="BU83" s="114">
        <v>0</v>
      </c>
      <c r="BV83" s="114">
        <v>0</v>
      </c>
      <c r="BW83" s="114">
        <v>0</v>
      </c>
      <c r="BX83" s="114">
        <v>0</v>
      </c>
      <c r="BY83" s="114">
        <v>0</v>
      </c>
      <c r="BZ83" s="114">
        <v>0</v>
      </c>
      <c r="CA83" s="114">
        <v>0</v>
      </c>
      <c r="CB83" s="114">
        <v>0</v>
      </c>
      <c r="CC83" s="114">
        <v>0</v>
      </c>
      <c r="CD83" s="114">
        <v>0</v>
      </c>
      <c r="CE83" s="114">
        <v>0</v>
      </c>
      <c r="CF83" s="114">
        <v>0</v>
      </c>
      <c r="CG83" s="114">
        <v>0</v>
      </c>
      <c r="CH83" s="114">
        <v>0</v>
      </c>
      <c r="CI83" s="114">
        <v>0</v>
      </c>
      <c r="CJ83" s="114">
        <v>0</v>
      </c>
      <c r="CK83" s="114">
        <v>0</v>
      </c>
      <c r="CL83" s="114">
        <v>0</v>
      </c>
      <c r="CM83" s="114">
        <v>0</v>
      </c>
      <c r="CN83" s="114">
        <v>0</v>
      </c>
      <c r="CO83" s="114">
        <v>0</v>
      </c>
      <c r="CP83" s="114">
        <v>0</v>
      </c>
      <c r="CQ83" s="114">
        <v>0</v>
      </c>
      <c r="CR83" s="114">
        <v>0</v>
      </c>
      <c r="CS83" s="114">
        <v>0</v>
      </c>
      <c r="CT83" s="114">
        <v>0</v>
      </c>
      <c r="CU83" s="114">
        <v>0</v>
      </c>
      <c r="CV83" s="114">
        <v>0</v>
      </c>
    </row>
    <row r="84" spans="1:100" x14ac:dyDescent="0.15">
      <c r="A84" s="193" t="s">
        <v>274</v>
      </c>
      <c r="B84" s="114">
        <v>0</v>
      </c>
      <c r="C84" s="114">
        <v>0</v>
      </c>
      <c r="D84" s="114">
        <v>0</v>
      </c>
      <c r="E84" s="114">
        <v>0</v>
      </c>
      <c r="F84" s="114">
        <v>0</v>
      </c>
      <c r="G84" s="114">
        <v>1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1</v>
      </c>
      <c r="O84" s="114">
        <v>1</v>
      </c>
      <c r="P84" s="114">
        <v>0</v>
      </c>
      <c r="Q84" s="114">
        <v>1</v>
      </c>
      <c r="R84" s="114">
        <v>1</v>
      </c>
      <c r="S84" s="114">
        <v>1</v>
      </c>
      <c r="T84" s="114">
        <v>0</v>
      </c>
      <c r="U84" s="114">
        <v>1</v>
      </c>
      <c r="V84" s="114">
        <v>0</v>
      </c>
      <c r="W84" s="114">
        <v>0</v>
      </c>
      <c r="X84" s="114">
        <v>0</v>
      </c>
      <c r="Y84" s="114">
        <v>0</v>
      </c>
      <c r="Z84" s="114">
        <v>1</v>
      </c>
      <c r="AA84" s="114">
        <v>0</v>
      </c>
      <c r="AB84" s="114">
        <v>0</v>
      </c>
      <c r="AC84" s="114">
        <v>0</v>
      </c>
      <c r="AD84" s="114">
        <v>0</v>
      </c>
      <c r="AE84" s="114">
        <v>0</v>
      </c>
      <c r="AF84" s="114">
        <v>0</v>
      </c>
      <c r="AG84" s="114">
        <v>1</v>
      </c>
      <c r="AH84" s="114">
        <v>1</v>
      </c>
      <c r="AI84" s="114">
        <v>1</v>
      </c>
      <c r="AJ84" s="114">
        <v>0</v>
      </c>
      <c r="AK84" s="114">
        <v>0</v>
      </c>
      <c r="AL84" s="114">
        <v>0</v>
      </c>
      <c r="AM84" s="114">
        <v>0</v>
      </c>
      <c r="AN84" s="114">
        <v>0</v>
      </c>
      <c r="AO84" s="114">
        <v>0</v>
      </c>
      <c r="AP84" s="114">
        <v>0</v>
      </c>
      <c r="AQ84" s="114">
        <v>1</v>
      </c>
      <c r="AR84" s="114">
        <v>1</v>
      </c>
      <c r="AS84" s="114">
        <v>1</v>
      </c>
      <c r="AT84" s="114">
        <v>1</v>
      </c>
      <c r="AU84" s="114">
        <v>1</v>
      </c>
      <c r="AV84" s="114">
        <v>0</v>
      </c>
      <c r="AW84" s="114">
        <v>0</v>
      </c>
      <c r="AX84" s="114">
        <v>0</v>
      </c>
      <c r="AY84" s="114">
        <v>1</v>
      </c>
      <c r="AZ84" s="114">
        <v>1</v>
      </c>
      <c r="BA84" s="114">
        <v>1</v>
      </c>
      <c r="BB84" s="114">
        <v>0</v>
      </c>
      <c r="BC84" s="114">
        <v>1</v>
      </c>
      <c r="BD84" s="114">
        <v>0</v>
      </c>
      <c r="BE84" s="114">
        <v>0</v>
      </c>
      <c r="BF84" s="114">
        <v>0</v>
      </c>
      <c r="BG84" s="114">
        <v>0</v>
      </c>
      <c r="BH84" s="114">
        <v>0</v>
      </c>
      <c r="BI84" s="114">
        <v>0</v>
      </c>
      <c r="BJ84" s="114">
        <v>0</v>
      </c>
      <c r="BK84" s="114">
        <v>0</v>
      </c>
      <c r="BL84" s="114">
        <v>0</v>
      </c>
      <c r="BM84" s="114">
        <v>1</v>
      </c>
      <c r="BN84" s="114">
        <v>1</v>
      </c>
      <c r="BO84" s="114">
        <v>1</v>
      </c>
      <c r="BP84" s="114">
        <v>0</v>
      </c>
      <c r="BQ84" s="114">
        <v>0</v>
      </c>
      <c r="BR84" s="114">
        <v>0</v>
      </c>
      <c r="BS84" s="114">
        <v>0</v>
      </c>
      <c r="BT84" s="114">
        <v>0</v>
      </c>
      <c r="BU84" s="114">
        <v>0</v>
      </c>
      <c r="BV84" s="114">
        <v>0</v>
      </c>
      <c r="BW84" s="114">
        <v>0</v>
      </c>
      <c r="BX84" s="114">
        <v>0</v>
      </c>
      <c r="BY84" s="114">
        <v>1</v>
      </c>
      <c r="BZ84" s="114">
        <v>0</v>
      </c>
      <c r="CA84" s="114">
        <v>1</v>
      </c>
      <c r="CB84" s="114">
        <v>0</v>
      </c>
      <c r="CC84" s="114">
        <v>0</v>
      </c>
      <c r="CD84" s="114">
        <v>0</v>
      </c>
      <c r="CE84" s="114">
        <v>0</v>
      </c>
      <c r="CF84" s="114">
        <v>0</v>
      </c>
      <c r="CG84" s="114">
        <v>0</v>
      </c>
      <c r="CH84" s="114">
        <v>0</v>
      </c>
      <c r="CI84" s="114">
        <v>0</v>
      </c>
      <c r="CJ84" s="114">
        <v>1</v>
      </c>
      <c r="CK84" s="114">
        <v>0</v>
      </c>
      <c r="CL84" s="114">
        <v>0</v>
      </c>
      <c r="CM84" s="114">
        <v>0</v>
      </c>
      <c r="CN84" s="114">
        <v>0</v>
      </c>
      <c r="CO84" s="114">
        <v>0</v>
      </c>
      <c r="CP84" s="114">
        <v>0</v>
      </c>
      <c r="CQ84" s="114">
        <v>0</v>
      </c>
      <c r="CR84" s="114">
        <v>0</v>
      </c>
      <c r="CS84" s="114">
        <v>0</v>
      </c>
      <c r="CT84" s="114">
        <v>0</v>
      </c>
      <c r="CU84" s="114">
        <v>0</v>
      </c>
      <c r="CV84" s="114">
        <v>0</v>
      </c>
    </row>
    <row r="85" spans="1:100" x14ac:dyDescent="0.15">
      <c r="A85" s="193" t="s">
        <v>275</v>
      </c>
      <c r="B85" s="114">
        <v>0</v>
      </c>
      <c r="C85" s="114">
        <v>0</v>
      </c>
      <c r="D85" s="114">
        <v>0</v>
      </c>
      <c r="E85" s="114">
        <v>0</v>
      </c>
      <c r="F85" s="114">
        <v>1</v>
      </c>
      <c r="G85" s="114">
        <v>0</v>
      </c>
      <c r="H85" s="114">
        <v>0</v>
      </c>
      <c r="I85" s="114">
        <v>0</v>
      </c>
      <c r="J85" s="114">
        <v>0</v>
      </c>
      <c r="K85" s="114">
        <v>1</v>
      </c>
      <c r="L85" s="114">
        <v>1</v>
      </c>
      <c r="M85" s="114">
        <v>0</v>
      </c>
      <c r="N85" s="114">
        <v>1</v>
      </c>
      <c r="O85" s="114">
        <v>1</v>
      </c>
      <c r="P85" s="114">
        <v>0</v>
      </c>
      <c r="Q85" s="114">
        <v>1</v>
      </c>
      <c r="R85" s="114">
        <v>1</v>
      </c>
      <c r="S85" s="114">
        <v>1</v>
      </c>
      <c r="T85" s="114">
        <v>1</v>
      </c>
      <c r="U85" s="114">
        <v>1</v>
      </c>
      <c r="V85" s="114">
        <v>0</v>
      </c>
      <c r="W85" s="114">
        <v>0</v>
      </c>
      <c r="X85" s="114">
        <v>0</v>
      </c>
      <c r="Y85" s="114">
        <v>0</v>
      </c>
      <c r="Z85" s="114">
        <v>1</v>
      </c>
      <c r="AA85" s="114">
        <v>1</v>
      </c>
      <c r="AB85" s="114">
        <v>0</v>
      </c>
      <c r="AC85" s="114">
        <v>0</v>
      </c>
      <c r="AD85" s="114">
        <v>0</v>
      </c>
      <c r="AE85" s="114">
        <v>0</v>
      </c>
      <c r="AF85" s="114">
        <v>1</v>
      </c>
      <c r="AG85" s="114">
        <v>0</v>
      </c>
      <c r="AH85" s="114">
        <v>1</v>
      </c>
      <c r="AI85" s="114">
        <v>1</v>
      </c>
      <c r="AJ85" s="114">
        <v>0</v>
      </c>
      <c r="AK85" s="114">
        <v>1</v>
      </c>
      <c r="AL85" s="114">
        <v>0</v>
      </c>
      <c r="AM85" s="114">
        <v>0</v>
      </c>
      <c r="AN85" s="114">
        <v>0</v>
      </c>
      <c r="AO85" s="114">
        <v>0</v>
      </c>
      <c r="AP85" s="114">
        <v>0</v>
      </c>
      <c r="AQ85" s="114">
        <v>1</v>
      </c>
      <c r="AR85" s="114">
        <v>1</v>
      </c>
      <c r="AS85" s="114">
        <v>1</v>
      </c>
      <c r="AT85" s="114">
        <v>1</v>
      </c>
      <c r="AU85" s="114">
        <v>1</v>
      </c>
      <c r="AV85" s="114">
        <v>0</v>
      </c>
      <c r="AW85" s="114">
        <v>0</v>
      </c>
      <c r="AX85" s="114">
        <v>1</v>
      </c>
      <c r="AY85" s="114">
        <v>1</v>
      </c>
      <c r="AZ85" s="114">
        <v>1</v>
      </c>
      <c r="BA85" s="114">
        <v>1</v>
      </c>
      <c r="BB85" s="114">
        <v>1</v>
      </c>
      <c r="BC85" s="114">
        <v>1</v>
      </c>
      <c r="BD85" s="114">
        <v>0</v>
      </c>
      <c r="BE85" s="114">
        <v>0</v>
      </c>
      <c r="BF85" s="114">
        <v>0</v>
      </c>
      <c r="BG85" s="114">
        <v>0</v>
      </c>
      <c r="BH85" s="114">
        <v>0</v>
      </c>
      <c r="BI85" s="114">
        <v>0</v>
      </c>
      <c r="BJ85" s="114">
        <v>0</v>
      </c>
      <c r="BK85" s="114">
        <v>0</v>
      </c>
      <c r="BL85" s="114">
        <v>0</v>
      </c>
      <c r="BM85" s="114">
        <v>1</v>
      </c>
      <c r="BN85" s="114">
        <v>1</v>
      </c>
      <c r="BO85" s="114">
        <v>1</v>
      </c>
      <c r="BP85" s="114">
        <v>0</v>
      </c>
      <c r="BQ85" s="114">
        <v>0</v>
      </c>
      <c r="BR85" s="114">
        <v>0</v>
      </c>
      <c r="BS85" s="114">
        <v>0</v>
      </c>
      <c r="BT85" s="114">
        <v>0</v>
      </c>
      <c r="BU85" s="114">
        <v>0</v>
      </c>
      <c r="BV85" s="114">
        <v>1</v>
      </c>
      <c r="BW85" s="114">
        <v>0</v>
      </c>
      <c r="BX85" s="114">
        <v>0</v>
      </c>
      <c r="BY85" s="114">
        <v>1</v>
      </c>
      <c r="BZ85" s="114">
        <v>0</v>
      </c>
      <c r="CA85" s="114">
        <v>1</v>
      </c>
      <c r="CB85" s="114">
        <v>1</v>
      </c>
      <c r="CC85" s="114">
        <v>0</v>
      </c>
      <c r="CD85" s="114">
        <v>0</v>
      </c>
      <c r="CE85" s="114">
        <v>1</v>
      </c>
      <c r="CF85" s="114">
        <v>0</v>
      </c>
      <c r="CG85" s="114">
        <v>0</v>
      </c>
      <c r="CH85" s="114">
        <v>0</v>
      </c>
      <c r="CI85" s="114">
        <v>0</v>
      </c>
      <c r="CJ85" s="114">
        <v>1</v>
      </c>
      <c r="CK85" s="114">
        <v>1</v>
      </c>
      <c r="CL85" s="114">
        <v>0</v>
      </c>
      <c r="CM85" s="114">
        <v>0</v>
      </c>
      <c r="CN85" s="114">
        <v>0</v>
      </c>
      <c r="CO85" s="114">
        <v>0</v>
      </c>
      <c r="CP85" s="114">
        <v>0</v>
      </c>
      <c r="CQ85" s="114">
        <v>0</v>
      </c>
      <c r="CR85" s="114">
        <v>0</v>
      </c>
      <c r="CS85" s="114">
        <v>0</v>
      </c>
      <c r="CT85" s="114">
        <v>0</v>
      </c>
      <c r="CU85" s="114">
        <v>0</v>
      </c>
      <c r="CV85" s="114">
        <v>0</v>
      </c>
    </row>
    <row r="86" spans="1:100" x14ac:dyDescent="0.15">
      <c r="A86" s="193" t="s">
        <v>276</v>
      </c>
      <c r="B86" s="114">
        <v>0</v>
      </c>
      <c r="C86" s="114">
        <v>0</v>
      </c>
      <c r="D86" s="114">
        <v>0</v>
      </c>
      <c r="E86" s="114">
        <v>0</v>
      </c>
      <c r="F86" s="114">
        <v>1</v>
      </c>
      <c r="G86" s="114">
        <v>1</v>
      </c>
      <c r="H86" s="114">
        <v>0</v>
      </c>
      <c r="I86" s="114">
        <v>1</v>
      </c>
      <c r="J86" s="114">
        <v>0</v>
      </c>
      <c r="K86" s="114">
        <v>0</v>
      </c>
      <c r="L86" s="114">
        <v>0</v>
      </c>
      <c r="M86" s="114">
        <v>0</v>
      </c>
      <c r="N86" s="114">
        <v>1</v>
      </c>
      <c r="O86" s="114">
        <v>1</v>
      </c>
      <c r="P86" s="114">
        <v>0</v>
      </c>
      <c r="Q86" s="114">
        <v>1</v>
      </c>
      <c r="R86" s="114">
        <v>1</v>
      </c>
      <c r="S86" s="114">
        <v>1</v>
      </c>
      <c r="T86" s="114">
        <v>0</v>
      </c>
      <c r="U86" s="114">
        <v>1</v>
      </c>
      <c r="V86" s="114">
        <v>0</v>
      </c>
      <c r="W86" s="114">
        <v>0</v>
      </c>
      <c r="X86" s="114">
        <v>0</v>
      </c>
      <c r="Y86" s="114">
        <v>0</v>
      </c>
      <c r="Z86" s="114">
        <v>1</v>
      </c>
      <c r="AA86" s="114">
        <v>0</v>
      </c>
      <c r="AB86" s="114">
        <v>0</v>
      </c>
      <c r="AC86" s="114">
        <v>0</v>
      </c>
      <c r="AD86" s="114">
        <v>0</v>
      </c>
      <c r="AE86" s="114">
        <v>0</v>
      </c>
      <c r="AF86" s="114">
        <v>0</v>
      </c>
      <c r="AG86" s="114">
        <v>1</v>
      </c>
      <c r="AH86" s="114">
        <v>1</v>
      </c>
      <c r="AI86" s="114">
        <v>1</v>
      </c>
      <c r="AJ86" s="114">
        <v>0</v>
      </c>
      <c r="AK86" s="114">
        <v>0</v>
      </c>
      <c r="AL86" s="114">
        <v>0</v>
      </c>
      <c r="AM86" s="114">
        <v>0</v>
      </c>
      <c r="AN86" s="114">
        <v>0</v>
      </c>
      <c r="AO86" s="114">
        <v>0</v>
      </c>
      <c r="AP86" s="114">
        <v>0</v>
      </c>
      <c r="AQ86" s="114">
        <v>1</v>
      </c>
      <c r="AR86" s="114">
        <v>1</v>
      </c>
      <c r="AS86" s="114">
        <v>1</v>
      </c>
      <c r="AT86" s="114">
        <v>1</v>
      </c>
      <c r="AU86" s="114">
        <v>1</v>
      </c>
      <c r="AV86" s="114">
        <v>1</v>
      </c>
      <c r="AW86" s="114">
        <v>0</v>
      </c>
      <c r="AX86" s="114">
        <v>0</v>
      </c>
      <c r="AY86" s="114">
        <v>1</v>
      </c>
      <c r="AZ86" s="114">
        <v>1</v>
      </c>
      <c r="BA86" s="114">
        <v>1</v>
      </c>
      <c r="BB86" s="114">
        <v>0</v>
      </c>
      <c r="BC86" s="114">
        <v>1</v>
      </c>
      <c r="BD86" s="114">
        <v>1</v>
      </c>
      <c r="BE86" s="114">
        <v>0</v>
      </c>
      <c r="BF86" s="114">
        <v>0</v>
      </c>
      <c r="BG86" s="114">
        <v>1</v>
      </c>
      <c r="BH86" s="114">
        <v>1</v>
      </c>
      <c r="BI86" s="114">
        <v>0</v>
      </c>
      <c r="BJ86" s="114">
        <v>0</v>
      </c>
      <c r="BK86" s="114">
        <v>0</v>
      </c>
      <c r="BL86" s="114">
        <v>0</v>
      </c>
      <c r="BM86" s="114">
        <v>1</v>
      </c>
      <c r="BN86" s="114">
        <v>1</v>
      </c>
      <c r="BO86" s="114">
        <v>1</v>
      </c>
      <c r="BP86" s="114">
        <v>0</v>
      </c>
      <c r="BQ86" s="114">
        <v>0</v>
      </c>
      <c r="BR86" s="114">
        <v>0</v>
      </c>
      <c r="BS86" s="114">
        <v>0</v>
      </c>
      <c r="BT86" s="114">
        <v>0</v>
      </c>
      <c r="BU86" s="114">
        <v>0</v>
      </c>
      <c r="BV86" s="114">
        <v>1</v>
      </c>
      <c r="BW86" s="114">
        <v>1</v>
      </c>
      <c r="BX86" s="114">
        <v>0</v>
      </c>
      <c r="BY86" s="114">
        <v>1</v>
      </c>
      <c r="BZ86" s="114">
        <v>0</v>
      </c>
      <c r="CA86" s="114">
        <v>1</v>
      </c>
      <c r="CB86" s="114">
        <v>0</v>
      </c>
      <c r="CC86" s="114">
        <v>0</v>
      </c>
      <c r="CD86" s="114">
        <v>0</v>
      </c>
      <c r="CE86" s="114">
        <v>0</v>
      </c>
      <c r="CF86" s="114">
        <v>0</v>
      </c>
      <c r="CG86" s="114">
        <v>0</v>
      </c>
      <c r="CH86" s="114">
        <v>0</v>
      </c>
      <c r="CI86" s="114">
        <v>0</v>
      </c>
      <c r="CJ86" s="114">
        <v>1</v>
      </c>
      <c r="CK86" s="114">
        <v>0</v>
      </c>
      <c r="CL86" s="114">
        <v>0</v>
      </c>
      <c r="CM86" s="114">
        <v>0</v>
      </c>
      <c r="CN86" s="114">
        <v>0</v>
      </c>
      <c r="CO86" s="114">
        <v>0</v>
      </c>
      <c r="CP86" s="114">
        <v>0</v>
      </c>
      <c r="CQ86" s="114">
        <v>0</v>
      </c>
      <c r="CR86" s="114">
        <v>0</v>
      </c>
      <c r="CS86" s="114">
        <v>0</v>
      </c>
      <c r="CT86" s="114">
        <v>0</v>
      </c>
      <c r="CU86" s="114">
        <v>0</v>
      </c>
      <c r="CV86" s="114">
        <v>0</v>
      </c>
    </row>
    <row r="87" spans="1:100" x14ac:dyDescent="0.15">
      <c r="A87" s="193" t="s">
        <v>277</v>
      </c>
      <c r="B87" s="114">
        <v>0</v>
      </c>
      <c r="C87" s="114">
        <v>0</v>
      </c>
      <c r="D87" s="114">
        <v>1</v>
      </c>
      <c r="E87" s="114">
        <v>0</v>
      </c>
      <c r="F87" s="114">
        <v>1</v>
      </c>
      <c r="G87" s="114">
        <v>1</v>
      </c>
      <c r="H87" s="114">
        <v>0</v>
      </c>
      <c r="I87" s="114">
        <v>1</v>
      </c>
      <c r="J87" s="114">
        <v>0</v>
      </c>
      <c r="K87" s="114">
        <v>1</v>
      </c>
      <c r="L87" s="114">
        <v>1</v>
      </c>
      <c r="M87" s="114">
        <v>1</v>
      </c>
      <c r="N87" s="114">
        <v>1</v>
      </c>
      <c r="O87" s="114">
        <v>1</v>
      </c>
      <c r="P87" s="114">
        <v>0</v>
      </c>
      <c r="Q87" s="114">
        <v>1</v>
      </c>
      <c r="R87" s="114">
        <v>1</v>
      </c>
      <c r="S87" s="114">
        <v>1</v>
      </c>
      <c r="T87" s="114">
        <v>1</v>
      </c>
      <c r="U87" s="114">
        <v>1</v>
      </c>
      <c r="V87" s="114">
        <v>0</v>
      </c>
      <c r="W87" s="114">
        <v>1</v>
      </c>
      <c r="X87" s="114">
        <v>1</v>
      </c>
      <c r="Y87" s="114">
        <v>0</v>
      </c>
      <c r="Z87" s="114">
        <v>1</v>
      </c>
      <c r="AA87" s="114">
        <v>1</v>
      </c>
      <c r="AB87" s="114">
        <v>1</v>
      </c>
      <c r="AC87" s="114">
        <v>1</v>
      </c>
      <c r="AD87" s="114">
        <v>0</v>
      </c>
      <c r="AE87" s="114">
        <v>0</v>
      </c>
      <c r="AF87" s="114">
        <v>1</v>
      </c>
      <c r="AG87" s="114">
        <v>1</v>
      </c>
      <c r="AH87" s="114">
        <v>1</v>
      </c>
      <c r="AI87" s="114">
        <v>1</v>
      </c>
      <c r="AJ87" s="114">
        <v>1</v>
      </c>
      <c r="AK87" s="114">
        <v>1</v>
      </c>
      <c r="AL87" s="114">
        <v>1</v>
      </c>
      <c r="AM87" s="114">
        <v>1</v>
      </c>
      <c r="AN87" s="114">
        <v>1</v>
      </c>
      <c r="AO87" s="114">
        <v>1</v>
      </c>
      <c r="AP87" s="114">
        <v>1</v>
      </c>
      <c r="AQ87" s="114">
        <v>1</v>
      </c>
      <c r="AR87" s="114">
        <v>1</v>
      </c>
      <c r="AS87" s="114">
        <v>1</v>
      </c>
      <c r="AT87" s="114">
        <v>1</v>
      </c>
      <c r="AU87" s="114">
        <v>1</v>
      </c>
      <c r="AV87" s="114">
        <v>1</v>
      </c>
      <c r="AW87" s="114">
        <v>1</v>
      </c>
      <c r="AX87" s="114">
        <v>1</v>
      </c>
      <c r="AY87" s="114">
        <v>1</v>
      </c>
      <c r="AZ87" s="114">
        <v>1</v>
      </c>
      <c r="BA87" s="114">
        <v>1</v>
      </c>
      <c r="BB87" s="114">
        <v>1</v>
      </c>
      <c r="BC87" s="114">
        <v>1</v>
      </c>
      <c r="BD87" s="114">
        <v>1</v>
      </c>
      <c r="BE87" s="114">
        <v>0</v>
      </c>
      <c r="BF87" s="114">
        <v>0</v>
      </c>
      <c r="BG87" s="114">
        <v>1</v>
      </c>
      <c r="BH87" s="114">
        <v>1</v>
      </c>
      <c r="BI87" s="114">
        <v>1</v>
      </c>
      <c r="BJ87" s="114">
        <v>1</v>
      </c>
      <c r="BK87" s="114">
        <v>1</v>
      </c>
      <c r="BL87" s="114">
        <v>1</v>
      </c>
      <c r="BM87" s="114">
        <v>1</v>
      </c>
      <c r="BN87" s="114">
        <v>1</v>
      </c>
      <c r="BO87" s="114">
        <v>1</v>
      </c>
      <c r="BP87" s="114">
        <v>0</v>
      </c>
      <c r="BQ87" s="114">
        <v>0</v>
      </c>
      <c r="BR87" s="114">
        <v>0</v>
      </c>
      <c r="BS87" s="114">
        <v>0</v>
      </c>
      <c r="BT87" s="114">
        <v>0</v>
      </c>
      <c r="BU87" s="114">
        <v>1</v>
      </c>
      <c r="BV87" s="114">
        <v>1</v>
      </c>
      <c r="BW87" s="114">
        <v>1</v>
      </c>
      <c r="BX87" s="114">
        <v>0</v>
      </c>
      <c r="BY87" s="114">
        <v>1</v>
      </c>
      <c r="BZ87" s="114">
        <v>0</v>
      </c>
      <c r="CA87" s="114">
        <v>1</v>
      </c>
      <c r="CB87" s="114">
        <v>1</v>
      </c>
      <c r="CC87" s="114">
        <v>1</v>
      </c>
      <c r="CD87" s="114">
        <v>0</v>
      </c>
      <c r="CE87" s="114">
        <v>1</v>
      </c>
      <c r="CF87" s="114">
        <v>0</v>
      </c>
      <c r="CG87" s="114">
        <v>0</v>
      </c>
      <c r="CH87" s="114">
        <v>0</v>
      </c>
      <c r="CI87" s="114">
        <v>0</v>
      </c>
      <c r="CJ87" s="114">
        <v>1</v>
      </c>
      <c r="CK87" s="114">
        <v>1</v>
      </c>
      <c r="CL87" s="114">
        <v>0</v>
      </c>
      <c r="CM87" s="114">
        <v>0</v>
      </c>
      <c r="CN87" s="114">
        <v>0</v>
      </c>
      <c r="CO87" s="114">
        <v>0</v>
      </c>
      <c r="CP87" s="114">
        <v>0</v>
      </c>
      <c r="CQ87" s="114">
        <v>0</v>
      </c>
      <c r="CR87" s="114">
        <v>0</v>
      </c>
      <c r="CS87" s="114">
        <v>0</v>
      </c>
      <c r="CT87" s="114">
        <v>0</v>
      </c>
      <c r="CU87" s="114">
        <v>0</v>
      </c>
      <c r="CV87" s="114">
        <v>0</v>
      </c>
    </row>
    <row r="88" spans="1:100" x14ac:dyDescent="0.15">
      <c r="A88" s="193" t="s">
        <v>278</v>
      </c>
      <c r="B88" s="114">
        <v>0</v>
      </c>
      <c r="C88" s="114">
        <v>0</v>
      </c>
      <c r="D88" s="114">
        <v>1</v>
      </c>
      <c r="E88" s="114">
        <v>0</v>
      </c>
      <c r="F88" s="114">
        <v>1</v>
      </c>
      <c r="G88" s="114">
        <v>1</v>
      </c>
      <c r="H88" s="114">
        <v>0</v>
      </c>
      <c r="I88" s="114">
        <v>1</v>
      </c>
      <c r="J88" s="114">
        <v>0</v>
      </c>
      <c r="K88" s="114">
        <v>1</v>
      </c>
      <c r="L88" s="114">
        <v>1</v>
      </c>
      <c r="M88" s="114">
        <v>1</v>
      </c>
      <c r="N88" s="114">
        <v>1</v>
      </c>
      <c r="O88" s="114">
        <v>1</v>
      </c>
      <c r="P88" s="114">
        <v>0</v>
      </c>
      <c r="Q88" s="114">
        <v>1</v>
      </c>
      <c r="R88" s="114">
        <v>1</v>
      </c>
      <c r="S88" s="114">
        <v>1</v>
      </c>
      <c r="T88" s="114">
        <v>1</v>
      </c>
      <c r="U88" s="114">
        <v>1</v>
      </c>
      <c r="V88" s="114">
        <v>0</v>
      </c>
      <c r="W88" s="114">
        <v>1</v>
      </c>
      <c r="X88" s="114">
        <v>1</v>
      </c>
      <c r="Y88" s="114">
        <v>0</v>
      </c>
      <c r="Z88" s="114">
        <v>1</v>
      </c>
      <c r="AA88" s="114">
        <v>1</v>
      </c>
      <c r="AB88" s="114">
        <v>1</v>
      </c>
      <c r="AC88" s="114">
        <v>1</v>
      </c>
      <c r="AD88" s="114">
        <v>0</v>
      </c>
      <c r="AE88" s="114">
        <v>0</v>
      </c>
      <c r="AF88" s="114">
        <v>1</v>
      </c>
      <c r="AG88" s="114">
        <v>1</v>
      </c>
      <c r="AH88" s="114">
        <v>1</v>
      </c>
      <c r="AI88" s="114">
        <v>1</v>
      </c>
      <c r="AJ88" s="114">
        <v>1</v>
      </c>
      <c r="AK88" s="114">
        <v>1</v>
      </c>
      <c r="AL88" s="114">
        <v>1</v>
      </c>
      <c r="AM88" s="114">
        <v>1</v>
      </c>
      <c r="AN88" s="114">
        <v>1</v>
      </c>
      <c r="AO88" s="114">
        <v>1</v>
      </c>
      <c r="AP88" s="114">
        <v>1</v>
      </c>
      <c r="AQ88" s="114">
        <v>1</v>
      </c>
      <c r="AR88" s="114">
        <v>1</v>
      </c>
      <c r="AS88" s="114">
        <v>1</v>
      </c>
      <c r="AT88" s="114">
        <v>1</v>
      </c>
      <c r="AU88" s="114">
        <v>1</v>
      </c>
      <c r="AV88" s="114">
        <v>1</v>
      </c>
      <c r="AW88" s="114">
        <v>1</v>
      </c>
      <c r="AX88" s="114">
        <v>1</v>
      </c>
      <c r="AY88" s="114">
        <v>1</v>
      </c>
      <c r="AZ88" s="114">
        <v>1</v>
      </c>
      <c r="BA88" s="114">
        <v>0</v>
      </c>
      <c r="BB88" s="114">
        <v>1</v>
      </c>
      <c r="BC88" s="114">
        <v>1</v>
      </c>
      <c r="BD88" s="114">
        <v>1</v>
      </c>
      <c r="BE88" s="114">
        <v>0</v>
      </c>
      <c r="BF88" s="114">
        <v>0</v>
      </c>
      <c r="BG88" s="114">
        <v>1</v>
      </c>
      <c r="BH88" s="114">
        <v>1</v>
      </c>
      <c r="BI88" s="114">
        <v>1</v>
      </c>
      <c r="BJ88" s="114">
        <v>1</v>
      </c>
      <c r="BK88" s="114">
        <v>1</v>
      </c>
      <c r="BL88" s="114">
        <v>1</v>
      </c>
      <c r="BM88" s="114">
        <v>1</v>
      </c>
      <c r="BN88" s="114">
        <v>1</v>
      </c>
      <c r="BO88" s="114">
        <v>1</v>
      </c>
      <c r="BP88" s="114">
        <v>0</v>
      </c>
      <c r="BQ88" s="114">
        <v>0</v>
      </c>
      <c r="BR88" s="114">
        <v>0</v>
      </c>
      <c r="BS88" s="114">
        <v>0</v>
      </c>
      <c r="BT88" s="114">
        <v>0</v>
      </c>
      <c r="BU88" s="114">
        <v>1</v>
      </c>
      <c r="BV88" s="114">
        <v>1</v>
      </c>
      <c r="BW88" s="114">
        <v>1</v>
      </c>
      <c r="BX88" s="114">
        <v>0</v>
      </c>
      <c r="BY88" s="114">
        <v>1</v>
      </c>
      <c r="BZ88" s="114">
        <v>0</v>
      </c>
      <c r="CA88" s="114">
        <v>1</v>
      </c>
      <c r="CB88" s="114">
        <v>1</v>
      </c>
      <c r="CC88" s="114">
        <v>1</v>
      </c>
      <c r="CD88" s="114">
        <v>0</v>
      </c>
      <c r="CE88" s="114">
        <v>1</v>
      </c>
      <c r="CF88" s="114">
        <v>0</v>
      </c>
      <c r="CG88" s="114">
        <v>0</v>
      </c>
      <c r="CH88" s="114">
        <v>0</v>
      </c>
      <c r="CI88" s="114">
        <v>0</v>
      </c>
      <c r="CJ88" s="114">
        <v>1</v>
      </c>
      <c r="CK88" s="114">
        <v>1</v>
      </c>
      <c r="CL88" s="114">
        <v>0</v>
      </c>
      <c r="CM88" s="114">
        <v>0</v>
      </c>
      <c r="CN88" s="114">
        <v>0</v>
      </c>
      <c r="CO88" s="114">
        <v>0</v>
      </c>
      <c r="CP88" s="114">
        <v>0</v>
      </c>
      <c r="CQ88" s="114">
        <v>0</v>
      </c>
      <c r="CR88" s="114">
        <v>0</v>
      </c>
      <c r="CS88" s="114">
        <v>0</v>
      </c>
      <c r="CT88" s="114">
        <v>0</v>
      </c>
      <c r="CU88" s="114">
        <v>0</v>
      </c>
      <c r="CV88" s="114">
        <v>0</v>
      </c>
    </row>
    <row r="89" spans="1:100" x14ac:dyDescent="0.15">
      <c r="A89" s="193" t="s">
        <v>279</v>
      </c>
      <c r="B89" s="114">
        <v>0</v>
      </c>
      <c r="C89" s="114">
        <v>0</v>
      </c>
      <c r="D89" s="114">
        <v>0</v>
      </c>
      <c r="E89" s="114">
        <v>0</v>
      </c>
      <c r="F89" s="114">
        <v>1</v>
      </c>
      <c r="G89" s="114">
        <v>1</v>
      </c>
      <c r="H89" s="114">
        <v>0</v>
      </c>
      <c r="I89" s="114">
        <v>1</v>
      </c>
      <c r="J89" s="114">
        <v>0</v>
      </c>
      <c r="K89" s="114">
        <v>1</v>
      </c>
      <c r="L89" s="114">
        <v>1</v>
      </c>
      <c r="M89" s="114">
        <v>1</v>
      </c>
      <c r="N89" s="114">
        <v>1</v>
      </c>
      <c r="O89" s="114">
        <v>1</v>
      </c>
      <c r="P89" s="114">
        <v>1</v>
      </c>
      <c r="Q89" s="114">
        <v>1</v>
      </c>
      <c r="R89" s="114">
        <v>1</v>
      </c>
      <c r="S89" s="114">
        <v>1</v>
      </c>
      <c r="T89" s="114">
        <v>1</v>
      </c>
      <c r="U89" s="114">
        <v>1</v>
      </c>
      <c r="V89" s="114">
        <v>0</v>
      </c>
      <c r="W89" s="114">
        <v>1</v>
      </c>
      <c r="X89" s="114">
        <v>1</v>
      </c>
      <c r="Y89" s="114">
        <v>0</v>
      </c>
      <c r="Z89" s="114">
        <v>1</v>
      </c>
      <c r="AA89" s="114">
        <v>1</v>
      </c>
      <c r="AB89" s="114">
        <v>1</v>
      </c>
      <c r="AC89" s="114">
        <v>1</v>
      </c>
      <c r="AD89" s="114">
        <v>0</v>
      </c>
      <c r="AE89" s="114">
        <v>0</v>
      </c>
      <c r="AF89" s="114">
        <v>1</v>
      </c>
      <c r="AG89" s="114">
        <v>1</v>
      </c>
      <c r="AH89" s="114">
        <v>1</v>
      </c>
      <c r="AI89" s="114">
        <v>1</v>
      </c>
      <c r="AJ89" s="114">
        <v>1</v>
      </c>
      <c r="AK89" s="114">
        <v>1</v>
      </c>
      <c r="AL89" s="114">
        <v>1</v>
      </c>
      <c r="AM89" s="114">
        <v>1</v>
      </c>
      <c r="AN89" s="114">
        <v>1</v>
      </c>
      <c r="AO89" s="114">
        <v>1</v>
      </c>
      <c r="AP89" s="114">
        <v>1</v>
      </c>
      <c r="AQ89" s="114">
        <v>1</v>
      </c>
      <c r="AR89" s="114">
        <v>1</v>
      </c>
      <c r="AS89" s="114">
        <v>1</v>
      </c>
      <c r="AT89" s="114">
        <v>1</v>
      </c>
      <c r="AU89" s="114">
        <v>1</v>
      </c>
      <c r="AV89" s="114">
        <v>1</v>
      </c>
      <c r="AW89" s="114">
        <v>1</v>
      </c>
      <c r="AX89" s="114">
        <v>1</v>
      </c>
      <c r="AY89" s="114">
        <v>1</v>
      </c>
      <c r="AZ89" s="114">
        <v>1</v>
      </c>
      <c r="BA89" s="114">
        <v>1</v>
      </c>
      <c r="BB89" s="114">
        <v>1</v>
      </c>
      <c r="BC89" s="114">
        <v>1</v>
      </c>
      <c r="BD89" s="114">
        <v>1</v>
      </c>
      <c r="BE89" s="114">
        <v>0</v>
      </c>
      <c r="BF89" s="114">
        <v>0</v>
      </c>
      <c r="BG89" s="114">
        <v>1</v>
      </c>
      <c r="BH89" s="114">
        <v>1</v>
      </c>
      <c r="BI89" s="114">
        <v>1</v>
      </c>
      <c r="BJ89" s="114">
        <v>1</v>
      </c>
      <c r="BK89" s="114">
        <v>1</v>
      </c>
      <c r="BL89" s="114">
        <v>1</v>
      </c>
      <c r="BM89" s="114">
        <v>1</v>
      </c>
      <c r="BN89" s="114">
        <v>1</v>
      </c>
      <c r="BO89" s="114">
        <v>1</v>
      </c>
      <c r="BP89" s="114">
        <v>0</v>
      </c>
      <c r="BQ89" s="114">
        <v>0</v>
      </c>
      <c r="BR89" s="114">
        <v>0</v>
      </c>
      <c r="BS89" s="114">
        <v>0</v>
      </c>
      <c r="BT89" s="114">
        <v>0</v>
      </c>
      <c r="BU89" s="114">
        <v>0</v>
      </c>
      <c r="BV89" s="114">
        <v>1</v>
      </c>
      <c r="BW89" s="114">
        <v>1</v>
      </c>
      <c r="BX89" s="114">
        <v>0</v>
      </c>
      <c r="BY89" s="114">
        <v>1</v>
      </c>
      <c r="BZ89" s="114">
        <v>0</v>
      </c>
      <c r="CA89" s="114">
        <v>1</v>
      </c>
      <c r="CB89" s="114">
        <v>1</v>
      </c>
      <c r="CC89" s="114">
        <v>1</v>
      </c>
      <c r="CD89" s="114">
        <v>0</v>
      </c>
      <c r="CE89" s="114">
        <v>1</v>
      </c>
      <c r="CF89" s="114">
        <v>1</v>
      </c>
      <c r="CG89" s="114">
        <v>0</v>
      </c>
      <c r="CH89" s="114">
        <v>0</v>
      </c>
      <c r="CI89" s="114">
        <v>1</v>
      </c>
      <c r="CJ89" s="114">
        <v>1</v>
      </c>
      <c r="CK89" s="114">
        <v>1</v>
      </c>
      <c r="CL89" s="114">
        <v>0</v>
      </c>
      <c r="CM89" s="114">
        <v>0</v>
      </c>
      <c r="CN89" s="114">
        <v>0</v>
      </c>
      <c r="CO89" s="114">
        <v>0</v>
      </c>
      <c r="CP89" s="114">
        <v>0</v>
      </c>
      <c r="CQ89" s="114">
        <v>0</v>
      </c>
      <c r="CR89" s="114">
        <v>0</v>
      </c>
      <c r="CS89" s="114">
        <v>0</v>
      </c>
      <c r="CT89" s="114">
        <v>0</v>
      </c>
      <c r="CU89" s="114">
        <v>0</v>
      </c>
      <c r="CV89" s="114">
        <v>0</v>
      </c>
    </row>
    <row r="90" spans="1:100" x14ac:dyDescent="0.15">
      <c r="A90" s="193" t="s">
        <v>280</v>
      </c>
      <c r="B90" s="114">
        <v>0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1</v>
      </c>
      <c r="I90" s="114">
        <v>1</v>
      </c>
      <c r="J90" s="114">
        <v>0</v>
      </c>
      <c r="K90" s="114">
        <v>0</v>
      </c>
      <c r="L90" s="114">
        <v>0</v>
      </c>
      <c r="M90" s="114">
        <v>0</v>
      </c>
      <c r="N90" s="114">
        <v>1</v>
      </c>
      <c r="O90" s="114">
        <v>1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1</v>
      </c>
      <c r="V90" s="114">
        <v>0</v>
      </c>
      <c r="W90" s="114">
        <v>0</v>
      </c>
      <c r="X90" s="114">
        <v>0</v>
      </c>
      <c r="Y90" s="114">
        <v>0</v>
      </c>
      <c r="Z90" s="114">
        <v>1</v>
      </c>
      <c r="AA90" s="114">
        <v>0</v>
      </c>
      <c r="AB90" s="114">
        <v>0</v>
      </c>
      <c r="AC90" s="114">
        <v>0</v>
      </c>
      <c r="AD90" s="114">
        <v>1</v>
      </c>
      <c r="AE90" s="114">
        <v>1</v>
      </c>
      <c r="AF90" s="114">
        <v>0</v>
      </c>
      <c r="AG90" s="114">
        <v>0</v>
      </c>
      <c r="AH90" s="114">
        <v>1</v>
      </c>
      <c r="AI90" s="114">
        <v>1</v>
      </c>
      <c r="AJ90" s="114">
        <v>0</v>
      </c>
      <c r="AK90" s="114">
        <v>0</v>
      </c>
      <c r="AL90" s="114">
        <v>0</v>
      </c>
      <c r="AM90" s="114">
        <v>0</v>
      </c>
      <c r="AN90" s="114">
        <v>1</v>
      </c>
      <c r="AO90" s="114">
        <v>1</v>
      </c>
      <c r="AP90" s="114">
        <v>1</v>
      </c>
      <c r="AQ90" s="114">
        <v>1</v>
      </c>
      <c r="AR90" s="114">
        <v>1</v>
      </c>
      <c r="AS90" s="114">
        <v>1</v>
      </c>
      <c r="AT90" s="114">
        <v>1</v>
      </c>
      <c r="AU90" s="114">
        <v>1</v>
      </c>
      <c r="AV90" s="114">
        <v>1</v>
      </c>
      <c r="AW90" s="114">
        <v>0</v>
      </c>
      <c r="AX90" s="114">
        <v>0</v>
      </c>
      <c r="AY90" s="114">
        <v>0</v>
      </c>
      <c r="AZ90" s="114">
        <v>0</v>
      </c>
      <c r="BA90" s="114">
        <v>1</v>
      </c>
      <c r="BB90" s="114">
        <v>1</v>
      </c>
      <c r="BC90" s="114">
        <v>1</v>
      </c>
      <c r="BD90" s="114">
        <v>0</v>
      </c>
      <c r="BE90" s="114">
        <v>1</v>
      </c>
      <c r="BF90" s="114">
        <v>1</v>
      </c>
      <c r="BG90" s="114">
        <v>1</v>
      </c>
      <c r="BH90" s="114">
        <v>1</v>
      </c>
      <c r="BI90" s="114">
        <v>0</v>
      </c>
      <c r="BJ90" s="114">
        <v>0</v>
      </c>
      <c r="BK90" s="114">
        <v>0</v>
      </c>
      <c r="BL90" s="114">
        <v>0</v>
      </c>
      <c r="BM90" s="114">
        <v>1</v>
      </c>
      <c r="BN90" s="114">
        <v>1</v>
      </c>
      <c r="BO90" s="114">
        <v>0</v>
      </c>
      <c r="BP90" s="114">
        <v>0</v>
      </c>
      <c r="BQ90" s="114">
        <v>0</v>
      </c>
      <c r="BR90" s="114">
        <v>0</v>
      </c>
      <c r="BS90" s="114">
        <v>0</v>
      </c>
      <c r="BT90" s="114">
        <v>0</v>
      </c>
      <c r="BU90" s="114">
        <v>0</v>
      </c>
      <c r="BV90" s="114">
        <v>0</v>
      </c>
      <c r="BW90" s="114">
        <v>0</v>
      </c>
      <c r="BX90" s="114">
        <v>0</v>
      </c>
      <c r="BY90" s="114">
        <v>0</v>
      </c>
      <c r="BZ90" s="114">
        <v>0</v>
      </c>
      <c r="CA90" s="114">
        <v>0</v>
      </c>
      <c r="CB90" s="114">
        <v>0</v>
      </c>
      <c r="CC90" s="114">
        <v>0</v>
      </c>
      <c r="CD90" s="114">
        <v>0</v>
      </c>
      <c r="CE90" s="114">
        <v>0</v>
      </c>
      <c r="CF90" s="114">
        <v>0</v>
      </c>
      <c r="CG90" s="114">
        <v>0</v>
      </c>
      <c r="CH90" s="114">
        <v>0</v>
      </c>
      <c r="CI90" s="114">
        <v>0</v>
      </c>
      <c r="CJ90" s="114">
        <v>0</v>
      </c>
      <c r="CK90" s="114">
        <v>0</v>
      </c>
      <c r="CL90" s="114">
        <v>1</v>
      </c>
      <c r="CM90" s="114">
        <v>0</v>
      </c>
      <c r="CN90" s="114">
        <v>0</v>
      </c>
      <c r="CO90" s="114">
        <v>0</v>
      </c>
      <c r="CP90" s="114">
        <v>0</v>
      </c>
      <c r="CQ90" s="114">
        <v>0</v>
      </c>
      <c r="CR90" s="114">
        <v>0</v>
      </c>
      <c r="CS90" s="114">
        <v>0</v>
      </c>
      <c r="CT90" s="114">
        <v>0</v>
      </c>
      <c r="CU90" s="114">
        <v>0</v>
      </c>
      <c r="CV90" s="114">
        <v>0</v>
      </c>
    </row>
    <row r="91" spans="1:100" x14ac:dyDescent="0.15">
      <c r="A91" s="193" t="s">
        <v>281</v>
      </c>
      <c r="B91" s="114">
        <v>1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1</v>
      </c>
      <c r="I91" s="114">
        <v>0</v>
      </c>
      <c r="J91" s="114">
        <v>0</v>
      </c>
      <c r="K91" s="114">
        <v>1</v>
      </c>
      <c r="L91" s="114">
        <v>1</v>
      </c>
      <c r="M91" s="114">
        <v>1</v>
      </c>
      <c r="N91" s="114">
        <v>1</v>
      </c>
      <c r="O91" s="114">
        <v>1</v>
      </c>
      <c r="P91" s="114">
        <v>1</v>
      </c>
      <c r="Q91" s="114">
        <v>1</v>
      </c>
      <c r="R91" s="114">
        <v>1</v>
      </c>
      <c r="S91" s="114">
        <v>1</v>
      </c>
      <c r="T91" s="114">
        <v>1</v>
      </c>
      <c r="U91" s="114">
        <v>1</v>
      </c>
      <c r="V91" s="114">
        <v>1</v>
      </c>
      <c r="W91" s="114">
        <v>0</v>
      </c>
      <c r="X91" s="114">
        <v>0</v>
      </c>
      <c r="Y91" s="114">
        <v>0</v>
      </c>
      <c r="Z91" s="114">
        <v>1</v>
      </c>
      <c r="AA91" s="114">
        <v>1</v>
      </c>
      <c r="AB91" s="114">
        <v>0</v>
      </c>
      <c r="AC91" s="114">
        <v>0</v>
      </c>
      <c r="AD91" s="114">
        <v>1</v>
      </c>
      <c r="AE91" s="114">
        <v>1</v>
      </c>
      <c r="AF91" s="114">
        <v>1</v>
      </c>
      <c r="AG91" s="114">
        <v>0</v>
      </c>
      <c r="AH91" s="114">
        <v>1</v>
      </c>
      <c r="AI91" s="114">
        <v>1</v>
      </c>
      <c r="AJ91" s="114">
        <v>0</v>
      </c>
      <c r="AK91" s="114">
        <v>1</v>
      </c>
      <c r="AL91" s="114">
        <v>1</v>
      </c>
      <c r="AM91" s="114">
        <v>0</v>
      </c>
      <c r="AN91" s="114">
        <v>1</v>
      </c>
      <c r="AO91" s="114">
        <v>1</v>
      </c>
      <c r="AP91" s="114">
        <v>1</v>
      </c>
      <c r="AQ91" s="114">
        <v>1</v>
      </c>
      <c r="AR91" s="114">
        <v>1</v>
      </c>
      <c r="AS91" s="114">
        <v>1</v>
      </c>
      <c r="AT91" s="114">
        <v>1</v>
      </c>
      <c r="AU91" s="114">
        <v>1</v>
      </c>
      <c r="AV91" s="114">
        <v>1</v>
      </c>
      <c r="AW91" s="114">
        <v>0</v>
      </c>
      <c r="AX91" s="114">
        <v>1</v>
      </c>
      <c r="AY91" s="114">
        <v>0</v>
      </c>
      <c r="AZ91" s="114">
        <v>0</v>
      </c>
      <c r="BA91" s="114">
        <v>1</v>
      </c>
      <c r="BB91" s="114">
        <v>1</v>
      </c>
      <c r="BC91" s="114">
        <v>1</v>
      </c>
      <c r="BD91" s="114">
        <v>1</v>
      </c>
      <c r="BE91" s="114">
        <v>1</v>
      </c>
      <c r="BF91" s="114">
        <v>1</v>
      </c>
      <c r="BG91" s="114">
        <v>1</v>
      </c>
      <c r="BH91" s="114">
        <v>1</v>
      </c>
      <c r="BI91" s="114">
        <v>1</v>
      </c>
      <c r="BJ91" s="114">
        <v>1</v>
      </c>
      <c r="BK91" s="114">
        <v>0</v>
      </c>
      <c r="BL91" s="114">
        <v>0</v>
      </c>
      <c r="BM91" s="114">
        <v>1</v>
      </c>
      <c r="BN91" s="114">
        <v>1</v>
      </c>
      <c r="BO91" s="114">
        <v>0</v>
      </c>
      <c r="BP91" s="114">
        <v>1</v>
      </c>
      <c r="BQ91" s="114">
        <v>1</v>
      </c>
      <c r="BR91" s="114">
        <v>1</v>
      </c>
      <c r="BS91" s="114">
        <v>1</v>
      </c>
      <c r="BT91" s="114">
        <v>0</v>
      </c>
      <c r="BU91" s="114">
        <v>1</v>
      </c>
      <c r="BV91" s="114">
        <v>1</v>
      </c>
      <c r="BW91" s="114">
        <v>0</v>
      </c>
      <c r="BX91" s="114">
        <v>1</v>
      </c>
      <c r="BY91" s="114">
        <v>1</v>
      </c>
      <c r="BZ91" s="114">
        <v>0</v>
      </c>
      <c r="CA91" s="114">
        <v>0</v>
      </c>
      <c r="CB91" s="114">
        <v>0</v>
      </c>
      <c r="CC91" s="114">
        <v>0</v>
      </c>
      <c r="CD91" s="114">
        <v>0</v>
      </c>
      <c r="CE91" s="114">
        <v>0</v>
      </c>
      <c r="CF91" s="114">
        <v>0</v>
      </c>
      <c r="CG91" s="114">
        <v>0</v>
      </c>
      <c r="CH91" s="114">
        <v>1</v>
      </c>
      <c r="CI91" s="114">
        <v>0</v>
      </c>
      <c r="CJ91" s="114">
        <v>0</v>
      </c>
      <c r="CK91" s="114">
        <v>0</v>
      </c>
      <c r="CL91" s="114">
        <v>1</v>
      </c>
      <c r="CM91" s="114">
        <v>1</v>
      </c>
      <c r="CN91" s="114">
        <v>0</v>
      </c>
      <c r="CO91" s="114">
        <v>0</v>
      </c>
      <c r="CP91" s="114">
        <v>0</v>
      </c>
      <c r="CQ91" s="114">
        <v>0</v>
      </c>
      <c r="CR91" s="114">
        <v>0</v>
      </c>
      <c r="CS91" s="114">
        <v>0</v>
      </c>
      <c r="CT91" s="114">
        <v>0</v>
      </c>
      <c r="CU91" s="114">
        <v>0</v>
      </c>
      <c r="CV91" s="114">
        <v>0</v>
      </c>
    </row>
    <row r="92" spans="1:100" x14ac:dyDescent="0.15">
      <c r="A92" s="193" t="s">
        <v>282</v>
      </c>
      <c r="B92" s="114">
        <v>1</v>
      </c>
      <c r="C92" s="114">
        <v>0</v>
      </c>
      <c r="D92" s="114">
        <v>0</v>
      </c>
      <c r="E92" s="114">
        <v>0</v>
      </c>
      <c r="F92" s="114">
        <v>0</v>
      </c>
      <c r="G92" s="114">
        <v>0</v>
      </c>
      <c r="H92" s="114">
        <v>1</v>
      </c>
      <c r="I92" s="114">
        <v>0</v>
      </c>
      <c r="J92" s="114">
        <v>0</v>
      </c>
      <c r="K92" s="114">
        <v>0</v>
      </c>
      <c r="L92" s="114">
        <v>0</v>
      </c>
      <c r="M92" s="114">
        <v>0</v>
      </c>
      <c r="N92" s="114">
        <v>1</v>
      </c>
      <c r="O92" s="114">
        <v>1</v>
      </c>
      <c r="P92" s="114">
        <v>0</v>
      </c>
      <c r="Q92" s="114">
        <v>0</v>
      </c>
      <c r="R92" s="114">
        <v>1</v>
      </c>
      <c r="S92" s="114">
        <v>1</v>
      </c>
      <c r="T92" s="114">
        <v>1</v>
      </c>
      <c r="U92" s="114">
        <v>1</v>
      </c>
      <c r="V92" s="114">
        <v>1</v>
      </c>
      <c r="W92" s="114">
        <v>0</v>
      </c>
      <c r="X92" s="114">
        <v>0</v>
      </c>
      <c r="Y92" s="114">
        <v>0</v>
      </c>
      <c r="Z92" s="114">
        <v>1</v>
      </c>
      <c r="AA92" s="114">
        <v>1</v>
      </c>
      <c r="AB92" s="114">
        <v>0</v>
      </c>
      <c r="AC92" s="114">
        <v>0</v>
      </c>
      <c r="AD92" s="114">
        <v>1</v>
      </c>
      <c r="AE92" s="114">
        <v>1</v>
      </c>
      <c r="AF92" s="114">
        <v>0</v>
      </c>
      <c r="AG92" s="114">
        <v>0</v>
      </c>
      <c r="AH92" s="114">
        <v>1</v>
      </c>
      <c r="AI92" s="114">
        <v>1</v>
      </c>
      <c r="AJ92" s="114">
        <v>0</v>
      </c>
      <c r="AK92" s="114">
        <v>1</v>
      </c>
      <c r="AL92" s="114">
        <v>0</v>
      </c>
      <c r="AM92" s="114">
        <v>0</v>
      </c>
      <c r="AN92" s="114">
        <v>1</v>
      </c>
      <c r="AO92" s="114">
        <v>1</v>
      </c>
      <c r="AP92" s="114">
        <v>1</v>
      </c>
      <c r="AQ92" s="114">
        <v>1</v>
      </c>
      <c r="AR92" s="114">
        <v>1</v>
      </c>
      <c r="AS92" s="114">
        <v>1</v>
      </c>
      <c r="AT92" s="114">
        <v>1</v>
      </c>
      <c r="AU92" s="114">
        <v>1</v>
      </c>
      <c r="AV92" s="114">
        <v>1</v>
      </c>
      <c r="AW92" s="114">
        <v>0</v>
      </c>
      <c r="AX92" s="114">
        <v>1</v>
      </c>
      <c r="AY92" s="114">
        <v>0</v>
      </c>
      <c r="AZ92" s="114">
        <v>0</v>
      </c>
      <c r="BA92" s="114">
        <v>1</v>
      </c>
      <c r="BB92" s="114">
        <v>1</v>
      </c>
      <c r="BC92" s="114">
        <v>1</v>
      </c>
      <c r="BD92" s="114">
        <v>1</v>
      </c>
      <c r="BE92" s="114">
        <v>1</v>
      </c>
      <c r="BF92" s="114">
        <v>1</v>
      </c>
      <c r="BG92" s="114">
        <v>0</v>
      </c>
      <c r="BH92" s="114">
        <v>1</v>
      </c>
      <c r="BI92" s="114">
        <v>1</v>
      </c>
      <c r="BJ92" s="114">
        <v>1</v>
      </c>
      <c r="BK92" s="114">
        <v>0</v>
      </c>
      <c r="BL92" s="114">
        <v>0</v>
      </c>
      <c r="BM92" s="114">
        <v>1</v>
      </c>
      <c r="BN92" s="114">
        <v>1</v>
      </c>
      <c r="BO92" s="114">
        <v>0</v>
      </c>
      <c r="BP92" s="114">
        <v>1</v>
      </c>
      <c r="BQ92" s="114">
        <v>1</v>
      </c>
      <c r="BR92" s="114">
        <v>1</v>
      </c>
      <c r="BS92" s="114">
        <v>1</v>
      </c>
      <c r="BT92" s="114">
        <v>0</v>
      </c>
      <c r="BU92" s="114">
        <v>1</v>
      </c>
      <c r="BV92" s="114">
        <v>0</v>
      </c>
      <c r="BW92" s="114">
        <v>0</v>
      </c>
      <c r="BX92" s="114">
        <v>1</v>
      </c>
      <c r="BY92" s="114">
        <v>0</v>
      </c>
      <c r="BZ92" s="114">
        <v>0</v>
      </c>
      <c r="CA92" s="114">
        <v>0</v>
      </c>
      <c r="CB92" s="114">
        <v>0</v>
      </c>
      <c r="CC92" s="114">
        <v>0</v>
      </c>
      <c r="CD92" s="114">
        <v>0</v>
      </c>
      <c r="CE92" s="114">
        <v>0</v>
      </c>
      <c r="CF92" s="114">
        <v>0</v>
      </c>
      <c r="CG92" s="114">
        <v>0</v>
      </c>
      <c r="CH92" s="114">
        <v>1</v>
      </c>
      <c r="CI92" s="114">
        <v>0</v>
      </c>
      <c r="CJ92" s="114">
        <v>0</v>
      </c>
      <c r="CK92" s="114">
        <v>0</v>
      </c>
      <c r="CL92" s="114">
        <v>1</v>
      </c>
      <c r="CM92" s="114">
        <v>1</v>
      </c>
      <c r="CN92" s="114">
        <v>0</v>
      </c>
      <c r="CO92" s="114">
        <v>0</v>
      </c>
      <c r="CP92" s="114">
        <v>0</v>
      </c>
      <c r="CQ92" s="114">
        <v>0</v>
      </c>
      <c r="CR92" s="114">
        <v>0</v>
      </c>
      <c r="CS92" s="114">
        <v>0</v>
      </c>
      <c r="CT92" s="114">
        <v>0</v>
      </c>
      <c r="CU92" s="114">
        <v>0</v>
      </c>
      <c r="CV92" s="114">
        <v>0</v>
      </c>
    </row>
    <row r="93" spans="1:100" x14ac:dyDescent="0.15">
      <c r="A93" s="193" t="s">
        <v>283</v>
      </c>
      <c r="B93" s="114">
        <v>1</v>
      </c>
      <c r="C93" s="114">
        <v>0</v>
      </c>
      <c r="D93" s="114">
        <v>0</v>
      </c>
      <c r="E93" s="114">
        <v>0</v>
      </c>
      <c r="F93" s="114">
        <v>0</v>
      </c>
      <c r="G93" s="114">
        <v>0</v>
      </c>
      <c r="H93" s="114">
        <v>0</v>
      </c>
      <c r="I93" s="114">
        <v>0</v>
      </c>
      <c r="J93" s="114">
        <v>0</v>
      </c>
      <c r="K93" s="114">
        <v>0</v>
      </c>
      <c r="L93" s="114">
        <v>0</v>
      </c>
      <c r="M93" s="114">
        <v>0</v>
      </c>
      <c r="N93" s="114">
        <v>1</v>
      </c>
      <c r="O93" s="114">
        <v>1</v>
      </c>
      <c r="P93" s="114">
        <v>0</v>
      </c>
      <c r="Q93" s="114">
        <v>0</v>
      </c>
      <c r="R93" s="114">
        <v>0</v>
      </c>
      <c r="S93" s="114">
        <v>1</v>
      </c>
      <c r="T93" s="114">
        <v>1</v>
      </c>
      <c r="U93" s="114">
        <v>1</v>
      </c>
      <c r="V93" s="114">
        <v>0</v>
      </c>
      <c r="W93" s="114">
        <v>0</v>
      </c>
      <c r="X93" s="114">
        <v>0</v>
      </c>
      <c r="Y93" s="114">
        <v>0</v>
      </c>
      <c r="Z93" s="114">
        <v>1</v>
      </c>
      <c r="AA93" s="114">
        <v>1</v>
      </c>
      <c r="AB93" s="114">
        <v>0</v>
      </c>
      <c r="AC93" s="114">
        <v>0</v>
      </c>
      <c r="AD93" s="114">
        <v>1</v>
      </c>
      <c r="AE93" s="114">
        <v>1</v>
      </c>
      <c r="AF93" s="114">
        <v>0</v>
      </c>
      <c r="AG93" s="114">
        <v>0</v>
      </c>
      <c r="AH93" s="114">
        <v>1</v>
      </c>
      <c r="AI93" s="114">
        <v>1</v>
      </c>
      <c r="AJ93" s="114">
        <v>0</v>
      </c>
      <c r="AK93" s="114">
        <v>1</v>
      </c>
      <c r="AL93" s="114">
        <v>0</v>
      </c>
      <c r="AM93" s="114">
        <v>0</v>
      </c>
      <c r="AN93" s="114">
        <v>1</v>
      </c>
      <c r="AO93" s="114">
        <v>1</v>
      </c>
      <c r="AP93" s="114">
        <v>1</v>
      </c>
      <c r="AQ93" s="114">
        <v>1</v>
      </c>
      <c r="AR93" s="114">
        <v>1</v>
      </c>
      <c r="AS93" s="114">
        <v>1</v>
      </c>
      <c r="AT93" s="114">
        <v>1</v>
      </c>
      <c r="AU93" s="114">
        <v>1</v>
      </c>
      <c r="AV93" s="114">
        <v>1</v>
      </c>
      <c r="AW93" s="114">
        <v>0</v>
      </c>
      <c r="AX93" s="114">
        <v>1</v>
      </c>
      <c r="AY93" s="114">
        <v>0</v>
      </c>
      <c r="AZ93" s="114">
        <v>0</v>
      </c>
      <c r="BA93" s="114">
        <v>1</v>
      </c>
      <c r="BB93" s="114">
        <v>1</v>
      </c>
      <c r="BC93" s="114">
        <v>1</v>
      </c>
      <c r="BD93" s="114">
        <v>1</v>
      </c>
      <c r="BE93" s="114">
        <v>1</v>
      </c>
      <c r="BF93" s="114">
        <v>1</v>
      </c>
      <c r="BG93" s="114">
        <v>0</v>
      </c>
      <c r="BH93" s="114">
        <v>1</v>
      </c>
      <c r="BI93" s="114">
        <v>1</v>
      </c>
      <c r="BJ93" s="114">
        <v>1</v>
      </c>
      <c r="BK93" s="114">
        <v>0</v>
      </c>
      <c r="BL93" s="114">
        <v>0</v>
      </c>
      <c r="BM93" s="114">
        <v>1</v>
      </c>
      <c r="BN93" s="114">
        <v>1</v>
      </c>
      <c r="BO93" s="114">
        <v>0</v>
      </c>
      <c r="BP93" s="114">
        <v>1</v>
      </c>
      <c r="BQ93" s="114">
        <v>1</v>
      </c>
      <c r="BR93" s="114">
        <v>1</v>
      </c>
      <c r="BS93" s="114">
        <v>1</v>
      </c>
      <c r="BT93" s="114">
        <v>0</v>
      </c>
      <c r="BU93" s="114">
        <v>1</v>
      </c>
      <c r="BV93" s="114">
        <v>0</v>
      </c>
      <c r="BW93" s="114">
        <v>0</v>
      </c>
      <c r="BX93" s="114">
        <v>0</v>
      </c>
      <c r="BY93" s="114">
        <v>0</v>
      </c>
      <c r="BZ93" s="114">
        <v>0</v>
      </c>
      <c r="CA93" s="114">
        <v>0</v>
      </c>
      <c r="CB93" s="114">
        <v>0</v>
      </c>
      <c r="CC93" s="114">
        <v>0</v>
      </c>
      <c r="CD93" s="114">
        <v>0</v>
      </c>
      <c r="CE93" s="114">
        <v>0</v>
      </c>
      <c r="CF93" s="114">
        <v>0</v>
      </c>
      <c r="CG93" s="114">
        <v>1</v>
      </c>
      <c r="CH93" s="114">
        <v>1</v>
      </c>
      <c r="CI93" s="114">
        <v>0</v>
      </c>
      <c r="CJ93" s="114">
        <v>0</v>
      </c>
      <c r="CK93" s="114">
        <v>0</v>
      </c>
      <c r="CL93" s="114">
        <v>1</v>
      </c>
      <c r="CM93" s="114">
        <v>1</v>
      </c>
      <c r="CN93" s="114">
        <v>0</v>
      </c>
      <c r="CO93" s="114">
        <v>0</v>
      </c>
      <c r="CP93" s="114">
        <v>0</v>
      </c>
      <c r="CQ93" s="114">
        <v>0</v>
      </c>
      <c r="CR93" s="114">
        <v>0</v>
      </c>
      <c r="CS93" s="114">
        <v>0</v>
      </c>
      <c r="CT93" s="114">
        <v>0</v>
      </c>
      <c r="CU93" s="114">
        <v>0</v>
      </c>
      <c r="CV93" s="114">
        <v>0</v>
      </c>
    </row>
    <row r="94" spans="1:100" x14ac:dyDescent="0.15">
      <c r="A94" s="193" t="s">
        <v>284</v>
      </c>
      <c r="B94" s="114">
        <v>0</v>
      </c>
      <c r="C94" s="114">
        <v>0</v>
      </c>
      <c r="D94" s="114">
        <v>0</v>
      </c>
      <c r="E94" s="114">
        <v>0</v>
      </c>
      <c r="F94" s="114">
        <v>0</v>
      </c>
      <c r="G94" s="114">
        <v>0</v>
      </c>
      <c r="H94" s="114">
        <v>0</v>
      </c>
      <c r="I94" s="114">
        <v>0</v>
      </c>
      <c r="J94" s="114">
        <v>0</v>
      </c>
      <c r="K94" s="114">
        <v>0</v>
      </c>
      <c r="L94" s="114">
        <v>0</v>
      </c>
      <c r="M94" s="114">
        <v>0</v>
      </c>
      <c r="N94" s="114">
        <v>0</v>
      </c>
      <c r="O94" s="114">
        <v>0</v>
      </c>
      <c r="P94" s="114">
        <v>0</v>
      </c>
      <c r="Q94" s="114">
        <v>0</v>
      </c>
      <c r="R94" s="114">
        <v>0</v>
      </c>
      <c r="S94" s="114">
        <v>0</v>
      </c>
      <c r="T94" s="114">
        <v>0</v>
      </c>
      <c r="U94" s="114">
        <v>0</v>
      </c>
      <c r="V94" s="114">
        <v>0</v>
      </c>
      <c r="W94" s="114">
        <v>0</v>
      </c>
      <c r="X94" s="114">
        <v>0</v>
      </c>
      <c r="Y94" s="114">
        <v>0</v>
      </c>
      <c r="Z94" s="114">
        <v>0</v>
      </c>
      <c r="AA94" s="114">
        <v>0</v>
      </c>
      <c r="AB94" s="114">
        <v>0</v>
      </c>
      <c r="AC94" s="114">
        <v>0</v>
      </c>
      <c r="AD94" s="114">
        <v>1</v>
      </c>
      <c r="AE94" s="114">
        <v>1</v>
      </c>
      <c r="AF94" s="114">
        <v>0</v>
      </c>
      <c r="AG94" s="114">
        <v>0</v>
      </c>
      <c r="AH94" s="114">
        <v>1</v>
      </c>
      <c r="AI94" s="114">
        <v>1</v>
      </c>
      <c r="AJ94" s="114">
        <v>0</v>
      </c>
      <c r="AK94" s="114">
        <v>0</v>
      </c>
      <c r="AL94" s="114">
        <v>0</v>
      </c>
      <c r="AM94" s="114">
        <v>0</v>
      </c>
      <c r="AN94" s="114">
        <v>1</v>
      </c>
      <c r="AO94" s="114">
        <v>0</v>
      </c>
      <c r="AP94" s="114">
        <v>1</v>
      </c>
      <c r="AQ94" s="114">
        <v>0</v>
      </c>
      <c r="AR94" s="114">
        <v>1</v>
      </c>
      <c r="AS94" s="114">
        <v>1</v>
      </c>
      <c r="AT94" s="114">
        <v>1</v>
      </c>
      <c r="AU94" s="114">
        <v>1</v>
      </c>
      <c r="AV94" s="114">
        <v>1</v>
      </c>
      <c r="AW94" s="114">
        <v>0</v>
      </c>
      <c r="AX94" s="114">
        <v>0</v>
      </c>
      <c r="AY94" s="114">
        <v>0</v>
      </c>
      <c r="AZ94" s="114">
        <v>0</v>
      </c>
      <c r="BA94" s="114">
        <v>1</v>
      </c>
      <c r="BB94" s="114">
        <v>1</v>
      </c>
      <c r="BC94" s="114">
        <v>0</v>
      </c>
      <c r="BD94" s="114">
        <v>1</v>
      </c>
      <c r="BE94" s="114">
        <v>1</v>
      </c>
      <c r="BF94" s="114">
        <v>1</v>
      </c>
      <c r="BG94" s="114">
        <v>0</v>
      </c>
      <c r="BH94" s="114">
        <v>0</v>
      </c>
      <c r="BI94" s="114">
        <v>1</v>
      </c>
      <c r="BJ94" s="114">
        <v>1</v>
      </c>
      <c r="BK94" s="114">
        <v>0</v>
      </c>
      <c r="BL94" s="114">
        <v>0</v>
      </c>
      <c r="BM94" s="114">
        <v>1</v>
      </c>
      <c r="BN94" s="114">
        <v>1</v>
      </c>
      <c r="BO94" s="114">
        <v>0</v>
      </c>
      <c r="BP94" s="114">
        <v>1</v>
      </c>
      <c r="BQ94" s="114">
        <v>1</v>
      </c>
      <c r="BR94" s="114">
        <v>1</v>
      </c>
      <c r="BS94" s="114">
        <v>1</v>
      </c>
      <c r="BT94" s="114">
        <v>0</v>
      </c>
      <c r="BU94" s="114">
        <v>1</v>
      </c>
      <c r="BV94" s="114">
        <v>0</v>
      </c>
      <c r="BW94" s="114">
        <v>0</v>
      </c>
      <c r="BX94" s="114">
        <v>0</v>
      </c>
      <c r="BY94" s="114">
        <v>0</v>
      </c>
      <c r="BZ94" s="114">
        <v>0</v>
      </c>
      <c r="CA94" s="114">
        <v>0</v>
      </c>
      <c r="CB94" s="114">
        <v>0</v>
      </c>
      <c r="CC94" s="114">
        <v>0</v>
      </c>
      <c r="CD94" s="114">
        <v>0</v>
      </c>
      <c r="CE94" s="114">
        <v>0</v>
      </c>
      <c r="CF94" s="114">
        <v>0</v>
      </c>
      <c r="CG94" s="114">
        <v>1</v>
      </c>
      <c r="CH94" s="114">
        <v>1</v>
      </c>
      <c r="CI94" s="114">
        <v>0</v>
      </c>
      <c r="CJ94" s="114">
        <v>0</v>
      </c>
      <c r="CK94" s="114">
        <v>0</v>
      </c>
      <c r="CL94" s="114">
        <v>1</v>
      </c>
      <c r="CM94" s="114">
        <v>0</v>
      </c>
      <c r="CN94" s="114">
        <v>1</v>
      </c>
      <c r="CO94" s="114">
        <v>1</v>
      </c>
      <c r="CP94" s="114">
        <v>0</v>
      </c>
      <c r="CQ94" s="114">
        <v>0</v>
      </c>
      <c r="CR94" s="114">
        <v>0</v>
      </c>
      <c r="CS94" s="114">
        <v>0</v>
      </c>
      <c r="CT94" s="114">
        <v>0</v>
      </c>
      <c r="CU94" s="114">
        <v>0</v>
      </c>
      <c r="CV94" s="114">
        <v>0</v>
      </c>
    </row>
    <row r="95" spans="1:100" x14ac:dyDescent="0.15">
      <c r="A95" s="193" t="s">
        <v>285</v>
      </c>
      <c r="B95" s="114">
        <v>0</v>
      </c>
      <c r="C95" s="114">
        <v>0</v>
      </c>
      <c r="D95" s="114">
        <v>0</v>
      </c>
      <c r="E95" s="114">
        <v>0</v>
      </c>
      <c r="F95" s="114">
        <v>0</v>
      </c>
      <c r="G95" s="114">
        <v>0</v>
      </c>
      <c r="H95" s="114">
        <v>1</v>
      </c>
      <c r="I95" s="114">
        <v>0</v>
      </c>
      <c r="J95" s="114">
        <v>0</v>
      </c>
      <c r="K95" s="114">
        <v>0</v>
      </c>
      <c r="L95" s="114">
        <v>0</v>
      </c>
      <c r="M95" s="114">
        <v>0</v>
      </c>
      <c r="N95" s="114">
        <v>0</v>
      </c>
      <c r="O95" s="114">
        <v>0</v>
      </c>
      <c r="P95" s="114">
        <v>0</v>
      </c>
      <c r="Q95" s="114">
        <v>0</v>
      </c>
      <c r="R95" s="114">
        <v>0</v>
      </c>
      <c r="S95" s="114">
        <v>0</v>
      </c>
      <c r="T95" s="114">
        <v>0</v>
      </c>
      <c r="U95" s="114">
        <v>1</v>
      </c>
      <c r="V95" s="114">
        <v>0</v>
      </c>
      <c r="W95" s="114">
        <v>0</v>
      </c>
      <c r="X95" s="114">
        <v>0</v>
      </c>
      <c r="Y95" s="114">
        <v>0</v>
      </c>
      <c r="Z95" s="114">
        <v>1</v>
      </c>
      <c r="AA95" s="114">
        <v>0</v>
      </c>
      <c r="AB95" s="114">
        <v>0</v>
      </c>
      <c r="AC95" s="114">
        <v>0</v>
      </c>
      <c r="AD95" s="114">
        <v>0</v>
      </c>
      <c r="AE95" s="114">
        <v>0</v>
      </c>
      <c r="AF95" s="114">
        <v>0</v>
      </c>
      <c r="AG95" s="114">
        <v>0</v>
      </c>
      <c r="AH95" s="114">
        <v>1</v>
      </c>
      <c r="AI95" s="114">
        <v>1</v>
      </c>
      <c r="AJ95" s="114">
        <v>0</v>
      </c>
      <c r="AK95" s="114">
        <v>1</v>
      </c>
      <c r="AL95" s="114">
        <v>0</v>
      </c>
      <c r="AM95" s="114">
        <v>0</v>
      </c>
      <c r="AN95" s="114">
        <v>0</v>
      </c>
      <c r="AO95" s="114">
        <v>0</v>
      </c>
      <c r="AP95" s="114">
        <v>0</v>
      </c>
      <c r="AQ95" s="114">
        <v>1</v>
      </c>
      <c r="AR95" s="114">
        <v>1</v>
      </c>
      <c r="AS95" s="114">
        <v>1</v>
      </c>
      <c r="AT95" s="114">
        <v>1</v>
      </c>
      <c r="AU95" s="114">
        <v>1</v>
      </c>
      <c r="AV95" s="114">
        <v>1</v>
      </c>
      <c r="AW95" s="114">
        <v>0</v>
      </c>
      <c r="AX95" s="114">
        <v>0</v>
      </c>
      <c r="AY95" s="114">
        <v>1</v>
      </c>
      <c r="AZ95" s="114">
        <v>1</v>
      </c>
      <c r="BA95" s="114">
        <v>1</v>
      </c>
      <c r="BB95" s="114">
        <v>0</v>
      </c>
      <c r="BC95" s="114">
        <v>1</v>
      </c>
      <c r="BD95" s="114">
        <v>1</v>
      </c>
      <c r="BE95" s="114">
        <v>0</v>
      </c>
      <c r="BF95" s="114">
        <v>0</v>
      </c>
      <c r="BG95" s="114">
        <v>0</v>
      </c>
      <c r="BH95" s="114">
        <v>1</v>
      </c>
      <c r="BI95" s="114">
        <v>1</v>
      </c>
      <c r="BJ95" s="114">
        <v>1</v>
      </c>
      <c r="BK95" s="114">
        <v>1</v>
      </c>
      <c r="BL95" s="114">
        <v>1</v>
      </c>
      <c r="BM95" s="114">
        <v>1</v>
      </c>
      <c r="BN95" s="114">
        <v>1</v>
      </c>
      <c r="BO95" s="114">
        <v>0</v>
      </c>
      <c r="BP95" s="114">
        <v>0</v>
      </c>
      <c r="BQ95" s="114">
        <v>0</v>
      </c>
      <c r="BR95" s="114">
        <v>0</v>
      </c>
      <c r="BS95" s="114">
        <v>0</v>
      </c>
      <c r="BT95" s="114">
        <v>0</v>
      </c>
      <c r="BU95" s="114">
        <v>0</v>
      </c>
      <c r="BV95" s="114">
        <v>1</v>
      </c>
      <c r="BW95" s="114">
        <v>1</v>
      </c>
      <c r="BX95" s="114">
        <v>0</v>
      </c>
      <c r="BY95" s="114">
        <v>0</v>
      </c>
      <c r="BZ95" s="114">
        <v>1</v>
      </c>
      <c r="CA95" s="114">
        <v>0</v>
      </c>
      <c r="CB95" s="114">
        <v>1</v>
      </c>
      <c r="CC95" s="114">
        <v>1</v>
      </c>
      <c r="CD95" s="114">
        <v>0</v>
      </c>
      <c r="CE95" s="114">
        <v>0</v>
      </c>
      <c r="CF95" s="114">
        <v>1</v>
      </c>
      <c r="CG95" s="114">
        <v>0</v>
      </c>
      <c r="CH95" s="114">
        <v>0</v>
      </c>
      <c r="CI95" s="114">
        <v>1</v>
      </c>
      <c r="CJ95" s="114">
        <v>0</v>
      </c>
      <c r="CK95" s="114">
        <v>1</v>
      </c>
      <c r="CL95" s="114">
        <v>0</v>
      </c>
      <c r="CM95" s="114">
        <v>0</v>
      </c>
      <c r="CN95" s="114">
        <v>0</v>
      </c>
      <c r="CO95" s="114">
        <v>0</v>
      </c>
      <c r="CP95" s="114">
        <v>0</v>
      </c>
      <c r="CQ95" s="114">
        <v>0</v>
      </c>
      <c r="CR95" s="114">
        <v>0</v>
      </c>
      <c r="CS95" s="114">
        <v>0</v>
      </c>
      <c r="CT95" s="114">
        <v>0</v>
      </c>
      <c r="CU95" s="114">
        <v>0</v>
      </c>
      <c r="CV95" s="114">
        <v>0</v>
      </c>
    </row>
    <row r="96" spans="1:100" x14ac:dyDescent="0.15">
      <c r="A96" s="193" t="s">
        <v>286</v>
      </c>
      <c r="B96" s="114">
        <v>0</v>
      </c>
      <c r="C96" s="114">
        <v>0</v>
      </c>
      <c r="D96" s="114">
        <v>0</v>
      </c>
      <c r="E96" s="114">
        <v>1</v>
      </c>
      <c r="F96" s="114">
        <v>0</v>
      </c>
      <c r="G96" s="114">
        <v>0</v>
      </c>
      <c r="H96" s="114">
        <v>1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1</v>
      </c>
      <c r="V96" s="114">
        <v>0</v>
      </c>
      <c r="W96" s="114">
        <v>0</v>
      </c>
      <c r="X96" s="114">
        <v>0</v>
      </c>
      <c r="Y96" s="114">
        <v>0</v>
      </c>
      <c r="Z96" s="114">
        <v>1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0</v>
      </c>
      <c r="AG96" s="114">
        <v>0</v>
      </c>
      <c r="AH96" s="114">
        <v>1</v>
      </c>
      <c r="AI96" s="114">
        <v>1</v>
      </c>
      <c r="AJ96" s="114">
        <v>0</v>
      </c>
      <c r="AK96" s="114">
        <v>1</v>
      </c>
      <c r="AL96" s="114">
        <v>0</v>
      </c>
      <c r="AM96" s="114">
        <v>0</v>
      </c>
      <c r="AN96" s="114">
        <v>0</v>
      </c>
      <c r="AO96" s="114">
        <v>0</v>
      </c>
      <c r="AP96" s="114">
        <v>0</v>
      </c>
      <c r="AQ96" s="114">
        <v>1</v>
      </c>
      <c r="AR96" s="114">
        <v>1</v>
      </c>
      <c r="AS96" s="114">
        <v>1</v>
      </c>
      <c r="AT96" s="114">
        <v>1</v>
      </c>
      <c r="AU96" s="114">
        <v>1</v>
      </c>
      <c r="AV96" s="114">
        <v>1</v>
      </c>
      <c r="AW96" s="114">
        <v>0</v>
      </c>
      <c r="AX96" s="114">
        <v>0</v>
      </c>
      <c r="AY96" s="114">
        <v>0</v>
      </c>
      <c r="AZ96" s="114">
        <v>0</v>
      </c>
      <c r="BA96" s="114">
        <v>1</v>
      </c>
      <c r="BB96" s="114">
        <v>0</v>
      </c>
      <c r="BC96" s="114">
        <v>1</v>
      </c>
      <c r="BD96" s="114">
        <v>1</v>
      </c>
      <c r="BE96" s="114">
        <v>0</v>
      </c>
      <c r="BF96" s="114">
        <v>0</v>
      </c>
      <c r="BG96" s="114">
        <v>0</v>
      </c>
      <c r="BH96" s="114">
        <v>0</v>
      </c>
      <c r="BI96" s="114">
        <v>1</v>
      </c>
      <c r="BJ96" s="114">
        <v>1</v>
      </c>
      <c r="BK96" s="114">
        <v>0</v>
      </c>
      <c r="BL96" s="114">
        <v>0</v>
      </c>
      <c r="BM96" s="114">
        <v>1</v>
      </c>
      <c r="BN96" s="114">
        <v>1</v>
      </c>
      <c r="BO96" s="114">
        <v>0</v>
      </c>
      <c r="BP96" s="114">
        <v>0</v>
      </c>
      <c r="BQ96" s="114">
        <v>0</v>
      </c>
      <c r="BR96" s="114">
        <v>0</v>
      </c>
      <c r="BS96" s="114">
        <v>0</v>
      </c>
      <c r="BT96" s="114">
        <v>0</v>
      </c>
      <c r="BU96" s="114">
        <v>0</v>
      </c>
      <c r="BV96" s="114">
        <v>1</v>
      </c>
      <c r="BW96" s="114">
        <v>1</v>
      </c>
      <c r="BX96" s="114">
        <v>0</v>
      </c>
      <c r="BY96" s="114">
        <v>0</v>
      </c>
      <c r="BZ96" s="114">
        <v>0</v>
      </c>
      <c r="CA96" s="114">
        <v>0</v>
      </c>
      <c r="CB96" s="114">
        <v>0</v>
      </c>
      <c r="CC96" s="114">
        <v>1</v>
      </c>
      <c r="CD96" s="114">
        <v>0</v>
      </c>
      <c r="CE96" s="114">
        <v>0</v>
      </c>
      <c r="CF96" s="114">
        <v>1</v>
      </c>
      <c r="CG96" s="114">
        <v>0</v>
      </c>
      <c r="CH96" s="114">
        <v>0</v>
      </c>
      <c r="CI96" s="114">
        <v>1</v>
      </c>
      <c r="CJ96" s="114">
        <v>0</v>
      </c>
      <c r="CK96" s="114">
        <v>1</v>
      </c>
      <c r="CL96" s="114">
        <v>0</v>
      </c>
      <c r="CM96" s="114">
        <v>0</v>
      </c>
      <c r="CN96" s="114">
        <v>0</v>
      </c>
      <c r="CO96" s="114">
        <v>0</v>
      </c>
      <c r="CP96" s="114">
        <v>0</v>
      </c>
      <c r="CQ96" s="114">
        <v>0</v>
      </c>
      <c r="CR96" s="114">
        <v>0</v>
      </c>
      <c r="CS96" s="114">
        <v>0</v>
      </c>
      <c r="CT96" s="114">
        <v>0</v>
      </c>
      <c r="CU96" s="114">
        <v>0</v>
      </c>
      <c r="CV96" s="114">
        <v>0</v>
      </c>
    </row>
    <row r="97" spans="1:100" x14ac:dyDescent="0.15">
      <c r="A97" s="193" t="s">
        <v>287</v>
      </c>
      <c r="B97" s="114">
        <v>0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0</v>
      </c>
      <c r="AD97" s="114">
        <v>0</v>
      </c>
      <c r="AE97" s="114">
        <v>0</v>
      </c>
      <c r="AF97" s="114">
        <v>0</v>
      </c>
      <c r="AG97" s="114">
        <v>0</v>
      </c>
      <c r="AH97" s="114">
        <v>0</v>
      </c>
      <c r="AI97" s="114">
        <v>0</v>
      </c>
      <c r="AJ97" s="114">
        <v>0</v>
      </c>
      <c r="AK97" s="114">
        <v>0</v>
      </c>
      <c r="AL97" s="114">
        <v>0</v>
      </c>
      <c r="AM97" s="114">
        <v>0</v>
      </c>
      <c r="AN97" s="114">
        <v>0</v>
      </c>
      <c r="AO97" s="114">
        <v>0</v>
      </c>
      <c r="AP97" s="114">
        <v>0</v>
      </c>
      <c r="AQ97" s="114">
        <v>0</v>
      </c>
      <c r="AR97" s="114">
        <v>0</v>
      </c>
      <c r="AS97" s="114">
        <v>0</v>
      </c>
      <c r="AT97" s="114">
        <v>0</v>
      </c>
      <c r="AU97" s="114">
        <v>0</v>
      </c>
      <c r="AV97" s="114">
        <v>0</v>
      </c>
      <c r="AW97" s="114">
        <v>0</v>
      </c>
      <c r="AX97" s="114">
        <v>0</v>
      </c>
      <c r="AY97" s="114">
        <v>0</v>
      </c>
      <c r="AZ97" s="114">
        <v>0</v>
      </c>
      <c r="BA97" s="114">
        <v>0</v>
      </c>
      <c r="BB97" s="114">
        <v>0</v>
      </c>
      <c r="BC97" s="114">
        <v>0</v>
      </c>
      <c r="BD97" s="114">
        <v>0</v>
      </c>
      <c r="BE97" s="114">
        <v>0</v>
      </c>
      <c r="BF97" s="114">
        <v>0</v>
      </c>
      <c r="BG97" s="114">
        <v>0</v>
      </c>
      <c r="BH97" s="114">
        <v>0</v>
      </c>
      <c r="BI97" s="114">
        <v>0</v>
      </c>
      <c r="BJ97" s="114">
        <v>1</v>
      </c>
      <c r="BK97" s="114">
        <v>1</v>
      </c>
      <c r="BL97" s="114">
        <v>0</v>
      </c>
      <c r="BM97" s="114">
        <v>0</v>
      </c>
      <c r="BN97" s="114">
        <v>0</v>
      </c>
      <c r="BO97" s="114">
        <v>0</v>
      </c>
      <c r="BP97" s="114">
        <v>0</v>
      </c>
      <c r="BQ97" s="114">
        <v>0</v>
      </c>
      <c r="BR97" s="114">
        <v>0</v>
      </c>
      <c r="BS97" s="114">
        <v>0</v>
      </c>
      <c r="BT97" s="114">
        <v>0</v>
      </c>
      <c r="BU97" s="114">
        <v>0</v>
      </c>
      <c r="BV97" s="114">
        <v>0</v>
      </c>
      <c r="BW97" s="114">
        <v>0</v>
      </c>
      <c r="BX97" s="114">
        <v>0</v>
      </c>
      <c r="BY97" s="114">
        <v>0</v>
      </c>
      <c r="BZ97" s="114">
        <v>0</v>
      </c>
      <c r="CA97" s="114">
        <v>0</v>
      </c>
      <c r="CB97" s="114">
        <v>0</v>
      </c>
      <c r="CC97" s="114">
        <v>0</v>
      </c>
      <c r="CD97" s="114">
        <v>0</v>
      </c>
      <c r="CE97" s="114">
        <v>0</v>
      </c>
      <c r="CF97" s="114">
        <v>0</v>
      </c>
      <c r="CG97" s="114">
        <v>0</v>
      </c>
      <c r="CH97" s="114">
        <v>0</v>
      </c>
      <c r="CI97" s="114">
        <v>0</v>
      </c>
      <c r="CJ97" s="114">
        <v>0</v>
      </c>
      <c r="CK97" s="114">
        <v>0</v>
      </c>
      <c r="CL97" s="114">
        <v>0</v>
      </c>
      <c r="CM97" s="114">
        <v>0</v>
      </c>
      <c r="CN97" s="114">
        <v>0</v>
      </c>
      <c r="CO97" s="114">
        <v>0</v>
      </c>
      <c r="CP97" s="114">
        <v>0</v>
      </c>
      <c r="CQ97" s="114">
        <v>0</v>
      </c>
      <c r="CR97" s="114">
        <v>0</v>
      </c>
      <c r="CS97" s="114">
        <v>0</v>
      </c>
      <c r="CT97" s="114">
        <v>0</v>
      </c>
      <c r="CU97" s="114">
        <v>0</v>
      </c>
      <c r="CV97" s="114">
        <v>0</v>
      </c>
    </row>
    <row r="98" spans="1:100" x14ac:dyDescent="0.15">
      <c r="A98" s="193" t="s">
        <v>288</v>
      </c>
      <c r="B98" s="114">
        <v>0</v>
      </c>
      <c r="C98" s="114">
        <v>0</v>
      </c>
      <c r="D98" s="114">
        <v>0</v>
      </c>
      <c r="E98" s="114">
        <v>0</v>
      </c>
      <c r="F98" s="114">
        <v>1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1</v>
      </c>
      <c r="AA98" s="114">
        <v>0</v>
      </c>
      <c r="AB98" s="114">
        <v>0</v>
      </c>
      <c r="AC98" s="114">
        <v>0</v>
      </c>
      <c r="AD98" s="114">
        <v>0</v>
      </c>
      <c r="AE98" s="114">
        <v>0</v>
      </c>
      <c r="AF98" s="114">
        <v>0</v>
      </c>
      <c r="AG98" s="114">
        <v>0</v>
      </c>
      <c r="AH98" s="114">
        <v>1</v>
      </c>
      <c r="AI98" s="114">
        <v>0</v>
      </c>
      <c r="AJ98" s="114">
        <v>0</v>
      </c>
      <c r="AK98" s="114">
        <v>0</v>
      </c>
      <c r="AL98" s="114">
        <v>0</v>
      </c>
      <c r="AM98" s="114">
        <v>0</v>
      </c>
      <c r="AN98" s="114">
        <v>0</v>
      </c>
      <c r="AO98" s="114">
        <v>0</v>
      </c>
      <c r="AP98" s="114">
        <v>0</v>
      </c>
      <c r="AQ98" s="114">
        <v>1</v>
      </c>
      <c r="AR98" s="114">
        <v>0</v>
      </c>
      <c r="AS98" s="114">
        <v>0</v>
      </c>
      <c r="AT98" s="114">
        <v>1</v>
      </c>
      <c r="AU98" s="114">
        <v>1</v>
      </c>
      <c r="AV98" s="114">
        <v>1</v>
      </c>
      <c r="AW98" s="114">
        <v>0</v>
      </c>
      <c r="AX98" s="114">
        <v>0</v>
      </c>
      <c r="AY98" s="114">
        <v>0</v>
      </c>
      <c r="AZ98" s="114">
        <v>0</v>
      </c>
      <c r="BA98" s="114">
        <v>1</v>
      </c>
      <c r="BB98" s="114">
        <v>0</v>
      </c>
      <c r="BC98" s="114">
        <v>0</v>
      </c>
      <c r="BD98" s="114">
        <v>0</v>
      </c>
      <c r="BE98" s="114">
        <v>0</v>
      </c>
      <c r="BF98" s="114">
        <v>0</v>
      </c>
      <c r="BG98" s="114">
        <v>0</v>
      </c>
      <c r="BH98" s="114">
        <v>0</v>
      </c>
      <c r="BI98" s="114">
        <v>0</v>
      </c>
      <c r="BJ98" s="114">
        <v>0</v>
      </c>
      <c r="BK98" s="114">
        <v>0</v>
      </c>
      <c r="BL98" s="114">
        <v>0</v>
      </c>
      <c r="BM98" s="114">
        <v>1</v>
      </c>
      <c r="BN98" s="114">
        <v>1</v>
      </c>
      <c r="BO98" s="114">
        <v>1</v>
      </c>
      <c r="BP98" s="114">
        <v>0</v>
      </c>
      <c r="BQ98" s="114">
        <v>0</v>
      </c>
      <c r="BR98" s="114">
        <v>0</v>
      </c>
      <c r="BS98" s="114">
        <v>0</v>
      </c>
      <c r="BT98" s="114">
        <v>0</v>
      </c>
      <c r="BU98" s="114">
        <v>0</v>
      </c>
      <c r="BV98" s="114">
        <v>0</v>
      </c>
      <c r="BW98" s="114">
        <v>0</v>
      </c>
      <c r="BX98" s="114">
        <v>0</v>
      </c>
      <c r="BY98" s="114">
        <v>0</v>
      </c>
      <c r="BZ98" s="114">
        <v>0</v>
      </c>
      <c r="CA98" s="114">
        <v>0</v>
      </c>
      <c r="CB98" s="114">
        <v>0</v>
      </c>
      <c r="CC98" s="114">
        <v>0</v>
      </c>
      <c r="CD98" s="114">
        <v>0</v>
      </c>
      <c r="CE98" s="114">
        <v>0</v>
      </c>
      <c r="CF98" s="114">
        <v>0</v>
      </c>
      <c r="CG98" s="114">
        <v>0</v>
      </c>
      <c r="CH98" s="114">
        <v>0</v>
      </c>
      <c r="CI98" s="114">
        <v>0</v>
      </c>
      <c r="CJ98" s="114">
        <v>0</v>
      </c>
      <c r="CK98" s="114">
        <v>0</v>
      </c>
      <c r="CL98" s="114">
        <v>0</v>
      </c>
      <c r="CM98" s="114">
        <v>0</v>
      </c>
      <c r="CN98" s="114">
        <v>0</v>
      </c>
      <c r="CO98" s="114">
        <v>0</v>
      </c>
      <c r="CP98" s="114">
        <v>0</v>
      </c>
      <c r="CQ98" s="114">
        <v>0</v>
      </c>
      <c r="CR98" s="114">
        <v>0</v>
      </c>
      <c r="CS98" s="114">
        <v>0</v>
      </c>
      <c r="CT98" s="114">
        <v>0</v>
      </c>
      <c r="CU98" s="114">
        <v>0</v>
      </c>
      <c r="CV98" s="114">
        <v>0</v>
      </c>
    </row>
    <row r="99" spans="1:100" x14ac:dyDescent="0.15">
      <c r="A99" s="193" t="s">
        <v>289</v>
      </c>
      <c r="B99" s="114">
        <v>0</v>
      </c>
      <c r="C99" s="114">
        <v>0</v>
      </c>
      <c r="D99" s="114">
        <v>0</v>
      </c>
      <c r="E99" s="114">
        <v>0</v>
      </c>
      <c r="F99" s="114">
        <v>0</v>
      </c>
      <c r="G99" s="114">
        <v>0</v>
      </c>
      <c r="H99" s="114">
        <v>0</v>
      </c>
      <c r="I99" s="114">
        <v>0</v>
      </c>
      <c r="J99" s="114">
        <v>0</v>
      </c>
      <c r="K99" s="114">
        <v>0</v>
      </c>
      <c r="L99" s="114">
        <v>0</v>
      </c>
      <c r="M99" s="114">
        <v>0</v>
      </c>
      <c r="N99" s="114">
        <v>0</v>
      </c>
      <c r="O99" s="114">
        <v>0</v>
      </c>
      <c r="P99" s="114">
        <v>0</v>
      </c>
      <c r="Q99" s="114">
        <v>0</v>
      </c>
      <c r="R99" s="114">
        <v>0</v>
      </c>
      <c r="S99" s="114">
        <v>1</v>
      </c>
      <c r="T99" s="114">
        <v>0</v>
      </c>
      <c r="U99" s="114">
        <v>0</v>
      </c>
      <c r="V99" s="114">
        <v>0</v>
      </c>
      <c r="W99" s="114">
        <v>0</v>
      </c>
      <c r="X99" s="114">
        <v>0</v>
      </c>
      <c r="Y99" s="114">
        <v>0</v>
      </c>
      <c r="Z99" s="114">
        <v>1</v>
      </c>
      <c r="AA99" s="114">
        <v>0</v>
      </c>
      <c r="AB99" s="114">
        <v>0</v>
      </c>
      <c r="AC99" s="114">
        <v>0</v>
      </c>
      <c r="AD99" s="114">
        <v>0</v>
      </c>
      <c r="AE99" s="114">
        <v>0</v>
      </c>
      <c r="AF99" s="114">
        <v>0</v>
      </c>
      <c r="AG99" s="114">
        <v>0</v>
      </c>
      <c r="AH99" s="114">
        <v>1</v>
      </c>
      <c r="AI99" s="114">
        <v>0</v>
      </c>
      <c r="AJ99" s="114">
        <v>0</v>
      </c>
      <c r="AK99" s="114">
        <v>0</v>
      </c>
      <c r="AL99" s="114">
        <v>0</v>
      </c>
      <c r="AM99" s="114">
        <v>0</v>
      </c>
      <c r="AN99" s="114">
        <v>0</v>
      </c>
      <c r="AO99" s="114">
        <v>0</v>
      </c>
      <c r="AP99" s="114">
        <v>0</v>
      </c>
      <c r="AQ99" s="114">
        <v>1</v>
      </c>
      <c r="AR99" s="114">
        <v>0</v>
      </c>
      <c r="AS99" s="114">
        <v>1</v>
      </c>
      <c r="AT99" s="114">
        <v>1</v>
      </c>
      <c r="AU99" s="114">
        <v>1</v>
      </c>
      <c r="AV99" s="114">
        <v>1</v>
      </c>
      <c r="AW99" s="114">
        <v>1</v>
      </c>
      <c r="AX99" s="114">
        <v>0</v>
      </c>
      <c r="AY99" s="114">
        <v>1</v>
      </c>
      <c r="AZ99" s="114">
        <v>1</v>
      </c>
      <c r="BA99" s="114">
        <v>1</v>
      </c>
      <c r="BB99" s="114">
        <v>0</v>
      </c>
      <c r="BC99" s="114">
        <v>0</v>
      </c>
      <c r="BD99" s="114">
        <v>0</v>
      </c>
      <c r="BE99" s="114">
        <v>0</v>
      </c>
      <c r="BF99" s="114">
        <v>0</v>
      </c>
      <c r="BG99" s="114">
        <v>0</v>
      </c>
      <c r="BH99" s="114">
        <v>1</v>
      </c>
      <c r="BI99" s="114">
        <v>0</v>
      </c>
      <c r="BJ99" s="114">
        <v>0</v>
      </c>
      <c r="BK99" s="114">
        <v>0</v>
      </c>
      <c r="BL99" s="114">
        <v>0</v>
      </c>
      <c r="BM99" s="114">
        <v>1</v>
      </c>
      <c r="BN99" s="114">
        <v>1</v>
      </c>
      <c r="BO99" s="114">
        <v>1</v>
      </c>
      <c r="BP99" s="114">
        <v>1</v>
      </c>
      <c r="BQ99" s="114">
        <v>1</v>
      </c>
      <c r="BR99" s="114">
        <v>1</v>
      </c>
      <c r="BS99" s="114">
        <v>1</v>
      </c>
      <c r="BT99" s="114">
        <v>0</v>
      </c>
      <c r="BU99" s="114">
        <v>1</v>
      </c>
      <c r="BV99" s="114">
        <v>1</v>
      </c>
      <c r="BW99" s="114">
        <v>1</v>
      </c>
      <c r="BX99" s="114">
        <v>1</v>
      </c>
      <c r="BY99" s="114">
        <v>1</v>
      </c>
      <c r="BZ99" s="114">
        <v>1</v>
      </c>
      <c r="CA99" s="114">
        <v>0</v>
      </c>
      <c r="CB99" s="114">
        <v>1</v>
      </c>
      <c r="CC99" s="114">
        <v>1</v>
      </c>
      <c r="CD99" s="114">
        <v>0</v>
      </c>
      <c r="CE99" s="114">
        <v>0</v>
      </c>
      <c r="CF99" s="114">
        <v>0</v>
      </c>
      <c r="CG99" s="114">
        <v>1</v>
      </c>
      <c r="CH99" s="114">
        <v>1</v>
      </c>
      <c r="CI99" s="114">
        <v>1</v>
      </c>
      <c r="CJ99" s="114">
        <v>1</v>
      </c>
      <c r="CK99" s="114">
        <v>1</v>
      </c>
      <c r="CL99" s="114">
        <v>0</v>
      </c>
      <c r="CM99" s="114">
        <v>0</v>
      </c>
      <c r="CN99" s="114">
        <v>0</v>
      </c>
      <c r="CO99" s="114">
        <v>0</v>
      </c>
      <c r="CP99" s="114">
        <v>0</v>
      </c>
      <c r="CQ99" s="114">
        <v>0</v>
      </c>
      <c r="CR99" s="114">
        <v>0</v>
      </c>
      <c r="CS99" s="114">
        <v>0</v>
      </c>
      <c r="CT99" s="114">
        <v>0</v>
      </c>
      <c r="CU99" s="114">
        <v>0</v>
      </c>
      <c r="CV99" s="114">
        <v>0</v>
      </c>
    </row>
    <row r="100" spans="1:100" x14ac:dyDescent="0.15">
      <c r="A100" s="193" t="s">
        <v>290</v>
      </c>
      <c r="B100" s="114">
        <v>0</v>
      </c>
      <c r="C100" s="114">
        <v>0</v>
      </c>
      <c r="D100" s="114">
        <v>0</v>
      </c>
      <c r="E100" s="114">
        <v>0</v>
      </c>
      <c r="F100" s="114">
        <v>0</v>
      </c>
      <c r="G100" s="114">
        <v>0</v>
      </c>
      <c r="H100" s="114">
        <v>0</v>
      </c>
      <c r="I100" s="114">
        <v>0</v>
      </c>
      <c r="J100" s="114">
        <v>0</v>
      </c>
      <c r="K100" s="114">
        <v>0</v>
      </c>
      <c r="L100" s="114">
        <v>0</v>
      </c>
      <c r="M100" s="114">
        <v>0</v>
      </c>
      <c r="N100" s="114">
        <v>0</v>
      </c>
      <c r="O100" s="114">
        <v>0</v>
      </c>
      <c r="P100" s="114">
        <v>0</v>
      </c>
      <c r="Q100" s="114">
        <v>0</v>
      </c>
      <c r="R100" s="114">
        <v>0</v>
      </c>
      <c r="S100" s="114">
        <v>0</v>
      </c>
      <c r="T100" s="114">
        <v>0</v>
      </c>
      <c r="U100" s="114">
        <v>0</v>
      </c>
      <c r="V100" s="114">
        <v>0</v>
      </c>
      <c r="W100" s="114">
        <v>0</v>
      </c>
      <c r="X100" s="114">
        <v>0</v>
      </c>
      <c r="Y100" s="114">
        <v>0</v>
      </c>
      <c r="Z100" s="114">
        <v>0</v>
      </c>
      <c r="AA100" s="114">
        <v>0</v>
      </c>
      <c r="AB100" s="114">
        <v>0</v>
      </c>
      <c r="AC100" s="114">
        <v>0</v>
      </c>
      <c r="AD100" s="114">
        <v>0</v>
      </c>
      <c r="AE100" s="114">
        <v>0</v>
      </c>
      <c r="AF100" s="114">
        <v>0</v>
      </c>
      <c r="AG100" s="114">
        <v>0</v>
      </c>
      <c r="AH100" s="114">
        <v>0</v>
      </c>
      <c r="AI100" s="114">
        <v>0</v>
      </c>
      <c r="AJ100" s="114">
        <v>0</v>
      </c>
      <c r="AK100" s="114">
        <v>0</v>
      </c>
      <c r="AL100" s="114">
        <v>0</v>
      </c>
      <c r="AM100" s="114">
        <v>0</v>
      </c>
      <c r="AN100" s="114">
        <v>0</v>
      </c>
      <c r="AO100" s="114">
        <v>0</v>
      </c>
      <c r="AP100" s="114">
        <v>0</v>
      </c>
      <c r="AQ100" s="114">
        <v>0</v>
      </c>
      <c r="AR100" s="114">
        <v>0</v>
      </c>
      <c r="AS100" s="114">
        <v>0</v>
      </c>
      <c r="AT100" s="114">
        <v>0</v>
      </c>
      <c r="AU100" s="114">
        <v>0</v>
      </c>
      <c r="AV100" s="114">
        <v>0</v>
      </c>
      <c r="AW100" s="114">
        <v>0</v>
      </c>
      <c r="AX100" s="114">
        <v>0</v>
      </c>
      <c r="AY100" s="114">
        <v>0</v>
      </c>
      <c r="AZ100" s="114">
        <v>0</v>
      </c>
      <c r="BA100" s="114">
        <v>0</v>
      </c>
      <c r="BB100" s="114">
        <v>0</v>
      </c>
      <c r="BC100" s="114">
        <v>0</v>
      </c>
      <c r="BD100" s="114">
        <v>0</v>
      </c>
      <c r="BE100" s="114">
        <v>0</v>
      </c>
      <c r="BF100" s="114">
        <v>0</v>
      </c>
      <c r="BG100" s="114">
        <v>0</v>
      </c>
      <c r="BH100" s="114">
        <v>0</v>
      </c>
      <c r="BI100" s="114">
        <v>0</v>
      </c>
      <c r="BJ100" s="114">
        <v>0</v>
      </c>
      <c r="BK100" s="114">
        <v>0</v>
      </c>
      <c r="BL100" s="114">
        <v>0</v>
      </c>
      <c r="BM100" s="114">
        <v>0</v>
      </c>
      <c r="BN100" s="114">
        <v>0</v>
      </c>
      <c r="BO100" s="114">
        <v>0</v>
      </c>
      <c r="BP100" s="114">
        <v>0</v>
      </c>
      <c r="BQ100" s="114">
        <v>0</v>
      </c>
      <c r="BR100" s="114">
        <v>0</v>
      </c>
      <c r="BS100" s="114">
        <v>0</v>
      </c>
      <c r="BT100" s="114">
        <v>0</v>
      </c>
      <c r="BU100" s="114">
        <v>0</v>
      </c>
      <c r="BV100" s="114">
        <v>0</v>
      </c>
      <c r="BW100" s="114">
        <v>0</v>
      </c>
      <c r="BX100" s="114">
        <v>0</v>
      </c>
      <c r="BY100" s="114">
        <v>0</v>
      </c>
      <c r="BZ100" s="114">
        <v>0</v>
      </c>
      <c r="CA100" s="114">
        <v>0</v>
      </c>
      <c r="CB100" s="114">
        <v>0</v>
      </c>
      <c r="CC100" s="114">
        <v>0</v>
      </c>
      <c r="CD100" s="114">
        <v>0</v>
      </c>
      <c r="CE100" s="114">
        <v>0</v>
      </c>
      <c r="CF100" s="114">
        <v>0</v>
      </c>
      <c r="CG100" s="114">
        <v>0</v>
      </c>
      <c r="CH100" s="114">
        <v>0</v>
      </c>
      <c r="CI100" s="114">
        <v>0</v>
      </c>
      <c r="CJ100" s="114">
        <v>0</v>
      </c>
      <c r="CK100" s="114">
        <v>0</v>
      </c>
      <c r="CL100" s="114">
        <v>0</v>
      </c>
      <c r="CM100" s="114">
        <v>0</v>
      </c>
      <c r="CN100" s="114">
        <v>0</v>
      </c>
      <c r="CO100" s="114">
        <v>0</v>
      </c>
      <c r="CP100" s="114">
        <v>0</v>
      </c>
      <c r="CQ100" s="114">
        <v>0</v>
      </c>
      <c r="CR100" s="114">
        <v>0</v>
      </c>
      <c r="CS100" s="114">
        <v>0</v>
      </c>
      <c r="CT100" s="114">
        <v>0</v>
      </c>
      <c r="CU100" s="114">
        <v>0</v>
      </c>
      <c r="CV100" s="114">
        <v>0</v>
      </c>
    </row>
    <row r="101" spans="1:100" x14ac:dyDescent="0.15">
      <c r="A101" s="193" t="s">
        <v>308</v>
      </c>
      <c r="B101" s="114">
        <v>0</v>
      </c>
      <c r="C101" s="114">
        <v>0</v>
      </c>
      <c r="D101" s="114">
        <v>1</v>
      </c>
      <c r="E101" s="114">
        <v>0</v>
      </c>
      <c r="F101" s="114">
        <v>1</v>
      </c>
      <c r="G101" s="114">
        <v>0</v>
      </c>
      <c r="H101" s="114">
        <v>0</v>
      </c>
      <c r="I101" s="114">
        <v>0</v>
      </c>
      <c r="J101" s="114">
        <v>1</v>
      </c>
      <c r="K101" s="114">
        <v>1</v>
      </c>
      <c r="L101" s="114">
        <v>0</v>
      </c>
      <c r="M101" s="114">
        <v>0</v>
      </c>
      <c r="N101" s="114">
        <v>1</v>
      </c>
      <c r="O101" s="114">
        <v>1</v>
      </c>
      <c r="P101" s="114">
        <v>0</v>
      </c>
      <c r="Q101" s="114">
        <v>1</v>
      </c>
      <c r="R101" s="114">
        <v>1</v>
      </c>
      <c r="S101" s="114">
        <v>0</v>
      </c>
      <c r="T101" s="114">
        <v>1</v>
      </c>
      <c r="U101" s="114">
        <v>1</v>
      </c>
      <c r="V101" s="114">
        <v>1</v>
      </c>
      <c r="W101" s="114">
        <v>1</v>
      </c>
      <c r="X101" s="114">
        <v>1</v>
      </c>
      <c r="Y101" s="114">
        <v>1</v>
      </c>
      <c r="Z101" s="114">
        <v>1</v>
      </c>
      <c r="AA101" s="114">
        <v>1</v>
      </c>
      <c r="AB101" s="114">
        <v>1</v>
      </c>
      <c r="AC101" s="114">
        <v>1</v>
      </c>
      <c r="AD101" s="114">
        <v>1</v>
      </c>
      <c r="AE101" s="114">
        <v>1</v>
      </c>
      <c r="AF101" s="114">
        <v>1</v>
      </c>
      <c r="AG101" s="114">
        <v>1</v>
      </c>
      <c r="AH101" s="114">
        <v>0</v>
      </c>
      <c r="AI101" s="114">
        <v>0</v>
      </c>
      <c r="AJ101" s="114">
        <v>0</v>
      </c>
      <c r="AK101" s="114">
        <v>1</v>
      </c>
      <c r="AL101" s="114">
        <v>0</v>
      </c>
      <c r="AM101" s="114">
        <v>0</v>
      </c>
      <c r="AN101" s="114">
        <v>0</v>
      </c>
      <c r="AO101" s="114">
        <v>0</v>
      </c>
      <c r="AP101" s="114">
        <v>0</v>
      </c>
      <c r="AQ101" s="114">
        <v>0</v>
      </c>
      <c r="AR101" s="114">
        <v>0</v>
      </c>
      <c r="AS101" s="114">
        <v>1</v>
      </c>
      <c r="AT101" s="114">
        <v>0</v>
      </c>
      <c r="AU101" s="114">
        <v>0</v>
      </c>
      <c r="AV101" s="114">
        <v>0</v>
      </c>
      <c r="AW101" s="114">
        <v>0</v>
      </c>
      <c r="AX101" s="114">
        <v>1</v>
      </c>
      <c r="AY101" s="114">
        <v>0</v>
      </c>
      <c r="AZ101" s="114">
        <v>0</v>
      </c>
      <c r="BA101" s="114">
        <v>1</v>
      </c>
      <c r="BB101" s="114">
        <v>0</v>
      </c>
      <c r="BC101" s="114">
        <v>0</v>
      </c>
      <c r="BD101" s="114">
        <v>0</v>
      </c>
      <c r="BE101" s="114">
        <v>0</v>
      </c>
      <c r="BF101" s="114">
        <v>0</v>
      </c>
      <c r="BG101" s="114">
        <v>0</v>
      </c>
      <c r="BH101" s="114">
        <v>0</v>
      </c>
      <c r="BI101" s="114">
        <v>0</v>
      </c>
      <c r="BJ101" s="114">
        <v>0</v>
      </c>
      <c r="BK101" s="114">
        <v>0</v>
      </c>
      <c r="BL101" s="114">
        <v>0</v>
      </c>
      <c r="BM101" s="114">
        <v>0</v>
      </c>
      <c r="BN101" s="114">
        <v>0</v>
      </c>
      <c r="BO101" s="114">
        <v>0</v>
      </c>
      <c r="BP101" s="114">
        <v>0</v>
      </c>
      <c r="BQ101" s="114">
        <v>0</v>
      </c>
      <c r="BR101" s="114">
        <v>0</v>
      </c>
      <c r="BS101" s="114">
        <v>0</v>
      </c>
      <c r="BT101" s="114">
        <v>0</v>
      </c>
      <c r="BU101" s="114">
        <v>0</v>
      </c>
      <c r="BV101" s="114">
        <v>0</v>
      </c>
      <c r="BW101" s="114">
        <v>0</v>
      </c>
      <c r="BX101" s="114">
        <v>0</v>
      </c>
      <c r="BY101" s="114">
        <v>0</v>
      </c>
      <c r="BZ101" s="114">
        <v>0</v>
      </c>
      <c r="CA101" s="114">
        <v>0</v>
      </c>
      <c r="CB101" s="114">
        <v>0</v>
      </c>
      <c r="CC101" s="114">
        <v>0</v>
      </c>
      <c r="CD101" s="114">
        <v>0</v>
      </c>
      <c r="CE101" s="114">
        <v>0</v>
      </c>
      <c r="CF101" s="114">
        <v>0</v>
      </c>
      <c r="CG101" s="114">
        <v>0</v>
      </c>
      <c r="CH101" s="114">
        <v>0</v>
      </c>
      <c r="CI101" s="114">
        <v>0</v>
      </c>
      <c r="CJ101" s="114">
        <v>0</v>
      </c>
      <c r="CK101" s="114">
        <v>0</v>
      </c>
      <c r="CL101" s="114">
        <v>0</v>
      </c>
      <c r="CM101" s="114">
        <v>0</v>
      </c>
      <c r="CN101" s="114">
        <v>0</v>
      </c>
      <c r="CO101" s="114">
        <v>0</v>
      </c>
      <c r="CP101" s="114">
        <v>0</v>
      </c>
      <c r="CQ101" s="114">
        <v>0</v>
      </c>
      <c r="CR101" s="114">
        <v>0</v>
      </c>
      <c r="CS101" s="114">
        <v>0</v>
      </c>
      <c r="CT101" s="114">
        <v>0</v>
      </c>
      <c r="CU101" s="114">
        <v>0</v>
      </c>
      <c r="CV101" s="11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S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1.5" bestFit="1" customWidth="1"/>
    <col min="3" max="4" width="3.83203125" bestFit="1" customWidth="1"/>
    <col min="5" max="19" width="3.83203125" customWidth="1"/>
  </cols>
  <sheetData>
    <row r="1" spans="1:19" ht="112" x14ac:dyDescent="0.15">
      <c r="A1" s="5" t="s">
        <v>83</v>
      </c>
      <c r="B1" s="3" t="s">
        <v>0</v>
      </c>
      <c r="C1" s="196" t="s">
        <v>291</v>
      </c>
      <c r="D1" s="196" t="s">
        <v>292</v>
      </c>
      <c r="E1" s="196" t="s">
        <v>293</v>
      </c>
      <c r="F1" s="196" t="s">
        <v>294</v>
      </c>
      <c r="G1" s="196" t="s">
        <v>295</v>
      </c>
      <c r="H1" s="196" t="s">
        <v>296</v>
      </c>
      <c r="I1" s="196" t="s">
        <v>297</v>
      </c>
      <c r="J1" s="196" t="s">
        <v>298</v>
      </c>
      <c r="K1" s="196" t="s">
        <v>299</v>
      </c>
      <c r="L1" s="196" t="s">
        <v>300</v>
      </c>
      <c r="M1" s="196" t="s">
        <v>301</v>
      </c>
      <c r="N1" s="196" t="s">
        <v>302</v>
      </c>
      <c r="O1" s="196" t="s">
        <v>303</v>
      </c>
      <c r="P1" s="196" t="s">
        <v>304</v>
      </c>
      <c r="Q1" s="196" t="s">
        <v>305</v>
      </c>
      <c r="R1" s="196" t="s">
        <v>306</v>
      </c>
      <c r="S1" s="196" t="s">
        <v>307</v>
      </c>
    </row>
    <row r="2" spans="1:19" x14ac:dyDescent="0.15">
      <c r="A2">
        <v>1</v>
      </c>
      <c r="B2" s="195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15">
      <c r="A3">
        <v>2</v>
      </c>
      <c r="B3" s="195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15">
      <c r="A4">
        <v>3</v>
      </c>
      <c r="B4" s="195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15">
      <c r="A5">
        <v>4</v>
      </c>
      <c r="B5" s="195" t="s">
        <v>195</v>
      </c>
      <c r="C5">
        <v>0.8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15">
      <c r="A6">
        <v>5</v>
      </c>
      <c r="B6" s="195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0.8</v>
      </c>
      <c r="N6">
        <v>0</v>
      </c>
      <c r="O6">
        <v>0</v>
      </c>
      <c r="P6">
        <v>0.8</v>
      </c>
      <c r="Q6">
        <v>0</v>
      </c>
      <c r="R6">
        <v>0</v>
      </c>
      <c r="S6">
        <v>0</v>
      </c>
    </row>
    <row r="7" spans="1:19" x14ac:dyDescent="0.15">
      <c r="A7">
        <v>6</v>
      </c>
      <c r="B7" s="195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0.8</v>
      </c>
      <c r="Q7">
        <v>0</v>
      </c>
      <c r="R7">
        <v>0</v>
      </c>
      <c r="S7">
        <v>0</v>
      </c>
    </row>
    <row r="8" spans="1:19" x14ac:dyDescent="0.15">
      <c r="A8">
        <v>7</v>
      </c>
      <c r="B8" s="195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0.8</v>
      </c>
      <c r="Q8">
        <v>0</v>
      </c>
      <c r="R8">
        <v>0</v>
      </c>
      <c r="S8">
        <v>0</v>
      </c>
    </row>
    <row r="9" spans="1:19" x14ac:dyDescent="0.15">
      <c r="A9">
        <v>8</v>
      </c>
      <c r="B9" s="195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0.8</v>
      </c>
      <c r="Q9">
        <v>0</v>
      </c>
      <c r="R9">
        <v>0</v>
      </c>
      <c r="S9">
        <v>0</v>
      </c>
    </row>
    <row r="10" spans="1:19" x14ac:dyDescent="0.15">
      <c r="A10">
        <v>9</v>
      </c>
      <c r="B10" s="195" t="s">
        <v>200</v>
      </c>
      <c r="C10">
        <v>0.8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15">
      <c r="A11">
        <v>10</v>
      </c>
      <c r="B11" s="195" t="s">
        <v>201</v>
      </c>
      <c r="C11">
        <v>0.8</v>
      </c>
      <c r="D11">
        <v>0</v>
      </c>
      <c r="E11">
        <v>0</v>
      </c>
      <c r="F11">
        <v>0</v>
      </c>
      <c r="G11">
        <v>0.8</v>
      </c>
      <c r="H11">
        <v>0</v>
      </c>
      <c r="I11">
        <v>0.8</v>
      </c>
      <c r="J11">
        <v>0.8</v>
      </c>
      <c r="K11">
        <v>0.8</v>
      </c>
      <c r="L11">
        <v>0.8</v>
      </c>
      <c r="M11">
        <v>0</v>
      </c>
      <c r="N11">
        <v>0</v>
      </c>
      <c r="O11">
        <v>0</v>
      </c>
      <c r="P11">
        <v>0.8</v>
      </c>
      <c r="Q11">
        <v>0</v>
      </c>
      <c r="R11">
        <v>0</v>
      </c>
      <c r="S11">
        <v>0</v>
      </c>
    </row>
    <row r="12" spans="1:19" x14ac:dyDescent="0.15">
      <c r="A12">
        <v>11</v>
      </c>
      <c r="B12" s="195" t="s">
        <v>202</v>
      </c>
      <c r="C12">
        <v>0.8</v>
      </c>
      <c r="D12">
        <v>0</v>
      </c>
      <c r="E12">
        <v>0</v>
      </c>
      <c r="F12">
        <v>0</v>
      </c>
      <c r="G12">
        <v>0.8</v>
      </c>
      <c r="H12">
        <v>0</v>
      </c>
      <c r="I12">
        <v>0.8</v>
      </c>
      <c r="J12">
        <v>0.8</v>
      </c>
      <c r="K12">
        <v>0.8</v>
      </c>
      <c r="L12">
        <v>0.8</v>
      </c>
      <c r="M12">
        <v>0</v>
      </c>
      <c r="N12">
        <v>0</v>
      </c>
      <c r="O12">
        <v>0</v>
      </c>
      <c r="P12">
        <v>0.8</v>
      </c>
      <c r="Q12">
        <v>0</v>
      </c>
      <c r="R12">
        <v>0</v>
      </c>
      <c r="S12">
        <v>0</v>
      </c>
    </row>
    <row r="13" spans="1:19" x14ac:dyDescent="0.15">
      <c r="A13">
        <v>12</v>
      </c>
      <c r="B13" s="195" t="s">
        <v>203</v>
      </c>
      <c r="C13">
        <v>0.8</v>
      </c>
      <c r="D13">
        <v>0</v>
      </c>
      <c r="E13">
        <v>0.8</v>
      </c>
      <c r="F13">
        <v>0</v>
      </c>
      <c r="G13">
        <v>0.8</v>
      </c>
      <c r="H13">
        <v>0</v>
      </c>
      <c r="I13">
        <v>0</v>
      </c>
      <c r="J13">
        <v>0</v>
      </c>
      <c r="K13">
        <v>0</v>
      </c>
      <c r="L13">
        <v>0.8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15">
      <c r="A14">
        <v>13</v>
      </c>
      <c r="B14" s="195" t="s">
        <v>204</v>
      </c>
      <c r="C14">
        <v>0.8</v>
      </c>
      <c r="D14">
        <v>0</v>
      </c>
      <c r="E14">
        <v>0.8</v>
      </c>
      <c r="F14">
        <v>0</v>
      </c>
      <c r="G14">
        <v>0.8</v>
      </c>
      <c r="H14">
        <v>0</v>
      </c>
      <c r="I14">
        <v>0.8</v>
      </c>
      <c r="J14">
        <v>0</v>
      </c>
      <c r="K14">
        <v>0</v>
      </c>
      <c r="L14">
        <v>0.8</v>
      </c>
      <c r="M14">
        <v>0</v>
      </c>
      <c r="N14">
        <v>0</v>
      </c>
      <c r="O14">
        <v>0</v>
      </c>
      <c r="P14">
        <v>0.8</v>
      </c>
      <c r="Q14">
        <v>0</v>
      </c>
      <c r="R14">
        <v>0</v>
      </c>
      <c r="S14">
        <v>0</v>
      </c>
    </row>
    <row r="15" spans="1:19" x14ac:dyDescent="0.15">
      <c r="A15">
        <v>14</v>
      </c>
      <c r="B15" s="195" t="s">
        <v>205</v>
      </c>
      <c r="C15">
        <v>0.8</v>
      </c>
      <c r="D15">
        <v>0</v>
      </c>
      <c r="E15">
        <v>0.8</v>
      </c>
      <c r="F15">
        <v>0</v>
      </c>
      <c r="G15">
        <v>0.8</v>
      </c>
      <c r="H15">
        <v>0</v>
      </c>
      <c r="I15">
        <v>0.8</v>
      </c>
      <c r="J15">
        <v>0</v>
      </c>
      <c r="K15">
        <v>0.8</v>
      </c>
      <c r="L15">
        <v>0.8</v>
      </c>
      <c r="M15">
        <v>0</v>
      </c>
      <c r="N15">
        <v>0.8</v>
      </c>
      <c r="O15">
        <v>0</v>
      </c>
      <c r="P15">
        <v>0.8</v>
      </c>
      <c r="Q15">
        <v>0</v>
      </c>
      <c r="R15">
        <v>0</v>
      </c>
      <c r="S15">
        <v>0</v>
      </c>
    </row>
    <row r="16" spans="1:19" x14ac:dyDescent="0.15">
      <c r="A16">
        <v>15</v>
      </c>
      <c r="B16" s="195" t="s">
        <v>206</v>
      </c>
      <c r="C16">
        <v>0.8</v>
      </c>
      <c r="D16">
        <v>0</v>
      </c>
      <c r="E16">
        <v>0.8</v>
      </c>
      <c r="F16">
        <v>0</v>
      </c>
      <c r="G16">
        <v>0.8</v>
      </c>
      <c r="H16">
        <v>0</v>
      </c>
      <c r="I16">
        <v>0.8</v>
      </c>
      <c r="J16">
        <v>0</v>
      </c>
      <c r="K16">
        <v>0</v>
      </c>
      <c r="L16">
        <v>0.8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15">
      <c r="A17">
        <v>16</v>
      </c>
      <c r="B17" s="195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0.8</v>
      </c>
      <c r="K17">
        <v>0.8</v>
      </c>
      <c r="L17">
        <v>0.8</v>
      </c>
      <c r="M17">
        <v>0</v>
      </c>
      <c r="N17">
        <v>0</v>
      </c>
      <c r="O17">
        <v>0</v>
      </c>
      <c r="P17">
        <v>0.8</v>
      </c>
      <c r="Q17">
        <v>0</v>
      </c>
      <c r="R17">
        <v>0</v>
      </c>
      <c r="S17">
        <v>0</v>
      </c>
    </row>
    <row r="18" spans="1:19" x14ac:dyDescent="0.15">
      <c r="A18">
        <v>17</v>
      </c>
      <c r="B18" s="195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0.8</v>
      </c>
      <c r="K18">
        <v>0.8</v>
      </c>
      <c r="L18">
        <v>0.8</v>
      </c>
      <c r="M18">
        <v>0</v>
      </c>
      <c r="N18">
        <v>0</v>
      </c>
      <c r="O18">
        <v>0</v>
      </c>
      <c r="P18">
        <v>0.8</v>
      </c>
      <c r="Q18">
        <v>0</v>
      </c>
      <c r="R18">
        <v>0</v>
      </c>
      <c r="S18">
        <v>0</v>
      </c>
    </row>
    <row r="19" spans="1:19" x14ac:dyDescent="0.15">
      <c r="A19">
        <v>18</v>
      </c>
      <c r="B19" s="195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0.8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15">
      <c r="A20">
        <v>19</v>
      </c>
      <c r="B20" s="195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0.8</v>
      </c>
      <c r="N20">
        <v>0.8</v>
      </c>
      <c r="O20">
        <v>0.8</v>
      </c>
      <c r="P20">
        <v>0.8</v>
      </c>
      <c r="Q20">
        <v>0</v>
      </c>
      <c r="R20">
        <v>0.8</v>
      </c>
      <c r="S20">
        <v>0</v>
      </c>
    </row>
    <row r="21" spans="1:19" x14ac:dyDescent="0.15">
      <c r="A21">
        <v>20</v>
      </c>
      <c r="B21" s="195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0.8</v>
      </c>
      <c r="N21">
        <v>0.8</v>
      </c>
      <c r="O21">
        <v>0.8</v>
      </c>
      <c r="P21">
        <v>0.8</v>
      </c>
      <c r="Q21">
        <v>0</v>
      </c>
      <c r="R21">
        <v>0.8</v>
      </c>
      <c r="S21">
        <v>0</v>
      </c>
    </row>
    <row r="22" spans="1:19" x14ac:dyDescent="0.15">
      <c r="A22">
        <v>21</v>
      </c>
      <c r="B22" s="195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0.8</v>
      </c>
      <c r="N22">
        <v>0.8</v>
      </c>
      <c r="O22">
        <v>0.8</v>
      </c>
      <c r="P22">
        <v>0</v>
      </c>
      <c r="Q22">
        <v>0</v>
      </c>
      <c r="R22">
        <v>0.8</v>
      </c>
      <c r="S22">
        <v>0</v>
      </c>
    </row>
    <row r="23" spans="1:19" x14ac:dyDescent="0.15">
      <c r="A23">
        <v>22</v>
      </c>
      <c r="B23" s="195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0.8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 x14ac:dyDescent="0.15">
      <c r="A24">
        <v>23</v>
      </c>
      <c r="B24" s="195" t="s">
        <v>214</v>
      </c>
      <c r="C24">
        <v>0.8</v>
      </c>
      <c r="D24">
        <v>0</v>
      </c>
      <c r="E24">
        <v>0.8</v>
      </c>
      <c r="F24">
        <v>0.8</v>
      </c>
      <c r="G24">
        <v>0.8</v>
      </c>
      <c r="H24">
        <v>0.8</v>
      </c>
      <c r="I24">
        <v>0</v>
      </c>
      <c r="J24">
        <v>0</v>
      </c>
      <c r="K24">
        <v>0</v>
      </c>
      <c r="L24">
        <v>0.8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15">
      <c r="A25">
        <v>24</v>
      </c>
      <c r="B25" s="195" t="s">
        <v>215</v>
      </c>
      <c r="C25">
        <v>0.8</v>
      </c>
      <c r="D25">
        <v>0</v>
      </c>
      <c r="E25">
        <v>0.8</v>
      </c>
      <c r="F25">
        <v>0.8</v>
      </c>
      <c r="G25">
        <v>0.8</v>
      </c>
      <c r="H25">
        <v>0.8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15">
      <c r="A26">
        <v>25</v>
      </c>
      <c r="B26" s="195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0.8</v>
      </c>
      <c r="Q26">
        <v>0</v>
      </c>
      <c r="R26">
        <v>0</v>
      </c>
      <c r="S26">
        <v>0</v>
      </c>
    </row>
    <row r="27" spans="1:19" x14ac:dyDescent="0.15">
      <c r="A27">
        <v>26</v>
      </c>
      <c r="B27" s="195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0.8</v>
      </c>
      <c r="Q27">
        <v>0</v>
      </c>
      <c r="R27">
        <v>0</v>
      </c>
      <c r="S27">
        <v>0</v>
      </c>
    </row>
    <row r="28" spans="1:19" x14ac:dyDescent="0.15">
      <c r="A28">
        <v>27</v>
      </c>
      <c r="B28" s="195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0.8</v>
      </c>
      <c r="Q28">
        <v>0</v>
      </c>
      <c r="R28">
        <v>0</v>
      </c>
      <c r="S28">
        <v>0</v>
      </c>
    </row>
    <row r="29" spans="1:19" x14ac:dyDescent="0.15">
      <c r="A29">
        <v>28</v>
      </c>
      <c r="B29" s="195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0.8</v>
      </c>
      <c r="Q29">
        <v>0</v>
      </c>
      <c r="R29">
        <v>0</v>
      </c>
      <c r="S29">
        <v>0</v>
      </c>
    </row>
    <row r="30" spans="1:19" x14ac:dyDescent="0.15">
      <c r="A30">
        <v>29</v>
      </c>
      <c r="B30" s="195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15">
      <c r="A31">
        <v>30</v>
      </c>
      <c r="B31" s="195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15">
      <c r="A32">
        <v>31</v>
      </c>
      <c r="B32" s="195" t="s">
        <v>222</v>
      </c>
      <c r="C32">
        <v>0</v>
      </c>
      <c r="D32">
        <v>0</v>
      </c>
      <c r="E32">
        <v>0.8</v>
      </c>
      <c r="F32">
        <v>0.8</v>
      </c>
      <c r="G32">
        <v>0.8</v>
      </c>
      <c r="H32">
        <v>0.8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0.8</v>
      </c>
      <c r="Q32">
        <v>0</v>
      </c>
      <c r="R32">
        <v>0</v>
      </c>
      <c r="S32">
        <v>0</v>
      </c>
    </row>
    <row r="33" spans="1:19" x14ac:dyDescent="0.15">
      <c r="A33">
        <v>32</v>
      </c>
      <c r="B33" s="195" t="s">
        <v>223</v>
      </c>
      <c r="C33">
        <v>0</v>
      </c>
      <c r="D33">
        <v>0</v>
      </c>
      <c r="E33">
        <v>0.8</v>
      </c>
      <c r="F33">
        <v>0.8</v>
      </c>
      <c r="G33">
        <v>0.8</v>
      </c>
      <c r="H33">
        <v>0.8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15">
      <c r="A34">
        <v>33</v>
      </c>
      <c r="B34" s="195" t="s">
        <v>224</v>
      </c>
      <c r="C34">
        <v>0.8</v>
      </c>
      <c r="D34">
        <v>0</v>
      </c>
      <c r="E34">
        <v>0.8</v>
      </c>
      <c r="F34">
        <v>0.8</v>
      </c>
      <c r="G34">
        <v>0.8</v>
      </c>
      <c r="H34">
        <v>0.8</v>
      </c>
      <c r="I34">
        <v>0</v>
      </c>
      <c r="J34">
        <v>0</v>
      </c>
      <c r="K34">
        <v>0</v>
      </c>
      <c r="L34">
        <v>0.8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 x14ac:dyDescent="0.15">
      <c r="A35">
        <v>34</v>
      </c>
      <c r="B35" s="195" t="s">
        <v>225</v>
      </c>
      <c r="C35">
        <v>0.8</v>
      </c>
      <c r="D35">
        <v>0</v>
      </c>
      <c r="E35">
        <v>0.8</v>
      </c>
      <c r="F35">
        <v>0.8</v>
      </c>
      <c r="G35">
        <v>0.8</v>
      </c>
      <c r="H35">
        <v>0.8</v>
      </c>
      <c r="I35">
        <v>0</v>
      </c>
      <c r="J35">
        <v>0</v>
      </c>
      <c r="K35">
        <v>0</v>
      </c>
      <c r="L35">
        <v>0.8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15">
      <c r="A36">
        <v>35</v>
      </c>
      <c r="B36" s="195" t="s">
        <v>226</v>
      </c>
      <c r="C36">
        <v>0</v>
      </c>
      <c r="D36">
        <v>0</v>
      </c>
      <c r="E36">
        <v>0.8</v>
      </c>
      <c r="F36">
        <v>0.8</v>
      </c>
      <c r="G36">
        <v>0.8</v>
      </c>
      <c r="H36">
        <v>0.8</v>
      </c>
      <c r="I36">
        <v>0</v>
      </c>
      <c r="J36">
        <v>0</v>
      </c>
      <c r="K36">
        <v>0</v>
      </c>
      <c r="L36">
        <v>0.8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 x14ac:dyDescent="0.15">
      <c r="A37">
        <v>36</v>
      </c>
      <c r="B37" s="195" t="s">
        <v>227</v>
      </c>
      <c r="C37">
        <v>0</v>
      </c>
      <c r="D37">
        <v>0</v>
      </c>
      <c r="E37">
        <v>0.8</v>
      </c>
      <c r="F37">
        <v>0.8</v>
      </c>
      <c r="G37">
        <v>0.8</v>
      </c>
      <c r="H37">
        <v>0.8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0.8</v>
      </c>
      <c r="R37">
        <v>0</v>
      </c>
      <c r="S37">
        <v>0</v>
      </c>
    </row>
    <row r="38" spans="1:19" x14ac:dyDescent="0.15">
      <c r="A38">
        <v>37</v>
      </c>
      <c r="B38" s="195" t="s">
        <v>228</v>
      </c>
      <c r="C38">
        <v>0</v>
      </c>
      <c r="D38">
        <v>0</v>
      </c>
      <c r="E38">
        <v>0.8</v>
      </c>
      <c r="F38">
        <v>0.8</v>
      </c>
      <c r="G38">
        <v>0.8</v>
      </c>
      <c r="H38">
        <v>0.8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0.8</v>
      </c>
      <c r="R38">
        <v>0</v>
      </c>
      <c r="S38">
        <v>0</v>
      </c>
    </row>
    <row r="39" spans="1:19" x14ac:dyDescent="0.15">
      <c r="A39">
        <v>38</v>
      </c>
      <c r="B39" s="195" t="s">
        <v>229</v>
      </c>
      <c r="C39">
        <v>0</v>
      </c>
      <c r="D39">
        <v>0</v>
      </c>
      <c r="E39">
        <v>0.8</v>
      </c>
      <c r="F39">
        <v>0.8</v>
      </c>
      <c r="G39">
        <v>0.8</v>
      </c>
      <c r="H39">
        <v>0.8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0.8</v>
      </c>
      <c r="R39">
        <v>0</v>
      </c>
      <c r="S39">
        <v>0</v>
      </c>
    </row>
    <row r="40" spans="1:19" x14ac:dyDescent="0.15">
      <c r="A40">
        <v>39</v>
      </c>
      <c r="B40" s="195" t="s">
        <v>230</v>
      </c>
      <c r="C40">
        <v>0</v>
      </c>
      <c r="D40">
        <v>0</v>
      </c>
      <c r="E40">
        <v>0.8</v>
      </c>
      <c r="F40">
        <v>0.8</v>
      </c>
      <c r="G40">
        <v>0.8</v>
      </c>
      <c r="H40">
        <v>0.8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0.8</v>
      </c>
      <c r="R40">
        <v>0</v>
      </c>
      <c r="S40">
        <v>0</v>
      </c>
    </row>
    <row r="41" spans="1:19" x14ac:dyDescent="0.15">
      <c r="A41">
        <v>40</v>
      </c>
      <c r="B41" s="195" t="s">
        <v>231</v>
      </c>
      <c r="C41">
        <v>0</v>
      </c>
      <c r="D41">
        <v>0</v>
      </c>
      <c r="E41">
        <v>0.8</v>
      </c>
      <c r="F41">
        <v>0.8</v>
      </c>
      <c r="G41">
        <v>0.8</v>
      </c>
      <c r="H41">
        <v>0.8</v>
      </c>
      <c r="I41">
        <v>0</v>
      </c>
      <c r="J41">
        <v>0</v>
      </c>
      <c r="K41">
        <v>0</v>
      </c>
      <c r="L41">
        <v>0.8</v>
      </c>
      <c r="M41">
        <v>0</v>
      </c>
      <c r="N41">
        <v>0</v>
      </c>
      <c r="O41">
        <v>0</v>
      </c>
      <c r="P41">
        <v>0</v>
      </c>
      <c r="Q41">
        <v>0.8</v>
      </c>
      <c r="R41">
        <v>0</v>
      </c>
      <c r="S41">
        <v>0</v>
      </c>
    </row>
    <row r="42" spans="1:19" x14ac:dyDescent="0.15">
      <c r="A42">
        <v>41</v>
      </c>
      <c r="B42" s="195" t="s">
        <v>232</v>
      </c>
      <c r="C42">
        <v>0</v>
      </c>
      <c r="D42">
        <v>0</v>
      </c>
      <c r="E42">
        <v>0.8</v>
      </c>
      <c r="F42">
        <v>0.8</v>
      </c>
      <c r="G42">
        <v>0.8</v>
      </c>
      <c r="H42">
        <v>0.8</v>
      </c>
      <c r="I42">
        <v>0</v>
      </c>
      <c r="J42">
        <v>0</v>
      </c>
      <c r="K42">
        <v>0</v>
      </c>
      <c r="L42">
        <v>0.8</v>
      </c>
      <c r="M42">
        <v>0</v>
      </c>
      <c r="N42">
        <v>0</v>
      </c>
      <c r="O42">
        <v>0</v>
      </c>
      <c r="P42">
        <v>0</v>
      </c>
      <c r="Q42">
        <v>0.8</v>
      </c>
      <c r="R42">
        <v>0</v>
      </c>
      <c r="S42">
        <v>0</v>
      </c>
    </row>
    <row r="43" spans="1:19" x14ac:dyDescent="0.15">
      <c r="A43">
        <v>42</v>
      </c>
      <c r="B43" s="195" t="s">
        <v>233</v>
      </c>
      <c r="C43">
        <v>0.8</v>
      </c>
      <c r="D43">
        <v>0</v>
      </c>
      <c r="E43">
        <v>0.8</v>
      </c>
      <c r="F43">
        <v>0.8</v>
      </c>
      <c r="G43">
        <v>0.8</v>
      </c>
      <c r="H43">
        <v>0.8</v>
      </c>
      <c r="I43">
        <v>0</v>
      </c>
      <c r="J43">
        <v>0</v>
      </c>
      <c r="K43">
        <v>0</v>
      </c>
      <c r="L43">
        <v>0.8</v>
      </c>
      <c r="M43">
        <v>0</v>
      </c>
      <c r="N43">
        <v>0</v>
      </c>
      <c r="O43">
        <v>0</v>
      </c>
      <c r="P43">
        <v>0.8</v>
      </c>
      <c r="Q43">
        <v>0</v>
      </c>
      <c r="R43">
        <v>0</v>
      </c>
      <c r="S43">
        <v>0</v>
      </c>
    </row>
    <row r="44" spans="1:19" x14ac:dyDescent="0.15">
      <c r="A44">
        <v>43</v>
      </c>
      <c r="B44" s="195" t="s">
        <v>234</v>
      </c>
      <c r="C44">
        <v>0.8</v>
      </c>
      <c r="D44">
        <v>0</v>
      </c>
      <c r="E44">
        <v>0.8</v>
      </c>
      <c r="F44">
        <v>0.8</v>
      </c>
      <c r="G44">
        <v>0.8</v>
      </c>
      <c r="H44">
        <v>0.8</v>
      </c>
      <c r="I44">
        <v>0</v>
      </c>
      <c r="J44">
        <v>0</v>
      </c>
      <c r="K44">
        <v>0</v>
      </c>
      <c r="L44">
        <v>0.8</v>
      </c>
      <c r="M44">
        <v>0</v>
      </c>
      <c r="N44">
        <v>0</v>
      </c>
      <c r="O44">
        <v>0</v>
      </c>
      <c r="P44">
        <v>0.8</v>
      </c>
      <c r="Q44">
        <v>0</v>
      </c>
      <c r="R44">
        <v>0</v>
      </c>
      <c r="S44">
        <v>0</v>
      </c>
    </row>
    <row r="45" spans="1:19" x14ac:dyDescent="0.15">
      <c r="A45">
        <v>44</v>
      </c>
      <c r="B45" s="195" t="s">
        <v>235</v>
      </c>
      <c r="C45">
        <v>0.8</v>
      </c>
      <c r="D45">
        <v>0</v>
      </c>
      <c r="E45">
        <v>0.8</v>
      </c>
      <c r="F45">
        <v>0.8</v>
      </c>
      <c r="G45">
        <v>0.8</v>
      </c>
      <c r="H45">
        <v>0.8</v>
      </c>
      <c r="I45">
        <v>0</v>
      </c>
      <c r="J45">
        <v>0</v>
      </c>
      <c r="K45">
        <v>0</v>
      </c>
      <c r="L45">
        <v>0.8</v>
      </c>
      <c r="M45">
        <v>0</v>
      </c>
      <c r="N45">
        <v>0</v>
      </c>
      <c r="O45">
        <v>0</v>
      </c>
      <c r="P45">
        <v>0.8</v>
      </c>
      <c r="Q45">
        <v>0</v>
      </c>
      <c r="R45">
        <v>0</v>
      </c>
      <c r="S45">
        <v>0</v>
      </c>
    </row>
    <row r="46" spans="1:19" x14ac:dyDescent="0.15">
      <c r="A46">
        <v>45</v>
      </c>
      <c r="B46" s="195" t="s">
        <v>236</v>
      </c>
      <c r="C46">
        <v>0.8</v>
      </c>
      <c r="D46">
        <v>0</v>
      </c>
      <c r="E46">
        <v>0.8</v>
      </c>
      <c r="F46">
        <v>0.8</v>
      </c>
      <c r="G46">
        <v>0.8</v>
      </c>
      <c r="H46">
        <v>0.8</v>
      </c>
      <c r="I46">
        <v>0</v>
      </c>
      <c r="J46">
        <v>0</v>
      </c>
      <c r="K46">
        <v>0</v>
      </c>
      <c r="L46">
        <v>0.8</v>
      </c>
      <c r="M46">
        <v>0</v>
      </c>
      <c r="N46">
        <v>0</v>
      </c>
      <c r="O46">
        <v>0</v>
      </c>
      <c r="P46">
        <v>0.8</v>
      </c>
      <c r="Q46">
        <v>0</v>
      </c>
      <c r="R46">
        <v>0</v>
      </c>
      <c r="S46">
        <v>0</v>
      </c>
    </row>
    <row r="47" spans="1:19" x14ac:dyDescent="0.15">
      <c r="A47">
        <v>46</v>
      </c>
      <c r="B47" s="195" t="s">
        <v>237</v>
      </c>
      <c r="C47">
        <v>0.8</v>
      </c>
      <c r="D47">
        <v>0</v>
      </c>
      <c r="E47">
        <v>0.8</v>
      </c>
      <c r="F47">
        <v>0.8</v>
      </c>
      <c r="G47">
        <v>0.8</v>
      </c>
      <c r="H47">
        <v>0.8</v>
      </c>
      <c r="I47">
        <v>0</v>
      </c>
      <c r="J47">
        <v>0</v>
      </c>
      <c r="K47">
        <v>0</v>
      </c>
      <c r="L47">
        <v>0.8</v>
      </c>
      <c r="M47">
        <v>0</v>
      </c>
      <c r="N47">
        <v>0</v>
      </c>
      <c r="O47">
        <v>0</v>
      </c>
      <c r="P47">
        <v>0.8</v>
      </c>
      <c r="Q47">
        <v>0</v>
      </c>
      <c r="R47">
        <v>0</v>
      </c>
      <c r="S47">
        <v>0</v>
      </c>
    </row>
    <row r="48" spans="1:19" x14ac:dyDescent="0.15">
      <c r="A48">
        <v>47</v>
      </c>
      <c r="B48" s="195" t="s">
        <v>238</v>
      </c>
      <c r="C48">
        <v>0.8</v>
      </c>
      <c r="D48">
        <v>0</v>
      </c>
      <c r="E48">
        <v>0.8</v>
      </c>
      <c r="F48">
        <v>0.8</v>
      </c>
      <c r="G48">
        <v>0.8</v>
      </c>
      <c r="H48">
        <v>0.8</v>
      </c>
      <c r="I48">
        <v>0</v>
      </c>
      <c r="J48">
        <v>0</v>
      </c>
      <c r="K48">
        <v>0</v>
      </c>
      <c r="L48">
        <v>0.8</v>
      </c>
      <c r="M48">
        <v>0</v>
      </c>
      <c r="N48">
        <v>0</v>
      </c>
      <c r="O48">
        <v>0</v>
      </c>
      <c r="P48">
        <v>0.8</v>
      </c>
      <c r="Q48">
        <v>0</v>
      </c>
      <c r="R48">
        <v>0</v>
      </c>
      <c r="S48">
        <v>0</v>
      </c>
    </row>
    <row r="49" spans="1:19" x14ac:dyDescent="0.15">
      <c r="A49">
        <v>48</v>
      </c>
      <c r="B49" s="195" t="s">
        <v>239</v>
      </c>
      <c r="C49">
        <v>0.8</v>
      </c>
      <c r="D49">
        <v>0</v>
      </c>
      <c r="E49">
        <v>0</v>
      </c>
      <c r="F49">
        <v>0</v>
      </c>
      <c r="G49">
        <v>0.8</v>
      </c>
      <c r="H49">
        <v>0.8</v>
      </c>
      <c r="I49">
        <v>0</v>
      </c>
      <c r="J49">
        <v>0</v>
      </c>
      <c r="K49">
        <v>0</v>
      </c>
      <c r="L49">
        <v>0.8</v>
      </c>
      <c r="M49">
        <v>0</v>
      </c>
      <c r="N49">
        <v>0</v>
      </c>
      <c r="O49">
        <v>0</v>
      </c>
      <c r="P49">
        <v>0.8</v>
      </c>
      <c r="Q49">
        <v>0</v>
      </c>
      <c r="R49">
        <v>0</v>
      </c>
      <c r="S49">
        <v>0</v>
      </c>
    </row>
    <row r="50" spans="1:19" x14ac:dyDescent="0.15">
      <c r="A50">
        <v>49</v>
      </c>
      <c r="B50" s="195" t="s">
        <v>240</v>
      </c>
      <c r="C50">
        <v>0.8</v>
      </c>
      <c r="D50">
        <v>0</v>
      </c>
      <c r="E50">
        <v>0</v>
      </c>
      <c r="F50">
        <v>0</v>
      </c>
      <c r="G50">
        <v>0.8</v>
      </c>
      <c r="H50">
        <v>0.8</v>
      </c>
      <c r="I50">
        <v>0</v>
      </c>
      <c r="J50">
        <v>0</v>
      </c>
      <c r="K50">
        <v>0</v>
      </c>
      <c r="L50">
        <v>0.8</v>
      </c>
      <c r="M50">
        <v>0</v>
      </c>
      <c r="N50">
        <v>0</v>
      </c>
      <c r="O50">
        <v>0</v>
      </c>
      <c r="P50">
        <v>0.8</v>
      </c>
      <c r="Q50">
        <v>0</v>
      </c>
      <c r="R50">
        <v>0</v>
      </c>
      <c r="S50">
        <v>0</v>
      </c>
    </row>
    <row r="51" spans="1:19" x14ac:dyDescent="0.15">
      <c r="A51">
        <v>50</v>
      </c>
      <c r="B51" s="195" t="s">
        <v>241</v>
      </c>
      <c r="C51">
        <v>0.8</v>
      </c>
      <c r="D51">
        <v>0</v>
      </c>
      <c r="E51">
        <v>0</v>
      </c>
      <c r="F51">
        <v>0</v>
      </c>
      <c r="G51">
        <v>0.8</v>
      </c>
      <c r="H51">
        <v>0.8</v>
      </c>
      <c r="I51">
        <v>0</v>
      </c>
      <c r="J51">
        <v>0</v>
      </c>
      <c r="K51">
        <v>0</v>
      </c>
      <c r="L51">
        <v>0.8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0.8</v>
      </c>
    </row>
    <row r="52" spans="1:19" x14ac:dyDescent="0.15">
      <c r="A52">
        <v>51</v>
      </c>
      <c r="B52" s="195" t="s">
        <v>242</v>
      </c>
      <c r="C52">
        <v>0.8</v>
      </c>
      <c r="D52">
        <v>0</v>
      </c>
      <c r="E52">
        <v>0</v>
      </c>
      <c r="F52">
        <v>0</v>
      </c>
      <c r="G52">
        <v>0.8</v>
      </c>
      <c r="H52">
        <v>0.8</v>
      </c>
      <c r="I52">
        <v>0</v>
      </c>
      <c r="J52">
        <v>0</v>
      </c>
      <c r="K52">
        <v>0</v>
      </c>
      <c r="L52">
        <v>0.8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0.8</v>
      </c>
    </row>
    <row r="53" spans="1:19" x14ac:dyDescent="0.15">
      <c r="A53">
        <v>52</v>
      </c>
      <c r="B53" s="195" t="s">
        <v>243</v>
      </c>
      <c r="C53">
        <v>0.8</v>
      </c>
      <c r="D53">
        <v>0</v>
      </c>
      <c r="E53">
        <v>0.8</v>
      </c>
      <c r="F53">
        <v>0.8</v>
      </c>
      <c r="G53">
        <v>0.8</v>
      </c>
      <c r="H53">
        <v>0.8</v>
      </c>
      <c r="I53">
        <v>0.8</v>
      </c>
      <c r="J53">
        <v>0.8</v>
      </c>
      <c r="K53">
        <v>0.8</v>
      </c>
      <c r="L53">
        <v>0.8</v>
      </c>
      <c r="M53">
        <v>0.8</v>
      </c>
      <c r="N53">
        <v>0</v>
      </c>
      <c r="O53">
        <v>0</v>
      </c>
      <c r="P53">
        <v>0</v>
      </c>
      <c r="Q53">
        <v>0.8</v>
      </c>
      <c r="R53">
        <v>0</v>
      </c>
      <c r="S53">
        <v>0</v>
      </c>
    </row>
    <row r="54" spans="1:19" x14ac:dyDescent="0.15">
      <c r="A54">
        <v>53</v>
      </c>
      <c r="B54" s="195" t="s">
        <v>244</v>
      </c>
      <c r="C54">
        <v>0.8</v>
      </c>
      <c r="D54">
        <v>0</v>
      </c>
      <c r="E54">
        <v>0.8</v>
      </c>
      <c r="F54">
        <v>0.8</v>
      </c>
      <c r="G54">
        <v>0.8</v>
      </c>
      <c r="H54">
        <v>0.8</v>
      </c>
      <c r="I54">
        <v>0.8</v>
      </c>
      <c r="J54">
        <v>0.8</v>
      </c>
      <c r="K54">
        <v>0.8</v>
      </c>
      <c r="L54">
        <v>0.8</v>
      </c>
      <c r="M54">
        <v>0.8</v>
      </c>
      <c r="N54">
        <v>0</v>
      </c>
      <c r="O54">
        <v>0</v>
      </c>
      <c r="P54">
        <v>0</v>
      </c>
      <c r="Q54">
        <v>0.8</v>
      </c>
      <c r="R54">
        <v>0</v>
      </c>
      <c r="S54">
        <v>0</v>
      </c>
    </row>
    <row r="55" spans="1:19" x14ac:dyDescent="0.15">
      <c r="A55">
        <v>54</v>
      </c>
      <c r="B55" s="195" t="s">
        <v>245</v>
      </c>
      <c r="C55">
        <v>0.8</v>
      </c>
      <c r="D55">
        <v>0</v>
      </c>
      <c r="E55">
        <v>0.8</v>
      </c>
      <c r="F55">
        <v>0.8</v>
      </c>
      <c r="G55">
        <v>0.8</v>
      </c>
      <c r="H55">
        <v>0.8</v>
      </c>
      <c r="I55">
        <v>0</v>
      </c>
      <c r="J55">
        <v>0</v>
      </c>
      <c r="K55">
        <v>0</v>
      </c>
      <c r="L55">
        <v>0.8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15">
      <c r="A56">
        <v>55</v>
      </c>
      <c r="B56" s="195" t="s">
        <v>246</v>
      </c>
      <c r="C56">
        <v>0.8</v>
      </c>
      <c r="D56">
        <v>0</v>
      </c>
      <c r="E56">
        <v>0.8</v>
      </c>
      <c r="F56">
        <v>0.8</v>
      </c>
      <c r="G56">
        <v>0.8</v>
      </c>
      <c r="H56">
        <v>0.8</v>
      </c>
      <c r="I56">
        <v>0</v>
      </c>
      <c r="J56">
        <v>0</v>
      </c>
      <c r="K56">
        <v>0</v>
      </c>
      <c r="L56">
        <v>0.8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15">
      <c r="A57">
        <v>56</v>
      </c>
      <c r="B57" s="195" t="s">
        <v>247</v>
      </c>
      <c r="C57">
        <v>0</v>
      </c>
      <c r="D57">
        <v>0</v>
      </c>
      <c r="E57">
        <v>0.8</v>
      </c>
      <c r="F57">
        <v>0.8</v>
      </c>
      <c r="G57">
        <v>0.8</v>
      </c>
      <c r="H57">
        <v>0.8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0.8</v>
      </c>
      <c r="R57">
        <v>0</v>
      </c>
      <c r="S57">
        <v>0</v>
      </c>
    </row>
    <row r="58" spans="1:19" x14ac:dyDescent="0.15">
      <c r="A58">
        <v>57</v>
      </c>
      <c r="B58" s="195" t="s">
        <v>248</v>
      </c>
      <c r="C58">
        <v>0</v>
      </c>
      <c r="D58">
        <v>0</v>
      </c>
      <c r="E58">
        <v>0.8</v>
      </c>
      <c r="F58">
        <v>0.8</v>
      </c>
      <c r="G58">
        <v>0.8</v>
      </c>
      <c r="H58">
        <v>0.8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0.8</v>
      </c>
      <c r="R58">
        <v>0</v>
      </c>
      <c r="S58">
        <v>0</v>
      </c>
    </row>
    <row r="59" spans="1:19" x14ac:dyDescent="0.15">
      <c r="A59">
        <v>58</v>
      </c>
      <c r="B59" s="195" t="s">
        <v>249</v>
      </c>
      <c r="C59">
        <v>0</v>
      </c>
      <c r="D59">
        <v>0</v>
      </c>
      <c r="E59">
        <v>0.8</v>
      </c>
      <c r="F59">
        <v>0.8</v>
      </c>
      <c r="G59">
        <v>0.8</v>
      </c>
      <c r="H59">
        <v>0.8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0.8</v>
      </c>
    </row>
    <row r="60" spans="1:19" x14ac:dyDescent="0.15">
      <c r="A60">
        <v>59</v>
      </c>
      <c r="B60" s="195" t="s">
        <v>250</v>
      </c>
      <c r="C60">
        <v>0</v>
      </c>
      <c r="D60">
        <v>0</v>
      </c>
      <c r="E60">
        <v>0.8</v>
      </c>
      <c r="F60">
        <v>0.8</v>
      </c>
      <c r="G60">
        <v>0.8</v>
      </c>
      <c r="H60">
        <v>0.8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0.8</v>
      </c>
    </row>
    <row r="61" spans="1:19" x14ac:dyDescent="0.15">
      <c r="A61">
        <v>60</v>
      </c>
      <c r="B61" s="195" t="s">
        <v>251</v>
      </c>
      <c r="C61">
        <v>0</v>
      </c>
      <c r="D61">
        <v>0</v>
      </c>
      <c r="E61">
        <v>0.8</v>
      </c>
      <c r="F61">
        <v>0.8</v>
      </c>
      <c r="G61">
        <v>0.8</v>
      </c>
      <c r="H61">
        <v>0.8</v>
      </c>
      <c r="I61">
        <v>0</v>
      </c>
      <c r="J61">
        <v>0</v>
      </c>
      <c r="K61">
        <v>0</v>
      </c>
      <c r="L61">
        <v>0.8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15">
      <c r="A62">
        <v>61</v>
      </c>
      <c r="B62" s="195" t="s">
        <v>252</v>
      </c>
      <c r="C62">
        <v>0</v>
      </c>
      <c r="D62">
        <v>0</v>
      </c>
      <c r="E62">
        <v>0.8</v>
      </c>
      <c r="F62">
        <v>0.8</v>
      </c>
      <c r="G62">
        <v>0.8</v>
      </c>
      <c r="H62">
        <v>0.8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15">
      <c r="A63">
        <v>62</v>
      </c>
      <c r="B63" s="195" t="s">
        <v>253</v>
      </c>
      <c r="C63">
        <v>0</v>
      </c>
      <c r="D63">
        <v>0</v>
      </c>
      <c r="E63">
        <v>0.8</v>
      </c>
      <c r="F63">
        <v>0.8</v>
      </c>
      <c r="G63">
        <v>0.8</v>
      </c>
      <c r="H63">
        <v>0.8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15">
      <c r="A64">
        <v>63</v>
      </c>
      <c r="B64" s="195" t="s">
        <v>254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1:19" x14ac:dyDescent="0.15">
      <c r="A65">
        <v>64</v>
      </c>
      <c r="B65" s="195" t="s">
        <v>255</v>
      </c>
      <c r="C65">
        <v>0</v>
      </c>
      <c r="D65">
        <v>0</v>
      </c>
      <c r="E65">
        <v>0.8</v>
      </c>
      <c r="F65">
        <v>0.8</v>
      </c>
      <c r="G65">
        <v>0.8</v>
      </c>
      <c r="H65">
        <v>0.8</v>
      </c>
      <c r="I65">
        <v>0</v>
      </c>
      <c r="J65">
        <v>0</v>
      </c>
      <c r="K65">
        <v>0</v>
      </c>
      <c r="L65">
        <v>0.8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15">
      <c r="A66">
        <v>65</v>
      </c>
      <c r="B66" s="195" t="s">
        <v>256</v>
      </c>
      <c r="C66">
        <v>0</v>
      </c>
      <c r="D66">
        <v>0</v>
      </c>
      <c r="E66">
        <v>0.8</v>
      </c>
      <c r="F66">
        <v>0.8</v>
      </c>
      <c r="G66">
        <v>0.8</v>
      </c>
      <c r="H66">
        <v>0.8</v>
      </c>
      <c r="I66">
        <v>0</v>
      </c>
      <c r="J66">
        <v>0</v>
      </c>
      <c r="K66">
        <v>0</v>
      </c>
      <c r="L66">
        <v>0.8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15">
      <c r="A67">
        <v>66</v>
      </c>
      <c r="B67" s="195" t="s">
        <v>257</v>
      </c>
      <c r="C67">
        <v>0</v>
      </c>
      <c r="D67">
        <v>0</v>
      </c>
      <c r="E67">
        <v>0.8</v>
      </c>
      <c r="F67">
        <v>0.8</v>
      </c>
      <c r="G67">
        <v>0.8</v>
      </c>
      <c r="H67">
        <v>0.8</v>
      </c>
      <c r="I67">
        <v>0</v>
      </c>
      <c r="J67">
        <v>0</v>
      </c>
      <c r="K67">
        <v>0</v>
      </c>
      <c r="L67">
        <v>0.8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15">
      <c r="A68">
        <v>67</v>
      </c>
      <c r="B68" s="195" t="s">
        <v>258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15">
      <c r="A69">
        <v>68</v>
      </c>
      <c r="B69" s="195" t="s">
        <v>259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0.8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</row>
    <row r="70" spans="1:19" x14ac:dyDescent="0.15">
      <c r="A70">
        <v>69</v>
      </c>
      <c r="B70" s="195" t="s">
        <v>260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15">
      <c r="A71">
        <v>70</v>
      </c>
      <c r="B71" s="195" t="s">
        <v>261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15">
      <c r="A72">
        <v>71</v>
      </c>
      <c r="B72" s="195" t="s">
        <v>262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15">
      <c r="A73">
        <v>72</v>
      </c>
      <c r="B73" s="195" t="s">
        <v>263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15">
      <c r="A74">
        <v>73</v>
      </c>
      <c r="B74" s="195" t="s">
        <v>264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0.8</v>
      </c>
    </row>
    <row r="75" spans="1:19" x14ac:dyDescent="0.15">
      <c r="A75">
        <v>74</v>
      </c>
      <c r="B75" s="195" t="s">
        <v>265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0.8</v>
      </c>
    </row>
    <row r="76" spans="1:19" x14ac:dyDescent="0.15">
      <c r="A76">
        <v>75</v>
      </c>
      <c r="B76" s="195" t="s">
        <v>266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0.8</v>
      </c>
      <c r="R76">
        <v>0</v>
      </c>
      <c r="S76">
        <v>0</v>
      </c>
    </row>
    <row r="77" spans="1:19" x14ac:dyDescent="0.15">
      <c r="A77">
        <v>76</v>
      </c>
      <c r="B77" s="195" t="s">
        <v>267</v>
      </c>
      <c r="C77">
        <v>0</v>
      </c>
      <c r="D77">
        <v>0.8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15">
      <c r="A78">
        <v>77</v>
      </c>
      <c r="B78" s="195" t="s">
        <v>268</v>
      </c>
      <c r="C78">
        <v>0.8</v>
      </c>
      <c r="D78">
        <v>0.8</v>
      </c>
      <c r="E78">
        <v>0</v>
      </c>
      <c r="F78">
        <v>0</v>
      </c>
      <c r="G78">
        <v>0</v>
      </c>
      <c r="H78">
        <v>0</v>
      </c>
      <c r="I78">
        <v>0.8</v>
      </c>
      <c r="J78">
        <v>0</v>
      </c>
      <c r="K78">
        <v>0</v>
      </c>
      <c r="L78">
        <v>0.8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15">
      <c r="A79">
        <v>78</v>
      </c>
      <c r="B79" s="195" t="s">
        <v>269</v>
      </c>
      <c r="C79">
        <v>0</v>
      </c>
      <c r="D79">
        <v>0.8</v>
      </c>
      <c r="E79">
        <v>0</v>
      </c>
      <c r="F79">
        <v>0</v>
      </c>
      <c r="G79">
        <v>0</v>
      </c>
      <c r="H79">
        <v>0</v>
      </c>
      <c r="I79">
        <v>0.8</v>
      </c>
      <c r="J79">
        <v>0</v>
      </c>
      <c r="K79">
        <v>0</v>
      </c>
      <c r="L79">
        <v>0.8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</row>
    <row r="80" spans="1:19" x14ac:dyDescent="0.15">
      <c r="A80">
        <v>79</v>
      </c>
      <c r="B80" s="195" t="s">
        <v>270</v>
      </c>
      <c r="C80">
        <v>0</v>
      </c>
      <c r="D80">
        <v>0.8</v>
      </c>
      <c r="E80">
        <v>0</v>
      </c>
      <c r="F80">
        <v>0</v>
      </c>
      <c r="G80">
        <v>0</v>
      </c>
      <c r="H80">
        <v>0</v>
      </c>
      <c r="I80">
        <v>0.8</v>
      </c>
      <c r="J80">
        <v>0</v>
      </c>
      <c r="K80">
        <v>0</v>
      </c>
      <c r="L80">
        <v>0.8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15">
      <c r="A81">
        <v>80</v>
      </c>
      <c r="B81" s="195" t="s">
        <v>271</v>
      </c>
      <c r="C81">
        <v>0</v>
      </c>
      <c r="D81">
        <v>0.8</v>
      </c>
      <c r="E81">
        <v>0</v>
      </c>
      <c r="F81">
        <v>0</v>
      </c>
      <c r="G81">
        <v>0</v>
      </c>
      <c r="H81">
        <v>0</v>
      </c>
      <c r="I81">
        <v>0.8</v>
      </c>
      <c r="J81">
        <v>0</v>
      </c>
      <c r="K81">
        <v>0</v>
      </c>
      <c r="L81">
        <v>0.8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</row>
    <row r="82" spans="1:19" x14ac:dyDescent="0.15">
      <c r="A82">
        <v>81</v>
      </c>
      <c r="B82" s="195" t="s">
        <v>272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15">
      <c r="A83">
        <v>82</v>
      </c>
      <c r="B83" s="195" t="s">
        <v>273</v>
      </c>
      <c r="C83">
        <v>0</v>
      </c>
      <c r="D83">
        <v>0.8</v>
      </c>
      <c r="E83">
        <v>0</v>
      </c>
      <c r="F83">
        <v>0</v>
      </c>
      <c r="G83">
        <v>0</v>
      </c>
      <c r="H83">
        <v>0</v>
      </c>
      <c r="I83">
        <v>0.8</v>
      </c>
      <c r="J83">
        <v>0</v>
      </c>
      <c r="K83">
        <v>0</v>
      </c>
      <c r="L83">
        <v>0.8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15">
      <c r="A84">
        <v>83</v>
      </c>
      <c r="B84" s="195" t="s">
        <v>274</v>
      </c>
      <c r="C84">
        <v>0</v>
      </c>
      <c r="D84">
        <v>0.8</v>
      </c>
      <c r="E84">
        <v>0</v>
      </c>
      <c r="F84">
        <v>0</v>
      </c>
      <c r="G84">
        <v>0</v>
      </c>
      <c r="H84">
        <v>0</v>
      </c>
      <c r="I84">
        <v>0.8</v>
      </c>
      <c r="J84">
        <v>0</v>
      </c>
      <c r="K84">
        <v>0</v>
      </c>
      <c r="L84">
        <v>0.8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15">
      <c r="A85">
        <v>84</v>
      </c>
      <c r="B85" s="195" t="s">
        <v>275</v>
      </c>
      <c r="C85">
        <v>0</v>
      </c>
      <c r="D85">
        <v>0.8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15">
      <c r="A86">
        <v>85</v>
      </c>
      <c r="B86" s="195" t="s">
        <v>276</v>
      </c>
      <c r="C86">
        <v>0</v>
      </c>
      <c r="D86">
        <v>0.8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</row>
    <row r="87" spans="1:19" x14ac:dyDescent="0.15">
      <c r="A87">
        <v>86</v>
      </c>
      <c r="B87" s="195" t="s">
        <v>277</v>
      </c>
      <c r="C87">
        <v>0</v>
      </c>
      <c r="D87">
        <v>0.8</v>
      </c>
      <c r="E87">
        <v>0</v>
      </c>
      <c r="F87">
        <v>0</v>
      </c>
      <c r="G87">
        <v>0</v>
      </c>
      <c r="H87">
        <v>0</v>
      </c>
      <c r="I87">
        <v>0.8</v>
      </c>
      <c r="J87">
        <v>0</v>
      </c>
      <c r="K87">
        <v>0</v>
      </c>
      <c r="L87">
        <v>0.8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0.8</v>
      </c>
    </row>
    <row r="88" spans="1:19" x14ac:dyDescent="0.15">
      <c r="A88">
        <v>87</v>
      </c>
      <c r="B88" s="195" t="s">
        <v>278</v>
      </c>
      <c r="C88">
        <v>0</v>
      </c>
      <c r="D88">
        <v>0.8</v>
      </c>
      <c r="E88">
        <v>0</v>
      </c>
      <c r="F88">
        <v>0</v>
      </c>
      <c r="G88">
        <v>0</v>
      </c>
      <c r="H88">
        <v>0</v>
      </c>
      <c r="I88">
        <v>0.8</v>
      </c>
      <c r="J88">
        <v>0</v>
      </c>
      <c r="K88">
        <v>0</v>
      </c>
      <c r="L88">
        <v>0.8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0.8</v>
      </c>
    </row>
    <row r="89" spans="1:19" x14ac:dyDescent="0.15">
      <c r="A89">
        <v>88</v>
      </c>
      <c r="B89" s="195" t="s">
        <v>279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15">
      <c r="A90">
        <v>89</v>
      </c>
      <c r="B90" s="195" t="s">
        <v>280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15">
      <c r="A91">
        <v>90</v>
      </c>
      <c r="B91" s="195" t="s">
        <v>281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</row>
    <row r="92" spans="1:19" x14ac:dyDescent="0.15">
      <c r="A92">
        <v>91</v>
      </c>
      <c r="B92" s="195" t="s">
        <v>282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15">
      <c r="A93">
        <v>92</v>
      </c>
      <c r="B93" s="195" t="s">
        <v>283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</row>
    <row r="94" spans="1:19" x14ac:dyDescent="0.15">
      <c r="A94">
        <v>93</v>
      </c>
      <c r="B94" s="195" t="s">
        <v>284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15">
      <c r="A95">
        <v>94</v>
      </c>
      <c r="B95" s="195" t="s">
        <v>285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15">
      <c r="A96">
        <v>95</v>
      </c>
      <c r="B96" s="195" t="s">
        <v>286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15">
      <c r="A97">
        <v>96</v>
      </c>
      <c r="B97" s="195" t="s">
        <v>287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15">
      <c r="A98">
        <v>97</v>
      </c>
      <c r="B98" s="195" t="s">
        <v>288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</row>
    <row r="99" spans="1:19" x14ac:dyDescent="0.15">
      <c r="A99">
        <v>98</v>
      </c>
      <c r="B99" s="195" t="s">
        <v>289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15">
      <c r="A100">
        <v>99</v>
      </c>
      <c r="B100" s="195" t="s">
        <v>290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S10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1.5" bestFit="1" customWidth="1"/>
    <col min="3" max="4" width="3.83203125" bestFit="1" customWidth="1"/>
    <col min="5" max="19" width="3.83203125" customWidth="1"/>
  </cols>
  <sheetData>
    <row r="1" spans="1:19" ht="112" x14ac:dyDescent="0.15">
      <c r="A1" s="5" t="s">
        <v>82</v>
      </c>
      <c r="B1" s="3" t="s">
        <v>0</v>
      </c>
      <c r="C1" s="198" t="s">
        <v>291</v>
      </c>
      <c r="D1" s="198" t="s">
        <v>292</v>
      </c>
      <c r="E1" s="198" t="s">
        <v>293</v>
      </c>
      <c r="F1" s="198" t="s">
        <v>294</v>
      </c>
      <c r="G1" s="198" t="s">
        <v>295</v>
      </c>
      <c r="H1" s="198" t="s">
        <v>296</v>
      </c>
      <c r="I1" s="198" t="s">
        <v>297</v>
      </c>
      <c r="J1" s="198" t="s">
        <v>298</v>
      </c>
      <c r="K1" s="198" t="s">
        <v>299</v>
      </c>
      <c r="L1" s="198" t="s">
        <v>300</v>
      </c>
      <c r="M1" s="198" t="s">
        <v>301</v>
      </c>
      <c r="N1" s="198" t="s">
        <v>302</v>
      </c>
      <c r="O1" s="198" t="s">
        <v>303</v>
      </c>
      <c r="P1" s="198" t="s">
        <v>304</v>
      </c>
      <c r="Q1" s="198" t="s">
        <v>305</v>
      </c>
      <c r="R1" s="198" t="s">
        <v>306</v>
      </c>
      <c r="S1" s="198" t="s">
        <v>307</v>
      </c>
    </row>
    <row r="2" spans="1:19" x14ac:dyDescent="0.15">
      <c r="A2">
        <v>1</v>
      </c>
      <c r="B2" s="19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15">
      <c r="A3">
        <v>2</v>
      </c>
      <c r="B3" s="197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15">
      <c r="A4">
        <v>3</v>
      </c>
      <c r="B4" s="197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15">
      <c r="A5">
        <v>4</v>
      </c>
      <c r="B5" s="197" t="s">
        <v>195</v>
      </c>
      <c r="C5">
        <v>0.8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15">
      <c r="A6">
        <v>5</v>
      </c>
      <c r="B6" s="197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0.8</v>
      </c>
      <c r="N6">
        <v>0</v>
      </c>
      <c r="O6">
        <v>0</v>
      </c>
      <c r="P6">
        <v>0.8</v>
      </c>
      <c r="Q6">
        <v>0</v>
      </c>
      <c r="R6">
        <v>0</v>
      </c>
      <c r="S6">
        <v>0</v>
      </c>
    </row>
    <row r="7" spans="1:19" x14ac:dyDescent="0.15">
      <c r="A7">
        <v>6</v>
      </c>
      <c r="B7" s="197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0.8</v>
      </c>
      <c r="Q7">
        <v>0</v>
      </c>
      <c r="R7">
        <v>0</v>
      </c>
      <c r="S7">
        <v>0</v>
      </c>
    </row>
    <row r="8" spans="1:19" x14ac:dyDescent="0.15">
      <c r="A8">
        <v>7</v>
      </c>
      <c r="B8" s="197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0.8</v>
      </c>
      <c r="Q8">
        <v>0</v>
      </c>
      <c r="R8">
        <v>0</v>
      </c>
      <c r="S8">
        <v>0</v>
      </c>
    </row>
    <row r="9" spans="1:19" x14ac:dyDescent="0.15">
      <c r="A9">
        <v>8</v>
      </c>
      <c r="B9" s="197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0.8</v>
      </c>
      <c r="Q9">
        <v>0</v>
      </c>
      <c r="R9">
        <v>0</v>
      </c>
      <c r="S9">
        <v>0</v>
      </c>
    </row>
    <row r="10" spans="1:19" x14ac:dyDescent="0.15">
      <c r="A10">
        <v>9</v>
      </c>
      <c r="B10" s="197" t="s">
        <v>200</v>
      </c>
      <c r="C10">
        <v>0.8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15">
      <c r="A11">
        <v>10</v>
      </c>
      <c r="B11" s="197" t="s">
        <v>201</v>
      </c>
      <c r="C11">
        <v>0.8</v>
      </c>
      <c r="D11">
        <v>0</v>
      </c>
      <c r="E11">
        <v>0</v>
      </c>
      <c r="F11">
        <v>0</v>
      </c>
      <c r="G11">
        <v>0.8</v>
      </c>
      <c r="H11">
        <v>0</v>
      </c>
      <c r="I11">
        <v>0.8</v>
      </c>
      <c r="J11">
        <v>0.8</v>
      </c>
      <c r="K11">
        <v>0.8</v>
      </c>
      <c r="L11">
        <v>0.8</v>
      </c>
      <c r="M11">
        <v>0</v>
      </c>
      <c r="N11">
        <v>0</v>
      </c>
      <c r="O11">
        <v>0</v>
      </c>
      <c r="P11">
        <v>0.8</v>
      </c>
      <c r="Q11">
        <v>0</v>
      </c>
      <c r="R11">
        <v>0</v>
      </c>
      <c r="S11">
        <v>0</v>
      </c>
    </row>
    <row r="12" spans="1:19" x14ac:dyDescent="0.15">
      <c r="A12">
        <v>11</v>
      </c>
      <c r="B12" s="197" t="s">
        <v>202</v>
      </c>
      <c r="C12">
        <v>0.8</v>
      </c>
      <c r="D12">
        <v>0</v>
      </c>
      <c r="E12">
        <v>0</v>
      </c>
      <c r="F12">
        <v>0</v>
      </c>
      <c r="G12">
        <v>0.8</v>
      </c>
      <c r="H12">
        <v>0</v>
      </c>
      <c r="I12">
        <v>0.8</v>
      </c>
      <c r="J12">
        <v>0.8</v>
      </c>
      <c r="K12">
        <v>0.8</v>
      </c>
      <c r="L12">
        <v>0.8</v>
      </c>
      <c r="M12">
        <v>0</v>
      </c>
      <c r="N12">
        <v>0</v>
      </c>
      <c r="O12">
        <v>0</v>
      </c>
      <c r="P12">
        <v>0.8</v>
      </c>
      <c r="Q12">
        <v>0</v>
      </c>
      <c r="R12">
        <v>0</v>
      </c>
      <c r="S12">
        <v>0</v>
      </c>
    </row>
    <row r="13" spans="1:19" x14ac:dyDescent="0.15">
      <c r="A13">
        <v>12</v>
      </c>
      <c r="B13" s="197" t="s">
        <v>203</v>
      </c>
      <c r="C13">
        <v>0.8</v>
      </c>
      <c r="D13">
        <v>0</v>
      </c>
      <c r="E13">
        <v>0.8</v>
      </c>
      <c r="F13">
        <v>0</v>
      </c>
      <c r="G13">
        <v>0.8</v>
      </c>
      <c r="H13">
        <v>0</v>
      </c>
      <c r="I13">
        <v>0</v>
      </c>
      <c r="J13">
        <v>0</v>
      </c>
      <c r="K13">
        <v>0</v>
      </c>
      <c r="L13">
        <v>0.8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15">
      <c r="A14">
        <v>13</v>
      </c>
      <c r="B14" s="197" t="s">
        <v>204</v>
      </c>
      <c r="C14">
        <v>0.8</v>
      </c>
      <c r="D14">
        <v>0</v>
      </c>
      <c r="E14">
        <v>0.8</v>
      </c>
      <c r="F14">
        <v>0</v>
      </c>
      <c r="G14">
        <v>0.8</v>
      </c>
      <c r="H14">
        <v>0</v>
      </c>
      <c r="I14">
        <v>0.8</v>
      </c>
      <c r="J14">
        <v>0</v>
      </c>
      <c r="K14">
        <v>0</v>
      </c>
      <c r="L14">
        <v>0.8</v>
      </c>
      <c r="M14">
        <v>0</v>
      </c>
      <c r="N14">
        <v>0</v>
      </c>
      <c r="O14">
        <v>0</v>
      </c>
      <c r="P14">
        <v>0.8</v>
      </c>
      <c r="Q14">
        <v>0</v>
      </c>
      <c r="R14">
        <v>0</v>
      </c>
      <c r="S14">
        <v>0</v>
      </c>
    </row>
    <row r="15" spans="1:19" x14ac:dyDescent="0.15">
      <c r="A15">
        <v>14</v>
      </c>
      <c r="B15" s="197" t="s">
        <v>205</v>
      </c>
      <c r="C15">
        <v>0.8</v>
      </c>
      <c r="D15">
        <v>0</v>
      </c>
      <c r="E15">
        <v>0.8</v>
      </c>
      <c r="F15">
        <v>0</v>
      </c>
      <c r="G15">
        <v>0.8</v>
      </c>
      <c r="H15">
        <v>0</v>
      </c>
      <c r="I15">
        <v>0.8</v>
      </c>
      <c r="J15">
        <v>0</v>
      </c>
      <c r="K15">
        <v>0.8</v>
      </c>
      <c r="L15">
        <v>0.8</v>
      </c>
      <c r="M15">
        <v>0</v>
      </c>
      <c r="N15">
        <v>0.8</v>
      </c>
      <c r="O15">
        <v>0</v>
      </c>
      <c r="P15">
        <v>0.8</v>
      </c>
      <c r="Q15">
        <v>0</v>
      </c>
      <c r="R15">
        <v>0</v>
      </c>
      <c r="S15">
        <v>0</v>
      </c>
    </row>
    <row r="16" spans="1:19" x14ac:dyDescent="0.15">
      <c r="A16">
        <v>15</v>
      </c>
      <c r="B16" s="197" t="s">
        <v>206</v>
      </c>
      <c r="C16">
        <v>0.8</v>
      </c>
      <c r="D16">
        <v>0</v>
      </c>
      <c r="E16">
        <v>0.8</v>
      </c>
      <c r="F16">
        <v>0</v>
      </c>
      <c r="G16">
        <v>0.8</v>
      </c>
      <c r="H16">
        <v>0</v>
      </c>
      <c r="I16">
        <v>0.8</v>
      </c>
      <c r="J16">
        <v>0</v>
      </c>
      <c r="K16">
        <v>0</v>
      </c>
      <c r="L16">
        <v>0.8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15">
      <c r="A17">
        <v>16</v>
      </c>
      <c r="B17" s="197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0.8</v>
      </c>
      <c r="K17">
        <v>0.8</v>
      </c>
      <c r="L17">
        <v>0.8</v>
      </c>
      <c r="M17">
        <v>0</v>
      </c>
      <c r="N17">
        <v>0</v>
      </c>
      <c r="O17">
        <v>0</v>
      </c>
      <c r="P17">
        <v>0.8</v>
      </c>
      <c r="Q17">
        <v>0</v>
      </c>
      <c r="R17">
        <v>0</v>
      </c>
      <c r="S17">
        <v>0</v>
      </c>
    </row>
    <row r="18" spans="1:19" x14ac:dyDescent="0.15">
      <c r="A18">
        <v>17</v>
      </c>
      <c r="B18" s="197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0.8</v>
      </c>
      <c r="K18">
        <v>0.8</v>
      </c>
      <c r="L18">
        <v>0.8</v>
      </c>
      <c r="M18">
        <v>0</v>
      </c>
      <c r="N18">
        <v>0</v>
      </c>
      <c r="O18">
        <v>0</v>
      </c>
      <c r="P18">
        <v>0.8</v>
      </c>
      <c r="Q18">
        <v>0</v>
      </c>
      <c r="R18">
        <v>0</v>
      </c>
      <c r="S18">
        <v>0</v>
      </c>
    </row>
    <row r="19" spans="1:19" x14ac:dyDescent="0.15">
      <c r="A19">
        <v>18</v>
      </c>
      <c r="B19" s="197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0.8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15">
      <c r="A20">
        <v>19</v>
      </c>
      <c r="B20" s="197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0.8</v>
      </c>
      <c r="N20">
        <v>0.8</v>
      </c>
      <c r="O20">
        <v>0.8</v>
      </c>
      <c r="P20">
        <v>0.8</v>
      </c>
      <c r="Q20">
        <v>0</v>
      </c>
      <c r="R20">
        <v>0.8</v>
      </c>
      <c r="S20">
        <v>0</v>
      </c>
    </row>
    <row r="21" spans="1:19" x14ac:dyDescent="0.15">
      <c r="A21">
        <v>20</v>
      </c>
      <c r="B21" s="197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0.8</v>
      </c>
      <c r="N21">
        <v>0.8</v>
      </c>
      <c r="O21">
        <v>0.8</v>
      </c>
      <c r="P21">
        <v>0.8</v>
      </c>
      <c r="Q21">
        <v>0</v>
      </c>
      <c r="R21">
        <v>0.8</v>
      </c>
      <c r="S21">
        <v>0</v>
      </c>
    </row>
    <row r="22" spans="1:19" x14ac:dyDescent="0.15">
      <c r="A22">
        <v>21</v>
      </c>
      <c r="B22" s="197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0.8</v>
      </c>
      <c r="N22">
        <v>0.8</v>
      </c>
      <c r="O22">
        <v>0.8</v>
      </c>
      <c r="P22">
        <v>0</v>
      </c>
      <c r="Q22">
        <v>0</v>
      </c>
      <c r="R22">
        <v>0.8</v>
      </c>
      <c r="S22">
        <v>0</v>
      </c>
    </row>
    <row r="23" spans="1:19" x14ac:dyDescent="0.15">
      <c r="A23">
        <v>22</v>
      </c>
      <c r="B23" s="197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0.8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 x14ac:dyDescent="0.15">
      <c r="A24">
        <v>23</v>
      </c>
      <c r="B24" s="197" t="s">
        <v>214</v>
      </c>
      <c r="C24">
        <v>0.8</v>
      </c>
      <c r="D24">
        <v>0</v>
      </c>
      <c r="E24">
        <v>0.8</v>
      </c>
      <c r="F24">
        <v>0.8</v>
      </c>
      <c r="G24">
        <v>0.8</v>
      </c>
      <c r="H24">
        <v>0.8</v>
      </c>
      <c r="I24">
        <v>0</v>
      </c>
      <c r="J24">
        <v>0</v>
      </c>
      <c r="K24">
        <v>0</v>
      </c>
      <c r="L24">
        <v>0.8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15">
      <c r="A25">
        <v>24</v>
      </c>
      <c r="B25" s="197" t="s">
        <v>215</v>
      </c>
      <c r="C25">
        <v>0.8</v>
      </c>
      <c r="D25">
        <v>0</v>
      </c>
      <c r="E25">
        <v>0.8</v>
      </c>
      <c r="F25">
        <v>0.8</v>
      </c>
      <c r="G25">
        <v>0.8</v>
      </c>
      <c r="H25">
        <v>0.8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15">
      <c r="A26">
        <v>25</v>
      </c>
      <c r="B26" s="197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0.8</v>
      </c>
      <c r="Q26">
        <v>0</v>
      </c>
      <c r="R26">
        <v>0</v>
      </c>
      <c r="S26">
        <v>0</v>
      </c>
    </row>
    <row r="27" spans="1:19" x14ac:dyDescent="0.15">
      <c r="A27">
        <v>26</v>
      </c>
      <c r="B27" s="197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0.8</v>
      </c>
      <c r="Q27">
        <v>0</v>
      </c>
      <c r="R27">
        <v>0</v>
      </c>
      <c r="S27">
        <v>0</v>
      </c>
    </row>
    <row r="28" spans="1:19" x14ac:dyDescent="0.15">
      <c r="A28">
        <v>27</v>
      </c>
      <c r="B28" s="197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0.8</v>
      </c>
      <c r="Q28">
        <v>0</v>
      </c>
      <c r="R28">
        <v>0</v>
      </c>
      <c r="S28">
        <v>0</v>
      </c>
    </row>
    <row r="29" spans="1:19" x14ac:dyDescent="0.15">
      <c r="A29">
        <v>28</v>
      </c>
      <c r="B29" s="197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0.8</v>
      </c>
      <c r="Q29">
        <v>0</v>
      </c>
      <c r="R29">
        <v>0</v>
      </c>
      <c r="S29">
        <v>0</v>
      </c>
    </row>
    <row r="30" spans="1:19" x14ac:dyDescent="0.15">
      <c r="A30">
        <v>29</v>
      </c>
      <c r="B30" s="197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15">
      <c r="A31">
        <v>30</v>
      </c>
      <c r="B31" s="197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15">
      <c r="A32">
        <v>31</v>
      </c>
      <c r="B32" s="197" t="s">
        <v>222</v>
      </c>
      <c r="C32">
        <v>0</v>
      </c>
      <c r="D32">
        <v>0</v>
      </c>
      <c r="E32">
        <v>0.8</v>
      </c>
      <c r="F32">
        <v>0.8</v>
      </c>
      <c r="G32">
        <v>0.8</v>
      </c>
      <c r="H32">
        <v>0.8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0.8</v>
      </c>
      <c r="Q32">
        <v>0</v>
      </c>
      <c r="R32">
        <v>0</v>
      </c>
      <c r="S32">
        <v>0</v>
      </c>
    </row>
    <row r="33" spans="1:19" x14ac:dyDescent="0.15">
      <c r="A33">
        <v>32</v>
      </c>
      <c r="B33" s="197" t="s">
        <v>223</v>
      </c>
      <c r="C33">
        <v>0</v>
      </c>
      <c r="D33">
        <v>0</v>
      </c>
      <c r="E33">
        <v>0.8</v>
      </c>
      <c r="F33">
        <v>0.8</v>
      </c>
      <c r="G33">
        <v>0.8</v>
      </c>
      <c r="H33">
        <v>0.8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15">
      <c r="A34">
        <v>33</v>
      </c>
      <c r="B34" s="197" t="s">
        <v>224</v>
      </c>
      <c r="C34">
        <v>0.8</v>
      </c>
      <c r="D34">
        <v>0</v>
      </c>
      <c r="E34">
        <v>0.8</v>
      </c>
      <c r="F34">
        <v>0.8</v>
      </c>
      <c r="G34">
        <v>0.8</v>
      </c>
      <c r="H34">
        <v>0.8</v>
      </c>
      <c r="I34">
        <v>0</v>
      </c>
      <c r="J34">
        <v>0</v>
      </c>
      <c r="K34">
        <v>0</v>
      </c>
      <c r="L34">
        <v>0.8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 x14ac:dyDescent="0.15">
      <c r="A35">
        <v>34</v>
      </c>
      <c r="B35" s="197" t="s">
        <v>225</v>
      </c>
      <c r="C35">
        <v>0.8</v>
      </c>
      <c r="D35">
        <v>0</v>
      </c>
      <c r="E35">
        <v>0.8</v>
      </c>
      <c r="F35">
        <v>0.8</v>
      </c>
      <c r="G35">
        <v>0.8</v>
      </c>
      <c r="H35">
        <v>0.8</v>
      </c>
      <c r="I35">
        <v>0</v>
      </c>
      <c r="J35">
        <v>0</v>
      </c>
      <c r="K35">
        <v>0</v>
      </c>
      <c r="L35">
        <v>0.8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15">
      <c r="A36">
        <v>35</v>
      </c>
      <c r="B36" s="197" t="s">
        <v>226</v>
      </c>
      <c r="C36">
        <v>0</v>
      </c>
      <c r="D36">
        <v>0</v>
      </c>
      <c r="E36">
        <v>0.8</v>
      </c>
      <c r="F36">
        <v>0.8</v>
      </c>
      <c r="G36">
        <v>0.8</v>
      </c>
      <c r="H36">
        <v>0.8</v>
      </c>
      <c r="I36">
        <v>0</v>
      </c>
      <c r="J36">
        <v>0</v>
      </c>
      <c r="K36">
        <v>0</v>
      </c>
      <c r="L36">
        <v>0.8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 x14ac:dyDescent="0.15">
      <c r="A37">
        <v>36</v>
      </c>
      <c r="B37" s="197" t="s">
        <v>227</v>
      </c>
      <c r="C37">
        <v>0</v>
      </c>
      <c r="D37">
        <v>0</v>
      </c>
      <c r="E37">
        <v>0.8</v>
      </c>
      <c r="F37">
        <v>0.8</v>
      </c>
      <c r="G37">
        <v>0.8</v>
      </c>
      <c r="H37">
        <v>0.8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0.8</v>
      </c>
      <c r="R37">
        <v>0</v>
      </c>
      <c r="S37">
        <v>0</v>
      </c>
    </row>
    <row r="38" spans="1:19" x14ac:dyDescent="0.15">
      <c r="A38">
        <v>37</v>
      </c>
      <c r="B38" s="197" t="s">
        <v>228</v>
      </c>
      <c r="C38">
        <v>0</v>
      </c>
      <c r="D38">
        <v>0</v>
      </c>
      <c r="E38">
        <v>0.8</v>
      </c>
      <c r="F38">
        <v>0.8</v>
      </c>
      <c r="G38">
        <v>0.8</v>
      </c>
      <c r="H38">
        <v>0.8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0.8</v>
      </c>
      <c r="R38">
        <v>0</v>
      </c>
      <c r="S38">
        <v>0</v>
      </c>
    </row>
    <row r="39" spans="1:19" x14ac:dyDescent="0.15">
      <c r="A39">
        <v>38</v>
      </c>
      <c r="B39" s="197" t="s">
        <v>229</v>
      </c>
      <c r="C39">
        <v>0</v>
      </c>
      <c r="D39">
        <v>0</v>
      </c>
      <c r="E39">
        <v>0.8</v>
      </c>
      <c r="F39">
        <v>0.8</v>
      </c>
      <c r="G39">
        <v>0.8</v>
      </c>
      <c r="H39">
        <v>0.8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0.8</v>
      </c>
      <c r="R39">
        <v>0</v>
      </c>
      <c r="S39">
        <v>0</v>
      </c>
    </row>
    <row r="40" spans="1:19" x14ac:dyDescent="0.15">
      <c r="A40">
        <v>39</v>
      </c>
      <c r="B40" s="197" t="s">
        <v>230</v>
      </c>
      <c r="C40">
        <v>0</v>
      </c>
      <c r="D40">
        <v>0</v>
      </c>
      <c r="E40">
        <v>0.8</v>
      </c>
      <c r="F40">
        <v>0.8</v>
      </c>
      <c r="G40">
        <v>0.8</v>
      </c>
      <c r="H40">
        <v>0.8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0.8</v>
      </c>
      <c r="R40">
        <v>0</v>
      </c>
      <c r="S40">
        <v>0</v>
      </c>
    </row>
    <row r="41" spans="1:19" x14ac:dyDescent="0.15">
      <c r="A41">
        <v>40</v>
      </c>
      <c r="B41" s="197" t="s">
        <v>231</v>
      </c>
      <c r="C41">
        <v>0</v>
      </c>
      <c r="D41">
        <v>0</v>
      </c>
      <c r="E41">
        <v>0.8</v>
      </c>
      <c r="F41">
        <v>0.8</v>
      </c>
      <c r="G41">
        <v>0.8</v>
      </c>
      <c r="H41">
        <v>0.8</v>
      </c>
      <c r="I41">
        <v>0</v>
      </c>
      <c r="J41">
        <v>0</v>
      </c>
      <c r="K41">
        <v>0</v>
      </c>
      <c r="L41">
        <v>0.8</v>
      </c>
      <c r="M41">
        <v>0</v>
      </c>
      <c r="N41">
        <v>0</v>
      </c>
      <c r="O41">
        <v>0</v>
      </c>
      <c r="P41">
        <v>0</v>
      </c>
      <c r="Q41">
        <v>0.8</v>
      </c>
      <c r="R41">
        <v>0</v>
      </c>
      <c r="S41">
        <v>0</v>
      </c>
    </row>
    <row r="42" spans="1:19" x14ac:dyDescent="0.15">
      <c r="A42">
        <v>41</v>
      </c>
      <c r="B42" s="197" t="s">
        <v>232</v>
      </c>
      <c r="C42">
        <v>0</v>
      </c>
      <c r="D42">
        <v>0</v>
      </c>
      <c r="E42">
        <v>0.8</v>
      </c>
      <c r="F42">
        <v>0.8</v>
      </c>
      <c r="G42">
        <v>0.8</v>
      </c>
      <c r="H42">
        <v>0.8</v>
      </c>
      <c r="I42">
        <v>0</v>
      </c>
      <c r="J42">
        <v>0</v>
      </c>
      <c r="K42">
        <v>0</v>
      </c>
      <c r="L42">
        <v>0.8</v>
      </c>
      <c r="M42">
        <v>0</v>
      </c>
      <c r="N42">
        <v>0</v>
      </c>
      <c r="O42">
        <v>0</v>
      </c>
      <c r="P42">
        <v>0</v>
      </c>
      <c r="Q42">
        <v>0.8</v>
      </c>
      <c r="R42">
        <v>0</v>
      </c>
      <c r="S42">
        <v>0</v>
      </c>
    </row>
    <row r="43" spans="1:19" x14ac:dyDescent="0.15">
      <c r="A43">
        <v>42</v>
      </c>
      <c r="B43" s="197" t="s">
        <v>233</v>
      </c>
      <c r="C43">
        <v>0.8</v>
      </c>
      <c r="D43">
        <v>0</v>
      </c>
      <c r="E43">
        <v>0.8</v>
      </c>
      <c r="F43">
        <v>0.8</v>
      </c>
      <c r="G43">
        <v>0.8</v>
      </c>
      <c r="H43">
        <v>0.8</v>
      </c>
      <c r="I43">
        <v>0</v>
      </c>
      <c r="J43">
        <v>0</v>
      </c>
      <c r="K43">
        <v>0</v>
      </c>
      <c r="L43">
        <v>0.8</v>
      </c>
      <c r="M43">
        <v>0</v>
      </c>
      <c r="N43">
        <v>0</v>
      </c>
      <c r="O43">
        <v>0</v>
      </c>
      <c r="P43">
        <v>0.8</v>
      </c>
      <c r="Q43">
        <v>0</v>
      </c>
      <c r="R43">
        <v>0</v>
      </c>
      <c r="S43">
        <v>0</v>
      </c>
    </row>
    <row r="44" spans="1:19" x14ac:dyDescent="0.15">
      <c r="A44">
        <v>43</v>
      </c>
      <c r="B44" s="197" t="s">
        <v>234</v>
      </c>
      <c r="C44">
        <v>0.8</v>
      </c>
      <c r="D44">
        <v>0</v>
      </c>
      <c r="E44">
        <v>0.8</v>
      </c>
      <c r="F44">
        <v>0.8</v>
      </c>
      <c r="G44">
        <v>0.8</v>
      </c>
      <c r="H44">
        <v>0.8</v>
      </c>
      <c r="I44">
        <v>0</v>
      </c>
      <c r="J44">
        <v>0</v>
      </c>
      <c r="K44">
        <v>0</v>
      </c>
      <c r="L44">
        <v>0.8</v>
      </c>
      <c r="M44">
        <v>0</v>
      </c>
      <c r="N44">
        <v>0</v>
      </c>
      <c r="O44">
        <v>0</v>
      </c>
      <c r="P44">
        <v>0.8</v>
      </c>
      <c r="Q44">
        <v>0</v>
      </c>
      <c r="R44">
        <v>0</v>
      </c>
      <c r="S44">
        <v>0</v>
      </c>
    </row>
    <row r="45" spans="1:19" x14ac:dyDescent="0.15">
      <c r="A45">
        <v>44</v>
      </c>
      <c r="B45" s="197" t="s">
        <v>235</v>
      </c>
      <c r="C45">
        <v>0.8</v>
      </c>
      <c r="D45">
        <v>0</v>
      </c>
      <c r="E45">
        <v>0.8</v>
      </c>
      <c r="F45">
        <v>0.8</v>
      </c>
      <c r="G45">
        <v>0.8</v>
      </c>
      <c r="H45">
        <v>0.8</v>
      </c>
      <c r="I45">
        <v>0</v>
      </c>
      <c r="J45">
        <v>0</v>
      </c>
      <c r="K45">
        <v>0</v>
      </c>
      <c r="L45">
        <v>0.8</v>
      </c>
      <c r="M45">
        <v>0</v>
      </c>
      <c r="N45">
        <v>0</v>
      </c>
      <c r="O45">
        <v>0</v>
      </c>
      <c r="P45">
        <v>0.8</v>
      </c>
      <c r="Q45">
        <v>0</v>
      </c>
      <c r="R45">
        <v>0</v>
      </c>
      <c r="S45">
        <v>0</v>
      </c>
    </row>
    <row r="46" spans="1:19" x14ac:dyDescent="0.15">
      <c r="A46">
        <v>45</v>
      </c>
      <c r="B46" s="197" t="s">
        <v>236</v>
      </c>
      <c r="C46">
        <v>0.8</v>
      </c>
      <c r="D46">
        <v>0</v>
      </c>
      <c r="E46">
        <v>0.8</v>
      </c>
      <c r="F46">
        <v>0.8</v>
      </c>
      <c r="G46">
        <v>0.8</v>
      </c>
      <c r="H46">
        <v>0.8</v>
      </c>
      <c r="I46">
        <v>0</v>
      </c>
      <c r="J46">
        <v>0</v>
      </c>
      <c r="K46">
        <v>0</v>
      </c>
      <c r="L46">
        <v>0.8</v>
      </c>
      <c r="M46">
        <v>0</v>
      </c>
      <c r="N46">
        <v>0</v>
      </c>
      <c r="O46">
        <v>0</v>
      </c>
      <c r="P46">
        <v>0.8</v>
      </c>
      <c r="Q46">
        <v>0</v>
      </c>
      <c r="R46">
        <v>0</v>
      </c>
      <c r="S46">
        <v>0</v>
      </c>
    </row>
    <row r="47" spans="1:19" x14ac:dyDescent="0.15">
      <c r="A47">
        <v>46</v>
      </c>
      <c r="B47" s="197" t="s">
        <v>237</v>
      </c>
      <c r="C47">
        <v>0.8</v>
      </c>
      <c r="D47">
        <v>0</v>
      </c>
      <c r="E47">
        <v>0.8</v>
      </c>
      <c r="F47">
        <v>0.8</v>
      </c>
      <c r="G47">
        <v>0.8</v>
      </c>
      <c r="H47">
        <v>0.8</v>
      </c>
      <c r="I47">
        <v>0</v>
      </c>
      <c r="J47">
        <v>0</v>
      </c>
      <c r="K47">
        <v>0</v>
      </c>
      <c r="L47">
        <v>0.8</v>
      </c>
      <c r="M47">
        <v>0</v>
      </c>
      <c r="N47">
        <v>0</v>
      </c>
      <c r="O47">
        <v>0</v>
      </c>
      <c r="P47">
        <v>0.8</v>
      </c>
      <c r="Q47">
        <v>0</v>
      </c>
      <c r="R47">
        <v>0</v>
      </c>
      <c r="S47">
        <v>0</v>
      </c>
    </row>
    <row r="48" spans="1:19" x14ac:dyDescent="0.15">
      <c r="A48">
        <v>47</v>
      </c>
      <c r="B48" s="197" t="s">
        <v>238</v>
      </c>
      <c r="C48">
        <v>0.8</v>
      </c>
      <c r="D48">
        <v>0</v>
      </c>
      <c r="E48">
        <v>0.8</v>
      </c>
      <c r="F48">
        <v>0.8</v>
      </c>
      <c r="G48">
        <v>0.8</v>
      </c>
      <c r="H48">
        <v>0.8</v>
      </c>
      <c r="I48">
        <v>0</v>
      </c>
      <c r="J48">
        <v>0</v>
      </c>
      <c r="K48">
        <v>0</v>
      </c>
      <c r="L48">
        <v>0.8</v>
      </c>
      <c r="M48">
        <v>0</v>
      </c>
      <c r="N48">
        <v>0</v>
      </c>
      <c r="O48">
        <v>0</v>
      </c>
      <c r="P48">
        <v>0.8</v>
      </c>
      <c r="Q48">
        <v>0</v>
      </c>
      <c r="R48">
        <v>0</v>
      </c>
      <c r="S48">
        <v>0</v>
      </c>
    </row>
    <row r="49" spans="1:19" x14ac:dyDescent="0.15">
      <c r="A49">
        <v>48</v>
      </c>
      <c r="B49" s="197" t="s">
        <v>239</v>
      </c>
      <c r="C49">
        <v>0.8</v>
      </c>
      <c r="D49">
        <v>0</v>
      </c>
      <c r="E49">
        <v>0</v>
      </c>
      <c r="F49">
        <v>0</v>
      </c>
      <c r="G49">
        <v>0.8</v>
      </c>
      <c r="H49">
        <v>0.8</v>
      </c>
      <c r="I49">
        <v>0</v>
      </c>
      <c r="J49">
        <v>0</v>
      </c>
      <c r="K49">
        <v>0</v>
      </c>
      <c r="L49">
        <v>0.8</v>
      </c>
      <c r="M49">
        <v>0</v>
      </c>
      <c r="N49">
        <v>0</v>
      </c>
      <c r="O49">
        <v>0</v>
      </c>
      <c r="P49">
        <v>0.8</v>
      </c>
      <c r="Q49">
        <v>0</v>
      </c>
      <c r="R49">
        <v>0</v>
      </c>
      <c r="S49">
        <v>0</v>
      </c>
    </row>
    <row r="50" spans="1:19" x14ac:dyDescent="0.15">
      <c r="A50">
        <v>49</v>
      </c>
      <c r="B50" s="197" t="s">
        <v>240</v>
      </c>
      <c r="C50">
        <v>0.8</v>
      </c>
      <c r="D50">
        <v>0</v>
      </c>
      <c r="E50">
        <v>0</v>
      </c>
      <c r="F50">
        <v>0</v>
      </c>
      <c r="G50">
        <v>0.8</v>
      </c>
      <c r="H50">
        <v>0.8</v>
      </c>
      <c r="I50">
        <v>0</v>
      </c>
      <c r="J50">
        <v>0</v>
      </c>
      <c r="K50">
        <v>0</v>
      </c>
      <c r="L50">
        <v>0.8</v>
      </c>
      <c r="M50">
        <v>0</v>
      </c>
      <c r="N50">
        <v>0</v>
      </c>
      <c r="O50">
        <v>0</v>
      </c>
      <c r="P50">
        <v>0.8</v>
      </c>
      <c r="Q50">
        <v>0</v>
      </c>
      <c r="R50">
        <v>0</v>
      </c>
      <c r="S50">
        <v>0</v>
      </c>
    </row>
    <row r="51" spans="1:19" x14ac:dyDescent="0.15">
      <c r="A51">
        <v>50</v>
      </c>
      <c r="B51" s="197" t="s">
        <v>241</v>
      </c>
      <c r="C51">
        <v>0.8</v>
      </c>
      <c r="D51">
        <v>0</v>
      </c>
      <c r="E51">
        <v>0</v>
      </c>
      <c r="F51">
        <v>0</v>
      </c>
      <c r="G51">
        <v>0.8</v>
      </c>
      <c r="H51">
        <v>0.8</v>
      </c>
      <c r="I51">
        <v>0</v>
      </c>
      <c r="J51">
        <v>0</v>
      </c>
      <c r="K51">
        <v>0</v>
      </c>
      <c r="L51">
        <v>0.8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0.8</v>
      </c>
    </row>
    <row r="52" spans="1:19" x14ac:dyDescent="0.15">
      <c r="A52">
        <v>51</v>
      </c>
      <c r="B52" s="197" t="s">
        <v>242</v>
      </c>
      <c r="C52">
        <v>0.8</v>
      </c>
      <c r="D52">
        <v>0</v>
      </c>
      <c r="E52">
        <v>0</v>
      </c>
      <c r="F52">
        <v>0</v>
      </c>
      <c r="G52">
        <v>0.8</v>
      </c>
      <c r="H52">
        <v>0.8</v>
      </c>
      <c r="I52">
        <v>0</v>
      </c>
      <c r="J52">
        <v>0</v>
      </c>
      <c r="K52">
        <v>0</v>
      </c>
      <c r="L52">
        <v>0.8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0.8</v>
      </c>
    </row>
    <row r="53" spans="1:19" x14ac:dyDescent="0.15">
      <c r="A53">
        <v>52</v>
      </c>
      <c r="B53" s="197" t="s">
        <v>243</v>
      </c>
      <c r="C53">
        <v>0.8</v>
      </c>
      <c r="D53">
        <v>0</v>
      </c>
      <c r="E53">
        <v>0.8</v>
      </c>
      <c r="F53">
        <v>0.8</v>
      </c>
      <c r="G53">
        <v>0.8</v>
      </c>
      <c r="H53">
        <v>0.8</v>
      </c>
      <c r="I53">
        <v>0.8</v>
      </c>
      <c r="J53">
        <v>0.8</v>
      </c>
      <c r="K53">
        <v>0.8</v>
      </c>
      <c r="L53">
        <v>0.8</v>
      </c>
      <c r="M53">
        <v>0.8</v>
      </c>
      <c r="N53">
        <v>0</v>
      </c>
      <c r="O53">
        <v>0</v>
      </c>
      <c r="P53">
        <v>0</v>
      </c>
      <c r="Q53">
        <v>0.8</v>
      </c>
      <c r="R53">
        <v>0</v>
      </c>
      <c r="S53">
        <v>0</v>
      </c>
    </row>
    <row r="54" spans="1:19" x14ac:dyDescent="0.15">
      <c r="A54">
        <v>53</v>
      </c>
      <c r="B54" s="197" t="s">
        <v>244</v>
      </c>
      <c r="C54">
        <v>0.8</v>
      </c>
      <c r="D54">
        <v>0</v>
      </c>
      <c r="E54">
        <v>0.8</v>
      </c>
      <c r="F54">
        <v>0.8</v>
      </c>
      <c r="G54">
        <v>0.8</v>
      </c>
      <c r="H54">
        <v>0.8</v>
      </c>
      <c r="I54">
        <v>0.8</v>
      </c>
      <c r="J54">
        <v>0.8</v>
      </c>
      <c r="K54">
        <v>0.8</v>
      </c>
      <c r="L54">
        <v>0.8</v>
      </c>
      <c r="M54">
        <v>0.8</v>
      </c>
      <c r="N54">
        <v>0</v>
      </c>
      <c r="O54">
        <v>0</v>
      </c>
      <c r="P54">
        <v>0</v>
      </c>
      <c r="Q54">
        <v>0.8</v>
      </c>
      <c r="R54">
        <v>0</v>
      </c>
      <c r="S54">
        <v>0</v>
      </c>
    </row>
    <row r="55" spans="1:19" x14ac:dyDescent="0.15">
      <c r="A55">
        <v>54</v>
      </c>
      <c r="B55" s="197" t="s">
        <v>245</v>
      </c>
      <c r="C55">
        <v>0.8</v>
      </c>
      <c r="D55">
        <v>0</v>
      </c>
      <c r="E55">
        <v>0.8</v>
      </c>
      <c r="F55">
        <v>0.8</v>
      </c>
      <c r="G55">
        <v>0.8</v>
      </c>
      <c r="H55">
        <v>0.8</v>
      </c>
      <c r="I55">
        <v>0</v>
      </c>
      <c r="J55">
        <v>0</v>
      </c>
      <c r="K55">
        <v>0</v>
      </c>
      <c r="L55">
        <v>0.8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15">
      <c r="A56">
        <v>55</v>
      </c>
      <c r="B56" s="197" t="s">
        <v>246</v>
      </c>
      <c r="C56">
        <v>0.8</v>
      </c>
      <c r="D56">
        <v>0</v>
      </c>
      <c r="E56">
        <v>0.8</v>
      </c>
      <c r="F56">
        <v>0.8</v>
      </c>
      <c r="G56">
        <v>0.8</v>
      </c>
      <c r="H56">
        <v>0.8</v>
      </c>
      <c r="I56">
        <v>0</v>
      </c>
      <c r="J56">
        <v>0</v>
      </c>
      <c r="K56">
        <v>0</v>
      </c>
      <c r="L56">
        <v>0.8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15">
      <c r="A57">
        <v>56</v>
      </c>
      <c r="B57" s="197" t="s">
        <v>247</v>
      </c>
      <c r="C57">
        <v>0</v>
      </c>
      <c r="D57">
        <v>0</v>
      </c>
      <c r="E57">
        <v>0.8</v>
      </c>
      <c r="F57">
        <v>0.8</v>
      </c>
      <c r="G57">
        <v>0.8</v>
      </c>
      <c r="H57">
        <v>0.8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0.8</v>
      </c>
      <c r="R57">
        <v>0</v>
      </c>
      <c r="S57">
        <v>0</v>
      </c>
    </row>
    <row r="58" spans="1:19" x14ac:dyDescent="0.15">
      <c r="A58">
        <v>57</v>
      </c>
      <c r="B58" s="197" t="s">
        <v>248</v>
      </c>
      <c r="C58">
        <v>0</v>
      </c>
      <c r="D58">
        <v>0</v>
      </c>
      <c r="E58">
        <v>0.8</v>
      </c>
      <c r="F58">
        <v>0.8</v>
      </c>
      <c r="G58">
        <v>0.8</v>
      </c>
      <c r="H58">
        <v>0.8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0.8</v>
      </c>
      <c r="R58">
        <v>0</v>
      </c>
      <c r="S58">
        <v>0</v>
      </c>
    </row>
    <row r="59" spans="1:19" x14ac:dyDescent="0.15">
      <c r="A59">
        <v>58</v>
      </c>
      <c r="B59" s="197" t="s">
        <v>249</v>
      </c>
      <c r="C59">
        <v>0</v>
      </c>
      <c r="D59">
        <v>0</v>
      </c>
      <c r="E59">
        <v>0.8</v>
      </c>
      <c r="F59">
        <v>0.8</v>
      </c>
      <c r="G59">
        <v>0.8</v>
      </c>
      <c r="H59">
        <v>0.8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0.8</v>
      </c>
    </row>
    <row r="60" spans="1:19" x14ac:dyDescent="0.15">
      <c r="A60">
        <v>59</v>
      </c>
      <c r="B60" s="197" t="s">
        <v>250</v>
      </c>
      <c r="C60">
        <v>0</v>
      </c>
      <c r="D60">
        <v>0</v>
      </c>
      <c r="E60">
        <v>0.8</v>
      </c>
      <c r="F60">
        <v>0.8</v>
      </c>
      <c r="G60">
        <v>0.8</v>
      </c>
      <c r="H60">
        <v>0.8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0.8</v>
      </c>
    </row>
    <row r="61" spans="1:19" x14ac:dyDescent="0.15">
      <c r="A61">
        <v>60</v>
      </c>
      <c r="B61" s="197" t="s">
        <v>251</v>
      </c>
      <c r="C61">
        <v>0</v>
      </c>
      <c r="D61">
        <v>0</v>
      </c>
      <c r="E61">
        <v>0.8</v>
      </c>
      <c r="F61">
        <v>0.8</v>
      </c>
      <c r="G61">
        <v>0.8</v>
      </c>
      <c r="H61">
        <v>0.8</v>
      </c>
      <c r="I61">
        <v>0</v>
      </c>
      <c r="J61">
        <v>0</v>
      </c>
      <c r="K61">
        <v>0</v>
      </c>
      <c r="L61">
        <v>0.8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15">
      <c r="A62">
        <v>61</v>
      </c>
      <c r="B62" s="197" t="s">
        <v>252</v>
      </c>
      <c r="C62">
        <v>0</v>
      </c>
      <c r="D62">
        <v>0</v>
      </c>
      <c r="E62">
        <v>0.8</v>
      </c>
      <c r="F62">
        <v>0.8</v>
      </c>
      <c r="G62">
        <v>0.8</v>
      </c>
      <c r="H62">
        <v>0.8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15">
      <c r="A63">
        <v>62</v>
      </c>
      <c r="B63" s="197" t="s">
        <v>253</v>
      </c>
      <c r="C63">
        <v>0</v>
      </c>
      <c r="D63">
        <v>0</v>
      </c>
      <c r="E63">
        <v>0.8</v>
      </c>
      <c r="F63">
        <v>0.8</v>
      </c>
      <c r="G63">
        <v>0.8</v>
      </c>
      <c r="H63">
        <v>0.8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15">
      <c r="A64">
        <v>63</v>
      </c>
      <c r="B64" s="197" t="s">
        <v>254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1:19" x14ac:dyDescent="0.15">
      <c r="A65">
        <v>64</v>
      </c>
      <c r="B65" s="197" t="s">
        <v>255</v>
      </c>
      <c r="C65">
        <v>0</v>
      </c>
      <c r="D65">
        <v>0</v>
      </c>
      <c r="E65">
        <v>0.8</v>
      </c>
      <c r="F65">
        <v>0.8</v>
      </c>
      <c r="G65">
        <v>0.8</v>
      </c>
      <c r="H65">
        <v>0.8</v>
      </c>
      <c r="I65">
        <v>0</v>
      </c>
      <c r="J65">
        <v>0</v>
      </c>
      <c r="K65">
        <v>0</v>
      </c>
      <c r="L65">
        <v>0.8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15">
      <c r="A66">
        <v>65</v>
      </c>
      <c r="B66" s="197" t="s">
        <v>256</v>
      </c>
      <c r="C66">
        <v>0</v>
      </c>
      <c r="D66">
        <v>0</v>
      </c>
      <c r="E66">
        <v>0.8</v>
      </c>
      <c r="F66">
        <v>0.8</v>
      </c>
      <c r="G66">
        <v>0.8</v>
      </c>
      <c r="H66">
        <v>0.8</v>
      </c>
      <c r="I66">
        <v>0</v>
      </c>
      <c r="J66">
        <v>0</v>
      </c>
      <c r="K66">
        <v>0</v>
      </c>
      <c r="L66">
        <v>0.8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15">
      <c r="A67">
        <v>66</v>
      </c>
      <c r="B67" s="197" t="s">
        <v>257</v>
      </c>
      <c r="C67">
        <v>0</v>
      </c>
      <c r="D67">
        <v>0</v>
      </c>
      <c r="E67">
        <v>0.8</v>
      </c>
      <c r="F67">
        <v>0.8</v>
      </c>
      <c r="G67">
        <v>0.8</v>
      </c>
      <c r="H67">
        <v>0.8</v>
      </c>
      <c r="I67">
        <v>0</v>
      </c>
      <c r="J67">
        <v>0</v>
      </c>
      <c r="K67">
        <v>0</v>
      </c>
      <c r="L67">
        <v>0.8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15">
      <c r="A68">
        <v>67</v>
      </c>
      <c r="B68" s="197" t="s">
        <v>258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15">
      <c r="A69">
        <v>68</v>
      </c>
      <c r="B69" s="197" t="s">
        <v>259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0.8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</row>
    <row r="70" spans="1:19" x14ac:dyDescent="0.15">
      <c r="A70">
        <v>69</v>
      </c>
      <c r="B70" s="197" t="s">
        <v>260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15">
      <c r="A71">
        <v>70</v>
      </c>
      <c r="B71" s="197" t="s">
        <v>261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15">
      <c r="A72">
        <v>71</v>
      </c>
      <c r="B72" s="197" t="s">
        <v>262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15">
      <c r="A73">
        <v>72</v>
      </c>
      <c r="B73" s="197" t="s">
        <v>263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15">
      <c r="A74">
        <v>73</v>
      </c>
      <c r="B74" s="197" t="s">
        <v>264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0.8</v>
      </c>
    </row>
    <row r="75" spans="1:19" x14ac:dyDescent="0.15">
      <c r="A75">
        <v>74</v>
      </c>
      <c r="B75" s="197" t="s">
        <v>265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0.8</v>
      </c>
    </row>
    <row r="76" spans="1:19" x14ac:dyDescent="0.15">
      <c r="A76">
        <v>75</v>
      </c>
      <c r="B76" s="197" t="s">
        <v>266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0.8</v>
      </c>
      <c r="R76">
        <v>0</v>
      </c>
      <c r="S76">
        <v>0</v>
      </c>
    </row>
    <row r="77" spans="1:19" x14ac:dyDescent="0.15">
      <c r="A77">
        <v>76</v>
      </c>
      <c r="B77" s="197" t="s">
        <v>267</v>
      </c>
      <c r="C77">
        <v>0</v>
      </c>
      <c r="D77">
        <v>0.8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15">
      <c r="A78">
        <v>77</v>
      </c>
      <c r="B78" s="197" t="s">
        <v>268</v>
      </c>
      <c r="C78">
        <v>0.8</v>
      </c>
      <c r="D78">
        <v>0.8</v>
      </c>
      <c r="E78">
        <v>0</v>
      </c>
      <c r="F78">
        <v>0</v>
      </c>
      <c r="G78">
        <v>0</v>
      </c>
      <c r="H78">
        <v>0</v>
      </c>
      <c r="I78">
        <v>0.8</v>
      </c>
      <c r="J78">
        <v>0</v>
      </c>
      <c r="K78">
        <v>0</v>
      </c>
      <c r="L78">
        <v>0.8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15">
      <c r="A79">
        <v>78</v>
      </c>
      <c r="B79" s="197" t="s">
        <v>269</v>
      </c>
      <c r="C79">
        <v>0</v>
      </c>
      <c r="D79">
        <v>0.8</v>
      </c>
      <c r="E79">
        <v>0</v>
      </c>
      <c r="F79">
        <v>0</v>
      </c>
      <c r="G79">
        <v>0</v>
      </c>
      <c r="H79">
        <v>0</v>
      </c>
      <c r="I79">
        <v>0.8</v>
      </c>
      <c r="J79">
        <v>0</v>
      </c>
      <c r="K79">
        <v>0</v>
      </c>
      <c r="L79">
        <v>0.8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</row>
    <row r="80" spans="1:19" x14ac:dyDescent="0.15">
      <c r="A80">
        <v>79</v>
      </c>
      <c r="B80" s="197" t="s">
        <v>270</v>
      </c>
      <c r="C80">
        <v>0</v>
      </c>
      <c r="D80">
        <v>0.8</v>
      </c>
      <c r="E80">
        <v>0</v>
      </c>
      <c r="F80">
        <v>0</v>
      </c>
      <c r="G80">
        <v>0</v>
      </c>
      <c r="H80">
        <v>0</v>
      </c>
      <c r="I80">
        <v>0.8</v>
      </c>
      <c r="J80">
        <v>0</v>
      </c>
      <c r="K80">
        <v>0</v>
      </c>
      <c r="L80">
        <v>0.8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15">
      <c r="A81">
        <v>80</v>
      </c>
      <c r="B81" s="197" t="s">
        <v>271</v>
      </c>
      <c r="C81">
        <v>0</v>
      </c>
      <c r="D81">
        <v>0.8</v>
      </c>
      <c r="E81">
        <v>0</v>
      </c>
      <c r="F81">
        <v>0</v>
      </c>
      <c r="G81">
        <v>0</v>
      </c>
      <c r="H81">
        <v>0</v>
      </c>
      <c r="I81">
        <v>0.8</v>
      </c>
      <c r="J81">
        <v>0</v>
      </c>
      <c r="K81">
        <v>0</v>
      </c>
      <c r="L81">
        <v>0.8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</row>
    <row r="82" spans="1:19" x14ac:dyDescent="0.15">
      <c r="A82">
        <v>81</v>
      </c>
      <c r="B82" s="197" t="s">
        <v>272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15">
      <c r="A83">
        <v>82</v>
      </c>
      <c r="B83" s="197" t="s">
        <v>273</v>
      </c>
      <c r="C83">
        <v>0</v>
      </c>
      <c r="D83">
        <v>0.8</v>
      </c>
      <c r="E83">
        <v>0</v>
      </c>
      <c r="F83">
        <v>0</v>
      </c>
      <c r="G83">
        <v>0</v>
      </c>
      <c r="H83">
        <v>0</v>
      </c>
      <c r="I83">
        <v>0.8</v>
      </c>
      <c r="J83">
        <v>0</v>
      </c>
      <c r="K83">
        <v>0</v>
      </c>
      <c r="L83">
        <v>0.8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15">
      <c r="A84">
        <v>83</v>
      </c>
      <c r="B84" s="197" t="s">
        <v>274</v>
      </c>
      <c r="C84">
        <v>0</v>
      </c>
      <c r="D84">
        <v>0.8</v>
      </c>
      <c r="E84">
        <v>0</v>
      </c>
      <c r="F84">
        <v>0</v>
      </c>
      <c r="G84">
        <v>0</v>
      </c>
      <c r="H84">
        <v>0</v>
      </c>
      <c r="I84">
        <v>0.8</v>
      </c>
      <c r="J84">
        <v>0</v>
      </c>
      <c r="K84">
        <v>0</v>
      </c>
      <c r="L84">
        <v>0.8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15">
      <c r="A85">
        <v>84</v>
      </c>
      <c r="B85" s="197" t="s">
        <v>275</v>
      </c>
      <c r="C85">
        <v>0</v>
      </c>
      <c r="D85">
        <v>0.8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15">
      <c r="A86">
        <v>85</v>
      </c>
      <c r="B86" s="197" t="s">
        <v>276</v>
      </c>
      <c r="C86">
        <v>0</v>
      </c>
      <c r="D86">
        <v>0.8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</row>
    <row r="87" spans="1:19" x14ac:dyDescent="0.15">
      <c r="A87">
        <v>86</v>
      </c>
      <c r="B87" s="197" t="s">
        <v>277</v>
      </c>
      <c r="C87">
        <v>0</v>
      </c>
      <c r="D87">
        <v>0.8</v>
      </c>
      <c r="E87">
        <v>0</v>
      </c>
      <c r="F87">
        <v>0</v>
      </c>
      <c r="G87">
        <v>0</v>
      </c>
      <c r="H87">
        <v>0</v>
      </c>
      <c r="I87">
        <v>0.8</v>
      </c>
      <c r="J87">
        <v>0</v>
      </c>
      <c r="K87">
        <v>0</v>
      </c>
      <c r="L87">
        <v>0.8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0.8</v>
      </c>
    </row>
    <row r="88" spans="1:19" x14ac:dyDescent="0.15">
      <c r="A88">
        <v>87</v>
      </c>
      <c r="B88" s="197" t="s">
        <v>278</v>
      </c>
      <c r="C88">
        <v>0</v>
      </c>
      <c r="D88">
        <v>0.8</v>
      </c>
      <c r="E88">
        <v>0</v>
      </c>
      <c r="F88">
        <v>0</v>
      </c>
      <c r="G88">
        <v>0</v>
      </c>
      <c r="H88">
        <v>0</v>
      </c>
      <c r="I88">
        <v>0.8</v>
      </c>
      <c r="J88">
        <v>0</v>
      </c>
      <c r="K88">
        <v>0</v>
      </c>
      <c r="L88">
        <v>0.8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0.8</v>
      </c>
    </row>
    <row r="89" spans="1:19" x14ac:dyDescent="0.15">
      <c r="A89">
        <v>88</v>
      </c>
      <c r="B89" s="197" t="s">
        <v>279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15">
      <c r="A90">
        <v>89</v>
      </c>
      <c r="B90" s="197" t="s">
        <v>280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15">
      <c r="A91">
        <v>90</v>
      </c>
      <c r="B91" s="197" t="s">
        <v>281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</row>
    <row r="92" spans="1:19" x14ac:dyDescent="0.15">
      <c r="A92">
        <v>91</v>
      </c>
      <c r="B92" s="197" t="s">
        <v>282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15">
      <c r="A93">
        <v>92</v>
      </c>
      <c r="B93" s="197" t="s">
        <v>283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</row>
    <row r="94" spans="1:19" x14ac:dyDescent="0.15">
      <c r="A94">
        <v>93</v>
      </c>
      <c r="B94" s="197" t="s">
        <v>284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15">
      <c r="A95">
        <v>94</v>
      </c>
      <c r="B95" s="197" t="s">
        <v>285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15">
      <c r="A96">
        <v>95</v>
      </c>
      <c r="B96" s="197" t="s">
        <v>286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15">
      <c r="A97">
        <v>96</v>
      </c>
      <c r="B97" s="197" t="s">
        <v>287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15">
      <c r="A98">
        <v>97</v>
      </c>
      <c r="B98" s="197" t="s">
        <v>288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</row>
    <row r="99" spans="1:19" x14ac:dyDescent="0.15">
      <c r="A99">
        <v>98</v>
      </c>
      <c r="B99" s="197" t="s">
        <v>289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15">
      <c r="A100">
        <v>99</v>
      </c>
      <c r="B100" s="197" t="s">
        <v>290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86"/>
    <col min="2" max="2" width="41.83203125" style="86" bestFit="1" customWidth="1"/>
    <col min="3" max="3" width="9.33203125" style="86" bestFit="1" customWidth="1"/>
    <col min="4" max="4" width="13" style="86" bestFit="1" customWidth="1"/>
    <col min="5" max="6" width="9.33203125" style="86" bestFit="1" customWidth="1"/>
    <col min="7" max="7" width="9.33203125" style="101" bestFit="1" customWidth="1"/>
    <col min="8" max="8" width="9.33203125" style="86" bestFit="1" customWidth="1"/>
    <col min="9" max="9" width="11" style="86" customWidth="1"/>
    <col min="10" max="10" width="8.83203125" style="86"/>
    <col min="15" max="16384" width="8.83203125" style="86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0">
        <v>1</v>
      </c>
      <c r="B2" s="150" t="s">
        <v>192</v>
      </c>
      <c r="C2" s="8">
        <v>3.450709342956543</v>
      </c>
      <c r="D2" s="9">
        <v>3.2924000173807144E-2</v>
      </c>
      <c r="E2" s="9">
        <v>5.4999999701976776E-2</v>
      </c>
      <c r="F2" s="9">
        <v>4.8499999046325684</v>
      </c>
      <c r="G2" s="9">
        <v>3.1808860599994659E-2</v>
      </c>
      <c r="H2" s="9">
        <v>1.1340206488966942E-2</v>
      </c>
      <c r="I2">
        <v>0</v>
      </c>
      <c r="J2"/>
    </row>
    <row r="3" spans="1:10" ht="15" customHeight="1" x14ac:dyDescent="0.15">
      <c r="A3" s="151">
        <v>2</v>
      </c>
      <c r="B3" s="151" t="s">
        <v>193</v>
      </c>
      <c r="C3" s="8">
        <v>4.1538047790527344</v>
      </c>
      <c r="D3" s="9">
        <v>5.1736999303102493E-2</v>
      </c>
      <c r="E3" s="9">
        <v>3.5000000149011612E-2</v>
      </c>
      <c r="F3" s="9">
        <v>6.1045312881469727</v>
      </c>
      <c r="G3" s="9">
        <v>3.1809300184249878E-2</v>
      </c>
      <c r="H3" s="9">
        <v>5.7334457524120808E-3</v>
      </c>
      <c r="I3">
        <v>0</v>
      </c>
      <c r="J3"/>
    </row>
    <row r="4" spans="1:10" ht="15" customHeight="1" x14ac:dyDescent="0.15">
      <c r="A4" s="152">
        <v>3</v>
      </c>
      <c r="B4" s="152" t="s">
        <v>194</v>
      </c>
      <c r="C4" s="8">
        <v>3.9358401298522949</v>
      </c>
      <c r="D4" s="9">
        <v>9.0539999306201935E-2</v>
      </c>
      <c r="E4" s="9">
        <v>1.9999999552965164E-2</v>
      </c>
      <c r="F4" s="9">
        <v>3.5990157127380371</v>
      </c>
      <c r="G4" s="9">
        <v>3.1809214502573013E-2</v>
      </c>
      <c r="H4" s="9">
        <v>5.5570746771991253E-3</v>
      </c>
      <c r="I4">
        <v>0</v>
      </c>
      <c r="J4"/>
    </row>
    <row r="5" spans="1:10" ht="15" customHeight="1" x14ac:dyDescent="0.15">
      <c r="A5" s="153">
        <v>4</v>
      </c>
      <c r="B5" s="153" t="s">
        <v>195</v>
      </c>
      <c r="C5" s="8">
        <v>2</v>
      </c>
      <c r="D5" s="9">
        <v>5.4000001400709152E-2</v>
      </c>
      <c r="E5" s="9">
        <v>2.500000037252903E-2</v>
      </c>
      <c r="F5" s="9">
        <v>9.5869998931884766</v>
      </c>
      <c r="G5" s="9">
        <v>0.74074071645736694</v>
      </c>
      <c r="H5" s="9">
        <v>2.6076980866491795E-3</v>
      </c>
      <c r="I5">
        <v>1.0000000474974513E-3</v>
      </c>
      <c r="J5"/>
    </row>
    <row r="6" spans="1:10" ht="15" customHeight="1" x14ac:dyDescent="0.15">
      <c r="A6" s="154">
        <v>5</v>
      </c>
      <c r="B6" s="154" t="s">
        <v>196</v>
      </c>
      <c r="C6" s="8">
        <v>3.3793578147888184</v>
      </c>
      <c r="D6" s="9">
        <v>0.36599999666213989</v>
      </c>
      <c r="E6" s="9">
        <v>0.38100001215934753</v>
      </c>
      <c r="F6" s="9">
        <v>63.949001312255859</v>
      </c>
      <c r="G6" s="9">
        <v>1.7407311126589775E-2</v>
      </c>
      <c r="H6" s="9">
        <v>5.9578726068139076E-3</v>
      </c>
      <c r="I6">
        <v>1.8735039047896862E-3</v>
      </c>
      <c r="J6"/>
    </row>
    <row r="7" spans="1:10" ht="15" customHeight="1" x14ac:dyDescent="0.15">
      <c r="A7" s="155">
        <v>6</v>
      </c>
      <c r="B7" s="155" t="s">
        <v>197</v>
      </c>
      <c r="C7" s="8">
        <v>3.2553508281707764</v>
      </c>
      <c r="D7" s="9">
        <v>4.3228998780250549E-2</v>
      </c>
      <c r="E7" s="9">
        <v>0.10000000149011612</v>
      </c>
      <c r="F7" s="9">
        <v>3</v>
      </c>
      <c r="G7" s="9">
        <v>0.9995884895324707</v>
      </c>
      <c r="H7" s="9">
        <v>3.3333335071802139E-2</v>
      </c>
      <c r="I7">
        <v>4.0000001899898052E-3</v>
      </c>
      <c r="J7"/>
    </row>
    <row r="8" spans="1:10" ht="15" customHeight="1" x14ac:dyDescent="0.15">
      <c r="A8" s="156">
        <v>7</v>
      </c>
      <c r="B8" s="156" t="s">
        <v>198</v>
      </c>
      <c r="C8" s="8">
        <v>2.1944708824157715</v>
      </c>
      <c r="D8" s="9">
        <v>8.1666000187397003E-2</v>
      </c>
      <c r="E8" s="9">
        <v>2.9999999329447746E-2</v>
      </c>
      <c r="F8" s="9">
        <v>3</v>
      </c>
      <c r="G8" s="9">
        <v>0.51434034109115601</v>
      </c>
      <c r="H8" s="9">
        <v>9.9999997764825821E-3</v>
      </c>
      <c r="I8">
        <v>8.3731301128864288E-4</v>
      </c>
      <c r="J8"/>
    </row>
    <row r="9" spans="1:10" ht="15" customHeight="1" x14ac:dyDescent="0.15">
      <c r="A9" s="157">
        <v>8</v>
      </c>
      <c r="B9" s="157" t="s">
        <v>199</v>
      </c>
      <c r="C9" s="8">
        <v>3.4106264114379883</v>
      </c>
      <c r="D9" s="9">
        <v>8.6566001176834106E-2</v>
      </c>
      <c r="E9" s="9">
        <v>2.9999999329447746E-2</v>
      </c>
      <c r="F9" s="9">
        <v>3</v>
      </c>
      <c r="G9" s="9">
        <v>0.45057088136672974</v>
      </c>
      <c r="H9" s="9">
        <v>9.9999997764825821E-3</v>
      </c>
      <c r="I9">
        <v>7.4731302447617054E-4</v>
      </c>
      <c r="J9"/>
    </row>
    <row r="10" spans="1:10" ht="15" customHeight="1" x14ac:dyDescent="0.15">
      <c r="A10" s="158">
        <v>9</v>
      </c>
      <c r="B10" s="158" t="s">
        <v>200</v>
      </c>
      <c r="C10" s="8">
        <v>3.9269118309020996</v>
      </c>
      <c r="D10" s="9">
        <v>1.3269999762997031E-3</v>
      </c>
      <c r="E10" s="9">
        <v>0.40786498785018921</v>
      </c>
      <c r="F10" s="9">
        <v>6.5</v>
      </c>
      <c r="G10" s="9">
        <v>0.60380411148071289</v>
      </c>
      <c r="H10" s="9">
        <v>6.2748461961746216E-2</v>
      </c>
      <c r="I10">
        <v>9.9999997473787516E-6</v>
      </c>
      <c r="J10"/>
    </row>
    <row r="11" spans="1:10" ht="15" customHeight="1" x14ac:dyDescent="0.15">
      <c r="A11" s="159">
        <v>10</v>
      </c>
      <c r="B11" s="159" t="s">
        <v>201</v>
      </c>
      <c r="C11" s="8">
        <v>3.7148065567016602</v>
      </c>
      <c r="D11" s="9">
        <v>0.80000001192092896</v>
      </c>
      <c r="E11" s="9">
        <v>0.15999999642372131</v>
      </c>
      <c r="F11" s="9">
        <v>9.0860004425048828</v>
      </c>
      <c r="G11" s="9">
        <v>0.30398848652839661</v>
      </c>
      <c r="H11" s="9">
        <v>1.7609508708119392E-2</v>
      </c>
      <c r="I11">
        <v>5.0581607967615128E-2</v>
      </c>
      <c r="J11"/>
    </row>
    <row r="12" spans="1:10" ht="15" customHeight="1" x14ac:dyDescent="0.15">
      <c r="A12" s="160">
        <v>11</v>
      </c>
      <c r="B12" s="160" t="s">
        <v>202</v>
      </c>
      <c r="C12" s="8">
        <v>3.6729400157928467</v>
      </c>
      <c r="D12" s="9">
        <v>9.1590426862239838E-2</v>
      </c>
      <c r="E12" s="9">
        <v>0.40000000596046448</v>
      </c>
      <c r="F12" s="9">
        <v>17.073253631591797</v>
      </c>
      <c r="G12" s="10"/>
      <c r="H12" s="9">
        <v>2.3428458720445633E-2</v>
      </c>
      <c r="I12">
        <v>5.6836246512830257E-3</v>
      </c>
      <c r="J12"/>
    </row>
    <row r="13" spans="1:10" ht="15" customHeight="1" x14ac:dyDescent="0.15">
      <c r="A13" s="161">
        <v>12</v>
      </c>
      <c r="B13" s="161" t="s">
        <v>203</v>
      </c>
      <c r="C13" s="8">
        <v>3.7527706623077393</v>
      </c>
      <c r="D13" s="9">
        <v>1.8492959439754486E-2</v>
      </c>
      <c r="E13" s="9">
        <v>1.2000000476837158</v>
      </c>
      <c r="F13" s="9">
        <v>38.844261169433594</v>
      </c>
      <c r="G13" s="10"/>
      <c r="H13" s="9">
        <v>3.0892595648765564E-2</v>
      </c>
      <c r="I13">
        <v>3.7856400012969971E-3</v>
      </c>
      <c r="J13"/>
    </row>
    <row r="14" spans="1:10" ht="15" customHeight="1" x14ac:dyDescent="0.15">
      <c r="A14" s="162">
        <v>13</v>
      </c>
      <c r="B14" s="162" t="s">
        <v>204</v>
      </c>
      <c r="C14" s="8">
        <v>3.6653776168823242</v>
      </c>
      <c r="D14" s="9">
        <v>0.5</v>
      </c>
      <c r="E14" s="9">
        <v>0.28999999165534973</v>
      </c>
      <c r="F14" s="9">
        <v>7.1050000190734863</v>
      </c>
      <c r="G14" s="9">
        <v>0.5612797737121582</v>
      </c>
      <c r="H14" s="9">
        <v>4.0816325694322586E-2</v>
      </c>
      <c r="I14">
        <v>3.3842962235212326E-2</v>
      </c>
      <c r="J14"/>
    </row>
    <row r="15" spans="1:10" ht="15" customHeight="1" x14ac:dyDescent="0.15">
      <c r="A15" s="163">
        <v>14</v>
      </c>
      <c r="B15" s="163" t="s">
        <v>205</v>
      </c>
      <c r="C15" s="8">
        <v>3.6658873558044434</v>
      </c>
      <c r="D15" s="9">
        <v>0.27738606929779053</v>
      </c>
      <c r="E15" s="9">
        <v>1.1000000238418579</v>
      </c>
      <c r="F15" s="9">
        <v>11.200173377990723</v>
      </c>
      <c r="G15" s="9">
        <v>0.58597558736801147</v>
      </c>
      <c r="H15" s="9">
        <v>9.8212771117687225E-2</v>
      </c>
      <c r="I15">
        <v>2.8630541637539864E-2</v>
      </c>
      <c r="J15"/>
    </row>
    <row r="16" spans="1:10" ht="15" customHeight="1" x14ac:dyDescent="0.15">
      <c r="A16" s="164">
        <v>15</v>
      </c>
      <c r="B16" s="164" t="s">
        <v>206</v>
      </c>
      <c r="C16" s="8">
        <v>3.9803719520568848</v>
      </c>
      <c r="D16" s="9">
        <v>0.23275221884250641</v>
      </c>
      <c r="E16" s="9">
        <v>1.4470000267028809</v>
      </c>
      <c r="F16" s="9">
        <v>21.782373428344727</v>
      </c>
      <c r="G16" s="9">
        <v>0.46460208296775818</v>
      </c>
      <c r="H16" s="9">
        <v>6.6429860889911652E-2</v>
      </c>
      <c r="I16">
        <v>2.4173550773411989E-3</v>
      </c>
      <c r="J16"/>
    </row>
    <row r="17" spans="1:10" ht="15" customHeight="1" x14ac:dyDescent="0.15">
      <c r="A17" s="165">
        <v>16</v>
      </c>
      <c r="B17" s="165" t="s">
        <v>207</v>
      </c>
      <c r="C17" s="8">
        <v>3.7261860370635986</v>
      </c>
      <c r="D17" s="9">
        <v>0.20000000298023224</v>
      </c>
      <c r="E17" s="9">
        <v>0.40000000596046448</v>
      </c>
      <c r="F17" s="9">
        <v>8.8999996185302734</v>
      </c>
      <c r="G17" s="9">
        <v>0.63464194536209106</v>
      </c>
      <c r="H17" s="9">
        <v>4.4943824410438538E-2</v>
      </c>
      <c r="I17">
        <v>2.3134836927056313E-2</v>
      </c>
      <c r="J17"/>
    </row>
    <row r="18" spans="1:10" ht="15" customHeight="1" x14ac:dyDescent="0.15">
      <c r="A18" s="166">
        <v>17</v>
      </c>
      <c r="B18" s="166" t="s">
        <v>208</v>
      </c>
      <c r="C18" s="8">
        <v>3.5219874382019043</v>
      </c>
      <c r="D18" s="9">
        <v>0.29624611139297485</v>
      </c>
      <c r="E18" s="9">
        <v>0.5</v>
      </c>
      <c r="F18" s="9">
        <v>13.057422637939453</v>
      </c>
      <c r="G18" s="9">
        <v>0.62304580211639404</v>
      </c>
      <c r="H18" s="9">
        <v>3.8292396813631058E-2</v>
      </c>
      <c r="I18">
        <v>1.1954572051763535E-2</v>
      </c>
      <c r="J18"/>
    </row>
    <row r="19" spans="1:10" ht="15" customHeight="1" x14ac:dyDescent="0.15">
      <c r="A19" s="167">
        <v>18</v>
      </c>
      <c r="B19" s="167" t="s">
        <v>209</v>
      </c>
      <c r="C19" s="8">
        <v>3.3392658233642578</v>
      </c>
      <c r="D19" s="9">
        <v>5.6924372911453247E-2</v>
      </c>
      <c r="E19" s="9">
        <v>1.2000000476837158</v>
      </c>
      <c r="F19" s="9">
        <v>30.057380676269531</v>
      </c>
      <c r="G19" s="9">
        <v>0.34772127866744995</v>
      </c>
      <c r="H19" s="9">
        <v>3.9923641830682755E-2</v>
      </c>
      <c r="I19">
        <v>1.9999999494757503E-5</v>
      </c>
      <c r="J19"/>
    </row>
    <row r="20" spans="1:10" ht="15" customHeight="1" x14ac:dyDescent="0.15">
      <c r="A20" s="168">
        <v>19</v>
      </c>
      <c r="B20" s="168" t="s">
        <v>210</v>
      </c>
      <c r="C20" s="8">
        <v>3.498507022857666</v>
      </c>
      <c r="D20" s="9">
        <v>3.1880066394805908</v>
      </c>
      <c r="E20" s="9">
        <v>1.7000000476837158</v>
      </c>
      <c r="F20" s="9">
        <v>6.6434998512268066</v>
      </c>
      <c r="G20" s="9">
        <v>0.43068096041679382</v>
      </c>
      <c r="H20" s="9">
        <v>0.25588923692703247</v>
      </c>
      <c r="I20">
        <v>0.58497780561447144</v>
      </c>
      <c r="J20"/>
    </row>
    <row r="21" spans="1:10" ht="15" customHeight="1" x14ac:dyDescent="0.15">
      <c r="A21" s="169">
        <v>20</v>
      </c>
      <c r="B21" s="169" t="s">
        <v>211</v>
      </c>
      <c r="C21" s="8">
        <v>3.63511061668396</v>
      </c>
      <c r="D21" s="9">
        <v>2.5170207023620605</v>
      </c>
      <c r="E21" s="9">
        <v>1</v>
      </c>
      <c r="F21" s="9">
        <v>4.6929998397827148</v>
      </c>
      <c r="G21" s="9">
        <v>0.61771512031555176</v>
      </c>
      <c r="H21" s="9">
        <v>0.21308332681655884</v>
      </c>
      <c r="I21">
        <v>4.9457553774118423E-2</v>
      </c>
      <c r="J21"/>
    </row>
    <row r="22" spans="1:10" ht="15" customHeight="1" x14ac:dyDescent="0.15">
      <c r="A22" s="170">
        <v>21</v>
      </c>
      <c r="B22" s="170" t="s">
        <v>212</v>
      </c>
      <c r="C22" s="8">
        <v>3.8607273101806641</v>
      </c>
      <c r="D22" s="9">
        <v>9.8491691052913666E-2</v>
      </c>
      <c r="E22" s="9">
        <v>2.9100000858306885</v>
      </c>
      <c r="F22" s="9">
        <v>9.7115001678466797</v>
      </c>
      <c r="G22" s="9">
        <v>0.95560306310653687</v>
      </c>
      <c r="H22" s="9">
        <v>0.29964476823806763</v>
      </c>
      <c r="I22">
        <v>3.8666393607854843E-2</v>
      </c>
      <c r="J22"/>
    </row>
    <row r="23" spans="1:10" ht="15" customHeight="1" x14ac:dyDescent="0.15">
      <c r="A23" s="171">
        <v>22</v>
      </c>
      <c r="B23" s="171" t="s">
        <v>213</v>
      </c>
      <c r="C23" s="8">
        <v>4.2036957740783691</v>
      </c>
      <c r="D23" s="9">
        <v>0.82498002052307129</v>
      </c>
      <c r="E23" s="9">
        <v>0.5</v>
      </c>
      <c r="F23" s="9">
        <v>2</v>
      </c>
      <c r="G23" s="9">
        <v>0.40070083737373352</v>
      </c>
      <c r="H23" s="9">
        <v>0.25</v>
      </c>
      <c r="I23">
        <v>4.3700717389583588E-2</v>
      </c>
      <c r="J23"/>
    </row>
    <row r="24" spans="1:10" ht="15" customHeight="1" x14ac:dyDescent="0.15">
      <c r="A24" s="172">
        <v>23</v>
      </c>
      <c r="B24" s="172" t="s">
        <v>214</v>
      </c>
      <c r="C24" s="8">
        <v>3.877291202545166</v>
      </c>
      <c r="D24" s="9">
        <v>3.5999998450279236E-2</v>
      </c>
      <c r="E24" s="9">
        <v>0.2800000011920929</v>
      </c>
      <c r="F24" s="9">
        <v>3.3029999732971191</v>
      </c>
      <c r="G24" s="9">
        <v>0.89794772863388062</v>
      </c>
      <c r="H24" s="9">
        <v>8.4771424531936646E-2</v>
      </c>
      <c r="I24">
        <v>3.1727799214422703E-3</v>
      </c>
      <c r="J24"/>
    </row>
    <row r="25" spans="1:10" ht="15" customHeight="1" x14ac:dyDescent="0.15">
      <c r="A25" s="173">
        <v>24</v>
      </c>
      <c r="B25" s="173" t="s">
        <v>215</v>
      </c>
      <c r="C25" s="8">
        <v>3.8079309463500977</v>
      </c>
      <c r="D25" s="9">
        <v>8.6044780910015106E-3</v>
      </c>
      <c r="E25" s="9">
        <v>0.69999998807907104</v>
      </c>
      <c r="F25" s="9">
        <v>7.6366157531738281</v>
      </c>
      <c r="G25" s="9">
        <v>0.44724935293197632</v>
      </c>
      <c r="H25" s="9">
        <v>9.1663636267185211E-2</v>
      </c>
      <c r="I25">
        <v>3.7771151983179152E-4</v>
      </c>
      <c r="J25"/>
    </row>
    <row r="26" spans="1:10" ht="15" customHeight="1" x14ac:dyDescent="0.15">
      <c r="A26" s="174">
        <v>25</v>
      </c>
      <c r="B26" s="174" t="s">
        <v>216</v>
      </c>
      <c r="C26" s="8">
        <v>4.3139195442199707</v>
      </c>
      <c r="D26" s="9">
        <v>7.9999998211860657E-2</v>
      </c>
      <c r="E26" s="9">
        <v>0.60000002384185791</v>
      </c>
      <c r="F26" s="9">
        <v>3.5999999046325684</v>
      </c>
      <c r="G26" s="10"/>
      <c r="H26" s="9">
        <v>0.1666666716337204</v>
      </c>
      <c r="I26">
        <v>3.0789975076913834E-2</v>
      </c>
      <c r="J26"/>
    </row>
    <row r="27" spans="1:10" ht="15" customHeight="1" x14ac:dyDescent="0.15">
      <c r="A27" s="175">
        <v>26</v>
      </c>
      <c r="B27" s="175" t="s">
        <v>217</v>
      </c>
      <c r="C27" s="8">
        <v>3.8946046829223633</v>
      </c>
      <c r="D27" s="9">
        <v>8.5109248757362366E-2</v>
      </c>
      <c r="E27" s="9">
        <v>0.89999997615814209</v>
      </c>
      <c r="F27" s="9">
        <v>5.9137635231018066</v>
      </c>
      <c r="G27" s="9">
        <v>0.60803425312042236</v>
      </c>
      <c r="H27" s="9">
        <v>0.15218734741210938</v>
      </c>
      <c r="I27">
        <v>4.954709205776453E-3</v>
      </c>
      <c r="J27"/>
    </row>
    <row r="28" spans="1:10" ht="15" customHeight="1" x14ac:dyDescent="0.15">
      <c r="A28" s="176">
        <v>27</v>
      </c>
      <c r="B28" s="176" t="s">
        <v>218</v>
      </c>
      <c r="C28" s="8">
        <v>4.240391731262207</v>
      </c>
      <c r="D28" s="9">
        <v>8.0000003799796104E-3</v>
      </c>
      <c r="E28" s="9">
        <v>1.2000000476837158</v>
      </c>
      <c r="F28" s="9">
        <v>4</v>
      </c>
      <c r="G28" s="10"/>
      <c r="H28" s="9">
        <v>0.30000001192092896</v>
      </c>
      <c r="I28">
        <v>6.8658110685646534E-3</v>
      </c>
      <c r="J28"/>
    </row>
    <row r="29" spans="1:10" ht="15" customHeight="1" x14ac:dyDescent="0.15">
      <c r="A29" s="177">
        <v>28</v>
      </c>
      <c r="B29" s="177" t="s">
        <v>219</v>
      </c>
      <c r="C29" s="8">
        <v>3.5991387367248535</v>
      </c>
      <c r="D29" s="9">
        <v>4.9770552664995193E-2</v>
      </c>
      <c r="E29" s="9">
        <v>2.4319999217987061</v>
      </c>
      <c r="F29" s="9">
        <v>6.6480927467346191</v>
      </c>
      <c r="G29" s="9">
        <v>0.95082211494445801</v>
      </c>
      <c r="H29" s="9">
        <v>0.36581918597221375</v>
      </c>
      <c r="I29">
        <v>5.4855697089806199E-4</v>
      </c>
      <c r="J29"/>
    </row>
    <row r="30" spans="1:10" ht="15" customHeight="1" x14ac:dyDescent="0.15">
      <c r="A30" s="178">
        <v>29</v>
      </c>
      <c r="B30" s="178" t="s">
        <v>220</v>
      </c>
      <c r="C30" s="8">
        <v>3.7712523937225342</v>
      </c>
      <c r="D30" s="9">
        <v>3.04200011305511E-3</v>
      </c>
      <c r="E30" s="9">
        <v>6.8446844816207886E-2</v>
      </c>
      <c r="F30" s="9">
        <v>0.22820000350475311</v>
      </c>
      <c r="G30" s="9">
        <v>2.7663737535476685E-2</v>
      </c>
      <c r="H30" s="9">
        <v>0.29994234442710876</v>
      </c>
      <c r="I30">
        <v>0</v>
      </c>
      <c r="J30"/>
    </row>
    <row r="31" spans="1:10" ht="15" customHeight="1" x14ac:dyDescent="0.15">
      <c r="A31" s="179">
        <v>30</v>
      </c>
      <c r="B31" s="179" t="s">
        <v>221</v>
      </c>
      <c r="C31" s="8">
        <v>3.6856060028076172</v>
      </c>
      <c r="D31" s="9">
        <v>3.0179999303072691E-3</v>
      </c>
      <c r="E31" s="9">
        <v>0.60000002384185791</v>
      </c>
      <c r="F31" s="9">
        <v>2</v>
      </c>
      <c r="G31" s="9">
        <v>3.1809210777282715E-2</v>
      </c>
      <c r="H31" s="9">
        <v>0.30000001192092896</v>
      </c>
      <c r="I31">
        <v>0</v>
      </c>
      <c r="J31"/>
    </row>
    <row r="32" spans="1:10" ht="15" customHeight="1" x14ac:dyDescent="0.15">
      <c r="A32" s="207">
        <v>31</v>
      </c>
      <c r="B32" s="207" t="s">
        <v>222</v>
      </c>
      <c r="C32" s="8">
        <v>3.4040768146514893</v>
      </c>
      <c r="D32" s="9">
        <v>0.19594983756542206</v>
      </c>
      <c r="E32" s="9">
        <v>0.95999997854232788</v>
      </c>
      <c r="F32" s="9">
        <v>2.4157571792602539</v>
      </c>
      <c r="G32" s="9">
        <v>0.50722318887710571</v>
      </c>
      <c r="H32" s="9">
        <v>0.3973909318447113</v>
      </c>
      <c r="I32">
        <v>2.2165209054946899E-2</v>
      </c>
      <c r="J32"/>
    </row>
    <row r="33" spans="1:10" ht="15" customHeight="1" x14ac:dyDescent="0.15">
      <c r="A33" s="208">
        <v>32</v>
      </c>
      <c r="B33" s="208" t="s">
        <v>223</v>
      </c>
      <c r="C33" s="8">
        <v>3.3426575660705566</v>
      </c>
      <c r="D33" s="9">
        <v>7.4921213090419769E-2</v>
      </c>
      <c r="E33" s="9">
        <v>1.2000000476837158</v>
      </c>
      <c r="F33" s="9">
        <v>5.2271943092346191</v>
      </c>
      <c r="G33" s="9">
        <v>0.57006669044494629</v>
      </c>
      <c r="H33" s="9">
        <v>0.22956867516040802</v>
      </c>
      <c r="I33">
        <v>1.2267440324649215E-3</v>
      </c>
      <c r="J33"/>
    </row>
    <row r="34" spans="1:10" ht="15" customHeight="1" x14ac:dyDescent="0.15">
      <c r="A34" s="209">
        <v>33</v>
      </c>
      <c r="B34" s="209" t="s">
        <v>224</v>
      </c>
      <c r="C34" s="8">
        <v>2.9835331439971924</v>
      </c>
      <c r="D34" s="9">
        <v>0.24894668161869049</v>
      </c>
      <c r="E34" s="9">
        <v>1.0039999485015869</v>
      </c>
      <c r="F34" s="9">
        <v>6.7199997901916504</v>
      </c>
      <c r="G34" s="9">
        <v>0.95072579383850098</v>
      </c>
      <c r="H34" s="9">
        <v>0.14940476417541504</v>
      </c>
      <c r="I34">
        <v>2.9423734173178673E-2</v>
      </c>
      <c r="J34"/>
    </row>
    <row r="35" spans="1:10" ht="15" customHeight="1" x14ac:dyDescent="0.15">
      <c r="A35" s="210">
        <v>34</v>
      </c>
      <c r="B35" s="210" t="s">
        <v>225</v>
      </c>
      <c r="C35" s="8">
        <v>2.7327980995178223</v>
      </c>
      <c r="D35" s="9">
        <v>8.2997426390647888E-2</v>
      </c>
      <c r="E35" s="9">
        <v>1.6000000238418579</v>
      </c>
      <c r="F35" s="9">
        <v>10.905960083007812</v>
      </c>
      <c r="G35" s="9">
        <v>0.68952298164367676</v>
      </c>
      <c r="H35" s="9">
        <v>0.14670877158641815</v>
      </c>
      <c r="I35">
        <v>2.9839200433343649E-3</v>
      </c>
      <c r="J35"/>
    </row>
    <row r="36" spans="1:10" ht="15" customHeight="1" x14ac:dyDescent="0.15">
      <c r="A36" s="211">
        <v>35</v>
      </c>
      <c r="B36" s="211" t="s">
        <v>226</v>
      </c>
      <c r="C36" s="8">
        <v>3.1873178482055664</v>
      </c>
      <c r="D36" s="9">
        <v>8.999999612569809E-3</v>
      </c>
      <c r="E36" s="9">
        <v>5.6700000762939453</v>
      </c>
      <c r="F36" s="9">
        <v>18.899999618530273</v>
      </c>
      <c r="G36" s="9">
        <v>0.77039033174514771</v>
      </c>
      <c r="H36" s="9">
        <v>0.30000001192092896</v>
      </c>
      <c r="I36">
        <v>1.6241609118878841E-3</v>
      </c>
      <c r="J36"/>
    </row>
    <row r="37" spans="1:10" ht="15" customHeight="1" x14ac:dyDescent="0.15">
      <c r="A37" s="212">
        <v>36</v>
      </c>
      <c r="B37" s="212" t="s">
        <v>227</v>
      </c>
      <c r="C37" s="8">
        <v>3.9683248996734619</v>
      </c>
      <c r="D37" s="9">
        <v>0.125</v>
      </c>
      <c r="E37" s="9">
        <v>0.80000001192092896</v>
      </c>
      <c r="F37" s="9">
        <v>2.6666998863220215</v>
      </c>
      <c r="G37" s="9">
        <v>0.61250299215316772</v>
      </c>
      <c r="H37" s="9">
        <v>0.29999625682830811</v>
      </c>
      <c r="I37">
        <v>1.6436440870165825E-2</v>
      </c>
      <c r="J37"/>
    </row>
    <row r="38" spans="1:10" ht="15" customHeight="1" x14ac:dyDescent="0.15">
      <c r="A38" s="213">
        <v>37</v>
      </c>
      <c r="B38" s="213" t="s">
        <v>228</v>
      </c>
      <c r="C38" s="8">
        <v>3.615525484085083</v>
      </c>
      <c r="D38" s="9">
        <v>7.4840761721134186E-2</v>
      </c>
      <c r="E38" s="9">
        <v>1.0789999961853027</v>
      </c>
      <c r="F38" s="9">
        <v>4.5442004203796387</v>
      </c>
      <c r="G38" s="9">
        <v>0.50846529006958008</v>
      </c>
      <c r="H38" s="9">
        <v>0.23744551837444305</v>
      </c>
      <c r="I38">
        <v>3.6195151042193174E-3</v>
      </c>
      <c r="J38"/>
    </row>
    <row r="39" spans="1:10" ht="15" customHeight="1" x14ac:dyDescent="0.15">
      <c r="A39" s="214">
        <v>38</v>
      </c>
      <c r="B39" s="214" t="s">
        <v>229</v>
      </c>
      <c r="C39" s="8">
        <v>3.6644506454467773</v>
      </c>
      <c r="D39" s="9">
        <v>8.3999998867511749E-2</v>
      </c>
      <c r="E39" s="9">
        <v>1</v>
      </c>
      <c r="F39" s="9">
        <v>5</v>
      </c>
      <c r="G39" s="9">
        <v>0.7703779935836792</v>
      </c>
      <c r="H39" s="9">
        <v>0.20000000298023224</v>
      </c>
      <c r="I39">
        <v>4.4238502159714699E-3</v>
      </c>
      <c r="J39"/>
    </row>
    <row r="40" spans="1:10" ht="15" customHeight="1" x14ac:dyDescent="0.15">
      <c r="A40" s="215">
        <v>39</v>
      </c>
      <c r="B40" s="215" t="s">
        <v>230</v>
      </c>
      <c r="C40" s="8">
        <v>3.4385988712310791</v>
      </c>
      <c r="D40" s="9">
        <v>0.13832087814807892</v>
      </c>
      <c r="E40" s="9">
        <v>1.5</v>
      </c>
      <c r="F40" s="9">
        <v>7.8843603134155273</v>
      </c>
      <c r="G40" s="9">
        <v>0.32975777983665466</v>
      </c>
      <c r="H40" s="9">
        <v>0.19025005400180817</v>
      </c>
      <c r="I40">
        <v>2.6752930134534836E-3</v>
      </c>
      <c r="J40"/>
    </row>
    <row r="41" spans="1:10" ht="15" customHeight="1" x14ac:dyDescent="0.15">
      <c r="A41" s="216">
        <v>40</v>
      </c>
      <c r="B41" s="216" t="s">
        <v>231</v>
      </c>
      <c r="C41" s="8">
        <v>3.241257905960083</v>
      </c>
      <c r="D41" s="9">
        <v>0.20000000298023224</v>
      </c>
      <c r="E41" s="9">
        <v>2</v>
      </c>
      <c r="F41" s="9">
        <v>13.265600204467773</v>
      </c>
      <c r="G41" s="9">
        <v>0.66036558151245117</v>
      </c>
      <c r="H41" s="9">
        <v>0.15076589584350586</v>
      </c>
      <c r="I41">
        <v>1.3933228328824043E-2</v>
      </c>
      <c r="J41"/>
    </row>
    <row r="42" spans="1:10" ht="15" customHeight="1" x14ac:dyDescent="0.15">
      <c r="A42" s="217">
        <v>41</v>
      </c>
      <c r="B42" s="217" t="s">
        <v>232</v>
      </c>
      <c r="C42" s="8">
        <v>2.680985689163208</v>
      </c>
      <c r="D42" s="9">
        <v>0.30527386069297791</v>
      </c>
      <c r="E42" s="9">
        <v>3.9800000190734863</v>
      </c>
      <c r="F42" s="9">
        <v>25.284646987915039</v>
      </c>
      <c r="G42" s="9">
        <v>0.61062192916870117</v>
      </c>
      <c r="H42" s="9">
        <v>0.15740777552127838</v>
      </c>
      <c r="I42">
        <v>3.4833070822060108E-3</v>
      </c>
      <c r="J42"/>
    </row>
    <row r="43" spans="1:10" ht="15" customHeight="1" x14ac:dyDescent="0.15">
      <c r="A43" s="218">
        <v>42</v>
      </c>
      <c r="B43" s="218" t="s">
        <v>233</v>
      </c>
      <c r="C43" s="8">
        <v>2.9644749164581299</v>
      </c>
      <c r="D43" s="9">
        <v>7.0999999046325684</v>
      </c>
      <c r="E43" s="9">
        <v>0.30000001192092896</v>
      </c>
      <c r="F43" s="9">
        <v>4</v>
      </c>
      <c r="G43" s="9">
        <v>0.92080479860305786</v>
      </c>
      <c r="H43" s="9">
        <v>7.5000002980232239E-2</v>
      </c>
      <c r="I43">
        <v>0.14999999105930328</v>
      </c>
      <c r="J43"/>
    </row>
    <row r="44" spans="1:10" ht="15" customHeight="1" x14ac:dyDescent="0.15">
      <c r="A44" s="219">
        <v>43</v>
      </c>
      <c r="B44" s="219" t="s">
        <v>234</v>
      </c>
      <c r="C44" s="8">
        <v>3.0820150375366211</v>
      </c>
      <c r="D44" s="9">
        <v>6.8713912963867188</v>
      </c>
      <c r="E44" s="9">
        <v>0.60000002384185791</v>
      </c>
      <c r="F44" s="9">
        <v>5.8542509078979492</v>
      </c>
      <c r="G44" s="9">
        <v>0.32631412148475647</v>
      </c>
      <c r="H44" s="9">
        <v>0.10248963534832001</v>
      </c>
      <c r="I44">
        <v>0.14999999105930328</v>
      </c>
      <c r="J44"/>
    </row>
    <row r="45" spans="1:10" ht="15" customHeight="1" x14ac:dyDescent="0.15">
      <c r="A45" s="220">
        <v>44</v>
      </c>
      <c r="B45" s="220" t="s">
        <v>235</v>
      </c>
      <c r="C45" s="8">
        <v>2.9657595157623291</v>
      </c>
      <c r="D45" s="9">
        <v>4</v>
      </c>
      <c r="E45" s="9">
        <v>0.60000002384185791</v>
      </c>
      <c r="F45" s="9">
        <v>5</v>
      </c>
      <c r="G45" s="9">
        <v>0.94985586404800415</v>
      </c>
      <c r="H45" s="9">
        <v>0.12000000476837158</v>
      </c>
      <c r="I45">
        <v>0.11670602113008499</v>
      </c>
      <c r="J45"/>
    </row>
    <row r="46" spans="1:10" ht="15" customHeight="1" x14ac:dyDescent="0.15">
      <c r="A46" s="221">
        <v>45</v>
      </c>
      <c r="B46" s="221" t="s">
        <v>236</v>
      </c>
      <c r="C46" s="8">
        <v>2.3799006938934326</v>
      </c>
      <c r="D46" s="9">
        <v>2.5699491500854492</v>
      </c>
      <c r="E46" s="9">
        <v>1.2000000476837158</v>
      </c>
      <c r="F46" s="9">
        <v>8.0895862579345703</v>
      </c>
      <c r="G46" s="9">
        <v>0.86643773317337036</v>
      </c>
      <c r="H46" s="9">
        <v>0.14833886921405792</v>
      </c>
      <c r="I46">
        <v>7.4357679113745689E-3</v>
      </c>
      <c r="J46"/>
    </row>
    <row r="47" spans="1:10" ht="15" customHeight="1" x14ac:dyDescent="0.15">
      <c r="A47" s="222">
        <v>46</v>
      </c>
      <c r="B47" s="222" t="s">
        <v>237</v>
      </c>
      <c r="C47" s="8">
        <v>2.6967854499816895</v>
      </c>
      <c r="D47" s="9">
        <v>0.89999997615814209</v>
      </c>
      <c r="E47" s="9">
        <v>2.5</v>
      </c>
      <c r="F47" s="9">
        <v>15</v>
      </c>
      <c r="G47" s="9">
        <v>0.97165817022323608</v>
      </c>
      <c r="H47" s="9">
        <v>0.1666666716337204</v>
      </c>
      <c r="I47">
        <v>8.4588520228862762E-2</v>
      </c>
      <c r="J47"/>
    </row>
    <row r="48" spans="1:10" ht="15" customHeight="1" x14ac:dyDescent="0.15">
      <c r="A48" s="223">
        <v>47</v>
      </c>
      <c r="B48" s="223" t="s">
        <v>238</v>
      </c>
      <c r="C48" s="8">
        <v>2.562610387802124</v>
      </c>
      <c r="D48" s="9">
        <v>1.0539240837097168</v>
      </c>
      <c r="E48" s="9">
        <v>3</v>
      </c>
      <c r="F48" s="9">
        <v>26.956932067871094</v>
      </c>
      <c r="G48" s="9">
        <v>0.79815375804901123</v>
      </c>
      <c r="H48" s="9">
        <v>0.11128862947225571</v>
      </c>
      <c r="I48">
        <v>4.9716318026185036E-3</v>
      </c>
      <c r="J48"/>
    </row>
    <row r="49" spans="1:10" ht="15" customHeight="1" x14ac:dyDescent="0.15">
      <c r="A49" s="224">
        <v>48</v>
      </c>
      <c r="B49" s="224" t="s">
        <v>239</v>
      </c>
      <c r="C49" s="8">
        <v>3.0663337707519531</v>
      </c>
      <c r="D49" s="9">
        <v>0.23751300573348999</v>
      </c>
      <c r="E49" s="9">
        <v>0.60000002384185791</v>
      </c>
      <c r="F49" s="9">
        <v>3.0666999816894531</v>
      </c>
      <c r="G49" s="9">
        <v>0.93983381986618042</v>
      </c>
      <c r="H49" s="9">
        <v>0.19565005600452423</v>
      </c>
      <c r="I49">
        <v>1.4646668918430805E-2</v>
      </c>
      <c r="J49"/>
    </row>
    <row r="50" spans="1:10" ht="15" customHeight="1" x14ac:dyDescent="0.15">
      <c r="A50" s="225">
        <v>49</v>
      </c>
      <c r="B50" s="225" t="s">
        <v>240</v>
      </c>
      <c r="C50" s="8">
        <v>3.4627726078033447</v>
      </c>
      <c r="D50" s="9">
        <v>0.70708966255187988</v>
      </c>
      <c r="E50" s="9">
        <v>0.92000001668930054</v>
      </c>
      <c r="F50" s="9">
        <v>4.9199509620666504</v>
      </c>
      <c r="G50" s="9">
        <v>0.43018278479576111</v>
      </c>
      <c r="H50" s="9">
        <v>0.18699373304843903</v>
      </c>
      <c r="I50">
        <v>3.9233318530023098E-3</v>
      </c>
      <c r="J50"/>
    </row>
    <row r="51" spans="1:10" ht="15" customHeight="1" x14ac:dyDescent="0.15">
      <c r="A51" s="226">
        <v>50</v>
      </c>
      <c r="B51" s="226" t="s">
        <v>241</v>
      </c>
      <c r="C51" s="8">
        <v>3.2092854976654053</v>
      </c>
      <c r="D51" s="9">
        <v>0.69999998807907104</v>
      </c>
      <c r="E51" s="9">
        <v>1.6000000238418579</v>
      </c>
      <c r="F51" s="9">
        <v>8.5600004196166992</v>
      </c>
      <c r="G51" s="9">
        <v>0.96775740385055542</v>
      </c>
      <c r="H51" s="9">
        <v>0.18691587448120117</v>
      </c>
      <c r="I51">
        <v>4.3273784220218658E-2</v>
      </c>
      <c r="J51"/>
    </row>
    <row r="52" spans="1:10" ht="15" customHeight="1" x14ac:dyDescent="0.15">
      <c r="A52" s="227">
        <v>51</v>
      </c>
      <c r="B52" s="227" t="s">
        <v>242</v>
      </c>
      <c r="C52" s="8">
        <v>2.8651065826416016</v>
      </c>
      <c r="D52" s="9">
        <v>0.3691273033618927</v>
      </c>
      <c r="E52" s="9">
        <v>2.5680000782012939</v>
      </c>
      <c r="F52" s="9">
        <v>16.114982604980469</v>
      </c>
      <c r="G52" s="9">
        <v>0.90316730737686157</v>
      </c>
      <c r="H52" s="9">
        <v>0.15935482084751129</v>
      </c>
      <c r="I52">
        <v>8.2937842234969139E-3</v>
      </c>
      <c r="J52"/>
    </row>
    <row r="53" spans="1:10" ht="15" customHeight="1" x14ac:dyDescent="0.15">
      <c r="A53" s="228">
        <v>52</v>
      </c>
      <c r="B53" s="228" t="s">
        <v>243</v>
      </c>
      <c r="C53" s="8">
        <v>3.2703413963317871</v>
      </c>
      <c r="D53" s="9">
        <v>1.495591402053833</v>
      </c>
      <c r="E53" s="9">
        <v>1.1000000238418579</v>
      </c>
      <c r="F53" s="9">
        <v>8</v>
      </c>
      <c r="G53" s="9">
        <v>0.9342963695526123</v>
      </c>
      <c r="H53" s="9">
        <v>0.13750000298023224</v>
      </c>
      <c r="I53">
        <v>0.13496001064777374</v>
      </c>
      <c r="J53"/>
    </row>
    <row r="54" spans="1:10" ht="15" customHeight="1" x14ac:dyDescent="0.15">
      <c r="A54" s="229">
        <v>53</v>
      </c>
      <c r="B54" s="229" t="s">
        <v>244</v>
      </c>
      <c r="C54" s="8">
        <v>3.4191551208496094</v>
      </c>
      <c r="D54" s="9">
        <v>0.76756739616394043</v>
      </c>
      <c r="E54" s="9">
        <v>1.6000000238418579</v>
      </c>
      <c r="F54" s="9">
        <v>13.280723571777344</v>
      </c>
      <c r="G54" s="9">
        <v>0.90123796463012695</v>
      </c>
      <c r="H54" s="9">
        <v>0.12047536671161652</v>
      </c>
      <c r="I54">
        <v>0.11791599541902542</v>
      </c>
      <c r="J54"/>
    </row>
    <row r="55" spans="1:10" ht="15" customHeight="1" x14ac:dyDescent="0.15">
      <c r="A55" s="230">
        <v>54</v>
      </c>
      <c r="B55" s="230" t="s">
        <v>245</v>
      </c>
      <c r="C55" s="8">
        <v>3.2265150547027588</v>
      </c>
      <c r="D55" s="9">
        <v>0.30039229989051819</v>
      </c>
      <c r="E55" s="9">
        <v>2</v>
      </c>
      <c r="F55" s="9">
        <v>6.6666998863220215</v>
      </c>
      <c r="G55" s="9">
        <v>0.84783130884170532</v>
      </c>
      <c r="H55" s="9">
        <v>0.29999849200248718</v>
      </c>
      <c r="I55">
        <v>1.1895122937858105E-2</v>
      </c>
      <c r="J55"/>
    </row>
    <row r="56" spans="1:10" ht="15" customHeight="1" x14ac:dyDescent="0.15">
      <c r="A56" s="231">
        <v>55</v>
      </c>
      <c r="B56" s="231" t="s">
        <v>246</v>
      </c>
      <c r="C56" s="8">
        <v>2.5160462856292725</v>
      </c>
      <c r="D56" s="9">
        <v>0.72791439294815063</v>
      </c>
      <c r="E56" s="9">
        <v>2</v>
      </c>
      <c r="F56" s="9">
        <v>8.0008106231689453</v>
      </c>
      <c r="G56" s="9">
        <v>0.86986821889877319</v>
      </c>
      <c r="H56" s="9">
        <v>0.24997466802597046</v>
      </c>
      <c r="I56">
        <v>9.3159079551696777E-3</v>
      </c>
      <c r="J56"/>
    </row>
    <row r="57" spans="1:10" ht="15" customHeight="1" x14ac:dyDescent="0.15">
      <c r="A57" s="232">
        <v>56</v>
      </c>
      <c r="B57" s="232" t="s">
        <v>247</v>
      </c>
      <c r="C57" s="8">
        <v>3.259713888168335</v>
      </c>
      <c r="D57" s="9">
        <v>2</v>
      </c>
      <c r="E57" s="9">
        <v>1.7999999523162842</v>
      </c>
      <c r="F57" s="9">
        <v>14.62522029876709</v>
      </c>
      <c r="G57" s="9">
        <v>0.86792778968811035</v>
      </c>
      <c r="H57" s="9">
        <v>0.12307506799697876</v>
      </c>
      <c r="I57">
        <v>0.48328369855880737</v>
      </c>
      <c r="J57"/>
    </row>
    <row r="58" spans="1:10" ht="15" customHeight="1" x14ac:dyDescent="0.15">
      <c r="A58" s="233">
        <v>57</v>
      </c>
      <c r="B58" s="233" t="s">
        <v>248</v>
      </c>
      <c r="C58" s="8">
        <v>2.1262416839599609</v>
      </c>
      <c r="D58" s="9">
        <v>1.127653956413269</v>
      </c>
      <c r="E58" s="9">
        <v>2.5</v>
      </c>
      <c r="F58" s="9">
        <v>27.501571655273438</v>
      </c>
      <c r="G58" s="9">
        <v>0.62971234321594238</v>
      </c>
      <c r="H58" s="9">
        <v>9.0903893113136292E-2</v>
      </c>
      <c r="I58">
        <v>1.776457205414772E-2</v>
      </c>
      <c r="J58"/>
    </row>
    <row r="59" spans="1:10" ht="15" customHeight="1" x14ac:dyDescent="0.15">
      <c r="A59" s="234">
        <v>58</v>
      </c>
      <c r="B59" s="234" t="s">
        <v>249</v>
      </c>
      <c r="C59" s="8">
        <v>3.8097426891326904</v>
      </c>
      <c r="D59" s="9">
        <v>1.5940473079681396</v>
      </c>
      <c r="E59" s="9">
        <v>1.1000000238418579</v>
      </c>
      <c r="F59" s="9">
        <v>3.6666998863220215</v>
      </c>
      <c r="G59" s="9">
        <v>0.84556370973587036</v>
      </c>
      <c r="H59" s="9">
        <v>0.29999729990959167</v>
      </c>
      <c r="I59">
        <v>1.3393783941864967E-2</v>
      </c>
      <c r="J59"/>
    </row>
    <row r="60" spans="1:10" ht="15" customHeight="1" x14ac:dyDescent="0.15">
      <c r="A60" s="235">
        <v>59</v>
      </c>
      <c r="B60" s="235" t="s">
        <v>250</v>
      </c>
      <c r="C60" s="8">
        <v>3.1881225109100342</v>
      </c>
      <c r="D60" s="9">
        <v>1.6975667476654053</v>
      </c>
      <c r="E60" s="9">
        <v>1</v>
      </c>
      <c r="F60" s="9">
        <v>5.617760181427002</v>
      </c>
      <c r="G60" s="9">
        <v>0.73738294839859009</v>
      </c>
      <c r="H60" s="9">
        <v>0.17800688743591309</v>
      </c>
      <c r="I60">
        <v>6.113783922046423E-3</v>
      </c>
      <c r="J60"/>
    </row>
    <row r="61" spans="1:10" ht="15" customHeight="1" x14ac:dyDescent="0.15">
      <c r="A61" s="236">
        <v>60</v>
      </c>
      <c r="B61" s="236" t="s">
        <v>251</v>
      </c>
      <c r="C61" s="8">
        <v>2.465151309967041</v>
      </c>
      <c r="D61" s="9">
        <v>0.16447943449020386</v>
      </c>
      <c r="E61" s="9">
        <v>1.3389999866485596</v>
      </c>
      <c r="F61" s="9">
        <v>6.6957998275756836</v>
      </c>
      <c r="G61" s="9">
        <v>0.83362895250320435</v>
      </c>
      <c r="H61" s="9">
        <v>0.19997610151767731</v>
      </c>
      <c r="I61">
        <v>1.548619125969708E-3</v>
      </c>
      <c r="J61"/>
    </row>
    <row r="62" spans="1:10" ht="15" customHeight="1" x14ac:dyDescent="0.15">
      <c r="A62" s="237">
        <v>61</v>
      </c>
      <c r="B62" s="237" t="s">
        <v>252</v>
      </c>
      <c r="C62" s="8">
        <v>2.1593742370605469</v>
      </c>
      <c r="D62" s="9">
        <v>0.58513259887695312</v>
      </c>
      <c r="E62" s="9">
        <v>1.3999999761581421</v>
      </c>
      <c r="F62" s="9">
        <v>8.9814281463623047</v>
      </c>
      <c r="G62" s="9">
        <v>0.72087687253952026</v>
      </c>
      <c r="H62" s="9">
        <v>0.15587721765041351</v>
      </c>
      <c r="I62">
        <v>1.5108479419723153E-4</v>
      </c>
      <c r="J62"/>
    </row>
    <row r="63" spans="1:10" ht="15" customHeight="1" x14ac:dyDescent="0.15">
      <c r="A63" s="238">
        <v>62</v>
      </c>
      <c r="B63" s="238" t="s">
        <v>253</v>
      </c>
      <c r="C63" s="8">
        <v>2.5038998126983643</v>
      </c>
      <c r="D63" s="9">
        <v>0.52500182390213013</v>
      </c>
      <c r="E63" s="9">
        <v>0.43500000238418579</v>
      </c>
      <c r="F63" s="9">
        <v>1.4510999917984009</v>
      </c>
      <c r="G63" s="9">
        <v>0.91985934972763062</v>
      </c>
      <c r="H63" s="9">
        <v>0.29977259039878845</v>
      </c>
      <c r="I63">
        <v>4.5325199607759714E-4</v>
      </c>
      <c r="J63"/>
    </row>
    <row r="64" spans="1:10" ht="15" customHeight="1" x14ac:dyDescent="0.15">
      <c r="A64" s="239">
        <v>63</v>
      </c>
      <c r="B64" s="239" t="s">
        <v>254</v>
      </c>
      <c r="C64" s="8">
        <v>2.6676011085510254</v>
      </c>
      <c r="D64" s="9">
        <v>0.25533902645111084</v>
      </c>
      <c r="E64" s="9">
        <v>1</v>
      </c>
      <c r="F64" s="9">
        <v>2.1999664306640625</v>
      </c>
      <c r="G64" s="9">
        <v>0.88810247182846069</v>
      </c>
      <c r="H64" s="9">
        <v>0.45455238223075867</v>
      </c>
      <c r="I64">
        <v>0</v>
      </c>
      <c r="J64"/>
    </row>
    <row r="65" spans="1:10" ht="15" customHeight="1" x14ac:dyDescent="0.15">
      <c r="A65" s="240">
        <v>64</v>
      </c>
      <c r="B65" s="240" t="s">
        <v>255</v>
      </c>
      <c r="C65" s="8">
        <v>2.1501688957214355</v>
      </c>
      <c r="D65" s="9">
        <v>0.23880782723426819</v>
      </c>
      <c r="E65" s="9">
        <v>2.3389999866485596</v>
      </c>
      <c r="F65" s="9">
        <v>5</v>
      </c>
      <c r="G65" s="9">
        <v>0.95359253883361816</v>
      </c>
      <c r="H65" s="9">
        <v>0.46779999136924744</v>
      </c>
      <c r="I65">
        <v>4.2303700000047684E-2</v>
      </c>
      <c r="J65"/>
    </row>
    <row r="66" spans="1:10" ht="15" customHeight="1" x14ac:dyDescent="0.15">
      <c r="A66" s="241">
        <v>65</v>
      </c>
      <c r="B66" s="241" t="s">
        <v>256</v>
      </c>
      <c r="C66" s="8">
        <v>2.3303041458129883</v>
      </c>
      <c r="D66" s="9">
        <v>1.1372711658477783</v>
      </c>
      <c r="E66" s="9">
        <v>3</v>
      </c>
      <c r="F66" s="9">
        <v>8.9202251434326172</v>
      </c>
      <c r="G66" s="9">
        <v>0.78505420684814453</v>
      </c>
      <c r="H66" s="9">
        <v>0.33631438016891479</v>
      </c>
      <c r="I66">
        <v>4.1925976984202862E-3</v>
      </c>
      <c r="J66"/>
    </row>
    <row r="67" spans="1:10" ht="15" customHeight="1" x14ac:dyDescent="0.15">
      <c r="A67" s="242">
        <v>66</v>
      </c>
      <c r="B67" s="242" t="s">
        <v>257</v>
      </c>
      <c r="C67" s="8">
        <v>2.2292468547821045</v>
      </c>
      <c r="D67" s="9">
        <v>1.5544000081717968E-2</v>
      </c>
      <c r="E67" s="9">
        <v>2.3389999866485596</v>
      </c>
      <c r="F67" s="9">
        <v>8.3332996368408203</v>
      </c>
      <c r="G67" s="9">
        <v>0.94667887687683105</v>
      </c>
      <c r="H67" s="9">
        <v>0.28068113327026367</v>
      </c>
      <c r="I67">
        <v>3.5882610827684402E-3</v>
      </c>
      <c r="J67"/>
    </row>
    <row r="68" spans="1:10" ht="15" customHeight="1" x14ac:dyDescent="0.15">
      <c r="A68" s="243">
        <v>67</v>
      </c>
      <c r="B68" s="243" t="s">
        <v>258</v>
      </c>
      <c r="C68" s="8">
        <v>2.5020146369934082</v>
      </c>
      <c r="D68" s="9">
        <v>0.60000002384185791</v>
      </c>
      <c r="E68" s="9">
        <v>1.440000057220459</v>
      </c>
      <c r="F68" s="9">
        <v>2.4000000953674316</v>
      </c>
      <c r="G68" s="9">
        <v>0.68671780824661255</v>
      </c>
      <c r="H68" s="9">
        <v>0.60000002384185791</v>
      </c>
      <c r="I68">
        <v>0</v>
      </c>
      <c r="J68"/>
    </row>
    <row r="69" spans="1:10" ht="15" customHeight="1" x14ac:dyDescent="0.15">
      <c r="A69" s="244">
        <v>68</v>
      </c>
      <c r="B69" s="244" t="s">
        <v>259</v>
      </c>
      <c r="C69" s="8">
        <v>1</v>
      </c>
      <c r="D69" s="9">
        <v>0.87512898445129395</v>
      </c>
      <c r="E69" s="9">
        <v>2.1600000858306885</v>
      </c>
      <c r="F69" s="9">
        <v>3.5999999046325684</v>
      </c>
      <c r="G69" s="9">
        <v>0.97709441184997559</v>
      </c>
      <c r="H69" s="9">
        <v>0.60000002384185791</v>
      </c>
      <c r="I69">
        <v>2.098573837429285E-3</v>
      </c>
      <c r="J69"/>
    </row>
    <row r="70" spans="1:10" ht="15" customHeight="1" x14ac:dyDescent="0.15">
      <c r="A70" s="245">
        <v>69</v>
      </c>
      <c r="B70" s="245" t="s">
        <v>260</v>
      </c>
      <c r="C70" s="8">
        <v>1</v>
      </c>
      <c r="D70" s="9">
        <v>0.60000002384185791</v>
      </c>
      <c r="E70" s="9">
        <v>1.3980000019073486</v>
      </c>
      <c r="F70" s="9">
        <v>2.3299999237060547</v>
      </c>
      <c r="G70" s="9">
        <v>0.82860344648361206</v>
      </c>
      <c r="H70" s="9">
        <v>0.60000002384185791</v>
      </c>
      <c r="I70">
        <v>0</v>
      </c>
      <c r="J70"/>
    </row>
    <row r="71" spans="1:10" ht="15" customHeight="1" x14ac:dyDescent="0.15">
      <c r="A71" s="246">
        <v>70</v>
      </c>
      <c r="B71" s="246" t="s">
        <v>261</v>
      </c>
      <c r="C71" s="8">
        <v>2.5020146369934082</v>
      </c>
      <c r="D71" s="9">
        <v>0.60000002384185791</v>
      </c>
      <c r="E71" s="9">
        <v>0.91735380887985229</v>
      </c>
      <c r="F71" s="9">
        <v>1.9125000238418579</v>
      </c>
      <c r="G71" s="9">
        <v>0.59976875782012939</v>
      </c>
      <c r="H71" s="9">
        <v>0.47966212034225464</v>
      </c>
      <c r="I71">
        <v>0</v>
      </c>
      <c r="J71"/>
    </row>
    <row r="72" spans="1:10" ht="15" customHeight="1" x14ac:dyDescent="0.15">
      <c r="A72" s="247">
        <v>71</v>
      </c>
      <c r="B72" s="247" t="s">
        <v>262</v>
      </c>
      <c r="C72" s="8">
        <v>1</v>
      </c>
      <c r="D72" s="9">
        <v>0.10000000149011612</v>
      </c>
      <c r="E72" s="9">
        <v>0.4747999906539917</v>
      </c>
      <c r="F72" s="10"/>
      <c r="G72" s="9">
        <v>0.95008885860443115</v>
      </c>
      <c r="H72" s="10"/>
      <c r="I72">
        <v>0</v>
      </c>
      <c r="J72"/>
    </row>
    <row r="73" spans="1:10" ht="15" customHeight="1" x14ac:dyDescent="0.15">
      <c r="A73" s="248">
        <v>72</v>
      </c>
      <c r="B73" s="248" t="s">
        <v>263</v>
      </c>
      <c r="C73" s="8">
        <v>3.1208281517028809</v>
      </c>
      <c r="D73" s="9">
        <v>0.5</v>
      </c>
      <c r="E73" s="9">
        <v>5.000000074505806E-2</v>
      </c>
      <c r="F73" s="9">
        <v>6.8849995732307434E-2</v>
      </c>
      <c r="G73" s="9">
        <v>0.69573765993118286</v>
      </c>
      <c r="H73" s="9">
        <v>0.72621649503707886</v>
      </c>
      <c r="I73">
        <v>0</v>
      </c>
      <c r="J73"/>
    </row>
    <row r="74" spans="1:10" ht="15" customHeight="1" x14ac:dyDescent="0.15">
      <c r="A74" s="249">
        <v>73</v>
      </c>
      <c r="B74" s="249" t="s">
        <v>264</v>
      </c>
      <c r="C74" s="8">
        <v>2.3378956317901611</v>
      </c>
      <c r="D74" s="9">
        <v>1.425879955291748</v>
      </c>
      <c r="E74" s="9">
        <v>3.8236920833587646</v>
      </c>
      <c r="F74" s="9">
        <v>37.900001525878906</v>
      </c>
      <c r="G74" s="9">
        <v>0.85617494583129883</v>
      </c>
      <c r="H74" s="9">
        <v>0.10088896751403809</v>
      </c>
      <c r="I74">
        <v>0.3048967719078064</v>
      </c>
      <c r="J74"/>
    </row>
    <row r="75" spans="1:10" ht="15" customHeight="1" x14ac:dyDescent="0.15">
      <c r="A75" s="250">
        <v>74</v>
      </c>
      <c r="B75" s="250" t="s">
        <v>265</v>
      </c>
      <c r="C75" s="8">
        <v>2.0158069133758545</v>
      </c>
      <c r="D75" s="9">
        <v>1.425879955291748</v>
      </c>
      <c r="E75" s="9">
        <v>2.2280952930450439</v>
      </c>
      <c r="F75" s="9">
        <v>20</v>
      </c>
      <c r="G75" s="9">
        <v>0.82500278949737549</v>
      </c>
      <c r="H75" s="9">
        <v>0.11140476167201996</v>
      </c>
      <c r="I75">
        <v>3.5765722393989563E-2</v>
      </c>
      <c r="J75"/>
    </row>
    <row r="76" spans="1:10" ht="15" customHeight="1" x14ac:dyDescent="0.15">
      <c r="A76" s="251">
        <v>75</v>
      </c>
      <c r="B76" s="251" t="s">
        <v>266</v>
      </c>
      <c r="C76" s="8">
        <v>3.4548549652099609</v>
      </c>
      <c r="D76" s="9">
        <v>0.23137000203132629</v>
      </c>
      <c r="E76" s="9">
        <v>4.3480000495910645</v>
      </c>
      <c r="F76" s="9">
        <v>14.792298316955566</v>
      </c>
      <c r="G76" s="9">
        <v>0.99508929252624512</v>
      </c>
      <c r="H76" s="9">
        <v>0.29393675923347473</v>
      </c>
      <c r="I76">
        <v>2.4003840982913971E-2</v>
      </c>
      <c r="J76"/>
    </row>
    <row r="77" spans="1:10" ht="15" customHeight="1" x14ac:dyDescent="0.15">
      <c r="A77" s="252">
        <v>76</v>
      </c>
      <c r="B77" s="252" t="s">
        <v>267</v>
      </c>
      <c r="C77" s="8">
        <v>3.1195504665374756</v>
      </c>
      <c r="D77" s="9">
        <v>1.086313009262085</v>
      </c>
      <c r="E77" s="9">
        <v>2.3269999027252197</v>
      </c>
      <c r="F77" s="9">
        <v>13.239999771118164</v>
      </c>
      <c r="G77" s="9">
        <v>0.7099844217300415</v>
      </c>
      <c r="H77" s="9">
        <v>0.17575527727603912</v>
      </c>
      <c r="I77">
        <v>1.9999999552965164E-2</v>
      </c>
      <c r="J77"/>
    </row>
    <row r="78" spans="1:10" ht="15" customHeight="1" x14ac:dyDescent="0.15">
      <c r="A78" s="253">
        <v>77</v>
      </c>
      <c r="B78" s="253" t="s">
        <v>268</v>
      </c>
      <c r="C78" s="8">
        <v>2</v>
      </c>
      <c r="D78" s="9">
        <v>1.1376700401306152</v>
      </c>
      <c r="E78" s="9">
        <v>0.74006998538970947</v>
      </c>
      <c r="F78" s="9">
        <v>8.247593879699707</v>
      </c>
      <c r="G78" s="9">
        <v>0.9659503698348999</v>
      </c>
      <c r="H78" s="9">
        <v>8.9731626212596893E-2</v>
      </c>
      <c r="I78">
        <v>7.2314045391976833E-3</v>
      </c>
      <c r="J78"/>
    </row>
    <row r="79" spans="1:10" ht="15" customHeight="1" x14ac:dyDescent="0.15">
      <c r="A79" s="254">
        <v>78</v>
      </c>
      <c r="B79" s="254" t="s">
        <v>269</v>
      </c>
      <c r="C79" s="8">
        <v>3.3277173042297363</v>
      </c>
      <c r="D79" s="9">
        <v>0.43799999356269836</v>
      </c>
      <c r="E79" s="9">
        <v>0.4464150071144104</v>
      </c>
      <c r="F79" s="9">
        <v>15.206673622131348</v>
      </c>
      <c r="G79" s="9">
        <v>0.97008877992630005</v>
      </c>
      <c r="H79" s="9">
        <v>2.9356518760323524E-2</v>
      </c>
      <c r="I79">
        <v>9.8326697945594788E-2</v>
      </c>
      <c r="J79"/>
    </row>
    <row r="80" spans="1:10" ht="15" customHeight="1" x14ac:dyDescent="0.15">
      <c r="A80" s="255">
        <v>79</v>
      </c>
      <c r="B80" s="255" t="s">
        <v>270</v>
      </c>
      <c r="C80" s="8">
        <v>2.8294434547424316</v>
      </c>
      <c r="D80" s="9">
        <v>0.28633511066436768</v>
      </c>
      <c r="E80" s="9">
        <v>0.95289498567581177</v>
      </c>
      <c r="F80" s="9">
        <v>14.557658195495605</v>
      </c>
      <c r="G80" s="9">
        <v>0.91605848073959351</v>
      </c>
      <c r="H80" s="9">
        <v>6.5456613898277283E-2</v>
      </c>
      <c r="I80">
        <v>9.7455596551299095E-3</v>
      </c>
      <c r="J80"/>
    </row>
    <row r="81" spans="1:10" ht="15" customHeight="1" x14ac:dyDescent="0.15">
      <c r="A81" s="256">
        <v>80</v>
      </c>
      <c r="B81" s="256" t="s">
        <v>271</v>
      </c>
      <c r="C81" s="8">
        <v>2.5111925601959229</v>
      </c>
      <c r="D81" s="9">
        <v>0.28633511066436768</v>
      </c>
      <c r="E81" s="9">
        <v>2.6099998950958252</v>
      </c>
      <c r="F81" s="9">
        <v>20.208419799804688</v>
      </c>
      <c r="G81" s="9">
        <v>0.96121221780776978</v>
      </c>
      <c r="H81" s="9">
        <v>0.12915408611297607</v>
      </c>
      <c r="I81">
        <v>9.7455596551299095E-3</v>
      </c>
      <c r="J81"/>
    </row>
    <row r="82" spans="1:10" ht="15" customHeight="1" x14ac:dyDescent="0.15">
      <c r="A82" s="257">
        <v>81</v>
      </c>
      <c r="B82" s="257" t="s">
        <v>272</v>
      </c>
      <c r="C82" s="8">
        <v>2.1652214527130127</v>
      </c>
      <c r="D82" s="9">
        <v>0.21878199279308319</v>
      </c>
      <c r="E82" s="9">
        <v>0.92000001668930054</v>
      </c>
      <c r="F82" s="9">
        <v>9.4234504699707031</v>
      </c>
      <c r="G82" s="9">
        <v>0.9105721116065979</v>
      </c>
      <c r="H82" s="9">
        <v>9.7628787159919739E-2</v>
      </c>
      <c r="I82">
        <v>0</v>
      </c>
      <c r="J82"/>
    </row>
    <row r="83" spans="1:10" ht="15" customHeight="1" x14ac:dyDescent="0.15">
      <c r="A83" s="258">
        <v>82</v>
      </c>
      <c r="B83" s="258" t="s">
        <v>273</v>
      </c>
      <c r="C83" s="8">
        <v>3.269561767578125</v>
      </c>
      <c r="D83" s="9">
        <v>5.000000074505806E-2</v>
      </c>
      <c r="E83" s="9">
        <v>1.2239999771118164</v>
      </c>
      <c r="F83" s="9">
        <v>4.0799999237060547</v>
      </c>
      <c r="G83" s="9">
        <v>0.97276633977890015</v>
      </c>
      <c r="H83" s="9">
        <v>0.30000001192092896</v>
      </c>
      <c r="I83">
        <v>7.2382921352982521E-3</v>
      </c>
      <c r="J83"/>
    </row>
    <row r="84" spans="1:10" ht="15" customHeight="1" x14ac:dyDescent="0.15">
      <c r="A84" s="259">
        <v>83</v>
      </c>
      <c r="B84" s="259" t="s">
        <v>274</v>
      </c>
      <c r="C84" s="8">
        <v>2.0004019737243652</v>
      </c>
      <c r="D84" s="9">
        <v>0.7219809889793396</v>
      </c>
      <c r="E84" s="9">
        <v>0.54100000858306885</v>
      </c>
      <c r="F84" s="9">
        <v>9.4234504699707031</v>
      </c>
      <c r="G84" s="9">
        <v>0.93980401754379272</v>
      </c>
      <c r="H84" s="9">
        <v>5.7409968227148056E-2</v>
      </c>
      <c r="I84">
        <v>6.6250590607523918E-3</v>
      </c>
      <c r="J84"/>
    </row>
    <row r="85" spans="1:10" ht="15" customHeight="1" x14ac:dyDescent="0.15">
      <c r="A85" s="260">
        <v>84</v>
      </c>
      <c r="B85" s="260" t="s">
        <v>275</v>
      </c>
      <c r="C85" s="8">
        <v>2.2000000476837158</v>
      </c>
      <c r="D85" s="9">
        <v>5.9733457565307617</v>
      </c>
      <c r="E85" s="9">
        <v>2.5139999389648438</v>
      </c>
      <c r="F85" s="9">
        <v>5.6174941062927246</v>
      </c>
      <c r="G85" s="9">
        <v>0.99041253328323364</v>
      </c>
      <c r="H85" s="9">
        <v>0.44753050804138184</v>
      </c>
      <c r="I85">
        <v>1.5746518969535828E-2</v>
      </c>
      <c r="J85"/>
    </row>
    <row r="86" spans="1:10" ht="15" customHeight="1" x14ac:dyDescent="0.15">
      <c r="A86" s="261">
        <v>85</v>
      </c>
      <c r="B86" s="261" t="s">
        <v>276</v>
      </c>
      <c r="C86" s="8">
        <v>2.3224406242370605</v>
      </c>
      <c r="D86" s="9">
        <v>4.5797882080078125</v>
      </c>
      <c r="E86" s="9">
        <v>1.4800000190734863</v>
      </c>
      <c r="F86" s="9">
        <v>5.2677001953125</v>
      </c>
      <c r="G86" s="9">
        <v>0.9980815052986145</v>
      </c>
      <c r="H86" s="9">
        <v>0.28095752000808716</v>
      </c>
      <c r="I86">
        <v>2.4003840517252684E-3</v>
      </c>
      <c r="J86"/>
    </row>
    <row r="87" spans="1:10" ht="15" customHeight="1" x14ac:dyDescent="0.15">
      <c r="A87" s="262">
        <v>86</v>
      </c>
      <c r="B87" s="262" t="s">
        <v>277</v>
      </c>
      <c r="C87" s="8">
        <v>2.0009546279907227</v>
      </c>
      <c r="D87" s="9">
        <v>2.2000000476837158</v>
      </c>
      <c r="E87" s="9">
        <v>1.1779999732971191</v>
      </c>
      <c r="F87" s="9">
        <v>18.25</v>
      </c>
      <c r="G87" s="9">
        <v>0.96679401397705078</v>
      </c>
      <c r="H87" s="9">
        <v>6.4547941088676453E-2</v>
      </c>
      <c r="I87">
        <v>1.2546967715024948E-2</v>
      </c>
      <c r="J87"/>
    </row>
    <row r="88" spans="1:10" ht="15" customHeight="1" x14ac:dyDescent="0.15">
      <c r="A88" s="263">
        <v>87</v>
      </c>
      <c r="B88" s="263" t="s">
        <v>278</v>
      </c>
      <c r="C88" s="8">
        <v>2.7382519245147705</v>
      </c>
      <c r="D88" s="9">
        <v>9.8171958923339844</v>
      </c>
      <c r="E88" s="9">
        <v>2.6400001049041748</v>
      </c>
      <c r="F88" s="9">
        <v>10.521058082580566</v>
      </c>
      <c r="G88" s="9">
        <v>0.98999994993209839</v>
      </c>
      <c r="H88" s="9">
        <v>0.25092533230781555</v>
      </c>
      <c r="I88">
        <v>1.2690991163253784E-2</v>
      </c>
      <c r="J88"/>
    </row>
    <row r="89" spans="1:10" ht="15" customHeight="1" x14ac:dyDescent="0.15">
      <c r="A89" s="264">
        <v>88</v>
      </c>
      <c r="B89" s="264" t="s">
        <v>279</v>
      </c>
      <c r="C89" s="8">
        <v>2.0047566890716553</v>
      </c>
      <c r="D89" s="9">
        <v>35</v>
      </c>
      <c r="E89" s="9">
        <v>4.0138320922851562</v>
      </c>
      <c r="F89" s="9">
        <v>19.267072677612305</v>
      </c>
      <c r="G89" s="9">
        <v>0.93818902969360352</v>
      </c>
      <c r="H89" s="9">
        <v>0.20832599699497223</v>
      </c>
      <c r="I89">
        <v>0</v>
      </c>
      <c r="J89"/>
    </row>
    <row r="90" spans="1:10" ht="15" customHeight="1" x14ac:dyDescent="0.15">
      <c r="A90" s="265">
        <v>89</v>
      </c>
      <c r="B90" s="265" t="s">
        <v>280</v>
      </c>
      <c r="C90" s="8">
        <v>3.025092601776123</v>
      </c>
      <c r="D90" s="9">
        <v>0.2199999988079071</v>
      </c>
      <c r="E90" s="9">
        <v>10.229836463928223</v>
      </c>
      <c r="F90" s="9">
        <v>26.462099075317383</v>
      </c>
      <c r="G90" s="9">
        <v>0.98077833652496338</v>
      </c>
      <c r="H90" s="9">
        <v>0.38658446073532104</v>
      </c>
      <c r="I90">
        <v>0</v>
      </c>
      <c r="J90"/>
    </row>
    <row r="91" spans="1:10" ht="15" customHeight="1" x14ac:dyDescent="0.15">
      <c r="A91" s="266">
        <v>90</v>
      </c>
      <c r="B91" s="266" t="s">
        <v>281</v>
      </c>
      <c r="C91" s="8">
        <v>3.1764702796936035</v>
      </c>
      <c r="D91" s="9">
        <v>1.0952690839767456</v>
      </c>
      <c r="E91" s="9">
        <v>63.875</v>
      </c>
      <c r="F91" s="9">
        <v>100</v>
      </c>
      <c r="G91" s="9">
        <v>0.98382359743118286</v>
      </c>
      <c r="H91" s="9">
        <v>0.63875001668930054</v>
      </c>
      <c r="I91">
        <v>0</v>
      </c>
      <c r="J91"/>
    </row>
    <row r="92" spans="1:10" ht="15" customHeight="1" x14ac:dyDescent="0.15">
      <c r="A92" s="267">
        <v>91</v>
      </c>
      <c r="B92" s="267" t="s">
        <v>282</v>
      </c>
      <c r="C92" s="8">
        <v>2</v>
      </c>
      <c r="D92" s="9">
        <v>0.92439728975296021</v>
      </c>
      <c r="E92" s="9">
        <v>32</v>
      </c>
      <c r="F92" s="9">
        <v>256.77325439453125</v>
      </c>
      <c r="G92" s="9">
        <v>0.98210424184799194</v>
      </c>
      <c r="H92" s="9">
        <v>0.12462357431650162</v>
      </c>
      <c r="I92">
        <v>0</v>
      </c>
      <c r="J92"/>
    </row>
    <row r="93" spans="1:10" ht="15" customHeight="1" x14ac:dyDescent="0.15">
      <c r="A93" s="268">
        <v>92</v>
      </c>
      <c r="B93" s="268" t="s">
        <v>283</v>
      </c>
      <c r="C93" s="8">
        <v>2</v>
      </c>
      <c r="D93" s="9">
        <v>1.6209180355072021</v>
      </c>
      <c r="E93" s="9">
        <v>91.25</v>
      </c>
      <c r="F93" s="9">
        <v>265.80999755859375</v>
      </c>
      <c r="G93" s="9">
        <v>0.98249965906143188</v>
      </c>
      <c r="H93" s="9">
        <v>0.34329032897949219</v>
      </c>
      <c r="I93">
        <v>0</v>
      </c>
      <c r="J93"/>
    </row>
    <row r="94" spans="1:10" ht="15" customHeight="1" x14ac:dyDescent="0.15">
      <c r="A94" s="269">
        <v>93</v>
      </c>
      <c r="B94" s="269" t="s">
        <v>284</v>
      </c>
      <c r="C94" s="8">
        <v>1</v>
      </c>
      <c r="D94" s="9">
        <v>26.100000381469727</v>
      </c>
      <c r="E94" s="9">
        <v>109.1187744140625</v>
      </c>
      <c r="F94" s="10"/>
      <c r="G94" s="9">
        <v>0.26204624772071838</v>
      </c>
      <c r="H94" s="10"/>
      <c r="I94">
        <v>0</v>
      </c>
      <c r="J94"/>
    </row>
    <row r="95" spans="1:10" ht="15" customHeight="1" x14ac:dyDescent="0.15">
      <c r="A95" s="270">
        <v>94</v>
      </c>
      <c r="B95" s="270" t="s">
        <v>285</v>
      </c>
      <c r="C95" s="8">
        <v>1</v>
      </c>
      <c r="D95" s="9">
        <v>39.389122009277344</v>
      </c>
      <c r="E95" s="9">
        <v>10.225000381469727</v>
      </c>
      <c r="F95" s="10"/>
      <c r="G95" s="9">
        <v>0.53800225257873535</v>
      </c>
      <c r="H95" s="10"/>
      <c r="I95">
        <v>0</v>
      </c>
      <c r="J95"/>
    </row>
    <row r="96" spans="1:10" ht="15" customHeight="1" x14ac:dyDescent="0.15">
      <c r="A96" s="271">
        <v>95</v>
      </c>
      <c r="B96" s="271" t="s">
        <v>286</v>
      </c>
      <c r="C96" s="8">
        <v>1</v>
      </c>
      <c r="D96" s="9">
        <v>20.156726837158203</v>
      </c>
      <c r="E96" s="9">
        <v>13.757692337036133</v>
      </c>
      <c r="F96" s="10"/>
      <c r="G96" s="9">
        <v>0.83333426713943481</v>
      </c>
      <c r="H96" s="10"/>
      <c r="I96">
        <v>0</v>
      </c>
      <c r="J96"/>
    </row>
    <row r="97" spans="1:10" ht="15" customHeight="1" x14ac:dyDescent="0.15">
      <c r="A97" s="272">
        <v>96</v>
      </c>
      <c r="B97" s="272" t="s">
        <v>287</v>
      </c>
      <c r="C97" s="8">
        <v>1</v>
      </c>
      <c r="D97" s="9">
        <v>6.1472067832946777</v>
      </c>
      <c r="E97" s="9">
        <v>6.6183000802993774E-2</v>
      </c>
      <c r="F97" s="10"/>
      <c r="G97" s="9">
        <v>9.7106501460075378E-2</v>
      </c>
      <c r="H97" s="10"/>
      <c r="I97">
        <v>0</v>
      </c>
      <c r="J97"/>
    </row>
    <row r="98" spans="1:10" ht="15" customHeight="1" x14ac:dyDescent="0.15">
      <c r="A98" s="273">
        <v>97</v>
      </c>
      <c r="B98" s="273" t="s">
        <v>288</v>
      </c>
      <c r="C98" s="8">
        <v>1</v>
      </c>
      <c r="D98" s="9">
        <v>20</v>
      </c>
      <c r="E98" s="10"/>
      <c r="F98" s="10"/>
      <c r="G98" s="9">
        <v>5.0538964569568634E-4</v>
      </c>
      <c r="H98" s="10"/>
      <c r="I98">
        <v>0</v>
      </c>
      <c r="J98"/>
    </row>
    <row r="99" spans="1:10" ht="15" customHeight="1" x14ac:dyDescent="0.15">
      <c r="A99" s="274">
        <v>98</v>
      </c>
      <c r="B99" s="274" t="s">
        <v>289</v>
      </c>
      <c r="C99" s="8">
        <v>1</v>
      </c>
      <c r="D99" s="9">
        <v>100</v>
      </c>
      <c r="E99" s="10"/>
      <c r="F99" s="10"/>
      <c r="G99" s="9">
        <v>0.17456395924091339</v>
      </c>
      <c r="H99" s="10"/>
      <c r="I99">
        <v>0</v>
      </c>
      <c r="J99"/>
    </row>
    <row r="100" spans="1:10" ht="15" customHeight="1" x14ac:dyDescent="0.15">
      <c r="A100" s="275">
        <v>99</v>
      </c>
      <c r="B100" s="275" t="s">
        <v>290</v>
      </c>
      <c r="C100" s="8">
        <v>1</v>
      </c>
      <c r="D100" s="9">
        <v>5</v>
      </c>
      <c r="E100" s="10"/>
      <c r="F100" s="10"/>
      <c r="G100" s="7">
        <v>0</v>
      </c>
      <c r="H100" s="10"/>
      <c r="I100">
        <v>0</v>
      </c>
      <c r="J100"/>
    </row>
    <row r="101" spans="1:10" ht="15" customHeight="1" x14ac:dyDescent="0.15">
      <c r="A101" s="276">
        <v>100</v>
      </c>
      <c r="B101" s="276" t="s">
        <v>291</v>
      </c>
      <c r="C101" s="8">
        <v>4.0499210357666016</v>
      </c>
      <c r="D101" s="10"/>
      <c r="E101" s="10"/>
      <c r="F101" s="10"/>
      <c r="G101" s="10"/>
      <c r="H101" s="10"/>
      <c r="I101">
        <v>0.20675060153007507</v>
      </c>
      <c r="J101"/>
    </row>
    <row r="102" spans="1:10" ht="15" customHeight="1" x14ac:dyDescent="0.15">
      <c r="A102" s="277">
        <v>101</v>
      </c>
      <c r="B102" s="277" t="s">
        <v>292</v>
      </c>
      <c r="C102" s="8">
        <v>3.9440112113952637</v>
      </c>
      <c r="D102" s="10"/>
      <c r="E102" s="10"/>
      <c r="F102" s="10"/>
      <c r="G102" s="10"/>
      <c r="H102" s="10"/>
      <c r="I102">
        <v>0.14785915613174438</v>
      </c>
      <c r="J102"/>
    </row>
    <row r="103" spans="1:10" ht="15" customHeight="1" x14ac:dyDescent="0.15">
      <c r="A103" s="278">
        <v>102</v>
      </c>
      <c r="B103" s="278" t="s">
        <v>293</v>
      </c>
      <c r="C103" s="8">
        <v>4.1284503936767578</v>
      </c>
      <c r="D103" s="10"/>
      <c r="E103" s="10"/>
      <c r="F103" s="10"/>
      <c r="G103" s="10"/>
      <c r="H103" s="10"/>
      <c r="I103">
        <v>0.24361149966716766</v>
      </c>
      <c r="J103"/>
    </row>
    <row r="104" spans="1:10" ht="15" customHeight="1" x14ac:dyDescent="0.15">
      <c r="A104" s="279">
        <v>103</v>
      </c>
      <c r="B104" s="279" t="s">
        <v>294</v>
      </c>
      <c r="C104" s="8">
        <v>4.1054062843322754</v>
      </c>
      <c r="D104" s="10"/>
      <c r="E104" s="10"/>
      <c r="F104" s="10"/>
      <c r="G104" s="10"/>
      <c r="H104" s="10"/>
      <c r="I104">
        <v>0.23233351111412048</v>
      </c>
      <c r="J104"/>
    </row>
    <row r="105" spans="1:10" ht="15" customHeight="1" x14ac:dyDescent="0.15">
      <c r="A105" s="280">
        <v>104</v>
      </c>
      <c r="B105" s="280" t="s">
        <v>295</v>
      </c>
      <c r="C105" s="8">
        <v>4.0784859657287598</v>
      </c>
      <c r="D105" s="10"/>
      <c r="E105" s="10"/>
      <c r="F105" s="10"/>
      <c r="G105" s="10"/>
      <c r="H105" s="10"/>
      <c r="I105">
        <v>0.23666611313819885</v>
      </c>
      <c r="J105"/>
    </row>
    <row r="106" spans="1:10" ht="15" customHeight="1" x14ac:dyDescent="0.15">
      <c r="A106" s="281">
        <v>105</v>
      </c>
      <c r="B106" s="281" t="s">
        <v>296</v>
      </c>
      <c r="C106" s="8">
        <v>4.0632367134094238</v>
      </c>
      <c r="D106" s="10"/>
      <c r="E106" s="10"/>
      <c r="F106" s="10"/>
      <c r="G106" s="10"/>
      <c r="H106" s="10"/>
      <c r="I106">
        <v>0.18849241733551025</v>
      </c>
      <c r="J106"/>
    </row>
    <row r="107" spans="1:10" ht="15" customHeight="1" x14ac:dyDescent="0.15">
      <c r="A107" s="282">
        <v>106</v>
      </c>
      <c r="B107" s="282" t="s">
        <v>297</v>
      </c>
      <c r="C107" s="8">
        <v>4.22882080078125</v>
      </c>
      <c r="D107" s="10"/>
      <c r="E107" s="10"/>
      <c r="F107" s="10"/>
      <c r="G107" s="10"/>
      <c r="H107" s="10"/>
      <c r="I107">
        <v>7.0211127400398254E-2</v>
      </c>
      <c r="J107"/>
    </row>
    <row r="108" spans="1:10" ht="15" customHeight="1" x14ac:dyDescent="0.15">
      <c r="A108" s="283">
        <v>107</v>
      </c>
      <c r="B108" s="283" t="s">
        <v>298</v>
      </c>
      <c r="C108" s="8">
        <v>4.4387631416320801</v>
      </c>
      <c r="D108" s="10"/>
      <c r="E108" s="10"/>
      <c r="F108" s="10"/>
      <c r="G108" s="10"/>
      <c r="H108" s="10"/>
      <c r="I108">
        <v>2.6023684069514275E-2</v>
      </c>
      <c r="J108"/>
    </row>
    <row r="109" spans="1:10" ht="15" customHeight="1" x14ac:dyDescent="0.15">
      <c r="A109" s="284">
        <v>108</v>
      </c>
      <c r="B109" s="284" t="s">
        <v>299</v>
      </c>
      <c r="C109" s="8">
        <v>4.4688816070556641</v>
      </c>
      <c r="D109" s="10"/>
      <c r="E109" s="10"/>
      <c r="F109" s="10"/>
      <c r="G109" s="10"/>
      <c r="H109" s="10"/>
      <c r="I109">
        <v>3.0002247542142868E-2</v>
      </c>
      <c r="J109"/>
    </row>
    <row r="110" spans="1:10" ht="15" customHeight="1" x14ac:dyDescent="0.15">
      <c r="A110" s="285">
        <v>109</v>
      </c>
      <c r="B110" s="285" t="s">
        <v>300</v>
      </c>
      <c r="C110" s="8">
        <v>3.9918780326843262</v>
      </c>
      <c r="D110" s="10"/>
      <c r="E110" s="10"/>
      <c r="F110" s="10"/>
      <c r="G110" s="10"/>
      <c r="H110" s="10"/>
      <c r="I110">
        <v>5.692816898226738E-2</v>
      </c>
      <c r="J110"/>
    </row>
    <row r="111" spans="1:10" ht="15" customHeight="1" x14ac:dyDescent="0.15">
      <c r="A111" s="286">
        <v>110</v>
      </c>
      <c r="B111" s="286" t="s">
        <v>301</v>
      </c>
      <c r="C111" s="8">
        <v>4.6341867446899414</v>
      </c>
      <c r="D111" s="10"/>
      <c r="E111" s="10"/>
      <c r="F111" s="10"/>
      <c r="G111" s="10"/>
      <c r="H111" s="10"/>
      <c r="I111">
        <v>0.25705456733703613</v>
      </c>
      <c r="J111"/>
    </row>
    <row r="112" spans="1:10" ht="15" customHeight="1" x14ac:dyDescent="0.15">
      <c r="A112" s="287">
        <v>111</v>
      </c>
      <c r="B112" s="287" t="s">
        <v>302</v>
      </c>
      <c r="C112" s="8">
        <v>4.5405797958374023</v>
      </c>
      <c r="D112" s="10"/>
      <c r="E112" s="10"/>
      <c r="F112" s="10"/>
      <c r="G112" s="10"/>
      <c r="H112" s="10"/>
      <c r="I112">
        <v>5.5080793797969818E-2</v>
      </c>
      <c r="J112"/>
    </row>
    <row r="113" spans="1:10" ht="15" customHeight="1" x14ac:dyDescent="0.15">
      <c r="A113" s="288">
        <v>112</v>
      </c>
      <c r="B113" s="288" t="s">
        <v>303</v>
      </c>
      <c r="C113" s="8">
        <v>4.5297389030456543</v>
      </c>
      <c r="D113" s="10"/>
      <c r="E113" s="10"/>
      <c r="F113" s="10"/>
      <c r="G113" s="10"/>
      <c r="H113" s="10"/>
      <c r="I113">
        <v>0.25023224949836731</v>
      </c>
      <c r="J113"/>
    </row>
    <row r="114" spans="1:10" ht="15" customHeight="1" x14ac:dyDescent="0.15">
      <c r="A114" s="289">
        <v>113</v>
      </c>
      <c r="B114" s="289" t="s">
        <v>304</v>
      </c>
      <c r="C114" s="8">
        <v>4.5446462631225586</v>
      </c>
      <c r="D114" s="10"/>
      <c r="E114" s="10"/>
      <c r="F114" s="10"/>
      <c r="G114" s="10"/>
      <c r="H114" s="10"/>
      <c r="I114">
        <v>0.32529804110527039</v>
      </c>
      <c r="J114"/>
    </row>
    <row r="115" spans="1:10" ht="15" customHeight="1" x14ac:dyDescent="0.15">
      <c r="A115" s="290">
        <v>114</v>
      </c>
      <c r="B115" s="290" t="s">
        <v>305</v>
      </c>
      <c r="C115" s="8">
        <v>4.274355411529541</v>
      </c>
      <c r="D115" s="10"/>
      <c r="E115" s="10"/>
      <c r="F115" s="10"/>
      <c r="G115" s="10"/>
      <c r="H115" s="10"/>
      <c r="I115">
        <v>0.24524036049842834</v>
      </c>
      <c r="J115"/>
    </row>
    <row r="116" spans="1:10" ht="15" customHeight="1" x14ac:dyDescent="0.15">
      <c r="A116" s="291">
        <v>115</v>
      </c>
      <c r="B116" s="291" t="s">
        <v>306</v>
      </c>
      <c r="C116" s="8">
        <v>4.5326571464538574</v>
      </c>
      <c r="D116" s="10"/>
      <c r="E116" s="10"/>
      <c r="F116" s="10"/>
      <c r="G116" s="10"/>
      <c r="H116" s="10"/>
      <c r="I116">
        <v>9.0439118444919586E-2</v>
      </c>
      <c r="J116"/>
    </row>
    <row r="117" spans="1:10" ht="15" customHeight="1" x14ac:dyDescent="0.15">
      <c r="A117" s="292">
        <v>116</v>
      </c>
      <c r="B117" s="292" t="s">
        <v>307</v>
      </c>
      <c r="C117" s="8">
        <v>3.3593785762786865</v>
      </c>
      <c r="D117" s="10"/>
      <c r="E117" s="10"/>
      <c r="F117" s="10"/>
      <c r="G117" s="10"/>
      <c r="H117" s="10"/>
      <c r="I117">
        <v>0.3715851902961731</v>
      </c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6" bestFit="1" customWidth="1"/>
    <col min="2" max="4" width="9.5" style="86" bestFit="1" customWidth="1"/>
    <col min="5" max="7" width="9" style="86" bestFit="1" customWidth="1"/>
    <col min="8" max="16" width="12.6640625" style="86" bestFit="1" customWidth="1"/>
    <col min="17" max="17" width="12.33203125" style="86" bestFit="1" customWidth="1"/>
    <col min="18" max="18" width="8.83203125" style="86"/>
    <col min="19" max="21" width="9.33203125" style="86" bestFit="1" customWidth="1"/>
    <col min="22" max="23" width="8.83203125" style="86"/>
    <col min="24" max="24" width="9.33203125" style="86" bestFit="1" customWidth="1"/>
    <col min="25" max="27" width="8.83203125" style="86"/>
    <col min="28" max="58" width="9" style="86" bestFit="1" customWidth="1"/>
    <col min="59" max="59" width="12.33203125" style="86" bestFit="1" customWidth="1"/>
    <col min="60" max="60" width="9" style="86" bestFit="1" customWidth="1"/>
    <col min="61" max="61" width="11.33203125" style="86" bestFit="1" customWidth="1"/>
    <col min="62" max="77" width="9" style="86" bestFit="1" customWidth="1"/>
    <col min="78" max="78" width="12.33203125" style="86" bestFit="1" customWidth="1"/>
    <col min="79" max="79" width="9" style="86" bestFit="1" customWidth="1"/>
    <col min="80" max="80" width="12.33203125" style="86" bestFit="1" customWidth="1"/>
    <col min="81" max="107" width="9" style="86" bestFit="1" customWidth="1"/>
    <col min="108" max="108" width="11.33203125" style="86" bestFit="1" customWidth="1"/>
    <col min="109" max="124" width="9" style="86" bestFit="1" customWidth="1"/>
    <col min="125" max="125" width="10.33203125" style="86" bestFit="1" customWidth="1"/>
    <col min="126" max="129" width="9.33203125" style="86" bestFit="1" customWidth="1"/>
    <col min="130" max="130" width="9" style="86" bestFit="1" customWidth="1"/>
    <col min="131" max="134" width="9.33203125" style="86" bestFit="1" customWidth="1"/>
    <col min="135" max="165" width="9" style="86" bestFit="1" customWidth="1"/>
    <col min="166" max="166" width="12.33203125" style="86" bestFit="1" customWidth="1"/>
    <col min="167" max="170" width="9" style="86" bestFit="1" customWidth="1"/>
    <col min="171" max="176" width="8.83203125" style="86"/>
    <col min="177" max="177" width="13.83203125" style="86" bestFit="1" customWidth="1"/>
    <col min="178" max="16384" width="8.83203125" style="86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312</v>
      </c>
      <c r="E1" t="s">
        <v>313</v>
      </c>
      <c r="F1" t="s">
        <v>314</v>
      </c>
      <c r="G1" t="s">
        <v>315</v>
      </c>
      <c r="H1" t="s">
        <v>316</v>
      </c>
      <c r="I1" t="s">
        <v>317</v>
      </c>
      <c r="J1" t="s">
        <v>318</v>
      </c>
      <c r="K1" t="s">
        <v>319</v>
      </c>
      <c r="L1" t="s">
        <v>320</v>
      </c>
      <c r="M1" t="s">
        <v>321</v>
      </c>
      <c r="N1" t="s">
        <v>322</v>
      </c>
      <c r="O1" t="s">
        <v>323</v>
      </c>
      <c r="P1" t="s">
        <v>324</v>
      </c>
      <c r="Q1" t="s">
        <v>325</v>
      </c>
      <c r="R1" t="s">
        <v>326</v>
      </c>
      <c r="S1" t="s">
        <v>327</v>
      </c>
      <c r="T1" t="s">
        <v>328</v>
      </c>
      <c r="U1" t="s">
        <v>192</v>
      </c>
      <c r="V1" t="s">
        <v>193</v>
      </c>
      <c r="W1" t="s">
        <v>194</v>
      </c>
      <c r="X1" t="s">
        <v>195</v>
      </c>
      <c r="Y1" t="s">
        <v>196</v>
      </c>
      <c r="Z1" t="s">
        <v>197</v>
      </c>
      <c r="AA1" t="s">
        <v>198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  <c r="AK1" t="s">
        <v>208</v>
      </c>
      <c r="AL1" t="s">
        <v>209</v>
      </c>
      <c r="AM1" t="s">
        <v>210</v>
      </c>
      <c r="AN1" t="s">
        <v>211</v>
      </c>
      <c r="AO1" t="s">
        <v>212</v>
      </c>
      <c r="AP1" t="s">
        <v>213</v>
      </c>
      <c r="AQ1" t="s">
        <v>214</v>
      </c>
      <c r="AR1" t="s">
        <v>215</v>
      </c>
      <c r="AS1" t="s">
        <v>216</v>
      </c>
      <c r="AT1" t="s">
        <v>217</v>
      </c>
      <c r="AU1" t="s">
        <v>218</v>
      </c>
      <c r="AV1" t="s">
        <v>219</v>
      </c>
      <c r="AW1" t="s">
        <v>220</v>
      </c>
      <c r="AX1" t="s">
        <v>221</v>
      </c>
      <c r="AY1" t="s">
        <v>222</v>
      </c>
      <c r="AZ1" t="s">
        <v>223</v>
      </c>
      <c r="BA1" t="s">
        <v>224</v>
      </c>
      <c r="BB1" t="s">
        <v>225</v>
      </c>
      <c r="BC1" t="s">
        <v>226</v>
      </c>
      <c r="BD1" t="s">
        <v>227</v>
      </c>
      <c r="BE1" t="s">
        <v>228</v>
      </c>
      <c r="BF1" t="s">
        <v>229</v>
      </c>
      <c r="BG1" t="s">
        <v>230</v>
      </c>
      <c r="BH1" t="s">
        <v>231</v>
      </c>
      <c r="BI1" t="s">
        <v>232</v>
      </c>
      <c r="BJ1" t="s">
        <v>233</v>
      </c>
      <c r="BK1" t="s">
        <v>234</v>
      </c>
      <c r="BL1" t="s">
        <v>235</v>
      </c>
      <c r="BM1" t="s">
        <v>236</v>
      </c>
      <c r="BN1" t="s">
        <v>237</v>
      </c>
      <c r="BO1" t="s">
        <v>238</v>
      </c>
      <c r="BP1" t="s">
        <v>239</v>
      </c>
      <c r="BQ1" t="s">
        <v>240</v>
      </c>
      <c r="BR1" t="s">
        <v>241</v>
      </c>
      <c r="BS1" t="s">
        <v>242</v>
      </c>
      <c r="BT1" t="s">
        <v>243</v>
      </c>
      <c r="BU1" t="s">
        <v>244</v>
      </c>
      <c r="BV1" t="s">
        <v>245</v>
      </c>
      <c r="BW1" t="s">
        <v>246</v>
      </c>
      <c r="BX1" t="s">
        <v>247</v>
      </c>
      <c r="BY1" t="s">
        <v>248</v>
      </c>
      <c r="BZ1" t="s">
        <v>249</v>
      </c>
      <c r="CA1" t="s">
        <v>250</v>
      </c>
      <c r="CB1" t="s">
        <v>251</v>
      </c>
      <c r="CC1" t="s">
        <v>252</v>
      </c>
      <c r="CD1" t="s">
        <v>253</v>
      </c>
      <c r="CE1" t="s">
        <v>254</v>
      </c>
      <c r="CF1" t="s">
        <v>255</v>
      </c>
      <c r="CG1" t="s">
        <v>256</v>
      </c>
      <c r="CH1" t="s">
        <v>257</v>
      </c>
      <c r="CI1" t="s">
        <v>258</v>
      </c>
      <c r="CJ1" t="s">
        <v>259</v>
      </c>
      <c r="CK1" t="s">
        <v>260</v>
      </c>
      <c r="CL1" t="s">
        <v>261</v>
      </c>
      <c r="CM1" t="s">
        <v>262</v>
      </c>
      <c r="CN1" t="s">
        <v>263</v>
      </c>
      <c r="CO1" t="s">
        <v>264</v>
      </c>
      <c r="CP1" t="s">
        <v>265</v>
      </c>
      <c r="CQ1" t="s">
        <v>266</v>
      </c>
      <c r="CR1" t="s">
        <v>267</v>
      </c>
      <c r="CS1" t="s">
        <v>268</v>
      </c>
      <c r="CT1" t="s">
        <v>269</v>
      </c>
      <c r="CU1" t="s">
        <v>270</v>
      </c>
      <c r="CV1" t="s">
        <v>271</v>
      </c>
      <c r="CW1" t="s">
        <v>272</v>
      </c>
      <c r="CX1" t="s">
        <v>273</v>
      </c>
      <c r="CY1" t="s">
        <v>274</v>
      </c>
      <c r="CZ1" t="s">
        <v>275</v>
      </c>
      <c r="DA1" t="s">
        <v>276</v>
      </c>
      <c r="DB1" t="s">
        <v>277</v>
      </c>
      <c r="DC1" t="s">
        <v>278</v>
      </c>
      <c r="DD1" t="s">
        <v>279</v>
      </c>
      <c r="DE1" t="s">
        <v>280</v>
      </c>
      <c r="DF1" t="s">
        <v>281</v>
      </c>
      <c r="DG1" t="s">
        <v>282</v>
      </c>
      <c r="DH1" t="s">
        <v>283</v>
      </c>
      <c r="DI1" t="s">
        <v>284</v>
      </c>
      <c r="DJ1" t="s">
        <v>285</v>
      </c>
      <c r="DK1" t="s">
        <v>286</v>
      </c>
      <c r="DL1" t="s">
        <v>287</v>
      </c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5.4999999701976776E-2</v>
      </c>
      <c r="C2">
        <v>5.3250513970851898E-2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 s="25">
        <v>1.7494873609393835E-3</v>
      </c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3.5000000149011612E-2</v>
      </c>
      <c r="C3">
        <v>3.3886674791574478E-2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 s="25">
        <v>1.1133254738524556E-3</v>
      </c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1.9999999552965164E-2</v>
      </c>
      <c r="C4">
        <v>1.936381496489048E-2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 s="25">
        <v>6.3618423882871866E-4</v>
      </c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2.500000037252903E-2</v>
      </c>
      <c r="C5">
        <v>6.4814821816980839E-3</v>
      </c>
      <c r="D5" s="293">
        <v>1.8518518656492233E-2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0.38100001215934753</v>
      </c>
      <c r="C6">
        <v>0.37436783313751221</v>
      </c>
      <c r="D6"/>
      <c r="E6"/>
      <c r="F6"/>
      <c r="G6"/>
      <c r="H6"/>
      <c r="I6"/>
      <c r="J6"/>
      <c r="K6"/>
      <c r="L6"/>
      <c r="M6"/>
      <c r="N6" s="22">
        <v>3.1043468043208122E-3</v>
      </c>
      <c r="O6"/>
      <c r="P6"/>
      <c r="Q6" s="23">
        <v>2.0145163871347904E-3</v>
      </c>
      <c r="R6"/>
      <c r="S6"/>
      <c r="T6"/>
      <c r="U6"/>
      <c r="V6"/>
      <c r="W6"/>
      <c r="X6"/>
      <c r="Y6"/>
      <c r="Z6"/>
      <c r="AA6"/>
      <c r="AB6"/>
      <c r="AC6" s="12">
        <v>1.4503714628517628E-3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 s="11">
        <v>6.2951046857051551E-5</v>
      </c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0.10000000149011612</v>
      </c>
      <c r="C7">
        <v>4.115104820812121E-5</v>
      </c>
      <c r="D7"/>
      <c r="E7"/>
      <c r="F7"/>
      <c r="G7"/>
      <c r="H7"/>
      <c r="I7"/>
      <c r="J7"/>
      <c r="K7"/>
      <c r="L7"/>
      <c r="M7"/>
      <c r="N7"/>
      <c r="O7"/>
      <c r="P7"/>
      <c r="Q7" s="302">
        <v>9.2530481517314911E-2</v>
      </c>
      <c r="R7"/>
      <c r="S7"/>
      <c r="T7"/>
      <c r="U7"/>
      <c r="V7"/>
      <c r="W7"/>
      <c r="X7"/>
      <c r="Y7"/>
      <c r="Z7"/>
      <c r="AA7"/>
      <c r="AB7"/>
      <c r="AC7" s="14">
        <v>9.9927587143611163E-5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 s="315">
        <v>7.3284376412630081E-3</v>
      </c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2.9999999329447746E-2</v>
      </c>
      <c r="C8">
        <v>1.4569789171218872E-2</v>
      </c>
      <c r="D8"/>
      <c r="E8"/>
      <c r="F8"/>
      <c r="G8"/>
      <c r="H8"/>
      <c r="I8"/>
      <c r="J8"/>
      <c r="K8"/>
      <c r="L8"/>
      <c r="M8"/>
      <c r="N8"/>
      <c r="O8"/>
      <c r="P8"/>
      <c r="Q8" s="303">
        <v>1.0252895765006542E-2</v>
      </c>
      <c r="R8"/>
      <c r="S8"/>
      <c r="T8"/>
      <c r="U8"/>
      <c r="V8"/>
      <c r="W8"/>
      <c r="X8"/>
      <c r="Y8"/>
      <c r="Z8"/>
      <c r="AA8"/>
      <c r="AB8"/>
      <c r="AC8" s="20">
        <v>1.2980859028175473E-3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 s="141">
        <v>3.8792276754975319E-3</v>
      </c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2.9999999329447746E-2</v>
      </c>
      <c r="C9">
        <v>1.6482872888445854E-2</v>
      </c>
      <c r="D9"/>
      <c r="E9"/>
      <c r="F9"/>
      <c r="G9"/>
      <c r="H9"/>
      <c r="I9"/>
      <c r="J9"/>
      <c r="K9"/>
      <c r="L9"/>
      <c r="M9"/>
      <c r="N9"/>
      <c r="O9"/>
      <c r="P9"/>
      <c r="Q9" s="304">
        <v>8.6328694596886635E-3</v>
      </c>
      <c r="R9"/>
      <c r="S9"/>
      <c r="T9"/>
      <c r="U9"/>
      <c r="V9"/>
      <c r="W9"/>
      <c r="X9"/>
      <c r="Y9"/>
      <c r="Z9"/>
      <c r="AA9"/>
      <c r="AB9"/>
      <c r="AC9" s="66">
        <v>1.2246087426319718E-3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 s="316">
        <v>3.6596471909433603E-3</v>
      </c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0.40786498785018921</v>
      </c>
      <c r="C10">
        <v>0.16159443557262421</v>
      </c>
      <c r="D10" s="19">
        <v>7.5357947498559952E-3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 s="314">
        <v>0.23873475193977356</v>
      </c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0.15999999642372131</v>
      </c>
      <c r="C11">
        <v>0.11136183887720108</v>
      </c>
      <c r="D11" s="16">
        <v>2.5000001769512892E-3</v>
      </c>
      <c r="E11"/>
      <c r="F11"/>
      <c r="G11"/>
      <c r="H11" s="15">
        <v>1.4353037113323808E-3</v>
      </c>
      <c r="I11"/>
      <c r="J11" s="15">
        <v>1.4353037113323808E-3</v>
      </c>
      <c r="K11" s="65">
        <v>3.5693750251084566E-3</v>
      </c>
      <c r="L11" s="65">
        <v>3.5693750251084566E-3</v>
      </c>
      <c r="M11" s="12">
        <v>7.1765249595046043E-4</v>
      </c>
      <c r="N11"/>
      <c r="O11"/>
      <c r="P11"/>
      <c r="Q11" s="305">
        <v>4.9999997019767761E-2</v>
      </c>
      <c r="R11"/>
      <c r="S11"/>
      <c r="T11"/>
      <c r="U11"/>
      <c r="V11"/>
      <c r="W11"/>
      <c r="X11"/>
      <c r="Y11"/>
      <c r="Z11"/>
      <c r="AA11"/>
      <c r="AB11"/>
      <c r="AC11"/>
      <c r="AD11" s="323">
        <v>1.8426155671477318E-2</v>
      </c>
      <c r="AE11" s="16">
        <v>2.4364416021853685E-3</v>
      </c>
      <c r="AF11" s="14">
        <v>2.6937952497974038E-4</v>
      </c>
      <c r="AG11" s="317">
        <v>1.0968615300953388E-2</v>
      </c>
      <c r="AH11" s="12">
        <v>7.8324729111045599E-4</v>
      </c>
      <c r="AI11" s="12">
        <v>6.5024924697354436E-4</v>
      </c>
      <c r="AJ11" s="19">
        <v>2.8924997895956039E-3</v>
      </c>
      <c r="AK11" s="20">
        <v>6.7693679593503475E-3</v>
      </c>
      <c r="AL11" s="14">
        <v>2.1387467859312892E-4</v>
      </c>
      <c r="AM11"/>
      <c r="AN11"/>
      <c r="AO11" s="11">
        <v>3.5868492886947934E-6</v>
      </c>
      <c r="AP11"/>
      <c r="AQ11" s="14">
        <v>1.6349850920960307E-4</v>
      </c>
      <c r="AR11" s="11">
        <v>8.2136348282801919E-6</v>
      </c>
      <c r="AS11" s="11">
        <v>7.2000148065853864E-5</v>
      </c>
      <c r="AT11" s="11">
        <v>1.3212036265031202E-7</v>
      </c>
      <c r="AU11"/>
      <c r="AV11"/>
      <c r="AW11"/>
      <c r="AX11"/>
      <c r="AY11" s="11">
        <v>1.4201016540482669E-7</v>
      </c>
      <c r="AZ11"/>
      <c r="BA11"/>
      <c r="BB11"/>
      <c r="BC11" s="11">
        <v>4.2525166463747155E-6</v>
      </c>
      <c r="BD11" s="11">
        <v>4.1667053665150888E-6</v>
      </c>
      <c r="BE11" s="11">
        <v>4.6762384187104544E-8</v>
      </c>
      <c r="BF11"/>
      <c r="BG11"/>
      <c r="BH11"/>
      <c r="BI11"/>
      <c r="BJ11" s="65">
        <v>3.5500030498951674E-3</v>
      </c>
      <c r="BK11" s="11">
        <v>5.1484730647644028E-5</v>
      </c>
      <c r="BL11" s="14">
        <v>2.499986148905009E-4</v>
      </c>
      <c r="BM11" s="11">
        <v>2.858599600585876E-6</v>
      </c>
      <c r="BN11"/>
      <c r="BO11"/>
      <c r="BP11" s="14">
        <v>1.8209527479484677E-4</v>
      </c>
      <c r="BQ11" s="11">
        <v>4.3485659261932597E-5</v>
      </c>
      <c r="BR11"/>
      <c r="BS11"/>
      <c r="BT11" s="11">
        <v>1.5075462579261512E-4</v>
      </c>
      <c r="BU11"/>
      <c r="BV11"/>
      <c r="BW11"/>
      <c r="BX11"/>
      <c r="BY11"/>
      <c r="BZ11" s="11">
        <v>1.4612255654355977E-5</v>
      </c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0.40000000596046448</v>
      </c>
      <c r="C12">
        <v>0.53253453969955444</v>
      </c>
      <c r="D12" s="22">
        <v>3.1341812573373318E-3</v>
      </c>
      <c r="E12"/>
      <c r="F12"/>
      <c r="G12"/>
      <c r="H12" s="16">
        <v>6.4333141781389713E-3</v>
      </c>
      <c r="I12"/>
      <c r="J12" s="16">
        <v>6.4333141781389713E-3</v>
      </c>
      <c r="K12" s="299">
        <v>1.6000811010599136E-2</v>
      </c>
      <c r="L12" s="299">
        <v>1.6000811010599136E-2</v>
      </c>
      <c r="M12" s="22">
        <v>3.1341812573373318E-3</v>
      </c>
      <c r="N12"/>
      <c r="O12"/>
      <c r="P12"/>
      <c r="Q12" s="24">
        <v>1.091817207634449E-2</v>
      </c>
      <c r="R12"/>
      <c r="S12"/>
      <c r="T12"/>
      <c r="U12"/>
      <c r="V12"/>
      <c r="W12"/>
      <c r="X12"/>
      <c r="Y12"/>
      <c r="Z12"/>
      <c r="AA12"/>
      <c r="AB12"/>
      <c r="AC12"/>
      <c r="AD12" s="21">
        <v>8.047197014093399E-3</v>
      </c>
      <c r="AE12" s="294">
        <v>9.6732638776302338E-3</v>
      </c>
      <c r="AF12" s="21">
        <v>7.8430185094475746E-3</v>
      </c>
      <c r="AG12" s="15">
        <v>3.8786961231380701E-3</v>
      </c>
      <c r="AH12" s="11">
        <v>3.4206444979645312E-5</v>
      </c>
      <c r="AI12" s="17">
        <v>5.5353748612105846E-3</v>
      </c>
      <c r="AJ12" s="313">
        <v>1.9434345886111259E-2</v>
      </c>
      <c r="AK12" s="65">
        <v>8.4467567503452301E-3</v>
      </c>
      <c r="AL12" s="29">
        <v>1.8680965527892113E-2</v>
      </c>
      <c r="AM12"/>
      <c r="AN12"/>
      <c r="AO12" s="14">
        <v>1.0443159844726324E-3</v>
      </c>
      <c r="AP12"/>
      <c r="AQ12" s="23">
        <v>2.5965161621570587E-3</v>
      </c>
      <c r="AR12" s="14">
        <v>1.0761345038190484E-3</v>
      </c>
      <c r="AS12" s="22">
        <v>2.8299996629357338E-3</v>
      </c>
      <c r="AT12" s="11">
        <v>1.0990574082825333E-4</v>
      </c>
      <c r="AU12"/>
      <c r="AV12"/>
      <c r="AW12"/>
      <c r="AX12"/>
      <c r="AY12" s="14">
        <v>1.0336608393117785E-3</v>
      </c>
      <c r="AZ12"/>
      <c r="BA12"/>
      <c r="BB12"/>
      <c r="BC12" s="22">
        <v>2.7857825625687838E-3</v>
      </c>
      <c r="BD12" s="12">
        <v>1.8561064498499036E-3</v>
      </c>
      <c r="BE12" s="11">
        <v>3.7131615681573749E-4</v>
      </c>
      <c r="BF12"/>
      <c r="BG12"/>
      <c r="BH12"/>
      <c r="BI12"/>
      <c r="BJ12" s="12">
        <v>1.5503818867728114E-3</v>
      </c>
      <c r="BK12" s="65">
        <v>8.9939497411251068E-3</v>
      </c>
      <c r="BL12" s="11">
        <v>2.1836224186699837E-4</v>
      </c>
      <c r="BM12" s="23">
        <v>2.269860589876771E-3</v>
      </c>
      <c r="BN12"/>
      <c r="BO12"/>
      <c r="BP12" s="21">
        <v>7.9525904729962349E-3</v>
      </c>
      <c r="BQ12" s="15">
        <v>3.7982715293765068E-3</v>
      </c>
      <c r="BR12"/>
      <c r="BS12"/>
      <c r="BT12" s="11">
        <v>1.3167721044737846E-4</v>
      </c>
      <c r="BU12"/>
      <c r="BV12"/>
      <c r="BW12"/>
      <c r="BX12"/>
      <c r="BY12"/>
      <c r="BZ12" s="25">
        <v>1.2763128615915775E-2</v>
      </c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1.2000000476837158</v>
      </c>
      <c r="C13">
        <v>2.3188426494598389</v>
      </c>
      <c r="D13" s="15">
        <v>1.0620797984302044E-2</v>
      </c>
      <c r="E13"/>
      <c r="F13" s="296">
        <v>0.16222390532493591</v>
      </c>
      <c r="G13"/>
      <c r="H13" s="19">
        <v>2.1241595968604088E-2</v>
      </c>
      <c r="I13"/>
      <c r="J13"/>
      <c r="K13"/>
      <c r="L13"/>
      <c r="M13" s="15">
        <v>1.0620797984302044E-2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 s="16">
        <v>1.9927751272916794E-2</v>
      </c>
      <c r="AE13" s="28">
        <v>4.2279664427042007E-2</v>
      </c>
      <c r="AF13" s="297">
        <v>3.8844265043735504E-2</v>
      </c>
      <c r="AG13" s="16">
        <v>1.9210090860724449E-2</v>
      </c>
      <c r="AH13"/>
      <c r="AI13"/>
      <c r="AJ13" s="16">
        <v>1.9250566139817238E-2</v>
      </c>
      <c r="AK13" s="14">
        <v>2.0917207002639771E-3</v>
      </c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 s="294">
        <v>2.7138786390423775E-2</v>
      </c>
      <c r="BB13" s="12">
        <v>4.894644021987915E-3</v>
      </c>
      <c r="BC13"/>
      <c r="BD13"/>
      <c r="BE13"/>
      <c r="BF13"/>
      <c r="BG13"/>
      <c r="BH13"/>
      <c r="BI13"/>
      <c r="BJ13" s="11">
        <v>1.5357210259026033E-6</v>
      </c>
      <c r="BK13" s="13">
        <v>4.4544503092765808E-2</v>
      </c>
      <c r="BL13" s="15">
        <v>1.0814866982400417E-2</v>
      </c>
      <c r="BM13" s="15">
        <v>1.1241981759667397E-2</v>
      </c>
      <c r="BN13"/>
      <c r="BO13" s="14">
        <v>1.5362905105575919E-3</v>
      </c>
      <c r="BP13"/>
      <c r="BQ13"/>
      <c r="BR13" s="14">
        <v>3.240442369133234E-3</v>
      </c>
      <c r="BS13" s="23">
        <v>6.4332941547036171E-3</v>
      </c>
      <c r="BT13" s="23">
        <v>6.5216012299060822E-3</v>
      </c>
      <c r="BU13" s="12">
        <v>5.5122869089245796E-3</v>
      </c>
      <c r="BV13" s="15">
        <v>1.0829123668372631E-2</v>
      </c>
      <c r="BW13" s="14">
        <v>3.1492458656430244E-3</v>
      </c>
      <c r="BX13"/>
      <c r="BY13"/>
      <c r="BZ13"/>
      <c r="CA13"/>
      <c r="CB13"/>
      <c r="CC13"/>
      <c r="CD13"/>
      <c r="CE13"/>
      <c r="CF13"/>
      <c r="CG13" s="12">
        <v>5.4857172071933746E-3</v>
      </c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 s="17">
        <v>1.5740996226668358E-2</v>
      </c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0.28999999165534973</v>
      </c>
      <c r="C14">
        <v>0.12722885608673096</v>
      </c>
      <c r="D14" s="15">
        <v>2.7195240836590528E-3</v>
      </c>
      <c r="E14"/>
      <c r="F14" s="21">
        <v>5.4390481673181057E-3</v>
      </c>
      <c r="G14"/>
      <c r="H14" s="21">
        <v>5.4390481673181057E-3</v>
      </c>
      <c r="I14"/>
      <c r="J14" s="21">
        <v>5.4390481673181057E-3</v>
      </c>
      <c r="K14"/>
      <c r="L14"/>
      <c r="M14" s="15">
        <v>2.7195240836590528E-3</v>
      </c>
      <c r="N14"/>
      <c r="O14"/>
      <c r="P14"/>
      <c r="Q14" s="306">
        <v>4.5929733663797379E-2</v>
      </c>
      <c r="R14"/>
      <c r="S14"/>
      <c r="T14"/>
      <c r="U14"/>
      <c r="V14"/>
      <c r="W14"/>
      <c r="X14"/>
      <c r="Y14"/>
      <c r="Z14"/>
      <c r="AA14"/>
      <c r="AB14"/>
      <c r="AC14"/>
      <c r="AD14" s="70">
        <v>1.4740924350917339E-2</v>
      </c>
      <c r="AE14" s="14">
        <v>3.5439009661786258E-4</v>
      </c>
      <c r="AF14" s="14">
        <v>7.1834539994597435E-4</v>
      </c>
      <c r="AG14" s="313">
        <v>1.4210058376193047E-2</v>
      </c>
      <c r="AH14" s="65">
        <v>6.2659778632223606E-3</v>
      </c>
      <c r="AI14" s="19">
        <v>5.2020042203366756E-3</v>
      </c>
      <c r="AJ14" s="148">
        <v>1.7799999564886093E-2</v>
      </c>
      <c r="AK14" s="24">
        <v>7.7364216558635235E-3</v>
      </c>
      <c r="AL14" s="294">
        <v>6.8439906463027E-3</v>
      </c>
      <c r="AM14"/>
      <c r="AN14"/>
      <c r="AO14" s="11">
        <v>5.7389574067201465E-5</v>
      </c>
      <c r="AP14"/>
      <c r="AQ14" s="23">
        <v>1.6171488678082824E-3</v>
      </c>
      <c r="AR14" s="11">
        <v>1.9712724315468222E-4</v>
      </c>
      <c r="AS14" s="14">
        <v>4.0320149855688214E-4</v>
      </c>
      <c r="AT14" s="11">
        <v>2.0132627469138242E-5</v>
      </c>
      <c r="AU14"/>
      <c r="AV14"/>
      <c r="AW14"/>
      <c r="AX14"/>
      <c r="AY14" s="11">
        <v>1.8934687250293791E-4</v>
      </c>
      <c r="AZ14"/>
      <c r="BA14"/>
      <c r="BB14"/>
      <c r="BC14"/>
      <c r="BD14" s="11">
        <v>6.6667289502220228E-6</v>
      </c>
      <c r="BE14" s="11">
        <v>6.8018011916137766E-6</v>
      </c>
      <c r="BF14"/>
      <c r="BG14"/>
      <c r="BH14"/>
      <c r="BI14"/>
      <c r="BJ14" s="15">
        <v>2.8400025330483913E-3</v>
      </c>
      <c r="BK14" s="11">
        <v>8.2375569036230445E-5</v>
      </c>
      <c r="BL14" s="24">
        <v>7.9999398440122604E-3</v>
      </c>
      <c r="BM14"/>
      <c r="BN14"/>
      <c r="BO14"/>
      <c r="BP14" s="21">
        <v>5.6813727132976055E-3</v>
      </c>
      <c r="BQ14"/>
      <c r="BR14"/>
      <c r="BS14"/>
      <c r="BT14" s="11">
        <v>2.4120740999933332E-4</v>
      </c>
      <c r="BU14"/>
      <c r="BV14"/>
      <c r="BW14"/>
      <c r="BX14"/>
      <c r="BY14"/>
      <c r="BZ14" s="23">
        <v>1.8703686073422432E-3</v>
      </c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1.1000000238418579</v>
      </c>
      <c r="C15">
        <v>0.45542687177658081</v>
      </c>
      <c r="D15" s="12">
        <v>4.9020559526979923E-3</v>
      </c>
      <c r="E15"/>
      <c r="F15" s="15">
        <v>9.8041119053959846E-3</v>
      </c>
      <c r="G15"/>
      <c r="H15" s="15">
        <v>9.8041119053959846E-3</v>
      </c>
      <c r="I15"/>
      <c r="J15" s="15">
        <v>9.8041119053959846E-3</v>
      </c>
      <c r="K15"/>
      <c r="L15" s="17">
        <v>1.4343049377202988E-2</v>
      </c>
      <c r="M15" s="12">
        <v>4.9020559526979923E-3</v>
      </c>
      <c r="N15"/>
      <c r="O15" s="23">
        <v>7.1715246886014938E-3</v>
      </c>
      <c r="P15"/>
      <c r="Q15" s="299">
        <v>4.2484477162361145E-2</v>
      </c>
      <c r="R15"/>
      <c r="S15"/>
      <c r="T15"/>
      <c r="U15"/>
      <c r="V15"/>
      <c r="W15"/>
      <c r="X15"/>
      <c r="Y15"/>
      <c r="Z15"/>
      <c r="AA15"/>
      <c r="AB15"/>
      <c r="AC15"/>
      <c r="AD15" s="300">
        <v>5.0485149025917053E-2</v>
      </c>
      <c r="AE15" s="18">
        <v>1.3529901392757893E-2</v>
      </c>
      <c r="AF15" s="14">
        <v>2.5896953884512186E-3</v>
      </c>
      <c r="AG15" s="28">
        <v>3.8421336561441422E-2</v>
      </c>
      <c r="AH15" s="70">
        <v>5.669933557510376E-2</v>
      </c>
      <c r="AI15" s="76">
        <v>8.6451701819896698E-2</v>
      </c>
      <c r="AJ15" s="337">
        <v>0.10010595619678497</v>
      </c>
      <c r="AK15" s="68">
        <v>6.9726116955280304E-2</v>
      </c>
      <c r="AL15" s="28">
        <v>3.9477050304412842E-2</v>
      </c>
      <c r="AM15"/>
      <c r="AN15"/>
      <c r="AO15" s="11">
        <v>1.0344712063670158E-3</v>
      </c>
      <c r="AP15"/>
      <c r="AQ15" s="18">
        <v>1.2560127303004265E-2</v>
      </c>
      <c r="AR15" s="11">
        <v>7.1066018426790833E-4</v>
      </c>
      <c r="AS15" s="14">
        <v>3.1148022972047329E-3</v>
      </c>
      <c r="AT15" s="11">
        <v>7.2579807601869106E-4</v>
      </c>
      <c r="AU15"/>
      <c r="AV15"/>
      <c r="AW15"/>
      <c r="AX15"/>
      <c r="AY15" s="11">
        <v>3.4130565472878516E-4</v>
      </c>
      <c r="AZ15"/>
      <c r="BA15"/>
      <c r="BB15"/>
      <c r="BC15"/>
      <c r="BD15" s="14">
        <v>1.442047068849206E-3</v>
      </c>
      <c r="BE15" s="11">
        <v>7.3563196929171681E-4</v>
      </c>
      <c r="BF15"/>
      <c r="BG15"/>
      <c r="BH15"/>
      <c r="BI15"/>
      <c r="BJ15" s="15">
        <v>1.0238447226583958E-2</v>
      </c>
      <c r="BK15" s="11">
        <v>1.4848541468381882E-4</v>
      </c>
      <c r="BL15" s="17">
        <v>1.4420226216316223E-2</v>
      </c>
      <c r="BM15"/>
      <c r="BN15"/>
      <c r="BO15"/>
      <c r="BP15" s="15">
        <v>1.0240912437438965E-2</v>
      </c>
      <c r="BQ15"/>
      <c r="BR15"/>
      <c r="BS15"/>
      <c r="BT15" s="12">
        <v>4.3478650040924549E-3</v>
      </c>
      <c r="BU15"/>
      <c r="BV15"/>
      <c r="BW15"/>
      <c r="BX15"/>
      <c r="BY15"/>
      <c r="BZ15" s="65">
        <v>2.3810680955648422E-2</v>
      </c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1.4470000267028809</v>
      </c>
      <c r="C16">
        <v>0.77472078800201416</v>
      </c>
      <c r="D16" s="11">
        <v>1.2982432963326573E-3</v>
      </c>
      <c r="E16"/>
      <c r="F16" s="14">
        <v>2.5964907836169004E-3</v>
      </c>
      <c r="G16"/>
      <c r="H16" s="14">
        <v>2.5964907836169004E-3</v>
      </c>
      <c r="I16"/>
      <c r="J16" s="14">
        <v>2.5964907836169004E-3</v>
      </c>
      <c r="K16"/>
      <c r="L16"/>
      <c r="M16" s="11">
        <v>1.2982432963326573E-3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 s="18">
        <v>1.8315691500902176E-2</v>
      </c>
      <c r="AH16" s="301">
        <v>0.15345107018947601</v>
      </c>
      <c r="AI16" s="142">
        <v>0.17425823211669922</v>
      </c>
      <c r="AJ16" s="25">
        <v>4.6650461852550507E-2</v>
      </c>
      <c r="AK16" s="147">
        <v>4.3044339865446091E-2</v>
      </c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 s="12">
        <v>4.312531091272831E-3</v>
      </c>
      <c r="BB16" s="11">
        <v>3.8889620918780565E-4</v>
      </c>
      <c r="BC16"/>
      <c r="BD16"/>
      <c r="BE16"/>
      <c r="BF16"/>
      <c r="BG16"/>
      <c r="BH16"/>
      <c r="BI16"/>
      <c r="BJ16" s="320">
        <v>0.12201829254627228</v>
      </c>
      <c r="BK16" s="14">
        <v>3.5392132122069597E-3</v>
      </c>
      <c r="BL16" s="18">
        <v>1.7185527831315994E-2</v>
      </c>
      <c r="BM16" s="23">
        <v>8.9321397244930267E-3</v>
      </c>
      <c r="BN16" s="21">
        <v>2.9002247378230095E-2</v>
      </c>
      <c r="BO16" s="11">
        <v>1.220635385834612E-4</v>
      </c>
      <c r="BP16"/>
      <c r="BQ16"/>
      <c r="BR16" s="19">
        <v>2.5746425613760948E-2</v>
      </c>
      <c r="BS16" s="12">
        <v>5.1114722155034542E-3</v>
      </c>
      <c r="BT16" s="12">
        <v>5.1816352643072605E-3</v>
      </c>
      <c r="BU16" s="14">
        <v>1.7518800450488925E-3</v>
      </c>
      <c r="BV16" s="11">
        <v>8.6041080066934228E-5</v>
      </c>
      <c r="BW16" s="11">
        <v>2.5021834881044924E-4</v>
      </c>
      <c r="BX16"/>
      <c r="BY16"/>
      <c r="BZ16"/>
      <c r="CA16"/>
      <c r="CB16"/>
      <c r="CC16"/>
      <c r="CD16"/>
      <c r="CE16"/>
      <c r="CF16"/>
      <c r="CG16" s="11">
        <v>4.3585900129983202E-5</v>
      </c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 s="14">
        <v>2.5013519916683435E-3</v>
      </c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0.40000000596046448</v>
      </c>
      <c r="C17">
        <v>0.14614322781562805</v>
      </c>
      <c r="D17"/>
      <c r="E17"/>
      <c r="F17"/>
      <c r="G17"/>
      <c r="H17"/>
      <c r="I17"/>
      <c r="J17"/>
      <c r="K17" s="11">
        <v>3.7771151983179152E-4</v>
      </c>
      <c r="L17" s="11">
        <v>3.7771151983179152E-4</v>
      </c>
      <c r="M17" s="11">
        <v>9.4427996373269707E-5</v>
      </c>
      <c r="N17"/>
      <c r="O17"/>
      <c r="P17"/>
      <c r="Q17" s="307">
        <v>0.1148243322968483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 s="65">
        <v>8.8999997824430466E-3</v>
      </c>
      <c r="AK17" s="328">
        <v>5.8023162186145782E-2</v>
      </c>
      <c r="AL17" s="78">
        <v>2.5664962828159332E-2</v>
      </c>
      <c r="AM17"/>
      <c r="AN17"/>
      <c r="AO17" s="28">
        <v>1.4347443357110023E-2</v>
      </c>
      <c r="AP17"/>
      <c r="AQ17" s="14">
        <v>6.5399403683841228E-4</v>
      </c>
      <c r="AR17"/>
      <c r="AS17" s="28">
        <v>1.4400034211575985E-2</v>
      </c>
      <c r="AT17" s="11">
        <v>5.0331567763350904E-5</v>
      </c>
      <c r="AU17"/>
      <c r="AV17"/>
      <c r="AW17"/>
      <c r="AX17"/>
      <c r="AY17"/>
      <c r="AZ17"/>
      <c r="BA17"/>
      <c r="BB17"/>
      <c r="BC17"/>
      <c r="BD17" s="11">
        <v>8.5000789340483607E-7</v>
      </c>
      <c r="BE17"/>
      <c r="BF17"/>
      <c r="BG17"/>
      <c r="BH17"/>
      <c r="BI17"/>
      <c r="BJ17" s="15">
        <v>4.2600040324032307E-3</v>
      </c>
      <c r="BK17" s="11">
        <v>2.0593892259057611E-4</v>
      </c>
      <c r="BL17" s="19">
        <v>6.9999624975025654E-3</v>
      </c>
      <c r="BM17"/>
      <c r="BN17"/>
      <c r="BO17"/>
      <c r="BP17"/>
      <c r="BQ17"/>
      <c r="BR17"/>
      <c r="BS17"/>
      <c r="BT17"/>
      <c r="BU17"/>
      <c r="BV17"/>
      <c r="BW17"/>
      <c r="BX17"/>
      <c r="BY17"/>
      <c r="BZ17" s="18">
        <v>4.675921518355608E-3</v>
      </c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0.5</v>
      </c>
      <c r="C18">
        <v>0.18847709894180298</v>
      </c>
      <c r="D18"/>
      <c r="E18"/>
      <c r="F18"/>
      <c r="G18"/>
      <c r="H18"/>
      <c r="I18"/>
      <c r="J18"/>
      <c r="K18" s="11">
        <v>2.5499844923615456E-4</v>
      </c>
      <c r="L18" s="11">
        <v>2.5499844923615456E-4</v>
      </c>
      <c r="M18" s="11">
        <v>6.3749692344572395E-5</v>
      </c>
      <c r="N18"/>
      <c r="O18"/>
      <c r="P18"/>
      <c r="Q18" s="308">
        <v>3.9779771119356155E-2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 s="142">
        <v>6.0085173696279526E-2</v>
      </c>
      <c r="AK18" s="348">
        <v>0.16817960143089294</v>
      </c>
      <c r="AL18" s="20">
        <v>2.1369701251387596E-2</v>
      </c>
      <c r="AM18"/>
      <c r="AN18"/>
      <c r="AO18" s="11">
        <v>3.2287123030982912E-4</v>
      </c>
      <c r="AP18"/>
      <c r="AQ18" s="11">
        <v>4.4152076588943601E-4</v>
      </c>
      <c r="AR18"/>
      <c r="AS18" s="11">
        <v>4.8608347424305975E-4</v>
      </c>
      <c r="AT18" s="11">
        <v>3.3979562431341037E-5</v>
      </c>
      <c r="AU18"/>
      <c r="AV18"/>
      <c r="AW18"/>
      <c r="AX18"/>
      <c r="AY18"/>
      <c r="AZ18"/>
      <c r="BA18"/>
      <c r="BB18"/>
      <c r="BC18"/>
      <c r="BD18" s="11">
        <v>5.7385256013731123E-7</v>
      </c>
      <c r="BE18"/>
      <c r="BF18"/>
      <c r="BG18"/>
      <c r="BH18"/>
      <c r="BI18"/>
      <c r="BJ18" s="21">
        <v>9.586632251739502E-3</v>
      </c>
      <c r="BK18" s="23">
        <v>2.780660055577755E-3</v>
      </c>
      <c r="BL18" s="15">
        <v>4.7257752157747746E-3</v>
      </c>
      <c r="BM18"/>
      <c r="BN18"/>
      <c r="BO18"/>
      <c r="BP18"/>
      <c r="BQ18"/>
      <c r="BR18"/>
      <c r="BS18"/>
      <c r="BT18"/>
      <c r="BU18"/>
      <c r="BV18"/>
      <c r="BW18"/>
      <c r="BX18"/>
      <c r="BY18"/>
      <c r="BZ18" s="23">
        <v>3.1567816622555256E-3</v>
      </c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1.2000000476837158</v>
      </c>
      <c r="C19">
        <v>0.78273451328277588</v>
      </c>
      <c r="D19"/>
      <c r="E19"/>
      <c r="F19"/>
      <c r="G19"/>
      <c r="H19"/>
      <c r="I19"/>
      <c r="J19"/>
      <c r="K19"/>
      <c r="L19"/>
      <c r="M19" s="11">
        <v>3.5134333302266896E-4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 s="311">
        <v>6.422918289899826E-2</v>
      </c>
      <c r="AH19" s="25">
        <v>3.8526415824890137E-2</v>
      </c>
      <c r="AI19"/>
      <c r="AJ19" s="141">
        <v>0.15634778141975403</v>
      </c>
      <c r="AK19" s="70">
        <v>6.1158154159784317E-2</v>
      </c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 s="11">
        <v>8.8165479246526957E-4</v>
      </c>
      <c r="BB19" s="11">
        <v>3.1802416197024286E-4</v>
      </c>
      <c r="BC19"/>
      <c r="BD19"/>
      <c r="BE19"/>
      <c r="BF19"/>
      <c r="BG19"/>
      <c r="BH19"/>
      <c r="BI19"/>
      <c r="BJ19" s="12">
        <v>4.9890801310539246E-3</v>
      </c>
      <c r="BK19" s="11">
        <v>7.2355271549895406E-4</v>
      </c>
      <c r="BL19" s="17">
        <v>1.7567051574587822E-2</v>
      </c>
      <c r="BM19" s="12">
        <v>3.6521703004837036E-3</v>
      </c>
      <c r="BN19" s="14">
        <v>2.3716860450804234E-3</v>
      </c>
      <c r="BO19" s="11">
        <v>4.99093031976372E-4</v>
      </c>
      <c r="BP19"/>
      <c r="BQ19"/>
      <c r="BR19" s="26">
        <v>3.158167377114296E-2</v>
      </c>
      <c r="BS19" s="14">
        <v>2.0899772644042969E-3</v>
      </c>
      <c r="BT19" s="19">
        <v>2.1186655387282372E-2</v>
      </c>
      <c r="BU19" s="11">
        <v>2.3280017558136024E-5</v>
      </c>
      <c r="BV19" s="11">
        <v>3.5180454142391682E-4</v>
      </c>
      <c r="BW19" s="11">
        <v>1.1254047421971336E-5</v>
      </c>
      <c r="BX19"/>
      <c r="BY19"/>
      <c r="BZ19"/>
      <c r="CA19"/>
      <c r="CB19"/>
      <c r="CC19"/>
      <c r="CD19"/>
      <c r="CE19"/>
      <c r="CF19"/>
      <c r="CG19" s="11">
        <v>1.782139006536454E-4</v>
      </c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 s="22">
        <v>1.0227520950138569E-2</v>
      </c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1.7000000476837158</v>
      </c>
      <c r="C20">
        <v>0.96784240007400513</v>
      </c>
      <c r="D20"/>
      <c r="E20"/>
      <c r="F20"/>
      <c r="G20"/>
      <c r="H20"/>
      <c r="I20"/>
      <c r="J20"/>
      <c r="K20"/>
      <c r="L20"/>
      <c r="M20"/>
      <c r="N20" s="25">
        <v>5.3586725145578384E-2</v>
      </c>
      <c r="O20" s="22">
        <v>1.3817512430250645E-2</v>
      </c>
      <c r="P20" s="66">
        <v>6.9158844649791718E-2</v>
      </c>
      <c r="Q20" s="17">
        <v>2.2628918290138245E-2</v>
      </c>
      <c r="R20"/>
      <c r="S20" s="17">
        <v>2.4301275610923767E-2</v>
      </c>
      <c r="T20"/>
      <c r="U20"/>
      <c r="V20" s="14">
        <v>2.4479066487401724E-3</v>
      </c>
      <c r="W20"/>
      <c r="X20"/>
      <c r="Y20"/>
      <c r="Z20"/>
      <c r="AA20"/>
      <c r="AB20"/>
      <c r="AC20"/>
      <c r="AD20"/>
      <c r="AE20"/>
      <c r="AF20"/>
      <c r="AG20" s="11">
        <v>5.7343137450516224E-4</v>
      </c>
      <c r="AH20"/>
      <c r="AI20"/>
      <c r="AJ20"/>
      <c r="AK20"/>
      <c r="AL20"/>
      <c r="AM20" s="327">
        <v>0.1993049830198288</v>
      </c>
      <c r="AN20" s="20">
        <v>7.4104525148868561E-2</v>
      </c>
      <c r="AO20"/>
      <c r="AP20" s="16">
        <v>2.5877673178911209E-2</v>
      </c>
      <c r="AQ20"/>
      <c r="AR20"/>
      <c r="AS20" s="11">
        <v>1.8067754353978671E-5</v>
      </c>
      <c r="AT20"/>
      <c r="AU20" s="11">
        <v>2.4090291844913736E-5</v>
      </c>
      <c r="AV20" s="11">
        <v>2.1795637439936399E-4</v>
      </c>
      <c r="AW20" s="11">
        <v>2.1774874880975403E-7</v>
      </c>
      <c r="AX20"/>
      <c r="AY20"/>
      <c r="AZ20"/>
      <c r="BA20"/>
      <c r="BB20"/>
      <c r="BC20"/>
      <c r="BD20" s="23">
        <v>1.0455952025949955E-2</v>
      </c>
      <c r="BE20" s="11">
        <v>1.1734576401067898E-4</v>
      </c>
      <c r="BF20"/>
      <c r="BG20"/>
      <c r="BH20"/>
      <c r="BI20"/>
      <c r="BJ20" s="331">
        <v>0.1781679093837738</v>
      </c>
      <c r="BK20"/>
      <c r="BL20" s="11">
        <v>6.27347850240767E-4</v>
      </c>
      <c r="BM20"/>
      <c r="BN20"/>
      <c r="BO20"/>
      <c r="BP20"/>
      <c r="BQ20"/>
      <c r="BR20"/>
      <c r="BS20"/>
      <c r="BT20" s="14">
        <v>3.0264356173574924E-3</v>
      </c>
      <c r="BU20"/>
      <c r="BV20"/>
      <c r="BW20"/>
      <c r="BX20"/>
      <c r="BY20"/>
      <c r="BZ20" s="25">
        <v>5.3700495511293411E-2</v>
      </c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</v>
      </c>
      <c r="C21">
        <v>0.38228487968444824</v>
      </c>
      <c r="D21"/>
      <c r="E21"/>
      <c r="F21"/>
      <c r="G21"/>
      <c r="H21"/>
      <c r="I21"/>
      <c r="J21"/>
      <c r="K21"/>
      <c r="L21"/>
      <c r="M21"/>
      <c r="N21" s="12">
        <v>4.3906774371862411E-3</v>
      </c>
      <c r="O21" s="14">
        <v>2.2725032176822424E-3</v>
      </c>
      <c r="P21" s="23">
        <v>5.216340534389019E-3</v>
      </c>
      <c r="Q21" s="23">
        <v>4.9377758987247944E-3</v>
      </c>
      <c r="R21"/>
      <c r="S21" s="14">
        <v>2.8319479897618294E-3</v>
      </c>
      <c r="T21"/>
      <c r="U21"/>
      <c r="V21"/>
      <c r="W21"/>
      <c r="X21"/>
      <c r="Y21"/>
      <c r="Z21"/>
      <c r="AA21"/>
      <c r="AB21"/>
      <c r="AC21"/>
      <c r="AD21"/>
      <c r="AE21"/>
      <c r="AF21"/>
      <c r="AG21" s="22">
        <v>8.2797743380069733E-3</v>
      </c>
      <c r="AH21" s="14">
        <v>2.4894422385841608E-3</v>
      </c>
      <c r="AI21"/>
      <c r="AJ21"/>
      <c r="AK21"/>
      <c r="AL21"/>
      <c r="AM21" s="141">
        <v>0.12874215841293335</v>
      </c>
      <c r="AN21" s="75">
        <v>9.3859270215034485E-2</v>
      </c>
      <c r="AO21" s="14">
        <v>2.1660577040165663E-3</v>
      </c>
      <c r="AP21" s="313">
        <v>4.9333315342664719E-2</v>
      </c>
      <c r="AQ21"/>
      <c r="AR21"/>
      <c r="AS21" s="11">
        <v>2.6316908770240843E-4</v>
      </c>
      <c r="AT21"/>
      <c r="AU21" s="11">
        <v>3.0003726715222001E-4</v>
      </c>
      <c r="AV21" s="14">
        <v>1.5380434924736619E-3</v>
      </c>
      <c r="AW21" s="11">
        <v>4.1645212149887811E-6</v>
      </c>
      <c r="AX21"/>
      <c r="AY21"/>
      <c r="AZ21"/>
      <c r="BA21"/>
      <c r="BB21"/>
      <c r="BC21"/>
      <c r="BD21" s="15">
        <v>8.8862497359514236E-3</v>
      </c>
      <c r="BE21" s="12">
        <v>3.0792958568781614E-3</v>
      </c>
      <c r="BF21" s="12">
        <v>3.4874565899372101E-3</v>
      </c>
      <c r="BG21" s="11">
        <v>9.5321290427818894E-4</v>
      </c>
      <c r="BH21"/>
      <c r="BI21"/>
      <c r="BJ21" s="359">
        <v>0.18459302186965942</v>
      </c>
      <c r="BK21"/>
      <c r="BL21" s="11">
        <v>7.9458591062575579E-4</v>
      </c>
      <c r="BM21"/>
      <c r="BN21"/>
      <c r="BO21"/>
      <c r="BP21"/>
      <c r="BQ21"/>
      <c r="BR21"/>
      <c r="BS21"/>
      <c r="BT21" s="20">
        <v>4.3602891266345978E-2</v>
      </c>
      <c r="BU21"/>
      <c r="BV21"/>
      <c r="BW21"/>
      <c r="BX21"/>
      <c r="BY21"/>
      <c r="BZ21" s="111">
        <v>6.5693780779838562E-2</v>
      </c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2.9100000858306885</v>
      </c>
      <c r="C22">
        <v>0.12919509410858154</v>
      </c>
      <c r="D22"/>
      <c r="E22"/>
      <c r="F22"/>
      <c r="G22"/>
      <c r="H22"/>
      <c r="I22"/>
      <c r="J22"/>
      <c r="K22"/>
      <c r="L22"/>
      <c r="M22"/>
      <c r="N22" s="300">
        <v>0.13080261647701263</v>
      </c>
      <c r="O22" s="18">
        <v>3.3721160143613815E-2</v>
      </c>
      <c r="P22" s="67">
        <v>0.16878329217433929</v>
      </c>
      <c r="Q22"/>
      <c r="R22"/>
      <c r="S22" s="21">
        <v>5.9278260916471481E-2</v>
      </c>
      <c r="T22"/>
      <c r="U22"/>
      <c r="V22"/>
      <c r="W22"/>
      <c r="X22"/>
      <c r="Y22" s="345">
        <v>0.45194494724273682</v>
      </c>
      <c r="Z22"/>
      <c r="AA22"/>
      <c r="AB22"/>
      <c r="AC22"/>
      <c r="AD22"/>
      <c r="AE22"/>
      <c r="AF22"/>
      <c r="AG22" s="311">
        <v>0.15220004320144653</v>
      </c>
      <c r="AH22" s="18">
        <v>3.1809676438570023E-2</v>
      </c>
      <c r="AI22"/>
      <c r="AJ22"/>
      <c r="AK22"/>
      <c r="AL22"/>
      <c r="AM22" s="344">
        <v>0.43007737398147583</v>
      </c>
      <c r="AN22"/>
      <c r="AO22" s="147">
        <v>8.6431547999382019E-2</v>
      </c>
      <c r="AP22" s="11">
        <v>1.6752299416111782E-5</v>
      </c>
      <c r="AQ22"/>
      <c r="AR22"/>
      <c r="AS22" s="14">
        <v>4.678583238273859E-3</v>
      </c>
      <c r="AT22"/>
      <c r="AU22" s="14">
        <v>5.8157187886536121E-3</v>
      </c>
      <c r="AV22" s="12">
        <v>1.0414337739348412E-2</v>
      </c>
      <c r="AW22" s="11">
        <v>6.2728555349167436E-5</v>
      </c>
      <c r="AX22"/>
      <c r="AY22"/>
      <c r="AZ22"/>
      <c r="BA22"/>
      <c r="BB22"/>
      <c r="BC22"/>
      <c r="BD22" s="294">
        <v>6.9042004644870758E-2</v>
      </c>
      <c r="BE22" s="19">
        <v>5.1104132086038589E-2</v>
      </c>
      <c r="BF22" s="294">
        <v>6.7376241087913513E-2</v>
      </c>
      <c r="BG22" s="22">
        <v>2.4359989911317825E-2</v>
      </c>
      <c r="BH22"/>
      <c r="BI22"/>
      <c r="BJ22" s="313">
        <v>0.14417473971843719</v>
      </c>
      <c r="BK22"/>
      <c r="BL22" s="22">
        <v>2.0306171849370003E-2</v>
      </c>
      <c r="BM22"/>
      <c r="BN22"/>
      <c r="BO22"/>
      <c r="BP22"/>
      <c r="BQ22"/>
      <c r="BR22"/>
      <c r="BS22"/>
      <c r="BT22" s="320">
        <v>0.24490131437778473</v>
      </c>
      <c r="BU22"/>
      <c r="BV22" s="11">
        <v>6.0999012930551544E-5</v>
      </c>
      <c r="BW22"/>
      <c r="BX22"/>
      <c r="BY22"/>
      <c r="BZ22" s="352">
        <v>0.59344238042831421</v>
      </c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0.5</v>
      </c>
      <c r="C23">
        <v>0.29964959621429443</v>
      </c>
      <c r="D23"/>
      <c r="E23"/>
      <c r="F23"/>
      <c r="G23"/>
      <c r="H23"/>
      <c r="I23"/>
      <c r="J23"/>
      <c r="K23"/>
      <c r="L23"/>
      <c r="M23"/>
      <c r="N23" s="301">
        <v>5.2971851080656052E-2</v>
      </c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 s="22">
        <v>3.9886832237243652E-3</v>
      </c>
      <c r="AH23"/>
      <c r="AI23"/>
      <c r="AJ23"/>
      <c r="AK23"/>
      <c r="AL23"/>
      <c r="AM23"/>
      <c r="AN23"/>
      <c r="AO23"/>
      <c r="AP23" s="308">
        <v>4.0000088512897491E-2</v>
      </c>
      <c r="AQ23"/>
      <c r="AR23"/>
      <c r="AS23" s="24">
        <v>1.396400760859251E-2</v>
      </c>
      <c r="AT23"/>
      <c r="AU23" s="11">
        <v>4.1504038381390274E-4</v>
      </c>
      <c r="AV23" s="22">
        <v>3.4893567208200693E-3</v>
      </c>
      <c r="AW23"/>
      <c r="AX23"/>
      <c r="AY23"/>
      <c r="AZ23"/>
      <c r="BA23"/>
      <c r="BB23"/>
      <c r="BC23"/>
      <c r="BD23" s="15">
        <v>5.3335120901465416E-3</v>
      </c>
      <c r="BE23" s="22">
        <v>3.751387121155858E-3</v>
      </c>
      <c r="BF23" s="11">
        <v>1.018206421576906E-5</v>
      </c>
      <c r="BG23"/>
      <c r="BH23"/>
      <c r="BI23"/>
      <c r="BJ23" s="28">
        <v>1.7212554812431335E-2</v>
      </c>
      <c r="BK23"/>
      <c r="BL23" s="12">
        <v>2.4242880754172802E-3</v>
      </c>
      <c r="BM23"/>
      <c r="BN23"/>
      <c r="BO23"/>
      <c r="BP23"/>
      <c r="BQ23"/>
      <c r="BR23"/>
      <c r="BS23"/>
      <c r="BT23" s="144">
        <v>4.9704555422067642E-2</v>
      </c>
      <c r="BU23"/>
      <c r="BV23"/>
      <c r="BW23"/>
      <c r="BX23"/>
      <c r="BY23"/>
      <c r="BZ23" s="17">
        <v>7.0849014446139336E-3</v>
      </c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0.2800000011920929</v>
      </c>
      <c r="C24">
        <v>2.8574636206030846E-2</v>
      </c>
      <c r="D24" s="148">
        <v>1.6787195578217506E-2</v>
      </c>
      <c r="E24"/>
      <c r="F24" s="148">
        <v>1.6787195578217506E-2</v>
      </c>
      <c r="G24" s="148">
        <v>1.6787195578217506E-2</v>
      </c>
      <c r="H24" s="148">
        <v>1.6787195578217506E-2</v>
      </c>
      <c r="I24" s="148">
        <v>1.6787195578217506E-2</v>
      </c>
      <c r="J24"/>
      <c r="K24"/>
      <c r="L24"/>
      <c r="M24" s="16">
        <v>4.1968058794736862E-3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 s="21">
        <v>5.5146547965705395E-3</v>
      </c>
      <c r="AW24"/>
      <c r="AX24"/>
      <c r="AY24"/>
      <c r="AZ24"/>
      <c r="BA24"/>
      <c r="BB24"/>
      <c r="BC24"/>
      <c r="BD24"/>
      <c r="BE24"/>
      <c r="BF24"/>
      <c r="BG24"/>
      <c r="BH24"/>
      <c r="BI24"/>
      <c r="BJ24" s="322">
        <v>0.15777792036533356</v>
      </c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0.69999998807907104</v>
      </c>
      <c r="C25">
        <v>0.38692545890808105</v>
      </c>
      <c r="D25" s="18">
        <v>8.7794167920947075E-3</v>
      </c>
      <c r="E25"/>
      <c r="F25" s="18">
        <v>8.7794167920947075E-3</v>
      </c>
      <c r="G25" s="18">
        <v>8.7794167920947075E-3</v>
      </c>
      <c r="H25" s="18">
        <v>8.7794167920947075E-3</v>
      </c>
      <c r="I25" s="18">
        <v>8.7794167920947075E-3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 s="67">
        <v>4.1286807507276535E-2</v>
      </c>
      <c r="AH25" s="311">
        <v>3.6411147564649582E-2</v>
      </c>
      <c r="AI25"/>
      <c r="AJ25" s="147">
        <v>2.0686900243163109E-2</v>
      </c>
      <c r="AK25" s="78">
        <v>4.49557825922966E-2</v>
      </c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 s="14">
        <v>1.9442432094365358E-3</v>
      </c>
      <c r="BB25" s="11">
        <v>1.0519691568333656E-4</v>
      </c>
      <c r="BC25"/>
      <c r="BD25"/>
      <c r="BE25"/>
      <c r="BF25"/>
      <c r="BG25"/>
      <c r="BH25"/>
      <c r="BI25"/>
      <c r="BJ25" s="294">
        <v>1.6503050923347473E-2</v>
      </c>
      <c r="BK25" s="23">
        <v>4.7867847606539726E-3</v>
      </c>
      <c r="BL25" s="12">
        <v>2.3243583273142576E-3</v>
      </c>
      <c r="BM25" s="12">
        <v>2.4161548353731632E-3</v>
      </c>
      <c r="BN25" s="65">
        <v>1.5690289437770844E-2</v>
      </c>
      <c r="BO25"/>
      <c r="BP25"/>
      <c r="BQ25"/>
      <c r="BR25" s="313">
        <v>3.4822337329387665E-2</v>
      </c>
      <c r="BS25" s="15">
        <v>6.9132638163864613E-3</v>
      </c>
      <c r="BT25" s="21">
        <v>1.4016387984156609E-2</v>
      </c>
      <c r="BU25" s="14">
        <v>1.1847144924104214E-3</v>
      </c>
      <c r="BV25" s="297">
        <v>2.3274222388863564E-2</v>
      </c>
      <c r="BW25" s="11">
        <v>6.7684386158362031E-4</v>
      </c>
      <c r="BX25"/>
      <c r="BY25"/>
      <c r="BZ25"/>
      <c r="CA25"/>
      <c r="CB25"/>
      <c r="CC25"/>
      <c r="CD25"/>
      <c r="CE25"/>
      <c r="CF25"/>
      <c r="CG25" s="14">
        <v>1.1790040880441666E-3</v>
      </c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0.60000002384185791</v>
      </c>
      <c r="C26">
        <v>0.83976179361343384</v>
      </c>
      <c r="D26"/>
      <c r="E26"/>
      <c r="F26"/>
      <c r="G26"/>
      <c r="H26"/>
      <c r="I26"/>
      <c r="J26"/>
      <c r="K26"/>
      <c r="L26"/>
      <c r="M26"/>
      <c r="N26"/>
      <c r="O26"/>
      <c r="P26"/>
      <c r="Q26" s="309">
        <v>0.38487470149993896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 s="11">
        <v>3.6000076215714216E-4</v>
      </c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 s="11">
        <v>3.5500033845892176E-6</v>
      </c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0.89999997615814209</v>
      </c>
      <c r="C27">
        <v>0.3527691662311554</v>
      </c>
      <c r="D27"/>
      <c r="E27"/>
      <c r="F27"/>
      <c r="G27"/>
      <c r="H27"/>
      <c r="I27"/>
      <c r="J27"/>
      <c r="K27"/>
      <c r="L27"/>
      <c r="M27"/>
      <c r="N27"/>
      <c r="O27"/>
      <c r="P27"/>
      <c r="Q27" s="78">
        <v>5.8215871453285217E-2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 s="14">
        <v>1.3878967147320509E-3</v>
      </c>
      <c r="AO27"/>
      <c r="AP27"/>
      <c r="AQ27"/>
      <c r="AR27"/>
      <c r="AS27" s="13">
        <v>3.3838938921689987E-2</v>
      </c>
      <c r="AT27"/>
      <c r="AU27" s="22">
        <v>7.5197471305727959E-3</v>
      </c>
      <c r="AV27" s="17">
        <v>1.2051871977746487E-2</v>
      </c>
      <c r="AW27"/>
      <c r="AX27"/>
      <c r="AY27"/>
      <c r="AZ27"/>
      <c r="BA27"/>
      <c r="BB27"/>
      <c r="BC27"/>
      <c r="BD27" s="11">
        <v>1.5666284889448434E-4</v>
      </c>
      <c r="BE27"/>
      <c r="BF27"/>
      <c r="BG27" s="25">
        <v>2.8190316632390022E-2</v>
      </c>
      <c r="BH27" s="17">
        <v>1.2469244189560413E-2</v>
      </c>
      <c r="BI27" s="332">
        <v>0.18138433992862701</v>
      </c>
      <c r="BJ27" s="11">
        <v>3.3368909498676658E-4</v>
      </c>
      <c r="BK27"/>
      <c r="BL27"/>
      <c r="BM27"/>
      <c r="BN27"/>
      <c r="BO27"/>
      <c r="BP27"/>
      <c r="BQ27"/>
      <c r="BR27"/>
      <c r="BS27"/>
      <c r="BT27" s="14">
        <v>1.4170458307489753E-3</v>
      </c>
      <c r="BU27" s="299">
        <v>3.5932112485170364E-2</v>
      </c>
      <c r="BV27" s="321">
        <v>9.9061839282512665E-2</v>
      </c>
      <c r="BW27" s="320">
        <v>7.5271233916282654E-2</v>
      </c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1.2000000476837158</v>
      </c>
      <c r="C28">
        <v>1.3927522897720337</v>
      </c>
      <c r="D28"/>
      <c r="E28"/>
      <c r="F28"/>
      <c r="G28"/>
      <c r="H28"/>
      <c r="I28"/>
      <c r="J28"/>
      <c r="K28"/>
      <c r="L28"/>
      <c r="M28"/>
      <c r="N28"/>
      <c r="O28"/>
      <c r="P28"/>
      <c r="Q28" s="310">
        <v>0.85822635889053345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 s="11">
        <v>2.8800097061321139E-4</v>
      </c>
      <c r="AT28" s="65">
        <v>2.5165783241391182E-2</v>
      </c>
      <c r="AU28"/>
      <c r="AV28" s="317">
        <v>8.2719810307025909E-2</v>
      </c>
      <c r="AW28"/>
      <c r="AX28"/>
      <c r="AY28"/>
      <c r="AZ28"/>
      <c r="BA28"/>
      <c r="BB28"/>
      <c r="BC28"/>
      <c r="BD28" s="11">
        <v>4.1667051846161485E-5</v>
      </c>
      <c r="BE28"/>
      <c r="BF28"/>
      <c r="BG28"/>
      <c r="BH28"/>
      <c r="BI28"/>
      <c r="BJ28" s="67">
        <v>7.1000061929225922E-2</v>
      </c>
      <c r="BK28"/>
      <c r="BL28" s="15">
        <v>1.2499917298555374E-2</v>
      </c>
      <c r="BM28"/>
      <c r="BN28"/>
      <c r="BO28"/>
      <c r="BP28"/>
      <c r="BQ28"/>
      <c r="BR28"/>
      <c r="BS28"/>
      <c r="BT28"/>
      <c r="BU28"/>
      <c r="BV28"/>
      <c r="BW28"/>
      <c r="BX28"/>
      <c r="BY28"/>
      <c r="BZ28" s="23">
        <v>7.3061268776655197E-3</v>
      </c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2.4319999217987061</v>
      </c>
      <c r="C29">
        <v>0.11960060894489288</v>
      </c>
      <c r="D29"/>
      <c r="E29"/>
      <c r="F29"/>
      <c r="G29"/>
      <c r="H29"/>
      <c r="I29"/>
      <c r="J29"/>
      <c r="K29"/>
      <c r="L29"/>
      <c r="M29"/>
      <c r="N29"/>
      <c r="O29"/>
      <c r="P29"/>
      <c r="Q29" s="12">
        <v>1.1021717451512814E-2</v>
      </c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 s="299">
        <v>9.4933941960334778E-2</v>
      </c>
      <c r="AO29"/>
      <c r="AP29"/>
      <c r="AQ29"/>
      <c r="AR29"/>
      <c r="AS29" s="142">
        <v>0.28932833671569824</v>
      </c>
      <c r="AT29" s="298">
        <v>0.20225442945957184</v>
      </c>
      <c r="AU29" s="17">
        <v>3.2147523015737534E-2</v>
      </c>
      <c r="AV29" s="333">
        <v>0.33240461349487305</v>
      </c>
      <c r="AW29"/>
      <c r="AX29"/>
      <c r="AY29"/>
      <c r="AZ29"/>
      <c r="BA29"/>
      <c r="BB29"/>
      <c r="BC29"/>
      <c r="BD29" s="11">
        <v>2.6789851835928857E-4</v>
      </c>
      <c r="BE29"/>
      <c r="BF29"/>
      <c r="BG29" s="21">
        <v>4.8206351697444916E-2</v>
      </c>
      <c r="BH29" s="22">
        <v>2.1322809159755707E-2</v>
      </c>
      <c r="BI29" s="78">
        <v>0.15508653223514557</v>
      </c>
      <c r="BJ29"/>
      <c r="BK29" s="334">
        <v>0.41377660632133484</v>
      </c>
      <c r="BL29"/>
      <c r="BM29"/>
      <c r="BN29"/>
      <c r="BO29"/>
      <c r="BP29"/>
      <c r="BQ29"/>
      <c r="BR29"/>
      <c r="BS29"/>
      <c r="BT29" s="21">
        <v>4.8463884741067886E-2</v>
      </c>
      <c r="BU29" s="26">
        <v>6.1445068567991257E-2</v>
      </c>
      <c r="BV29" s="313">
        <v>0.12071181833744049</v>
      </c>
      <c r="BW29" s="311">
        <v>0.12871623039245605</v>
      </c>
      <c r="BX29"/>
      <c r="BY29"/>
      <c r="BZ29" s="328">
        <v>0.35231155157089233</v>
      </c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6.8446844816207886E-2</v>
      </c>
      <c r="C30">
        <v>6.6553346812725067E-2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 s="24">
        <v>1.8934955587610602E-3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0.60000002384185791</v>
      </c>
      <c r="C31">
        <v>0.58091449737548828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 s="25">
        <v>1.9085528329014778E-2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0.95999997854232788</v>
      </c>
      <c r="C32">
        <v>0.47306573390960693</v>
      </c>
      <c r="D32"/>
      <c r="E32"/>
      <c r="F32" s="16">
        <v>1.5520819462835789E-2</v>
      </c>
      <c r="G32" s="16">
        <v>1.5520819462835789E-2</v>
      </c>
      <c r="H32" s="16">
        <v>1.5520819462835789E-2</v>
      </c>
      <c r="I32" s="16">
        <v>1.5520819462835789E-2</v>
      </c>
      <c r="J32"/>
      <c r="K32"/>
      <c r="L32"/>
      <c r="M32"/>
      <c r="N32"/>
      <c r="O32"/>
      <c r="P32"/>
      <c r="Q32" s="311">
        <v>5.1033467054367065E-2</v>
      </c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 s="22">
        <v>7.3488368652760983E-3</v>
      </c>
      <c r="AT32"/>
      <c r="AU32"/>
      <c r="AV32"/>
      <c r="AW32"/>
      <c r="AX32"/>
      <c r="AY32"/>
      <c r="AZ32"/>
      <c r="BA32"/>
      <c r="BB32"/>
      <c r="BC32"/>
      <c r="BD32" s="11">
        <v>1.7011313957482344E-6</v>
      </c>
      <c r="BE32"/>
      <c r="BF32"/>
      <c r="BG32"/>
      <c r="BH32"/>
      <c r="BI32"/>
      <c r="BJ32" s="148">
        <v>5.797407403588295E-2</v>
      </c>
      <c r="BK32"/>
      <c r="BL32" s="15">
        <v>1.0206638835370541E-2</v>
      </c>
      <c r="BM32"/>
      <c r="BN32"/>
      <c r="BO32"/>
      <c r="BP32"/>
      <c r="BQ32"/>
      <c r="BR32"/>
      <c r="BS32"/>
      <c r="BT32"/>
      <c r="BU32"/>
      <c r="BV32"/>
      <c r="BW32"/>
      <c r="BX32"/>
      <c r="BY32"/>
      <c r="BZ32" s="351">
        <v>0.29828625917434692</v>
      </c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1.2000000476837158</v>
      </c>
      <c r="C33">
        <v>0.51591998338699341</v>
      </c>
      <c r="D33"/>
      <c r="E33"/>
      <c r="F33" s="12">
        <v>4.0934467688202858E-3</v>
      </c>
      <c r="G33" s="12">
        <v>4.0934467688202858E-3</v>
      </c>
      <c r="H33" s="12">
        <v>4.0934467688202858E-3</v>
      </c>
      <c r="I33" s="12">
        <v>4.0934467688202858E-3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 s="13">
        <v>4.3920591473579407E-2</v>
      </c>
      <c r="AH33" s="64">
        <v>6.6907390952110291E-2</v>
      </c>
      <c r="AI33"/>
      <c r="AJ33" s="26">
        <v>3.0885778367519379E-2</v>
      </c>
      <c r="AK33" s="70">
        <v>6.1956454068422318E-2</v>
      </c>
      <c r="AL33"/>
      <c r="AM33"/>
      <c r="AN33" s="17">
        <v>1.576627790927887E-2</v>
      </c>
      <c r="AO33"/>
      <c r="AP33"/>
      <c r="AQ33"/>
      <c r="AR33"/>
      <c r="AS33" s="16">
        <v>1.922023668885231E-2</v>
      </c>
      <c r="AT33"/>
      <c r="AU33"/>
      <c r="AV33"/>
      <c r="AW33"/>
      <c r="AX33"/>
      <c r="AY33"/>
      <c r="AZ33"/>
      <c r="BA33" s="22">
        <v>8.9316302910447121E-3</v>
      </c>
      <c r="BB33" s="14">
        <v>1.208155183121562E-3</v>
      </c>
      <c r="BC33"/>
      <c r="BD33" s="11">
        <v>1.779663871275261E-4</v>
      </c>
      <c r="BE33"/>
      <c r="BF33"/>
      <c r="BG33" s="14">
        <v>1.4556244714185596E-3</v>
      </c>
      <c r="BH33" s="18">
        <v>1.416485384106636E-2</v>
      </c>
      <c r="BI33" s="22">
        <v>1.0302478447556496E-2</v>
      </c>
      <c r="BJ33" s="306">
        <v>0.18953262269496918</v>
      </c>
      <c r="BK33" s="15">
        <v>1.0995012708008289E-2</v>
      </c>
      <c r="BL33" s="65">
        <v>2.6694564148783684E-2</v>
      </c>
      <c r="BM33" s="14">
        <v>2.7748816646635532E-3</v>
      </c>
      <c r="BN33" s="16">
        <v>1.8019828945398331E-2</v>
      </c>
      <c r="BO33" s="12">
        <v>3.7920582108199596E-3</v>
      </c>
      <c r="BP33"/>
      <c r="BQ33"/>
      <c r="BR33" s="297">
        <v>3.9992418140172958E-2</v>
      </c>
      <c r="BS33" s="11">
        <v>7.9396774526685476E-4</v>
      </c>
      <c r="BT33" s="24">
        <v>3.2194811850786209E-2</v>
      </c>
      <c r="BU33" s="18">
        <v>1.3606091029942036E-2</v>
      </c>
      <c r="BV33" s="297">
        <v>4.0094729512929916E-2</v>
      </c>
      <c r="BW33" s="11">
        <v>7.7733490616083145E-4</v>
      </c>
      <c r="BX33"/>
      <c r="BY33"/>
      <c r="BZ33"/>
      <c r="CA33"/>
      <c r="CB33"/>
      <c r="CC33"/>
      <c r="CD33"/>
      <c r="CE33"/>
      <c r="CF33"/>
      <c r="CG33" s="18">
        <v>1.3540509156882763E-2</v>
      </c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1.0039999485015869</v>
      </c>
      <c r="C34">
        <v>4.9471300095319748E-2</v>
      </c>
      <c r="D34" s="65">
        <v>2.2455137223005295E-2</v>
      </c>
      <c r="E34"/>
      <c r="F34" s="65">
        <v>2.2455137223005295E-2</v>
      </c>
      <c r="G34" s="65">
        <v>2.2455137223005295E-2</v>
      </c>
      <c r="H34" s="65">
        <v>2.2455137223005295E-2</v>
      </c>
      <c r="I34" s="65">
        <v>2.2455137223005295E-2</v>
      </c>
      <c r="J34"/>
      <c r="K34"/>
      <c r="L34"/>
      <c r="M34" s="23">
        <v>5.9172310866415501E-3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 s="324">
        <v>0.17763952910900116</v>
      </c>
      <c r="AE34" s="68">
        <v>6.2814749777317047E-2</v>
      </c>
      <c r="AF34" s="70">
        <v>5.1939696073532104E-2</v>
      </c>
      <c r="AG34" s="20">
        <v>4.2810544371604919E-2</v>
      </c>
      <c r="AH34" s="68">
        <v>6.2924899160861969E-2</v>
      </c>
      <c r="AI34" s="11">
        <v>2.0896019123028964E-4</v>
      </c>
      <c r="AJ34" s="64">
        <v>5.5055961012840271E-2</v>
      </c>
      <c r="AK34" s="312">
        <v>5.7336363941431046E-2</v>
      </c>
      <c r="AL34" s="65">
        <v>2.130613848567009E-2</v>
      </c>
      <c r="AM34"/>
      <c r="AN34"/>
      <c r="AO34" s="11">
        <v>1.1526478920131922E-4</v>
      </c>
      <c r="AP34"/>
      <c r="AQ34" s="12">
        <v>4.7764447517693043E-3</v>
      </c>
      <c r="AR34" s="11">
        <v>3.9592263055965304E-4</v>
      </c>
      <c r="AS34" s="12">
        <v>4.7431997954845428E-3</v>
      </c>
      <c r="AT34" s="11">
        <v>4.0435619303025305E-4</v>
      </c>
      <c r="AU34"/>
      <c r="AV34"/>
      <c r="AW34"/>
      <c r="AX34"/>
      <c r="AY34" s="11">
        <v>3.8029602728784084E-4</v>
      </c>
      <c r="AZ34"/>
      <c r="BA34"/>
      <c r="BB34"/>
      <c r="BC34" s="11">
        <v>4.7829711547819898E-5</v>
      </c>
      <c r="BD34" s="11">
        <v>1.3389872037805617E-4</v>
      </c>
      <c r="BE34" s="14">
        <v>1.5027276240289211E-3</v>
      </c>
      <c r="BF34"/>
      <c r="BG34"/>
      <c r="BH34"/>
      <c r="BI34"/>
      <c r="BJ34" s="318">
        <v>0.1140807643532753</v>
      </c>
      <c r="BK34" s="12">
        <v>3.30898049287498E-3</v>
      </c>
      <c r="BL34" s="16">
        <v>1.606757752597332E-2</v>
      </c>
      <c r="BM34"/>
      <c r="BN34"/>
      <c r="BO34"/>
      <c r="BP34" s="25">
        <v>3.0984772369265556E-2</v>
      </c>
      <c r="BQ34" s="22">
        <v>6.9871731102466583E-3</v>
      </c>
      <c r="BR34"/>
      <c r="BS34"/>
      <c r="BT34" s="336">
        <v>9.6891209483146667E-2</v>
      </c>
      <c r="BU34"/>
      <c r="BV34"/>
      <c r="BW34"/>
      <c r="BX34"/>
      <c r="BY34"/>
      <c r="BZ34" s="294">
        <v>2.347853034734726E-2</v>
      </c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1.6000000238418579</v>
      </c>
      <c r="C35">
        <v>0.49676322937011719</v>
      </c>
      <c r="D35" s="12">
        <v>6.8263201974332333E-3</v>
      </c>
      <c r="E35"/>
      <c r="F35" s="12">
        <v>6.8263201974332333E-3</v>
      </c>
      <c r="G35" s="12">
        <v>6.8263201974332333E-3</v>
      </c>
      <c r="H35" s="12">
        <v>6.8263201974332333E-3</v>
      </c>
      <c r="I35" s="12">
        <v>6.8263201974332333E-3</v>
      </c>
      <c r="J35"/>
      <c r="K35"/>
      <c r="L35"/>
      <c r="M35" s="14">
        <v>1.8203576328232884E-3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 s="14">
        <v>4.4401749037206173E-3</v>
      </c>
      <c r="AE35" s="24">
        <v>4.2699098587036133E-2</v>
      </c>
      <c r="AF35" s="23">
        <v>8.655032142996788E-3</v>
      </c>
      <c r="AG35" s="14">
        <v>4.4052116572856903E-3</v>
      </c>
      <c r="AH35" s="14">
        <v>3.7748028989881277E-3</v>
      </c>
      <c r="AI35" s="12">
        <v>6.2676570378243923E-3</v>
      </c>
      <c r="AJ35" s="17">
        <v>2.1446447819471359E-2</v>
      </c>
      <c r="AK35" s="11">
        <v>4.6606390969827771E-4</v>
      </c>
      <c r="AL35" s="17">
        <v>2.0615069195628166E-2</v>
      </c>
      <c r="AM35"/>
      <c r="AN35"/>
      <c r="AO35" s="147">
        <v>4.6097487211227417E-2</v>
      </c>
      <c r="AP35"/>
      <c r="AQ35" s="12">
        <v>7.1633551269769669E-3</v>
      </c>
      <c r="AR35" s="23">
        <v>7.9170027747750282E-3</v>
      </c>
      <c r="AS35" s="22">
        <v>1.2838996946811676E-2</v>
      </c>
      <c r="AT35" s="21">
        <v>3.0321158468723297E-2</v>
      </c>
      <c r="AU35"/>
      <c r="AV35" s="18">
        <v>1.9933102652430534E-2</v>
      </c>
      <c r="AW35"/>
      <c r="AX35"/>
      <c r="AY35" s="11">
        <v>1.140679232776165E-3</v>
      </c>
      <c r="AZ35"/>
      <c r="BA35" s="22">
        <v>1.2093762867152691E-2</v>
      </c>
      <c r="BB35" s="14">
        <v>3.2717762514948845E-3</v>
      </c>
      <c r="BC35" s="11">
        <v>1.4346286479849368E-4</v>
      </c>
      <c r="BD35" s="13">
        <v>6.0243390500545502E-2</v>
      </c>
      <c r="BE35" s="70">
        <v>8.1951946020126343E-2</v>
      </c>
      <c r="BF35" s="15">
        <v>1.6699312254786491E-2</v>
      </c>
      <c r="BG35" s="26">
        <v>4.0733437985181808E-2</v>
      </c>
      <c r="BH35"/>
      <c r="BI35"/>
      <c r="BJ35" s="12">
        <v>6.8435920402407646E-3</v>
      </c>
      <c r="BK35" s="68">
        <v>9.9251233041286469E-2</v>
      </c>
      <c r="BL35" s="11">
        <v>2.409699845884461E-6</v>
      </c>
      <c r="BM35" s="11">
        <v>2.5048671523109078E-4</v>
      </c>
      <c r="BN35" s="15">
        <v>1.626637764275074E-2</v>
      </c>
      <c r="BO35" s="15">
        <v>1.7115324735641479E-2</v>
      </c>
      <c r="BP35" s="24">
        <v>4.3879739940166473E-2</v>
      </c>
      <c r="BQ35" s="17">
        <v>2.0957682281732559E-2</v>
      </c>
      <c r="BR35" s="294">
        <v>3.6100886762142181E-2</v>
      </c>
      <c r="BS35" s="15">
        <v>1.4334257692098618E-2</v>
      </c>
      <c r="BT35" s="24">
        <v>4.3593060225248337E-2</v>
      </c>
      <c r="BU35" s="22">
        <v>1.2282125651836395E-2</v>
      </c>
      <c r="BV35" s="25">
        <v>5.0670545548200607E-2</v>
      </c>
      <c r="BW35" s="65">
        <v>3.5084713250398636E-2</v>
      </c>
      <c r="BX35"/>
      <c r="BY35"/>
      <c r="BZ35" s="330">
        <v>0.14084538817405701</v>
      </c>
      <c r="CA35"/>
      <c r="CB35" s="19">
        <v>2.9192555695772171E-2</v>
      </c>
      <c r="CC35"/>
      <c r="CD35"/>
      <c r="CE35"/>
      <c r="CF35"/>
      <c r="CG35" s="22">
        <v>1.2222926132380962E-2</v>
      </c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 s="65">
        <v>3.5073097795248032E-2</v>
      </c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5.6700000762939453</v>
      </c>
      <c r="C36">
        <v>1.3018867969512939</v>
      </c>
      <c r="D36"/>
      <c r="E36"/>
      <c r="F36" s="22">
        <v>4.1967999190092087E-2</v>
      </c>
      <c r="G36" s="22">
        <v>4.1967999190092087E-2</v>
      </c>
      <c r="H36" s="22">
        <v>4.1967999190092087E-2</v>
      </c>
      <c r="I36" s="22">
        <v>4.1967999190092087E-2</v>
      </c>
      <c r="J36"/>
      <c r="K36"/>
      <c r="L36"/>
      <c r="M36" s="14">
        <v>1.2590333819389343E-2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 s="315">
        <v>0.40947014093399048</v>
      </c>
      <c r="AE36" s="320">
        <v>0.47252205014228821</v>
      </c>
      <c r="AF36" s="67">
        <v>0.3352278470993042</v>
      </c>
      <c r="AG36" s="22">
        <v>4.0624585002660751E-2</v>
      </c>
      <c r="AH36" s="64">
        <v>0.31329894065856934</v>
      </c>
      <c r="AI36" s="72">
        <v>0.40460014343261719</v>
      </c>
      <c r="AJ36"/>
      <c r="AK36"/>
      <c r="AL36"/>
      <c r="AM36"/>
      <c r="AN36"/>
      <c r="AO36" s="14">
        <v>1.0627705603837967E-2</v>
      </c>
      <c r="AP36"/>
      <c r="AQ36" s="12">
        <v>2.3781601339578629E-2</v>
      </c>
      <c r="AR36" s="17">
        <v>7.9581014811992645E-2</v>
      </c>
      <c r="AS36" s="11">
        <v>3.2000069040805101E-3</v>
      </c>
      <c r="AT36" s="14">
        <v>1.1184792965650558E-2</v>
      </c>
      <c r="AU36"/>
      <c r="AV36"/>
      <c r="AW36"/>
      <c r="AX36"/>
      <c r="AY36" s="11">
        <v>5.259636091068387E-4</v>
      </c>
      <c r="AZ36"/>
      <c r="BA36"/>
      <c r="BB36"/>
      <c r="BC36"/>
      <c r="BD36" s="12">
        <v>2.2222433239221573E-2</v>
      </c>
      <c r="BE36" s="12">
        <v>2.2672673687338829E-2</v>
      </c>
      <c r="BF36"/>
      <c r="BG36"/>
      <c r="BH36"/>
      <c r="BI36" s="301">
        <v>0.60034662485122681</v>
      </c>
      <c r="BJ36" s="23">
        <v>3.1555585563182831E-2</v>
      </c>
      <c r="BK36" s="16">
        <v>9.1528862714767456E-2</v>
      </c>
      <c r="BL36" s="21">
        <v>0.1111103817820549</v>
      </c>
      <c r="BM36"/>
      <c r="BN36"/>
      <c r="BO36"/>
      <c r="BP36" s="17">
        <v>7.2838112711906433E-2</v>
      </c>
      <c r="BQ36"/>
      <c r="BR36"/>
      <c r="BS36"/>
      <c r="BT36" s="72">
        <v>0.40201243758201599</v>
      </c>
      <c r="BU36" s="17">
        <v>7.9285502433776855E-2</v>
      </c>
      <c r="BV36"/>
      <c r="BW36"/>
      <c r="BX36"/>
      <c r="BY36"/>
      <c r="BZ36" s="318">
        <v>0.64943361282348633</v>
      </c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0.80000001192092896</v>
      </c>
      <c r="C37">
        <v>0.30999761819839478</v>
      </c>
      <c r="D37"/>
      <c r="E37"/>
      <c r="F37" s="66">
        <v>3.287288174033165E-2</v>
      </c>
      <c r="G37" s="297">
        <v>2.6298303157091141E-2</v>
      </c>
      <c r="H37" s="26">
        <v>1.972372829914093E-2</v>
      </c>
      <c r="I37" s="26">
        <v>1.972372829914093E-2</v>
      </c>
      <c r="J37"/>
      <c r="K37"/>
      <c r="L37"/>
      <c r="M37"/>
      <c r="N37"/>
      <c r="O37"/>
      <c r="P37"/>
      <c r="Q37"/>
      <c r="R37" s="66">
        <v>3.287288174033165E-2</v>
      </c>
      <c r="S37"/>
      <c r="T37"/>
      <c r="U37"/>
      <c r="V37" s="294">
        <v>1.8362216651439667E-2</v>
      </c>
      <c r="W37" s="21">
        <v>1.6130944713950157E-2</v>
      </c>
      <c r="X37"/>
      <c r="Y37"/>
      <c r="Z37"/>
      <c r="AA37"/>
      <c r="AB37"/>
      <c r="AC37"/>
      <c r="AD37"/>
      <c r="AE37"/>
      <c r="AF37"/>
      <c r="AG37" s="335">
        <v>0.16964787244796753</v>
      </c>
      <c r="AH37" s="25">
        <v>2.505076490342617E-2</v>
      </c>
      <c r="AI37"/>
      <c r="AJ37"/>
      <c r="AK37"/>
      <c r="AL37"/>
      <c r="AM37" s="65">
        <v>1.6943616792559624E-2</v>
      </c>
      <c r="AN37" s="327">
        <v>9.4498299062252045E-2</v>
      </c>
      <c r="AO37" s="17">
        <v>1.0712726041674614E-2</v>
      </c>
      <c r="AP37" s="16">
        <v>1.3199713081121445E-2</v>
      </c>
      <c r="AQ37"/>
      <c r="AR37"/>
      <c r="AS37" s="14">
        <v>8.9856196427717805E-4</v>
      </c>
      <c r="AT37"/>
      <c r="AU37" s="11">
        <v>6.144000799395144E-4</v>
      </c>
      <c r="AV37" s="11">
        <v>1.5882203297223896E-4</v>
      </c>
      <c r="AW37"/>
      <c r="AX37"/>
      <c r="AY37"/>
      <c r="AZ37"/>
      <c r="BA37"/>
      <c r="BB37"/>
      <c r="BC37"/>
      <c r="BD37" s="19">
        <v>1.4666803181171417E-2</v>
      </c>
      <c r="BE37" s="14">
        <v>1.0882881470024586E-3</v>
      </c>
      <c r="BF37" s="12">
        <v>3.0239999759942293E-3</v>
      </c>
      <c r="BG37" s="14">
        <v>8.7245722534134984E-4</v>
      </c>
      <c r="BH37"/>
      <c r="BI37"/>
      <c r="BJ37" s="22">
        <v>6.8160062655806541E-3</v>
      </c>
      <c r="BK37"/>
      <c r="BL37" s="14">
        <v>1.5999911120161414E-3</v>
      </c>
      <c r="BM37"/>
      <c r="BN37"/>
      <c r="BO37"/>
      <c r="BP37"/>
      <c r="BQ37"/>
      <c r="BR37"/>
      <c r="BS37"/>
      <c r="BT37" s="28">
        <v>2.8944894671440125E-2</v>
      </c>
      <c r="BU37"/>
      <c r="BV37"/>
      <c r="BW37"/>
      <c r="BX37"/>
      <c r="BY37"/>
      <c r="BZ37" s="327">
        <v>9.3518435955047607E-2</v>
      </c>
      <c r="CA37"/>
      <c r="CB37" s="14">
        <v>1.7621141159906983E-3</v>
      </c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1.0789999961853027</v>
      </c>
      <c r="C38">
        <v>0.53036594390869141</v>
      </c>
      <c r="D38"/>
      <c r="E38"/>
      <c r="F38" s="18">
        <v>1.2149128131568432E-2</v>
      </c>
      <c r="G38" s="15">
        <v>9.5791248604655266E-3</v>
      </c>
      <c r="H38" s="23">
        <v>7.242751307785511E-3</v>
      </c>
      <c r="I38" s="23">
        <v>7.242751307785511E-3</v>
      </c>
      <c r="J38"/>
      <c r="K38"/>
      <c r="L38"/>
      <c r="M38"/>
      <c r="N38"/>
      <c r="O38"/>
      <c r="P38"/>
      <c r="Q38"/>
      <c r="R38" s="18">
        <v>1.2149128131568432E-2</v>
      </c>
      <c r="S38"/>
      <c r="T38"/>
      <c r="U38"/>
      <c r="V38" s="148">
        <v>6.5718881785869598E-2</v>
      </c>
      <c r="W38" s="26">
        <v>2.6942111551761627E-2</v>
      </c>
      <c r="X38"/>
      <c r="Y38"/>
      <c r="Z38"/>
      <c r="AA38"/>
      <c r="AB38"/>
      <c r="AC38" s="23">
        <v>6.4256098121404648E-3</v>
      </c>
      <c r="AD38"/>
      <c r="AE38"/>
      <c r="AF38"/>
      <c r="AG38" s="300">
        <v>4.8853136599063873E-2</v>
      </c>
      <c r="AH38" s="12">
        <v>4.1862069629132748E-3</v>
      </c>
      <c r="AI38"/>
      <c r="AJ38"/>
      <c r="AK38"/>
      <c r="AL38"/>
      <c r="AM38" s="311">
        <v>5.6598890572786331E-2</v>
      </c>
      <c r="AN38" s="315">
        <v>7.891613245010376E-2</v>
      </c>
      <c r="AO38" s="16">
        <v>1.6614492982625961E-2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 s="18">
        <v>1.202564500272274E-2</v>
      </c>
      <c r="BE38"/>
      <c r="BF38" s="65">
        <v>2.3570042103528976E-2</v>
      </c>
      <c r="BG38" s="18">
        <v>1.3114702887833118E-2</v>
      </c>
      <c r="BH38" s="23">
        <v>7.0900400169193745E-3</v>
      </c>
      <c r="BI38" s="147">
        <v>3.0940663069486618E-2</v>
      </c>
      <c r="BJ38" s="28">
        <v>3.7947271019220352E-2</v>
      </c>
      <c r="BK38"/>
      <c r="BL38" s="23">
        <v>5.3446404635906219E-3</v>
      </c>
      <c r="BM38"/>
      <c r="BN38"/>
      <c r="BO38"/>
      <c r="BP38"/>
      <c r="BQ38"/>
      <c r="BR38"/>
      <c r="BS38"/>
      <c r="BT38" s="300">
        <v>4.8344135284423828E-2</v>
      </c>
      <c r="BU38" s="23">
        <v>5.4482873529195786E-3</v>
      </c>
      <c r="BV38" s="300">
        <v>4.8165403306484222E-2</v>
      </c>
      <c r="BW38" s="65">
        <v>2.3345109075307846E-2</v>
      </c>
      <c r="BX38"/>
      <c r="BY38"/>
      <c r="BZ38" s="328">
        <v>0.15619568526744843</v>
      </c>
      <c r="CA38"/>
      <c r="CB38" s="21">
        <v>2.060173824429512E-2</v>
      </c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 s="147">
        <v>3.1116478145122528E-2</v>
      </c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1</v>
      </c>
      <c r="C39">
        <v>0.2296220064163208</v>
      </c>
      <c r="D39"/>
      <c r="E39"/>
      <c r="F39" s="17">
        <v>1.3114179484546185E-2</v>
      </c>
      <c r="G39" s="15">
        <v>1.0616238228976727E-2</v>
      </c>
      <c r="H39" s="22">
        <v>7.9101426526904106E-3</v>
      </c>
      <c r="I39" s="22">
        <v>7.9101426526904106E-3</v>
      </c>
      <c r="J39"/>
      <c r="K39"/>
      <c r="L39"/>
      <c r="M39"/>
      <c r="N39"/>
      <c r="O39"/>
      <c r="P39"/>
      <c r="Q39"/>
      <c r="R39" s="17">
        <v>1.3114179484546185E-2</v>
      </c>
      <c r="S39"/>
      <c r="T39"/>
      <c r="U39"/>
      <c r="V39" s="12">
        <v>3.9035328663885593E-3</v>
      </c>
      <c r="W39"/>
      <c r="X39"/>
      <c r="Y39"/>
      <c r="Z39"/>
      <c r="AA39"/>
      <c r="AB39"/>
      <c r="AC39"/>
      <c r="AD39"/>
      <c r="AE39"/>
      <c r="AF39"/>
      <c r="AG39" s="65">
        <v>2.1763131022453308E-2</v>
      </c>
      <c r="AH39" s="13">
        <v>3.7297487258911133E-2</v>
      </c>
      <c r="AI39"/>
      <c r="AJ39"/>
      <c r="AK39"/>
      <c r="AL39"/>
      <c r="AM39" s="149">
        <v>0.25213718414306641</v>
      </c>
      <c r="AN39" s="79">
        <v>0.14062246680259705</v>
      </c>
      <c r="AO39" s="23">
        <v>5.6934058666229248E-3</v>
      </c>
      <c r="AP39" s="327">
        <v>0.11785455048084259</v>
      </c>
      <c r="AQ39"/>
      <c r="AR39"/>
      <c r="AS39" s="11">
        <v>3.4285787842236459E-4</v>
      </c>
      <c r="AT39"/>
      <c r="AU39" s="11">
        <v>3.8095240597613156E-5</v>
      </c>
      <c r="AV39" s="11">
        <v>3.9390384336002171E-4</v>
      </c>
      <c r="AW39" s="11">
        <v>8.2641003018579795E-7</v>
      </c>
      <c r="AX39" s="11">
        <v>7.1857139118947089E-6</v>
      </c>
      <c r="AY39"/>
      <c r="AZ39"/>
      <c r="BA39"/>
      <c r="BB39"/>
      <c r="BC39"/>
      <c r="BD39" s="76">
        <v>7.9365827143192291E-2</v>
      </c>
      <c r="BE39" s="26">
        <v>2.5911619886755943E-2</v>
      </c>
      <c r="BF39" s="70">
        <v>5.000000074505806E-2</v>
      </c>
      <c r="BG39"/>
      <c r="BH39"/>
      <c r="BI39"/>
      <c r="BJ39" s="319">
        <v>0.10142868012189865</v>
      </c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1.5</v>
      </c>
      <c r="C40">
        <v>1.0053633451461792</v>
      </c>
      <c r="D40"/>
      <c r="E40"/>
      <c r="F40" s="12">
        <v>4.8036999069154263E-3</v>
      </c>
      <c r="G40" s="14">
        <v>3.9188084192574024E-3</v>
      </c>
      <c r="H40" s="14">
        <v>2.9075003694742918E-3</v>
      </c>
      <c r="I40" s="14">
        <v>2.9075003694742918E-3</v>
      </c>
      <c r="J40"/>
      <c r="K40"/>
      <c r="L40"/>
      <c r="M40"/>
      <c r="N40"/>
      <c r="O40"/>
      <c r="P40"/>
      <c r="Q40"/>
      <c r="R40" s="12">
        <v>4.8036999069154263E-3</v>
      </c>
      <c r="S40"/>
      <c r="T40"/>
      <c r="U40" s="17">
        <v>1.9719090312719345E-2</v>
      </c>
      <c r="V40" s="16">
        <v>2.3705510422587395E-2</v>
      </c>
      <c r="W40"/>
      <c r="X40"/>
      <c r="Y40"/>
      <c r="Z40"/>
      <c r="AA40"/>
      <c r="AB40"/>
      <c r="AC40"/>
      <c r="AD40" s="28">
        <v>5.3285248577594757E-2</v>
      </c>
      <c r="AE40"/>
      <c r="AF40"/>
      <c r="AG40" s="70">
        <v>7.7049419283866882E-2</v>
      </c>
      <c r="AH40" s="16">
        <v>2.2650152444839478E-2</v>
      </c>
      <c r="AI40"/>
      <c r="AJ40"/>
      <c r="AK40"/>
      <c r="AL40"/>
      <c r="AM40" s="14">
        <v>1.5311875613406301E-3</v>
      </c>
      <c r="AN40" s="147">
        <v>4.2698942124843597E-2</v>
      </c>
      <c r="AO40" s="17">
        <v>2.0053591579198837E-2</v>
      </c>
      <c r="AP40"/>
      <c r="AQ40" s="15">
        <v>1.5473760664463043E-2</v>
      </c>
      <c r="AR40"/>
      <c r="AS40"/>
      <c r="AT40"/>
      <c r="AU40"/>
      <c r="AV40"/>
      <c r="AW40"/>
      <c r="AX40"/>
      <c r="AY40"/>
      <c r="AZ40"/>
      <c r="BA40"/>
      <c r="BB40"/>
      <c r="BC40"/>
      <c r="BD40" s="11">
        <v>1.2049390534230042E-5</v>
      </c>
      <c r="BE40"/>
      <c r="BF40" s="14">
        <v>2.4291344452649355E-3</v>
      </c>
      <c r="BG40" s="14">
        <v>2.3653078824281693E-3</v>
      </c>
      <c r="BH40" s="14">
        <v>1.9180907402187586E-3</v>
      </c>
      <c r="BI40" s="16">
        <v>2.2321263328194618E-2</v>
      </c>
      <c r="BJ40" s="109">
        <v>0.18478788435459137</v>
      </c>
      <c r="BK40"/>
      <c r="BL40"/>
      <c r="BM40"/>
      <c r="BN40"/>
      <c r="BO40"/>
      <c r="BP40"/>
      <c r="BQ40"/>
      <c r="BR40"/>
      <c r="BS40"/>
      <c r="BT40" s="14">
        <v>4.3595628812909126E-3</v>
      </c>
      <c r="BU40" s="23">
        <v>7.369710598140955E-3</v>
      </c>
      <c r="BV40" s="12">
        <v>7.2390716522932053E-3</v>
      </c>
      <c r="BW40" s="14">
        <v>4.2104185558855534E-3</v>
      </c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 s="12">
        <v>4.9486295320093632E-3</v>
      </c>
      <c r="CR40"/>
      <c r="CS40"/>
      <c r="CT40"/>
      <c r="CU40"/>
      <c r="CV40"/>
      <c r="CW40"/>
      <c r="CX40"/>
      <c r="CY40"/>
      <c r="CZ40"/>
      <c r="DA40"/>
      <c r="DB40"/>
      <c r="DC40"/>
      <c r="DD40"/>
      <c r="DE40" s="21">
        <v>2.9463134706020355E-2</v>
      </c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2</v>
      </c>
      <c r="C41">
        <v>0.67926883697509766</v>
      </c>
      <c r="D41"/>
      <c r="E41"/>
      <c r="F41" s="22">
        <v>1.3896170072257519E-2</v>
      </c>
      <c r="G41" s="22">
        <v>1.3896170072257519E-2</v>
      </c>
      <c r="H41" s="23">
        <v>1.046844944357872E-2</v>
      </c>
      <c r="I41" s="23">
        <v>1.046844944357872E-2</v>
      </c>
      <c r="J41"/>
      <c r="K41"/>
      <c r="L41"/>
      <c r="M41" s="14">
        <v>3.520364873111248E-3</v>
      </c>
      <c r="N41"/>
      <c r="O41"/>
      <c r="P41"/>
      <c r="Q41"/>
      <c r="R41" s="22">
        <v>1.7416534945368767E-2</v>
      </c>
      <c r="S41"/>
      <c r="T41"/>
      <c r="U41"/>
      <c r="V41" s="16">
        <v>3.2789669930934906E-2</v>
      </c>
      <c r="W41"/>
      <c r="X41"/>
      <c r="Y41" s="68">
        <v>0.12364670634269714</v>
      </c>
      <c r="Z41"/>
      <c r="AA41"/>
      <c r="AB41"/>
      <c r="AC41"/>
      <c r="AD41"/>
      <c r="AE41"/>
      <c r="AF41"/>
      <c r="AG41" s="69">
        <v>0.1828102320432663</v>
      </c>
      <c r="AH41" s="299">
        <v>7.832472026348114E-2</v>
      </c>
      <c r="AI41"/>
      <c r="AJ41"/>
      <c r="AK41"/>
      <c r="AL41"/>
      <c r="AM41" s="15">
        <v>2.1179521456360817E-2</v>
      </c>
      <c r="AN41" s="14">
        <v>2.9530776664614677E-3</v>
      </c>
      <c r="AO41" s="19">
        <v>3.4433752298355103E-2</v>
      </c>
      <c r="AP41" s="12">
        <v>8.2498202100396156E-3</v>
      </c>
      <c r="AQ41"/>
      <c r="AR41"/>
      <c r="AS41" s="11">
        <v>4.3200099025852978E-4</v>
      </c>
      <c r="AT41"/>
      <c r="AU41" s="11">
        <v>1.3760001165792346E-3</v>
      </c>
      <c r="AV41" s="14">
        <v>2.1507150959223509E-3</v>
      </c>
      <c r="AW41" s="11">
        <v>1.5272056771209463E-5</v>
      </c>
      <c r="AX41" s="11">
        <v>1.5391800843644887E-4</v>
      </c>
      <c r="AY41"/>
      <c r="AZ41"/>
      <c r="BA41"/>
      <c r="BB41"/>
      <c r="BC41"/>
      <c r="BD41" s="320">
        <v>0.16666822135448456</v>
      </c>
      <c r="BE41" s="12">
        <v>7.9921148717403412E-3</v>
      </c>
      <c r="BF41" s="320">
        <v>0.1679999977350235</v>
      </c>
      <c r="BG41" s="297">
        <v>6.5434269607067108E-2</v>
      </c>
      <c r="BH41"/>
      <c r="BI41"/>
      <c r="BJ41" s="72">
        <v>0.14200013875961304</v>
      </c>
      <c r="BK41"/>
      <c r="BL41" s="313">
        <v>9.9999755620956421E-2</v>
      </c>
      <c r="BM41"/>
      <c r="BN41"/>
      <c r="BO41"/>
      <c r="BP41"/>
      <c r="BQ41"/>
      <c r="BR41"/>
      <c r="BS41"/>
      <c r="BT41" s="16">
        <v>3.0150929465889931E-2</v>
      </c>
      <c r="BU41"/>
      <c r="BV41" s="11">
        <v>7.0092087844386697E-4</v>
      </c>
      <c r="BW41"/>
      <c r="BX41"/>
      <c r="BY41"/>
      <c r="BZ41" s="147">
        <v>5.8449137955904007E-2</v>
      </c>
      <c r="CA41"/>
      <c r="CB41" s="18">
        <v>2.312774769961834E-2</v>
      </c>
      <c r="CC41" s="11">
        <v>2.6276604330632836E-5</v>
      </c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3.9800000190734863</v>
      </c>
      <c r="C42">
        <v>1.5497246980667114</v>
      </c>
      <c r="D42"/>
      <c r="E42"/>
      <c r="F42" s="11">
        <v>2.3063651751726866E-3</v>
      </c>
      <c r="G42" s="11">
        <v>2.3063651751726866E-3</v>
      </c>
      <c r="H42" s="11">
        <v>1.6994248144328594E-3</v>
      </c>
      <c r="I42" s="11">
        <v>1.6994248144328594E-3</v>
      </c>
      <c r="J42"/>
      <c r="K42"/>
      <c r="L42"/>
      <c r="M42" s="11">
        <v>5.4624397307634354E-4</v>
      </c>
      <c r="N42"/>
      <c r="O42"/>
      <c r="P42"/>
      <c r="Q42"/>
      <c r="R42" s="11">
        <v>2.8526091482490301E-3</v>
      </c>
      <c r="S42"/>
      <c r="T42"/>
      <c r="U42" s="23">
        <v>2.4535514414310455E-2</v>
      </c>
      <c r="V42" s="64">
        <v>0.21482136845588684</v>
      </c>
      <c r="W42"/>
      <c r="X42"/>
      <c r="Y42" s="21">
        <v>8.100707083940506E-2</v>
      </c>
      <c r="Z42"/>
      <c r="AA42"/>
      <c r="AB42"/>
      <c r="AC42" s="11">
        <v>3.4748984035104513E-3</v>
      </c>
      <c r="AD42"/>
      <c r="AE42"/>
      <c r="AF42"/>
      <c r="AG42"/>
      <c r="AH42"/>
      <c r="AI42"/>
      <c r="AJ42"/>
      <c r="AK42"/>
      <c r="AL42"/>
      <c r="AM42" s="368">
        <v>1.3875751495361328</v>
      </c>
      <c r="AN42" s="15">
        <v>4.2563475668430328E-2</v>
      </c>
      <c r="AO42" s="22">
        <v>3.4152206033468246E-2</v>
      </c>
      <c r="AP42" s="14">
        <v>1.0809720493853092E-2</v>
      </c>
      <c r="AQ42"/>
      <c r="AR42"/>
      <c r="AS42"/>
      <c r="AT42"/>
      <c r="AU42" s="11">
        <v>5.3460203344002366E-4</v>
      </c>
      <c r="AV42" s="17">
        <v>5.0833821296691895E-2</v>
      </c>
      <c r="AW42"/>
      <c r="AX42"/>
      <c r="AY42"/>
      <c r="AZ42"/>
      <c r="BA42"/>
      <c r="BB42"/>
      <c r="BC42"/>
      <c r="BD42" s="12">
        <v>1.3114028610289097E-2</v>
      </c>
      <c r="BE42" s="14">
        <v>4.4561969116330147E-3</v>
      </c>
      <c r="BF42" s="317">
        <v>0.27005848288536072</v>
      </c>
      <c r="BG42" s="11">
        <v>2.8579493518918753E-3</v>
      </c>
      <c r="BH42" s="11">
        <v>7.8218558337539434E-4</v>
      </c>
      <c r="BI42" s="15">
        <v>4.045543447136879E-2</v>
      </c>
      <c r="BJ42"/>
      <c r="BK42" s="11">
        <v>1.3492075959220529E-3</v>
      </c>
      <c r="BL42"/>
      <c r="BM42"/>
      <c r="BN42"/>
      <c r="BO42"/>
      <c r="BP42"/>
      <c r="BQ42"/>
      <c r="BR42"/>
      <c r="BS42"/>
      <c r="BT42" s="11">
        <v>1.1852018069475889E-3</v>
      </c>
      <c r="BU42" s="22">
        <v>3.005322627723217E-2</v>
      </c>
      <c r="BV42" s="14">
        <v>5.2480888552963734E-3</v>
      </c>
      <c r="BW42" s="11">
        <v>3.815509146079421E-3</v>
      </c>
      <c r="BX42"/>
      <c r="BY42"/>
      <c r="BZ42" s="16">
        <v>6.2608927488327026E-2</v>
      </c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 s="18">
        <v>4.484490305185318E-2</v>
      </c>
      <c r="CR42"/>
      <c r="CS42"/>
      <c r="CT42"/>
      <c r="CU42"/>
      <c r="CV42"/>
      <c r="CW42"/>
      <c r="CX42"/>
      <c r="CY42"/>
      <c r="CZ42"/>
      <c r="DA42"/>
      <c r="DB42"/>
      <c r="DC42"/>
      <c r="DD42"/>
      <c r="DE42" s="65">
        <v>8.7727732956409454E-2</v>
      </c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0.30000001192092896</v>
      </c>
      <c r="C43">
        <v>2.3758562281727791E-2</v>
      </c>
      <c r="D43" s="294">
        <v>7.0422538556158543E-3</v>
      </c>
      <c r="E43"/>
      <c r="F43" s="12">
        <v>1.408450654707849E-3</v>
      </c>
      <c r="G43" s="12">
        <v>1.408450654707849E-3</v>
      </c>
      <c r="H43" s="17">
        <v>4.2253518477082253E-3</v>
      </c>
      <c r="I43" s="12">
        <v>1.408450654707849E-3</v>
      </c>
      <c r="J43"/>
      <c r="K43"/>
      <c r="L43"/>
      <c r="M43" s="12">
        <v>1.408450654707849E-3</v>
      </c>
      <c r="N43"/>
      <c r="O43"/>
      <c r="P43"/>
      <c r="Q43" s="17">
        <v>4.2253518477082253E-3</v>
      </c>
      <c r="R43"/>
      <c r="S43"/>
      <c r="T43"/>
      <c r="U43"/>
      <c r="V43"/>
      <c r="W43"/>
      <c r="X43"/>
      <c r="Y43"/>
      <c r="Z43"/>
      <c r="AA43"/>
      <c r="AB43"/>
      <c r="AC43"/>
      <c r="AD43" s="331">
        <v>3.1142795458436012E-2</v>
      </c>
      <c r="AE43" s="147">
        <v>8.7350010871887207E-3</v>
      </c>
      <c r="AF43" s="18">
        <v>3.4905513748526573E-3</v>
      </c>
      <c r="AG43" s="320">
        <v>2.5017706677317619E-2</v>
      </c>
      <c r="AH43" s="111">
        <v>1.9998179748654366E-2</v>
      </c>
      <c r="AI43" s="354">
        <v>2.5936754420399666E-2</v>
      </c>
      <c r="AJ43" s="23">
        <v>1.6045068623498082E-3</v>
      </c>
      <c r="AK43"/>
      <c r="AL43"/>
      <c r="AM43"/>
      <c r="AN43"/>
      <c r="AO43" s="14">
        <v>3.906803613062948E-4</v>
      </c>
      <c r="AP43"/>
      <c r="AQ43" s="18">
        <v>3.3965820912271738E-3</v>
      </c>
      <c r="AR43" s="11">
        <v>1.388220061926404E-5</v>
      </c>
      <c r="AS43" s="12">
        <v>1.2493563117459416E-3</v>
      </c>
      <c r="AT43" s="23">
        <v>2.0146800670772791E-3</v>
      </c>
      <c r="AU43"/>
      <c r="AV43"/>
      <c r="AW43"/>
      <c r="AX43"/>
      <c r="AY43" s="11">
        <v>8.0005724157672375E-5</v>
      </c>
      <c r="AZ43"/>
      <c r="BA43"/>
      <c r="BB43"/>
      <c r="BC43" s="11">
        <v>8.624822658021003E-5</v>
      </c>
      <c r="BD43" s="11">
        <v>2.8169274446554482E-4</v>
      </c>
      <c r="BE43" s="11">
        <v>1.1017002543667331E-4</v>
      </c>
      <c r="BF43"/>
      <c r="BG43"/>
      <c r="BH43"/>
      <c r="BI43"/>
      <c r="BJ43" s="338">
        <v>6.0000058263540268E-2</v>
      </c>
      <c r="BK43" s="12">
        <v>1.1602248996496201E-3</v>
      </c>
      <c r="BL43" s="18">
        <v>3.3802618272602558E-3</v>
      </c>
      <c r="BM43"/>
      <c r="BN43"/>
      <c r="BO43"/>
      <c r="BP43" s="15">
        <v>2.8273498173803091E-3</v>
      </c>
      <c r="BQ43" s="15">
        <v>2.988885622471571E-3</v>
      </c>
      <c r="BR43" s="21">
        <v>6.0769636183977127E-3</v>
      </c>
      <c r="BS43"/>
      <c r="BT43" s="23">
        <v>1.6986440168693662E-3</v>
      </c>
      <c r="BU43"/>
      <c r="BV43"/>
      <c r="BW43"/>
      <c r="BX43"/>
      <c r="BY43"/>
      <c r="BZ43" s="366">
        <v>5.2595887333154678E-2</v>
      </c>
      <c r="CA43"/>
      <c r="CB43" s="14">
        <v>8.376247133128345E-4</v>
      </c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0.60000002384185791</v>
      </c>
      <c r="C44">
        <v>0.40421155095100403</v>
      </c>
      <c r="D44" s="18">
        <v>7.2765466757118702E-3</v>
      </c>
      <c r="E44"/>
      <c r="F44" s="14">
        <v>1.455309335142374E-3</v>
      </c>
      <c r="G44" s="14">
        <v>1.455309335142374E-3</v>
      </c>
      <c r="H44" s="22">
        <v>4.3659280054271221E-3</v>
      </c>
      <c r="I44" s="14">
        <v>1.455309335142374E-3</v>
      </c>
      <c r="J44"/>
      <c r="K44"/>
      <c r="L44"/>
      <c r="M44" s="14">
        <v>1.455309335142374E-3</v>
      </c>
      <c r="N44"/>
      <c r="O44"/>
      <c r="P44"/>
      <c r="Q44" s="22">
        <v>4.3659280054271221E-3</v>
      </c>
      <c r="R44"/>
      <c r="S44"/>
      <c r="T44"/>
      <c r="U44"/>
      <c r="V44"/>
      <c r="W44"/>
      <c r="X44"/>
      <c r="Y44"/>
      <c r="Z44"/>
      <c r="AA44"/>
      <c r="AB44"/>
      <c r="AC44"/>
      <c r="AD44" s="19">
        <v>1.0726302862167358E-2</v>
      </c>
      <c r="AE44" s="22">
        <v>5.1574925892055035E-3</v>
      </c>
      <c r="AF44" s="22">
        <v>5.2270735614001751E-3</v>
      </c>
      <c r="AG44" s="22">
        <v>5.1700077019631863E-3</v>
      </c>
      <c r="AH44" s="16">
        <v>9.1189360246062279E-3</v>
      </c>
      <c r="AI44" s="18">
        <v>7.5705260969698429E-3</v>
      </c>
      <c r="AJ44" s="12">
        <v>1.9946468528360128E-3</v>
      </c>
      <c r="AK44" s="14">
        <v>1.6888329992070794E-3</v>
      </c>
      <c r="AL44"/>
      <c r="AM44"/>
      <c r="AN44"/>
      <c r="AO44" s="12">
        <v>2.394228707998991E-3</v>
      </c>
      <c r="AP44"/>
      <c r="AQ44" s="12">
        <v>2.5957191828638315E-3</v>
      </c>
      <c r="AR44" s="23">
        <v>3.175392048433423E-3</v>
      </c>
      <c r="AS44" s="12">
        <v>2.2926435340195894E-3</v>
      </c>
      <c r="AT44" s="22">
        <v>5.1046521402895451E-3</v>
      </c>
      <c r="AU44"/>
      <c r="AV44"/>
      <c r="AW44"/>
      <c r="AX44"/>
      <c r="AY44" s="11">
        <v>9.6445401140954345E-5</v>
      </c>
      <c r="AZ44"/>
      <c r="BA44" s="11">
        <v>1.4607685443479568E-4</v>
      </c>
      <c r="BB44" s="11">
        <v>1.3172944818506949E-5</v>
      </c>
      <c r="BC44" s="11">
        <v>8.9117675088346004E-5</v>
      </c>
      <c r="BD44" s="22">
        <v>4.6521816402673721E-3</v>
      </c>
      <c r="BE44" s="19">
        <v>1.0742588900029659E-2</v>
      </c>
      <c r="BF44"/>
      <c r="BG44"/>
      <c r="BH44"/>
      <c r="BI44"/>
      <c r="BJ44" s="15">
        <v>5.3730076178908348E-3</v>
      </c>
      <c r="BK44" s="21">
        <v>1.1988192796707153E-2</v>
      </c>
      <c r="BL44" s="12">
        <v>2.9106028378009796E-3</v>
      </c>
      <c r="BM44" s="14">
        <v>1.5127743827179074E-3</v>
      </c>
      <c r="BN44" s="18">
        <v>6.6802036017179489E-3</v>
      </c>
      <c r="BO44" s="11">
        <v>4.1346150101162493E-4</v>
      </c>
      <c r="BP44" s="12">
        <v>2.2461821790784597E-3</v>
      </c>
      <c r="BQ44" s="26">
        <v>1.5694765374064445E-2</v>
      </c>
      <c r="BR44" s="18">
        <v>6.7151659168303013E-3</v>
      </c>
      <c r="BS44" s="22">
        <v>5.1941475830972195E-3</v>
      </c>
      <c r="BT44" s="23">
        <v>3.5103145055472851E-3</v>
      </c>
      <c r="BU44" s="15">
        <v>5.9340796433389187E-3</v>
      </c>
      <c r="BV44" s="14">
        <v>6.1203399673104286E-4</v>
      </c>
      <c r="BW44" s="14">
        <v>8.4755587158724666E-4</v>
      </c>
      <c r="BX44"/>
      <c r="BY44"/>
      <c r="BZ44" s="17">
        <v>8.5061583667993546E-3</v>
      </c>
      <c r="CA44"/>
      <c r="CB44" s="14">
        <v>8.6549215484410524E-4</v>
      </c>
      <c r="CC44"/>
      <c r="CD44"/>
      <c r="CE44"/>
      <c r="CF44"/>
      <c r="CG44" s="22">
        <v>5.019661970436573E-3</v>
      </c>
      <c r="CH44"/>
      <c r="CI44"/>
      <c r="CJ44"/>
      <c r="CK44"/>
      <c r="CL44"/>
      <c r="CM44"/>
      <c r="CN44" s="11">
        <v>3.2163574360311031E-4</v>
      </c>
      <c r="CO44"/>
      <c r="CP44"/>
      <c r="CQ44" s="22">
        <v>4.980787169188261E-3</v>
      </c>
      <c r="CR44" s="22">
        <v>4.2414180934429169E-3</v>
      </c>
      <c r="CS44"/>
      <c r="CT44"/>
      <c r="CU44"/>
      <c r="CV44"/>
      <c r="CW44"/>
      <c r="CX44"/>
      <c r="CY44"/>
      <c r="CZ44"/>
      <c r="DA44"/>
      <c r="DB44"/>
      <c r="DC44" s="14">
        <v>1.5031479997560382E-3</v>
      </c>
      <c r="DD44"/>
      <c r="DE44" s="14">
        <v>9.3200168339535594E-4</v>
      </c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0.60000002384185791</v>
      </c>
      <c r="C45">
        <v>3.008648194372654E-2</v>
      </c>
      <c r="D45" s="15">
        <v>5.4090018384158611E-3</v>
      </c>
      <c r="E45"/>
      <c r="F45" s="15">
        <v>5.4090018384158611E-3</v>
      </c>
      <c r="G45" s="15">
        <v>5.4090018384158611E-3</v>
      </c>
      <c r="H45" s="15">
        <v>5.4090018384158611E-3</v>
      </c>
      <c r="I45" s="15">
        <v>5.4090018384158611E-3</v>
      </c>
      <c r="J45"/>
      <c r="K45"/>
      <c r="L45"/>
      <c r="M45" s="14">
        <v>1.4232860412448645E-3</v>
      </c>
      <c r="N45"/>
      <c r="O45"/>
      <c r="P45"/>
      <c r="Q45" s="14">
        <v>7.0820923428982496E-4</v>
      </c>
      <c r="R45"/>
      <c r="S45"/>
      <c r="T45"/>
      <c r="U45"/>
      <c r="V45"/>
      <c r="W45"/>
      <c r="X45"/>
      <c r="Y45"/>
      <c r="Z45"/>
      <c r="AA45"/>
      <c r="AB45"/>
      <c r="AC45"/>
      <c r="AD45" s="343">
        <v>9.2130780220031738E-2</v>
      </c>
      <c r="AE45" s="147">
        <v>1.7719574272632599E-2</v>
      </c>
      <c r="AF45" s="23">
        <v>3.7713130004703999E-3</v>
      </c>
      <c r="AG45" s="300">
        <v>2.6643859222531319E-2</v>
      </c>
      <c r="AH45" s="26">
        <v>1.5664944425225258E-2</v>
      </c>
      <c r="AI45" s="25">
        <v>1.9012024626135826E-2</v>
      </c>
      <c r="AJ45" s="22">
        <v>4.4499998912215233E-3</v>
      </c>
      <c r="AK45" s="15">
        <v>5.6089055724442005E-3</v>
      </c>
      <c r="AL45"/>
      <c r="AM45"/>
      <c r="AN45"/>
      <c r="AO45"/>
      <c r="AP45"/>
      <c r="AQ45" s="11">
        <v>2.08089011721313E-4</v>
      </c>
      <c r="AR45"/>
      <c r="AS45"/>
      <c r="AT45"/>
      <c r="AU45"/>
      <c r="AV45"/>
      <c r="AW45"/>
      <c r="AX45"/>
      <c r="AY45"/>
      <c r="AZ45"/>
      <c r="BA45"/>
      <c r="BB45"/>
      <c r="BC45" s="11">
        <v>4.2525167373241857E-5</v>
      </c>
      <c r="BD45" s="11">
        <v>8.3334110968280584E-5</v>
      </c>
      <c r="BE45" s="11">
        <v>8.5022526036482304E-5</v>
      </c>
      <c r="BF45"/>
      <c r="BG45"/>
      <c r="BH45"/>
      <c r="BI45"/>
      <c r="BJ45" s="369">
        <v>0.14200012385845184</v>
      </c>
      <c r="BK45" s="19">
        <v>1.0296945460140705E-2</v>
      </c>
      <c r="BL45" s="298">
        <v>4.9999874085187912E-2</v>
      </c>
      <c r="BM45" s="319">
        <v>6.0810018330812454E-2</v>
      </c>
      <c r="BN45"/>
      <c r="BO45" s="14">
        <v>7.1026396472007036E-4</v>
      </c>
      <c r="BP45" s="23">
        <v>3.6419054958969355E-3</v>
      </c>
      <c r="BQ45" s="147">
        <v>1.7394265159964561E-2</v>
      </c>
      <c r="BR45" s="26">
        <v>1.4981342479586601E-2</v>
      </c>
      <c r="BS45" s="313">
        <v>2.9742512851953506E-2</v>
      </c>
      <c r="BT45" s="15">
        <v>6.0301860794425011E-3</v>
      </c>
      <c r="BU45" s="22">
        <v>5.0969249568879604E-3</v>
      </c>
      <c r="BV45"/>
      <c r="BW45"/>
      <c r="BX45"/>
      <c r="BY45"/>
      <c r="BZ45" s="294">
        <v>1.4612255617976189E-2</v>
      </c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1.2000000476837158</v>
      </c>
      <c r="C46">
        <v>0.16027472913265228</v>
      </c>
      <c r="D46" s="11">
        <v>4.4492550659924746E-4</v>
      </c>
      <c r="E46"/>
      <c r="F46" s="11">
        <v>4.4492550659924746E-4</v>
      </c>
      <c r="G46" s="11">
        <v>4.4492550659924746E-4</v>
      </c>
      <c r="H46" s="11">
        <v>4.4492550659924746E-4</v>
      </c>
      <c r="I46" s="11">
        <v>4.4492550659924746E-4</v>
      </c>
      <c r="J46"/>
      <c r="K46"/>
      <c r="L46"/>
      <c r="M46" s="11">
        <v>1.1757781612686813E-4</v>
      </c>
      <c r="N46"/>
      <c r="O46"/>
      <c r="P46"/>
      <c r="Q46" s="11">
        <v>5.5114674614742398E-4</v>
      </c>
      <c r="R46"/>
      <c r="S46"/>
      <c r="T46"/>
      <c r="U46"/>
      <c r="V46"/>
      <c r="W46"/>
      <c r="X46"/>
      <c r="Y46"/>
      <c r="Z46"/>
      <c r="AA46"/>
      <c r="AB46"/>
      <c r="AC46"/>
      <c r="AD46" s="294">
        <v>2.8679408133029938E-2</v>
      </c>
      <c r="AE46" s="331">
        <v>0.1253495067358017</v>
      </c>
      <c r="AF46" s="21">
        <v>2.3926684632897377E-2</v>
      </c>
      <c r="AG46" s="68">
        <v>7.4946559965610504E-2</v>
      </c>
      <c r="AH46" s="15">
        <v>1.1703227646648884E-2</v>
      </c>
      <c r="AI46" s="22">
        <v>1.0100589133799076E-2</v>
      </c>
      <c r="AJ46" s="24">
        <v>3.3495131880044937E-2</v>
      </c>
      <c r="AK46" s="68">
        <v>7.5258508324623108E-2</v>
      </c>
      <c r="AL46"/>
      <c r="AM46"/>
      <c r="AN46" s="331">
        <v>0.12474410235881805</v>
      </c>
      <c r="AO46" s="11">
        <v>6.3271238468587399E-4</v>
      </c>
      <c r="AP46"/>
      <c r="AQ46"/>
      <c r="AR46" s="14">
        <v>1.8664818489924073E-3</v>
      </c>
      <c r="AS46"/>
      <c r="AT46" s="12">
        <v>3.9169308729469776E-3</v>
      </c>
      <c r="AU46"/>
      <c r="AV46"/>
      <c r="AW46"/>
      <c r="AX46"/>
      <c r="AY46"/>
      <c r="AZ46"/>
      <c r="BA46" s="23">
        <v>6.5095443278551102E-3</v>
      </c>
      <c r="BB46" s="18">
        <v>1.3031810522079468E-2</v>
      </c>
      <c r="BC46"/>
      <c r="BD46" s="11">
        <v>8.4308546502143145E-4</v>
      </c>
      <c r="BE46" s="14">
        <v>1.3233337085694075E-3</v>
      </c>
      <c r="BF46"/>
      <c r="BG46"/>
      <c r="BH46"/>
      <c r="BI46"/>
      <c r="BJ46" s="69">
        <v>0.11050812155008316</v>
      </c>
      <c r="BK46" s="15">
        <v>1.121873501688242E-2</v>
      </c>
      <c r="BL46" s="78">
        <v>7.7822357416152954E-2</v>
      </c>
      <c r="BM46" s="319">
        <v>0.12134372442960739</v>
      </c>
      <c r="BN46" s="12">
        <v>3.5722334869205952E-3</v>
      </c>
      <c r="BO46" s="12">
        <v>4.4219642877578735E-3</v>
      </c>
      <c r="BP46"/>
      <c r="BQ46" s="18">
        <v>1.3536714948713779E-2</v>
      </c>
      <c r="BR46" s="21">
        <v>2.3317726328969002E-2</v>
      </c>
      <c r="BS46" s="299">
        <v>4.6292763203382492E-2</v>
      </c>
      <c r="BT46" s="11">
        <v>4.2235602450091392E-5</v>
      </c>
      <c r="BU46" s="311">
        <v>6.3861556351184845E-2</v>
      </c>
      <c r="BV46" s="11">
        <v>1.5585018263664097E-4</v>
      </c>
      <c r="BW46" s="11">
        <v>1.8129200907424092E-4</v>
      </c>
      <c r="BX46"/>
      <c r="BY46"/>
      <c r="BZ46" s="21">
        <v>2.2743307054042816E-2</v>
      </c>
      <c r="CA46"/>
      <c r="CB46"/>
      <c r="CC46"/>
      <c r="CD46"/>
      <c r="CE46"/>
      <c r="CF46"/>
      <c r="CG46" s="14">
        <v>1.1842314852401614E-3</v>
      </c>
      <c r="CH46"/>
      <c r="CI46"/>
      <c r="CJ46"/>
      <c r="CK46"/>
      <c r="CL46"/>
      <c r="CM46"/>
      <c r="CN46" s="11">
        <v>7.5013158493675292E-5</v>
      </c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 s="11">
        <v>2.2653958876617253E-4</v>
      </c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2.5</v>
      </c>
      <c r="C47">
        <v>7.085457444190979E-2</v>
      </c>
      <c r="D47" s="22">
        <v>1.7259323969483376E-2</v>
      </c>
      <c r="E47"/>
      <c r="F47" s="22">
        <v>1.7259323969483376E-2</v>
      </c>
      <c r="G47" s="22">
        <v>1.7259323969483376E-2</v>
      </c>
      <c r="H47" s="22">
        <v>1.7259323969483376E-2</v>
      </c>
      <c r="I47" s="22">
        <v>1.7259323969483376E-2</v>
      </c>
      <c r="J47"/>
      <c r="K47"/>
      <c r="L47"/>
      <c r="M47" s="14">
        <v>4.5430315658450127E-3</v>
      </c>
      <c r="N47"/>
      <c r="O47"/>
      <c r="P47"/>
      <c r="Q47" s="14">
        <v>3.1475967261940241E-3</v>
      </c>
      <c r="R47"/>
      <c r="S47"/>
      <c r="T47"/>
      <c r="U47"/>
      <c r="V47"/>
      <c r="W47"/>
      <c r="X47"/>
      <c r="Y47"/>
      <c r="Z47"/>
      <c r="AA47"/>
      <c r="AB47"/>
      <c r="AC47"/>
      <c r="AD47" s="353">
        <v>0.24568206071853638</v>
      </c>
      <c r="AE47" s="23">
        <v>1.2403701432049274E-2</v>
      </c>
      <c r="AF47" s="12">
        <v>8.380696177482605E-3</v>
      </c>
      <c r="AG47" s="297">
        <v>8.4498964250087738E-2</v>
      </c>
      <c r="AH47" s="65">
        <v>5.6045696139335632E-2</v>
      </c>
      <c r="AI47" s="19">
        <v>4.5084036886692047E-2</v>
      </c>
      <c r="AJ47" s="65">
        <v>5.2173774689435959E-2</v>
      </c>
      <c r="AK47" s="68">
        <v>0.15537314116954803</v>
      </c>
      <c r="AL47" s="15">
        <v>2.5436831638216972E-2</v>
      </c>
      <c r="AM47"/>
      <c r="AN47"/>
      <c r="AO47" s="11">
        <v>2.1255470346659422E-3</v>
      </c>
      <c r="AP47"/>
      <c r="AQ47" s="12">
        <v>8.2059735432267189E-3</v>
      </c>
      <c r="AR47" s="11">
        <v>1.4748038956895471E-3</v>
      </c>
      <c r="AS47" s="11">
        <v>7.0400227559730411E-4</v>
      </c>
      <c r="AT47" s="11">
        <v>1.7336421879008412E-3</v>
      </c>
      <c r="AU47"/>
      <c r="AV47"/>
      <c r="AW47"/>
      <c r="AX47"/>
      <c r="AY47" s="11">
        <v>1.0519271017983556E-4</v>
      </c>
      <c r="AZ47" s="11">
        <v>1.1748832184821367E-3</v>
      </c>
      <c r="BA47"/>
      <c r="BB47"/>
      <c r="BC47" s="14">
        <v>5.9913233853876591E-3</v>
      </c>
      <c r="BD47" s="12">
        <v>7.4074771255254745E-3</v>
      </c>
      <c r="BE47" s="11">
        <v>1.8516011768952012E-3</v>
      </c>
      <c r="BF47"/>
      <c r="BG47"/>
      <c r="BH47"/>
      <c r="BI47"/>
      <c r="BJ47" s="370">
        <v>0.66266733407974243</v>
      </c>
      <c r="BK47" s="19">
        <v>4.5764204114675522E-2</v>
      </c>
      <c r="BL47" s="365">
        <v>0.44444334506988525</v>
      </c>
      <c r="BM47" s="15">
        <v>2.309972420334816E-2</v>
      </c>
      <c r="BN47" s="315">
        <v>0.17970898747444153</v>
      </c>
      <c r="BO47" s="11">
        <v>1.5783644048497081E-3</v>
      </c>
      <c r="BP47" s="23">
        <v>1.4640461653470993E-2</v>
      </c>
      <c r="BQ47" s="12">
        <v>8.8904378935694695E-3</v>
      </c>
      <c r="BR47" s="65">
        <v>5.2601374685764313E-2</v>
      </c>
      <c r="BS47" s="28">
        <v>8.5922829806804657E-2</v>
      </c>
      <c r="BT47" s="19">
        <v>4.5561406761407852E-2</v>
      </c>
      <c r="BU47"/>
      <c r="BV47"/>
      <c r="BW47"/>
      <c r="BX47"/>
      <c r="BY47"/>
      <c r="BZ47" s="19">
        <v>4.5850101858377457E-2</v>
      </c>
      <c r="CA47"/>
      <c r="CB47" s="14">
        <v>6.9750356487929821E-3</v>
      </c>
      <c r="CC47" s="11">
        <v>5.8392458595335484E-4</v>
      </c>
      <c r="CD47"/>
      <c r="CE47"/>
      <c r="CF47"/>
      <c r="CG47"/>
      <c r="CH47"/>
      <c r="CI47"/>
      <c r="CJ47"/>
      <c r="CK47"/>
      <c r="CL47"/>
      <c r="CM47"/>
      <c r="CN47" s="11">
        <v>1.0174501221626997E-3</v>
      </c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3</v>
      </c>
      <c r="C48">
        <v>0.60553872585296631</v>
      </c>
      <c r="D48" s="11">
        <v>6.4061535522341728E-4</v>
      </c>
      <c r="E48"/>
      <c r="F48" s="11">
        <v>6.4061535522341728E-4</v>
      </c>
      <c r="G48" s="11">
        <v>6.4061535522341728E-4</v>
      </c>
      <c r="H48" s="11">
        <v>6.4061535522341728E-4</v>
      </c>
      <c r="I48" s="11">
        <v>6.4061535522341728E-4</v>
      </c>
      <c r="J48"/>
      <c r="K48"/>
      <c r="L48"/>
      <c r="M48" s="11">
        <v>1.7023331020027399E-4</v>
      </c>
      <c r="N48"/>
      <c r="O48"/>
      <c r="P48"/>
      <c r="Q48" s="11">
        <v>1.3439478352665901E-3</v>
      </c>
      <c r="R48"/>
      <c r="S48"/>
      <c r="T48"/>
      <c r="U48"/>
      <c r="V48"/>
      <c r="W48"/>
      <c r="X48"/>
      <c r="Y48"/>
      <c r="Z48"/>
      <c r="AA48"/>
      <c r="AB48"/>
      <c r="AC48"/>
      <c r="AD48" s="29">
        <v>0.13986703753471375</v>
      </c>
      <c r="AE48" s="21">
        <v>6.0527808964252472E-2</v>
      </c>
      <c r="AF48" s="17">
        <v>4.0895469486713409E-2</v>
      </c>
      <c r="AG48" s="297">
        <v>0.10112249851226807</v>
      </c>
      <c r="AH48" s="69">
        <v>0.27883234620094299</v>
      </c>
      <c r="AI48" s="68">
        <v>0.18538603186607361</v>
      </c>
      <c r="AJ48" s="19">
        <v>5.0667781382799149E-2</v>
      </c>
      <c r="AK48" s="16">
        <v>4.6025477349758148E-2</v>
      </c>
      <c r="AL48"/>
      <c r="AM48"/>
      <c r="AN48"/>
      <c r="AO48"/>
      <c r="AP48"/>
      <c r="AQ48" s="14">
        <v>7.663011085242033E-3</v>
      </c>
      <c r="AR48"/>
      <c r="AS48"/>
      <c r="AT48"/>
      <c r="AU48"/>
      <c r="AV48"/>
      <c r="AW48"/>
      <c r="AX48"/>
      <c r="AY48"/>
      <c r="AZ48"/>
      <c r="BA48" s="15">
        <v>2.8571873903274536E-2</v>
      </c>
      <c r="BB48" s="11">
        <v>1.0821553878486156E-3</v>
      </c>
      <c r="BC48" s="14">
        <v>4.8428927548229694E-3</v>
      </c>
      <c r="BD48" s="14">
        <v>5.693062674254179E-3</v>
      </c>
      <c r="BE48" s="14">
        <v>6.6002877429127693E-3</v>
      </c>
      <c r="BF48"/>
      <c r="BG48"/>
      <c r="BH48"/>
      <c r="BI48"/>
      <c r="BJ48" s="300">
        <v>0.13473467528820038</v>
      </c>
      <c r="BK48" s="141">
        <v>0.39080402255058289</v>
      </c>
      <c r="BL48" s="68">
        <v>0.18976651132106781</v>
      </c>
      <c r="BM48" s="111">
        <v>0.19726100564002991</v>
      </c>
      <c r="BN48" s="297">
        <v>0.10247929394245148</v>
      </c>
      <c r="BO48" s="300">
        <v>0.13478465378284454</v>
      </c>
      <c r="BP48" s="22">
        <v>2.0733403041958809E-2</v>
      </c>
      <c r="BQ48" s="18">
        <v>3.4857053309679031E-2</v>
      </c>
      <c r="BR48" s="21">
        <v>5.6859284639358521E-2</v>
      </c>
      <c r="BS48" s="19">
        <v>5.0797324627637863E-2</v>
      </c>
      <c r="BT48" s="18">
        <v>3.4329906105995178E-2</v>
      </c>
      <c r="BU48" s="14">
        <v>6.9640418514609337E-3</v>
      </c>
      <c r="BV48" s="11">
        <v>1.0260868584737182E-3</v>
      </c>
      <c r="BW48" s="11">
        <v>6.6311092814430594E-4</v>
      </c>
      <c r="BX48"/>
      <c r="BY48"/>
      <c r="BZ48" s="21">
        <v>5.5902145802974701E-2</v>
      </c>
      <c r="CA48" s="14">
        <v>5.4291519336402416E-3</v>
      </c>
      <c r="CB48" s="11">
        <v>2.2571398876607418E-3</v>
      </c>
      <c r="CC48" s="14">
        <v>5.6845373474061489E-3</v>
      </c>
      <c r="CD48"/>
      <c r="CE48"/>
      <c r="CF48"/>
      <c r="CG48" s="14">
        <v>4.0427772328257561E-3</v>
      </c>
      <c r="CH48"/>
      <c r="CI48"/>
      <c r="CJ48"/>
      <c r="CK48"/>
      <c r="CL48"/>
      <c r="CM48"/>
      <c r="CN48" s="11">
        <v>6.0166430193930864E-4</v>
      </c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 s="11">
        <v>1.9886661320924759E-3</v>
      </c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0.60000002384185791</v>
      </c>
      <c r="C49">
        <v>3.6099709570407867E-2</v>
      </c>
      <c r="D49" s="24">
        <v>1.695345900952816E-2</v>
      </c>
      <c r="E49"/>
      <c r="F49"/>
      <c r="G49"/>
      <c r="H49" s="24">
        <v>1.695345900952816E-2</v>
      </c>
      <c r="I49" s="24">
        <v>1.695345900952816E-2</v>
      </c>
      <c r="J49"/>
      <c r="K49"/>
      <c r="L49"/>
      <c r="M49" s="22">
        <v>4.490983672440052E-3</v>
      </c>
      <c r="N49"/>
      <c r="O49"/>
      <c r="P49"/>
      <c r="Q49" s="15">
        <v>6.3154436647891998E-3</v>
      </c>
      <c r="R49"/>
      <c r="S49"/>
      <c r="T49"/>
      <c r="U49"/>
      <c r="V49" s="18">
        <v>6.902710534632206E-3</v>
      </c>
      <c r="W49"/>
      <c r="X49"/>
      <c r="Y49"/>
      <c r="Z49"/>
      <c r="AA49"/>
      <c r="AB49"/>
      <c r="AC49"/>
      <c r="AD49" s="331">
        <v>6.2063653022050858E-2</v>
      </c>
      <c r="AE49" s="14">
        <v>1.4920936664566398E-3</v>
      </c>
      <c r="AF49" s="14">
        <v>6.0488923918455839E-4</v>
      </c>
      <c r="AG49" s="294">
        <v>1.3854332268238068E-2</v>
      </c>
      <c r="AH49" s="23">
        <v>3.9572436362504959E-3</v>
      </c>
      <c r="AI49" s="22">
        <v>4.3803867883980274E-3</v>
      </c>
      <c r="AJ49" s="28">
        <v>2.0984113216400146E-2</v>
      </c>
      <c r="AK49"/>
      <c r="AL49"/>
      <c r="AM49"/>
      <c r="AN49"/>
      <c r="AO49" s="11">
        <v>1.2081354361725971E-4</v>
      </c>
      <c r="AP49"/>
      <c r="AQ49" s="12">
        <v>1.8022962613031268E-3</v>
      </c>
      <c r="AR49" s="11">
        <v>5.5330938266706653E-6</v>
      </c>
      <c r="AS49" s="14">
        <v>6.062840111553669E-4</v>
      </c>
      <c r="AT49" s="11">
        <v>4.2382158426335081E-5</v>
      </c>
      <c r="AU49" s="11">
        <v>2.8293189825490117E-4</v>
      </c>
      <c r="AV49"/>
      <c r="AW49"/>
      <c r="AX49"/>
      <c r="AY49" s="11">
        <v>7.972063758643344E-5</v>
      </c>
      <c r="AZ49"/>
      <c r="BA49"/>
      <c r="BB49"/>
      <c r="BC49" s="14">
        <v>7.1617413777858019E-4</v>
      </c>
      <c r="BD49" s="11">
        <v>1.4034449122846127E-4</v>
      </c>
      <c r="BE49" s="11">
        <v>1.4318796456791461E-4</v>
      </c>
      <c r="BF49"/>
      <c r="BG49"/>
      <c r="BH49"/>
      <c r="BI49"/>
      <c r="BJ49" s="338">
        <v>0.11957252025604248</v>
      </c>
      <c r="BK49" s="14">
        <v>8.6706719594076276E-4</v>
      </c>
      <c r="BL49" s="17">
        <v>8.4205456078052521E-3</v>
      </c>
      <c r="BM49"/>
      <c r="BN49"/>
      <c r="BO49"/>
      <c r="BP49" s="12">
        <v>2.4533600080758333E-3</v>
      </c>
      <c r="BQ49" s="14">
        <v>1.1717644520103931E-3</v>
      </c>
      <c r="BR49" s="12">
        <v>2.5230352766811848E-3</v>
      </c>
      <c r="BS49"/>
      <c r="BT49" s="12">
        <v>2.0311090629547834E-3</v>
      </c>
      <c r="BU49"/>
      <c r="BV49"/>
      <c r="BW49"/>
      <c r="BX49"/>
      <c r="BY49"/>
      <c r="BZ49" s="350">
        <v>0.24608767032623291</v>
      </c>
      <c r="CA49"/>
      <c r="CB49" s="14">
        <v>9.27377725020051E-4</v>
      </c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0.92000001668930054</v>
      </c>
      <c r="C50">
        <v>0.52423185110092163</v>
      </c>
      <c r="D50" s="14">
        <v>1.3765341136604548E-3</v>
      </c>
      <c r="E50"/>
      <c r="F50"/>
      <c r="G50"/>
      <c r="H50" s="14">
        <v>1.3765341136604548E-3</v>
      </c>
      <c r="I50" s="14">
        <v>1.3765341136604548E-3</v>
      </c>
      <c r="J50"/>
      <c r="K50"/>
      <c r="L50"/>
      <c r="M50" s="11">
        <v>3.5827566171064973E-4</v>
      </c>
      <c r="N50"/>
      <c r="O50"/>
      <c r="P50"/>
      <c r="Q50" s="14">
        <v>1.0606858413666487E-3</v>
      </c>
      <c r="R50"/>
      <c r="S50"/>
      <c r="T50"/>
      <c r="U50"/>
      <c r="V50"/>
      <c r="W50" s="19">
        <v>1.7109863460063934E-2</v>
      </c>
      <c r="X50"/>
      <c r="Y50"/>
      <c r="Z50"/>
      <c r="AA50"/>
      <c r="AB50"/>
      <c r="AC50"/>
      <c r="AD50"/>
      <c r="AE50"/>
      <c r="AF50"/>
      <c r="AG50" s="12">
        <v>3.6195435095578432E-3</v>
      </c>
      <c r="AH50" s="12">
        <v>3.9877407252788544E-3</v>
      </c>
      <c r="AI50"/>
      <c r="AJ50" s="12">
        <v>3.2725692726671696E-3</v>
      </c>
      <c r="AK50" s="22">
        <v>6.5647303126752377E-3</v>
      </c>
      <c r="AL50"/>
      <c r="AM50"/>
      <c r="AN50"/>
      <c r="AO50"/>
      <c r="AP50"/>
      <c r="AQ50"/>
      <c r="AR50"/>
      <c r="AS50"/>
      <c r="AT50" s="11">
        <v>1.4236262359190732E-5</v>
      </c>
      <c r="AU50"/>
      <c r="AV50"/>
      <c r="AW50"/>
      <c r="AX50"/>
      <c r="AY50"/>
      <c r="AZ50"/>
      <c r="BA50" s="14">
        <v>1.4195529511198401E-3</v>
      </c>
      <c r="BB50" s="11">
        <v>1.2801270349882543E-4</v>
      </c>
      <c r="BC50"/>
      <c r="BD50"/>
      <c r="BE50" s="12">
        <v>2.7415377553552389E-3</v>
      </c>
      <c r="BF50"/>
      <c r="BG50"/>
      <c r="BH50"/>
      <c r="BI50"/>
      <c r="BJ50" s="12">
        <v>4.0164673700928688E-3</v>
      </c>
      <c r="BK50" s="23">
        <v>5.8249724097549915E-3</v>
      </c>
      <c r="BL50" s="25">
        <v>2.8284803032875061E-2</v>
      </c>
      <c r="BM50" s="16">
        <v>1.4700914733111858E-2</v>
      </c>
      <c r="BN50" s="72">
        <v>6.4917214214801788E-2</v>
      </c>
      <c r="BO50" s="12">
        <v>4.0179570205509663E-3</v>
      </c>
      <c r="BP50"/>
      <c r="BQ50"/>
      <c r="BR50" s="359">
        <v>0.16949865221977234</v>
      </c>
      <c r="BS50" s="24">
        <v>2.5238070636987686E-2</v>
      </c>
      <c r="BT50" s="14">
        <v>1.7056353390216827E-3</v>
      </c>
      <c r="BU50" s="14">
        <v>1.4416627818718553E-3</v>
      </c>
      <c r="BV50" s="23">
        <v>5.9476546011865139E-3</v>
      </c>
      <c r="BW50" s="11">
        <v>8.2364206900820136E-4</v>
      </c>
      <c r="BX50"/>
      <c r="BY50"/>
      <c r="BZ50"/>
      <c r="CA50"/>
      <c r="CB50"/>
      <c r="CC50"/>
      <c r="CD50"/>
      <c r="CE50"/>
      <c r="CF50"/>
      <c r="CG50" s="22">
        <v>7.1735852397978306E-3</v>
      </c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 s="15">
        <v>9.5369452610611916E-3</v>
      </c>
      <c r="DE50" s="15">
        <v>8.2336850464344025E-3</v>
      </c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>
        <v>1.6000000238418579</v>
      </c>
      <c r="C51">
        <v>5.1588155329227448E-2</v>
      </c>
      <c r="D51" s="15">
        <v>1.6685714945197105E-2</v>
      </c>
      <c r="E51"/>
      <c r="F51"/>
      <c r="G51"/>
      <c r="H51" s="15">
        <v>1.6685714945197105E-2</v>
      </c>
      <c r="I51" s="15">
        <v>1.6685714945197105E-2</v>
      </c>
      <c r="J51"/>
      <c r="K51"/>
      <c r="L51"/>
      <c r="M51" s="14">
        <v>4.3999999761581421E-3</v>
      </c>
      <c r="N51"/>
      <c r="O51"/>
      <c r="P51"/>
      <c r="Q51"/>
      <c r="R51"/>
      <c r="S51"/>
      <c r="T51" s="12">
        <v>7.3625487275421619E-3</v>
      </c>
      <c r="U51"/>
      <c r="V51" s="147">
        <v>4.6842392534017563E-2</v>
      </c>
      <c r="W51"/>
      <c r="X51"/>
      <c r="Y51"/>
      <c r="Z51"/>
      <c r="AA51"/>
      <c r="AB51"/>
      <c r="AC51"/>
      <c r="AD51" s="311">
        <v>8.4233857691287994E-2</v>
      </c>
      <c r="AE51" s="65">
        <v>3.3414054661989212E-2</v>
      </c>
      <c r="AF51" s="18">
        <v>1.898484118282795E-2</v>
      </c>
      <c r="AG51" s="19">
        <v>2.8779556974768639E-2</v>
      </c>
      <c r="AH51" s="297">
        <v>5.249994620680809E-2</v>
      </c>
      <c r="AI51" s="17">
        <v>2.3037448525428772E-2</v>
      </c>
      <c r="AJ51" s="360">
        <v>0.20342856645584106</v>
      </c>
      <c r="AK51" s="331">
        <v>0.1657804548740387</v>
      </c>
      <c r="AL51" s="17">
        <v>2.1045269444584846E-2</v>
      </c>
      <c r="AM51"/>
      <c r="AN51"/>
      <c r="AO51" s="11">
        <v>8.1985117867588997E-4</v>
      </c>
      <c r="AP51"/>
      <c r="AQ51" s="11">
        <v>9.6825096989050508E-4</v>
      </c>
      <c r="AR51" s="14">
        <v>1.8774025375023484E-3</v>
      </c>
      <c r="AS51" s="11">
        <v>2.0571477944031358E-4</v>
      </c>
      <c r="AT51" s="11">
        <v>4.3141352944076061E-4</v>
      </c>
      <c r="AU51"/>
      <c r="AV51"/>
      <c r="AW51"/>
      <c r="AX51"/>
      <c r="AY51" s="11">
        <v>2.7049554773839191E-5</v>
      </c>
      <c r="AZ51" s="14">
        <v>3.5805965308099985E-3</v>
      </c>
      <c r="BA51"/>
      <c r="BB51"/>
      <c r="BC51" s="11">
        <v>7.0470280479639769E-4</v>
      </c>
      <c r="BD51" s="11">
        <v>1.1428679572418332E-3</v>
      </c>
      <c r="BE51" s="11">
        <v>1.1174388928338885E-3</v>
      </c>
      <c r="BF51"/>
      <c r="BG51"/>
      <c r="BH51"/>
      <c r="BI51"/>
      <c r="BJ51" s="27">
        <v>0.12171439826488495</v>
      </c>
      <c r="BK51" s="339">
        <v>0.11767983436584473</v>
      </c>
      <c r="BL51" s="28">
        <v>5.7142719626426697E-2</v>
      </c>
      <c r="BM51" s="14">
        <v>2.6729675009846687E-3</v>
      </c>
      <c r="BN51"/>
      <c r="BO51" s="14">
        <v>4.0586511604487896E-3</v>
      </c>
      <c r="BP51" s="23">
        <v>9.052736684679985E-3</v>
      </c>
      <c r="BQ51" s="18">
        <v>1.9879242405295372E-2</v>
      </c>
      <c r="BR51" s="311">
        <v>8.5607670247554779E-2</v>
      </c>
      <c r="BS51" s="24">
        <v>4.2489305138587952E-2</v>
      </c>
      <c r="BT51" s="18">
        <v>1.8952012062072754E-2</v>
      </c>
      <c r="BU51"/>
      <c r="BV51"/>
      <c r="BW51"/>
      <c r="BX51"/>
      <c r="BY51"/>
      <c r="BZ51" s="357">
        <v>0.30067849159240723</v>
      </c>
      <c r="CA51"/>
      <c r="CB51" s="15">
        <v>1.6991816461086273E-2</v>
      </c>
      <c r="CC51" s="11">
        <v>7.5076019857078791E-4</v>
      </c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>
        <v>2.5680000782012939</v>
      </c>
      <c r="C52">
        <v>0.24866636097431183</v>
      </c>
      <c r="D52" s="14">
        <v>2.6007287669926882E-3</v>
      </c>
      <c r="E52"/>
      <c r="F52"/>
      <c r="G52"/>
      <c r="H52" s="14">
        <v>2.6007287669926882E-3</v>
      </c>
      <c r="I52" s="14">
        <v>2.6007287669926882E-3</v>
      </c>
      <c r="J52"/>
      <c r="K52"/>
      <c r="L52"/>
      <c r="M52" s="11">
        <v>7.0436403620988131E-4</v>
      </c>
      <c r="N52"/>
      <c r="O52"/>
      <c r="P52"/>
      <c r="Q52"/>
      <c r="R52"/>
      <c r="S52"/>
      <c r="T52" s="23">
        <v>1.3962077908217907E-2</v>
      </c>
      <c r="U52"/>
      <c r="V52"/>
      <c r="W52"/>
      <c r="X52"/>
      <c r="Y52"/>
      <c r="Z52"/>
      <c r="AA52"/>
      <c r="AB52"/>
      <c r="AC52"/>
      <c r="AD52"/>
      <c r="AE52"/>
      <c r="AF52"/>
      <c r="AG52" s="14">
        <v>6.9334935396909714E-3</v>
      </c>
      <c r="AH52" s="12">
        <v>7.6388018205761909E-3</v>
      </c>
      <c r="AI52"/>
      <c r="AJ52" s="14">
        <v>6.268839817494154E-3</v>
      </c>
      <c r="AK52" s="12">
        <v>9.4314059242606163E-3</v>
      </c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 s="14">
        <v>2.7192546986043453E-3</v>
      </c>
      <c r="BB52" s="11">
        <v>2.4521743762306869E-4</v>
      </c>
      <c r="BC52"/>
      <c r="BD52"/>
      <c r="BE52"/>
      <c r="BF52"/>
      <c r="BG52"/>
      <c r="BH52"/>
      <c r="BI52"/>
      <c r="BJ52" s="340">
        <v>0.38469147682189941</v>
      </c>
      <c r="BK52" s="354">
        <v>0.22316388785839081</v>
      </c>
      <c r="BL52"/>
      <c r="BM52"/>
      <c r="BN52" s="313">
        <v>0.1243535578250885</v>
      </c>
      <c r="BO52" s="297">
        <v>8.4663517773151398E-2</v>
      </c>
      <c r="BP52" s="299">
        <v>9.8662592470645905E-2</v>
      </c>
      <c r="BQ52"/>
      <c r="BR52" s="306">
        <v>0.40585842728614807</v>
      </c>
      <c r="BS52" s="358">
        <v>0.32230088114738464</v>
      </c>
      <c r="BT52" s="14">
        <v>3.2672660890966654E-3</v>
      </c>
      <c r="BU52" s="15">
        <v>2.4854471907019615E-2</v>
      </c>
      <c r="BV52" s="12">
        <v>1.139315590262413E-2</v>
      </c>
      <c r="BW52" s="23">
        <v>1.5777450054883957E-2</v>
      </c>
      <c r="BX52"/>
      <c r="BY52"/>
      <c r="BZ52" s="148">
        <v>0.15834380686283112</v>
      </c>
      <c r="CA52"/>
      <c r="CB52"/>
      <c r="CC52" s="11">
        <v>1.4237151481211185E-3</v>
      </c>
      <c r="CD52"/>
      <c r="CE52"/>
      <c r="CF52"/>
      <c r="CG52" s="18">
        <v>3.023129515349865E-2</v>
      </c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 s="64">
        <v>0.13990728557109833</v>
      </c>
      <c r="DD52" s="72">
        <v>0.18268696963787079</v>
      </c>
      <c r="DE52" s="21">
        <v>5.2048292011022568E-2</v>
      </c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243</v>
      </c>
      <c r="B53">
        <v>1.1000000238418579</v>
      </c>
      <c r="C53">
        <v>7.2273992002010345E-2</v>
      </c>
      <c r="D53" s="17">
        <v>1.458321139216423E-2</v>
      </c>
      <c r="E53"/>
      <c r="F53" s="17">
        <v>1.458321139216423E-2</v>
      </c>
      <c r="G53" s="17">
        <v>1.458321139216423E-2</v>
      </c>
      <c r="H53" s="17">
        <v>1.458321139216423E-2</v>
      </c>
      <c r="I53" s="17">
        <v>1.458321139216423E-2</v>
      </c>
      <c r="J53" s="12">
        <v>3.3107833005487919E-3</v>
      </c>
      <c r="K53" s="12">
        <v>3.3107833005487919E-3</v>
      </c>
      <c r="L53" s="12">
        <v>3.3107833005487919E-3</v>
      </c>
      <c r="M53" s="12">
        <v>3.842873265966773E-3</v>
      </c>
      <c r="N53" s="14">
        <v>2.6801580097526312E-3</v>
      </c>
      <c r="O53"/>
      <c r="P53"/>
      <c r="Q53"/>
      <c r="R53" s="11">
        <v>8.6710980394855142E-4</v>
      </c>
      <c r="S53"/>
      <c r="T53"/>
      <c r="U53"/>
      <c r="V53"/>
      <c r="W53"/>
      <c r="X53"/>
      <c r="Y53"/>
      <c r="Z53"/>
      <c r="AA53"/>
      <c r="AB53"/>
      <c r="AC53"/>
      <c r="AD53" s="365">
        <v>0.19712501764297485</v>
      </c>
      <c r="AE53" s="28">
        <v>3.9097975939512253E-2</v>
      </c>
      <c r="AF53" s="19">
        <v>2.0413113757967949E-2</v>
      </c>
      <c r="AG53" s="27">
        <v>8.370497077703476E-2</v>
      </c>
      <c r="AH53" s="111">
        <v>7.3716595768928528E-2</v>
      </c>
      <c r="AI53" s="147">
        <v>3.1999677419662476E-2</v>
      </c>
      <c r="AJ53" s="28">
        <v>3.7942446768283844E-2</v>
      </c>
      <c r="AK53"/>
      <c r="AL53"/>
      <c r="AM53" s="18">
        <v>1.2745171785354614E-2</v>
      </c>
      <c r="AN53" s="11">
        <v>7.8980706166476011E-4</v>
      </c>
      <c r="AO53" s="11">
        <v>1.9186250574421138E-4</v>
      </c>
      <c r="AP53" s="11">
        <v>5.5160926422104239E-4</v>
      </c>
      <c r="AQ53" s="14">
        <v>2.5998356286436319E-3</v>
      </c>
      <c r="AR53" s="14">
        <v>1.5548663213849068E-3</v>
      </c>
      <c r="AS53" s="14">
        <v>1.4635062543675303E-3</v>
      </c>
      <c r="AT53" s="11">
        <v>3.3653294667601585E-4</v>
      </c>
      <c r="AU53" s="11">
        <v>1.0698110600060318E-5</v>
      </c>
      <c r="AV53" s="11">
        <v>8.8494554802309722E-5</v>
      </c>
      <c r="AW53"/>
      <c r="AX53" s="11">
        <v>1.008965409710072E-5</v>
      </c>
      <c r="AY53" s="11">
        <v>6.3301675254479051E-5</v>
      </c>
      <c r="AZ53"/>
      <c r="BA53"/>
      <c r="BB53"/>
      <c r="BC53" s="11">
        <v>3.2983068376779556E-4</v>
      </c>
      <c r="BD53" s="11">
        <v>6.6863797837868333E-4</v>
      </c>
      <c r="BE53" s="11">
        <v>6.367060705088079E-4</v>
      </c>
      <c r="BF53" s="11">
        <v>3.6507294862531126E-4</v>
      </c>
      <c r="BG53" s="11">
        <v>8.0211000749841332E-4</v>
      </c>
      <c r="BH53"/>
      <c r="BI53"/>
      <c r="BJ53" s="112">
        <v>0.18989160656929016</v>
      </c>
      <c r="BK53" s="11">
        <v>2.7539463189896196E-5</v>
      </c>
      <c r="BL53" s="18">
        <v>1.3372603803873062E-2</v>
      </c>
      <c r="BM53" s="11">
        <v>1.3900689737056382E-5</v>
      </c>
      <c r="BN53"/>
      <c r="BO53"/>
      <c r="BP53" s="12">
        <v>4.8701879568397999E-3</v>
      </c>
      <c r="BQ53" s="15">
        <v>1.0955842211842537E-2</v>
      </c>
      <c r="BR53" s="296">
        <v>0.14917378127574921</v>
      </c>
      <c r="BS53"/>
      <c r="BT53" s="13">
        <v>4.0319740772247314E-2</v>
      </c>
      <c r="BU53"/>
      <c r="BV53" s="11">
        <v>1.3390190360951237E-5</v>
      </c>
      <c r="BW53"/>
      <c r="BX53"/>
      <c r="BY53"/>
      <c r="BZ53" s="16">
        <v>1.7664588987827301E-2</v>
      </c>
      <c r="CA53"/>
      <c r="CB53" s="12">
        <v>3.9764437824487686E-3</v>
      </c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244</v>
      </c>
      <c r="B54">
        <v>1.6000000238418579</v>
      </c>
      <c r="C54">
        <v>0.15801925957202911</v>
      </c>
      <c r="D54" s="22">
        <v>1.2454932555556297E-2</v>
      </c>
      <c r="E54"/>
      <c r="F54" s="22">
        <v>1.2454932555556297E-2</v>
      </c>
      <c r="G54" s="22">
        <v>1.2454932555556297E-2</v>
      </c>
      <c r="H54" s="22">
        <v>1.2454932555556297E-2</v>
      </c>
      <c r="I54" s="22">
        <v>1.2454932555556297E-2</v>
      </c>
      <c r="J54" s="17">
        <v>2.1626764908432961E-2</v>
      </c>
      <c r="K54" s="17">
        <v>2.1626764908432961E-2</v>
      </c>
      <c r="L54" s="17">
        <v>2.1626764908432961E-2</v>
      </c>
      <c r="M54" s="14">
        <v>3.2778880558907986E-3</v>
      </c>
      <c r="N54" s="18">
        <v>1.7509862780570984E-2</v>
      </c>
      <c r="O54"/>
      <c r="P54"/>
      <c r="Q54"/>
      <c r="R54" s="12">
        <v>5.6802830658853054E-3</v>
      </c>
      <c r="S54"/>
      <c r="T54"/>
      <c r="U54"/>
      <c r="V54" s="68">
        <v>9.983418881893158E-2</v>
      </c>
      <c r="W54"/>
      <c r="X54"/>
      <c r="Y54"/>
      <c r="Z54"/>
      <c r="AA54"/>
      <c r="AB54"/>
      <c r="AC54" s="11">
        <v>1.3821369502693415E-3</v>
      </c>
      <c r="AD54"/>
      <c r="AE54"/>
      <c r="AF54"/>
      <c r="AG54" s="14">
        <v>3.4772567451000214E-3</v>
      </c>
      <c r="AH54" s="14">
        <v>4.0817116387188435E-3</v>
      </c>
      <c r="AI54"/>
      <c r="AJ54" s="14">
        <v>2.9683385509997606E-3</v>
      </c>
      <c r="AK54" s="14">
        <v>4.3340316042304039E-3</v>
      </c>
      <c r="AL54"/>
      <c r="AM54" s="354">
        <v>0.13796521723270416</v>
      </c>
      <c r="AN54" s="15">
        <v>1.538925152271986E-2</v>
      </c>
      <c r="AO54"/>
      <c r="AP54"/>
      <c r="AQ54"/>
      <c r="AR54"/>
      <c r="AS54"/>
      <c r="AT54" s="22">
        <v>1.2917847372591496E-2</v>
      </c>
      <c r="AU54"/>
      <c r="AV54" s="19">
        <v>2.7028415352106094E-2</v>
      </c>
      <c r="AW54"/>
      <c r="AX54"/>
      <c r="AY54"/>
      <c r="AZ54"/>
      <c r="BA54" s="11">
        <v>1.2859093258157372E-3</v>
      </c>
      <c r="BB54" s="65">
        <v>3.5613775253295898E-2</v>
      </c>
      <c r="BC54"/>
      <c r="BD54" s="11">
        <v>1.7371057765558362E-5</v>
      </c>
      <c r="BE54"/>
      <c r="BF54"/>
      <c r="BG54" s="14">
        <v>3.0689598061144352E-3</v>
      </c>
      <c r="BH54" s="11">
        <v>1.555438619107008E-3</v>
      </c>
      <c r="BI54" s="21">
        <v>3.0872257426381111E-2</v>
      </c>
      <c r="BJ54" s="29">
        <v>7.4000157415866852E-2</v>
      </c>
      <c r="BK54" s="361">
        <v>0.21464060246944427</v>
      </c>
      <c r="BL54" s="16">
        <v>2.6056280359625816E-2</v>
      </c>
      <c r="BM54" s="323">
        <v>0.18363852798938751</v>
      </c>
      <c r="BN54" s="13">
        <v>5.9274632483720779E-2</v>
      </c>
      <c r="BO54" s="294">
        <v>3.7013769149780273E-2</v>
      </c>
      <c r="BP54"/>
      <c r="BQ54"/>
      <c r="BR54" s="294">
        <v>3.9035901427268982E-2</v>
      </c>
      <c r="BS54" s="294">
        <v>3.8749057799577713E-2</v>
      </c>
      <c r="BT54" s="11">
        <v>1.0998721700161695E-3</v>
      </c>
      <c r="BU54" s="298">
        <v>0.13280721008777618</v>
      </c>
      <c r="BV54" s="23">
        <v>8.4533635526895523E-3</v>
      </c>
      <c r="BW54" s="12">
        <v>5.311223678290844E-3</v>
      </c>
      <c r="BX54"/>
      <c r="BY54"/>
      <c r="BZ54"/>
      <c r="CA54"/>
      <c r="CB54"/>
      <c r="CC54"/>
      <c r="CD54"/>
      <c r="CE54"/>
      <c r="CF54"/>
      <c r="CG54" s="24">
        <v>4.4540349394083023E-2</v>
      </c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 s="26">
        <v>4.1944719851016998E-2</v>
      </c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245</v>
      </c>
      <c r="B55">
        <v>2</v>
      </c>
      <c r="C55">
        <v>0.30433738231658936</v>
      </c>
      <c r="D55" s="12">
        <v>7.5249732472002506E-3</v>
      </c>
      <c r="E55"/>
      <c r="F55" s="12">
        <v>7.5249732472002506E-3</v>
      </c>
      <c r="G55" s="12">
        <v>7.5249732472002506E-3</v>
      </c>
      <c r="H55" s="12">
        <v>7.5249732472002506E-3</v>
      </c>
      <c r="I55" s="12">
        <v>7.5249732472002506E-3</v>
      </c>
      <c r="J55"/>
      <c r="K55"/>
      <c r="L55"/>
      <c r="M55" s="14">
        <v>1.973762409761548E-3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 s="18">
        <v>2.4536121636629105E-2</v>
      </c>
      <c r="AE55" s="297">
        <v>6.8426206707954407E-2</v>
      </c>
      <c r="AF55" s="15">
        <v>2.0589586347341537E-2</v>
      </c>
      <c r="AG55" s="11">
        <v>1.1826250556623563E-4</v>
      </c>
      <c r="AH55" s="23">
        <v>1.0429657995700836E-2</v>
      </c>
      <c r="AI55" s="330">
        <v>0.17836889624595642</v>
      </c>
      <c r="AJ55" s="344">
        <v>0.29604217410087585</v>
      </c>
      <c r="AK55" s="78">
        <v>0.12877196073532104</v>
      </c>
      <c r="AL55" s="18">
        <v>2.375180646777153E-2</v>
      </c>
      <c r="AM55" s="20">
        <v>8.4607452154159546E-2</v>
      </c>
      <c r="AN55" s="17">
        <v>2.8705734759569168E-2</v>
      </c>
      <c r="AO55" s="12">
        <v>9.1066611930727959E-3</v>
      </c>
      <c r="AP55" s="14">
        <v>5.49269188195467E-3</v>
      </c>
      <c r="AQ55" s="12">
        <v>8.9341625571250916E-3</v>
      </c>
      <c r="AR55" s="23">
        <v>1.1208454146981239E-2</v>
      </c>
      <c r="AS55" s="14">
        <v>3.0488225165754557E-3</v>
      </c>
      <c r="AT55" s="11">
        <v>6.7021115683019161E-4</v>
      </c>
      <c r="AU55" s="14">
        <v>2.7388185262680054E-3</v>
      </c>
      <c r="AV55" s="11">
        <v>7.3799857636913657E-4</v>
      </c>
      <c r="AW55" s="11">
        <v>3.910087252734229E-5</v>
      </c>
      <c r="AX55" s="11">
        <v>3.1989210401661694E-4</v>
      </c>
      <c r="AY55" s="11">
        <v>2.5213279877789319E-4</v>
      </c>
      <c r="AZ55"/>
      <c r="BA55"/>
      <c r="BB55"/>
      <c r="BC55" s="23">
        <v>1.1976435780525208E-2</v>
      </c>
      <c r="BD55" s="14">
        <v>2.6521123945713043E-3</v>
      </c>
      <c r="BE55" s="12">
        <v>6.8155601620674133E-3</v>
      </c>
      <c r="BF55" s="12">
        <v>8.6127370595932007E-3</v>
      </c>
      <c r="BG55" s="14">
        <v>5.118989385664463E-3</v>
      </c>
      <c r="BH55"/>
      <c r="BI55"/>
      <c r="BJ55" s="29">
        <v>9.4543218612670898E-2</v>
      </c>
      <c r="BK55" s="11">
        <v>1.3711330248042941E-3</v>
      </c>
      <c r="BL55" s="12">
        <v>6.6579240374267101E-3</v>
      </c>
      <c r="BM55" s="22">
        <v>1.5225883573293686E-2</v>
      </c>
      <c r="BN55"/>
      <c r="BO55" s="19">
        <v>3.404814749956131E-2</v>
      </c>
      <c r="BP55" s="21">
        <v>3.7923343479633331E-2</v>
      </c>
      <c r="BQ55" s="21">
        <v>3.7985939532518387E-2</v>
      </c>
      <c r="BR55" s="313">
        <v>9.9745579063892365E-2</v>
      </c>
      <c r="BS55" s="317">
        <v>0.138617143034935</v>
      </c>
      <c r="BT55" s="21">
        <v>4.0144704282283783E-2</v>
      </c>
      <c r="BU55"/>
      <c r="BV55"/>
      <c r="BW55"/>
      <c r="BX55"/>
      <c r="BY55"/>
      <c r="BZ55" s="76">
        <v>0.15566082298755646</v>
      </c>
      <c r="CA55"/>
      <c r="CB55" s="26">
        <v>5.0667949020862579E-2</v>
      </c>
      <c r="CC55" s="11">
        <v>1.39958830550313E-3</v>
      </c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 t="s">
        <v>246</v>
      </c>
      <c r="B56">
        <v>2</v>
      </c>
      <c r="C56">
        <v>0.26026356220245361</v>
      </c>
      <c r="D56" s="14">
        <v>2.421258483082056E-3</v>
      </c>
      <c r="E56"/>
      <c r="F56" s="14">
        <v>2.421258483082056E-3</v>
      </c>
      <c r="G56" s="14">
        <v>2.421258483082056E-3</v>
      </c>
      <c r="H56" s="14">
        <v>2.421258483082056E-3</v>
      </c>
      <c r="I56" s="14">
        <v>2.421258483082056E-3</v>
      </c>
      <c r="J56"/>
      <c r="K56"/>
      <c r="L56"/>
      <c r="M56" s="11">
        <v>6.9178873673081398E-4</v>
      </c>
      <c r="N56"/>
      <c r="O56"/>
      <c r="P56"/>
      <c r="Q56"/>
      <c r="R56"/>
      <c r="S56"/>
      <c r="T56"/>
      <c r="U56"/>
      <c r="V56" s="297">
        <v>6.6533021628856659E-2</v>
      </c>
      <c r="W56"/>
      <c r="X56"/>
      <c r="Y56" s="319">
        <v>0.20383726060390472</v>
      </c>
      <c r="Z56"/>
      <c r="AA56"/>
      <c r="AB56"/>
      <c r="AC56" s="11">
        <v>1.4574286760762334E-3</v>
      </c>
      <c r="AD56"/>
      <c r="AE56"/>
      <c r="AF56"/>
      <c r="AG56" s="14">
        <v>5.5251368321478367E-3</v>
      </c>
      <c r="AH56" s="21">
        <v>4.0458187460899353E-2</v>
      </c>
      <c r="AI56"/>
      <c r="AJ56" s="14">
        <v>3.1300382688641548E-3</v>
      </c>
      <c r="AK56" s="14">
        <v>5.3141014650464058E-3</v>
      </c>
      <c r="AL56"/>
      <c r="AM56" s="17">
        <v>2.9096173122525215E-2</v>
      </c>
      <c r="AN56" s="308">
        <v>0.1622759997844696</v>
      </c>
      <c r="AO56" s="24">
        <v>5.3795929998159409E-2</v>
      </c>
      <c r="AP56" s="294">
        <v>4.5356623828411102E-2</v>
      </c>
      <c r="AQ56"/>
      <c r="AR56"/>
      <c r="AS56"/>
      <c r="AT56" s="14">
        <v>5.6076496839523315E-3</v>
      </c>
      <c r="AU56"/>
      <c r="AV56" s="12">
        <v>8.0502200871706009E-3</v>
      </c>
      <c r="AW56"/>
      <c r="AX56"/>
      <c r="AY56"/>
      <c r="AZ56"/>
      <c r="BA56" s="11">
        <v>5.7455990463495255E-4</v>
      </c>
      <c r="BB56" s="11">
        <v>7.4610274168662727E-5</v>
      </c>
      <c r="BC56"/>
      <c r="BD56" s="15">
        <v>2.0868031308054924E-2</v>
      </c>
      <c r="BE56" s="23">
        <v>1.2740859761834145E-2</v>
      </c>
      <c r="BF56" s="297">
        <v>6.7934907972812653E-2</v>
      </c>
      <c r="BG56" s="14">
        <v>3.2361408229917288E-3</v>
      </c>
      <c r="BH56" s="11">
        <v>6.5606838325038552E-4</v>
      </c>
      <c r="BI56" s="15">
        <v>1.7920613288879395E-2</v>
      </c>
      <c r="BJ56" s="65">
        <v>4.3697524815797806E-2</v>
      </c>
      <c r="BK56" s="320">
        <v>0.16975043714046478</v>
      </c>
      <c r="BL56" s="17">
        <v>2.7475690469145775E-2</v>
      </c>
      <c r="BM56" s="147">
        <v>5.7121418416500092E-2</v>
      </c>
      <c r="BN56" s="25">
        <v>6.2503606081008911E-2</v>
      </c>
      <c r="BO56" s="21">
        <v>3.9030086249113083E-2</v>
      </c>
      <c r="BP56"/>
      <c r="BQ56"/>
      <c r="BR56" s="319">
        <v>0.20581187307834625</v>
      </c>
      <c r="BS56" s="66">
        <v>8.1720136106014252E-2</v>
      </c>
      <c r="BT56" s="11">
        <v>1.1597874108701944E-3</v>
      </c>
      <c r="BU56" s="11">
        <v>1.4004185795783997E-3</v>
      </c>
      <c r="BV56" s="14">
        <v>5.8050118386745453E-3</v>
      </c>
      <c r="BW56" s="14">
        <v>2.320227213203907E-3</v>
      </c>
      <c r="BX56"/>
      <c r="BY56"/>
      <c r="BZ56" s="299">
        <v>8.0296725034713745E-2</v>
      </c>
      <c r="CA56" s="23">
        <v>1.3101160526275635E-2</v>
      </c>
      <c r="CB56" s="16">
        <v>3.1031258404254913E-2</v>
      </c>
      <c r="CC56" s="15">
        <v>1.7904849722981453E-2</v>
      </c>
      <c r="CD56"/>
      <c r="CE56"/>
      <c r="CF56"/>
      <c r="CG56" s="299">
        <v>7.7348694205284119E-2</v>
      </c>
      <c r="CH56"/>
      <c r="CI56"/>
      <c r="CJ56"/>
      <c r="CK56"/>
      <c r="CL56"/>
      <c r="CM56"/>
      <c r="CN56"/>
      <c r="CO56"/>
      <c r="CP56"/>
      <c r="CQ56" s="294">
        <v>4.7017809003591537E-2</v>
      </c>
      <c r="CR56"/>
      <c r="CS56"/>
      <c r="CT56"/>
      <c r="CU56"/>
      <c r="CV56"/>
      <c r="CW56"/>
      <c r="CX56"/>
      <c r="CY56"/>
      <c r="CZ56"/>
      <c r="DA56"/>
      <c r="DB56"/>
      <c r="DC56"/>
      <c r="DD56"/>
      <c r="DE56" s="12">
        <v>7.9981293529272079E-3</v>
      </c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 t="s">
        <v>247</v>
      </c>
      <c r="B57">
        <v>1.7999999523162842</v>
      </c>
      <c r="C57">
        <v>0.23772996664047241</v>
      </c>
      <c r="D57"/>
      <c r="E57"/>
      <c r="F57" s="24">
        <v>5.000000074505806E-2</v>
      </c>
      <c r="G57" s="24">
        <v>5.000000074505806E-2</v>
      </c>
      <c r="H57" s="18">
        <v>2.0820919424295425E-2</v>
      </c>
      <c r="I57" s="18">
        <v>2.0820919424295425E-2</v>
      </c>
      <c r="J57"/>
      <c r="K57"/>
      <c r="L57"/>
      <c r="M57"/>
      <c r="N57"/>
      <c r="O57"/>
      <c r="P57"/>
      <c r="Q57"/>
      <c r="R57" s="64">
        <v>0.10000000149011612</v>
      </c>
      <c r="S57"/>
      <c r="T57"/>
      <c r="U57"/>
      <c r="V57"/>
      <c r="W57"/>
      <c r="X57"/>
      <c r="Y57" s="64">
        <v>9.8917365074157715E-2</v>
      </c>
      <c r="Z57"/>
      <c r="AA57"/>
      <c r="AB57"/>
      <c r="AC57"/>
      <c r="AD57" s="70">
        <v>9.2130780220031738E-2</v>
      </c>
      <c r="AE57" s="22">
        <v>1.5637524425983429E-2</v>
      </c>
      <c r="AF57" s="12">
        <v>5.3875898011028767E-3</v>
      </c>
      <c r="AG57" s="15">
        <v>1.7762573435902596E-2</v>
      </c>
      <c r="AH57" s="22">
        <v>1.5664944425225258E-2</v>
      </c>
      <c r="AI57" s="14">
        <v>2.6010021101683378E-3</v>
      </c>
      <c r="AJ57"/>
      <c r="AK57"/>
      <c r="AL57"/>
      <c r="AM57" s="327">
        <v>0.21179521083831787</v>
      </c>
      <c r="AN57" s="78">
        <v>0.11812286078929901</v>
      </c>
      <c r="AO57" s="65">
        <v>3.8259841501712799E-2</v>
      </c>
      <c r="AP57" s="294">
        <v>4.1249096393585205E-2</v>
      </c>
      <c r="AQ57" s="14">
        <v>1.951280515640974E-3</v>
      </c>
      <c r="AR57" s="11">
        <v>2.4213797587435693E-4</v>
      </c>
      <c r="AS57" s="11">
        <v>9.9360375315882266E-5</v>
      </c>
      <c r="AT57" s="11">
        <v>1.5602786152157933E-4</v>
      </c>
      <c r="AU57" s="11">
        <v>5.5680000514257699E-5</v>
      </c>
      <c r="AV57" s="11">
        <v>4.1359904571436346E-4</v>
      </c>
      <c r="AW57" s="11">
        <v>3.5403405718170688E-7</v>
      </c>
      <c r="AX57" s="11">
        <v>6.020909859216772E-5</v>
      </c>
      <c r="AY57" s="11">
        <v>9.4673441708437167E-6</v>
      </c>
      <c r="AZ57"/>
      <c r="BA57"/>
      <c r="BB57"/>
      <c r="BC57" s="11">
        <v>7.4163888348266482E-4</v>
      </c>
      <c r="BD57" s="12">
        <v>8.3617446944117546E-3</v>
      </c>
      <c r="BE57" s="22">
        <v>1.3913081958889961E-2</v>
      </c>
      <c r="BF57" s="19">
        <v>3.0769200995564461E-2</v>
      </c>
      <c r="BG57" s="28">
        <v>6.4785376191139221E-2</v>
      </c>
      <c r="BH57"/>
      <c r="BI57"/>
      <c r="BJ57" s="76">
        <v>0.14200012385845184</v>
      </c>
      <c r="BK57" s="18">
        <v>2.0593971014022827E-2</v>
      </c>
      <c r="BL57" s="64">
        <v>9.9999748170375824E-2</v>
      </c>
      <c r="BM57" s="14">
        <v>2.4947673082351685E-3</v>
      </c>
      <c r="BN57"/>
      <c r="BO57" s="22">
        <v>1.4205280691385269E-2</v>
      </c>
      <c r="BP57" s="11">
        <v>1.4021336100995541E-3</v>
      </c>
      <c r="BQ57" s="22">
        <v>1.4019833877682686E-2</v>
      </c>
      <c r="BR57" s="16">
        <v>2.9962684959173203E-2</v>
      </c>
      <c r="BS57" s="16">
        <v>2.9742512851953506E-2</v>
      </c>
      <c r="BT57" s="18">
        <v>2.0683540031313896E-2</v>
      </c>
      <c r="BU57" s="312">
        <v>0.10193848609924316</v>
      </c>
      <c r="BV57" s="11">
        <v>8.010521560208872E-5</v>
      </c>
      <c r="BW57"/>
      <c r="BX57"/>
      <c r="BY57"/>
      <c r="BZ57" s="297">
        <v>5.8449022471904755E-2</v>
      </c>
      <c r="CA57"/>
      <c r="CB57" s="12">
        <v>5.9416284784674644E-3</v>
      </c>
      <c r="CC57" s="11">
        <v>2.6276602511643432E-5</v>
      </c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 t="s">
        <v>248</v>
      </c>
      <c r="B58">
        <v>2.5</v>
      </c>
      <c r="C58">
        <v>0.92571914196014404</v>
      </c>
      <c r="D58"/>
      <c r="E58"/>
      <c r="F58" s="14">
        <v>3.9383918046951294E-3</v>
      </c>
      <c r="G58" s="14">
        <v>3.1507138628512621E-3</v>
      </c>
      <c r="H58" s="11">
        <v>2.3630352225154638E-3</v>
      </c>
      <c r="I58" s="11">
        <v>2.3630352225154638E-3</v>
      </c>
      <c r="J58"/>
      <c r="K58"/>
      <c r="L58"/>
      <c r="M58"/>
      <c r="N58"/>
      <c r="O58"/>
      <c r="P58"/>
      <c r="Q58"/>
      <c r="R58" s="14">
        <v>3.9383918046951294E-3</v>
      </c>
      <c r="S58"/>
      <c r="T58"/>
      <c r="U58"/>
      <c r="V58"/>
      <c r="W58"/>
      <c r="X58"/>
      <c r="Y58" s="20">
        <v>0.10964953154325485</v>
      </c>
      <c r="Z58"/>
      <c r="AA58"/>
      <c r="AB58"/>
      <c r="AC58"/>
      <c r="AD58" s="311">
        <v>0.13072206079959869</v>
      </c>
      <c r="AE58" s="23">
        <v>1.386730745434761E-2</v>
      </c>
      <c r="AF58" s="23">
        <v>1.2740528210997581E-2</v>
      </c>
      <c r="AG58" s="18">
        <v>3.1503587961196899E-2</v>
      </c>
      <c r="AH58" s="18">
        <v>2.7783246710896492E-2</v>
      </c>
      <c r="AI58" s="28">
        <v>8.9918956160545349E-2</v>
      </c>
      <c r="AJ58" s="23">
        <v>1.5784984454512596E-2</v>
      </c>
      <c r="AK58"/>
      <c r="AL58"/>
      <c r="AM58" s="22">
        <v>1.8781935796141624E-2</v>
      </c>
      <c r="AN58" s="11">
        <v>1.0475098388269544E-3</v>
      </c>
      <c r="AO58" s="17">
        <v>3.3928710967302322E-2</v>
      </c>
      <c r="AP58" s="14">
        <v>2.9263661708682775E-3</v>
      </c>
      <c r="AQ58" s="14">
        <v>3.4449615050107241E-3</v>
      </c>
      <c r="AR58" s="12">
        <v>8.740592747926712E-3</v>
      </c>
      <c r="AS58" s="11">
        <v>1.1748324614018202E-3</v>
      </c>
      <c r="AT58" s="14">
        <v>4.1777300648391247E-3</v>
      </c>
      <c r="AU58" s="11">
        <v>1.3150133891031146E-3</v>
      </c>
      <c r="AV58" s="12">
        <v>8.0808605998754501E-3</v>
      </c>
      <c r="AW58"/>
      <c r="AX58" s="11">
        <v>5.3527054433288868E-7</v>
      </c>
      <c r="AY58" s="11">
        <v>1.0074733290821314E-4</v>
      </c>
      <c r="AZ58"/>
      <c r="BA58"/>
      <c r="BB58"/>
      <c r="BC58" s="11">
        <v>4.3895820272155106E-4</v>
      </c>
      <c r="BD58" s="22">
        <v>2.0328529179096222E-2</v>
      </c>
      <c r="BE58" s="311">
        <v>0.13367408514022827</v>
      </c>
      <c r="BF58" s="70">
        <v>0.12842237949371338</v>
      </c>
      <c r="BG58" s="14">
        <v>3.1334531959146261E-3</v>
      </c>
      <c r="BH58" s="11">
        <v>2.3527785378973931E-4</v>
      </c>
      <c r="BI58" s="14">
        <v>6.8449564278125763E-3</v>
      </c>
      <c r="BJ58" s="14">
        <v>2.5185053236782551E-3</v>
      </c>
      <c r="BK58" s="17">
        <v>3.6525197327136993E-2</v>
      </c>
      <c r="BL58" s="28">
        <v>8.8679462671279907E-2</v>
      </c>
      <c r="BM58"/>
      <c r="BN58"/>
      <c r="BO58" s="14">
        <v>2.5194394402205944E-3</v>
      </c>
      <c r="BP58" s="14">
        <v>5.6001795455813408E-3</v>
      </c>
      <c r="BQ58" s="23">
        <v>1.4530578628182411E-2</v>
      </c>
      <c r="BR58" s="16">
        <v>3.8421552628278732E-2</v>
      </c>
      <c r="BS58" s="65">
        <v>5.275113508105278E-2</v>
      </c>
      <c r="BT58" s="11">
        <v>1.8181669292971492E-3</v>
      </c>
      <c r="BU58" s="28">
        <v>9.0398728847503662E-2</v>
      </c>
      <c r="BV58" s="12">
        <v>7.5121726840734482E-3</v>
      </c>
      <c r="BW58" s="14">
        <v>5.8876471593976021E-3</v>
      </c>
      <c r="BX58"/>
      <c r="BY58"/>
      <c r="BZ58" s="15">
        <v>2.591620571911335E-2</v>
      </c>
      <c r="CA58" s="297">
        <v>8.4569580852985382E-2</v>
      </c>
      <c r="CB58" s="14">
        <v>5.2739009261131287E-3</v>
      </c>
      <c r="CC58" s="14">
        <v>6.0119200497865677E-3</v>
      </c>
      <c r="CD58"/>
      <c r="CE58"/>
      <c r="CF58"/>
      <c r="CG58"/>
      <c r="CH58"/>
      <c r="CI58"/>
      <c r="CJ58"/>
      <c r="CK58"/>
      <c r="CL58"/>
      <c r="CM58"/>
      <c r="CN58"/>
      <c r="CO58"/>
      <c r="CP58"/>
      <c r="CQ58" s="148">
        <v>0.15175285935401917</v>
      </c>
      <c r="CR58"/>
      <c r="CS58"/>
      <c r="CT58"/>
      <c r="CU58"/>
      <c r="CV58"/>
      <c r="CW58"/>
      <c r="CX58"/>
      <c r="CY58"/>
      <c r="CZ58"/>
      <c r="DA58"/>
      <c r="DB58"/>
      <c r="DC58"/>
      <c r="DD58"/>
      <c r="DE58" s="70">
        <v>0.12907223403453827</v>
      </c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 t="s">
        <v>249</v>
      </c>
      <c r="B59">
        <v>1.1000000238418579</v>
      </c>
      <c r="C59">
        <v>0.16987992823123932</v>
      </c>
      <c r="D59"/>
      <c r="E59"/>
      <c r="F59" s="14">
        <v>1.2923079775646329E-3</v>
      </c>
      <c r="G59" s="14">
        <v>1.2923079775646329E-3</v>
      </c>
      <c r="H59" s="14">
        <v>1.2923079775646329E-3</v>
      </c>
      <c r="I59" s="14">
        <v>1.2923079775646329E-3</v>
      </c>
      <c r="J59"/>
      <c r="K59"/>
      <c r="L59"/>
      <c r="M59"/>
      <c r="N59"/>
      <c r="O59"/>
      <c r="P59"/>
      <c r="Q59"/>
      <c r="R59"/>
      <c r="S59"/>
      <c r="T59" s="14">
        <v>3.2331438269466162E-3</v>
      </c>
      <c r="U59"/>
      <c r="V59" s="21">
        <v>2.0570075139403343E-2</v>
      </c>
      <c r="W59"/>
      <c r="X59"/>
      <c r="Y59"/>
      <c r="Z59"/>
      <c r="AA59"/>
      <c r="AB59"/>
      <c r="AC59"/>
      <c r="AD59" s="81">
        <v>0.18494965136051178</v>
      </c>
      <c r="AE59" s="25">
        <v>3.354022279381752E-2</v>
      </c>
      <c r="AF59" s="23">
        <v>5.9935441240668297E-3</v>
      </c>
      <c r="AG59" s="339">
        <v>8.1746093928813934E-2</v>
      </c>
      <c r="AH59" s="311">
        <v>5.8962911367416382E-2</v>
      </c>
      <c r="AI59" s="25">
        <v>3.5179387778043747E-2</v>
      </c>
      <c r="AJ59" s="17">
        <v>1.4248509891331196E-2</v>
      </c>
      <c r="AK59" s="16">
        <v>1.6477020457386971E-2</v>
      </c>
      <c r="AL59" s="12">
        <v>3.273769048973918E-3</v>
      </c>
      <c r="AM59" s="18">
        <v>1.3286634348332882E-2</v>
      </c>
      <c r="AN59" s="111">
        <v>7.4102483689785004E-2</v>
      </c>
      <c r="AO59" s="11">
        <v>1.740117440931499E-4</v>
      </c>
      <c r="AP59" s="339">
        <v>8.2806266844272614E-2</v>
      </c>
      <c r="AQ59" s="14">
        <v>2.2691807243973017E-3</v>
      </c>
      <c r="AR59" s="11">
        <v>5.4783426458016038E-4</v>
      </c>
      <c r="AS59" s="14">
        <v>1.6206349246203899E-3</v>
      </c>
      <c r="AT59" s="11">
        <v>6.6306871303822845E-5</v>
      </c>
      <c r="AU59" s="11">
        <v>7.5280076998751611E-5</v>
      </c>
      <c r="AV59" s="11">
        <v>4.1514358599670231E-6</v>
      </c>
      <c r="AW59" s="11">
        <v>3.3271089705522172E-6</v>
      </c>
      <c r="AX59"/>
      <c r="AY59" s="11">
        <v>7.1270238549914211E-5</v>
      </c>
      <c r="AZ59"/>
      <c r="BA59"/>
      <c r="BB59"/>
      <c r="BC59" s="11">
        <v>5.4422067478299141E-4</v>
      </c>
      <c r="BD59" s="14">
        <v>1.2546795187518001E-3</v>
      </c>
      <c r="BE59" s="11">
        <v>2.432190376566723E-4</v>
      </c>
      <c r="BF59" s="14">
        <v>1.3780017616227269E-3</v>
      </c>
      <c r="BG59" s="14">
        <v>1.8472113879397511E-3</v>
      </c>
      <c r="BH59"/>
      <c r="BI59"/>
      <c r="BJ59" s="308">
        <v>8.9081496000289917E-2</v>
      </c>
      <c r="BK59" s="14">
        <v>2.5838492438197136E-3</v>
      </c>
      <c r="BL59" s="15">
        <v>1.1291982606053352E-2</v>
      </c>
      <c r="BM59" s="11">
        <v>1.3042116188444197E-4</v>
      </c>
      <c r="BN59"/>
      <c r="BO59" s="11">
        <v>1.7822909285314381E-4</v>
      </c>
      <c r="BP59" s="12">
        <v>3.5229935310781002E-3</v>
      </c>
      <c r="BQ59" s="18">
        <v>1.3225411996245384E-2</v>
      </c>
      <c r="BR59" s="297">
        <v>3.759336844086647E-2</v>
      </c>
      <c r="BS59" s="21">
        <v>2.2390188649296761E-2</v>
      </c>
      <c r="BT59" s="28">
        <v>3.7829402834177017E-2</v>
      </c>
      <c r="BU59" s="147">
        <v>3.1974732875823975E-2</v>
      </c>
      <c r="BV59" s="11">
        <v>1.2563148629851639E-5</v>
      </c>
      <c r="BW59"/>
      <c r="BX59"/>
      <c r="BY59"/>
      <c r="BZ59" s="297">
        <v>3.6667130887508392E-2</v>
      </c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 t="s">
        <v>250</v>
      </c>
      <c r="B60">
        <v>1</v>
      </c>
      <c r="C60">
        <v>0.26261705160140991</v>
      </c>
      <c r="D60"/>
      <c r="E60"/>
      <c r="F60" s="11">
        <v>1.4137882681097835E-4</v>
      </c>
      <c r="G60" s="11">
        <v>1.4137882681097835E-4</v>
      </c>
      <c r="H60" s="11">
        <v>1.4137882681097835E-4</v>
      </c>
      <c r="I60" s="11">
        <v>1.4137882681097835E-4</v>
      </c>
      <c r="J60"/>
      <c r="K60"/>
      <c r="L60"/>
      <c r="M60"/>
      <c r="N60"/>
      <c r="O60"/>
      <c r="P60"/>
      <c r="Q60"/>
      <c r="R60"/>
      <c r="S60"/>
      <c r="T60" s="12">
        <v>3.035983070731163E-3</v>
      </c>
      <c r="U60"/>
      <c r="V60"/>
      <c r="W60" s="294">
        <v>2.3036172613501549E-2</v>
      </c>
      <c r="X60"/>
      <c r="Y60"/>
      <c r="Z60"/>
      <c r="AA60"/>
      <c r="AB60"/>
      <c r="AC60"/>
      <c r="AD60" s="20">
        <v>4.3417803943157196E-2</v>
      </c>
      <c r="AE60" s="28">
        <v>3.4341741353273392E-2</v>
      </c>
      <c r="AF60" s="24">
        <v>2.6963867247104645E-2</v>
      </c>
      <c r="AG60" s="363">
        <v>0.10768955200910568</v>
      </c>
      <c r="AH60" s="68">
        <v>6.2103636562824249E-2</v>
      </c>
      <c r="AI60" s="24">
        <v>2.8314951807260513E-2</v>
      </c>
      <c r="AJ60" s="24">
        <v>2.8185280039906502E-2</v>
      </c>
      <c r="AK60" s="16">
        <v>1.5472234226763248E-2</v>
      </c>
      <c r="AL60" s="22">
        <v>7.3879933916032314E-3</v>
      </c>
      <c r="AM60" s="18">
        <v>1.2476400472223759E-2</v>
      </c>
      <c r="AN60" s="22">
        <v>6.9583640433847904E-3</v>
      </c>
      <c r="AO60" s="18">
        <v>1.1269025504589081E-2</v>
      </c>
      <c r="AP60" s="76">
        <v>7.7756650745868683E-2</v>
      </c>
      <c r="AQ60" s="14">
        <v>2.1308036521077156E-3</v>
      </c>
      <c r="AR60" s="14">
        <v>2.5160072837024927E-3</v>
      </c>
      <c r="AS60" s="11">
        <v>7.8041380038484931E-4</v>
      </c>
      <c r="AT60" s="11">
        <v>7.4123084777966142E-4</v>
      </c>
      <c r="AU60" s="11">
        <v>4.1904684621840715E-4</v>
      </c>
      <c r="AV60" s="11">
        <v>2.4364229466300458E-4</v>
      </c>
      <c r="AW60" s="11">
        <v>1.2267872762095067E-6</v>
      </c>
      <c r="AX60"/>
      <c r="AY60" s="11">
        <v>6.6924098064191639E-5</v>
      </c>
      <c r="AZ60"/>
      <c r="BA60"/>
      <c r="BB60"/>
      <c r="BC60" s="11">
        <v>5.1103351870551705E-4</v>
      </c>
      <c r="BD60" s="17">
        <v>1.4363829977810383E-2</v>
      </c>
      <c r="BE60" s="14">
        <v>1.1379292700439692E-3</v>
      </c>
      <c r="BF60" s="12">
        <v>4.2084939777851105E-3</v>
      </c>
      <c r="BG60" s="23">
        <v>6.5913517028093338E-3</v>
      </c>
      <c r="BH60" s="11">
        <v>7.0330308517441154E-4</v>
      </c>
      <c r="BI60" s="297">
        <v>3.2783467322587967E-2</v>
      </c>
      <c r="BJ60" s="297">
        <v>3.345968946814537E-2</v>
      </c>
      <c r="BK60" s="294">
        <v>2.4262929335236549E-2</v>
      </c>
      <c r="BL60" s="23">
        <v>5.8907466009259224E-3</v>
      </c>
      <c r="BM60"/>
      <c r="BN60"/>
      <c r="BO60"/>
      <c r="BP60" s="12">
        <v>3.3081576693803072E-3</v>
      </c>
      <c r="BQ60" s="65">
        <v>2.2071236744523048E-2</v>
      </c>
      <c r="BR60" s="12">
        <v>3.5300885792821646E-3</v>
      </c>
      <c r="BS60" s="11">
        <v>3.5041349474340677E-4</v>
      </c>
      <c r="BT60" s="22">
        <v>7.1045053191483021E-3</v>
      </c>
      <c r="BU60" s="11">
        <v>6.0049764579162002E-4</v>
      </c>
      <c r="BV60" s="23">
        <v>4.9901609309017658E-3</v>
      </c>
      <c r="BW60" s="12">
        <v>3.9453338831663132E-3</v>
      </c>
      <c r="BX60"/>
      <c r="BY60"/>
      <c r="BZ60" s="12">
        <v>3.4431128297001123E-3</v>
      </c>
      <c r="CA60" s="312">
        <v>5.6177601218223572E-2</v>
      </c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 s="22">
        <v>8.5841817781329155E-3</v>
      </c>
      <c r="CS60"/>
      <c r="CT60"/>
      <c r="CU60"/>
      <c r="CV60"/>
      <c r="CW60"/>
      <c r="CX60"/>
      <c r="CY60"/>
      <c r="CZ60"/>
      <c r="DA60"/>
      <c r="DB60"/>
      <c r="DC60" s="11">
        <v>6.0844191466458142E-5</v>
      </c>
      <c r="DD60"/>
      <c r="DE60" s="12">
        <v>3.4295874647796154E-3</v>
      </c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 t="s">
        <v>251</v>
      </c>
      <c r="B61">
        <v>1.3389999866485596</v>
      </c>
      <c r="C61">
        <v>0.22277082502841949</v>
      </c>
      <c r="D61"/>
      <c r="E61"/>
      <c r="F61" s="14">
        <v>2.2964086383581161E-3</v>
      </c>
      <c r="G61" s="14">
        <v>2.2964086383581161E-3</v>
      </c>
      <c r="H61" s="14">
        <v>2.2964086383581161E-3</v>
      </c>
      <c r="I61" s="14">
        <v>2.2964086383581161E-3</v>
      </c>
      <c r="J61"/>
      <c r="K61"/>
      <c r="L61"/>
      <c r="M61" s="11">
        <v>2.2964086383581161E-4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 s="111">
        <v>8.9621685445308685E-2</v>
      </c>
      <c r="AE61" s="22">
        <v>9.6958121284842491E-3</v>
      </c>
      <c r="AF61" s="11">
        <v>8.2980352453887463E-4</v>
      </c>
      <c r="AG61" s="15">
        <v>1.2225914746522903E-2</v>
      </c>
      <c r="AH61" s="14">
        <v>3.2381443306803703E-3</v>
      </c>
      <c r="AI61" s="22">
        <v>9.8043885082006454E-3</v>
      </c>
      <c r="AJ61" s="347">
        <v>0.27715194225311279</v>
      </c>
      <c r="AK61" s="29">
        <v>6.3027963042259216E-2</v>
      </c>
      <c r="AL61" s="15">
        <v>1.2587026692926884E-2</v>
      </c>
      <c r="AM61"/>
      <c r="AN61"/>
      <c r="AO61" s="14">
        <v>1.9771938677877188E-3</v>
      </c>
      <c r="AP61"/>
      <c r="AQ61" s="11">
        <v>8.0968771362677217E-4</v>
      </c>
      <c r="AR61" s="11">
        <v>3.994972794316709E-4</v>
      </c>
      <c r="AS61" s="11">
        <v>1.5758864174131304E-4</v>
      </c>
      <c r="AT61" s="11">
        <v>7.650132174603641E-4</v>
      </c>
      <c r="AU61"/>
      <c r="AV61"/>
      <c r="AW61"/>
      <c r="AX61"/>
      <c r="AY61" s="11">
        <v>2.0145804228377528E-5</v>
      </c>
      <c r="AZ61"/>
      <c r="BA61"/>
      <c r="BB61"/>
      <c r="BC61"/>
      <c r="BD61" s="14">
        <v>3.3641799818724394E-3</v>
      </c>
      <c r="BE61" s="11">
        <v>9.5113064162433147E-4</v>
      </c>
      <c r="BF61"/>
      <c r="BG61"/>
      <c r="BH61"/>
      <c r="BI61"/>
      <c r="BJ61" s="331">
        <v>0.13813307881355286</v>
      </c>
      <c r="BK61" s="15">
        <v>1.2520697899162769E-2</v>
      </c>
      <c r="BL61" s="14">
        <v>3.6478510592132807E-3</v>
      </c>
      <c r="BM61"/>
      <c r="BN61"/>
      <c r="BO61"/>
      <c r="BP61" s="11">
        <v>5.7569233467802405E-4</v>
      </c>
      <c r="BQ61"/>
      <c r="BR61"/>
      <c r="BS61"/>
      <c r="BT61" s="22">
        <v>1.0998675599694252E-2</v>
      </c>
      <c r="BU61"/>
      <c r="BV61"/>
      <c r="BW61"/>
      <c r="BX61"/>
      <c r="BY61"/>
      <c r="BZ61" s="349">
        <v>0.30951648950576782</v>
      </c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 s="29">
        <v>6.2796413898468018E-2</v>
      </c>
      <c r="DD61" s="148">
        <v>8.1997796893119812E-2</v>
      </c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 t="s">
        <v>252</v>
      </c>
      <c r="B62">
        <v>1.3999999761581421</v>
      </c>
      <c r="C62">
        <v>0.39077237248420715</v>
      </c>
      <c r="D62"/>
      <c r="E62"/>
      <c r="F62" s="11">
        <v>6.4551517425570637E-5</v>
      </c>
      <c r="G62" s="11">
        <v>6.4551517425570637E-5</v>
      </c>
      <c r="H62" s="11">
        <v>6.4551517425570637E-5</v>
      </c>
      <c r="I62" s="11">
        <v>6.4551517425570637E-5</v>
      </c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 s="14">
        <v>3.1242542900145054E-3</v>
      </c>
      <c r="AH62" s="14">
        <v>2.6771614793688059E-3</v>
      </c>
      <c r="AI62"/>
      <c r="AJ62" s="14">
        <v>3.0420455150306225E-3</v>
      </c>
      <c r="AK62" s="12">
        <v>6.61082798615098E-3</v>
      </c>
      <c r="AL62"/>
      <c r="AM62"/>
      <c r="AN62"/>
      <c r="AO62"/>
      <c r="AP62"/>
      <c r="AQ62"/>
      <c r="AR62" s="23">
        <v>7.3330444283783436E-3</v>
      </c>
      <c r="AS62"/>
      <c r="AT62" s="23">
        <v>8.601735346019268E-3</v>
      </c>
      <c r="AU62"/>
      <c r="AV62"/>
      <c r="AW62"/>
      <c r="AX62"/>
      <c r="AY62"/>
      <c r="AZ62"/>
      <c r="BA62" s="14">
        <v>4.0026628412306309E-3</v>
      </c>
      <c r="BB62" s="11">
        <v>1.5469391655642539E-4</v>
      </c>
      <c r="BC62"/>
      <c r="BD62"/>
      <c r="BE62"/>
      <c r="BF62"/>
      <c r="BG62"/>
      <c r="BH62"/>
      <c r="BI62"/>
      <c r="BJ62" s="19">
        <v>2.4268027395009995E-2</v>
      </c>
      <c r="BK62" s="144">
        <v>0.14078101515769958</v>
      </c>
      <c r="BL62" s="313">
        <v>6.8360202014446259E-2</v>
      </c>
      <c r="BM62" s="26">
        <v>3.5529982298612595E-2</v>
      </c>
      <c r="BN62" s="64">
        <v>7.79862180352211E-2</v>
      </c>
      <c r="BO62" s="28">
        <v>4.8554055392742157E-2</v>
      </c>
      <c r="BP62"/>
      <c r="BQ62"/>
      <c r="BR62" s="362">
        <v>0.30723994970321655</v>
      </c>
      <c r="BS62" s="22">
        <v>1.0166117921471596E-2</v>
      </c>
      <c r="BT62" s="14">
        <v>2.2672484628856182E-3</v>
      </c>
      <c r="BU62" s="16">
        <v>2.2647865116596222E-2</v>
      </c>
      <c r="BV62" s="23">
        <v>7.2215283289551735E-3</v>
      </c>
      <c r="BW62" s="22">
        <v>1.0052639059722424E-2</v>
      </c>
      <c r="BX62"/>
      <c r="BY62"/>
      <c r="BZ62" s="72">
        <v>9.9890418350696564E-2</v>
      </c>
      <c r="CA62" s="23">
        <v>8.1490278244018555E-3</v>
      </c>
      <c r="CB62"/>
      <c r="CC62"/>
      <c r="CD62"/>
      <c r="CE62"/>
      <c r="CF62"/>
      <c r="CG62" s="18">
        <v>1.7337478697299957E-2</v>
      </c>
      <c r="CH62"/>
      <c r="CI62"/>
      <c r="CJ62"/>
      <c r="CK62"/>
      <c r="CL62"/>
      <c r="CM62"/>
      <c r="CN62"/>
      <c r="CO62"/>
      <c r="CP62"/>
      <c r="CQ62"/>
      <c r="CR62" s="313">
        <v>6.9731570780277252E-2</v>
      </c>
      <c r="CS62"/>
      <c r="CT62"/>
      <c r="CU62"/>
      <c r="CV62"/>
      <c r="CW62"/>
      <c r="CX62"/>
      <c r="CY62"/>
      <c r="CZ62"/>
      <c r="DA62"/>
      <c r="DB62"/>
      <c r="DC62" s="14">
        <v>1.7651910893619061E-3</v>
      </c>
      <c r="DD62" s="22">
        <v>1.152469590306282E-2</v>
      </c>
      <c r="DE62" s="22">
        <v>9.9498024210333824E-3</v>
      </c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 t="s">
        <v>253</v>
      </c>
      <c r="B63">
        <v>0.43500000238418579</v>
      </c>
      <c r="C63">
        <v>3.4861184656620026E-2</v>
      </c>
      <c r="D63"/>
      <c r="E63"/>
      <c r="F63" s="11">
        <v>2.1583354100584984E-4</v>
      </c>
      <c r="G63" s="11">
        <v>2.1583354100584984E-4</v>
      </c>
      <c r="H63" s="11">
        <v>2.1583354100584984E-4</v>
      </c>
      <c r="I63" s="11">
        <v>2.1583354100584984E-4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 s="342">
        <v>7.0194631814956665E-2</v>
      </c>
      <c r="AE63" s="76">
        <v>3.4426480531692505E-2</v>
      </c>
      <c r="AF63"/>
      <c r="AG63" s="12">
        <v>1.3231952907517552E-3</v>
      </c>
      <c r="AH63" s="11">
        <v>2.9837887268513441E-4</v>
      </c>
      <c r="AI63" s="14">
        <v>9.9085259716957808E-4</v>
      </c>
      <c r="AJ63" s="76">
        <v>3.390464186668396E-2</v>
      </c>
      <c r="AK63" s="12">
        <v>1.9893583375960588E-3</v>
      </c>
      <c r="AL63" s="14">
        <v>7.8216753900051117E-4</v>
      </c>
      <c r="AM63"/>
      <c r="AN63"/>
      <c r="AO63" s="11">
        <v>7.2875460318755358E-5</v>
      </c>
      <c r="AP63"/>
      <c r="AQ63" s="11">
        <v>1.0192079207627103E-4</v>
      </c>
      <c r="AR63" s="11">
        <v>1.2515972775872797E-4</v>
      </c>
      <c r="AS63" s="11">
        <v>2.1942832972854376E-5</v>
      </c>
      <c r="AT63" s="11">
        <v>3.8347729969245847E-6</v>
      </c>
      <c r="AU63"/>
      <c r="AV63"/>
      <c r="AW63"/>
      <c r="AX63"/>
      <c r="AY63" s="11">
        <v>2.7049459276895504E-6</v>
      </c>
      <c r="AZ63"/>
      <c r="BA63"/>
      <c r="BB63"/>
      <c r="BC63"/>
      <c r="BD63" s="11">
        <v>9.5238661742769182E-5</v>
      </c>
      <c r="BE63" s="11">
        <v>1.2955766578670591E-5</v>
      </c>
      <c r="BF63"/>
      <c r="BG63"/>
      <c r="BH63"/>
      <c r="BI63"/>
      <c r="BJ63" s="14">
        <v>5.4095103405416012E-4</v>
      </c>
      <c r="BK63" s="19">
        <v>7.8452639281749725E-3</v>
      </c>
      <c r="BL63" s="311">
        <v>2.2857006639242172E-2</v>
      </c>
      <c r="BM63"/>
      <c r="BN63"/>
      <c r="BO63"/>
      <c r="BP63"/>
      <c r="BQ63"/>
      <c r="BR63"/>
      <c r="BS63"/>
      <c r="BT63" s="14">
        <v>1.1486028088256717E-3</v>
      </c>
      <c r="BU63"/>
      <c r="BV63"/>
      <c r="BW63"/>
      <c r="BX63"/>
      <c r="BY63"/>
      <c r="BZ63" s="11">
        <v>1.1133107909699902E-4</v>
      </c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 s="356">
        <v>0.19673661887645721</v>
      </c>
      <c r="DD63" s="67">
        <v>2.5689341127872467E-2</v>
      </c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 t="s">
        <v>254</v>
      </c>
      <c r="B64">
        <v>1</v>
      </c>
      <c r="C64">
        <v>0.11189752817153931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 s="17">
        <v>1.4319024980068207E-2</v>
      </c>
      <c r="AH64" s="18">
        <v>1.2269917875528336E-2</v>
      </c>
      <c r="AI64"/>
      <c r="AJ64" s="14">
        <v>1.8124922644346952E-3</v>
      </c>
      <c r="AK64" s="14">
        <v>2.5753830559551716E-3</v>
      </c>
      <c r="AL64"/>
      <c r="AM64"/>
      <c r="AN64"/>
      <c r="AO64"/>
      <c r="AP64"/>
      <c r="AQ64"/>
      <c r="AR64" s="17">
        <v>1.2867026962339878E-2</v>
      </c>
      <c r="AS64"/>
      <c r="AT64"/>
      <c r="AU64"/>
      <c r="AV64"/>
      <c r="AW64"/>
      <c r="AX64"/>
      <c r="AY64"/>
      <c r="AZ64"/>
      <c r="BA64" s="11">
        <v>7.8621192369610071E-4</v>
      </c>
      <c r="BB64" s="11">
        <v>2.4814676726236939E-4</v>
      </c>
      <c r="BC64"/>
      <c r="BD64"/>
      <c r="BE64"/>
      <c r="BF64"/>
      <c r="BG64"/>
      <c r="BH64"/>
      <c r="BI64"/>
      <c r="BJ64" s="80">
        <v>0.22244957089424133</v>
      </c>
      <c r="BK64" s="16">
        <v>1.6130624338984489E-2</v>
      </c>
      <c r="BL64" s="16">
        <v>1.5665329992771149E-2</v>
      </c>
      <c r="BM64"/>
      <c r="BN64" s="14">
        <v>1.0574705665931106E-3</v>
      </c>
      <c r="BO64" s="11">
        <v>2.2253204951994121E-4</v>
      </c>
      <c r="BP64"/>
      <c r="BQ64"/>
      <c r="BR64" s="327">
        <v>0.11734471470117569</v>
      </c>
      <c r="BS64" s="11">
        <v>6.9889699807390571E-4</v>
      </c>
      <c r="BT64" s="14">
        <v>1.4169833157211542E-3</v>
      </c>
      <c r="BU64" s="11">
        <v>1.1976840323768556E-4</v>
      </c>
      <c r="BV64" s="11">
        <v>3.137210151180625E-4</v>
      </c>
      <c r="BW64" s="11">
        <v>4.5616812712978572E-5</v>
      </c>
      <c r="BX64"/>
      <c r="BY64"/>
      <c r="BZ64"/>
      <c r="CA64"/>
      <c r="CB64"/>
      <c r="CC64"/>
      <c r="CD64"/>
      <c r="CE64"/>
      <c r="CF64"/>
      <c r="CG64" s="11">
        <v>3.9730372373014688E-4</v>
      </c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 s="355">
        <v>0.40450960397720337</v>
      </c>
      <c r="DD64" s="311">
        <v>5.2819777280092239E-2</v>
      </c>
      <c r="DE64" s="15">
        <v>1.0032384656369686E-2</v>
      </c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 t="s">
        <v>255</v>
      </c>
      <c r="B65">
        <v>2.3389999866485596</v>
      </c>
      <c r="C65">
        <v>0.10854705423116684</v>
      </c>
      <c r="D65"/>
      <c r="E65"/>
      <c r="F65" s="19">
        <v>4.2862854897975922E-2</v>
      </c>
      <c r="G65" s="19">
        <v>4.2862854897975922E-2</v>
      </c>
      <c r="H65" s="19">
        <v>4.2862854897975922E-2</v>
      </c>
      <c r="I65" s="19">
        <v>4.2862854897975922E-2</v>
      </c>
      <c r="J65"/>
      <c r="K65"/>
      <c r="L65"/>
      <c r="M65" s="14">
        <v>5.6939590722322464E-3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 s="110">
        <v>0.67899852991104126</v>
      </c>
      <c r="AE65" s="320">
        <v>0.19644485414028168</v>
      </c>
      <c r="AF65" s="312">
        <v>0.13445974886417389</v>
      </c>
      <c r="AG65" s="68">
        <v>0.14876039326190948</v>
      </c>
      <c r="AH65" s="312">
        <v>0.1311928927898407</v>
      </c>
      <c r="AI65" s="11">
        <v>2.1229928825050592E-3</v>
      </c>
      <c r="AJ65" s="21">
        <v>4.7703620046377182E-2</v>
      </c>
      <c r="AK65" s="15">
        <v>2.2029288113117218E-2</v>
      </c>
      <c r="AL65" s="12">
        <v>7.093098945915699E-3</v>
      </c>
      <c r="AM65"/>
      <c r="AN65"/>
      <c r="AO65" s="14">
        <v>4.6060793101787567E-3</v>
      </c>
      <c r="AP65"/>
      <c r="AQ65" s="26">
        <v>5.8336704969406128E-2</v>
      </c>
      <c r="AR65" s="11">
        <v>3.384402662049979E-4</v>
      </c>
      <c r="AS65" s="22">
        <v>1.6522124409675598E-2</v>
      </c>
      <c r="AT65" s="11">
        <v>1.6860944742802531E-4</v>
      </c>
      <c r="AU65"/>
      <c r="AV65"/>
      <c r="AW65"/>
      <c r="AX65"/>
      <c r="AY65" s="11">
        <v>1.546123530715704E-3</v>
      </c>
      <c r="AZ65"/>
      <c r="BA65"/>
      <c r="BB65"/>
      <c r="BC65" s="11">
        <v>8.4762630285695195E-4</v>
      </c>
      <c r="BD65" s="14">
        <v>2.7637542225420475E-3</v>
      </c>
      <c r="BE65" s="11">
        <v>1.3244278961792588E-3</v>
      </c>
      <c r="BF65"/>
      <c r="BG65"/>
      <c r="BH65"/>
      <c r="BI65"/>
      <c r="BJ65" s="319">
        <v>0.23784860968589783</v>
      </c>
      <c r="BK65" s="22">
        <v>1.7247248440980911E-2</v>
      </c>
      <c r="BL65" s="19">
        <v>4.187457263469696E-2</v>
      </c>
      <c r="BM65"/>
      <c r="BN65"/>
      <c r="BO65"/>
      <c r="BP65" s="26">
        <v>5.758536234498024E-2</v>
      </c>
      <c r="BQ65" s="297">
        <v>7.9830683767795563E-2</v>
      </c>
      <c r="BR65"/>
      <c r="BS65"/>
      <c r="BT65" s="20">
        <v>0.10100483149290085</v>
      </c>
      <c r="BU65"/>
      <c r="BV65"/>
      <c r="BW65"/>
      <c r="BX65"/>
      <c r="BY65"/>
      <c r="BZ65" s="24">
        <v>6.2656983733177185E-2</v>
      </c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 t="s">
        <v>256</v>
      </c>
      <c r="B66">
        <v>3</v>
      </c>
      <c r="C66">
        <v>0.64483737945556641</v>
      </c>
      <c r="D66"/>
      <c r="E66"/>
      <c r="F66" s="11">
        <v>8.6351437494158745E-4</v>
      </c>
      <c r="G66" s="11">
        <v>8.6351437494158745E-4</v>
      </c>
      <c r="H66" s="11">
        <v>8.6351437494158745E-4</v>
      </c>
      <c r="I66" s="11">
        <v>8.6351437494158745E-4</v>
      </c>
      <c r="J66"/>
      <c r="K66"/>
      <c r="L66"/>
      <c r="M66" s="11">
        <v>2.3248457000590861E-4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 s="11">
        <v>2.3468711879104376E-3</v>
      </c>
      <c r="AH66" s="11">
        <v>2.4517993442714214E-3</v>
      </c>
      <c r="AI66"/>
      <c r="AJ66" s="11">
        <v>2.1129525266587734E-3</v>
      </c>
      <c r="AK66" s="14">
        <v>3.4013092517852783E-3</v>
      </c>
      <c r="AL66"/>
      <c r="AM66"/>
      <c r="AN66"/>
      <c r="AO66"/>
      <c r="AP66"/>
      <c r="AQ66"/>
      <c r="AR66"/>
      <c r="AS66"/>
      <c r="AT66" s="14">
        <v>8.7627740576863289E-3</v>
      </c>
      <c r="AU66"/>
      <c r="AV66"/>
      <c r="AW66"/>
      <c r="AX66"/>
      <c r="AY66"/>
      <c r="AZ66"/>
      <c r="BA66" s="11">
        <v>8.6788629414513707E-4</v>
      </c>
      <c r="BB66" s="23">
        <v>1.7080212011933327E-2</v>
      </c>
      <c r="BC66"/>
      <c r="BD66"/>
      <c r="BE66" s="14">
        <v>7.4760098941624165E-3</v>
      </c>
      <c r="BF66"/>
      <c r="BG66"/>
      <c r="BH66"/>
      <c r="BI66"/>
      <c r="BJ66" s="24">
        <v>7.9910732805728912E-2</v>
      </c>
      <c r="BK66" s="300">
        <v>0.13762253522872925</v>
      </c>
      <c r="BL66" s="21">
        <v>6.1198793351650238E-2</v>
      </c>
      <c r="BM66" s="28">
        <v>0.10456378012895584</v>
      </c>
      <c r="BN66" s="68">
        <v>0.18685133755207062</v>
      </c>
      <c r="BO66" s="11">
        <v>2.7479475829750299E-3</v>
      </c>
      <c r="BP66"/>
      <c r="BQ66"/>
      <c r="BR66" s="19">
        <v>5.2692245692014694E-2</v>
      </c>
      <c r="BS66" s="19">
        <v>5.5705111473798752E-2</v>
      </c>
      <c r="BT66" s="11">
        <v>1.166512374766171E-3</v>
      </c>
      <c r="BU66" s="26">
        <v>7.7175110578536987E-2</v>
      </c>
      <c r="BV66" s="12">
        <v>1.3330083340406418E-2</v>
      </c>
      <c r="BW66" s="14">
        <v>5.172140896320343E-3</v>
      </c>
      <c r="BX66"/>
      <c r="BY66"/>
      <c r="BZ66"/>
      <c r="CA66"/>
      <c r="CB66"/>
      <c r="CC66"/>
      <c r="CD66"/>
      <c r="CE66"/>
      <c r="CF66"/>
      <c r="CG66" s="15">
        <v>3.0061185359954834E-2</v>
      </c>
      <c r="CH66"/>
      <c r="CI66"/>
      <c r="CJ66"/>
      <c r="CK66"/>
      <c r="CL66"/>
      <c r="CM66"/>
      <c r="CN66"/>
      <c r="CO66"/>
      <c r="CP66"/>
      <c r="CQ66"/>
      <c r="CR66" s="28">
        <v>0.10865697264671326</v>
      </c>
      <c r="CS66"/>
      <c r="CT66"/>
      <c r="CU66"/>
      <c r="CV66"/>
      <c r="CW66"/>
      <c r="CX66"/>
      <c r="CY66"/>
      <c r="CZ66"/>
      <c r="DA66"/>
      <c r="DB66"/>
      <c r="DC66" s="372">
        <v>0.72656083106994629</v>
      </c>
      <c r="DD66" s="371">
        <v>0.65224754810333252</v>
      </c>
      <c r="DE66" s="12">
        <v>1.1313498951494694E-2</v>
      </c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 t="s">
        <v>257</v>
      </c>
      <c r="B67">
        <v>2.3389999866485596</v>
      </c>
      <c r="C67">
        <v>0.12471810728311539</v>
      </c>
      <c r="D67"/>
      <c r="E67"/>
      <c r="F67" s="294">
        <v>5.5888894945383072E-2</v>
      </c>
      <c r="G67" s="294">
        <v>5.5888894945383072E-2</v>
      </c>
      <c r="H67" s="294">
        <v>5.5888894945383072E-2</v>
      </c>
      <c r="I67" s="294">
        <v>5.5888894945383072E-2</v>
      </c>
      <c r="J67"/>
      <c r="K67"/>
      <c r="L67"/>
      <c r="M67" s="12">
        <v>7.2898222133517265E-3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 s="319">
        <v>0.23708383738994598</v>
      </c>
      <c r="AE67" s="68">
        <v>0.14819511771202087</v>
      </c>
      <c r="AF67" s="26">
        <v>5.7767093181610107E-2</v>
      </c>
      <c r="AG67" s="11">
        <v>2.2854573035147041E-4</v>
      </c>
      <c r="AH67" s="11">
        <v>2.0155617967247963E-3</v>
      </c>
      <c r="AI67" s="14">
        <v>3.2616271637380123E-3</v>
      </c>
      <c r="AJ67" s="11">
        <v>1.145136309787631E-3</v>
      </c>
      <c r="AK67" s="15">
        <v>2.4885553866624832E-2</v>
      </c>
      <c r="AL67" s="29">
        <v>0.1100744754076004</v>
      </c>
      <c r="AM67"/>
      <c r="AN67"/>
      <c r="AO67" s="23">
        <v>1.4768277294933796E-2</v>
      </c>
      <c r="AP67"/>
      <c r="AQ67" s="11">
        <v>7.649767940165475E-5</v>
      </c>
      <c r="AR67" s="14">
        <v>5.284119863063097E-3</v>
      </c>
      <c r="AS67" s="23">
        <v>1.3896085321903229E-2</v>
      </c>
      <c r="AT67" s="14">
        <v>5.5046109482645988E-3</v>
      </c>
      <c r="AU67"/>
      <c r="AV67"/>
      <c r="AW67"/>
      <c r="AX67"/>
      <c r="AY67" s="11">
        <v>1.5226685209199786E-3</v>
      </c>
      <c r="AZ67"/>
      <c r="BA67"/>
      <c r="BB67"/>
      <c r="BC67" s="14">
        <v>5.6904498487710953E-3</v>
      </c>
      <c r="BD67" s="15">
        <v>2.101580798625946E-2</v>
      </c>
      <c r="BE67" s="12">
        <v>1.0283217765390873E-2</v>
      </c>
      <c r="BF67"/>
      <c r="BG67"/>
      <c r="BH67"/>
      <c r="BI67"/>
      <c r="BJ67" s="299">
        <v>9.1353654861450195E-2</v>
      </c>
      <c r="BK67" s="18">
        <v>2.6497542858123779E-2</v>
      </c>
      <c r="BL67" s="11">
        <v>1.2866629986092448E-3</v>
      </c>
      <c r="BM67" s="18">
        <v>2.6749497279524803E-2</v>
      </c>
      <c r="BN67"/>
      <c r="BO67"/>
      <c r="BP67" s="25">
        <v>7.4974894523620605E-2</v>
      </c>
      <c r="BQ67" s="29">
        <v>0.10966579616069794</v>
      </c>
      <c r="BR67" s="297">
        <v>7.7104181051254272E-2</v>
      </c>
      <c r="BS67" s="297">
        <v>7.6537609100341797E-2</v>
      </c>
      <c r="BT67" s="144">
        <v>0.2327658087015152</v>
      </c>
      <c r="BU67"/>
      <c r="BV67"/>
      <c r="BW67"/>
      <c r="BX67"/>
      <c r="BY67"/>
      <c r="BZ67" s="308">
        <v>0.18801189959049225</v>
      </c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 s="78">
        <v>0.14999713003635406</v>
      </c>
      <c r="CS67"/>
      <c r="CT67"/>
      <c r="CU67"/>
      <c r="CV67"/>
      <c r="CW67"/>
      <c r="CX67"/>
      <c r="CY67"/>
      <c r="CZ67"/>
      <c r="DA67"/>
      <c r="DB67"/>
      <c r="DC67" s="318">
        <v>0.26579305529594421</v>
      </c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 t="s">
        <v>258</v>
      </c>
      <c r="B68">
        <v>1.440000057220459</v>
      </c>
      <c r="C68">
        <v>0.45112636685371399</v>
      </c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 s="15">
        <v>1.394099835306406E-2</v>
      </c>
      <c r="BB68" s="12">
        <v>4.8577170819044113E-3</v>
      </c>
      <c r="BC68" s="147">
        <v>4.1280597448348999E-2</v>
      </c>
      <c r="BD68"/>
      <c r="BE68"/>
      <c r="BF68"/>
      <c r="BG68"/>
      <c r="BH68"/>
      <c r="BI68"/>
      <c r="BJ68" s="14">
        <v>1.8933350220322609E-3</v>
      </c>
      <c r="BK68" s="11">
        <v>6.8646302679553628E-4</v>
      </c>
      <c r="BL68" s="12">
        <v>6.6666160710155964E-3</v>
      </c>
      <c r="BM68" s="24">
        <v>3.9500508457422256E-2</v>
      </c>
      <c r="BN68" s="16">
        <v>2.2501124069094658E-2</v>
      </c>
      <c r="BO68" s="19">
        <v>2.6516521349549294E-2</v>
      </c>
      <c r="BP68"/>
      <c r="BQ68"/>
      <c r="BR68"/>
      <c r="BS68"/>
      <c r="BT68"/>
      <c r="BU68"/>
      <c r="BV68"/>
      <c r="BW68" s="12">
        <v>5.0473650917410851E-3</v>
      </c>
      <c r="BX68"/>
      <c r="BY68"/>
      <c r="BZ68"/>
      <c r="CA68"/>
      <c r="CB68"/>
      <c r="CC68"/>
      <c r="CD68" s="333">
        <v>0.19626012444496155</v>
      </c>
      <c r="CE68" s="142">
        <v>0.17310872673988342</v>
      </c>
      <c r="CF68" s="66">
        <v>5.9701889753341675E-2</v>
      </c>
      <c r="CG68" s="17">
        <v>1.8936816602945328E-2</v>
      </c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 s="364">
        <v>0.37797489762306213</v>
      </c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 t="s">
        <v>259</v>
      </c>
      <c r="B69">
        <v>2.1600000858306885</v>
      </c>
      <c r="C69">
        <v>4.9476072192192078E-2</v>
      </c>
      <c r="D69"/>
      <c r="E69"/>
      <c r="F69"/>
      <c r="G69"/>
      <c r="H69"/>
      <c r="I69"/>
      <c r="J69"/>
      <c r="K69"/>
      <c r="L69"/>
      <c r="M69" s="14">
        <v>2.3980166297405958E-3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 s="14">
        <v>2.4851150810718536E-3</v>
      </c>
      <c r="BB69" s="11">
        <v>2.1720789663959295E-4</v>
      </c>
      <c r="BC69" s="12">
        <v>8.6223473772406578E-3</v>
      </c>
      <c r="BD69"/>
      <c r="BE69"/>
      <c r="BF69"/>
      <c r="BG69"/>
      <c r="BH69"/>
      <c r="BI69"/>
      <c r="BJ69" s="11">
        <v>3.2127896702149883E-5</v>
      </c>
      <c r="BK69" s="11">
        <v>1.0824954188137781E-5</v>
      </c>
      <c r="BL69" s="14">
        <v>5.9419441968202591E-3</v>
      </c>
      <c r="BM69" s="11">
        <v>1.6629352467134595E-3</v>
      </c>
      <c r="BN69" s="12">
        <v>1.0027593933045864E-2</v>
      </c>
      <c r="BO69" s="11">
        <v>6.4928852953016758E-4</v>
      </c>
      <c r="BP69"/>
      <c r="BQ69"/>
      <c r="BR69"/>
      <c r="BS69"/>
      <c r="BT69"/>
      <c r="BU69"/>
      <c r="BV69"/>
      <c r="BW69" s="11">
        <v>6.6548906033858657E-5</v>
      </c>
      <c r="BX69"/>
      <c r="BY69"/>
      <c r="BZ69"/>
      <c r="CA69"/>
      <c r="CB69"/>
      <c r="CC69"/>
      <c r="CD69" s="299">
        <v>8.2796551287174225E-2</v>
      </c>
      <c r="CE69" s="297">
        <v>7.1249887347221375E-2</v>
      </c>
      <c r="CF69" s="11">
        <v>1.3098370982334018E-3</v>
      </c>
      <c r="CG69" s="11">
        <v>2.3184502788353711E-4</v>
      </c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 s="373">
        <v>1.9145601987838745</v>
      </c>
      <c r="CX69"/>
      <c r="CY69"/>
      <c r="CZ69"/>
      <c r="DA69"/>
      <c r="DB69"/>
      <c r="DC69" s="12">
        <v>8.2617457956075668E-3</v>
      </c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 t="s">
        <v>260</v>
      </c>
      <c r="B70">
        <v>1.3980000019073486</v>
      </c>
      <c r="C70">
        <v>0.2396123856306076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 s="15">
        <v>1.394099835306406E-2</v>
      </c>
      <c r="BB70" s="12">
        <v>4.7973725013434887E-3</v>
      </c>
      <c r="BC70" s="294">
        <v>3.339642658829689E-2</v>
      </c>
      <c r="BD70"/>
      <c r="BE70"/>
      <c r="BF70"/>
      <c r="BG70"/>
      <c r="BH70"/>
      <c r="BI70"/>
      <c r="BJ70" s="11">
        <v>9.4666751101613045E-4</v>
      </c>
      <c r="BK70" s="11">
        <v>4.1187918395735323E-4</v>
      </c>
      <c r="BL70" s="21">
        <v>2.6666529476642609E-2</v>
      </c>
      <c r="BM70" s="65">
        <v>3.1184617429971695E-2</v>
      </c>
      <c r="BN70" s="308">
        <v>0.11250561475753784</v>
      </c>
      <c r="BO70" s="21">
        <v>2.6516521349549294E-2</v>
      </c>
      <c r="BP70"/>
      <c r="BQ70"/>
      <c r="BR70"/>
      <c r="BS70"/>
      <c r="BT70"/>
      <c r="BU70"/>
      <c r="BV70"/>
      <c r="BW70" s="14">
        <v>2.5236825458705425E-3</v>
      </c>
      <c r="BX70"/>
      <c r="BY70"/>
      <c r="BZ70"/>
      <c r="CA70"/>
      <c r="CB70"/>
      <c r="CC70"/>
      <c r="CD70" s="296">
        <v>0.1904575377702713</v>
      </c>
      <c r="CE70" s="109">
        <v>0.17310872673988342</v>
      </c>
      <c r="CF70" s="297">
        <v>4.7263998538255692E-2</v>
      </c>
      <c r="CG70" s="22">
        <v>9.6374964341521263E-3</v>
      </c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 s="343">
        <v>0.21304038166999817</v>
      </c>
      <c r="CX70"/>
      <c r="CY70"/>
      <c r="CZ70"/>
      <c r="DA70"/>
      <c r="DB70"/>
      <c r="DC70" s="113">
        <v>0.27198925614356995</v>
      </c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 t="s">
        <v>261</v>
      </c>
      <c r="B71">
        <v>0.91735380887985229</v>
      </c>
      <c r="C71">
        <v>0.36715364456176758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 s="16">
        <v>1.394099835306406E-2</v>
      </c>
      <c r="BB71" s="23">
        <v>4.8577170819044113E-3</v>
      </c>
      <c r="BC71"/>
      <c r="BD71"/>
      <c r="BE71"/>
      <c r="BF71"/>
      <c r="BG71"/>
      <c r="BH71"/>
      <c r="BI71"/>
      <c r="BJ71" s="14">
        <v>1.8933350220322609E-3</v>
      </c>
      <c r="BK71" s="11">
        <v>6.8646302679553628E-4</v>
      </c>
      <c r="BL71" s="64">
        <v>4.9999870359897614E-2</v>
      </c>
      <c r="BM71" s="13">
        <v>3.464958444237709E-2</v>
      </c>
      <c r="BN71" s="23">
        <v>5.4002692922949791E-3</v>
      </c>
      <c r="BO71" s="312">
        <v>5.3033042699098587E-2</v>
      </c>
      <c r="BP71"/>
      <c r="BQ71"/>
      <c r="BR71"/>
      <c r="BS71"/>
      <c r="BT71"/>
      <c r="BU71"/>
      <c r="BV71"/>
      <c r="BW71" s="23">
        <v>5.0473650917410851E-3</v>
      </c>
      <c r="BX71"/>
      <c r="BY71"/>
      <c r="BZ71"/>
      <c r="CA71"/>
      <c r="CB71"/>
      <c r="CC71"/>
      <c r="CD71" s="113">
        <v>0.17776036262512207</v>
      </c>
      <c r="CE71" s="357">
        <v>0.17310872673988342</v>
      </c>
      <c r="CF71" s="18">
        <v>1.0885646566748619E-2</v>
      </c>
      <c r="CG71" s="65">
        <v>1.8936816602945328E-2</v>
      </c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 t="s">
        <v>262</v>
      </c>
      <c r="B72">
        <v>0.4747999906539917</v>
      </c>
      <c r="C72">
        <v>2.3697810247540474E-2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 s="324">
        <v>8.3572767674922943E-2</v>
      </c>
      <c r="CE72" s="321">
        <v>5.1679834723472595E-2</v>
      </c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 s="341">
        <v>0.31584954261779785</v>
      </c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 t="s">
        <v>263</v>
      </c>
      <c r="B73">
        <v>5.000000074505806E-2</v>
      </c>
      <c r="C73">
        <v>1.5213117003440857E-2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 s="17">
        <v>7.087371195666492E-4</v>
      </c>
      <c r="AO73"/>
      <c r="AP73"/>
      <c r="AQ73"/>
      <c r="AR73"/>
      <c r="AS73" s="11">
        <v>4.0320148400496691E-5</v>
      </c>
      <c r="AT73"/>
      <c r="AU73"/>
      <c r="AV73"/>
      <c r="AW73"/>
      <c r="AX73"/>
      <c r="AY73"/>
      <c r="AZ73"/>
      <c r="BA73" s="325">
        <v>1.6729198396205902E-2</v>
      </c>
      <c r="BB73" s="12">
        <v>1.8103291222359985E-4</v>
      </c>
      <c r="BC73"/>
      <c r="BD73"/>
      <c r="BE73"/>
      <c r="BF73"/>
      <c r="BG73"/>
      <c r="BH73"/>
      <c r="BI73"/>
      <c r="BJ73" s="318">
        <v>5.6800050660967827E-3</v>
      </c>
      <c r="BK73" s="297">
        <v>1.647519413381815E-3</v>
      </c>
      <c r="BL73" s="78">
        <v>3.1999838538467884E-3</v>
      </c>
      <c r="BM73" s="22">
        <v>4.1579501703381538E-4</v>
      </c>
      <c r="BN73" s="64">
        <v>2.7001348789781332E-3</v>
      </c>
      <c r="BO73"/>
      <c r="BP73"/>
      <c r="BQ73"/>
      <c r="BR73"/>
      <c r="BS73"/>
      <c r="BT73"/>
      <c r="BU73"/>
      <c r="BV73" s="19">
        <v>8.8115915423259139E-4</v>
      </c>
      <c r="BW73"/>
      <c r="BX73"/>
      <c r="BY73"/>
      <c r="BZ73"/>
      <c r="CA73"/>
      <c r="CB73"/>
      <c r="CC73"/>
      <c r="CD73"/>
      <c r="CE73"/>
      <c r="CF73" s="311">
        <v>2.6030028238892555E-3</v>
      </c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 t="s">
        <v>264</v>
      </c>
      <c r="B74">
        <v>3.8236920833587646</v>
      </c>
      <c r="C74">
        <v>0.5499427318572998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 s="312">
        <v>0.2138306051492691</v>
      </c>
      <c r="U74"/>
      <c r="V74"/>
      <c r="W74"/>
      <c r="X74"/>
      <c r="Y74"/>
      <c r="Z74" s="14">
        <v>4.0310039184987545E-3</v>
      </c>
      <c r="AA74"/>
      <c r="AB74"/>
      <c r="AC74" s="11">
        <v>7.4408145155757666E-4</v>
      </c>
      <c r="AD74" s="17">
        <v>5.1690623164176941E-2</v>
      </c>
      <c r="AE74" s="65">
        <v>7.9533547163009644E-2</v>
      </c>
      <c r="AF74" s="14">
        <v>5.3502591326832771E-3</v>
      </c>
      <c r="AG74" s="75">
        <v>0.35640254616737366</v>
      </c>
      <c r="AH74" s="66">
        <v>0.15793704986572266</v>
      </c>
      <c r="AI74" s="315">
        <v>0.27555978298187256</v>
      </c>
      <c r="AJ74"/>
      <c r="AK74"/>
      <c r="AL74"/>
      <c r="AM74" s="312">
        <v>0.21953693032264709</v>
      </c>
      <c r="AN74" s="24">
        <v>0.10164724290370941</v>
      </c>
      <c r="AO74"/>
      <c r="AP74" s="12">
        <v>1.2381557375192642E-2</v>
      </c>
      <c r="AQ74" s="11">
        <v>8.4560213144868612E-4</v>
      </c>
      <c r="AR74"/>
      <c r="AS74"/>
      <c r="AT74" s="11">
        <v>1.1754430597648025E-3</v>
      </c>
      <c r="AU74" s="11">
        <v>2.4013243091758341E-5</v>
      </c>
      <c r="AV74"/>
      <c r="AW74"/>
      <c r="AX74" s="11">
        <v>9.5034782134462148E-5</v>
      </c>
      <c r="AY74" s="14">
        <v>5.2652419544756413E-3</v>
      </c>
      <c r="AZ74" s="11">
        <v>1.373284263536334E-3</v>
      </c>
      <c r="BA74" s="14">
        <v>1.0207312181591988E-2</v>
      </c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 s="11">
        <v>2.0513955969363451E-3</v>
      </c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 s="144">
        <v>0.3789999783039093</v>
      </c>
      <c r="CP74"/>
      <c r="CQ74" s="75">
        <v>0.36359259486198425</v>
      </c>
      <c r="CR74" s="311">
        <v>0.20439618825912476</v>
      </c>
      <c r="CS74"/>
      <c r="CT74"/>
      <c r="CU74" s="332">
        <v>0.77505481243133545</v>
      </c>
      <c r="CV74"/>
      <c r="CW74"/>
      <c r="CX74"/>
      <c r="CY74"/>
      <c r="CZ74"/>
      <c r="DA74"/>
      <c r="DB74"/>
      <c r="DC74"/>
      <c r="DD74" s="17">
        <v>5.2022777497768402E-2</v>
      </c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 t="s">
        <v>265</v>
      </c>
      <c r="B75">
        <v>2.2280952930450439</v>
      </c>
      <c r="C75">
        <v>0.38991045951843262</v>
      </c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 s="18">
        <v>2.5083262473344803E-2</v>
      </c>
      <c r="U75"/>
      <c r="V75"/>
      <c r="W75"/>
      <c r="X75"/>
      <c r="Y75"/>
      <c r="Z75" s="14">
        <v>4.0310039184987545E-3</v>
      </c>
      <c r="AA75"/>
      <c r="AB75"/>
      <c r="AC75"/>
      <c r="AD75" s="294">
        <v>5.1690623164176941E-2</v>
      </c>
      <c r="AE75" s="17">
        <v>3.1858928501605988E-2</v>
      </c>
      <c r="AF75" s="12">
        <v>6.6853049211204052E-3</v>
      </c>
      <c r="AG75" s="147">
        <v>6.6771090030670166E-2</v>
      </c>
      <c r="AH75" s="25">
        <v>7.0047758519649506E-2</v>
      </c>
      <c r="AI75" s="25">
        <v>7.1112208068370819E-2</v>
      </c>
      <c r="AJ75"/>
      <c r="AK75"/>
      <c r="AL75"/>
      <c r="AM75" s="15">
        <v>2.1983401849865913E-2</v>
      </c>
      <c r="AN75" s="14">
        <v>4.4734817929565907E-3</v>
      </c>
      <c r="AO75" s="11">
        <v>5.3664762526750565E-4</v>
      </c>
      <c r="AP75" s="65">
        <v>4.6286191791296005E-2</v>
      </c>
      <c r="AQ75" s="11">
        <v>8.4560213144868612E-4</v>
      </c>
      <c r="AR75" s="11">
        <v>1.3824953930452466E-3</v>
      </c>
      <c r="AS75" s="11">
        <v>2.787339617498219E-4</v>
      </c>
      <c r="AT75" s="11">
        <v>1.1754430597648025E-3</v>
      </c>
      <c r="AU75" s="11">
        <v>3.0745926778763533E-5</v>
      </c>
      <c r="AV75" s="11">
        <v>4.873105717706494E-5</v>
      </c>
      <c r="AW75" s="11">
        <v>1.4459336625805008E-6</v>
      </c>
      <c r="AX75" s="11">
        <v>5.2787698223255575E-5</v>
      </c>
      <c r="AY75" s="14">
        <v>3.3198252785950899E-3</v>
      </c>
      <c r="AZ75" s="11">
        <v>1.4117364771664143E-3</v>
      </c>
      <c r="BA75" s="11">
        <v>1.1732544517144561E-3</v>
      </c>
      <c r="BB75" s="11">
        <v>7.3638116009533405E-4</v>
      </c>
      <c r="BC75"/>
      <c r="BD75" s="15">
        <v>2.3377595469355583E-2</v>
      </c>
      <c r="BE75" s="11">
        <v>3.3391737815691158E-5</v>
      </c>
      <c r="BF75" s="14">
        <v>3.0898815020918846E-3</v>
      </c>
      <c r="BG75" s="11">
        <v>3.2888166606426239E-4</v>
      </c>
      <c r="BH75" s="11">
        <v>9.1173796681687236E-4</v>
      </c>
      <c r="BI75" s="14">
        <v>2.2194604389369488E-3</v>
      </c>
      <c r="BJ75" s="337">
        <v>0.19917543232440948</v>
      </c>
      <c r="BK75" s="17">
        <v>2.8885981068015099E-2</v>
      </c>
      <c r="BL75" s="23">
        <v>1.402635034173727E-2</v>
      </c>
      <c r="BM75" s="23">
        <v>1.3268065638840199E-2</v>
      </c>
      <c r="BN75" s="65">
        <v>4.7341551631689072E-2</v>
      </c>
      <c r="BO75" s="22">
        <v>1.7733188346028328E-2</v>
      </c>
      <c r="BP75" s="69">
        <v>0.20433168113231659</v>
      </c>
      <c r="BQ75" s="16">
        <v>3.3449705690145493E-2</v>
      </c>
      <c r="BR75" s="312">
        <v>0.12608131766319275</v>
      </c>
      <c r="BS75" s="19">
        <v>4.0675334632396698E-2</v>
      </c>
      <c r="BT75" s="75">
        <v>0.21145489811897278</v>
      </c>
      <c r="BU75" s="297">
        <v>7.606709748506546E-2</v>
      </c>
      <c r="BV75" s="14">
        <v>2.8792005032300949E-3</v>
      </c>
      <c r="BW75" s="14">
        <v>3.7168180570006371E-3</v>
      </c>
      <c r="BX75" s="19">
        <v>4.1233055293560028E-2</v>
      </c>
      <c r="BY75" s="14">
        <v>2.8274424839764833E-3</v>
      </c>
      <c r="BZ75" s="19">
        <v>4.0991544723510742E-2</v>
      </c>
      <c r="CA75" s="12">
        <v>9.2296702787280083E-3</v>
      </c>
      <c r="CB75"/>
      <c r="CC75"/>
      <c r="CD75"/>
      <c r="CE75"/>
      <c r="CF75" s="11">
        <v>8.7090040324255824E-4</v>
      </c>
      <c r="CG75" s="23">
        <v>1.145468931645155E-2</v>
      </c>
      <c r="CH75"/>
      <c r="CI75"/>
      <c r="CJ75"/>
      <c r="CK75"/>
      <c r="CL75"/>
      <c r="CM75"/>
      <c r="CN75"/>
      <c r="CO75" s="19">
        <v>3.7900004535913467E-2</v>
      </c>
      <c r="CP75"/>
      <c r="CQ75" s="26">
        <v>5.5374182760715485E-2</v>
      </c>
      <c r="CR75" s="16">
        <v>3.587152436375618E-2</v>
      </c>
      <c r="CS75"/>
      <c r="CT75"/>
      <c r="CU75" s="21">
        <v>4.3684907257556915E-2</v>
      </c>
      <c r="CV75"/>
      <c r="CW75"/>
      <c r="CX75"/>
      <c r="CY75"/>
      <c r="CZ75"/>
      <c r="DA75"/>
      <c r="DB75"/>
      <c r="DC75" s="24">
        <v>6.0847431421279907E-2</v>
      </c>
      <c r="DD75" s="19">
        <v>3.7834744900465012E-2</v>
      </c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 t="s">
        <v>266</v>
      </c>
      <c r="B76">
        <v>4.3480000495910645</v>
      </c>
      <c r="C76">
        <v>2.1351756528019905E-2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94">
        <v>0.10374655574560165</v>
      </c>
      <c r="S76"/>
      <c r="T76"/>
      <c r="U76" s="16">
        <v>7.1446932852268219E-2</v>
      </c>
      <c r="V76" s="297">
        <v>0.14171963930130005</v>
      </c>
      <c r="W76" s="312">
        <v>0.24581098556518555</v>
      </c>
      <c r="X76"/>
      <c r="Y76"/>
      <c r="Z76"/>
      <c r="AA76"/>
      <c r="AB76"/>
      <c r="AC76"/>
      <c r="AD76" s="19">
        <v>7.2631075978279114E-2</v>
      </c>
      <c r="AE76" s="12">
        <v>1.3019528239965439E-2</v>
      </c>
      <c r="AF76" s="28">
        <v>0.15523736178874969</v>
      </c>
      <c r="AG76" s="28">
        <v>0.15354257822036743</v>
      </c>
      <c r="AH76" s="68">
        <v>0.27082067728042603</v>
      </c>
      <c r="AI76"/>
      <c r="AJ76" s="19">
        <v>7.6933048665523529E-2</v>
      </c>
      <c r="AK76" s="312">
        <v>0.25078082084655762</v>
      </c>
      <c r="AL76" s="65">
        <v>9.0367764234542847E-2</v>
      </c>
      <c r="AM76" s="18">
        <v>5.4008375853300095E-2</v>
      </c>
      <c r="AN76" s="23">
        <v>2.3484736680984497E-2</v>
      </c>
      <c r="AO76" s="28">
        <v>0.15304268896579742</v>
      </c>
      <c r="AP76" s="14">
        <v>8.3435950800776482E-3</v>
      </c>
      <c r="AQ76" s="14">
        <v>1.1820391751825809E-2</v>
      </c>
      <c r="AR76" s="14">
        <v>1.040860079228878E-2</v>
      </c>
      <c r="AS76" s="22">
        <v>3.5500653088092804E-2</v>
      </c>
      <c r="AT76" s="11">
        <v>1.8055581022053957E-3</v>
      </c>
      <c r="AU76" s="11">
        <v>7.0398068055510521E-4</v>
      </c>
      <c r="AV76"/>
      <c r="AW76" s="11">
        <v>1.6561774828005582E-4</v>
      </c>
      <c r="AX76" s="11">
        <v>5.8567745145410299E-4</v>
      </c>
      <c r="AY76" s="11">
        <v>2.8643046971410513E-4</v>
      </c>
      <c r="AZ76"/>
      <c r="BA76" s="22">
        <v>3.615247830748558E-2</v>
      </c>
      <c r="BB76" s="11">
        <v>7.8244054748211056E-5</v>
      </c>
      <c r="BC76"/>
      <c r="BD76" s="11">
        <v>3.457697806879878E-3</v>
      </c>
      <c r="BE76" s="11">
        <v>1.7344785155728459E-3</v>
      </c>
      <c r="BF76" s="11">
        <v>3.0859661637805402E-4</v>
      </c>
      <c r="BG76" s="14">
        <v>1.0181239806115627E-2</v>
      </c>
      <c r="BH76" s="14">
        <v>6.9948704913258553E-3</v>
      </c>
      <c r="BI76" s="11">
        <v>3.336103109177202E-4</v>
      </c>
      <c r="BJ76" s="320">
        <v>0.3682420551776886</v>
      </c>
      <c r="BK76" s="352">
        <v>0.89008808135986328</v>
      </c>
      <c r="BL76" s="14">
        <v>8.64411611109972E-3</v>
      </c>
      <c r="BM76" s="11">
        <v>8.9854997349902987E-4</v>
      </c>
      <c r="BN76" s="16">
        <v>6.5936639904975891E-2</v>
      </c>
      <c r="BO76" s="12">
        <v>1.3507203198969364E-2</v>
      </c>
      <c r="BP76"/>
      <c r="BQ76"/>
      <c r="BR76" s="67">
        <v>0.25900232791900635</v>
      </c>
      <c r="BS76" s="15">
        <v>3.9079222828149796E-2</v>
      </c>
      <c r="BT76" s="148">
        <v>0.26062953472137451</v>
      </c>
      <c r="BU76" s="11">
        <v>4.4058647472411394E-4</v>
      </c>
      <c r="BV76" s="14">
        <v>9.1748666018247604E-3</v>
      </c>
      <c r="BW76"/>
      <c r="BX76"/>
      <c r="BY76"/>
      <c r="BZ76" s="67">
        <v>0.25262144207954407</v>
      </c>
      <c r="CA76" s="23">
        <v>2.5554930791258812E-2</v>
      </c>
      <c r="CB76"/>
      <c r="CC76"/>
      <c r="CD76"/>
      <c r="CE76"/>
      <c r="CF76" s="23">
        <v>2.8229191899299622E-2</v>
      </c>
      <c r="CG76" s="23">
        <v>2.4553963914513588E-2</v>
      </c>
      <c r="CH76"/>
      <c r="CI76"/>
      <c r="CJ76"/>
      <c r="CK76"/>
      <c r="CL76"/>
      <c r="CM76"/>
      <c r="CN76"/>
      <c r="CO76"/>
      <c r="CP76"/>
      <c r="CQ76" s="19">
        <v>7.3961488902568817E-2</v>
      </c>
      <c r="CR76" s="11">
        <v>6.2982324743643403E-4</v>
      </c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 t="s">
        <v>267</v>
      </c>
      <c r="B77">
        <v>2.3269999027252197</v>
      </c>
      <c r="C77">
        <v>0.6748661994934082</v>
      </c>
      <c r="D77"/>
      <c r="E77" s="22">
        <v>1.8410898745059967E-2</v>
      </c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 s="16">
        <v>3.599831834435463E-2</v>
      </c>
      <c r="X77"/>
      <c r="Y77"/>
      <c r="Z77"/>
      <c r="AA77"/>
      <c r="AB77"/>
      <c r="AC77"/>
      <c r="AD77" s="12">
        <v>9.363081306219101E-3</v>
      </c>
      <c r="AE77" s="14">
        <v>2.7729836292564869E-3</v>
      </c>
      <c r="AF77"/>
      <c r="AG77" s="14">
        <v>3.9378711953759193E-3</v>
      </c>
      <c r="AH77" s="14">
        <v>4.1242018342018127E-3</v>
      </c>
      <c r="AI77"/>
      <c r="AJ77" s="19">
        <v>4.1963774710893631E-2</v>
      </c>
      <c r="AK77" s="66">
        <v>9.6677400171756744E-2</v>
      </c>
      <c r="AL77" s="16">
        <v>3.836822509765625E-2</v>
      </c>
      <c r="AM77" s="21">
        <v>4.6012219041585922E-2</v>
      </c>
      <c r="AN77" s="12">
        <v>7.5028920546174049E-3</v>
      </c>
      <c r="AO77"/>
      <c r="AP77"/>
      <c r="AQ77"/>
      <c r="AR77"/>
      <c r="AS77" s="11">
        <v>1.0366106871515512E-3</v>
      </c>
      <c r="AT77" s="11">
        <v>2.8726132586598396E-4</v>
      </c>
      <c r="AU77" s="11">
        <v>2.3683783365413547E-4</v>
      </c>
      <c r="AV77"/>
      <c r="AW77"/>
      <c r="AX77"/>
      <c r="AY77" s="11">
        <v>8.7151165644172579E-6</v>
      </c>
      <c r="AZ77" s="12">
        <v>6.9326260127127171E-3</v>
      </c>
      <c r="BA77" s="12">
        <v>8.6547881364822388E-3</v>
      </c>
      <c r="BB77" s="14">
        <v>4.7661606222391129E-3</v>
      </c>
      <c r="BC77"/>
      <c r="BD77" s="14">
        <v>4.0504354983568192E-3</v>
      </c>
      <c r="BE77"/>
      <c r="BF77"/>
      <c r="BG77"/>
      <c r="BH77"/>
      <c r="BI77"/>
      <c r="BJ77" s="346">
        <v>0.52287054061889648</v>
      </c>
      <c r="BK77" s="78">
        <v>0.15166082978248596</v>
      </c>
      <c r="BL77" s="24">
        <v>6.3885480165481567E-2</v>
      </c>
      <c r="BM77" s="22">
        <v>1.9137902185320854E-2</v>
      </c>
      <c r="BN77" s="14">
        <v>3.9769532158970833E-3</v>
      </c>
      <c r="BO77"/>
      <c r="BP77"/>
      <c r="BQ77"/>
      <c r="BR77" s="298">
        <v>0.19307400286197662</v>
      </c>
      <c r="BS77" s="29">
        <v>0.10951728373765945</v>
      </c>
      <c r="BT77" s="11">
        <v>1.1102114804089069E-3</v>
      </c>
      <c r="BU77"/>
      <c r="BV77" s="11">
        <v>4.0557331521995366E-4</v>
      </c>
      <c r="BW77"/>
      <c r="BX77"/>
      <c r="BY77"/>
      <c r="BZ77"/>
      <c r="CA77"/>
      <c r="CB77"/>
      <c r="CC77"/>
      <c r="CD77"/>
      <c r="CE77"/>
      <c r="CF77" s="14">
        <v>3.6052635405212641E-3</v>
      </c>
      <c r="CG77" s="15">
        <v>2.1012017503380775E-2</v>
      </c>
      <c r="CH77" s="11">
        <v>1.5477437991648912E-3</v>
      </c>
      <c r="CI77"/>
      <c r="CJ77"/>
      <c r="CK77"/>
      <c r="CL77"/>
      <c r="CM77"/>
      <c r="CN77"/>
      <c r="CO77"/>
      <c r="CP77"/>
      <c r="CQ77"/>
      <c r="CR77" s="312">
        <v>0.13414384424686432</v>
      </c>
      <c r="CS77"/>
      <c r="CT77"/>
      <c r="CU77"/>
      <c r="CV77"/>
      <c r="CW77"/>
      <c r="CX77"/>
      <c r="CY77"/>
      <c r="CZ77"/>
      <c r="DA77"/>
      <c r="DB77"/>
      <c r="DC77" s="66">
        <v>9.5080509781837463E-2</v>
      </c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 t="s">
        <v>268</v>
      </c>
      <c r="B78">
        <v>0.74006998538970947</v>
      </c>
      <c r="C78">
        <v>2.5199109688401222E-2</v>
      </c>
      <c r="D78" s="14">
        <v>1.2107288930565119E-3</v>
      </c>
      <c r="E78" s="23">
        <v>3.8137971423566341E-3</v>
      </c>
      <c r="F78"/>
      <c r="G78"/>
      <c r="H78"/>
      <c r="I78"/>
      <c r="J78" s="14">
        <v>1.2712657917290926E-3</v>
      </c>
      <c r="K78"/>
      <c r="L78"/>
      <c r="M78" s="11">
        <v>6.0536443925229833E-5</v>
      </c>
      <c r="N78"/>
      <c r="O78"/>
      <c r="P78"/>
      <c r="Q78"/>
      <c r="R78"/>
      <c r="S78"/>
      <c r="T78"/>
      <c r="U78"/>
      <c r="V78"/>
      <c r="W78"/>
      <c r="X78"/>
      <c r="Y78"/>
      <c r="Z78" s="19">
        <v>1.2629339471459389E-2</v>
      </c>
      <c r="AA78"/>
      <c r="AB78" s="66">
        <v>3.0780075117945671E-2</v>
      </c>
      <c r="AC78"/>
      <c r="AD78"/>
      <c r="AE78"/>
      <c r="AF78"/>
      <c r="AG78" s="14">
        <v>1.7354319570586085E-3</v>
      </c>
      <c r="AH78" s="14">
        <v>1.7900120001286268E-3</v>
      </c>
      <c r="AI78"/>
      <c r="AJ78" s="68">
        <v>4.6938035637140274E-2</v>
      </c>
      <c r="AK78" s="69">
        <v>6.8002328276634216E-2</v>
      </c>
      <c r="AL78" s="148">
        <v>4.5118466019630432E-2</v>
      </c>
      <c r="AM78"/>
      <c r="AN78" s="11">
        <v>3.1148624839261174E-4</v>
      </c>
      <c r="AO78"/>
      <c r="AP78"/>
      <c r="AQ78"/>
      <c r="AR78"/>
      <c r="AS78" s="11">
        <v>1.7720492905937135E-5</v>
      </c>
      <c r="AT78"/>
      <c r="AU78"/>
      <c r="AV78"/>
      <c r="AW78"/>
      <c r="AX78"/>
      <c r="AY78"/>
      <c r="AZ78" s="23">
        <v>4.4199987314641476E-3</v>
      </c>
      <c r="BA78" s="14">
        <v>1.0293348459526896E-3</v>
      </c>
      <c r="BB78" s="11">
        <v>1.6708266048226506E-4</v>
      </c>
      <c r="BC78"/>
      <c r="BD78"/>
      <c r="BE78"/>
      <c r="BF78"/>
      <c r="BG78"/>
      <c r="BH78"/>
      <c r="BI78"/>
      <c r="BJ78" s="81">
        <v>0.12481661885976791</v>
      </c>
      <c r="BK78" s="20">
        <v>3.2583266496658325E-2</v>
      </c>
      <c r="BL78" s="21">
        <v>1.4063760638237E-2</v>
      </c>
      <c r="BM78" s="24">
        <v>2.0832320675253868E-2</v>
      </c>
      <c r="BN78" s="23">
        <v>3.7974242586642504E-3</v>
      </c>
      <c r="BO78"/>
      <c r="BP78"/>
      <c r="BQ78"/>
      <c r="BR78" s="336">
        <v>7.0898890495300293E-2</v>
      </c>
      <c r="BS78" s="28">
        <v>2.6143461465835571E-2</v>
      </c>
      <c r="BT78" s="11">
        <v>5.3004699293524027E-4</v>
      </c>
      <c r="BU78"/>
      <c r="BV78" s="11">
        <v>3.872648230753839E-4</v>
      </c>
      <c r="BW78"/>
      <c r="BX78"/>
      <c r="BY78"/>
      <c r="BZ78"/>
      <c r="CA78"/>
      <c r="CB78"/>
      <c r="CC78"/>
      <c r="CD78"/>
      <c r="CE78"/>
      <c r="CF78" s="14">
        <v>1.1440060334280133E-3</v>
      </c>
      <c r="CG78" s="14">
        <v>9.8088069353252649E-4</v>
      </c>
      <c r="CH78" s="12">
        <v>2.9557500965893269E-3</v>
      </c>
      <c r="CI78"/>
      <c r="CJ78"/>
      <c r="CK78"/>
      <c r="CL78"/>
      <c r="CM78"/>
      <c r="CN78"/>
      <c r="CO78"/>
      <c r="CP78"/>
      <c r="CQ78"/>
      <c r="CR78" s="112">
        <v>0.12808829545974731</v>
      </c>
      <c r="CS78"/>
      <c r="CT78"/>
      <c r="CU78"/>
      <c r="CV78"/>
      <c r="CW78"/>
      <c r="CX78"/>
      <c r="CY78"/>
      <c r="CZ78"/>
      <c r="DA78"/>
      <c r="DB78"/>
      <c r="DC78" s="18">
        <v>9.0788351371884346E-3</v>
      </c>
      <c r="DD78" s="308">
        <v>5.9274435043334961E-2</v>
      </c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 t="s">
        <v>269</v>
      </c>
      <c r="B79">
        <v>0.4464150071144104</v>
      </c>
      <c r="C79">
        <v>1.3352817855775356E-2</v>
      </c>
      <c r="D79"/>
      <c r="E79" s="295">
        <v>0.16627554595470428</v>
      </c>
      <c r="F79"/>
      <c r="G79"/>
      <c r="H79"/>
      <c r="I79"/>
      <c r="J79" s="109">
        <v>5.5485818535089493E-2</v>
      </c>
      <c r="K79"/>
      <c r="L79"/>
      <c r="M79" s="23">
        <v>2.7288105338811874E-3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 s="12">
        <v>1.6046040691435337E-3</v>
      </c>
      <c r="AD79" s="13">
        <v>1.68275386095047E-2</v>
      </c>
      <c r="AE79" s="15">
        <v>4.4501214288175106E-3</v>
      </c>
      <c r="AF79" s="12">
        <v>1.6400580061599612E-3</v>
      </c>
      <c r="AG79" s="19">
        <v>8.1107644364237785E-3</v>
      </c>
      <c r="AH79" s="297">
        <v>1.5307296998798847E-2</v>
      </c>
      <c r="AI79"/>
      <c r="AJ79" s="13">
        <v>1.6255708411335945E-2</v>
      </c>
      <c r="AK79" s="12">
        <v>1.7663062317296863E-3</v>
      </c>
      <c r="AL79" s="26">
        <v>1.171916164457798E-2</v>
      </c>
      <c r="AM79" s="19">
        <v>7.7368114143610001E-3</v>
      </c>
      <c r="AN79" s="12">
        <v>1.8878112314268947E-3</v>
      </c>
      <c r="AO79"/>
      <c r="AP79" s="11">
        <v>2.6369254919700325E-4</v>
      </c>
      <c r="AQ79" s="11">
        <v>4.2622274486348033E-4</v>
      </c>
      <c r="AR79"/>
      <c r="AS79" s="11">
        <v>2.69589654635638E-4</v>
      </c>
      <c r="AT79" s="11">
        <v>6.8947356339776888E-6</v>
      </c>
      <c r="AU79" s="11">
        <v>6.1369864852167666E-5</v>
      </c>
      <c r="AV79"/>
      <c r="AW79"/>
      <c r="AX79"/>
      <c r="AY79" s="14">
        <v>7.5652293162420392E-4</v>
      </c>
      <c r="AZ79" s="14">
        <v>8.7624473962932825E-4</v>
      </c>
      <c r="BA79" s="14">
        <v>7.6389109017327428E-4</v>
      </c>
      <c r="BB79" s="11">
        <v>1.0332928650313988E-4</v>
      </c>
      <c r="BC79"/>
      <c r="BD79" s="11">
        <v>1.9787094788625836E-4</v>
      </c>
      <c r="BE79" s="11">
        <v>1.7858610954135656E-4</v>
      </c>
      <c r="BF79" s="12">
        <v>1.3136985944584012E-3</v>
      </c>
      <c r="BG79" s="12">
        <v>1.7678216099739075E-3</v>
      </c>
      <c r="BH79" s="12">
        <v>1.998926280066371E-3</v>
      </c>
      <c r="BI79" s="23">
        <v>2.9958586674183607E-3</v>
      </c>
      <c r="BJ79" s="315">
        <v>3.2420124858617783E-2</v>
      </c>
      <c r="BK79" s="65">
        <v>9.4036022201180458E-3</v>
      </c>
      <c r="BL79" s="14">
        <v>4.5661846525035799E-4</v>
      </c>
      <c r="BM79" s="14">
        <v>4.7465183888562024E-4</v>
      </c>
      <c r="BN79" s="22">
        <v>3.0823457054793835E-3</v>
      </c>
      <c r="BO79" s="18">
        <v>5.1891435869038105E-3</v>
      </c>
      <c r="BP79" s="14">
        <v>6.152990972623229E-4</v>
      </c>
      <c r="BQ79" s="23">
        <v>2.8593391180038452E-3</v>
      </c>
      <c r="BR79" s="16">
        <v>6.8407966755330563E-3</v>
      </c>
      <c r="BS79" s="15">
        <v>4.7533833421766758E-3</v>
      </c>
      <c r="BT79" s="24">
        <v>1.2390793301165104E-2</v>
      </c>
      <c r="BU79" s="14">
        <v>4.654725780710578E-4</v>
      </c>
      <c r="BV79" s="23">
        <v>2.4689994752407074E-3</v>
      </c>
      <c r="BW79" s="12">
        <v>1.9944880623370409E-3</v>
      </c>
      <c r="BX79"/>
      <c r="BY79"/>
      <c r="BZ79" s="147">
        <v>1.321110688149929E-2</v>
      </c>
      <c r="CA79" s="12">
        <v>1.5241018263623118E-3</v>
      </c>
      <c r="CB79"/>
      <c r="CC79"/>
      <c r="CD79"/>
      <c r="CE79"/>
      <c r="CF79" s="22">
        <v>3.1077705789357424E-3</v>
      </c>
      <c r="CG79" s="23">
        <v>2.779373899102211E-3</v>
      </c>
      <c r="CH79" s="23">
        <v>2.8863903135061264E-3</v>
      </c>
      <c r="CI79"/>
      <c r="CJ79"/>
      <c r="CK79"/>
      <c r="CL79"/>
      <c r="CM79"/>
      <c r="CN79"/>
      <c r="CO79"/>
      <c r="CP79"/>
      <c r="CQ79"/>
      <c r="CR79" s="11">
        <v>3.3269907362409867E-6</v>
      </c>
      <c r="CS79"/>
      <c r="CT79"/>
      <c r="CU79"/>
      <c r="CV79"/>
      <c r="CW79"/>
      <c r="CX79"/>
      <c r="CY79"/>
      <c r="CZ79"/>
      <c r="DA79"/>
      <c r="DB79"/>
      <c r="DC79" s="23">
        <v>2.3581527639180422E-3</v>
      </c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 t="s">
        <v>270</v>
      </c>
      <c r="B80">
        <v>0.95289498567581177</v>
      </c>
      <c r="C80">
        <v>7.9987451434135437E-2</v>
      </c>
      <c r="D80"/>
      <c r="E80" s="26">
        <v>2.5149384513497353E-2</v>
      </c>
      <c r="F80"/>
      <c r="G80"/>
      <c r="H80"/>
      <c r="I80"/>
      <c r="J80" s="22">
        <v>8.3831287920475006E-3</v>
      </c>
      <c r="K80"/>
      <c r="L80"/>
      <c r="M80" s="11">
        <v>5.0298753194510937E-4</v>
      </c>
      <c r="N80"/>
      <c r="O80"/>
      <c r="P80"/>
      <c r="Q80"/>
      <c r="R80"/>
      <c r="S80"/>
      <c r="T80"/>
      <c r="U80"/>
      <c r="V80"/>
      <c r="W80"/>
      <c r="X80"/>
      <c r="Y80"/>
      <c r="Z80" s="14">
        <v>1.0643627028912306E-3</v>
      </c>
      <c r="AA80"/>
      <c r="AB80" s="23">
        <v>5.7639004662632942E-3</v>
      </c>
      <c r="AC80" s="14">
        <v>1.0247074533253908E-3</v>
      </c>
      <c r="AD80" s="64">
        <v>5.1481373608112335E-2</v>
      </c>
      <c r="AE80" s="22">
        <v>7.4260835535824299E-3</v>
      </c>
      <c r="AF80" s="14">
        <v>2.5087576359510422E-3</v>
      </c>
      <c r="AG80" s="78">
        <v>6.2034212052822113E-2</v>
      </c>
      <c r="AH80" s="65">
        <v>2.0023288205265999E-2</v>
      </c>
      <c r="AI80" s="21">
        <v>1.9439263269305229E-2</v>
      </c>
      <c r="AJ80" s="65">
        <v>2.1384730935096741E-2</v>
      </c>
      <c r="AK80" s="320">
        <v>8.1056296825408936E-2</v>
      </c>
      <c r="AL80" s="65">
        <v>2.1452071145176888E-2</v>
      </c>
      <c r="AM80" s="12">
        <v>3.6983799654990435E-3</v>
      </c>
      <c r="AN80" s="12">
        <v>2.8877397999167442E-3</v>
      </c>
      <c r="AO80"/>
      <c r="AP80" s="11">
        <v>5.7623467000667006E-5</v>
      </c>
      <c r="AQ80" s="11">
        <v>1.0797167487908155E-4</v>
      </c>
      <c r="AR80"/>
      <c r="AS80" s="11">
        <v>7.0407273597083986E-5</v>
      </c>
      <c r="AT80" s="11">
        <v>5.2733474149135873E-5</v>
      </c>
      <c r="AU80" s="11">
        <v>1.8998718587681651E-5</v>
      </c>
      <c r="AV80" s="11">
        <v>3.466699126875028E-5</v>
      </c>
      <c r="AW80"/>
      <c r="AX80"/>
      <c r="AY80" s="14">
        <v>1.4548097969964147E-3</v>
      </c>
      <c r="AZ80" s="14">
        <v>1.0394712444394827E-3</v>
      </c>
      <c r="BA80" s="14">
        <v>1.1100807460024953E-3</v>
      </c>
      <c r="BB80" s="11">
        <v>3.1612067687092349E-5</v>
      </c>
      <c r="BC80"/>
      <c r="BD80" s="11">
        <v>6.9848872954025865E-5</v>
      </c>
      <c r="BE80" s="11">
        <v>4.7509376599919051E-5</v>
      </c>
      <c r="BF80" s="12">
        <v>3.8870538119226694E-3</v>
      </c>
      <c r="BG80" s="11">
        <v>4.1895970935001969E-4</v>
      </c>
      <c r="BH80" s="11">
        <v>4.6328932512551546E-4</v>
      </c>
      <c r="BI80" s="12">
        <v>2.9652724042534828E-3</v>
      </c>
      <c r="BJ80" s="311">
        <v>4.9592290073633194E-2</v>
      </c>
      <c r="BK80" s="12">
        <v>4.3153548613190651E-3</v>
      </c>
      <c r="BL80" s="17">
        <v>1.3969608582556248E-2</v>
      </c>
      <c r="BM80" s="15">
        <v>8.7127899751067162E-3</v>
      </c>
      <c r="BN80" s="313">
        <v>4.7149911522865295E-2</v>
      </c>
      <c r="BO80" s="22">
        <v>7.9377088695764542E-3</v>
      </c>
      <c r="BP80" s="22">
        <v>8.140181191265583E-3</v>
      </c>
      <c r="BQ80" s="14">
        <v>1.7009541625156999E-3</v>
      </c>
      <c r="BR80" s="343">
        <v>0.14608027040958405</v>
      </c>
      <c r="BS80" s="22">
        <v>7.2711370885372162E-3</v>
      </c>
      <c r="BT80" s="300">
        <v>4.2119782418012619E-2</v>
      </c>
      <c r="BU80" s="11">
        <v>7.1202230174094439E-4</v>
      </c>
      <c r="BV80" s="12">
        <v>3.7767696194350719E-3</v>
      </c>
      <c r="BW80" s="14">
        <v>1.2203642399981618E-3</v>
      </c>
      <c r="BX80"/>
      <c r="BY80"/>
      <c r="BZ80" s="19">
        <v>1.7350923269987106E-2</v>
      </c>
      <c r="CA80" s="14">
        <v>2.3313823621720076E-3</v>
      </c>
      <c r="CB80"/>
      <c r="CC80"/>
      <c r="CD80"/>
      <c r="CE80"/>
      <c r="CF80" s="11">
        <v>7.506136316806078E-4</v>
      </c>
      <c r="CG80" s="23">
        <v>4.9601327627897263E-3</v>
      </c>
      <c r="CH80" s="14">
        <v>1.6240491531789303E-3</v>
      </c>
      <c r="CI80"/>
      <c r="CJ80"/>
      <c r="CK80"/>
      <c r="CL80"/>
      <c r="CM80"/>
      <c r="CN80"/>
      <c r="CO80" s="144">
        <v>9.4366453588008881E-2</v>
      </c>
      <c r="CP80"/>
      <c r="CQ80"/>
      <c r="CR80" s="311">
        <v>5.0892192870378494E-2</v>
      </c>
      <c r="CS80"/>
      <c r="CT80"/>
      <c r="CU80"/>
      <c r="CV80"/>
      <c r="CW80"/>
      <c r="CX80"/>
      <c r="CY80"/>
      <c r="CZ80"/>
      <c r="DA80"/>
      <c r="DB80"/>
      <c r="DC80" s="18">
        <v>1.0821639560163021E-2</v>
      </c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 t="s">
        <v>271</v>
      </c>
      <c r="B81">
        <v>2.6099998950958252</v>
      </c>
      <c r="C81">
        <v>0.10123610496520996</v>
      </c>
      <c r="D81"/>
      <c r="E81" s="15">
        <v>2.5149384513497353E-2</v>
      </c>
      <c r="F81"/>
      <c r="G81"/>
      <c r="H81"/>
      <c r="I81"/>
      <c r="J81" s="12">
        <v>8.3831287920475006E-3</v>
      </c>
      <c r="K81"/>
      <c r="L81"/>
      <c r="M81" s="11">
        <v>5.0298753194510937E-4</v>
      </c>
      <c r="N81"/>
      <c r="O81"/>
      <c r="P81"/>
      <c r="Q81"/>
      <c r="R81"/>
      <c r="S81"/>
      <c r="T81"/>
      <c r="U81"/>
      <c r="V81"/>
      <c r="W81"/>
      <c r="X81"/>
      <c r="Y81"/>
      <c r="Z81" s="11">
        <v>1.0417167795822024E-3</v>
      </c>
      <c r="AA81"/>
      <c r="AB81" s="14">
        <v>6.3533908687531948E-3</v>
      </c>
      <c r="AC81"/>
      <c r="AD81" s="353">
        <v>0.25740686058998108</v>
      </c>
      <c r="AE81" s="15">
        <v>2.3515937849879265E-2</v>
      </c>
      <c r="AF81" s="147">
        <v>7.526271790266037E-2</v>
      </c>
      <c r="AG81" s="313">
        <v>0.12768971920013428</v>
      </c>
      <c r="AH81" s="294">
        <v>6.0179285705089569E-2</v>
      </c>
      <c r="AI81" s="297">
        <v>8.5387438535690308E-2</v>
      </c>
      <c r="AJ81" s="148">
        <v>0.16100713610649109</v>
      </c>
      <c r="AK81" s="70">
        <v>0.13509382307529449</v>
      </c>
      <c r="AL81" s="294">
        <v>5.9755071997642517E-2</v>
      </c>
      <c r="AM81" s="14">
        <v>7.3967599309980869E-3</v>
      </c>
      <c r="AN81" s="14">
        <v>5.7754721492528915E-3</v>
      </c>
      <c r="AO81"/>
      <c r="AP81" s="11">
        <v>2.3049410083331168E-4</v>
      </c>
      <c r="AQ81" s="11">
        <v>3.7374810199253261E-4</v>
      </c>
      <c r="AR81"/>
      <c r="AS81" s="11">
        <v>1.3075616152491421E-4</v>
      </c>
      <c r="AT81" s="11">
        <v>5.2733474149135873E-5</v>
      </c>
      <c r="AU81" s="11">
        <v>5.3643438150174916E-5</v>
      </c>
      <c r="AV81" s="11">
        <v>1.3866798253729939E-3</v>
      </c>
      <c r="AW81"/>
      <c r="AX81"/>
      <c r="AY81" s="11">
        <v>1.3886820524930954E-3</v>
      </c>
      <c r="AZ81" s="11">
        <v>1.7917199293151498E-3</v>
      </c>
      <c r="BA81" s="15">
        <v>2.3370098322629929E-2</v>
      </c>
      <c r="BB81" s="11">
        <v>3.1612067687092349E-5</v>
      </c>
      <c r="BC81"/>
      <c r="BD81" s="11">
        <v>2.7939549181610346E-4</v>
      </c>
      <c r="BE81" s="11">
        <v>4.7509376599919051E-5</v>
      </c>
      <c r="BF81" s="12">
        <v>1.0267689824104309E-2</v>
      </c>
      <c r="BG81" s="11">
        <v>4.1895970935001969E-4</v>
      </c>
      <c r="BH81" s="11">
        <v>4.6328932512551546E-4</v>
      </c>
      <c r="BI81" s="14">
        <v>5.3914040327072144E-3</v>
      </c>
      <c r="BJ81" s="27">
        <v>0.19836916029453278</v>
      </c>
      <c r="BK81" s="20">
        <v>0.11507617682218552</v>
      </c>
      <c r="BL81" s="17">
        <v>3.3526994287967682E-2</v>
      </c>
      <c r="BM81" s="18">
        <v>2.9042560607194901E-2</v>
      </c>
      <c r="BN81" s="25">
        <v>8.2040846347808838E-2</v>
      </c>
      <c r="BO81" s="28">
        <v>9.1283656656742096E-2</v>
      </c>
      <c r="BP81" s="15">
        <v>2.5768760591745377E-2</v>
      </c>
      <c r="BQ81" s="14">
        <v>6.560801062732935E-3</v>
      </c>
      <c r="BR81" s="313">
        <v>0.12557041645050049</v>
      </c>
      <c r="BS81" s="294">
        <v>6.2323853373527527E-2</v>
      </c>
      <c r="BT81" s="22">
        <v>2.0217495039105415E-2</v>
      </c>
      <c r="BU81" s="11">
        <v>2.4920781143009663E-3</v>
      </c>
      <c r="BV81" s="14">
        <v>7.4136522598564625E-3</v>
      </c>
      <c r="BW81" s="14">
        <v>3.661084920167923E-3</v>
      </c>
      <c r="BX81"/>
      <c r="BY81"/>
      <c r="BZ81" s="76">
        <v>0.2041284441947937</v>
      </c>
      <c r="CA81" s="14">
        <v>3.3305457327514887E-3</v>
      </c>
      <c r="CB81"/>
      <c r="CC81"/>
      <c r="CD81"/>
      <c r="CE81"/>
      <c r="CF81" s="11">
        <v>7.506136316806078E-4</v>
      </c>
      <c r="CG81" s="14">
        <v>6.3773132860660553E-3</v>
      </c>
      <c r="CH81" s="11">
        <v>1.5516683924943209E-3</v>
      </c>
      <c r="CI81"/>
      <c r="CJ81"/>
      <c r="CK81"/>
      <c r="CL81"/>
      <c r="CM81"/>
      <c r="CN81" s="11">
        <v>7.2857120539993048E-4</v>
      </c>
      <c r="CO81" s="28">
        <v>9.4366453588008881E-2</v>
      </c>
      <c r="CP81"/>
      <c r="CQ81"/>
      <c r="CR81" s="353">
        <v>0.25446096062660217</v>
      </c>
      <c r="CS81"/>
      <c r="CT81"/>
      <c r="CU81" s="22">
        <v>1.8069881945848465E-2</v>
      </c>
      <c r="CV81"/>
      <c r="CW81"/>
      <c r="CX81"/>
      <c r="CY81"/>
      <c r="CZ81"/>
      <c r="DA81"/>
      <c r="DB81"/>
      <c r="DC81" s="17">
        <v>3.6072134971618652E-2</v>
      </c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 t="s">
        <v>272</v>
      </c>
      <c r="B82">
        <v>0.92000001668930054</v>
      </c>
      <c r="C82">
        <v>8.2273662090301514E-2</v>
      </c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 s="22">
        <v>7.3531251400709152E-3</v>
      </c>
      <c r="AH82" s="22">
        <v>7.732877042144537E-3</v>
      </c>
      <c r="AI82"/>
      <c r="AJ82" s="330">
        <v>8.1359528005123138E-2</v>
      </c>
      <c r="AK82" s="21">
        <v>1.7680663615465164E-2</v>
      </c>
      <c r="AL82" s="334">
        <v>0.15641118586063385</v>
      </c>
      <c r="AM82"/>
      <c r="AN82" s="14">
        <v>1.6197336371988058E-3</v>
      </c>
      <c r="AO82"/>
      <c r="AP82"/>
      <c r="AQ82"/>
      <c r="AR82"/>
      <c r="AS82" s="11">
        <v>6.5819083829410374E-5</v>
      </c>
      <c r="AT82"/>
      <c r="AU82"/>
      <c r="AV82"/>
      <c r="AW82"/>
      <c r="AX82"/>
      <c r="AY82"/>
      <c r="AZ82" s="14">
        <v>1.8795381765812635E-3</v>
      </c>
      <c r="BA82" s="23">
        <v>6.1172181740403175E-3</v>
      </c>
      <c r="BB82" s="11">
        <v>7.0334068732336164E-4</v>
      </c>
      <c r="BC82"/>
      <c r="BD82"/>
      <c r="BE82"/>
      <c r="BF82"/>
      <c r="BG82"/>
      <c r="BH82"/>
      <c r="BI82"/>
      <c r="BJ82" s="318">
        <v>0.10384776443243027</v>
      </c>
      <c r="BK82" s="21">
        <v>1.8825944513082504E-2</v>
      </c>
      <c r="BL82" s="15">
        <v>9.141470305621624E-3</v>
      </c>
      <c r="BM82" s="15">
        <v>8.5522448644042015E-3</v>
      </c>
      <c r="BN82" s="19">
        <v>1.6044169664382935E-2</v>
      </c>
      <c r="BO82"/>
      <c r="BP82"/>
      <c r="BQ82"/>
      <c r="BR82" s="340">
        <v>0.13695225119590759</v>
      </c>
      <c r="BS82" s="29">
        <v>4.4046636670827866E-2</v>
      </c>
      <c r="BT82" s="14">
        <v>2.2050023544579744E-3</v>
      </c>
      <c r="BU82"/>
      <c r="BV82" s="14">
        <v>1.6476428136229515E-3</v>
      </c>
      <c r="BW82"/>
      <c r="BX82"/>
      <c r="BY82"/>
      <c r="BZ82"/>
      <c r="CA82"/>
      <c r="CB82"/>
      <c r="CC82"/>
      <c r="CD82"/>
      <c r="CE82"/>
      <c r="CF82" s="23">
        <v>4.8027411103248596E-3</v>
      </c>
      <c r="CG82" s="12">
        <v>4.1732201352715492E-3</v>
      </c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 s="346">
        <v>0.20656423270702362</v>
      </c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 t="s">
        <v>273</v>
      </c>
      <c r="B83">
        <v>1.2239999771118164</v>
      </c>
      <c r="C83">
        <v>3.3333998173475266E-2</v>
      </c>
      <c r="D83"/>
      <c r="E83" s="28">
        <v>4.4077139347791672E-2</v>
      </c>
      <c r="F83"/>
      <c r="G83"/>
      <c r="H83"/>
      <c r="I83"/>
      <c r="J83" s="298">
        <v>9.9999994039535522E-2</v>
      </c>
      <c r="K83"/>
      <c r="L83"/>
      <c r="M83" s="11">
        <v>6.8870600080117583E-4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 s="18">
        <v>1.4740923419594765E-2</v>
      </c>
      <c r="AE83" s="17">
        <v>1.7719566822052002E-2</v>
      </c>
      <c r="AF83" s="25">
        <v>3.7784963846206665E-2</v>
      </c>
      <c r="AG83" s="323">
        <v>0.14210058748722076</v>
      </c>
      <c r="AH83" s="319">
        <v>0.12531955540180206</v>
      </c>
      <c r="AI83"/>
      <c r="AJ83" s="67">
        <v>7.1199998259544373E-2</v>
      </c>
      <c r="AK83" s="329">
        <v>0.23209264874458313</v>
      </c>
      <c r="AL83" s="326">
        <v>0.17109975218772888</v>
      </c>
      <c r="AM83" s="12">
        <v>4.2359041981399059E-3</v>
      </c>
      <c r="AN83" s="14">
        <v>2.3624568711966276E-3</v>
      </c>
      <c r="AO83"/>
      <c r="AP83" s="14">
        <v>2.6399388443678617E-3</v>
      </c>
      <c r="AQ83" s="12">
        <v>4.4709406793117523E-3</v>
      </c>
      <c r="AR83"/>
      <c r="AS83" s="12">
        <v>5.5296188220381737E-3</v>
      </c>
      <c r="AT83" s="11">
        <v>8.0530508421361446E-4</v>
      </c>
      <c r="AU83" s="11">
        <v>6.5280002309009433E-4</v>
      </c>
      <c r="AV83"/>
      <c r="AW83"/>
      <c r="AX83"/>
      <c r="AY83" s="23">
        <v>7.9525681212544441E-3</v>
      </c>
      <c r="AZ83"/>
      <c r="BA83" s="15">
        <v>1.3048787601292133E-2</v>
      </c>
      <c r="BB83" s="11">
        <v>1.556882489239797E-5</v>
      </c>
      <c r="BC83"/>
      <c r="BD83" s="11">
        <v>3.3333642932120711E-5</v>
      </c>
      <c r="BE83" s="14">
        <v>1.9725223537534475E-3</v>
      </c>
      <c r="BF83" s="18">
        <v>1.4111999422311783E-2</v>
      </c>
      <c r="BG83" s="11">
        <v>9.5970299298642203E-6</v>
      </c>
      <c r="BH83" s="14">
        <v>2.1224960219115019E-3</v>
      </c>
      <c r="BI83" s="23">
        <v>6.1749932356178761E-3</v>
      </c>
      <c r="BJ83" s="12">
        <v>3.9760093204677105E-3</v>
      </c>
      <c r="BK83" s="12">
        <v>4.9425503239035606E-3</v>
      </c>
      <c r="BL83" s="14">
        <v>1.9999868236482143E-3</v>
      </c>
      <c r="BM83" s="19">
        <v>2.0789729431271553E-2</v>
      </c>
      <c r="BN83" s="65">
        <v>2.7001349255442619E-2</v>
      </c>
      <c r="BO83" s="14">
        <v>2.8410558588802814E-3</v>
      </c>
      <c r="BP83" s="23">
        <v>6.5554301254451275E-3</v>
      </c>
      <c r="BQ83" s="11">
        <v>4.1746374336071312E-4</v>
      </c>
      <c r="BR83" s="11">
        <v>1.1985073797404766E-3</v>
      </c>
      <c r="BS83" s="11">
        <v>7.1382272290065885E-4</v>
      </c>
      <c r="BT83" s="21">
        <v>2.4120742455124855E-2</v>
      </c>
      <c r="BU83" s="14">
        <v>1.223261933773756E-3</v>
      </c>
      <c r="BV83" s="11">
        <v>1.6021041665226221E-4</v>
      </c>
      <c r="BW83" s="12">
        <v>5.8238818310201168E-3</v>
      </c>
      <c r="BX83"/>
      <c r="BY83"/>
      <c r="BZ83" s="11">
        <v>7.0138945011422038E-4</v>
      </c>
      <c r="CA83" s="22">
        <v>9.5365215092897415E-3</v>
      </c>
      <c r="CB83"/>
      <c r="CC83"/>
      <c r="CD83"/>
      <c r="CE83"/>
      <c r="CF83" s="300">
        <v>5.4686948657035828E-2</v>
      </c>
      <c r="CG83" s="11">
        <v>1.014473382383585E-3</v>
      </c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 t="s">
        <v>274</v>
      </c>
      <c r="B84">
        <v>0.54100000858306885</v>
      </c>
      <c r="C84">
        <v>3.2566025853157043E-2</v>
      </c>
      <c r="D84"/>
      <c r="E84" s="18">
        <v>6.7824260331690311E-3</v>
      </c>
      <c r="F84"/>
      <c r="G84"/>
      <c r="H84"/>
      <c r="I84"/>
      <c r="J84" s="12">
        <v>2.2608088329434395E-3</v>
      </c>
      <c r="K84"/>
      <c r="L84"/>
      <c r="M84" s="11">
        <v>1.3298881822265685E-4</v>
      </c>
      <c r="N84"/>
      <c r="O84"/>
      <c r="P84"/>
      <c r="Q84"/>
      <c r="R84"/>
      <c r="S84"/>
      <c r="T84"/>
      <c r="U84"/>
      <c r="V84"/>
      <c r="W84"/>
      <c r="X84"/>
      <c r="Y84"/>
      <c r="Z84" s="18">
        <v>6.2887272797524929E-3</v>
      </c>
      <c r="AA84"/>
      <c r="AB84"/>
      <c r="AC84"/>
      <c r="AD84"/>
      <c r="AE84"/>
      <c r="AF84"/>
      <c r="AG84" s="23">
        <v>2.7346273418515921E-3</v>
      </c>
      <c r="AH84" s="12">
        <v>1.8659568158909678E-3</v>
      </c>
      <c r="AI84"/>
      <c r="AJ84" s="299">
        <v>2.0956231281161308E-2</v>
      </c>
      <c r="AK84" s="144">
        <v>5.3577736020088196E-2</v>
      </c>
      <c r="AL84" s="330">
        <v>4.7397300601005554E-2</v>
      </c>
      <c r="AM84"/>
      <c r="AN84" s="11">
        <v>3.2721873139962554E-4</v>
      </c>
      <c r="AO84"/>
      <c r="AP84"/>
      <c r="AQ84"/>
      <c r="AR84"/>
      <c r="AS84" s="11">
        <v>1.5956136849126779E-5</v>
      </c>
      <c r="AT84"/>
      <c r="AU84"/>
      <c r="AV84"/>
      <c r="AW84"/>
      <c r="AX84"/>
      <c r="AY84"/>
      <c r="AZ84" s="22">
        <v>4.464239813387394E-3</v>
      </c>
      <c r="BA84" s="12">
        <v>2.3171247448772192E-3</v>
      </c>
      <c r="BB84" s="11">
        <v>1.504471292719245E-4</v>
      </c>
      <c r="BC84"/>
      <c r="BD84"/>
      <c r="BE84"/>
      <c r="BF84"/>
      <c r="BG84"/>
      <c r="BH84"/>
      <c r="BI84"/>
      <c r="BJ84" s="328">
        <v>7.8672505915164948E-2</v>
      </c>
      <c r="BK84" s="15">
        <v>5.7048285380005836E-3</v>
      </c>
      <c r="BL84" s="23">
        <v>2.7701409999281168E-3</v>
      </c>
      <c r="BM84" s="23">
        <v>2.8795429971069098E-3</v>
      </c>
      <c r="BN84" s="22">
        <v>3.7398973945528269E-3</v>
      </c>
      <c r="BO84"/>
      <c r="BP84"/>
      <c r="BQ84"/>
      <c r="BR84" s="343">
        <v>8.3001315593719482E-2</v>
      </c>
      <c r="BS84" s="16">
        <v>8.2391733303666115E-3</v>
      </c>
      <c r="BT84" s="12">
        <v>2.0045465789735317E-3</v>
      </c>
      <c r="BU84"/>
      <c r="BV84" s="11">
        <v>3.8833095459267497E-4</v>
      </c>
      <c r="BW84"/>
      <c r="BX84"/>
      <c r="BY84"/>
      <c r="BZ84"/>
      <c r="CA84"/>
      <c r="CB84"/>
      <c r="CC84"/>
      <c r="CD84"/>
      <c r="CE84"/>
      <c r="CF84" s="12">
        <v>1.7696042777970433E-3</v>
      </c>
      <c r="CG84" s="14">
        <v>9.8358688410371542E-4</v>
      </c>
      <c r="CH84" s="17">
        <v>7.7757537364959717E-3</v>
      </c>
      <c r="CI84"/>
      <c r="CJ84"/>
      <c r="CK84"/>
      <c r="CL84"/>
      <c r="CM84"/>
      <c r="CN84"/>
      <c r="CO84"/>
      <c r="CP84"/>
      <c r="CQ84"/>
      <c r="CR84" s="339">
        <v>4.0367327630519867E-2</v>
      </c>
      <c r="CS84"/>
      <c r="CT84" s="334">
        <v>9.2253431677818298E-2</v>
      </c>
      <c r="CU84"/>
      <c r="CV84"/>
      <c r="CW84"/>
      <c r="CX84"/>
      <c r="CY84"/>
      <c r="CZ84"/>
      <c r="DA84"/>
      <c r="DB84"/>
      <c r="DC84" s="311">
        <v>2.8612161055207253E-2</v>
      </c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 t="s">
        <v>275</v>
      </c>
      <c r="B85">
        <v>2.5139999389648438</v>
      </c>
      <c r="C85">
        <v>2.4102890864014626E-2</v>
      </c>
      <c r="D85"/>
      <c r="E85" s="14">
        <v>2.6361304335296154E-3</v>
      </c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 s="323">
        <v>0.28979644179344177</v>
      </c>
      <c r="Z85"/>
      <c r="AA85"/>
      <c r="AB85"/>
      <c r="AC85"/>
      <c r="AD85" s="11">
        <v>1.7274485435336828E-3</v>
      </c>
      <c r="AE85" s="11">
        <v>1.9875150173902512E-3</v>
      </c>
      <c r="AF85"/>
      <c r="AG85" s="12">
        <v>9.1812983155250549E-3</v>
      </c>
      <c r="AH85" s="12">
        <v>9.6769304946064949E-3</v>
      </c>
      <c r="AI85"/>
      <c r="AJ85" s="23">
        <v>1.5316707082092762E-2</v>
      </c>
      <c r="AK85" s="65">
        <v>5.2751746028661728E-2</v>
      </c>
      <c r="AL85" s="22">
        <v>1.7444118857383728E-2</v>
      </c>
      <c r="AM85" s="22">
        <v>1.7728356644511223E-2</v>
      </c>
      <c r="AN85" s="11">
        <v>1.36447639670223E-3</v>
      </c>
      <c r="AO85"/>
      <c r="AP85"/>
      <c r="AQ85"/>
      <c r="AR85"/>
      <c r="AS85" s="11">
        <v>5.5446485930588096E-5</v>
      </c>
      <c r="AT85" s="11">
        <v>5.224136111792177E-5</v>
      </c>
      <c r="AU85"/>
      <c r="AV85"/>
      <c r="AW85"/>
      <c r="AX85"/>
      <c r="AY85" s="14">
        <v>4.9893632531166077E-3</v>
      </c>
      <c r="AZ85"/>
      <c r="BA85" s="14">
        <v>2.8006441425532103E-3</v>
      </c>
      <c r="BB85" s="11">
        <v>8.7132019689306617E-4</v>
      </c>
      <c r="BC85"/>
      <c r="BD85" s="11">
        <v>2.9576109227491543E-5</v>
      </c>
      <c r="BE85"/>
      <c r="BF85"/>
      <c r="BG85"/>
      <c r="BH85"/>
      <c r="BI85"/>
      <c r="BJ85" s="20">
        <v>0.10935255885124207</v>
      </c>
      <c r="BK85" s="320">
        <v>0.21423579752445221</v>
      </c>
      <c r="BL85" s="24">
        <v>6.9642327725887299E-2</v>
      </c>
      <c r="BM85" s="23">
        <v>1.600993238389492E-2</v>
      </c>
      <c r="BN85" s="23">
        <v>1.2747262604534626E-2</v>
      </c>
      <c r="BO85"/>
      <c r="BP85"/>
      <c r="BQ85" s="11">
        <v>1.5666517429053783E-3</v>
      </c>
      <c r="BR85" s="22">
        <v>2.0064257085323334E-2</v>
      </c>
      <c r="BS85" s="17">
        <v>3.4356512129306793E-2</v>
      </c>
      <c r="BT85" s="23">
        <v>1.3850555755198002E-2</v>
      </c>
      <c r="BU85" s="26">
        <v>6.2459941953420639E-2</v>
      </c>
      <c r="BV85" s="11">
        <v>7.3757590143941343E-5</v>
      </c>
      <c r="BW85"/>
      <c r="BX85"/>
      <c r="BY85"/>
      <c r="BZ85"/>
      <c r="CA85"/>
      <c r="CB85"/>
      <c r="CC85"/>
      <c r="CD85"/>
      <c r="CE85"/>
      <c r="CF85" s="11">
        <v>1.9989432767033577E-3</v>
      </c>
      <c r="CG85" s="14">
        <v>4.7383471392095089E-3</v>
      </c>
      <c r="CH85" s="11">
        <v>3.0944659374654293E-4</v>
      </c>
      <c r="CI85"/>
      <c r="CJ85"/>
      <c r="CK85"/>
      <c r="CL85"/>
      <c r="CM85"/>
      <c r="CN85"/>
      <c r="CO85" s="363">
        <v>0.27140995860099792</v>
      </c>
      <c r="CP85"/>
      <c r="CQ85"/>
      <c r="CR85" s="328">
        <v>0.36593115329742432</v>
      </c>
      <c r="CS85"/>
      <c r="CT85" s="320">
        <v>0.21031895279884338</v>
      </c>
      <c r="CU85" s="27">
        <v>0.19002319872379303</v>
      </c>
      <c r="CV85"/>
      <c r="CW85"/>
      <c r="CX85" s="14">
        <v>3.6780643276870251E-3</v>
      </c>
      <c r="CY85"/>
      <c r="CZ85"/>
      <c r="DA85"/>
      <c r="DB85"/>
      <c r="DC85" s="333">
        <v>0.3458268940448761</v>
      </c>
      <c r="DD85" s="300">
        <v>0.11289277672767639</v>
      </c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 t="s">
        <v>276</v>
      </c>
      <c r="B86">
        <v>1.4800000190734863</v>
      </c>
      <c r="C86">
        <v>2.8393722604960203E-3</v>
      </c>
      <c r="D86"/>
      <c r="E86" s="11">
        <v>5.2412558579817414E-4</v>
      </c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 s="64">
        <v>8.0995060503482819E-2</v>
      </c>
      <c r="Z86" s="18">
        <v>1.7154872417449951E-2</v>
      </c>
      <c r="AA86"/>
      <c r="AB86" s="15">
        <v>1.5291635878384113E-2</v>
      </c>
      <c r="AC86"/>
      <c r="AD86"/>
      <c r="AE86"/>
      <c r="AF86"/>
      <c r="AG86" s="20">
        <v>6.3523508608341217E-2</v>
      </c>
      <c r="AH86" s="300">
        <v>6.6534623503684998E-2</v>
      </c>
      <c r="AI86"/>
      <c r="AJ86" s="19">
        <v>2.7385283261537552E-2</v>
      </c>
      <c r="AK86" s="20">
        <v>6.3068270683288574E-2</v>
      </c>
      <c r="AL86" s="19">
        <v>2.5277607142925262E-2</v>
      </c>
      <c r="AM86"/>
      <c r="AN86" s="16">
        <v>2.3238789290189743E-2</v>
      </c>
      <c r="AO86"/>
      <c r="AP86"/>
      <c r="AQ86"/>
      <c r="AR86"/>
      <c r="AS86" s="11">
        <v>6.2885152374292375E-7</v>
      </c>
      <c r="AT86"/>
      <c r="AU86"/>
      <c r="AV86"/>
      <c r="AW86"/>
      <c r="AX86"/>
      <c r="AY86"/>
      <c r="AZ86" s="11">
        <v>1.0979765793308616E-3</v>
      </c>
      <c r="BA86" s="25">
        <v>4.5368179678916931E-2</v>
      </c>
      <c r="BB86" s="14">
        <v>1.6602041432633996E-3</v>
      </c>
      <c r="BC86"/>
      <c r="BD86"/>
      <c r="BE86"/>
      <c r="BF86"/>
      <c r="BG86"/>
      <c r="BH86"/>
      <c r="BI86"/>
      <c r="BJ86" s="331">
        <v>0.15502914786338806</v>
      </c>
      <c r="BK86" s="313">
        <v>7.3745995759963989E-2</v>
      </c>
      <c r="BL86" s="67">
        <v>8.7340064346790314E-2</v>
      </c>
      <c r="BM86" s="18">
        <v>1.8157828599214554E-2</v>
      </c>
      <c r="BN86" s="311">
        <v>7.8885316848754883E-2</v>
      </c>
      <c r="BO86" s="22">
        <v>1.2406932190060616E-2</v>
      </c>
      <c r="BP86"/>
      <c r="BQ86"/>
      <c r="BR86" s="19">
        <v>2.6169493794441223E-2</v>
      </c>
      <c r="BS86" s="20">
        <v>6.2462165951728821E-2</v>
      </c>
      <c r="BT86" s="312">
        <v>8.2899145781993866E-2</v>
      </c>
      <c r="BU86"/>
      <c r="BV86" s="12">
        <v>4.6832254156470299E-3</v>
      </c>
      <c r="BW86" s="18">
        <v>1.8388057127594948E-2</v>
      </c>
      <c r="BX86"/>
      <c r="BY86"/>
      <c r="BZ86" s="24">
        <v>3.994634747505188E-2</v>
      </c>
      <c r="CA86" s="23">
        <v>1.0036717168986797E-2</v>
      </c>
      <c r="CB86"/>
      <c r="CC86"/>
      <c r="CD86"/>
      <c r="CE86"/>
      <c r="CF86" s="11">
        <v>5.7097472017630935E-4</v>
      </c>
      <c r="CG86" s="65">
        <v>3.2606389373540878E-2</v>
      </c>
      <c r="CH86" s="11">
        <v>3.671205195132643E-4</v>
      </c>
      <c r="CI86"/>
      <c r="CJ86"/>
      <c r="CK86"/>
      <c r="CL86"/>
      <c r="CM86"/>
      <c r="CN86"/>
      <c r="CO86" s="25">
        <v>4.7199435532093048E-2</v>
      </c>
      <c r="CP86" s="297">
        <v>4.9939237534999847E-2</v>
      </c>
      <c r="CQ86"/>
      <c r="CR86" s="339">
        <v>0.11136492341756821</v>
      </c>
      <c r="CS86"/>
      <c r="CT86" s="147">
        <v>4.3629895895719528E-2</v>
      </c>
      <c r="CU86"/>
      <c r="CV86"/>
      <c r="CW86"/>
      <c r="CX86"/>
      <c r="CY86"/>
      <c r="CZ86"/>
      <c r="DA86"/>
      <c r="DB86"/>
      <c r="DC86" s="148">
        <v>9.0211331844329834E-2</v>
      </c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 t="s">
        <v>277</v>
      </c>
      <c r="B87">
        <v>1.1779999732971191</v>
      </c>
      <c r="C87">
        <v>3.9116650819778442E-2</v>
      </c>
      <c r="D87"/>
      <c r="E87" s="14">
        <v>2.4876708630472422E-3</v>
      </c>
      <c r="F87"/>
      <c r="G87"/>
      <c r="H87"/>
      <c r="I87"/>
      <c r="J87" s="11">
        <v>8.2922360161319375E-4</v>
      </c>
      <c r="K87"/>
      <c r="L87"/>
      <c r="M87" s="11">
        <v>4.3643362005241215E-5</v>
      </c>
      <c r="N87"/>
      <c r="O87"/>
      <c r="P87"/>
      <c r="Q87"/>
      <c r="R87"/>
      <c r="S87"/>
      <c r="T87" s="14">
        <v>2.3426290135830641E-3</v>
      </c>
      <c r="U87"/>
      <c r="V87"/>
      <c r="W87" s="17">
        <v>1.6153356060385704E-2</v>
      </c>
      <c r="X87"/>
      <c r="Y87" s="15">
        <v>1.1240608990192413E-2</v>
      </c>
      <c r="Z87" s="14">
        <v>2.6126033626496792E-3</v>
      </c>
      <c r="AA87"/>
      <c r="AB87" s="15">
        <v>1.21783297508955E-2</v>
      </c>
      <c r="AC87"/>
      <c r="AD87" s="354">
        <v>0.10050629079341888</v>
      </c>
      <c r="AE87" s="65">
        <v>2.5532294064760208E-2</v>
      </c>
      <c r="AF87" s="21">
        <v>2.2895624861121178E-2</v>
      </c>
      <c r="AG87" s="66">
        <v>4.8443380743265152E-2</v>
      </c>
      <c r="AH87" s="13">
        <v>4.3035879731178284E-2</v>
      </c>
      <c r="AI87"/>
      <c r="AJ87" s="294">
        <v>2.8002634644508362E-2</v>
      </c>
      <c r="AK87" s="300">
        <v>5.274832621216774E-2</v>
      </c>
      <c r="AL87" s="299">
        <v>4.6663567423820496E-2</v>
      </c>
      <c r="AM87" s="26">
        <v>2.8881166130304337E-2</v>
      </c>
      <c r="AN87" s="23">
        <v>6.9799977354705334E-3</v>
      </c>
      <c r="AO87"/>
      <c r="AP87" s="11">
        <v>7.4998279160354286E-5</v>
      </c>
      <c r="AQ87" s="11">
        <v>2.4430188932456076E-4</v>
      </c>
      <c r="AR87"/>
      <c r="AS87" s="11">
        <v>3.0109184444881976E-4</v>
      </c>
      <c r="AT87" s="11">
        <v>1.8988725787494332E-4</v>
      </c>
      <c r="AU87" s="11">
        <v>3.505454515106976E-5</v>
      </c>
      <c r="AV87" s="11">
        <v>3.1583924283040687E-5</v>
      </c>
      <c r="AW87"/>
      <c r="AX87"/>
      <c r="AY87" s="12">
        <v>5.1188194192945957E-3</v>
      </c>
      <c r="AZ87" s="22">
        <v>8.2597844302654266E-3</v>
      </c>
      <c r="BA87" s="23">
        <v>6.615636870265007E-3</v>
      </c>
      <c r="BB87" s="11">
        <v>4.2789604049175978E-4</v>
      </c>
      <c r="BC87" s="22">
        <v>9.6338829025626183E-3</v>
      </c>
      <c r="BD87" s="11">
        <v>7.2727957740426064E-4</v>
      </c>
      <c r="BE87" s="12">
        <v>5.6145777925848961E-3</v>
      </c>
      <c r="BF87" s="11">
        <v>7.5218180427327752E-4</v>
      </c>
      <c r="BG87" s="11">
        <v>5.5024295579642057E-4</v>
      </c>
      <c r="BH87" s="14">
        <v>1.2542022159323096E-3</v>
      </c>
      <c r="BI87" s="14">
        <v>2.7366448193788528E-3</v>
      </c>
      <c r="BJ87" s="65">
        <v>2.5818206369876862E-2</v>
      </c>
      <c r="BK87" s="294">
        <v>2.8082577511668205E-2</v>
      </c>
      <c r="BL87" s="299">
        <v>4.545443132519722E-2</v>
      </c>
      <c r="BM87" s="11">
        <v>9.4498874386772513E-4</v>
      </c>
      <c r="BN87" s="11">
        <v>6.1366701265797019E-4</v>
      </c>
      <c r="BO87" s="18">
        <v>1.2913891114294529E-2</v>
      </c>
      <c r="BP87" s="11">
        <v>9.9324691109359264E-4</v>
      </c>
      <c r="BQ87" s="17">
        <v>1.6983194276690483E-2</v>
      </c>
      <c r="BR87" s="69">
        <v>0.10895521938800812</v>
      </c>
      <c r="BS87" s="294">
        <v>2.703864686191082E-2</v>
      </c>
      <c r="BT87" s="147">
        <v>3.5523276776075363E-2</v>
      </c>
      <c r="BU87" s="21">
        <v>2.2148450836539268E-2</v>
      </c>
      <c r="BV87" s="22">
        <v>8.2016857340931892E-3</v>
      </c>
      <c r="BW87" s="22">
        <v>8.9476071298122406E-3</v>
      </c>
      <c r="BX87"/>
      <c r="BY87"/>
      <c r="BZ87" s="294">
        <v>2.6567790657281876E-2</v>
      </c>
      <c r="CA87" s="23">
        <v>5.9386524371802807E-3</v>
      </c>
      <c r="CB87" s="12">
        <v>4.3702432885766029E-3</v>
      </c>
      <c r="CC87" s="14">
        <v>2.3887823335826397E-3</v>
      </c>
      <c r="CD87" s="23">
        <v>6.0946410521864891E-3</v>
      </c>
      <c r="CE87" s="23">
        <v>7.5221727602183819E-3</v>
      </c>
      <c r="CF87" s="14">
        <v>1.2157477904111147E-3</v>
      </c>
      <c r="CG87" s="14">
        <v>3.2278685830533504E-3</v>
      </c>
      <c r="CH87" s="11">
        <v>8.6786889005452394E-4</v>
      </c>
      <c r="CI87"/>
      <c r="CJ87"/>
      <c r="CK87"/>
      <c r="CL87"/>
      <c r="CM87"/>
      <c r="CN87" s="11">
        <v>6.9569796323776245E-4</v>
      </c>
      <c r="CO87" s="15">
        <v>1.2282012961804867E-2</v>
      </c>
      <c r="CP87" s="18">
        <v>1.3092170469462872E-2</v>
      </c>
      <c r="CQ87"/>
      <c r="CR87" s="299">
        <v>4.6366162598133087E-2</v>
      </c>
      <c r="CS87"/>
      <c r="CT87" s="20">
        <v>5.1134649664163589E-2</v>
      </c>
      <c r="CU87" s="17">
        <v>1.5686525031924248E-2</v>
      </c>
      <c r="CV87" s="19">
        <v>2.1488511934876442E-2</v>
      </c>
      <c r="CW87"/>
      <c r="CX87" s="18">
        <v>1.4774261973798275E-2</v>
      </c>
      <c r="CY87"/>
      <c r="CZ87"/>
      <c r="DA87"/>
      <c r="DB87"/>
      <c r="DC87" s="299">
        <v>4.6948675066232681E-2</v>
      </c>
      <c r="DD87" s="19">
        <v>2.1456513553857803E-2</v>
      </c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 t="s">
        <v>278</v>
      </c>
      <c r="B88">
        <v>2.6400001049041748</v>
      </c>
      <c r="C88">
        <v>2.6400133967399597E-2</v>
      </c>
      <c r="D88"/>
      <c r="E88" s="11">
        <v>5.672588013112545E-4</v>
      </c>
      <c r="F88"/>
      <c r="G88"/>
      <c r="H88"/>
      <c r="I88"/>
      <c r="J88" s="11">
        <v>1.9071638234890997E-4</v>
      </c>
      <c r="K88"/>
      <c r="L88"/>
      <c r="M88" s="11">
        <v>9.7803285825648345E-6</v>
      </c>
      <c r="N88"/>
      <c r="O88"/>
      <c r="P88"/>
      <c r="Q88"/>
      <c r="R88"/>
      <c r="S88"/>
      <c r="T88" s="11">
        <v>5.2497518481686711E-4</v>
      </c>
      <c r="U88"/>
      <c r="V88"/>
      <c r="W88" s="12">
        <v>1.1945709586143494E-2</v>
      </c>
      <c r="X88"/>
      <c r="Y88" s="374">
        <v>0.37532848119735718</v>
      </c>
      <c r="Z88" s="11">
        <v>7.3171220719814301E-4</v>
      </c>
      <c r="AA88"/>
      <c r="AB88" s="14">
        <v>3.5669624339789152E-3</v>
      </c>
      <c r="AC88"/>
      <c r="AD88" s="70">
        <v>0.13435040414333344</v>
      </c>
      <c r="AE88" s="12">
        <v>1.1750242672860622E-2</v>
      </c>
      <c r="AF88" s="14">
        <v>4.0610544383525848E-3</v>
      </c>
      <c r="AG88" s="23">
        <v>1.3244315981864929E-2</v>
      </c>
      <c r="AH88" s="22">
        <v>2.1732939407229424E-2</v>
      </c>
      <c r="AI88"/>
      <c r="AJ88" s="14">
        <v>4.6434639953076839E-3</v>
      </c>
      <c r="AK88" s="15">
        <v>2.3641439154744148E-2</v>
      </c>
      <c r="AL88" s="23">
        <v>1.7276948317885399E-2</v>
      </c>
      <c r="AM88" s="14">
        <v>7.0115183480083942E-3</v>
      </c>
      <c r="AN88" s="14">
        <v>2.7794530615210533E-3</v>
      </c>
      <c r="AO88"/>
      <c r="AP88" s="11">
        <v>3.1933061109157279E-5</v>
      </c>
      <c r="AQ88" s="11">
        <v>6.0318841133266687E-4</v>
      </c>
      <c r="AR88"/>
      <c r="AS88" s="11">
        <v>6.7473651142790914E-5</v>
      </c>
      <c r="AT88" s="11">
        <v>4.2553085222607478E-5</v>
      </c>
      <c r="AU88" s="11">
        <v>7.8556031439802609E-6</v>
      </c>
      <c r="AV88" s="11">
        <v>7.0778496592538431E-6</v>
      </c>
      <c r="AW88"/>
      <c r="AX88"/>
      <c r="AY88" s="11">
        <v>1.1471098987385631E-3</v>
      </c>
      <c r="AZ88" s="11">
        <v>1.5370394103229046E-3</v>
      </c>
      <c r="BA88" s="23">
        <v>1.3632567599415779E-2</v>
      </c>
      <c r="BB88" s="12">
        <v>1.0575565509498119E-2</v>
      </c>
      <c r="BC88" s="14">
        <v>3.8514027837663889E-3</v>
      </c>
      <c r="BD88" s="11">
        <v>2.0372604194562882E-4</v>
      </c>
      <c r="BE88" s="11">
        <v>2.4596018192823976E-5</v>
      </c>
      <c r="BF88" s="11">
        <v>6.9734778662677854E-5</v>
      </c>
      <c r="BG88" s="11">
        <v>2.3994973162189126E-4</v>
      </c>
      <c r="BH88" s="11">
        <v>8.9183275122195482E-5</v>
      </c>
      <c r="BI88" s="11">
        <v>5.2678555948659778E-4</v>
      </c>
      <c r="BJ88" s="300">
        <v>0.11860832571983337</v>
      </c>
      <c r="BK88" s="308">
        <v>0.2097744345664978</v>
      </c>
      <c r="BL88" s="29">
        <v>0.12661424279212952</v>
      </c>
      <c r="BM88" s="11">
        <v>2.1176873706281185E-3</v>
      </c>
      <c r="BN88" s="26">
        <v>6.876034289598465E-2</v>
      </c>
      <c r="BO88" s="147">
        <v>7.5532324612140656E-2</v>
      </c>
      <c r="BP88" s="11">
        <v>2.8564850799739361E-4</v>
      </c>
      <c r="BQ88" s="19">
        <v>4.9125373363494873E-2</v>
      </c>
      <c r="BR88" s="299">
        <v>0.10191444307565689</v>
      </c>
      <c r="BS88" s="24">
        <v>7.4686542153358459E-2</v>
      </c>
      <c r="BT88"/>
      <c r="BU88" s="12">
        <v>1.2751142494380474E-2</v>
      </c>
      <c r="BV88" s="23">
        <v>1.3577721081674099E-2</v>
      </c>
      <c r="BW88" s="11">
        <v>2.2008952219039202E-3</v>
      </c>
      <c r="BX88"/>
      <c r="BY88"/>
      <c r="BZ88" s="147">
        <v>7.7577218413352966E-2</v>
      </c>
      <c r="CA88" s="13">
        <v>9.6363872289657593E-2</v>
      </c>
      <c r="CB88" s="11">
        <v>2.4220284540206194E-3</v>
      </c>
      <c r="CC88" s="11">
        <v>4.1754788253456354E-4</v>
      </c>
      <c r="CD88" s="11">
        <v>1.711115357466042E-3</v>
      </c>
      <c r="CE88" s="11">
        <v>2.1159856114536524E-3</v>
      </c>
      <c r="CF88" s="11">
        <v>6.653007585555315E-4</v>
      </c>
      <c r="CG88" s="11">
        <v>1.880718395113945E-3</v>
      </c>
      <c r="CH88" s="11">
        <v>2.3538930690847337E-4</v>
      </c>
      <c r="CI88"/>
      <c r="CJ88"/>
      <c r="CK88"/>
      <c r="CL88"/>
      <c r="CM88"/>
      <c r="CN88" s="11">
        <v>2.2512386203743517E-4</v>
      </c>
      <c r="CO88" s="28">
        <v>9.3029655516147614E-2</v>
      </c>
      <c r="CP88" s="14">
        <v>3.9796605706214905E-3</v>
      </c>
      <c r="CQ88"/>
      <c r="CR88" s="343">
        <v>0.40595677495002747</v>
      </c>
      <c r="CS88"/>
      <c r="CT88" s="336">
        <v>0.25594702363014221</v>
      </c>
      <c r="CU88" s="11">
        <v>1.2843369040638208E-3</v>
      </c>
      <c r="CV88" s="11">
        <v>2.2633445914834738E-3</v>
      </c>
      <c r="CW88"/>
      <c r="CX88" s="14">
        <v>5.9162965044379234E-3</v>
      </c>
      <c r="CY88"/>
      <c r="CZ88"/>
      <c r="DA88"/>
      <c r="DB88"/>
      <c r="DC88" s="70">
        <v>0.13277561962604523</v>
      </c>
      <c r="DD88" s="14">
        <v>6.869044154882431E-3</v>
      </c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 t="s">
        <v>279</v>
      </c>
      <c r="B89">
        <v>4.0138320922851562</v>
      </c>
      <c r="C89">
        <v>0.24809885025024414</v>
      </c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 s="294">
        <v>9.192250669002533E-2</v>
      </c>
      <c r="Z89" s="11">
        <v>2.0523891726043075E-4</v>
      </c>
      <c r="AA89"/>
      <c r="AB89" s="11">
        <v>1.0005019139498472E-3</v>
      </c>
      <c r="AC89"/>
      <c r="AD89" s="22">
        <v>3.3282902091741562E-2</v>
      </c>
      <c r="AE89" s="11">
        <v>3.3732373267412186E-3</v>
      </c>
      <c r="AF89" s="11">
        <v>1.8471739022061229E-3</v>
      </c>
      <c r="AG89" s="14">
        <v>6.8756388500332832E-3</v>
      </c>
      <c r="AH89" s="14">
        <v>9.4974348321557045E-3</v>
      </c>
      <c r="AI89" s="14">
        <v>7.0775425992906094E-3</v>
      </c>
      <c r="AJ89" s="14">
        <v>4.7820969484746456E-3</v>
      </c>
      <c r="AK89" s="12">
        <v>1.2788304127752781E-2</v>
      </c>
      <c r="AL89" s="14">
        <v>7.5704311020672321E-3</v>
      </c>
      <c r="AM89" s="12">
        <v>1.2102583423256874E-2</v>
      </c>
      <c r="AN89" s="12">
        <v>1.6125459223985672E-2</v>
      </c>
      <c r="AO89"/>
      <c r="AP89" s="11">
        <v>8.9569466581451707E-6</v>
      </c>
      <c r="AQ89" s="11">
        <v>4.9295860662823543E-5</v>
      </c>
      <c r="AR89"/>
      <c r="AS89" s="11">
        <v>1.8925773474620655E-5</v>
      </c>
      <c r="AT89" s="11">
        <v>1.1935770999116357E-5</v>
      </c>
      <c r="AU89" s="11">
        <v>2.2034284938854398E-6</v>
      </c>
      <c r="AV89" s="11">
        <v>1.9852752757287817E-6</v>
      </c>
      <c r="AW89"/>
      <c r="AX89"/>
      <c r="AY89" s="11">
        <v>3.2175437081605196E-4</v>
      </c>
      <c r="AZ89" s="11">
        <v>4.3112618732266128E-4</v>
      </c>
      <c r="BA89" s="14">
        <v>8.6035877466201782E-3</v>
      </c>
      <c r="BB89" s="14">
        <v>6.1964988708496094E-3</v>
      </c>
      <c r="BC89" s="11">
        <v>1.0803336044773459E-3</v>
      </c>
      <c r="BD89" s="11">
        <v>5.7143384765367955E-5</v>
      </c>
      <c r="BE89" s="11">
        <v>6.8989693318144418E-6</v>
      </c>
      <c r="BF89" s="11">
        <v>1.2000000424450263E-6</v>
      </c>
      <c r="BG89" s="11">
        <v>6.7303815740160644E-5</v>
      </c>
      <c r="BH89" s="11">
        <v>3.8508142461068928E-4</v>
      </c>
      <c r="BI89" s="11">
        <v>4.5209770905785263E-4</v>
      </c>
      <c r="BJ89" s="147">
        <v>0.12090297788381577</v>
      </c>
      <c r="BK89" s="330">
        <v>0.35562705993652344</v>
      </c>
      <c r="BL89" s="21">
        <v>7.7125512063503265E-2</v>
      </c>
      <c r="BM89" s="22">
        <v>3.106582909822464E-2</v>
      </c>
      <c r="BN89" s="15">
        <v>3.8353487849235535E-2</v>
      </c>
      <c r="BO89" s="294">
        <v>9.3389570713043213E-2</v>
      </c>
      <c r="BP89" s="11">
        <v>2.1530946251004934E-3</v>
      </c>
      <c r="BQ89" s="12">
        <v>1.1995084583759308E-2</v>
      </c>
      <c r="BR89" s="22">
        <v>2.8435442596673965E-2</v>
      </c>
      <c r="BS89" s="22">
        <v>3.1151462346315384E-2</v>
      </c>
      <c r="BT89" s="23">
        <v>2.3645216599106789E-2</v>
      </c>
      <c r="BU89" s="22">
        <v>3.0832022428512573E-2</v>
      </c>
      <c r="BV89" s="11">
        <v>3.8078606594353914E-3</v>
      </c>
      <c r="BW89" s="14">
        <v>9.7358757629990578E-3</v>
      </c>
      <c r="BX89"/>
      <c r="BY89"/>
      <c r="BZ89" s="22">
        <v>3.0451938509941101E-2</v>
      </c>
      <c r="CA89" s="22">
        <v>3.3835582435131073E-2</v>
      </c>
      <c r="CB89" s="11">
        <v>3.3952161902561784E-4</v>
      </c>
      <c r="CC89" s="11">
        <v>7.5076081884617452E-6</v>
      </c>
      <c r="CD89" s="11">
        <v>1.192808267660439E-4</v>
      </c>
      <c r="CE89" s="11">
        <v>2.9370837728492916E-4</v>
      </c>
      <c r="CF89" s="11">
        <v>1.8661108333617449E-4</v>
      </c>
      <c r="CG89" s="11">
        <v>1.6376484418287873E-3</v>
      </c>
      <c r="CH89" s="11">
        <v>6.5913627622649074E-5</v>
      </c>
      <c r="CI89"/>
      <c r="CJ89"/>
      <c r="CK89"/>
      <c r="CL89"/>
      <c r="CM89"/>
      <c r="CN89"/>
      <c r="CO89" s="330">
        <v>0.35265517234802246</v>
      </c>
      <c r="CP89" s="11">
        <v>1.4666193164885044E-3</v>
      </c>
      <c r="CQ89"/>
      <c r="CR89" s="24">
        <v>0.10723073035478592</v>
      </c>
      <c r="CS89"/>
      <c r="CT89" s="19">
        <v>7.178901880979538E-2</v>
      </c>
      <c r="CU89" s="12">
        <v>1.3911784626543522E-2</v>
      </c>
      <c r="CV89" s="21">
        <v>8.1668965518474579E-2</v>
      </c>
      <c r="CW89"/>
      <c r="CX89" s="11">
        <v>1.3214942300692201E-3</v>
      </c>
      <c r="CY89" s="11">
        <v>7.7754877565894276E-5</v>
      </c>
      <c r="CZ89"/>
      <c r="DA89"/>
      <c r="DB89" s="11">
        <v>1.0897858301177621E-3</v>
      </c>
      <c r="DC89" s="377">
        <v>1.9600956439971924</v>
      </c>
      <c r="DD89" s="23">
        <v>2.3120488971471786E-2</v>
      </c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 t="s">
        <v>280</v>
      </c>
      <c r="B90">
        <v>10.229836463928223</v>
      </c>
      <c r="C90">
        <v>0.19663447141647339</v>
      </c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2">
        <v>8.909018337726593E-2</v>
      </c>
      <c r="AB90" s="294">
        <v>0.24704958498477936</v>
      </c>
      <c r="AC90"/>
      <c r="AD90"/>
      <c r="AE90"/>
      <c r="AF90"/>
      <c r="AG90" s="21">
        <v>0.20346218347549438</v>
      </c>
      <c r="AH90" s="12">
        <v>4.7706879675388336E-2</v>
      </c>
      <c r="AI90"/>
      <c r="AJ90"/>
      <c r="AK90"/>
      <c r="AL90"/>
      <c r="AM90"/>
      <c r="AN90" s="11">
        <v>2.1476940673892386E-5</v>
      </c>
      <c r="AO90"/>
      <c r="AP90"/>
      <c r="AQ90"/>
      <c r="AR90"/>
      <c r="AS90" s="11">
        <v>7.85457668825984E-5</v>
      </c>
      <c r="AT90"/>
      <c r="AU90"/>
      <c r="AV90"/>
      <c r="AW90" s="11">
        <v>3.4456792491255328E-5</v>
      </c>
      <c r="AX90" s="11">
        <v>6.8426295183598995E-4</v>
      </c>
      <c r="AY90"/>
      <c r="AZ90"/>
      <c r="BA90" s="12">
        <v>3.802090510725975E-2</v>
      </c>
      <c r="BB90" s="11">
        <v>6.2538646161556244E-3</v>
      </c>
      <c r="BC90"/>
      <c r="BD90"/>
      <c r="BE90"/>
      <c r="BF90"/>
      <c r="BG90" s="23">
        <v>6.4442835748195648E-2</v>
      </c>
      <c r="BH90" s="11">
        <v>5.9092221781611443E-3</v>
      </c>
      <c r="BI90" s="23">
        <v>5.7539712637662888E-2</v>
      </c>
      <c r="BJ90" s="18">
        <v>0.1290910392999649</v>
      </c>
      <c r="BK90" s="358">
        <v>1.2852332592010498</v>
      </c>
      <c r="BL90" s="365">
        <v>1.8181772232055664</v>
      </c>
      <c r="BM90" s="28">
        <v>0.36854559183120728</v>
      </c>
      <c r="BN90" s="23">
        <v>5.584370344877243E-2</v>
      </c>
      <c r="BO90" s="14">
        <v>1.1622501537203789E-2</v>
      </c>
      <c r="BP90"/>
      <c r="BQ90"/>
      <c r="BR90"/>
      <c r="BS90"/>
      <c r="BT90" s="367">
        <v>1.699415922164917</v>
      </c>
      <c r="BU90" s="19">
        <v>0.17607557773590088</v>
      </c>
      <c r="BV90" s="11">
        <v>7.737443782389164E-3</v>
      </c>
      <c r="BW90"/>
      <c r="BX90" s="26">
        <v>0.26591309905052185</v>
      </c>
      <c r="BY90" s="11">
        <v>8.4578879177570343E-3</v>
      </c>
      <c r="BZ90" s="304">
        <v>2.9487528800964355</v>
      </c>
      <c r="CA90" s="11">
        <v>4.3347827158868313E-3</v>
      </c>
      <c r="CB90"/>
      <c r="CC90"/>
      <c r="CD90"/>
      <c r="CE90"/>
      <c r="CF90" s="14">
        <v>1.4274179004132748E-2</v>
      </c>
      <c r="CG90" s="11">
        <v>4.1501154191792011E-3</v>
      </c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 s="29">
        <v>0.47528305649757385</v>
      </c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 t="s">
        <v>281</v>
      </c>
      <c r="B91">
        <v>63.875</v>
      </c>
      <c r="C91">
        <v>1.0332677364349365</v>
      </c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 s="11">
        <v>3.0185600742697716E-2</v>
      </c>
      <c r="V91"/>
      <c r="W91"/>
      <c r="X91"/>
      <c r="Y91"/>
      <c r="Z91"/>
      <c r="AA91" s="11">
        <v>2.2860860917717218E-3</v>
      </c>
      <c r="AB91"/>
      <c r="AC91"/>
      <c r="AD91" s="18">
        <v>0.77212697267532349</v>
      </c>
      <c r="AE91" s="14">
        <v>0.14515766501426697</v>
      </c>
      <c r="AF91" s="14">
        <v>0.10447225719690323</v>
      </c>
      <c r="AG91" s="12">
        <v>0.21141186356544495</v>
      </c>
      <c r="AH91" s="12">
        <v>0.20938675105571747</v>
      </c>
      <c r="AI91" s="29">
        <v>3.0305764675140381</v>
      </c>
      <c r="AJ91" s="14">
        <v>0.17111428081989288</v>
      </c>
      <c r="AK91" s="23">
        <v>0.35317444801330566</v>
      </c>
      <c r="AL91" s="12">
        <v>0.20308221876621246</v>
      </c>
      <c r="AM91" s="18">
        <v>0.71103167533874512</v>
      </c>
      <c r="AN91" s="16">
        <v>1.0396572351455688</v>
      </c>
      <c r="AO91" s="11">
        <v>6.1130836606025696E-2</v>
      </c>
      <c r="AP91"/>
      <c r="AQ91"/>
      <c r="AR91"/>
      <c r="AS91" s="11">
        <v>4.2334944009780884E-4</v>
      </c>
      <c r="AT91" s="11">
        <v>8.2165049389004707E-3</v>
      </c>
      <c r="AU91"/>
      <c r="AV91"/>
      <c r="AW91" s="11">
        <v>8.4105604400974698E-6</v>
      </c>
      <c r="AX91" s="11">
        <v>1.3744371244683862E-4</v>
      </c>
      <c r="AY91" s="11">
        <v>1.3229415751993656E-2</v>
      </c>
      <c r="AZ91"/>
      <c r="BA91" s="14">
        <v>0.16254647076129913</v>
      </c>
      <c r="BB91" s="11">
        <v>2.0908713340759277E-2</v>
      </c>
      <c r="BC91"/>
      <c r="BD91" s="11">
        <v>4.0812273509800434E-3</v>
      </c>
      <c r="BE91" s="11">
        <v>4.9681314267218113E-3</v>
      </c>
      <c r="BF91"/>
      <c r="BG91" s="12">
        <v>0.26887175440788269</v>
      </c>
      <c r="BH91" s="22">
        <v>0.48446911573410034</v>
      </c>
      <c r="BI91" s="19">
        <v>1.0664045810699463</v>
      </c>
      <c r="BJ91" s="16">
        <v>1.0478202104568481</v>
      </c>
      <c r="BK91" s="27">
        <v>4.9375591278076172</v>
      </c>
      <c r="BL91" s="297">
        <v>2.1547160148620605</v>
      </c>
      <c r="BM91" s="19">
        <v>1.0650467872619629</v>
      </c>
      <c r="BN91" s="21">
        <v>1.2227743864059448</v>
      </c>
      <c r="BO91" s="13">
        <v>2.438298225402832</v>
      </c>
      <c r="BP91"/>
      <c r="BQ91" s="22">
        <v>0.49908682703971863</v>
      </c>
      <c r="BR91"/>
      <c r="BS91"/>
      <c r="BT91" s="299">
        <v>2.5529770851135254</v>
      </c>
      <c r="BU91" s="66">
        <v>2.6060059070587158</v>
      </c>
      <c r="BV91" s="22">
        <v>0.52439594268798828</v>
      </c>
      <c r="BW91" s="15">
        <v>0.61329877376556396</v>
      </c>
      <c r="BX91" s="367">
        <v>10.682467460632324</v>
      </c>
      <c r="BY91" s="23">
        <v>0.35110273957252502</v>
      </c>
      <c r="BZ91" s="17">
        <v>0.849570631980896</v>
      </c>
      <c r="CA91" s="297">
        <v>2.0896830558776855</v>
      </c>
      <c r="CB91" s="11">
        <v>5.425817146897316E-2</v>
      </c>
      <c r="CC91" s="14">
        <v>0.15670940279960632</v>
      </c>
      <c r="CD91"/>
      <c r="CE91"/>
      <c r="CF91" s="11">
        <v>7.1515655145049095E-3</v>
      </c>
      <c r="CG91" s="15">
        <v>0.59241747856140137</v>
      </c>
      <c r="CH91"/>
      <c r="CI91" s="14">
        <v>0.12490081787109375</v>
      </c>
      <c r="CJ91"/>
      <c r="CK91"/>
      <c r="CL91" s="14">
        <v>9.9530339241027832E-2</v>
      </c>
      <c r="CM91"/>
      <c r="CN91" s="11">
        <v>6.0541690327227116E-3</v>
      </c>
      <c r="CO91" s="22">
        <v>0.48008066415786743</v>
      </c>
      <c r="CP91"/>
      <c r="CQ91" s="19">
        <v>1.0940853357315063</v>
      </c>
      <c r="CR91" s="12">
        <v>0.266093909740448</v>
      </c>
      <c r="CS91"/>
      <c r="CT91"/>
      <c r="CU91"/>
      <c r="CV91"/>
      <c r="CW91"/>
      <c r="CX91"/>
      <c r="CY91"/>
      <c r="CZ91"/>
      <c r="DA91" s="16">
        <v>1.0085937976837158</v>
      </c>
      <c r="DB91"/>
      <c r="DC91"/>
      <c r="DD91"/>
      <c r="DE91" s="21">
        <v>1.2379906177520752</v>
      </c>
      <c r="DF91" s="376">
        <v>15.000000953674316</v>
      </c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 t="s">
        <v>282</v>
      </c>
      <c r="B92">
        <v>32</v>
      </c>
      <c r="C92">
        <v>0.57266426086425781</v>
      </c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 s="14">
        <v>7.190258800983429E-2</v>
      </c>
      <c r="V92"/>
      <c r="W92"/>
      <c r="X92"/>
      <c r="Y92"/>
      <c r="Z92"/>
      <c r="AA92" s="11">
        <v>2.7086616028100252E-3</v>
      </c>
      <c r="AB92"/>
      <c r="AC92"/>
      <c r="AD92"/>
      <c r="AE92"/>
      <c r="AF92"/>
      <c r="AG92" s="12">
        <v>0.11529181152582169</v>
      </c>
      <c r="AH92" s="11">
        <v>2.2775584831833839E-2</v>
      </c>
      <c r="AI92"/>
      <c r="AJ92"/>
      <c r="AK92" s="17">
        <v>0.41845759749412537</v>
      </c>
      <c r="AL92" s="23">
        <v>0.20360264182090759</v>
      </c>
      <c r="AM92" s="22">
        <v>0.24675910174846649</v>
      </c>
      <c r="AN92" s="17">
        <v>0.44852140545845032</v>
      </c>
      <c r="AO92" s="14">
        <v>5.1736209541559219E-2</v>
      </c>
      <c r="AP92"/>
      <c r="AQ92"/>
      <c r="AR92"/>
      <c r="AS92" s="11">
        <v>1.5577750673401169E-5</v>
      </c>
      <c r="AT92" s="11">
        <v>1.1434075713623315E-4</v>
      </c>
      <c r="AU92"/>
      <c r="AV92"/>
      <c r="AW92" s="11">
        <v>4.8511947170482017E-6</v>
      </c>
      <c r="AX92" s="11">
        <v>7.7180578955449164E-5</v>
      </c>
      <c r="AY92"/>
      <c r="AZ92"/>
      <c r="BA92" s="11">
        <v>1.93642508238554E-2</v>
      </c>
      <c r="BB92" s="11">
        <v>1.919221319258213E-2</v>
      </c>
      <c r="BC92"/>
      <c r="BD92" s="11">
        <v>3.6059869453310966E-3</v>
      </c>
      <c r="BE92"/>
      <c r="BF92"/>
      <c r="BG92" s="15">
        <v>0.31858363747596741</v>
      </c>
      <c r="BH92" s="24">
        <v>0.86582553386688232</v>
      </c>
      <c r="BI92" s="294">
        <v>0.77396392822265625</v>
      </c>
      <c r="BJ92" s="312">
        <v>1.801889181137085</v>
      </c>
      <c r="BK92" s="375">
        <v>5.2224512100219727</v>
      </c>
      <c r="BL92" s="78">
        <v>2.0666384696960449</v>
      </c>
      <c r="BM92" s="25">
        <v>1.0235258340835571</v>
      </c>
      <c r="BN92" s="294">
        <v>0.73155641555786133</v>
      </c>
      <c r="BO92" s="78">
        <v>2.059187650680542</v>
      </c>
      <c r="BP92"/>
      <c r="BQ92" s="19">
        <v>0.59134137630462646</v>
      </c>
      <c r="BR92"/>
      <c r="BS92"/>
      <c r="BT92" s="320">
        <v>2.706024169921875</v>
      </c>
      <c r="BU92" s="148">
        <v>1.949673056602478</v>
      </c>
      <c r="BV92" s="11">
        <v>2.0277615636587143E-2</v>
      </c>
      <c r="BW92" s="14">
        <v>3.8935355842113495E-2</v>
      </c>
      <c r="BX92" s="68">
        <v>1.9903267621994019</v>
      </c>
      <c r="BY92" s="15">
        <v>0.30193758010864258</v>
      </c>
      <c r="BZ92"/>
      <c r="CA92" s="23">
        <v>0.21623334288597107</v>
      </c>
      <c r="CB92" s="14">
        <v>6.6003225743770599E-2</v>
      </c>
      <c r="CC92" s="12">
        <v>9.7215764224529266E-2</v>
      </c>
      <c r="CD92"/>
      <c r="CE92"/>
      <c r="CF92" s="11">
        <v>4.1334195993840694E-3</v>
      </c>
      <c r="CG92" s="17">
        <v>0.45609697699546814</v>
      </c>
      <c r="CH92"/>
      <c r="CI92" s="14">
        <v>7.9991593956947327E-2</v>
      </c>
      <c r="CJ92"/>
      <c r="CK92"/>
      <c r="CL92" s="14">
        <v>6.374330073595047E-2</v>
      </c>
      <c r="CM92"/>
      <c r="CN92" s="11">
        <v>7.173262070864439E-3</v>
      </c>
      <c r="CO92"/>
      <c r="CP92"/>
      <c r="CQ92" s="66">
        <v>1.3140950202941895</v>
      </c>
      <c r="CR92"/>
      <c r="CS92"/>
      <c r="CT92"/>
      <c r="CU92"/>
      <c r="CV92"/>
      <c r="CW92"/>
      <c r="CX92"/>
      <c r="CY92"/>
      <c r="CZ92"/>
      <c r="DA92" s="16">
        <v>0.51856791973114014</v>
      </c>
      <c r="DB92"/>
      <c r="DC92"/>
      <c r="DD92"/>
      <c r="DE92" s="313">
        <v>1.5556952953338623</v>
      </c>
      <c r="DF92" s="69">
        <v>2.9621167182922363</v>
      </c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 t="s">
        <v>283</v>
      </c>
      <c r="B93">
        <v>91.25</v>
      </c>
      <c r="C93">
        <v>1.5969060659408569</v>
      </c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 s="11">
        <v>2.0608812570571899E-2</v>
      </c>
      <c r="V93"/>
      <c r="W93"/>
      <c r="X93"/>
      <c r="Y93"/>
      <c r="Z93"/>
      <c r="AA93"/>
      <c r="AB93"/>
      <c r="AC93"/>
      <c r="AD93"/>
      <c r="AE93"/>
      <c r="AF93"/>
      <c r="AG93" s="11">
        <v>2.0796982571482658E-2</v>
      </c>
      <c r="AH93" s="11">
        <v>1.2950086034834385E-2</v>
      </c>
      <c r="AI93"/>
      <c r="AJ93"/>
      <c r="AK93"/>
      <c r="AL93" s="11">
        <v>7.3890119791030884E-2</v>
      </c>
      <c r="AM93" s="11">
        <v>3.0836643651127815E-2</v>
      </c>
      <c r="AN93" s="11">
        <v>3.1918887048959732E-2</v>
      </c>
      <c r="AO93"/>
      <c r="AP93"/>
      <c r="AQ93"/>
      <c r="AR93"/>
      <c r="AS93" s="11">
        <v>1.5990994143066928E-5</v>
      </c>
      <c r="AT93" s="11">
        <v>6.5207670559175313E-5</v>
      </c>
      <c r="AU93"/>
      <c r="AV93"/>
      <c r="AW93" s="11">
        <v>5.6830926951079164E-6</v>
      </c>
      <c r="AX93" s="11">
        <v>9.2871967353858054E-5</v>
      </c>
      <c r="AY93"/>
      <c r="AZ93"/>
      <c r="BA93" s="14">
        <v>0.10166004300117493</v>
      </c>
      <c r="BB93" s="11">
        <v>8.3764074370265007E-3</v>
      </c>
      <c r="BC93"/>
      <c r="BD93" s="11">
        <v>2.7165927458554506E-3</v>
      </c>
      <c r="BE93"/>
      <c r="BF93"/>
      <c r="BG93" s="14">
        <v>0.10900880396366119</v>
      </c>
      <c r="BH93" s="22">
        <v>0.79720383882522583</v>
      </c>
      <c r="BI93" s="18">
        <v>0.9938204288482666</v>
      </c>
      <c r="BJ93" s="65">
        <v>2.0506522655487061</v>
      </c>
      <c r="BK93" s="25">
        <v>2.8459374904632568</v>
      </c>
      <c r="BL93" s="16">
        <v>1.3584859371185303</v>
      </c>
      <c r="BM93" s="23">
        <v>0.47943252325057983</v>
      </c>
      <c r="BN93" s="22">
        <v>0.73153865337371826</v>
      </c>
      <c r="BO93" s="21">
        <v>1.7678185701370239</v>
      </c>
      <c r="BP93"/>
      <c r="BQ93" s="12">
        <v>0.33801013231277466</v>
      </c>
      <c r="BR93"/>
      <c r="BS93"/>
      <c r="BT93" s="16">
        <v>1.3645799160003662</v>
      </c>
      <c r="BU93" s="21">
        <v>1.811339259147644</v>
      </c>
      <c r="BV93" s="12">
        <v>0.35524103045463562</v>
      </c>
      <c r="BW93" s="23">
        <v>0.52622437477111816</v>
      </c>
      <c r="BX93" s="68">
        <v>5.774592399597168</v>
      </c>
      <c r="BY93" s="21">
        <v>1.7219274044036865</v>
      </c>
      <c r="BZ93"/>
      <c r="CA93" s="21">
        <v>1.7650225162506104</v>
      </c>
      <c r="CB93" s="11">
        <v>3.6662742495536804E-2</v>
      </c>
      <c r="CC93" s="14">
        <v>0.19780588150024414</v>
      </c>
      <c r="CD93"/>
      <c r="CE93"/>
      <c r="CF93" s="11">
        <v>4.8323781229555607E-3</v>
      </c>
      <c r="CG93" s="12">
        <v>0.44217213988304138</v>
      </c>
      <c r="CH93"/>
      <c r="CI93" s="14">
        <v>0.2166772186756134</v>
      </c>
      <c r="CJ93"/>
      <c r="CK93"/>
      <c r="CL93" s="14">
        <v>0.17266467213630676</v>
      </c>
      <c r="CM93"/>
      <c r="CN93" s="11">
        <v>2.7271669823676348E-3</v>
      </c>
      <c r="CO93"/>
      <c r="CP93"/>
      <c r="CQ93"/>
      <c r="CR93"/>
      <c r="CS93"/>
      <c r="CT93"/>
      <c r="CU93"/>
      <c r="CV93"/>
      <c r="CW93"/>
      <c r="CX93"/>
      <c r="CY93"/>
      <c r="CZ93" s="300">
        <v>4.1402754783630371</v>
      </c>
      <c r="DA93" s="297">
        <v>3.0200133323669434</v>
      </c>
      <c r="DB93"/>
      <c r="DC93"/>
      <c r="DD93"/>
      <c r="DE93" s="23">
        <v>0.57848936319351196</v>
      </c>
      <c r="DF93" s="378">
        <v>55.745998382568359</v>
      </c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 t="s">
        <v>284</v>
      </c>
      <c r="B94">
        <v>109.1187744140625</v>
      </c>
      <c r="C94">
        <v>80.524612426757812</v>
      </c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 s="11">
        <v>1.0726612345024478E-6</v>
      </c>
      <c r="AX94" s="11">
        <v>2.8838667276431806E-6</v>
      </c>
      <c r="AY94"/>
      <c r="AZ94"/>
      <c r="BA94" s="11">
        <v>6.1789066530764103E-3</v>
      </c>
      <c r="BB94" s="11">
        <v>8.6701596155762672E-3</v>
      </c>
      <c r="BC94"/>
      <c r="BD94"/>
      <c r="BE94"/>
      <c r="BF94"/>
      <c r="BG94" s="11">
        <v>4.5135435648262501E-3</v>
      </c>
      <c r="BH94"/>
      <c r="BI94" s="14">
        <v>0.15441623330116272</v>
      </c>
      <c r="BJ94"/>
      <c r="BK94" s="11">
        <v>1.3098076917231083E-2</v>
      </c>
      <c r="BL94" s="11">
        <v>2.2689597681164742E-2</v>
      </c>
      <c r="BM94" s="11">
        <v>3.9827066939324141E-4</v>
      </c>
      <c r="BN94" s="11">
        <v>4.6600606292486191E-2</v>
      </c>
      <c r="BO94" s="11">
        <v>6.1392933130264282E-3</v>
      </c>
      <c r="BP94"/>
      <c r="BQ94"/>
      <c r="BR94"/>
      <c r="BS94"/>
      <c r="BT94" s="11">
        <v>1.7106318846344948E-2</v>
      </c>
      <c r="BU94" s="11">
        <v>7.8113778727129102E-5</v>
      </c>
      <c r="BV94"/>
      <c r="BW94" s="11">
        <v>3.5278026014566422E-2</v>
      </c>
      <c r="BX94" s="14">
        <v>0.2386992871761322</v>
      </c>
      <c r="BY94" s="15">
        <v>1.0556167364120483</v>
      </c>
      <c r="BZ94"/>
      <c r="CA94"/>
      <c r="CB94" s="11">
        <v>2.298006322234869E-3</v>
      </c>
      <c r="CC94" s="11">
        <v>3.4244149923324585E-2</v>
      </c>
      <c r="CD94"/>
      <c r="CE94"/>
      <c r="CF94" s="11">
        <v>2.1799197420477867E-3</v>
      </c>
      <c r="CG94" s="11">
        <v>2.8109828010201454E-2</v>
      </c>
      <c r="CH94"/>
      <c r="CI94" s="11">
        <v>2.6913104578852654E-2</v>
      </c>
      <c r="CJ94"/>
      <c r="CK94"/>
      <c r="CL94" s="11">
        <v>2.1446380764245987E-2</v>
      </c>
      <c r="CM94"/>
      <c r="CN94" s="11">
        <v>1.6936835891101509E-4</v>
      </c>
      <c r="CO94"/>
      <c r="CP94"/>
      <c r="CQ94"/>
      <c r="CR94"/>
      <c r="CS94"/>
      <c r="CT94"/>
      <c r="CU94"/>
      <c r="CV94"/>
      <c r="CW94"/>
      <c r="CX94"/>
      <c r="CY94"/>
      <c r="CZ94" s="23">
        <v>0.65440422296524048</v>
      </c>
      <c r="DA94" s="23">
        <v>0.5474885106086731</v>
      </c>
      <c r="DB94"/>
      <c r="DC94"/>
      <c r="DD94"/>
      <c r="DE94" s="11">
        <v>6.5252713859081268E-2</v>
      </c>
      <c r="DF94"/>
      <c r="DG94" s="320">
        <v>9.0942716598510742</v>
      </c>
      <c r="DH94" s="380">
        <v>16.507902145385742</v>
      </c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 t="s">
        <v>285</v>
      </c>
      <c r="B95">
        <v>10.225000381469727</v>
      </c>
      <c r="C95">
        <v>4.7239270210266113</v>
      </c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 s="11">
        <v>2.4161357432603836E-3</v>
      </c>
      <c r="AB95"/>
      <c r="AC95"/>
      <c r="AD95"/>
      <c r="AE95"/>
      <c r="AF95"/>
      <c r="AG95"/>
      <c r="AH95"/>
      <c r="AI95"/>
      <c r="AJ95"/>
      <c r="AK95"/>
      <c r="AL95"/>
      <c r="AM95"/>
      <c r="AN95" s="11">
        <v>1.7993254459724994E-6</v>
      </c>
      <c r="AO95"/>
      <c r="AP95"/>
      <c r="AQ95"/>
      <c r="AR95"/>
      <c r="AS95" s="11">
        <v>1.1771817298722453E-5</v>
      </c>
      <c r="AT95"/>
      <c r="AU95"/>
      <c r="AV95"/>
      <c r="AW95"/>
      <c r="AX95"/>
      <c r="AY95"/>
      <c r="AZ95"/>
      <c r="BA95" s="11">
        <v>6.3707428053021431E-3</v>
      </c>
      <c r="BB95" s="11">
        <v>3.2774233259260654E-3</v>
      </c>
      <c r="BC95"/>
      <c r="BD95" s="11">
        <v>2.5387956270606082E-7</v>
      </c>
      <c r="BE95"/>
      <c r="BF95"/>
      <c r="BG95"/>
      <c r="BH95"/>
      <c r="BI95"/>
      <c r="BJ95" s="22">
        <v>8.6521431803703308E-2</v>
      </c>
      <c r="BK95" s="22">
        <v>7.8424789011478424E-2</v>
      </c>
      <c r="BL95" s="12">
        <v>4.4402875006198883E-2</v>
      </c>
      <c r="BM95" s="19">
        <v>0.17723669111728668</v>
      </c>
      <c r="BN95" s="23">
        <v>5.7695332914590836E-2</v>
      </c>
      <c r="BO95" s="16">
        <v>0.16360779106616974</v>
      </c>
      <c r="BP95"/>
      <c r="BQ95"/>
      <c r="BR95" s="11">
        <v>4.5641055330634117E-3</v>
      </c>
      <c r="BS95" s="12">
        <v>3.5800546407699585E-2</v>
      </c>
      <c r="BT95" s="11">
        <v>9.4550028443336487E-3</v>
      </c>
      <c r="BU95"/>
      <c r="BV95" s="11">
        <v>5.3714835084974766E-3</v>
      </c>
      <c r="BW95" s="12">
        <v>4.1439380496740341E-2</v>
      </c>
      <c r="BX95"/>
      <c r="BY95"/>
      <c r="BZ95"/>
      <c r="CA95" s="11">
        <v>9.083988144993782E-3</v>
      </c>
      <c r="CB95" s="14">
        <v>1.508723758161068E-2</v>
      </c>
      <c r="CC95" s="22">
        <v>7.1392044425010681E-2</v>
      </c>
      <c r="CD95" s="11">
        <v>7.6049324125051498E-3</v>
      </c>
      <c r="CE95" s="11">
        <v>3.4278291277587414E-3</v>
      </c>
      <c r="CF95" s="14">
        <v>1.2002182193100452E-2</v>
      </c>
      <c r="CG95" s="22">
        <v>7.6647303998470306E-2</v>
      </c>
      <c r="CH95"/>
      <c r="CI95"/>
      <c r="CJ95"/>
      <c r="CK95"/>
      <c r="CL95"/>
      <c r="CM95"/>
      <c r="CN95"/>
      <c r="CO95" s="21">
        <v>0.19744078814983368</v>
      </c>
      <c r="CP95" s="16">
        <v>0.15335701406002045</v>
      </c>
      <c r="CQ95"/>
      <c r="CR95"/>
      <c r="CS95" s="15">
        <v>9.5285601913928986E-2</v>
      </c>
      <c r="CT95"/>
      <c r="CU95" s="14">
        <v>1.6840493306517601E-2</v>
      </c>
      <c r="CV95" s="11">
        <v>9.0712597593665123E-3</v>
      </c>
      <c r="CW95"/>
      <c r="CX95"/>
      <c r="CY95" s="15">
        <v>9.5920301973819733E-2</v>
      </c>
      <c r="CZ95"/>
      <c r="DA95"/>
      <c r="DB95" s="16">
        <v>0.15113413333892822</v>
      </c>
      <c r="DC95"/>
      <c r="DD95" s="143">
        <v>3.8701803684234619</v>
      </c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 t="s">
        <v>286</v>
      </c>
      <c r="B96">
        <v>13.757692337036133</v>
      </c>
      <c r="C96">
        <v>2.292935848236084</v>
      </c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 s="14">
        <v>2.5683633983135223E-2</v>
      </c>
      <c r="Y96"/>
      <c r="Z96"/>
      <c r="AA96" s="11">
        <v>6.2123639509081841E-3</v>
      </c>
      <c r="AB96"/>
      <c r="AC96"/>
      <c r="AD96"/>
      <c r="AE96"/>
      <c r="AF96"/>
      <c r="AG96"/>
      <c r="AH96"/>
      <c r="AI96"/>
      <c r="AJ96"/>
      <c r="AK96"/>
      <c r="AL96"/>
      <c r="AM96"/>
      <c r="AN96" s="11">
        <v>3.5161388041160535E-6</v>
      </c>
      <c r="AO96"/>
      <c r="AP96"/>
      <c r="AQ96"/>
      <c r="AR96"/>
      <c r="AS96" s="11">
        <v>2.3003811293165199E-5</v>
      </c>
      <c r="AT96"/>
      <c r="AU96"/>
      <c r="AV96"/>
      <c r="AW96"/>
      <c r="AX96"/>
      <c r="AY96"/>
      <c r="AZ96"/>
      <c r="BA96" s="11">
        <v>2.4566701613366604E-3</v>
      </c>
      <c r="BB96" s="11">
        <v>3.0536309350281954E-3</v>
      </c>
      <c r="BC96"/>
      <c r="BD96" s="11">
        <v>4.9611691110840184E-7</v>
      </c>
      <c r="BE96"/>
      <c r="BF96"/>
      <c r="BG96"/>
      <c r="BH96"/>
      <c r="BI96"/>
      <c r="BJ96" s="18">
        <v>0.15667638182640076</v>
      </c>
      <c r="BK96" s="18">
        <v>0.17329876124858856</v>
      </c>
      <c r="BL96" s="22">
        <v>0.11608997732400894</v>
      </c>
      <c r="BM96" s="65">
        <v>0.30942150950431824</v>
      </c>
      <c r="BN96" s="22">
        <v>0.11955663561820984</v>
      </c>
      <c r="BO96" s="21">
        <v>0.27491962909698486</v>
      </c>
      <c r="BP96"/>
      <c r="BQ96"/>
      <c r="BR96"/>
      <c r="BS96"/>
      <c r="BT96" s="14">
        <v>2.0079949870705605E-2</v>
      </c>
      <c r="BU96"/>
      <c r="BV96" s="11">
        <v>1.0496645234525204E-2</v>
      </c>
      <c r="BW96" s="12">
        <v>5.7786040008068085E-2</v>
      </c>
      <c r="BX96"/>
      <c r="BY96"/>
      <c r="BZ96"/>
      <c r="CA96"/>
      <c r="CB96" s="11">
        <v>5.8970688842236996E-3</v>
      </c>
      <c r="CC96" s="12">
        <v>4.4588830322027206E-2</v>
      </c>
      <c r="CD96"/>
      <c r="CE96"/>
      <c r="CF96" s="14">
        <v>1.9394420087337494E-2</v>
      </c>
      <c r="CG96" s="15">
        <v>0.12304993718862534</v>
      </c>
      <c r="CH96"/>
      <c r="CI96"/>
      <c r="CJ96"/>
      <c r="CK96"/>
      <c r="CL96"/>
      <c r="CM96"/>
      <c r="CN96"/>
      <c r="CO96" s="22">
        <v>0.11182589828968048</v>
      </c>
      <c r="CP96" s="65">
        <v>0.29968148469924927</v>
      </c>
      <c r="CQ96"/>
      <c r="CR96"/>
      <c r="CS96"/>
      <c r="CT96"/>
      <c r="CU96"/>
      <c r="CV96" s="22">
        <v>0.10635922849178314</v>
      </c>
      <c r="CW96"/>
      <c r="CX96"/>
      <c r="CY96" s="18">
        <v>0.14995561540126801</v>
      </c>
      <c r="CZ96"/>
      <c r="DA96"/>
      <c r="DB96" s="65">
        <v>0.29533767700195312</v>
      </c>
      <c r="DC96"/>
      <c r="DD96" s="379">
        <v>9.0329065322875977</v>
      </c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 t="s">
        <v>287</v>
      </c>
      <c r="B97">
        <v>6.6183000802993774E-2</v>
      </c>
      <c r="C97">
        <v>5.9756200760602951E-2</v>
      </c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 s="27">
        <v>5.061078816652298E-3</v>
      </c>
      <c r="CD97" s="65">
        <v>1.3657207600772381E-3</v>
      </c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 t="s">
        <v>288</v>
      </c>
      <c r="B98"/>
      <c r="C98">
        <v>5.0538964569568634E-4</v>
      </c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 s="9">
        <v>2.4729341268539429E-2</v>
      </c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 s="9">
        <v>2.8800064910683432E-7</v>
      </c>
      <c r="AT98"/>
      <c r="AU98"/>
      <c r="AV98"/>
      <c r="AW98"/>
      <c r="AX98"/>
      <c r="AY98"/>
      <c r="AZ98"/>
      <c r="BA98" s="9">
        <v>1.6729198932807776E-6</v>
      </c>
      <c r="BB98"/>
      <c r="BC98"/>
      <c r="BD98"/>
      <c r="BE98"/>
      <c r="BF98"/>
      <c r="BG98"/>
      <c r="BH98"/>
      <c r="BI98"/>
      <c r="BJ98" s="9">
        <v>2.8400025330483913E-3</v>
      </c>
      <c r="BK98"/>
      <c r="BL98"/>
      <c r="BM98" s="9">
        <v>2.0789750851690769E-4</v>
      </c>
      <c r="BN98" s="9">
        <v>1.3500674394890666E-3</v>
      </c>
      <c r="BO98" s="9">
        <v>1.4205279294401407E-3</v>
      </c>
      <c r="BP98"/>
      <c r="BQ98"/>
      <c r="BR98"/>
      <c r="BS98"/>
      <c r="BT98" s="9">
        <v>1.2060371773259249E-5</v>
      </c>
      <c r="BU98"/>
      <c r="BV98"/>
      <c r="BW98"/>
      <c r="BX98"/>
      <c r="BY98"/>
      <c r="BZ98"/>
      <c r="CA98"/>
      <c r="CB98"/>
      <c r="CC98"/>
      <c r="CD98"/>
      <c r="CE98"/>
      <c r="CF98" s="9">
        <v>1.1940379636143916E-6</v>
      </c>
      <c r="CG98" s="9">
        <v>1.0144714906346053E-5</v>
      </c>
      <c r="CH98" s="9">
        <v>1.2953267969351145E-7</v>
      </c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 t="s">
        <v>289</v>
      </c>
      <c r="B99"/>
      <c r="C99">
        <v>0.17456395924091339</v>
      </c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 s="9">
        <v>0.10094885528087616</v>
      </c>
      <c r="AM99"/>
      <c r="AN99"/>
      <c r="AO99"/>
      <c r="AP99"/>
      <c r="AQ99"/>
      <c r="AR99"/>
      <c r="AS99" s="9">
        <v>9.5040224550757557E-5</v>
      </c>
      <c r="AT99"/>
      <c r="AU99"/>
      <c r="AV99"/>
      <c r="AW99"/>
      <c r="AX99"/>
      <c r="AY99"/>
      <c r="AZ99"/>
      <c r="BA99" s="9">
        <v>2.8255645185709E-2</v>
      </c>
      <c r="BB99"/>
      <c r="BC99"/>
      <c r="BD99"/>
      <c r="BE99"/>
      <c r="BF99"/>
      <c r="BG99"/>
      <c r="BH99"/>
      <c r="BI99"/>
      <c r="BJ99" s="9">
        <v>2.9300308227539062</v>
      </c>
      <c r="BK99"/>
      <c r="BL99" s="9">
        <v>1.6983956098556519</v>
      </c>
      <c r="BM99" s="9">
        <v>2.014948844909668</v>
      </c>
      <c r="BN99" s="9">
        <v>0.922771155834198</v>
      </c>
      <c r="BO99" s="9">
        <v>4.2726640701293945</v>
      </c>
      <c r="BP99" s="9">
        <v>0.14532661437988281</v>
      </c>
      <c r="BQ99"/>
      <c r="BR99" s="9">
        <v>1.1026268005371094</v>
      </c>
      <c r="BS99" s="9">
        <v>0.98007524013519287</v>
      </c>
      <c r="BT99" s="9">
        <v>0.31610235571861267</v>
      </c>
      <c r="BU99"/>
      <c r="BV99"/>
      <c r="BW99"/>
      <c r="BX99"/>
      <c r="BY99"/>
      <c r="BZ99"/>
      <c r="CA99" s="9">
        <v>1.4062556028366089</v>
      </c>
      <c r="CB99"/>
      <c r="CC99"/>
      <c r="CD99"/>
      <c r="CE99"/>
      <c r="CF99" s="9">
        <v>0.12753519415855408</v>
      </c>
      <c r="CG99" s="9">
        <v>1.5871422290802002</v>
      </c>
      <c r="CH99" s="9">
        <v>0.10664425790309906</v>
      </c>
      <c r="CI99" s="9">
        <v>0.17560800909996033</v>
      </c>
      <c r="CJ99"/>
      <c r="CK99"/>
      <c r="CL99" s="9">
        <v>0.1399376392364502</v>
      </c>
      <c r="CM99"/>
      <c r="CN99" s="9">
        <v>4.4201700948178768E-3</v>
      </c>
      <c r="CO99" s="9">
        <v>27.714851379394531</v>
      </c>
      <c r="CP99" s="9">
        <v>16.08848762512207</v>
      </c>
      <c r="CQ99" s="9">
        <v>0.14097252488136292</v>
      </c>
      <c r="CR99" s="9">
        <v>2.5938553810119629</v>
      </c>
      <c r="CS99" s="9">
        <v>5.6298246383666992</v>
      </c>
      <c r="CT99"/>
      <c r="CU99" s="9">
        <v>0.66333222389221191</v>
      </c>
      <c r="CV99" s="9">
        <v>0.35730895400047302</v>
      </c>
      <c r="CW99"/>
      <c r="CX99"/>
      <c r="CY99"/>
      <c r="CZ99" s="9">
        <v>9.7642374038696289</v>
      </c>
      <c r="DA99" s="9">
        <v>3.3562631607055664</v>
      </c>
      <c r="DB99" s="9">
        <v>28.205776214599609</v>
      </c>
      <c r="DC99" s="9">
        <v>29.281917572021484</v>
      </c>
      <c r="DD99" s="9">
        <v>337.17376708984375</v>
      </c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 t="s">
        <v>290</v>
      </c>
      <c r="B100"/>
      <c r="C100">
        <v>0</v>
      </c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1.5" bestFit="1" customWidth="1"/>
    <col min="5" max="5" width="4.33203125" bestFit="1" customWidth="1"/>
    <col min="6" max="6" width="4.83203125" bestFit="1" customWidth="1"/>
    <col min="7" max="7" width="4.33203125" bestFit="1" customWidth="1"/>
    <col min="8" max="8" width="31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9" t="s">
        <v>192</v>
      </c>
      <c r="E5">
        <v>4</v>
      </c>
      <c r="F5">
        <v>3.16</v>
      </c>
      <c r="G5">
        <v>4</v>
      </c>
      <c r="H5" s="200" t="s">
        <v>192</v>
      </c>
      <c r="J5" s="57"/>
      <c r="K5" s="58"/>
    </row>
    <row r="6" spans="1:12" ht="14" thickBot="1" x14ac:dyDescent="0.2">
      <c r="A6" s="41" t="s">
        <v>121</v>
      </c>
      <c r="D6" s="199" t="s">
        <v>193</v>
      </c>
      <c r="E6">
        <v>5</v>
      </c>
      <c r="F6">
        <v>3.16</v>
      </c>
      <c r="G6">
        <v>5</v>
      </c>
      <c r="H6" s="200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9" t="s">
        <v>194</v>
      </c>
      <c r="E7">
        <v>6</v>
      </c>
      <c r="F7">
        <v>3.16</v>
      </c>
      <c r="G7">
        <v>6</v>
      </c>
      <c r="H7" s="200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9" t="s">
        <v>195</v>
      </c>
      <c r="E8">
        <v>7</v>
      </c>
      <c r="F8">
        <v>3.16</v>
      </c>
      <c r="G8">
        <v>7</v>
      </c>
      <c r="H8" s="200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9" t="s">
        <v>196</v>
      </c>
      <c r="E9">
        <v>8</v>
      </c>
      <c r="F9">
        <v>3.16</v>
      </c>
      <c r="G9">
        <v>8</v>
      </c>
      <c r="H9" s="200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9" t="s">
        <v>197</v>
      </c>
      <c r="E10">
        <v>9</v>
      </c>
      <c r="F10">
        <v>3.15</v>
      </c>
      <c r="G10">
        <v>9</v>
      </c>
      <c r="H10" s="200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9" t="s">
        <v>198</v>
      </c>
      <c r="E11">
        <v>10</v>
      </c>
      <c r="F11">
        <v>3.15</v>
      </c>
      <c r="G11">
        <v>10</v>
      </c>
      <c r="H11" s="200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9" t="s">
        <v>199</v>
      </c>
      <c r="E12">
        <v>11</v>
      </c>
      <c r="F12">
        <v>3.15</v>
      </c>
      <c r="G12">
        <v>11</v>
      </c>
      <c r="H12" s="200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9" t="s">
        <v>200</v>
      </c>
      <c r="E13">
        <v>12</v>
      </c>
      <c r="F13">
        <v>3.15</v>
      </c>
      <c r="G13">
        <v>12</v>
      </c>
      <c r="H13" s="200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9" t="s">
        <v>201</v>
      </c>
      <c r="E14">
        <v>13</v>
      </c>
      <c r="F14">
        <v>3.24</v>
      </c>
      <c r="G14">
        <v>13</v>
      </c>
      <c r="H14" s="200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9" t="s">
        <v>202</v>
      </c>
      <c r="E15">
        <v>14</v>
      </c>
      <c r="F15">
        <v>3.24</v>
      </c>
      <c r="G15">
        <v>14</v>
      </c>
      <c r="H15" s="200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9" t="s">
        <v>203</v>
      </c>
      <c r="E16">
        <v>15</v>
      </c>
      <c r="F16">
        <v>3.24</v>
      </c>
      <c r="G16">
        <v>15</v>
      </c>
      <c r="H16" s="200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9" t="s">
        <v>204</v>
      </c>
      <c r="E17">
        <v>16</v>
      </c>
      <c r="F17">
        <v>3.24</v>
      </c>
      <c r="G17">
        <v>16</v>
      </c>
      <c r="H17" s="200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9" t="s">
        <v>205</v>
      </c>
      <c r="E18">
        <v>17</v>
      </c>
      <c r="F18">
        <v>3.24</v>
      </c>
      <c r="G18">
        <v>17</v>
      </c>
      <c r="H18" s="200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9" t="s">
        <v>206</v>
      </c>
      <c r="E19">
        <v>18</v>
      </c>
      <c r="F19">
        <v>3.24</v>
      </c>
      <c r="G19">
        <v>18</v>
      </c>
      <c r="H19" s="200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9" t="s">
        <v>207</v>
      </c>
      <c r="E20">
        <v>19</v>
      </c>
      <c r="F20">
        <v>3.24</v>
      </c>
      <c r="G20">
        <v>19</v>
      </c>
      <c r="H20" s="200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9" t="s">
        <v>208</v>
      </c>
      <c r="E21">
        <v>20</v>
      </c>
      <c r="F21">
        <v>3.24</v>
      </c>
      <c r="G21">
        <v>20</v>
      </c>
      <c r="H21" s="200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9" t="s">
        <v>209</v>
      </c>
      <c r="E22">
        <v>21</v>
      </c>
      <c r="F22">
        <v>3.24</v>
      </c>
      <c r="G22">
        <v>21</v>
      </c>
      <c r="H22" s="200" t="s">
        <v>209</v>
      </c>
    </row>
    <row r="23" spans="1:12" x14ac:dyDescent="0.15">
      <c r="A23" s="36" t="s">
        <v>129</v>
      </c>
      <c r="B23" s="44">
        <v>4</v>
      </c>
      <c r="C23" s="38"/>
      <c r="D23" s="199" t="s">
        <v>210</v>
      </c>
      <c r="E23">
        <v>22</v>
      </c>
      <c r="F23">
        <v>3.14</v>
      </c>
      <c r="G23">
        <v>22</v>
      </c>
      <c r="H23" s="200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9" t="s">
        <v>211</v>
      </c>
      <c r="E24">
        <v>23</v>
      </c>
      <c r="F24">
        <v>3.14</v>
      </c>
      <c r="G24">
        <v>23</v>
      </c>
      <c r="H24" s="200" t="s">
        <v>211</v>
      </c>
    </row>
    <row r="25" spans="1:12" x14ac:dyDescent="0.15">
      <c r="A25" s="36" t="s">
        <v>70</v>
      </c>
      <c r="B25" s="44">
        <v>4.2</v>
      </c>
      <c r="C25" s="38"/>
      <c r="D25" s="199" t="s">
        <v>212</v>
      </c>
      <c r="E25">
        <v>24</v>
      </c>
      <c r="F25">
        <v>3.14</v>
      </c>
      <c r="G25">
        <v>24</v>
      </c>
      <c r="H25" s="200" t="s">
        <v>212</v>
      </c>
    </row>
    <row r="26" spans="1:12" x14ac:dyDescent="0.15">
      <c r="A26" s="36" t="s">
        <v>123</v>
      </c>
      <c r="B26" s="44">
        <v>4.3</v>
      </c>
      <c r="C26" s="38"/>
      <c r="D26" s="199" t="s">
        <v>213</v>
      </c>
      <c r="E26">
        <v>25</v>
      </c>
      <c r="F26">
        <v>3.14</v>
      </c>
      <c r="G26">
        <v>25</v>
      </c>
      <c r="H26" s="200" t="s">
        <v>213</v>
      </c>
    </row>
    <row r="27" spans="1:12" x14ac:dyDescent="0.15">
      <c r="A27" s="36" t="s">
        <v>125</v>
      </c>
      <c r="B27" s="44">
        <v>6.1</v>
      </c>
      <c r="D27" s="199" t="s">
        <v>214</v>
      </c>
      <c r="E27">
        <v>26</v>
      </c>
      <c r="F27">
        <v>3.24</v>
      </c>
      <c r="G27">
        <v>26</v>
      </c>
      <c r="H27" s="200" t="s">
        <v>214</v>
      </c>
    </row>
    <row r="28" spans="1:12" x14ac:dyDescent="0.15">
      <c r="A28" s="36" t="s">
        <v>124</v>
      </c>
      <c r="B28" s="44">
        <v>6.2</v>
      </c>
      <c r="D28" s="199" t="s">
        <v>215</v>
      </c>
      <c r="E28">
        <v>27</v>
      </c>
      <c r="F28">
        <v>3.24</v>
      </c>
      <c r="G28">
        <v>27</v>
      </c>
      <c r="H28" s="200" t="s">
        <v>215</v>
      </c>
    </row>
    <row r="29" spans="1:12" x14ac:dyDescent="0.15">
      <c r="A29" s="36" t="s">
        <v>44</v>
      </c>
      <c r="B29" s="44">
        <v>5</v>
      </c>
      <c r="D29" s="199" t="s">
        <v>216</v>
      </c>
      <c r="E29">
        <v>28</v>
      </c>
      <c r="F29">
        <v>3.14</v>
      </c>
      <c r="G29">
        <v>28</v>
      </c>
      <c r="H29" s="200" t="s">
        <v>216</v>
      </c>
    </row>
    <row r="30" spans="1:12" x14ac:dyDescent="0.15">
      <c r="A30" s="36" t="s">
        <v>73</v>
      </c>
      <c r="B30" s="44">
        <v>7</v>
      </c>
      <c r="D30" s="199" t="s">
        <v>217</v>
      </c>
      <c r="E30">
        <v>29</v>
      </c>
      <c r="F30">
        <v>3.14</v>
      </c>
      <c r="G30">
        <v>29</v>
      </c>
      <c r="H30" s="200" t="s">
        <v>217</v>
      </c>
    </row>
    <row r="31" spans="1:12" x14ac:dyDescent="0.15">
      <c r="A31" s="36" t="s">
        <v>169</v>
      </c>
      <c r="B31" s="44">
        <v>3.14</v>
      </c>
      <c r="D31" s="199" t="s">
        <v>218</v>
      </c>
      <c r="E31">
        <v>30</v>
      </c>
      <c r="F31">
        <v>3.14</v>
      </c>
      <c r="G31">
        <v>30</v>
      </c>
      <c r="H31" s="200" t="s">
        <v>218</v>
      </c>
    </row>
    <row r="32" spans="1:12" ht="12" customHeight="1" thickBot="1" x14ac:dyDescent="0.2">
      <c r="A32" s="42" t="s">
        <v>170</v>
      </c>
      <c r="B32" s="45">
        <v>9</v>
      </c>
      <c r="D32" s="199" t="s">
        <v>219</v>
      </c>
      <c r="E32">
        <v>31</v>
      </c>
      <c r="F32">
        <v>3.14</v>
      </c>
      <c r="G32">
        <v>31</v>
      </c>
      <c r="H32" s="200" t="s">
        <v>219</v>
      </c>
    </row>
    <row r="33" spans="4:8" customFormat="1" ht="12" customHeight="1" x14ac:dyDescent="0.15">
      <c r="D33" s="199" t="s">
        <v>220</v>
      </c>
      <c r="E33">
        <v>32</v>
      </c>
      <c r="F33">
        <v>3.14</v>
      </c>
      <c r="G33">
        <v>32</v>
      </c>
      <c r="H33" s="200" t="s">
        <v>220</v>
      </c>
    </row>
    <row r="34" spans="4:8" customFormat="1" ht="12" customHeight="1" x14ac:dyDescent="0.15">
      <c r="D34" s="199" t="s">
        <v>221</v>
      </c>
      <c r="E34">
        <v>33</v>
      </c>
      <c r="F34">
        <v>3.14</v>
      </c>
      <c r="G34">
        <v>33</v>
      </c>
      <c r="H34" s="200" t="s">
        <v>221</v>
      </c>
    </row>
    <row r="35" spans="4:8" customFormat="1" x14ac:dyDescent="0.15">
      <c r="D35" s="199" t="s">
        <v>222</v>
      </c>
      <c r="E35">
        <v>34</v>
      </c>
      <c r="F35">
        <v>3.24</v>
      </c>
      <c r="G35">
        <v>34</v>
      </c>
      <c r="H35" s="200" t="s">
        <v>222</v>
      </c>
    </row>
    <row r="36" spans="4:8" customFormat="1" x14ac:dyDescent="0.15">
      <c r="D36" s="199" t="s">
        <v>223</v>
      </c>
      <c r="E36">
        <v>35</v>
      </c>
      <c r="F36">
        <v>3.24</v>
      </c>
      <c r="G36">
        <v>35</v>
      </c>
      <c r="H36" s="200" t="s">
        <v>223</v>
      </c>
    </row>
    <row r="37" spans="4:8" customFormat="1" ht="12" customHeight="1" x14ac:dyDescent="0.15">
      <c r="D37" s="199" t="s">
        <v>224</v>
      </c>
      <c r="E37">
        <v>36</v>
      </c>
      <c r="F37">
        <v>3.24</v>
      </c>
      <c r="G37">
        <v>36</v>
      </c>
      <c r="H37" s="200" t="s">
        <v>224</v>
      </c>
    </row>
    <row r="38" spans="4:8" customFormat="1" x14ac:dyDescent="0.15">
      <c r="D38" s="199" t="s">
        <v>225</v>
      </c>
      <c r="E38">
        <v>37</v>
      </c>
      <c r="F38">
        <v>3.24</v>
      </c>
      <c r="G38">
        <v>37</v>
      </c>
      <c r="H38" s="200" t="s">
        <v>225</v>
      </c>
    </row>
    <row r="39" spans="4:8" customFormat="1" x14ac:dyDescent="0.15">
      <c r="D39" s="199" t="s">
        <v>226</v>
      </c>
      <c r="E39">
        <v>38</v>
      </c>
      <c r="F39">
        <v>3.24</v>
      </c>
      <c r="G39">
        <v>38</v>
      </c>
      <c r="H39" s="200" t="s">
        <v>226</v>
      </c>
    </row>
    <row r="40" spans="4:8" customFormat="1" x14ac:dyDescent="0.15">
      <c r="D40" s="199" t="s">
        <v>227</v>
      </c>
      <c r="E40">
        <v>39</v>
      </c>
      <c r="F40">
        <v>3.1</v>
      </c>
      <c r="G40">
        <v>39</v>
      </c>
      <c r="H40" s="200" t="s">
        <v>227</v>
      </c>
    </row>
    <row r="41" spans="4:8" customFormat="1" x14ac:dyDescent="0.15">
      <c r="D41" s="199" t="s">
        <v>228</v>
      </c>
      <c r="E41">
        <v>40</v>
      </c>
      <c r="F41">
        <v>3.1</v>
      </c>
      <c r="G41">
        <v>40</v>
      </c>
      <c r="H41" s="200" t="s">
        <v>228</v>
      </c>
    </row>
    <row r="42" spans="4:8" customFormat="1" x14ac:dyDescent="0.15">
      <c r="D42" s="199" t="s">
        <v>229</v>
      </c>
      <c r="E42">
        <v>41</v>
      </c>
      <c r="F42">
        <v>3.1</v>
      </c>
      <c r="G42">
        <v>41</v>
      </c>
      <c r="H42" s="200" t="s">
        <v>229</v>
      </c>
    </row>
    <row r="43" spans="4:8" customFormat="1" x14ac:dyDescent="0.15">
      <c r="D43" s="199" t="s">
        <v>230</v>
      </c>
      <c r="E43">
        <v>42</v>
      </c>
      <c r="F43">
        <v>3.1</v>
      </c>
      <c r="G43">
        <v>42</v>
      </c>
      <c r="H43" s="200" t="s">
        <v>230</v>
      </c>
    </row>
    <row r="44" spans="4:8" customFormat="1" x14ac:dyDescent="0.15">
      <c r="D44" s="199" t="s">
        <v>231</v>
      </c>
      <c r="E44">
        <v>43</v>
      </c>
      <c r="F44">
        <v>3.1</v>
      </c>
      <c r="G44">
        <v>43</v>
      </c>
      <c r="H44" s="200" t="s">
        <v>231</v>
      </c>
    </row>
    <row r="45" spans="4:8" customFormat="1" x14ac:dyDescent="0.15">
      <c r="D45" s="199" t="s">
        <v>232</v>
      </c>
      <c r="E45">
        <v>44</v>
      </c>
      <c r="F45">
        <v>3.1</v>
      </c>
      <c r="G45">
        <v>44</v>
      </c>
      <c r="H45" s="200" t="s">
        <v>232</v>
      </c>
    </row>
    <row r="46" spans="4:8" customFormat="1" x14ac:dyDescent="0.15">
      <c r="D46" s="199" t="s">
        <v>233</v>
      </c>
      <c r="E46">
        <v>45</v>
      </c>
      <c r="F46">
        <v>3.24</v>
      </c>
      <c r="G46">
        <v>45</v>
      </c>
      <c r="H46" s="200" t="s">
        <v>233</v>
      </c>
    </row>
    <row r="47" spans="4:8" customFormat="1" x14ac:dyDescent="0.15">
      <c r="D47" s="199" t="s">
        <v>234</v>
      </c>
      <c r="E47">
        <v>46</v>
      </c>
      <c r="F47">
        <v>3.24</v>
      </c>
      <c r="G47">
        <v>46</v>
      </c>
      <c r="H47" s="200" t="s">
        <v>234</v>
      </c>
    </row>
    <row r="48" spans="4:8" customFormat="1" x14ac:dyDescent="0.15">
      <c r="D48" s="199" t="s">
        <v>235</v>
      </c>
      <c r="E48">
        <v>47</v>
      </c>
      <c r="F48">
        <v>3.24</v>
      </c>
      <c r="G48">
        <v>47</v>
      </c>
      <c r="H48" s="200" t="s">
        <v>235</v>
      </c>
    </row>
    <row r="49" spans="4:8" customFormat="1" x14ac:dyDescent="0.15">
      <c r="D49" s="199" t="s">
        <v>236</v>
      </c>
      <c r="E49">
        <v>48</v>
      </c>
      <c r="F49">
        <v>3.24</v>
      </c>
      <c r="G49">
        <v>48</v>
      </c>
      <c r="H49" s="200" t="s">
        <v>236</v>
      </c>
    </row>
    <row r="50" spans="4:8" customFormat="1" ht="12" customHeight="1" x14ac:dyDescent="0.15">
      <c r="D50" s="199" t="s">
        <v>237</v>
      </c>
      <c r="E50">
        <v>49</v>
      </c>
      <c r="F50">
        <v>3.24</v>
      </c>
      <c r="G50">
        <v>49</v>
      </c>
      <c r="H50" s="200" t="s">
        <v>237</v>
      </c>
    </row>
    <row r="51" spans="4:8" customFormat="1" x14ac:dyDescent="0.15">
      <c r="D51" s="199" t="s">
        <v>238</v>
      </c>
      <c r="E51">
        <v>50</v>
      </c>
      <c r="F51">
        <v>3.24</v>
      </c>
      <c r="G51">
        <v>50</v>
      </c>
      <c r="H51" s="200" t="s">
        <v>238</v>
      </c>
    </row>
    <row r="52" spans="4:8" customFormat="1" ht="12" customHeight="1" x14ac:dyDescent="0.15">
      <c r="D52" s="199" t="s">
        <v>239</v>
      </c>
      <c r="E52">
        <v>51</v>
      </c>
      <c r="F52">
        <v>3.24</v>
      </c>
      <c r="G52">
        <v>51</v>
      </c>
      <c r="H52" s="200" t="s">
        <v>239</v>
      </c>
    </row>
    <row r="53" spans="4:8" customFormat="1" x14ac:dyDescent="0.15">
      <c r="D53" s="199" t="s">
        <v>240</v>
      </c>
      <c r="E53">
        <v>52</v>
      </c>
      <c r="F53">
        <v>3.24</v>
      </c>
      <c r="G53">
        <v>52</v>
      </c>
      <c r="H53" s="200" t="s">
        <v>240</v>
      </c>
    </row>
    <row r="54" spans="4:8" customFormat="1" ht="12" customHeight="1" x14ac:dyDescent="0.15">
      <c r="D54" s="199" t="s">
        <v>241</v>
      </c>
      <c r="E54">
        <v>53</v>
      </c>
      <c r="F54">
        <v>3.24</v>
      </c>
      <c r="G54">
        <v>53</v>
      </c>
      <c r="H54" s="200" t="s">
        <v>241</v>
      </c>
    </row>
    <row r="55" spans="4:8" customFormat="1" ht="12" customHeight="1" x14ac:dyDescent="0.15">
      <c r="D55" s="199" t="s">
        <v>242</v>
      </c>
      <c r="E55">
        <v>54</v>
      </c>
      <c r="F55">
        <v>3.24</v>
      </c>
      <c r="G55">
        <v>54</v>
      </c>
      <c r="H55" s="200" t="s">
        <v>242</v>
      </c>
    </row>
    <row r="56" spans="4:8" customFormat="1" x14ac:dyDescent="0.15">
      <c r="D56" s="199" t="s">
        <v>243</v>
      </c>
      <c r="E56">
        <v>55</v>
      </c>
      <c r="F56">
        <v>3.1</v>
      </c>
      <c r="G56">
        <v>55</v>
      </c>
      <c r="H56" s="200" t="s">
        <v>243</v>
      </c>
    </row>
    <row r="57" spans="4:8" customFormat="1" x14ac:dyDescent="0.15">
      <c r="D57" s="199" t="s">
        <v>244</v>
      </c>
      <c r="E57">
        <v>56</v>
      </c>
      <c r="F57">
        <v>3.1</v>
      </c>
      <c r="G57">
        <v>56</v>
      </c>
      <c r="H57" s="200" t="s">
        <v>244</v>
      </c>
    </row>
    <row r="58" spans="4:8" customFormat="1" x14ac:dyDescent="0.15">
      <c r="D58" s="199" t="s">
        <v>245</v>
      </c>
      <c r="E58">
        <v>57</v>
      </c>
      <c r="F58">
        <v>3.1</v>
      </c>
      <c r="G58">
        <v>57</v>
      </c>
      <c r="H58" s="200" t="s">
        <v>245</v>
      </c>
    </row>
    <row r="59" spans="4:8" customFormat="1" x14ac:dyDescent="0.15">
      <c r="D59" s="199" t="s">
        <v>246</v>
      </c>
      <c r="E59">
        <v>58</v>
      </c>
      <c r="F59">
        <v>3</v>
      </c>
      <c r="G59">
        <v>58</v>
      </c>
      <c r="H59" s="200" t="s">
        <v>246</v>
      </c>
    </row>
    <row r="60" spans="4:8" customFormat="1" x14ac:dyDescent="0.15">
      <c r="D60" s="199" t="s">
        <v>247</v>
      </c>
      <c r="E60">
        <v>59</v>
      </c>
      <c r="F60">
        <v>3.14</v>
      </c>
      <c r="G60">
        <v>59</v>
      </c>
      <c r="H60" s="200" t="s">
        <v>247</v>
      </c>
    </row>
    <row r="61" spans="4:8" customFormat="1" x14ac:dyDescent="0.15">
      <c r="D61" s="199" t="s">
        <v>248</v>
      </c>
      <c r="E61">
        <v>60</v>
      </c>
      <c r="F61">
        <v>3.14</v>
      </c>
      <c r="G61">
        <v>60</v>
      </c>
      <c r="H61" s="200" t="s">
        <v>248</v>
      </c>
    </row>
    <row r="62" spans="4:8" customFormat="1" x14ac:dyDescent="0.15">
      <c r="D62" s="199" t="s">
        <v>249</v>
      </c>
      <c r="E62">
        <v>61</v>
      </c>
      <c r="F62">
        <v>3.04</v>
      </c>
      <c r="G62">
        <v>61</v>
      </c>
      <c r="H62" s="200" t="s">
        <v>249</v>
      </c>
    </row>
    <row r="63" spans="4:8" customFormat="1" x14ac:dyDescent="0.15">
      <c r="D63" s="199" t="s">
        <v>250</v>
      </c>
      <c r="E63">
        <v>62</v>
      </c>
      <c r="F63">
        <v>3.04</v>
      </c>
      <c r="G63">
        <v>62</v>
      </c>
      <c r="H63" s="200" t="s">
        <v>250</v>
      </c>
    </row>
    <row r="64" spans="4:8" customFormat="1" x14ac:dyDescent="0.15">
      <c r="D64" s="199" t="s">
        <v>251</v>
      </c>
      <c r="E64">
        <v>63</v>
      </c>
      <c r="F64">
        <v>3.24</v>
      </c>
      <c r="G64">
        <v>63</v>
      </c>
      <c r="H64" s="200" t="s">
        <v>251</v>
      </c>
    </row>
    <row r="65" spans="4:8" customFormat="1" x14ac:dyDescent="0.15">
      <c r="D65" s="199" t="s">
        <v>252</v>
      </c>
      <c r="E65">
        <v>64</v>
      </c>
      <c r="F65">
        <v>3.24</v>
      </c>
      <c r="G65">
        <v>64</v>
      </c>
      <c r="H65" s="200" t="s">
        <v>252</v>
      </c>
    </row>
    <row r="66" spans="4:8" customFormat="1" x14ac:dyDescent="0.15">
      <c r="D66" s="199" t="s">
        <v>253</v>
      </c>
      <c r="E66">
        <v>65</v>
      </c>
      <c r="F66">
        <v>3.24</v>
      </c>
      <c r="G66">
        <v>65</v>
      </c>
      <c r="H66" s="200" t="s">
        <v>253</v>
      </c>
    </row>
    <row r="67" spans="4:8" customFormat="1" x14ac:dyDescent="0.15">
      <c r="D67" s="199" t="s">
        <v>254</v>
      </c>
      <c r="E67">
        <v>66</v>
      </c>
      <c r="F67">
        <v>3.24</v>
      </c>
      <c r="G67">
        <v>66</v>
      </c>
      <c r="H67" s="200" t="s">
        <v>254</v>
      </c>
    </row>
    <row r="68" spans="4:8" customFormat="1" x14ac:dyDescent="0.15">
      <c r="D68" s="199" t="s">
        <v>255</v>
      </c>
      <c r="E68">
        <v>67</v>
      </c>
      <c r="F68">
        <v>3.24</v>
      </c>
      <c r="G68">
        <v>67</v>
      </c>
      <c r="H68" s="200" t="s">
        <v>255</v>
      </c>
    </row>
    <row r="69" spans="4:8" customFormat="1" x14ac:dyDescent="0.15">
      <c r="D69" s="199" t="s">
        <v>256</v>
      </c>
      <c r="E69">
        <v>68</v>
      </c>
      <c r="F69">
        <v>3.24</v>
      </c>
      <c r="G69">
        <v>68</v>
      </c>
      <c r="H69" s="200" t="s">
        <v>256</v>
      </c>
    </row>
    <row r="70" spans="4:8" customFormat="1" x14ac:dyDescent="0.15">
      <c r="D70" s="199" t="s">
        <v>257</v>
      </c>
      <c r="E70">
        <v>69</v>
      </c>
      <c r="F70">
        <v>3.24</v>
      </c>
      <c r="G70">
        <v>69</v>
      </c>
      <c r="H70" s="200" t="s">
        <v>257</v>
      </c>
    </row>
    <row r="71" spans="4:8" customFormat="1" x14ac:dyDescent="0.15">
      <c r="D71" s="199" t="s">
        <v>258</v>
      </c>
      <c r="E71">
        <v>70</v>
      </c>
      <c r="F71">
        <v>3.21</v>
      </c>
      <c r="G71">
        <v>70</v>
      </c>
      <c r="H71" s="200" t="s">
        <v>258</v>
      </c>
    </row>
    <row r="72" spans="4:8" customFormat="1" x14ac:dyDescent="0.15">
      <c r="D72" s="199" t="s">
        <v>259</v>
      </c>
      <c r="E72">
        <v>71</v>
      </c>
      <c r="F72">
        <v>3.21</v>
      </c>
      <c r="G72">
        <v>71</v>
      </c>
      <c r="H72" s="200" t="s">
        <v>259</v>
      </c>
    </row>
    <row r="73" spans="4:8" customFormat="1" x14ac:dyDescent="0.15">
      <c r="D73" s="199" t="s">
        <v>260</v>
      </c>
      <c r="E73">
        <v>72</v>
      </c>
      <c r="F73">
        <v>3.21</v>
      </c>
      <c r="G73">
        <v>72</v>
      </c>
      <c r="H73" s="200" t="s">
        <v>260</v>
      </c>
    </row>
    <row r="74" spans="4:8" customFormat="1" x14ac:dyDescent="0.15">
      <c r="D74" s="199" t="s">
        <v>261</v>
      </c>
      <c r="E74">
        <v>73</v>
      </c>
      <c r="F74">
        <v>3.21</v>
      </c>
      <c r="G74">
        <v>73</v>
      </c>
      <c r="H74" s="200" t="s">
        <v>261</v>
      </c>
    </row>
    <row r="75" spans="4:8" customFormat="1" x14ac:dyDescent="0.15">
      <c r="D75" s="199" t="s">
        <v>262</v>
      </c>
      <c r="E75">
        <v>74</v>
      </c>
      <c r="F75">
        <v>2.21</v>
      </c>
      <c r="G75">
        <v>74</v>
      </c>
      <c r="H75" s="200" t="s">
        <v>262</v>
      </c>
    </row>
    <row r="76" spans="4:8" customFormat="1" x14ac:dyDescent="0.15">
      <c r="D76" s="199" t="s">
        <v>263</v>
      </c>
      <c r="E76">
        <v>75</v>
      </c>
      <c r="F76">
        <v>3.21</v>
      </c>
      <c r="G76">
        <v>75</v>
      </c>
      <c r="H76" s="200" t="s">
        <v>263</v>
      </c>
    </row>
    <row r="77" spans="4:8" customFormat="1" x14ac:dyDescent="0.15">
      <c r="D77" s="199" t="s">
        <v>264</v>
      </c>
      <c r="E77">
        <v>76</v>
      </c>
      <c r="F77">
        <v>3.12</v>
      </c>
      <c r="G77">
        <v>76</v>
      </c>
      <c r="H77" s="200" t="s">
        <v>264</v>
      </c>
    </row>
    <row r="78" spans="4:8" customFormat="1" x14ac:dyDescent="0.15">
      <c r="D78" s="199" t="s">
        <v>265</v>
      </c>
      <c r="E78">
        <v>77</v>
      </c>
      <c r="F78">
        <v>3.02</v>
      </c>
      <c r="G78">
        <v>77</v>
      </c>
      <c r="H78" s="200" t="s">
        <v>265</v>
      </c>
    </row>
    <row r="79" spans="4:8" customFormat="1" x14ac:dyDescent="0.15">
      <c r="D79" s="199" t="s">
        <v>266</v>
      </c>
      <c r="E79">
        <v>78</v>
      </c>
      <c r="F79">
        <v>3.13</v>
      </c>
      <c r="G79">
        <v>78</v>
      </c>
      <c r="H79" s="200" t="s">
        <v>266</v>
      </c>
    </row>
    <row r="80" spans="4:8" customFormat="1" x14ac:dyDescent="0.15">
      <c r="D80" s="199" t="s">
        <v>267</v>
      </c>
      <c r="E80">
        <v>79</v>
      </c>
      <c r="F80">
        <v>3.23</v>
      </c>
      <c r="G80">
        <v>79</v>
      </c>
      <c r="H80" s="200" t="s">
        <v>267</v>
      </c>
    </row>
    <row r="81" spans="4:8" customFormat="1" x14ac:dyDescent="0.15">
      <c r="D81" s="199" t="s">
        <v>268</v>
      </c>
      <c r="E81">
        <v>80</v>
      </c>
      <c r="F81">
        <v>3.21</v>
      </c>
      <c r="G81">
        <v>80</v>
      </c>
      <c r="H81" s="200" t="s">
        <v>268</v>
      </c>
    </row>
    <row r="82" spans="4:8" customFormat="1" x14ac:dyDescent="0.15">
      <c r="D82" s="199" t="s">
        <v>269</v>
      </c>
      <c r="E82">
        <v>81</v>
      </c>
      <c r="F82">
        <v>3.21</v>
      </c>
      <c r="G82">
        <v>81</v>
      </c>
      <c r="H82" s="200" t="s">
        <v>269</v>
      </c>
    </row>
    <row r="83" spans="4:8" customFormat="1" x14ac:dyDescent="0.15">
      <c r="D83" s="199" t="s">
        <v>270</v>
      </c>
      <c r="E83">
        <v>82</v>
      </c>
      <c r="F83">
        <v>3.21</v>
      </c>
      <c r="G83">
        <v>82</v>
      </c>
      <c r="H83" s="200" t="s">
        <v>270</v>
      </c>
    </row>
    <row r="84" spans="4:8" customFormat="1" x14ac:dyDescent="0.15">
      <c r="D84" s="199" t="s">
        <v>271</v>
      </c>
      <c r="E84">
        <v>83</v>
      </c>
      <c r="F84">
        <v>3.21</v>
      </c>
      <c r="G84">
        <v>83</v>
      </c>
      <c r="H84" s="200" t="s">
        <v>271</v>
      </c>
    </row>
    <row r="85" spans="4:8" customFormat="1" x14ac:dyDescent="0.15">
      <c r="D85" s="199" t="s">
        <v>272</v>
      </c>
      <c r="E85">
        <v>84</v>
      </c>
      <c r="F85">
        <v>3.21</v>
      </c>
      <c r="G85">
        <v>84</v>
      </c>
      <c r="H85" s="200" t="s">
        <v>272</v>
      </c>
    </row>
    <row r="86" spans="4:8" customFormat="1" x14ac:dyDescent="0.15">
      <c r="D86" s="199" t="s">
        <v>273</v>
      </c>
      <c r="E86">
        <v>85</v>
      </c>
      <c r="F86">
        <v>3.21</v>
      </c>
      <c r="G86">
        <v>85</v>
      </c>
      <c r="H86" s="200" t="s">
        <v>273</v>
      </c>
    </row>
    <row r="87" spans="4:8" customFormat="1" x14ac:dyDescent="0.15">
      <c r="D87" s="199" t="s">
        <v>274</v>
      </c>
      <c r="E87">
        <v>86</v>
      </c>
      <c r="F87">
        <v>3.21</v>
      </c>
      <c r="G87">
        <v>86</v>
      </c>
      <c r="H87" s="200" t="s">
        <v>274</v>
      </c>
    </row>
    <row r="88" spans="4:8" customFormat="1" x14ac:dyDescent="0.15">
      <c r="D88" s="199" t="s">
        <v>275</v>
      </c>
      <c r="E88">
        <v>87</v>
      </c>
      <c r="F88">
        <v>3.21</v>
      </c>
      <c r="G88">
        <v>87</v>
      </c>
      <c r="H88" s="200" t="s">
        <v>275</v>
      </c>
    </row>
    <row r="89" spans="4:8" customFormat="1" x14ac:dyDescent="0.15">
      <c r="D89" s="199" t="s">
        <v>276</v>
      </c>
      <c r="E89">
        <v>88</v>
      </c>
      <c r="F89">
        <v>3.21</v>
      </c>
      <c r="G89">
        <v>88</v>
      </c>
      <c r="H89" s="200" t="s">
        <v>276</v>
      </c>
    </row>
    <row r="90" spans="4:8" customFormat="1" x14ac:dyDescent="0.15">
      <c r="D90" s="199" t="s">
        <v>277</v>
      </c>
      <c r="E90">
        <v>89</v>
      </c>
      <c r="F90">
        <v>3.21</v>
      </c>
      <c r="G90">
        <v>89</v>
      </c>
      <c r="H90" s="200" t="s">
        <v>277</v>
      </c>
    </row>
    <row r="91" spans="4:8" customFormat="1" x14ac:dyDescent="0.15">
      <c r="D91" s="199" t="s">
        <v>278</v>
      </c>
      <c r="E91">
        <v>90</v>
      </c>
      <c r="F91">
        <v>3.21</v>
      </c>
      <c r="G91">
        <v>90</v>
      </c>
      <c r="H91" s="200" t="s">
        <v>278</v>
      </c>
    </row>
    <row r="92" spans="4:8" customFormat="1" x14ac:dyDescent="0.15">
      <c r="D92" s="199" t="s">
        <v>279</v>
      </c>
      <c r="E92">
        <v>91</v>
      </c>
      <c r="F92">
        <v>3.21</v>
      </c>
      <c r="G92">
        <v>91</v>
      </c>
      <c r="H92" s="200" t="s">
        <v>279</v>
      </c>
    </row>
    <row r="93" spans="4:8" customFormat="1" x14ac:dyDescent="0.15">
      <c r="D93" s="199" t="s">
        <v>280</v>
      </c>
      <c r="E93">
        <v>92</v>
      </c>
      <c r="F93">
        <v>3.11</v>
      </c>
      <c r="G93">
        <v>92</v>
      </c>
      <c r="H93" s="200" t="s">
        <v>280</v>
      </c>
    </row>
    <row r="94" spans="4:8" customFormat="1" x14ac:dyDescent="0.15">
      <c r="D94" s="199" t="s">
        <v>281</v>
      </c>
      <c r="E94">
        <v>93</v>
      </c>
      <c r="F94">
        <v>3.11</v>
      </c>
      <c r="G94">
        <v>93</v>
      </c>
      <c r="H94" s="200" t="s">
        <v>281</v>
      </c>
    </row>
    <row r="95" spans="4:8" customFormat="1" x14ac:dyDescent="0.15">
      <c r="D95" s="199" t="s">
        <v>282</v>
      </c>
      <c r="E95">
        <v>94</v>
      </c>
      <c r="F95">
        <v>3.11</v>
      </c>
      <c r="G95">
        <v>94</v>
      </c>
      <c r="H95" s="200" t="s">
        <v>282</v>
      </c>
    </row>
    <row r="96" spans="4:8" customFormat="1" x14ac:dyDescent="0.15">
      <c r="D96" s="199" t="s">
        <v>283</v>
      </c>
      <c r="E96">
        <v>95</v>
      </c>
      <c r="F96">
        <v>3.11</v>
      </c>
      <c r="G96">
        <v>95</v>
      </c>
      <c r="H96" s="200" t="s">
        <v>283</v>
      </c>
    </row>
    <row r="97" spans="4:8" customFormat="1" x14ac:dyDescent="0.15">
      <c r="D97" s="199" t="s">
        <v>284</v>
      </c>
      <c r="E97">
        <v>96</v>
      </c>
      <c r="F97">
        <v>2.1</v>
      </c>
      <c r="G97">
        <v>96</v>
      </c>
      <c r="H97" s="200" t="s">
        <v>284</v>
      </c>
    </row>
    <row r="98" spans="4:8" customFormat="1" x14ac:dyDescent="0.15">
      <c r="D98" s="199" t="s">
        <v>285</v>
      </c>
      <c r="E98">
        <v>97</v>
      </c>
      <c r="F98">
        <v>2.2200000000000002</v>
      </c>
      <c r="G98">
        <v>97</v>
      </c>
      <c r="H98" s="200" t="s">
        <v>285</v>
      </c>
    </row>
    <row r="99" spans="4:8" customFormat="1" x14ac:dyDescent="0.15">
      <c r="D99" s="199" t="s">
        <v>286</v>
      </c>
      <c r="E99">
        <v>98</v>
      </c>
      <c r="F99">
        <v>2.2200000000000002</v>
      </c>
      <c r="G99">
        <v>98</v>
      </c>
      <c r="H99" s="200" t="s">
        <v>286</v>
      </c>
    </row>
    <row r="100" spans="4:8" customFormat="1" x14ac:dyDescent="0.15">
      <c r="D100" s="199" t="s">
        <v>287</v>
      </c>
      <c r="E100">
        <v>99</v>
      </c>
      <c r="F100">
        <v>2.2200000000000002</v>
      </c>
      <c r="G100">
        <v>99</v>
      </c>
      <c r="H100" s="200" t="s">
        <v>287</v>
      </c>
    </row>
    <row r="101" spans="4:8" customFormat="1" x14ac:dyDescent="0.15">
      <c r="D101" s="199" t="s">
        <v>288</v>
      </c>
      <c r="E101">
        <v>100</v>
      </c>
      <c r="F101">
        <v>4.22</v>
      </c>
      <c r="G101">
        <v>100</v>
      </c>
      <c r="H101" s="200" t="s">
        <v>288</v>
      </c>
    </row>
    <row r="102" spans="4:8" customFormat="1" x14ac:dyDescent="0.15">
      <c r="D102" s="199" t="s">
        <v>289</v>
      </c>
      <c r="E102">
        <v>101</v>
      </c>
      <c r="F102">
        <v>4.0999999999999996</v>
      </c>
      <c r="G102">
        <v>101</v>
      </c>
      <c r="H102" s="200" t="s">
        <v>289</v>
      </c>
    </row>
    <row r="103" spans="4:8" customFormat="1" x14ac:dyDescent="0.15">
      <c r="D103" s="199" t="s">
        <v>290</v>
      </c>
      <c r="E103">
        <v>102</v>
      </c>
      <c r="F103">
        <v>4.3</v>
      </c>
      <c r="G103">
        <v>102</v>
      </c>
      <c r="H103" s="200" t="s">
        <v>290</v>
      </c>
    </row>
    <row r="104" spans="4:8" customFormat="1" x14ac:dyDescent="0.15">
      <c r="D104" s="199" t="s">
        <v>291</v>
      </c>
      <c r="E104">
        <v>103</v>
      </c>
      <c r="F104">
        <v>5</v>
      </c>
      <c r="G104">
        <v>103</v>
      </c>
      <c r="H104" s="200" t="s">
        <v>291</v>
      </c>
    </row>
    <row r="105" spans="4:8" customFormat="1" x14ac:dyDescent="0.15">
      <c r="D105" s="199" t="s">
        <v>292</v>
      </c>
      <c r="E105">
        <v>104</v>
      </c>
      <c r="F105">
        <v>5</v>
      </c>
      <c r="G105">
        <v>104</v>
      </c>
      <c r="H105" s="200" t="s">
        <v>292</v>
      </c>
    </row>
    <row r="106" spans="4:8" customFormat="1" x14ac:dyDescent="0.15">
      <c r="D106" s="199" t="s">
        <v>293</v>
      </c>
      <c r="E106">
        <v>105</v>
      </c>
      <c r="F106">
        <v>5</v>
      </c>
      <c r="G106">
        <v>105</v>
      </c>
      <c r="H106" s="200" t="s">
        <v>293</v>
      </c>
    </row>
    <row r="107" spans="4:8" customFormat="1" x14ac:dyDescent="0.15">
      <c r="D107" s="199" t="s">
        <v>294</v>
      </c>
      <c r="E107">
        <v>106</v>
      </c>
      <c r="F107">
        <v>5</v>
      </c>
      <c r="G107">
        <v>106</v>
      </c>
      <c r="H107" s="200" t="s">
        <v>294</v>
      </c>
    </row>
    <row r="108" spans="4:8" customFormat="1" x14ac:dyDescent="0.15">
      <c r="D108" s="199" t="s">
        <v>295</v>
      </c>
      <c r="E108">
        <v>107</v>
      </c>
      <c r="F108">
        <v>5</v>
      </c>
      <c r="G108">
        <v>107</v>
      </c>
      <c r="H108" s="200" t="s">
        <v>295</v>
      </c>
    </row>
    <row r="109" spans="4:8" customFormat="1" x14ac:dyDescent="0.15">
      <c r="D109" s="199" t="s">
        <v>296</v>
      </c>
      <c r="E109">
        <v>108</v>
      </c>
      <c r="F109">
        <v>5</v>
      </c>
      <c r="G109">
        <v>108</v>
      </c>
      <c r="H109" s="200" t="s">
        <v>296</v>
      </c>
    </row>
    <row r="110" spans="4:8" customFormat="1" x14ac:dyDescent="0.15">
      <c r="D110" s="199" t="s">
        <v>297</v>
      </c>
      <c r="E110">
        <v>109</v>
      </c>
      <c r="F110">
        <v>5</v>
      </c>
      <c r="G110">
        <v>109</v>
      </c>
      <c r="H110" s="200" t="s">
        <v>297</v>
      </c>
    </row>
    <row r="111" spans="4:8" customFormat="1" x14ac:dyDescent="0.15">
      <c r="D111" s="199" t="s">
        <v>298</v>
      </c>
      <c r="E111">
        <v>110</v>
      </c>
      <c r="F111">
        <v>5</v>
      </c>
      <c r="G111">
        <v>110</v>
      </c>
      <c r="H111" s="200" t="s">
        <v>298</v>
      </c>
    </row>
    <row r="112" spans="4:8" customFormat="1" x14ac:dyDescent="0.15">
      <c r="D112" s="199" t="s">
        <v>299</v>
      </c>
      <c r="E112">
        <v>111</v>
      </c>
      <c r="F112">
        <v>5</v>
      </c>
      <c r="G112">
        <v>111</v>
      </c>
      <c r="H112" s="200" t="s">
        <v>299</v>
      </c>
    </row>
    <row r="113" spans="4:8" customFormat="1" x14ac:dyDescent="0.15">
      <c r="D113" s="199" t="s">
        <v>300</v>
      </c>
      <c r="E113">
        <v>112</v>
      </c>
      <c r="F113">
        <v>5</v>
      </c>
      <c r="G113">
        <v>112</v>
      </c>
      <c r="H113" s="200" t="s">
        <v>300</v>
      </c>
    </row>
    <row r="114" spans="4:8" customFormat="1" x14ac:dyDescent="0.15">
      <c r="D114" s="199" t="s">
        <v>301</v>
      </c>
      <c r="E114">
        <v>113</v>
      </c>
      <c r="F114">
        <v>5</v>
      </c>
      <c r="G114">
        <v>113</v>
      </c>
      <c r="H114" s="200" t="s">
        <v>301</v>
      </c>
    </row>
    <row r="115" spans="4:8" customFormat="1" x14ac:dyDescent="0.15">
      <c r="D115" s="199" t="s">
        <v>302</v>
      </c>
      <c r="E115">
        <v>114</v>
      </c>
      <c r="F115">
        <v>5</v>
      </c>
      <c r="G115">
        <v>114</v>
      </c>
      <c r="H115" s="200" t="s">
        <v>302</v>
      </c>
    </row>
    <row r="116" spans="4:8" customFormat="1" x14ac:dyDescent="0.15">
      <c r="D116" s="199" t="s">
        <v>303</v>
      </c>
      <c r="E116">
        <v>115</v>
      </c>
      <c r="F116">
        <v>5</v>
      </c>
      <c r="G116">
        <v>115</v>
      </c>
      <c r="H116" s="200" t="s">
        <v>303</v>
      </c>
    </row>
    <row r="117" spans="4:8" customFormat="1" x14ac:dyDescent="0.15">
      <c r="D117" s="199" t="s">
        <v>304</v>
      </c>
      <c r="E117">
        <v>116</v>
      </c>
      <c r="F117">
        <v>5</v>
      </c>
      <c r="G117">
        <v>116</v>
      </c>
      <c r="H117" s="200" t="s">
        <v>304</v>
      </c>
    </row>
    <row r="118" spans="4:8" customFormat="1" x14ac:dyDescent="0.15">
      <c r="D118" s="199" t="s">
        <v>305</v>
      </c>
      <c r="E118">
        <v>117</v>
      </c>
      <c r="F118">
        <v>5</v>
      </c>
      <c r="G118">
        <v>117</v>
      </c>
      <c r="H118" s="200" t="s">
        <v>305</v>
      </c>
    </row>
    <row r="119" spans="4:8" customFormat="1" x14ac:dyDescent="0.15">
      <c r="D119" s="199" t="s">
        <v>306</v>
      </c>
      <c r="E119">
        <v>118</v>
      </c>
      <c r="F119">
        <v>5</v>
      </c>
      <c r="G119">
        <v>118</v>
      </c>
      <c r="H119" s="200" t="s">
        <v>306</v>
      </c>
    </row>
    <row r="120" spans="4:8" customFormat="1" x14ac:dyDescent="0.15">
      <c r="D120" s="199" t="s">
        <v>307</v>
      </c>
      <c r="E120">
        <v>119</v>
      </c>
      <c r="F120">
        <v>5</v>
      </c>
      <c r="G120">
        <v>119</v>
      </c>
      <c r="H120" s="200" t="s">
        <v>307</v>
      </c>
    </row>
    <row r="121" spans="4:8" customFormat="1" x14ac:dyDescent="0.15">
      <c r="D121" s="199" t="s">
        <v>138</v>
      </c>
      <c r="E121">
        <v>120</v>
      </c>
      <c r="F121">
        <v>6.1</v>
      </c>
      <c r="G121">
        <v>120</v>
      </c>
      <c r="H121" s="200" t="s">
        <v>138</v>
      </c>
    </row>
    <row r="122" spans="4:8" customFormat="1" x14ac:dyDescent="0.15">
      <c r="D122" s="199" t="s">
        <v>45</v>
      </c>
      <c r="E122">
        <v>121</v>
      </c>
      <c r="F122">
        <v>6.2</v>
      </c>
      <c r="G122">
        <v>121</v>
      </c>
      <c r="H122" s="200" t="s">
        <v>45</v>
      </c>
    </row>
    <row r="123" spans="4:8" customFormat="1" x14ac:dyDescent="0.15"/>
    <row r="124" spans="4:8" customFormat="1" x14ac:dyDescent="0.15"/>
    <row r="125" spans="4:8" customFormat="1" x14ac:dyDescent="0.15"/>
    <row r="126" spans="4:8" customFormat="1" x14ac:dyDescent="0.15"/>
    <row r="127" spans="4:8" customFormat="1" x14ac:dyDescent="0.15"/>
    <row r="128" spans="4: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5.5" style="87" bestFit="1" customWidth="1"/>
    <col min="2" max="3" width="15.5" style="86" customWidth="1"/>
    <col min="4" max="4" width="11.83203125" style="86" customWidth="1"/>
    <col min="5" max="5" width="15.5" style="86" customWidth="1"/>
    <col min="6" max="6" width="31.5" style="86" bestFit="1" customWidth="1"/>
    <col min="7" max="9" width="2.33203125" style="86" customWidth="1"/>
    <col min="10" max="10" width="2.33203125" style="86" bestFit="1" customWidth="1"/>
    <col min="11" max="15" width="3.83203125" style="86" customWidth="1"/>
    <col min="16" max="16" width="3.83203125" style="73" customWidth="1"/>
    <col min="17" max="17" width="2.33203125" style="86" customWidth="1"/>
    <col min="18" max="18" width="2.33203125" style="74" customWidth="1"/>
    <col min="19" max="16384" width="11.5" style="86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8" t="s">
        <v>48</v>
      </c>
      <c r="L1" s="74"/>
      <c r="M1" s="88" t="s">
        <v>119</v>
      </c>
      <c r="N1" s="74"/>
      <c r="O1" s="88" t="s">
        <v>49</v>
      </c>
      <c r="P1" s="77"/>
      <c r="Q1" s="88" t="s">
        <v>50</v>
      </c>
      <c r="R1" s="71" t="s">
        <v>154</v>
      </c>
    </row>
    <row r="2" spans="1:23" ht="15" customHeight="1" x14ac:dyDescent="0.15">
      <c r="A2" s="88" t="s">
        <v>51</v>
      </c>
      <c r="B2" s="89">
        <v>0.5</v>
      </c>
      <c r="C2" s="87" t="s">
        <v>52</v>
      </c>
      <c r="D2" s="90"/>
      <c r="F2" s="1"/>
      <c r="G2" s="91"/>
      <c r="H2" s="91"/>
      <c r="I2" s="91" t="s">
        <v>133</v>
      </c>
      <c r="J2" s="91" t="s">
        <v>133</v>
      </c>
      <c r="K2" s="91" t="s">
        <v>52</v>
      </c>
      <c r="L2" s="91" t="s">
        <v>53</v>
      </c>
      <c r="M2" s="91" t="s">
        <v>52</v>
      </c>
      <c r="N2" s="91" t="s">
        <v>53</v>
      </c>
      <c r="O2" s="91" t="s">
        <v>52</v>
      </c>
      <c r="P2" s="92" t="s">
        <v>53</v>
      </c>
      <c r="Q2" s="91"/>
      <c r="R2" s="93" t="s">
        <v>155</v>
      </c>
    </row>
    <row r="3" spans="1:23" ht="15" customHeight="1" thickBot="1" x14ac:dyDescent="0.2">
      <c r="A3" s="88" t="s">
        <v>54</v>
      </c>
      <c r="B3" s="94">
        <v>0.5</v>
      </c>
      <c r="C3" s="87" t="s">
        <v>53</v>
      </c>
      <c r="D3" s="9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0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0">
        <v>0</v>
      </c>
      <c r="R4" s="115">
        <v>0</v>
      </c>
    </row>
    <row r="5" spans="1:23" ht="15" customHeight="1" x14ac:dyDescent="0.15">
      <c r="A5" s="88" t="s">
        <v>55</v>
      </c>
      <c r="B5" s="95">
        <v>0.5</v>
      </c>
      <c r="C5" s="87" t="s">
        <v>52</v>
      </c>
      <c r="D5" s="9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0">
        <v>0</v>
      </c>
      <c r="R5" s="115">
        <v>0</v>
      </c>
    </row>
    <row r="6" spans="1:23" ht="15" customHeight="1" thickBot="1" x14ac:dyDescent="0.2">
      <c r="A6" s="88"/>
      <c r="B6" s="96">
        <v>0.5</v>
      </c>
      <c r="C6" s="87" t="s">
        <v>53</v>
      </c>
      <c r="D6" s="90"/>
      <c r="F6" s="201" t="s">
        <v>192</v>
      </c>
      <c r="G6" s="86">
        <v>0</v>
      </c>
      <c r="H6" s="86">
        <v>0</v>
      </c>
      <c r="I6" s="86">
        <v>0</v>
      </c>
      <c r="J6" s="86">
        <v>0</v>
      </c>
      <c r="K6" s="86">
        <v>1</v>
      </c>
      <c r="L6" s="86">
        <v>0</v>
      </c>
      <c r="M6" s="86">
        <v>1</v>
      </c>
      <c r="N6" s="86">
        <v>0</v>
      </c>
      <c r="O6" s="86">
        <v>1</v>
      </c>
      <c r="P6" s="73">
        <v>0</v>
      </c>
      <c r="Q6" s="86">
        <v>0</v>
      </c>
      <c r="R6" s="74">
        <v>1</v>
      </c>
      <c r="S6"/>
      <c r="T6"/>
    </row>
    <row r="7" spans="1:23" ht="15" customHeight="1" thickBot="1" x14ac:dyDescent="0.2">
      <c r="F7" s="201" t="s">
        <v>193</v>
      </c>
      <c r="G7" s="86">
        <v>0</v>
      </c>
      <c r="H7" s="86">
        <v>0</v>
      </c>
      <c r="I7" s="86">
        <v>0</v>
      </c>
      <c r="J7" s="86">
        <v>0</v>
      </c>
      <c r="K7" s="86">
        <v>1</v>
      </c>
      <c r="L7" s="86">
        <v>0</v>
      </c>
      <c r="M7" s="86">
        <v>1</v>
      </c>
      <c r="N7" s="86">
        <v>0</v>
      </c>
      <c r="O7" s="86">
        <v>1</v>
      </c>
      <c r="P7" s="73">
        <v>0</v>
      </c>
      <c r="Q7" s="86">
        <v>0</v>
      </c>
      <c r="R7" s="74">
        <v>1</v>
      </c>
      <c r="S7"/>
      <c r="T7"/>
    </row>
    <row r="8" spans="1:23" ht="15" customHeight="1" x14ac:dyDescent="0.15">
      <c r="A8" s="88" t="s">
        <v>56</v>
      </c>
      <c r="B8" s="95">
        <v>1.3456073661047923E-5</v>
      </c>
      <c r="C8" s="202" t="s">
        <v>262</v>
      </c>
      <c r="D8" s="90" t="s">
        <v>160</v>
      </c>
      <c r="F8" s="201" t="s">
        <v>194</v>
      </c>
      <c r="G8" s="86">
        <v>0</v>
      </c>
      <c r="H8" s="86">
        <v>0</v>
      </c>
      <c r="I8" s="86">
        <v>0</v>
      </c>
      <c r="J8" s="86">
        <v>0</v>
      </c>
      <c r="K8" s="86">
        <v>1</v>
      </c>
      <c r="L8" s="86">
        <v>0</v>
      </c>
      <c r="M8" s="86">
        <v>1</v>
      </c>
      <c r="N8" s="86">
        <v>0</v>
      </c>
      <c r="O8" s="86">
        <v>1</v>
      </c>
      <c r="P8" s="73">
        <v>0</v>
      </c>
      <c r="Q8" s="86">
        <v>0</v>
      </c>
      <c r="R8" s="74">
        <v>1</v>
      </c>
      <c r="S8"/>
      <c r="T8"/>
      <c r="W8"/>
    </row>
    <row r="9" spans="1:23" ht="15" customHeight="1" x14ac:dyDescent="0.15">
      <c r="A9" s="129" t="s">
        <v>168</v>
      </c>
      <c r="B9" s="97">
        <v>0.80713769598784735</v>
      </c>
      <c r="C9" s="202" t="s">
        <v>284</v>
      </c>
      <c r="D9" s="90" t="s">
        <v>160</v>
      </c>
      <c r="F9" s="201" t="s">
        <v>195</v>
      </c>
      <c r="G9" s="86">
        <v>0</v>
      </c>
      <c r="H9" s="86">
        <v>0</v>
      </c>
      <c r="I9" s="86">
        <v>0</v>
      </c>
      <c r="J9" s="86">
        <v>0</v>
      </c>
      <c r="K9" s="86">
        <v>1</v>
      </c>
      <c r="L9" s="86">
        <v>0</v>
      </c>
      <c r="M9" s="86">
        <v>1</v>
      </c>
      <c r="N9" s="86">
        <v>0</v>
      </c>
      <c r="O9" s="86">
        <v>1</v>
      </c>
      <c r="P9" s="73">
        <v>0</v>
      </c>
      <c r="Q9" s="86">
        <v>0</v>
      </c>
      <c r="R9" s="74">
        <v>1</v>
      </c>
      <c r="S9"/>
      <c r="T9"/>
      <c r="W9"/>
    </row>
    <row r="10" spans="1:23" ht="15" customHeight="1" x14ac:dyDescent="0.15">
      <c r="B10" s="97">
        <v>0.11414246902595059</v>
      </c>
      <c r="C10" s="202" t="s">
        <v>285</v>
      </c>
      <c r="D10" s="90" t="s">
        <v>160</v>
      </c>
      <c r="F10" s="201" t="s">
        <v>196</v>
      </c>
      <c r="G10" s="86">
        <v>0</v>
      </c>
      <c r="H10" s="86">
        <v>0</v>
      </c>
      <c r="I10" s="86">
        <v>0</v>
      </c>
      <c r="J10" s="86">
        <v>0</v>
      </c>
      <c r="K10" s="86">
        <v>0.5</v>
      </c>
      <c r="L10" s="86">
        <v>0.5</v>
      </c>
      <c r="M10" s="86">
        <v>0.5</v>
      </c>
      <c r="N10" s="86">
        <v>0.5</v>
      </c>
      <c r="O10" s="86">
        <v>0.5</v>
      </c>
      <c r="P10" s="73">
        <v>0.5</v>
      </c>
      <c r="Q10" s="86">
        <v>0</v>
      </c>
      <c r="R10" s="74">
        <v>1</v>
      </c>
      <c r="S10"/>
      <c r="T10"/>
      <c r="W10"/>
    </row>
    <row r="11" spans="1:23" ht="15" customHeight="1" x14ac:dyDescent="0.15">
      <c r="A11" s="88"/>
      <c r="B11" s="97">
        <v>7.8591078215536861E-2</v>
      </c>
      <c r="C11" s="202" t="s">
        <v>286</v>
      </c>
      <c r="D11" s="90" t="s">
        <v>160</v>
      </c>
      <c r="F11" s="201" t="s">
        <v>197</v>
      </c>
      <c r="G11" s="86">
        <v>0</v>
      </c>
      <c r="H11" s="86">
        <v>0</v>
      </c>
      <c r="I11" s="86">
        <v>0</v>
      </c>
      <c r="J11" s="86">
        <v>0</v>
      </c>
      <c r="K11" s="86">
        <v>0.5</v>
      </c>
      <c r="L11" s="86">
        <v>0.5</v>
      </c>
      <c r="M11" s="86">
        <v>0.5</v>
      </c>
      <c r="N11" s="86">
        <v>0.5</v>
      </c>
      <c r="O11" s="86">
        <v>0.5</v>
      </c>
      <c r="P11" s="73">
        <v>0.5</v>
      </c>
      <c r="Q11" s="86">
        <v>0</v>
      </c>
      <c r="R11" s="74">
        <v>1</v>
      </c>
      <c r="S11"/>
      <c r="T11"/>
      <c r="W11"/>
    </row>
    <row r="12" spans="1:23" ht="15" customHeight="1" x14ac:dyDescent="0.15">
      <c r="B12" s="97">
        <v>1.1530069700420672E-4</v>
      </c>
      <c r="C12" s="202" t="s">
        <v>287</v>
      </c>
      <c r="D12" s="90" t="s">
        <v>160</v>
      </c>
      <c r="F12" s="201" t="s">
        <v>198</v>
      </c>
      <c r="G12" s="86">
        <v>0</v>
      </c>
      <c r="H12" s="86">
        <v>0</v>
      </c>
      <c r="I12" s="86">
        <v>0</v>
      </c>
      <c r="J12" s="86">
        <v>0</v>
      </c>
      <c r="K12" s="86">
        <v>0.5</v>
      </c>
      <c r="L12" s="86">
        <v>0.5</v>
      </c>
      <c r="M12" s="86">
        <v>0.5</v>
      </c>
      <c r="N12" s="86">
        <v>0.5</v>
      </c>
      <c r="O12" s="86">
        <v>0.5</v>
      </c>
      <c r="P12" s="73">
        <v>0.5</v>
      </c>
      <c r="Q12" s="86">
        <v>0</v>
      </c>
      <c r="R12" s="74">
        <v>1</v>
      </c>
      <c r="S12"/>
      <c r="T12"/>
      <c r="W12"/>
    </row>
    <row r="13" spans="1:23" ht="15" customHeight="1" x14ac:dyDescent="0.15">
      <c r="B13" s="97"/>
      <c r="C13" s="100"/>
      <c r="D13" s="90" t="s">
        <v>160</v>
      </c>
      <c r="F13" s="201" t="s">
        <v>199</v>
      </c>
      <c r="G13" s="86">
        <v>0</v>
      </c>
      <c r="H13" s="86">
        <v>0</v>
      </c>
      <c r="I13" s="86">
        <v>0</v>
      </c>
      <c r="J13" s="86">
        <v>0</v>
      </c>
      <c r="K13" s="86">
        <v>0.5</v>
      </c>
      <c r="L13" s="86">
        <v>0.5</v>
      </c>
      <c r="M13" s="86">
        <v>0.5</v>
      </c>
      <c r="N13" s="86">
        <v>0.5</v>
      </c>
      <c r="O13" s="86">
        <v>0.5</v>
      </c>
      <c r="P13" s="73">
        <v>0.5</v>
      </c>
      <c r="Q13" s="86">
        <v>0</v>
      </c>
      <c r="R13" s="74">
        <v>1</v>
      </c>
      <c r="S13"/>
      <c r="T13"/>
      <c r="W13"/>
    </row>
    <row r="14" spans="1:23" ht="15" customHeight="1" x14ac:dyDescent="0.15">
      <c r="B14" s="97"/>
      <c r="C14" s="85"/>
      <c r="D14" s="90" t="s">
        <v>160</v>
      </c>
      <c r="F14" s="201" t="s">
        <v>200</v>
      </c>
      <c r="G14" s="86">
        <v>0</v>
      </c>
      <c r="H14" s="86">
        <v>0</v>
      </c>
      <c r="I14" s="86">
        <v>0</v>
      </c>
      <c r="J14" s="86">
        <v>0</v>
      </c>
      <c r="K14" s="86">
        <v>0.5</v>
      </c>
      <c r="L14" s="86">
        <v>0.5</v>
      </c>
      <c r="M14" s="86">
        <v>0.5</v>
      </c>
      <c r="N14" s="86">
        <v>0.5</v>
      </c>
      <c r="O14" s="86">
        <v>0.5</v>
      </c>
      <c r="P14" s="73">
        <v>0.5</v>
      </c>
      <c r="Q14" s="86">
        <v>0</v>
      </c>
      <c r="R14" s="74">
        <v>1</v>
      </c>
      <c r="S14"/>
      <c r="T14"/>
      <c r="W14"/>
    </row>
    <row r="15" spans="1:23" ht="15" customHeight="1" x14ac:dyDescent="0.15">
      <c r="B15" s="97"/>
      <c r="C15" s="85"/>
      <c r="D15" s="90" t="s">
        <v>160</v>
      </c>
      <c r="F15" s="201" t="s">
        <v>201</v>
      </c>
      <c r="G15" s="86">
        <v>0</v>
      </c>
      <c r="H15" s="86">
        <v>0</v>
      </c>
      <c r="I15" s="86">
        <v>0</v>
      </c>
      <c r="J15" s="86">
        <v>0</v>
      </c>
      <c r="K15" s="86">
        <v>0.5</v>
      </c>
      <c r="L15" s="86">
        <v>0.5</v>
      </c>
      <c r="M15" s="86">
        <v>0.5</v>
      </c>
      <c r="N15" s="86">
        <v>0.5</v>
      </c>
      <c r="O15" s="86">
        <v>0.5</v>
      </c>
      <c r="P15" s="73">
        <v>0.5</v>
      </c>
      <c r="Q15" s="86">
        <v>0</v>
      </c>
      <c r="R15" s="74">
        <v>1</v>
      </c>
      <c r="S15"/>
      <c r="T15"/>
      <c r="W15"/>
    </row>
    <row r="16" spans="1:23" ht="15" customHeight="1" x14ac:dyDescent="0.15">
      <c r="B16" s="97"/>
      <c r="C16" s="85"/>
      <c r="D16" s="90" t="s">
        <v>160</v>
      </c>
      <c r="F16" s="201" t="s">
        <v>202</v>
      </c>
      <c r="G16" s="86">
        <v>0</v>
      </c>
      <c r="H16" s="86">
        <v>0</v>
      </c>
      <c r="I16" s="86">
        <v>0</v>
      </c>
      <c r="J16" s="86">
        <v>0</v>
      </c>
      <c r="K16" s="86">
        <v>0.5</v>
      </c>
      <c r="L16" s="86">
        <v>0.5</v>
      </c>
      <c r="M16" s="86">
        <v>0.5</v>
      </c>
      <c r="N16" s="86">
        <v>0.5</v>
      </c>
      <c r="O16" s="86">
        <v>0.5</v>
      </c>
      <c r="P16" s="73">
        <v>0.5</v>
      </c>
      <c r="Q16" s="86">
        <v>0</v>
      </c>
      <c r="R16" s="74">
        <v>1</v>
      </c>
      <c r="S16"/>
      <c r="T16"/>
    </row>
    <row r="17" spans="1:20" ht="15" customHeight="1" thickBot="1" x14ac:dyDescent="0.2">
      <c r="B17" s="96"/>
      <c r="C17" s="85"/>
      <c r="D17" s="90" t="s">
        <v>160</v>
      </c>
      <c r="F17" s="201" t="s">
        <v>203</v>
      </c>
      <c r="G17" s="86">
        <v>0</v>
      </c>
      <c r="H17" s="86">
        <v>0</v>
      </c>
      <c r="I17" s="86">
        <v>0</v>
      </c>
      <c r="J17" s="86">
        <v>0</v>
      </c>
      <c r="K17" s="86">
        <v>0.5</v>
      </c>
      <c r="L17" s="86">
        <v>0.5</v>
      </c>
      <c r="M17" s="86">
        <v>0.5</v>
      </c>
      <c r="N17" s="86">
        <v>0.5</v>
      </c>
      <c r="O17" s="86">
        <v>0.5</v>
      </c>
      <c r="P17" s="73">
        <v>0.5</v>
      </c>
      <c r="Q17" s="86">
        <v>0</v>
      </c>
      <c r="R17" s="74">
        <v>1</v>
      </c>
      <c r="S17"/>
      <c r="T17"/>
    </row>
    <row r="18" spans="1:20" ht="15" customHeight="1" thickBot="1" x14ac:dyDescent="0.2">
      <c r="B18" s="98"/>
      <c r="F18" s="201" t="s">
        <v>204</v>
      </c>
      <c r="G18" s="86">
        <v>0</v>
      </c>
      <c r="H18" s="86">
        <v>0</v>
      </c>
      <c r="I18" s="86">
        <v>0</v>
      </c>
      <c r="J18" s="86">
        <v>0</v>
      </c>
      <c r="K18" s="86">
        <v>0.5</v>
      </c>
      <c r="L18" s="86">
        <v>0.5</v>
      </c>
      <c r="M18" s="86">
        <v>0.5</v>
      </c>
      <c r="N18" s="86">
        <v>0.5</v>
      </c>
      <c r="O18" s="86">
        <v>0.5</v>
      </c>
      <c r="P18" s="73">
        <v>0.5</v>
      </c>
      <c r="Q18" s="86">
        <v>0</v>
      </c>
      <c r="R18" s="74">
        <v>1</v>
      </c>
      <c r="S18"/>
      <c r="T18"/>
    </row>
    <row r="19" spans="1:20" ht="15" customHeight="1" x14ac:dyDescent="0.15">
      <c r="A19" s="88" t="s">
        <v>57</v>
      </c>
      <c r="B19" s="95">
        <v>1.3456073661047923E-5</v>
      </c>
      <c r="C19" s="203" t="s">
        <v>262</v>
      </c>
      <c r="D19" s="90" t="s">
        <v>160</v>
      </c>
      <c r="F19" s="201" t="s">
        <v>205</v>
      </c>
      <c r="G19" s="86">
        <v>0</v>
      </c>
      <c r="H19" s="86">
        <v>0</v>
      </c>
      <c r="I19" s="86">
        <v>0</v>
      </c>
      <c r="J19" s="86">
        <v>0</v>
      </c>
      <c r="K19" s="86">
        <v>0.5</v>
      </c>
      <c r="L19" s="86">
        <v>0.5</v>
      </c>
      <c r="M19" s="86">
        <v>0.5</v>
      </c>
      <c r="N19" s="86">
        <v>0.5</v>
      </c>
      <c r="O19" s="86">
        <v>0.5</v>
      </c>
      <c r="P19" s="73">
        <v>0.5</v>
      </c>
      <c r="Q19" s="86">
        <v>0</v>
      </c>
      <c r="R19" s="74">
        <v>1</v>
      </c>
      <c r="S19"/>
      <c r="T19"/>
    </row>
    <row r="20" spans="1:20" ht="15" customHeight="1" x14ac:dyDescent="0.15">
      <c r="A20" s="129" t="s">
        <v>168</v>
      </c>
      <c r="B20" s="97">
        <v>0.80713769598784735</v>
      </c>
      <c r="C20" s="203" t="s">
        <v>284</v>
      </c>
      <c r="D20" s="90" t="s">
        <v>160</v>
      </c>
      <c r="F20" s="201" t="s">
        <v>206</v>
      </c>
      <c r="G20" s="86">
        <v>0</v>
      </c>
      <c r="H20" s="86">
        <v>0</v>
      </c>
      <c r="I20" s="86">
        <v>0</v>
      </c>
      <c r="J20" s="86">
        <v>0</v>
      </c>
      <c r="K20" s="86">
        <v>0.5</v>
      </c>
      <c r="L20" s="86">
        <v>0.5</v>
      </c>
      <c r="M20" s="86">
        <v>0.5</v>
      </c>
      <c r="N20" s="86">
        <v>0.5</v>
      </c>
      <c r="O20" s="86">
        <v>0.5</v>
      </c>
      <c r="P20" s="73">
        <v>0.5</v>
      </c>
      <c r="Q20" s="86">
        <v>0</v>
      </c>
      <c r="R20" s="74">
        <v>1</v>
      </c>
      <c r="S20"/>
      <c r="T20"/>
    </row>
    <row r="21" spans="1:20" ht="15" customHeight="1" x14ac:dyDescent="0.15">
      <c r="B21" s="97">
        <v>0.11414246902595059</v>
      </c>
      <c r="C21" s="203" t="s">
        <v>285</v>
      </c>
      <c r="D21" s="90" t="s">
        <v>160</v>
      </c>
      <c r="F21" s="201" t="s">
        <v>207</v>
      </c>
      <c r="G21" s="86">
        <v>0</v>
      </c>
      <c r="H21" s="86">
        <v>0</v>
      </c>
      <c r="I21" s="86">
        <v>0</v>
      </c>
      <c r="J21" s="86">
        <v>0</v>
      </c>
      <c r="K21" s="86">
        <v>0.5</v>
      </c>
      <c r="L21" s="86">
        <v>0.5</v>
      </c>
      <c r="M21" s="86">
        <v>0.5</v>
      </c>
      <c r="N21" s="86">
        <v>0.5</v>
      </c>
      <c r="O21" s="86">
        <v>0.5</v>
      </c>
      <c r="P21" s="73">
        <v>0.5</v>
      </c>
      <c r="Q21" s="86">
        <v>0</v>
      </c>
      <c r="R21" s="74">
        <v>1</v>
      </c>
      <c r="S21"/>
      <c r="T21"/>
    </row>
    <row r="22" spans="1:20" ht="15" customHeight="1" x14ac:dyDescent="0.15">
      <c r="A22" s="86"/>
      <c r="B22" s="97">
        <v>7.8591078215536861E-2</v>
      </c>
      <c r="C22" s="203" t="s">
        <v>286</v>
      </c>
      <c r="D22" s="90" t="s">
        <v>160</v>
      </c>
      <c r="F22" s="201" t="s">
        <v>208</v>
      </c>
      <c r="G22" s="86">
        <v>0</v>
      </c>
      <c r="H22" s="86">
        <v>0</v>
      </c>
      <c r="I22" s="86">
        <v>0</v>
      </c>
      <c r="J22" s="86">
        <v>0</v>
      </c>
      <c r="K22" s="86">
        <v>0.5</v>
      </c>
      <c r="L22" s="86">
        <v>0.5</v>
      </c>
      <c r="M22" s="86">
        <v>0.5</v>
      </c>
      <c r="N22" s="86">
        <v>0.5</v>
      </c>
      <c r="O22" s="86">
        <v>0.5</v>
      </c>
      <c r="P22" s="73">
        <v>0.5</v>
      </c>
      <c r="Q22" s="86">
        <v>0</v>
      </c>
      <c r="R22" s="74">
        <v>1</v>
      </c>
      <c r="S22"/>
      <c r="T22"/>
    </row>
    <row r="23" spans="1:20" ht="15" customHeight="1" x14ac:dyDescent="0.15">
      <c r="A23" s="86"/>
      <c r="B23" s="97">
        <v>1.1530069700420672E-4</v>
      </c>
      <c r="C23" s="203" t="s">
        <v>287</v>
      </c>
      <c r="D23" s="90" t="s">
        <v>160</v>
      </c>
      <c r="F23" s="201" t="s">
        <v>209</v>
      </c>
      <c r="G23" s="86">
        <v>0</v>
      </c>
      <c r="H23" s="86">
        <v>0</v>
      </c>
      <c r="I23" s="86">
        <v>0</v>
      </c>
      <c r="J23" s="86">
        <v>0</v>
      </c>
      <c r="K23" s="86">
        <v>0.5</v>
      </c>
      <c r="L23" s="86">
        <v>0.5</v>
      </c>
      <c r="M23" s="86">
        <v>0.5</v>
      </c>
      <c r="N23" s="86">
        <v>0.5</v>
      </c>
      <c r="O23" s="86">
        <v>0.5</v>
      </c>
      <c r="P23" s="73">
        <v>0.5</v>
      </c>
      <c r="Q23" s="86">
        <v>0</v>
      </c>
      <c r="R23" s="74">
        <v>1</v>
      </c>
      <c r="S23"/>
      <c r="T23"/>
    </row>
    <row r="24" spans="1:20" ht="15" customHeight="1" x14ac:dyDescent="0.15">
      <c r="A24" s="86"/>
      <c r="B24" s="97"/>
      <c r="C24" s="100"/>
      <c r="D24" s="90" t="s">
        <v>160</v>
      </c>
      <c r="F24" s="201" t="s">
        <v>210</v>
      </c>
      <c r="G24" s="86">
        <v>0</v>
      </c>
      <c r="H24" s="86">
        <v>0</v>
      </c>
      <c r="I24" s="86">
        <v>0</v>
      </c>
      <c r="J24" s="86">
        <v>0</v>
      </c>
      <c r="K24" s="86">
        <v>0.5</v>
      </c>
      <c r="L24" s="86">
        <v>0.5</v>
      </c>
      <c r="M24" s="86">
        <v>0.5</v>
      </c>
      <c r="N24" s="86">
        <v>0.5</v>
      </c>
      <c r="O24" s="86">
        <v>0.5</v>
      </c>
      <c r="P24" s="73">
        <v>0.5</v>
      </c>
      <c r="Q24" s="86">
        <v>0</v>
      </c>
      <c r="R24" s="74">
        <v>1</v>
      </c>
      <c r="S24"/>
      <c r="T24"/>
    </row>
    <row r="25" spans="1:20" ht="15" customHeight="1" x14ac:dyDescent="0.15">
      <c r="A25" s="86"/>
      <c r="B25" s="97"/>
      <c r="C25" s="85"/>
      <c r="D25" s="90" t="s">
        <v>160</v>
      </c>
      <c r="F25" s="201" t="s">
        <v>211</v>
      </c>
      <c r="G25" s="86">
        <v>0</v>
      </c>
      <c r="H25" s="86">
        <v>0</v>
      </c>
      <c r="I25" s="86">
        <v>0</v>
      </c>
      <c r="J25" s="86">
        <v>0</v>
      </c>
      <c r="K25" s="86">
        <v>0.5</v>
      </c>
      <c r="L25" s="86">
        <v>0.5</v>
      </c>
      <c r="M25" s="86">
        <v>0.5</v>
      </c>
      <c r="N25" s="86">
        <v>0.5</v>
      </c>
      <c r="O25" s="86">
        <v>0.5</v>
      </c>
      <c r="P25" s="73">
        <v>0.5</v>
      </c>
      <c r="Q25" s="86">
        <v>0</v>
      </c>
      <c r="R25" s="74">
        <v>1</v>
      </c>
      <c r="S25"/>
      <c r="T25"/>
    </row>
    <row r="26" spans="1:20" ht="15" customHeight="1" x14ac:dyDescent="0.15">
      <c r="B26" s="97"/>
      <c r="C26" s="85"/>
      <c r="D26" s="90" t="s">
        <v>160</v>
      </c>
      <c r="F26" s="201" t="s">
        <v>212</v>
      </c>
      <c r="G26" s="86">
        <v>0</v>
      </c>
      <c r="H26" s="86">
        <v>0</v>
      </c>
      <c r="I26" s="86">
        <v>0</v>
      </c>
      <c r="J26" s="86">
        <v>0</v>
      </c>
      <c r="K26" s="86">
        <v>0.5</v>
      </c>
      <c r="L26" s="86">
        <v>0.5</v>
      </c>
      <c r="M26" s="86">
        <v>0.5</v>
      </c>
      <c r="N26" s="86">
        <v>0.5</v>
      </c>
      <c r="O26" s="86">
        <v>0.5</v>
      </c>
      <c r="P26" s="73">
        <v>0.5</v>
      </c>
      <c r="Q26" s="86">
        <v>0</v>
      </c>
      <c r="R26" s="74">
        <v>1</v>
      </c>
      <c r="S26"/>
      <c r="T26"/>
    </row>
    <row r="27" spans="1:20" ht="15" customHeight="1" x14ac:dyDescent="0.15">
      <c r="B27" s="97"/>
      <c r="C27" s="85"/>
      <c r="D27" s="90" t="s">
        <v>160</v>
      </c>
      <c r="F27" s="201" t="s">
        <v>213</v>
      </c>
      <c r="G27" s="86">
        <v>0</v>
      </c>
      <c r="H27" s="86">
        <v>0</v>
      </c>
      <c r="I27" s="86">
        <v>0</v>
      </c>
      <c r="J27" s="86">
        <v>0</v>
      </c>
      <c r="K27" s="86">
        <v>0.5</v>
      </c>
      <c r="L27" s="86">
        <v>0.5</v>
      </c>
      <c r="M27" s="86">
        <v>0.5</v>
      </c>
      <c r="N27" s="86">
        <v>0.5</v>
      </c>
      <c r="O27" s="86">
        <v>0.5</v>
      </c>
      <c r="P27" s="73">
        <v>0.5</v>
      </c>
      <c r="Q27" s="86">
        <v>0</v>
      </c>
      <c r="R27" s="74">
        <v>1</v>
      </c>
      <c r="S27"/>
      <c r="T27"/>
    </row>
    <row r="28" spans="1:20" ht="15" customHeight="1" thickBot="1" x14ac:dyDescent="0.2">
      <c r="B28" s="96"/>
      <c r="C28" s="85"/>
      <c r="D28" s="90" t="s">
        <v>160</v>
      </c>
      <c r="F28" s="201" t="s">
        <v>214</v>
      </c>
      <c r="G28" s="86">
        <v>0</v>
      </c>
      <c r="H28" s="86">
        <v>0</v>
      </c>
      <c r="I28" s="86">
        <v>0</v>
      </c>
      <c r="J28" s="86">
        <v>0</v>
      </c>
      <c r="K28" s="86">
        <v>0.5</v>
      </c>
      <c r="L28" s="86">
        <v>0.5</v>
      </c>
      <c r="M28" s="86">
        <v>0.5</v>
      </c>
      <c r="N28" s="86">
        <v>0.5</v>
      </c>
      <c r="O28" s="86">
        <v>0.5</v>
      </c>
      <c r="P28" s="73">
        <v>0.5</v>
      </c>
      <c r="Q28" s="86">
        <v>0</v>
      </c>
      <c r="R28" s="74">
        <v>1</v>
      </c>
      <c r="S28"/>
      <c r="T28"/>
    </row>
    <row r="29" spans="1:20" ht="15" customHeight="1" x14ac:dyDescent="0.15">
      <c r="F29" s="201" t="s">
        <v>215</v>
      </c>
      <c r="G29" s="86">
        <v>0</v>
      </c>
      <c r="H29" s="86">
        <v>0</v>
      </c>
      <c r="I29" s="86">
        <v>0</v>
      </c>
      <c r="J29" s="86">
        <v>0</v>
      </c>
      <c r="K29" s="86">
        <v>0.5</v>
      </c>
      <c r="L29" s="86">
        <v>0.5</v>
      </c>
      <c r="M29" s="86">
        <v>0.5</v>
      </c>
      <c r="N29" s="86">
        <v>0.5</v>
      </c>
      <c r="O29" s="86">
        <v>0.5</v>
      </c>
      <c r="P29" s="73">
        <v>0.5</v>
      </c>
      <c r="Q29" s="86">
        <v>0</v>
      </c>
      <c r="R29" s="74">
        <v>1</v>
      </c>
      <c r="S29"/>
      <c r="T29"/>
    </row>
    <row r="30" spans="1:20" ht="15" customHeight="1" x14ac:dyDescent="0.15">
      <c r="F30" s="201" t="s">
        <v>216</v>
      </c>
      <c r="G30" s="86">
        <v>0</v>
      </c>
      <c r="H30" s="86">
        <v>0</v>
      </c>
      <c r="I30" s="86">
        <v>0</v>
      </c>
      <c r="J30" s="86">
        <v>0</v>
      </c>
      <c r="K30" s="86">
        <v>0.5</v>
      </c>
      <c r="L30" s="86">
        <v>0.5</v>
      </c>
      <c r="M30" s="86">
        <v>0.5</v>
      </c>
      <c r="N30" s="86">
        <v>0.5</v>
      </c>
      <c r="O30" s="86">
        <v>0.5</v>
      </c>
      <c r="P30" s="73">
        <v>0.5</v>
      </c>
      <c r="Q30" s="86">
        <v>0</v>
      </c>
      <c r="R30" s="74">
        <v>1</v>
      </c>
      <c r="S30"/>
      <c r="T30"/>
    </row>
    <row r="31" spans="1:20" ht="15" customHeight="1" x14ac:dyDescent="0.15">
      <c r="A31" s="130"/>
      <c r="B31" s="138" t="s">
        <v>17</v>
      </c>
      <c r="C31" s="138" t="s">
        <v>1</v>
      </c>
      <c r="D31" s="138" t="s">
        <v>161</v>
      </c>
      <c r="E31" s="139" t="s">
        <v>163</v>
      </c>
      <c r="F31" s="201" t="s">
        <v>217</v>
      </c>
      <c r="G31" s="86">
        <v>0</v>
      </c>
      <c r="H31" s="86">
        <v>0</v>
      </c>
      <c r="I31" s="86">
        <v>0</v>
      </c>
      <c r="J31" s="86">
        <v>0</v>
      </c>
      <c r="K31" s="86">
        <v>0.5</v>
      </c>
      <c r="L31" s="86">
        <v>0.5</v>
      </c>
      <c r="M31" s="86">
        <v>0.5</v>
      </c>
      <c r="N31" s="86">
        <v>0.5</v>
      </c>
      <c r="O31" s="86">
        <v>0.5</v>
      </c>
      <c r="P31" s="73">
        <v>0.5</v>
      </c>
      <c r="Q31" s="86">
        <v>0</v>
      </c>
      <c r="R31" s="74">
        <v>1</v>
      </c>
      <c r="S31"/>
      <c r="T31"/>
    </row>
    <row r="32" spans="1:20" ht="15" customHeight="1" x14ac:dyDescent="0.15">
      <c r="A32" s="204" t="s">
        <v>262</v>
      </c>
      <c r="B32" s="98">
        <v>0.1</v>
      </c>
      <c r="C32" s="98">
        <v>0.4748</v>
      </c>
      <c r="D32" s="98">
        <v>4.7480000000000001E-2</v>
      </c>
      <c r="E32" s="131">
        <v>1.3456073661047923E-5</v>
      </c>
      <c r="F32" s="201" t="s">
        <v>218</v>
      </c>
      <c r="G32" s="86">
        <v>0</v>
      </c>
      <c r="H32" s="86">
        <v>0</v>
      </c>
      <c r="I32" s="86">
        <v>0</v>
      </c>
      <c r="J32" s="86">
        <v>0</v>
      </c>
      <c r="K32" s="86">
        <v>0.5</v>
      </c>
      <c r="L32" s="86">
        <v>0.5</v>
      </c>
      <c r="M32" s="86">
        <v>0.5</v>
      </c>
      <c r="N32" s="86">
        <v>0.5</v>
      </c>
      <c r="O32" s="86">
        <v>0.5</v>
      </c>
      <c r="P32" s="73">
        <v>0.5</v>
      </c>
      <c r="Q32" s="86">
        <v>0</v>
      </c>
      <c r="R32" s="74">
        <v>1</v>
      </c>
      <c r="S32"/>
      <c r="T32"/>
    </row>
    <row r="33" spans="1:20" ht="15" customHeight="1" x14ac:dyDescent="0.15">
      <c r="A33" s="204" t="s">
        <v>284</v>
      </c>
      <c r="B33" s="98">
        <v>26.1</v>
      </c>
      <c r="C33" s="98">
        <v>109.118774</v>
      </c>
      <c r="D33" s="98">
        <v>2848.0000014000002</v>
      </c>
      <c r="E33" s="131">
        <v>0.80713769598784735</v>
      </c>
      <c r="F33" s="201" t="s">
        <v>219</v>
      </c>
      <c r="G33" s="86">
        <v>0</v>
      </c>
      <c r="H33" s="86">
        <v>0</v>
      </c>
      <c r="I33" s="86">
        <v>0</v>
      </c>
      <c r="J33" s="86">
        <v>0</v>
      </c>
      <c r="K33" s="86">
        <v>0.5</v>
      </c>
      <c r="L33" s="86">
        <v>0.5</v>
      </c>
      <c r="M33" s="86">
        <v>0.5</v>
      </c>
      <c r="N33" s="86">
        <v>0.5</v>
      </c>
      <c r="O33" s="86">
        <v>0.5</v>
      </c>
      <c r="P33" s="73">
        <v>0.5</v>
      </c>
      <c r="Q33" s="86">
        <v>0</v>
      </c>
      <c r="R33" s="74">
        <v>1</v>
      </c>
      <c r="S33"/>
      <c r="T33"/>
    </row>
    <row r="34" spans="1:20" ht="15" customHeight="1" x14ac:dyDescent="0.15">
      <c r="A34" s="204" t="s">
        <v>285</v>
      </c>
      <c r="B34" s="98">
        <v>39.389122</v>
      </c>
      <c r="C34" s="98">
        <v>10.225</v>
      </c>
      <c r="D34" s="98">
        <v>402.75377244999999</v>
      </c>
      <c r="E34" s="131">
        <v>0.11414246902595059</v>
      </c>
      <c r="F34" s="201" t="s">
        <v>220</v>
      </c>
      <c r="G34" s="86">
        <v>0</v>
      </c>
      <c r="H34" s="86">
        <v>0</v>
      </c>
      <c r="I34" s="86">
        <v>0</v>
      </c>
      <c r="J34" s="86">
        <v>0</v>
      </c>
      <c r="K34" s="86">
        <v>0.5</v>
      </c>
      <c r="L34" s="86">
        <v>0.5</v>
      </c>
      <c r="M34" s="86">
        <v>0.5</v>
      </c>
      <c r="N34" s="86">
        <v>0.5</v>
      </c>
      <c r="O34" s="86">
        <v>0.5</v>
      </c>
      <c r="P34" s="73">
        <v>0.5</v>
      </c>
      <c r="Q34" s="86">
        <v>0</v>
      </c>
      <c r="R34" s="74">
        <v>1</v>
      </c>
      <c r="S34"/>
      <c r="T34"/>
    </row>
    <row r="35" spans="1:20" ht="15" customHeight="1" x14ac:dyDescent="0.15">
      <c r="A35" s="204" t="s">
        <v>286</v>
      </c>
      <c r="B35" s="98">
        <v>20.156726800000001</v>
      </c>
      <c r="C35" s="98">
        <v>13.7576923</v>
      </c>
      <c r="D35" s="98">
        <v>277.31004508956369</v>
      </c>
      <c r="E35" s="131">
        <v>7.8591078215536861E-2</v>
      </c>
      <c r="F35" s="201" t="s">
        <v>221</v>
      </c>
      <c r="G35" s="86">
        <v>0</v>
      </c>
      <c r="H35" s="86">
        <v>0</v>
      </c>
      <c r="I35" s="86">
        <v>0</v>
      </c>
      <c r="J35" s="86">
        <v>0</v>
      </c>
      <c r="K35" s="86">
        <v>0.5</v>
      </c>
      <c r="L35" s="86">
        <v>0.5</v>
      </c>
      <c r="M35" s="86">
        <v>0.5</v>
      </c>
      <c r="N35" s="86">
        <v>0.5</v>
      </c>
      <c r="O35" s="86">
        <v>0.5</v>
      </c>
      <c r="P35" s="73">
        <v>0.5</v>
      </c>
      <c r="Q35" s="86">
        <v>0</v>
      </c>
      <c r="R35" s="74">
        <v>1</v>
      </c>
      <c r="S35"/>
      <c r="T35"/>
    </row>
    <row r="36" spans="1:20" ht="15" customHeight="1" x14ac:dyDescent="0.15">
      <c r="A36" s="204" t="s">
        <v>287</v>
      </c>
      <c r="B36" s="98">
        <v>6.1472069999999999</v>
      </c>
      <c r="C36" s="98">
        <v>6.6183000000000006E-2</v>
      </c>
      <c r="D36" s="98">
        <v>0.40684060088100005</v>
      </c>
      <c r="E36" s="131">
        <v>1.1530069700420672E-4</v>
      </c>
      <c r="F36" s="201" t="s">
        <v>222</v>
      </c>
      <c r="G36" s="86">
        <v>0</v>
      </c>
      <c r="H36" s="86">
        <v>0</v>
      </c>
      <c r="I36" s="86">
        <v>0</v>
      </c>
      <c r="J36" s="86">
        <v>0</v>
      </c>
      <c r="K36" s="86">
        <v>0.5</v>
      </c>
      <c r="L36" s="86">
        <v>0.5</v>
      </c>
      <c r="M36" s="86">
        <v>0.5</v>
      </c>
      <c r="N36" s="86">
        <v>0.5</v>
      </c>
      <c r="O36" s="86">
        <v>0.5</v>
      </c>
      <c r="P36" s="73">
        <v>0.5</v>
      </c>
      <c r="Q36" s="86">
        <v>0</v>
      </c>
      <c r="R36" s="74">
        <v>1</v>
      </c>
      <c r="S36"/>
      <c r="T36"/>
    </row>
    <row r="37" spans="1:20" ht="15" customHeight="1" x14ac:dyDescent="0.15">
      <c r="A37" s="132"/>
      <c r="B37" s="98"/>
      <c r="C37" s="98"/>
      <c r="D37" s="98"/>
      <c r="E37" s="131"/>
      <c r="F37" s="201" t="s">
        <v>223</v>
      </c>
      <c r="G37" s="86">
        <v>0</v>
      </c>
      <c r="H37" s="86">
        <v>0</v>
      </c>
      <c r="I37" s="86">
        <v>0</v>
      </c>
      <c r="J37" s="86">
        <v>0</v>
      </c>
      <c r="K37" s="86">
        <v>0.5</v>
      </c>
      <c r="L37" s="86">
        <v>0.5</v>
      </c>
      <c r="M37" s="86">
        <v>0.5</v>
      </c>
      <c r="N37" s="86">
        <v>0.5</v>
      </c>
      <c r="O37" s="86">
        <v>0.5</v>
      </c>
      <c r="P37" s="73">
        <v>0.5</v>
      </c>
      <c r="Q37" s="86">
        <v>0</v>
      </c>
      <c r="R37" s="74">
        <v>1</v>
      </c>
      <c r="S37"/>
      <c r="T37"/>
    </row>
    <row r="38" spans="1:20" ht="15" customHeight="1" x14ac:dyDescent="0.15">
      <c r="A38" s="133"/>
      <c r="B38" s="98"/>
      <c r="C38" s="98"/>
      <c r="D38" s="98"/>
      <c r="E38" s="131"/>
      <c r="F38" s="201" t="s">
        <v>224</v>
      </c>
      <c r="G38" s="86">
        <v>0</v>
      </c>
      <c r="H38" s="86">
        <v>0</v>
      </c>
      <c r="I38" s="86">
        <v>0</v>
      </c>
      <c r="J38" s="86">
        <v>0</v>
      </c>
      <c r="K38" s="86">
        <v>0.5</v>
      </c>
      <c r="L38" s="86">
        <v>0.5</v>
      </c>
      <c r="M38" s="86">
        <v>0.5</v>
      </c>
      <c r="N38" s="86">
        <v>0.5</v>
      </c>
      <c r="O38" s="86">
        <v>0.5</v>
      </c>
      <c r="P38" s="73">
        <v>0.5</v>
      </c>
      <c r="Q38" s="86">
        <v>0</v>
      </c>
      <c r="R38" s="74">
        <v>1</v>
      </c>
      <c r="S38"/>
      <c r="T38"/>
    </row>
    <row r="39" spans="1:20" ht="15" customHeight="1" x14ac:dyDescent="0.15">
      <c r="A39" s="133"/>
      <c r="B39" s="98"/>
      <c r="C39" s="98"/>
      <c r="D39" s="98"/>
      <c r="E39" s="131"/>
      <c r="F39" s="201" t="s">
        <v>225</v>
      </c>
      <c r="G39" s="86">
        <v>0</v>
      </c>
      <c r="H39" s="86">
        <v>0</v>
      </c>
      <c r="I39" s="86">
        <v>0</v>
      </c>
      <c r="J39" s="86">
        <v>0</v>
      </c>
      <c r="K39" s="86">
        <v>0.5</v>
      </c>
      <c r="L39" s="86">
        <v>0.5</v>
      </c>
      <c r="M39" s="86">
        <v>0.5</v>
      </c>
      <c r="N39" s="86">
        <v>0.5</v>
      </c>
      <c r="O39" s="86">
        <v>0.5</v>
      </c>
      <c r="P39" s="73">
        <v>0.5</v>
      </c>
      <c r="Q39" s="86">
        <v>0</v>
      </c>
      <c r="R39" s="74">
        <v>1</v>
      </c>
      <c r="S39"/>
      <c r="T39"/>
    </row>
    <row r="40" spans="1:20" ht="15" customHeight="1" x14ac:dyDescent="0.15">
      <c r="A40" s="133"/>
      <c r="B40" s="98"/>
      <c r="C40" s="98"/>
      <c r="D40" s="98"/>
      <c r="E40" s="131"/>
      <c r="F40" s="201" t="s">
        <v>226</v>
      </c>
      <c r="G40" s="86">
        <v>0</v>
      </c>
      <c r="H40" s="86">
        <v>0</v>
      </c>
      <c r="I40" s="86">
        <v>0</v>
      </c>
      <c r="J40" s="86">
        <v>0</v>
      </c>
      <c r="K40" s="86">
        <v>0.5</v>
      </c>
      <c r="L40" s="86">
        <v>0.5</v>
      </c>
      <c r="M40" s="86">
        <v>0.5</v>
      </c>
      <c r="N40" s="86">
        <v>0.5</v>
      </c>
      <c r="O40" s="86">
        <v>0.5</v>
      </c>
      <c r="P40" s="73">
        <v>0.5</v>
      </c>
      <c r="Q40" s="86">
        <v>0</v>
      </c>
      <c r="R40" s="74">
        <v>1</v>
      </c>
      <c r="S40"/>
      <c r="T40"/>
    </row>
    <row r="41" spans="1:20" ht="15" customHeight="1" thickBot="1" x14ac:dyDescent="0.2">
      <c r="A41" s="133"/>
      <c r="B41" s="98"/>
      <c r="C41" s="98"/>
      <c r="D41" s="99"/>
      <c r="E41" s="134"/>
      <c r="F41" s="201" t="s">
        <v>227</v>
      </c>
      <c r="G41" s="86">
        <v>0</v>
      </c>
      <c r="H41" s="86">
        <v>0</v>
      </c>
      <c r="I41" s="86">
        <v>0</v>
      </c>
      <c r="J41" s="86">
        <v>0</v>
      </c>
      <c r="K41" s="86">
        <v>0.5</v>
      </c>
      <c r="L41" s="86">
        <v>0.5</v>
      </c>
      <c r="M41" s="86">
        <v>0.5</v>
      </c>
      <c r="N41" s="86">
        <v>0.5</v>
      </c>
      <c r="O41" s="86">
        <v>0.5</v>
      </c>
      <c r="P41" s="73">
        <v>0.5</v>
      </c>
      <c r="Q41" s="86">
        <v>0</v>
      </c>
      <c r="R41" s="74">
        <v>1</v>
      </c>
      <c r="S41"/>
      <c r="T41"/>
    </row>
    <row r="42" spans="1:20" ht="15" customHeight="1" x14ac:dyDescent="0.15">
      <c r="A42" s="135"/>
      <c r="B42" s="136"/>
      <c r="C42" s="136" t="s">
        <v>162</v>
      </c>
      <c r="D42" s="136">
        <f>SUM(D32:D41)</f>
        <v>3528.5181395404447</v>
      </c>
      <c r="E42" s="137">
        <f>SUM(E32:E41)</f>
        <v>1.0000000000000002</v>
      </c>
      <c r="F42" s="201" t="s">
        <v>228</v>
      </c>
      <c r="G42" s="86">
        <v>0</v>
      </c>
      <c r="H42" s="86">
        <v>0</v>
      </c>
      <c r="I42" s="86">
        <v>0</v>
      </c>
      <c r="J42" s="86">
        <v>0</v>
      </c>
      <c r="K42" s="86">
        <v>0.5</v>
      </c>
      <c r="L42" s="86">
        <v>0.5</v>
      </c>
      <c r="M42" s="86">
        <v>0.5</v>
      </c>
      <c r="N42" s="86">
        <v>0.5</v>
      </c>
      <c r="O42" s="86">
        <v>0.5</v>
      </c>
      <c r="P42" s="73">
        <v>0.5</v>
      </c>
      <c r="Q42" s="86">
        <v>0</v>
      </c>
      <c r="R42" s="74">
        <v>1</v>
      </c>
      <c r="S42"/>
      <c r="T42"/>
    </row>
    <row r="43" spans="1:20" ht="15" customHeight="1" x14ac:dyDescent="0.15">
      <c r="A43" s="86"/>
      <c r="F43" s="201" t="s">
        <v>229</v>
      </c>
      <c r="G43" s="86">
        <v>0</v>
      </c>
      <c r="H43" s="86">
        <v>0</v>
      </c>
      <c r="I43" s="86">
        <v>0</v>
      </c>
      <c r="J43" s="86">
        <v>0</v>
      </c>
      <c r="K43" s="86">
        <v>0.5</v>
      </c>
      <c r="L43" s="86">
        <v>0.5</v>
      </c>
      <c r="M43" s="86">
        <v>0.5</v>
      </c>
      <c r="N43" s="86">
        <v>0.5</v>
      </c>
      <c r="O43" s="86">
        <v>0.5</v>
      </c>
      <c r="P43" s="73">
        <v>0.5</v>
      </c>
      <c r="Q43" s="86">
        <v>0</v>
      </c>
      <c r="R43" s="74">
        <v>1</v>
      </c>
      <c r="S43"/>
      <c r="T43"/>
    </row>
    <row r="44" spans="1:20" ht="15" customHeight="1" x14ac:dyDescent="0.15">
      <c r="A44" s="86"/>
      <c r="F44" s="201" t="s">
        <v>230</v>
      </c>
      <c r="G44" s="86">
        <v>0</v>
      </c>
      <c r="H44" s="86">
        <v>0</v>
      </c>
      <c r="I44" s="86">
        <v>0</v>
      </c>
      <c r="J44" s="86">
        <v>0</v>
      </c>
      <c r="K44" s="86">
        <v>0.5</v>
      </c>
      <c r="L44" s="86">
        <v>0.5</v>
      </c>
      <c r="M44" s="86">
        <v>0.5</v>
      </c>
      <c r="N44" s="86">
        <v>0.5</v>
      </c>
      <c r="O44" s="86">
        <v>0.5</v>
      </c>
      <c r="P44" s="73">
        <v>0.5</v>
      </c>
      <c r="Q44" s="86">
        <v>0</v>
      </c>
      <c r="R44" s="74">
        <v>1</v>
      </c>
    </row>
    <row r="45" spans="1:20" ht="15" customHeight="1" x14ac:dyDescent="0.15">
      <c r="A45" s="86"/>
      <c r="F45" s="201" t="s">
        <v>231</v>
      </c>
      <c r="G45" s="86">
        <v>0</v>
      </c>
      <c r="H45" s="86">
        <v>0</v>
      </c>
      <c r="I45" s="86">
        <v>0</v>
      </c>
      <c r="J45" s="86">
        <v>0</v>
      </c>
      <c r="K45" s="86">
        <v>0.5</v>
      </c>
      <c r="L45" s="86">
        <v>0.5</v>
      </c>
      <c r="M45" s="86">
        <v>0.5</v>
      </c>
      <c r="N45" s="86">
        <v>0.5</v>
      </c>
      <c r="O45" s="86">
        <v>0.5</v>
      </c>
      <c r="P45" s="73">
        <v>0.5</v>
      </c>
      <c r="Q45" s="86">
        <v>0</v>
      </c>
      <c r="R45" s="74">
        <v>1</v>
      </c>
    </row>
    <row r="46" spans="1:20" ht="15" customHeight="1" x14ac:dyDescent="0.15">
      <c r="A46" s="86"/>
      <c r="F46" s="201" t="s">
        <v>232</v>
      </c>
      <c r="G46" s="86">
        <v>0</v>
      </c>
      <c r="H46" s="86">
        <v>0</v>
      </c>
      <c r="I46" s="86">
        <v>0</v>
      </c>
      <c r="J46" s="86">
        <v>0</v>
      </c>
      <c r="K46" s="86">
        <v>0.5</v>
      </c>
      <c r="L46" s="86">
        <v>0.5</v>
      </c>
      <c r="M46" s="86">
        <v>0.5</v>
      </c>
      <c r="N46" s="86">
        <v>0.5</v>
      </c>
      <c r="O46" s="86">
        <v>0.5</v>
      </c>
      <c r="P46" s="73">
        <v>0.5</v>
      </c>
      <c r="Q46" s="86">
        <v>0</v>
      </c>
      <c r="R46" s="74">
        <v>1</v>
      </c>
    </row>
    <row r="47" spans="1:20" ht="15" customHeight="1" x14ac:dyDescent="0.15">
      <c r="A47" s="86"/>
      <c r="F47" s="201" t="s">
        <v>233</v>
      </c>
      <c r="G47" s="86">
        <v>0</v>
      </c>
      <c r="H47" s="86">
        <v>0</v>
      </c>
      <c r="I47" s="86">
        <v>0</v>
      </c>
      <c r="J47" s="86">
        <v>0</v>
      </c>
      <c r="K47" s="86">
        <v>0.5</v>
      </c>
      <c r="L47" s="86">
        <v>0.5</v>
      </c>
      <c r="M47" s="86">
        <v>0.5</v>
      </c>
      <c r="N47" s="86">
        <v>0.5</v>
      </c>
      <c r="O47" s="86">
        <v>0.5</v>
      </c>
      <c r="P47" s="73">
        <v>0.5</v>
      </c>
      <c r="Q47" s="86">
        <v>0</v>
      </c>
      <c r="R47" s="74">
        <v>1</v>
      </c>
    </row>
    <row r="48" spans="1:20" ht="15" customHeight="1" x14ac:dyDescent="0.15">
      <c r="A48" s="86"/>
      <c r="F48" s="201" t="s">
        <v>234</v>
      </c>
      <c r="G48" s="86">
        <v>0</v>
      </c>
      <c r="H48" s="86">
        <v>0</v>
      </c>
      <c r="I48" s="86">
        <v>0</v>
      </c>
      <c r="J48" s="86">
        <v>0</v>
      </c>
      <c r="K48" s="86">
        <v>0.5</v>
      </c>
      <c r="L48" s="86">
        <v>0.5</v>
      </c>
      <c r="M48" s="86">
        <v>0.5</v>
      </c>
      <c r="N48" s="86">
        <v>0.5</v>
      </c>
      <c r="O48" s="86">
        <v>0.5</v>
      </c>
      <c r="P48" s="73">
        <v>0.5</v>
      </c>
      <c r="Q48" s="86">
        <v>0</v>
      </c>
      <c r="R48" s="74">
        <v>1</v>
      </c>
    </row>
    <row r="49" spans="6:18" s="86" customFormat="1" ht="15" customHeight="1" x14ac:dyDescent="0.15">
      <c r="F49" s="201" t="s">
        <v>235</v>
      </c>
      <c r="G49" s="86">
        <v>0</v>
      </c>
      <c r="H49" s="86">
        <v>0</v>
      </c>
      <c r="I49" s="86">
        <v>0</v>
      </c>
      <c r="J49" s="86">
        <v>0</v>
      </c>
      <c r="K49" s="86">
        <v>0.5</v>
      </c>
      <c r="L49" s="86">
        <v>0.5</v>
      </c>
      <c r="M49" s="86">
        <v>0.5</v>
      </c>
      <c r="N49" s="86">
        <v>0.5</v>
      </c>
      <c r="O49" s="86">
        <v>0.5</v>
      </c>
      <c r="P49" s="73">
        <v>0.5</v>
      </c>
      <c r="Q49" s="86">
        <v>0</v>
      </c>
      <c r="R49" s="74">
        <v>1</v>
      </c>
    </row>
    <row r="50" spans="6:18" s="86" customFormat="1" ht="15" customHeight="1" x14ac:dyDescent="0.15">
      <c r="F50" s="201" t="s">
        <v>236</v>
      </c>
      <c r="G50" s="86">
        <v>0</v>
      </c>
      <c r="H50" s="86">
        <v>0</v>
      </c>
      <c r="I50" s="86">
        <v>0</v>
      </c>
      <c r="J50" s="86">
        <v>0</v>
      </c>
      <c r="K50" s="86">
        <v>0.5</v>
      </c>
      <c r="L50" s="86">
        <v>0.5</v>
      </c>
      <c r="M50" s="86">
        <v>0.5</v>
      </c>
      <c r="N50" s="86">
        <v>0.5</v>
      </c>
      <c r="O50" s="86">
        <v>0.5</v>
      </c>
      <c r="P50" s="73">
        <v>0.5</v>
      </c>
      <c r="Q50" s="86">
        <v>0</v>
      </c>
      <c r="R50" s="74">
        <v>1</v>
      </c>
    </row>
    <row r="51" spans="6:18" s="86" customFormat="1" ht="15" customHeight="1" x14ac:dyDescent="0.15">
      <c r="F51" s="201" t="s">
        <v>237</v>
      </c>
      <c r="G51" s="86">
        <v>0</v>
      </c>
      <c r="H51" s="86">
        <v>0</v>
      </c>
      <c r="I51" s="86">
        <v>0</v>
      </c>
      <c r="J51" s="86">
        <v>0</v>
      </c>
      <c r="K51" s="86">
        <v>0.5</v>
      </c>
      <c r="L51" s="86">
        <v>0.5</v>
      </c>
      <c r="M51" s="86">
        <v>0.5</v>
      </c>
      <c r="N51" s="86">
        <v>0.5</v>
      </c>
      <c r="O51" s="86">
        <v>0.5</v>
      </c>
      <c r="P51" s="73">
        <v>0.5</v>
      </c>
      <c r="Q51" s="86">
        <v>0</v>
      </c>
      <c r="R51" s="74">
        <v>1</v>
      </c>
    </row>
    <row r="52" spans="6:18" s="86" customFormat="1" ht="15" customHeight="1" x14ac:dyDescent="0.15">
      <c r="F52" s="201" t="s">
        <v>238</v>
      </c>
      <c r="G52" s="86">
        <v>0</v>
      </c>
      <c r="H52" s="86">
        <v>0</v>
      </c>
      <c r="I52" s="86">
        <v>0</v>
      </c>
      <c r="J52" s="86">
        <v>0</v>
      </c>
      <c r="K52" s="86">
        <v>0.5</v>
      </c>
      <c r="L52" s="86">
        <v>0.5</v>
      </c>
      <c r="M52" s="86">
        <v>0.5</v>
      </c>
      <c r="N52" s="86">
        <v>0.5</v>
      </c>
      <c r="O52" s="86">
        <v>0.5</v>
      </c>
      <c r="P52" s="73">
        <v>0.5</v>
      </c>
      <c r="Q52" s="86">
        <v>0</v>
      </c>
      <c r="R52" s="74">
        <v>1</v>
      </c>
    </row>
    <row r="53" spans="6:18" s="86" customFormat="1" ht="15" customHeight="1" x14ac:dyDescent="0.15">
      <c r="F53" s="201" t="s">
        <v>239</v>
      </c>
      <c r="G53" s="86">
        <v>0</v>
      </c>
      <c r="H53" s="86">
        <v>0</v>
      </c>
      <c r="I53" s="86">
        <v>0</v>
      </c>
      <c r="J53" s="86">
        <v>0</v>
      </c>
      <c r="K53" s="86">
        <v>0.5</v>
      </c>
      <c r="L53" s="86">
        <v>0.5</v>
      </c>
      <c r="M53" s="86">
        <v>0.5</v>
      </c>
      <c r="N53" s="86">
        <v>0.5</v>
      </c>
      <c r="O53" s="86">
        <v>0.5</v>
      </c>
      <c r="P53" s="73">
        <v>0.5</v>
      </c>
      <c r="Q53" s="86">
        <v>0</v>
      </c>
      <c r="R53" s="74">
        <v>1</v>
      </c>
    </row>
    <row r="54" spans="6:18" s="86" customFormat="1" ht="15" customHeight="1" x14ac:dyDescent="0.15">
      <c r="F54" s="201" t="s">
        <v>240</v>
      </c>
      <c r="G54" s="86">
        <v>0</v>
      </c>
      <c r="H54" s="86">
        <v>0</v>
      </c>
      <c r="I54" s="86">
        <v>0</v>
      </c>
      <c r="J54" s="86">
        <v>0</v>
      </c>
      <c r="K54" s="86">
        <v>0.5</v>
      </c>
      <c r="L54" s="86">
        <v>0.5</v>
      </c>
      <c r="M54" s="86">
        <v>0.5</v>
      </c>
      <c r="N54" s="86">
        <v>0.5</v>
      </c>
      <c r="O54" s="86">
        <v>0.5</v>
      </c>
      <c r="P54" s="73">
        <v>0.5</v>
      </c>
      <c r="Q54" s="86">
        <v>0</v>
      </c>
      <c r="R54" s="74">
        <v>1</v>
      </c>
    </row>
    <row r="55" spans="6:18" s="86" customFormat="1" ht="15" customHeight="1" x14ac:dyDescent="0.15">
      <c r="F55" s="201" t="s">
        <v>241</v>
      </c>
      <c r="G55" s="86">
        <v>0</v>
      </c>
      <c r="H55" s="86">
        <v>0</v>
      </c>
      <c r="I55" s="86">
        <v>0</v>
      </c>
      <c r="J55" s="86">
        <v>0</v>
      </c>
      <c r="K55" s="86">
        <v>0.5</v>
      </c>
      <c r="L55" s="86">
        <v>0.5</v>
      </c>
      <c r="M55" s="86">
        <v>0.5</v>
      </c>
      <c r="N55" s="86">
        <v>0.5</v>
      </c>
      <c r="O55" s="86">
        <v>0.5</v>
      </c>
      <c r="P55" s="73">
        <v>0.5</v>
      </c>
      <c r="Q55" s="86">
        <v>0</v>
      </c>
      <c r="R55" s="74">
        <v>1</v>
      </c>
    </row>
    <row r="56" spans="6:18" s="86" customFormat="1" ht="15" customHeight="1" x14ac:dyDescent="0.15">
      <c r="F56" s="201" t="s">
        <v>242</v>
      </c>
      <c r="G56" s="86">
        <v>0</v>
      </c>
      <c r="H56" s="86">
        <v>0</v>
      </c>
      <c r="I56" s="86">
        <v>0</v>
      </c>
      <c r="J56" s="86">
        <v>0</v>
      </c>
      <c r="K56" s="86">
        <v>0.5</v>
      </c>
      <c r="L56" s="86">
        <v>0.5</v>
      </c>
      <c r="M56" s="86">
        <v>0.5</v>
      </c>
      <c r="N56" s="86">
        <v>0.5</v>
      </c>
      <c r="O56" s="86">
        <v>0.5</v>
      </c>
      <c r="P56" s="73">
        <v>0.5</v>
      </c>
      <c r="Q56" s="86">
        <v>0</v>
      </c>
      <c r="R56" s="74">
        <v>1</v>
      </c>
    </row>
    <row r="57" spans="6:18" s="86" customFormat="1" ht="15" customHeight="1" x14ac:dyDescent="0.15">
      <c r="F57" s="201" t="s">
        <v>243</v>
      </c>
      <c r="G57" s="86">
        <v>0</v>
      </c>
      <c r="H57" s="86">
        <v>0</v>
      </c>
      <c r="I57" s="86">
        <v>0</v>
      </c>
      <c r="J57" s="86">
        <v>0</v>
      </c>
      <c r="K57" s="86">
        <v>0.5</v>
      </c>
      <c r="L57" s="86">
        <v>0.5</v>
      </c>
      <c r="M57" s="86">
        <v>0.5</v>
      </c>
      <c r="N57" s="86">
        <v>0.5</v>
      </c>
      <c r="O57" s="86">
        <v>0.5</v>
      </c>
      <c r="P57" s="73">
        <v>0.5</v>
      </c>
      <c r="Q57" s="86">
        <v>0</v>
      </c>
      <c r="R57" s="74">
        <v>1</v>
      </c>
    </row>
    <row r="58" spans="6:18" s="86" customFormat="1" ht="15" customHeight="1" x14ac:dyDescent="0.15">
      <c r="F58" s="201" t="s">
        <v>244</v>
      </c>
      <c r="G58" s="86">
        <v>0</v>
      </c>
      <c r="H58" s="86">
        <v>0</v>
      </c>
      <c r="I58" s="86">
        <v>0</v>
      </c>
      <c r="J58" s="86">
        <v>0</v>
      </c>
      <c r="K58" s="86">
        <v>0.5</v>
      </c>
      <c r="L58" s="86">
        <v>0.5</v>
      </c>
      <c r="M58" s="86">
        <v>0.5</v>
      </c>
      <c r="N58" s="86">
        <v>0.5</v>
      </c>
      <c r="O58" s="86">
        <v>0.5</v>
      </c>
      <c r="P58" s="73">
        <v>0.5</v>
      </c>
      <c r="Q58" s="86">
        <v>0</v>
      </c>
      <c r="R58" s="74">
        <v>1</v>
      </c>
    </row>
    <row r="59" spans="6:18" s="86" customFormat="1" ht="15" customHeight="1" x14ac:dyDescent="0.15">
      <c r="F59" s="201" t="s">
        <v>245</v>
      </c>
      <c r="G59" s="86">
        <v>0</v>
      </c>
      <c r="H59" s="86">
        <v>0</v>
      </c>
      <c r="I59" s="86">
        <v>0</v>
      </c>
      <c r="J59" s="86">
        <v>0</v>
      </c>
      <c r="K59" s="86">
        <v>0.5</v>
      </c>
      <c r="L59" s="86">
        <v>0.5</v>
      </c>
      <c r="M59" s="86">
        <v>0.5</v>
      </c>
      <c r="N59" s="86">
        <v>0.5</v>
      </c>
      <c r="O59" s="86">
        <v>0.5</v>
      </c>
      <c r="P59" s="73">
        <v>0.5</v>
      </c>
      <c r="Q59" s="86">
        <v>0</v>
      </c>
      <c r="R59" s="74">
        <v>1</v>
      </c>
    </row>
    <row r="60" spans="6:18" s="86" customFormat="1" ht="15" customHeight="1" x14ac:dyDescent="0.15">
      <c r="F60" s="201" t="s">
        <v>246</v>
      </c>
      <c r="G60" s="86">
        <v>0</v>
      </c>
      <c r="H60" s="86">
        <v>0</v>
      </c>
      <c r="I60" s="86">
        <v>0</v>
      </c>
      <c r="J60" s="86">
        <v>0</v>
      </c>
      <c r="K60" s="86">
        <v>0.5</v>
      </c>
      <c r="L60" s="86">
        <v>0.5</v>
      </c>
      <c r="M60" s="86">
        <v>0.5</v>
      </c>
      <c r="N60" s="86">
        <v>0.5</v>
      </c>
      <c r="O60" s="86">
        <v>0.5</v>
      </c>
      <c r="P60" s="73">
        <v>0.5</v>
      </c>
      <c r="Q60" s="86">
        <v>0</v>
      </c>
      <c r="R60" s="74">
        <v>1</v>
      </c>
    </row>
    <row r="61" spans="6:18" s="86" customFormat="1" ht="15" customHeight="1" x14ac:dyDescent="0.15">
      <c r="F61" s="201" t="s">
        <v>247</v>
      </c>
      <c r="G61" s="86">
        <v>0</v>
      </c>
      <c r="H61" s="86">
        <v>0</v>
      </c>
      <c r="I61" s="86">
        <v>0</v>
      </c>
      <c r="J61" s="86">
        <v>0</v>
      </c>
      <c r="K61" s="86">
        <v>0.5</v>
      </c>
      <c r="L61" s="86">
        <v>0.5</v>
      </c>
      <c r="M61" s="86">
        <v>0.5</v>
      </c>
      <c r="N61" s="86">
        <v>0.5</v>
      </c>
      <c r="O61" s="86">
        <v>0.5</v>
      </c>
      <c r="P61" s="73">
        <v>0.5</v>
      </c>
      <c r="Q61" s="86">
        <v>0</v>
      </c>
      <c r="R61" s="74">
        <v>1</v>
      </c>
    </row>
    <row r="62" spans="6:18" s="86" customFormat="1" ht="15" customHeight="1" x14ac:dyDescent="0.15">
      <c r="F62" s="201" t="s">
        <v>248</v>
      </c>
      <c r="G62" s="86">
        <v>0</v>
      </c>
      <c r="H62" s="86">
        <v>0</v>
      </c>
      <c r="I62" s="86">
        <v>0</v>
      </c>
      <c r="J62" s="86">
        <v>0</v>
      </c>
      <c r="K62" s="86">
        <v>0.5</v>
      </c>
      <c r="L62" s="86">
        <v>0.5</v>
      </c>
      <c r="M62" s="86">
        <v>0.5</v>
      </c>
      <c r="N62" s="86">
        <v>0.5</v>
      </c>
      <c r="O62" s="86">
        <v>0.5</v>
      </c>
      <c r="P62" s="73">
        <v>0.5</v>
      </c>
      <c r="Q62" s="86">
        <v>0</v>
      </c>
      <c r="R62" s="74">
        <v>1</v>
      </c>
    </row>
    <row r="63" spans="6:18" s="86" customFormat="1" ht="15" customHeight="1" x14ac:dyDescent="0.15">
      <c r="F63" s="201" t="s">
        <v>249</v>
      </c>
      <c r="G63" s="86">
        <v>0</v>
      </c>
      <c r="H63" s="86">
        <v>0</v>
      </c>
      <c r="I63" s="86">
        <v>0</v>
      </c>
      <c r="J63" s="86">
        <v>0</v>
      </c>
      <c r="K63" s="86">
        <v>0.5</v>
      </c>
      <c r="L63" s="86">
        <v>0.5</v>
      </c>
      <c r="M63" s="86">
        <v>0.5</v>
      </c>
      <c r="N63" s="86">
        <v>0.5</v>
      </c>
      <c r="O63" s="86">
        <v>0.5</v>
      </c>
      <c r="P63" s="73">
        <v>0.5</v>
      </c>
      <c r="Q63" s="86">
        <v>0</v>
      </c>
      <c r="R63" s="74">
        <v>1</v>
      </c>
    </row>
    <row r="64" spans="6:18" s="86" customFormat="1" ht="15" customHeight="1" x14ac:dyDescent="0.15">
      <c r="F64" s="201" t="s">
        <v>250</v>
      </c>
      <c r="G64" s="86">
        <v>0</v>
      </c>
      <c r="H64" s="86">
        <v>0</v>
      </c>
      <c r="I64" s="86">
        <v>0</v>
      </c>
      <c r="J64" s="86">
        <v>0</v>
      </c>
      <c r="K64" s="86">
        <v>0.5</v>
      </c>
      <c r="L64" s="86">
        <v>0.5</v>
      </c>
      <c r="M64" s="86">
        <v>0.5</v>
      </c>
      <c r="N64" s="86">
        <v>0.5</v>
      </c>
      <c r="O64" s="86">
        <v>0.5</v>
      </c>
      <c r="P64" s="73">
        <v>0.5</v>
      </c>
      <c r="Q64" s="86">
        <v>0</v>
      </c>
      <c r="R64" s="74">
        <v>1</v>
      </c>
    </row>
    <row r="65" spans="1:18" ht="15" customHeight="1" x14ac:dyDescent="0.15">
      <c r="F65" s="201" t="s">
        <v>251</v>
      </c>
      <c r="G65" s="86">
        <v>0</v>
      </c>
      <c r="H65" s="86">
        <v>0</v>
      </c>
      <c r="I65" s="86">
        <v>0</v>
      </c>
      <c r="J65" s="86">
        <v>0</v>
      </c>
      <c r="K65" s="86">
        <v>0.5</v>
      </c>
      <c r="L65" s="86">
        <v>0.5</v>
      </c>
      <c r="M65" s="86">
        <v>0.5</v>
      </c>
      <c r="N65" s="86">
        <v>0.5</v>
      </c>
      <c r="O65" s="86">
        <v>0.5</v>
      </c>
      <c r="P65" s="73">
        <v>0.5</v>
      </c>
      <c r="Q65" s="86">
        <v>0</v>
      </c>
      <c r="R65" s="74">
        <v>1</v>
      </c>
    </row>
    <row r="66" spans="1:18" ht="15" customHeight="1" x14ac:dyDescent="0.15">
      <c r="F66" s="201" t="s">
        <v>252</v>
      </c>
      <c r="G66" s="86">
        <v>0</v>
      </c>
      <c r="H66" s="86">
        <v>0</v>
      </c>
      <c r="I66" s="86">
        <v>0</v>
      </c>
      <c r="J66" s="86">
        <v>0</v>
      </c>
      <c r="K66" s="86">
        <v>0.5</v>
      </c>
      <c r="L66" s="86">
        <v>0.5</v>
      </c>
      <c r="M66" s="86">
        <v>0.5</v>
      </c>
      <c r="N66" s="86">
        <v>0.5</v>
      </c>
      <c r="O66" s="86">
        <v>0.5</v>
      </c>
      <c r="P66" s="73">
        <v>0.5</v>
      </c>
      <c r="Q66" s="86">
        <v>0</v>
      </c>
      <c r="R66" s="74">
        <v>1</v>
      </c>
    </row>
    <row r="67" spans="1:18" ht="15" customHeight="1" x14ac:dyDescent="0.15">
      <c r="F67" s="201" t="s">
        <v>253</v>
      </c>
      <c r="G67" s="86">
        <v>0</v>
      </c>
      <c r="H67" s="86">
        <v>0</v>
      </c>
      <c r="I67" s="86">
        <v>0</v>
      </c>
      <c r="J67" s="86">
        <v>0</v>
      </c>
      <c r="K67" s="86">
        <v>0.5</v>
      </c>
      <c r="L67" s="86">
        <v>0.5</v>
      </c>
      <c r="M67" s="86">
        <v>0.5</v>
      </c>
      <c r="N67" s="86">
        <v>0.5</v>
      </c>
      <c r="O67" s="86">
        <v>0.5</v>
      </c>
      <c r="P67" s="73">
        <v>0.5</v>
      </c>
      <c r="Q67" s="86">
        <v>0</v>
      </c>
      <c r="R67" s="74">
        <v>1</v>
      </c>
    </row>
    <row r="68" spans="1:18" ht="15" customHeight="1" x14ac:dyDescent="0.15">
      <c r="F68" s="201" t="s">
        <v>254</v>
      </c>
      <c r="G68" s="86">
        <v>0</v>
      </c>
      <c r="H68" s="86">
        <v>0</v>
      </c>
      <c r="I68" s="86">
        <v>0</v>
      </c>
      <c r="J68" s="86">
        <v>0</v>
      </c>
      <c r="K68" s="86">
        <v>0.5</v>
      </c>
      <c r="L68" s="86">
        <v>0.5</v>
      </c>
      <c r="M68" s="86">
        <v>0.5</v>
      </c>
      <c r="N68" s="86">
        <v>0.5</v>
      </c>
      <c r="O68" s="86">
        <v>0.5</v>
      </c>
      <c r="P68" s="73">
        <v>0.5</v>
      </c>
      <c r="Q68" s="86">
        <v>0</v>
      </c>
      <c r="R68" s="74">
        <v>1</v>
      </c>
    </row>
    <row r="69" spans="1:18" ht="15" customHeight="1" x14ac:dyDescent="0.15">
      <c r="F69" s="201" t="s">
        <v>255</v>
      </c>
      <c r="G69" s="86">
        <v>0</v>
      </c>
      <c r="H69" s="86">
        <v>0</v>
      </c>
      <c r="I69" s="86">
        <v>0</v>
      </c>
      <c r="J69" s="86">
        <v>0</v>
      </c>
      <c r="K69" s="86">
        <v>0.5</v>
      </c>
      <c r="L69" s="86">
        <v>0.5</v>
      </c>
      <c r="M69" s="86">
        <v>0.5</v>
      </c>
      <c r="N69" s="86">
        <v>0.5</v>
      </c>
      <c r="O69" s="86">
        <v>0.5</v>
      </c>
      <c r="P69" s="73">
        <v>0.5</v>
      </c>
      <c r="Q69" s="86">
        <v>0</v>
      </c>
      <c r="R69" s="74">
        <v>1</v>
      </c>
    </row>
    <row r="70" spans="1:18" ht="15" customHeight="1" x14ac:dyDescent="0.15">
      <c r="F70" s="201" t="s">
        <v>256</v>
      </c>
      <c r="G70" s="86">
        <v>0</v>
      </c>
      <c r="H70" s="86">
        <v>0</v>
      </c>
      <c r="I70" s="86">
        <v>0</v>
      </c>
      <c r="J70" s="86">
        <v>0</v>
      </c>
      <c r="K70" s="86">
        <v>0.5</v>
      </c>
      <c r="L70" s="86">
        <v>0.5</v>
      </c>
      <c r="M70" s="86">
        <v>0.5</v>
      </c>
      <c r="N70" s="86">
        <v>0.5</v>
      </c>
      <c r="O70" s="86">
        <v>0.5</v>
      </c>
      <c r="P70" s="73">
        <v>0.5</v>
      </c>
      <c r="Q70" s="86">
        <v>0</v>
      </c>
      <c r="R70" s="74">
        <v>1</v>
      </c>
    </row>
    <row r="71" spans="1:18" ht="15" customHeight="1" x14ac:dyDescent="0.15">
      <c r="F71" s="201" t="s">
        <v>257</v>
      </c>
      <c r="G71" s="86">
        <v>0</v>
      </c>
      <c r="H71" s="86">
        <v>0</v>
      </c>
      <c r="I71" s="86">
        <v>0</v>
      </c>
      <c r="J71" s="86">
        <v>0</v>
      </c>
      <c r="K71" s="86">
        <v>0.5</v>
      </c>
      <c r="L71" s="86">
        <v>0.5</v>
      </c>
      <c r="M71" s="86">
        <v>0.5</v>
      </c>
      <c r="N71" s="86">
        <v>0.5</v>
      </c>
      <c r="O71" s="86">
        <v>0.5</v>
      </c>
      <c r="P71" s="73">
        <v>0.5</v>
      </c>
      <c r="Q71" s="86">
        <v>0</v>
      </c>
      <c r="R71" s="74">
        <v>1</v>
      </c>
    </row>
    <row r="72" spans="1:18" ht="15" customHeight="1" x14ac:dyDescent="0.15">
      <c r="F72" s="201" t="s">
        <v>258</v>
      </c>
      <c r="G72" s="86">
        <v>0</v>
      </c>
      <c r="H72" s="86">
        <v>0</v>
      </c>
      <c r="I72" s="86">
        <v>0</v>
      </c>
      <c r="J72" s="86">
        <v>0</v>
      </c>
      <c r="K72" s="86">
        <v>0.5</v>
      </c>
      <c r="L72" s="86">
        <v>0.5</v>
      </c>
      <c r="M72" s="86">
        <v>0.5</v>
      </c>
      <c r="N72" s="86">
        <v>0.5</v>
      </c>
      <c r="O72" s="86">
        <v>0.5</v>
      </c>
      <c r="P72" s="73">
        <v>0.5</v>
      </c>
      <c r="Q72" s="86">
        <v>0</v>
      </c>
      <c r="R72" s="74">
        <v>1</v>
      </c>
    </row>
    <row r="73" spans="1:18" ht="15" customHeight="1" x14ac:dyDescent="0.15">
      <c r="F73" s="201" t="s">
        <v>259</v>
      </c>
      <c r="G73" s="86">
        <v>0</v>
      </c>
      <c r="H73" s="86">
        <v>0</v>
      </c>
      <c r="I73" s="86">
        <v>0</v>
      </c>
      <c r="J73" s="86">
        <v>0</v>
      </c>
      <c r="K73" s="86">
        <v>0.5</v>
      </c>
      <c r="L73" s="86">
        <v>0.5</v>
      </c>
      <c r="M73" s="86">
        <v>0.5</v>
      </c>
      <c r="N73" s="86">
        <v>0.5</v>
      </c>
      <c r="O73" s="86">
        <v>0.5</v>
      </c>
      <c r="P73" s="73">
        <v>0.5</v>
      </c>
      <c r="Q73" s="86">
        <v>0</v>
      </c>
      <c r="R73" s="74">
        <v>1</v>
      </c>
    </row>
    <row r="74" spans="1:18" ht="15" customHeight="1" x14ac:dyDescent="0.15">
      <c r="F74" s="201" t="s">
        <v>260</v>
      </c>
      <c r="G74" s="86">
        <v>0</v>
      </c>
      <c r="H74" s="86">
        <v>0</v>
      </c>
      <c r="I74" s="86">
        <v>0</v>
      </c>
      <c r="J74" s="86">
        <v>0</v>
      </c>
      <c r="K74" s="86">
        <v>0.5</v>
      </c>
      <c r="L74" s="86">
        <v>0.5</v>
      </c>
      <c r="M74" s="86">
        <v>0.5</v>
      </c>
      <c r="N74" s="86">
        <v>0.5</v>
      </c>
      <c r="O74" s="86">
        <v>0.5</v>
      </c>
      <c r="P74" s="73">
        <v>0.5</v>
      </c>
      <c r="Q74" s="86">
        <v>0</v>
      </c>
      <c r="R74" s="74">
        <v>1</v>
      </c>
    </row>
    <row r="75" spans="1:18" ht="15" customHeight="1" x14ac:dyDescent="0.15">
      <c r="F75" s="201" t="s">
        <v>261</v>
      </c>
      <c r="G75" s="86">
        <v>0</v>
      </c>
      <c r="H75" s="86">
        <v>0</v>
      </c>
      <c r="I75" s="86">
        <v>0</v>
      </c>
      <c r="J75" s="86">
        <v>0</v>
      </c>
      <c r="K75" s="86">
        <v>1</v>
      </c>
      <c r="L75" s="86">
        <v>0</v>
      </c>
      <c r="M75" s="86">
        <v>1</v>
      </c>
      <c r="N75" s="86">
        <v>0</v>
      </c>
      <c r="O75" s="86">
        <v>1</v>
      </c>
      <c r="P75" s="73">
        <v>0</v>
      </c>
      <c r="Q75" s="86">
        <v>0</v>
      </c>
      <c r="R75" s="74">
        <v>1</v>
      </c>
    </row>
    <row r="76" spans="1:18" ht="15" customHeight="1" x14ac:dyDescent="0.15">
      <c r="A76" s="86"/>
      <c r="F76" s="201" t="s">
        <v>262</v>
      </c>
      <c r="G76" s="86">
        <v>0</v>
      </c>
      <c r="H76" s="86">
        <v>0</v>
      </c>
      <c r="I76" s="86">
        <v>0</v>
      </c>
      <c r="J76" s="86">
        <v>0</v>
      </c>
      <c r="K76" s="86">
        <v>0</v>
      </c>
      <c r="L76" s="86">
        <v>0</v>
      </c>
      <c r="M76" s="86">
        <v>1</v>
      </c>
      <c r="N76" s="86">
        <v>0</v>
      </c>
      <c r="O76" s="86">
        <v>0</v>
      </c>
      <c r="P76" s="73">
        <v>0</v>
      </c>
      <c r="Q76" s="86">
        <v>0</v>
      </c>
      <c r="R76" s="74">
        <v>1</v>
      </c>
    </row>
    <row r="77" spans="1:18" ht="15" customHeight="1" x14ac:dyDescent="0.15">
      <c r="A77" s="86"/>
      <c r="F77" s="201" t="s">
        <v>263</v>
      </c>
      <c r="G77" s="86">
        <v>0</v>
      </c>
      <c r="H77" s="86">
        <v>0</v>
      </c>
      <c r="I77" s="86">
        <v>0</v>
      </c>
      <c r="J77" s="86">
        <v>0</v>
      </c>
      <c r="K77" s="86">
        <v>1</v>
      </c>
      <c r="L77" s="86">
        <v>0</v>
      </c>
      <c r="M77" s="86">
        <v>1</v>
      </c>
      <c r="N77" s="86">
        <v>0</v>
      </c>
      <c r="O77" s="86">
        <v>1</v>
      </c>
      <c r="P77" s="73">
        <v>0</v>
      </c>
      <c r="Q77" s="86">
        <v>0</v>
      </c>
      <c r="R77" s="74">
        <v>1</v>
      </c>
    </row>
    <row r="78" spans="1:18" ht="15" customHeight="1" x14ac:dyDescent="0.15">
      <c r="A78" s="86"/>
      <c r="F78" s="201" t="s">
        <v>264</v>
      </c>
      <c r="G78" s="86">
        <v>0</v>
      </c>
      <c r="H78" s="86">
        <v>0</v>
      </c>
      <c r="I78" s="86">
        <v>0</v>
      </c>
      <c r="J78" s="86">
        <v>0</v>
      </c>
      <c r="K78" s="86">
        <v>0.5</v>
      </c>
      <c r="L78" s="86">
        <v>0.5</v>
      </c>
      <c r="M78" s="86">
        <v>0.5</v>
      </c>
      <c r="N78" s="86">
        <v>0.5</v>
      </c>
      <c r="O78" s="86">
        <v>0.5</v>
      </c>
      <c r="P78" s="73">
        <v>0.5</v>
      </c>
      <c r="Q78" s="86">
        <v>0</v>
      </c>
      <c r="R78" s="74">
        <v>1</v>
      </c>
    </row>
    <row r="79" spans="1:18" ht="15" customHeight="1" x14ac:dyDescent="0.15">
      <c r="A79" s="86"/>
      <c r="F79" s="201" t="s">
        <v>265</v>
      </c>
      <c r="G79" s="86">
        <v>0</v>
      </c>
      <c r="H79" s="86">
        <v>0</v>
      </c>
      <c r="I79" s="86">
        <v>0</v>
      </c>
      <c r="J79" s="86">
        <v>0</v>
      </c>
      <c r="K79" s="86">
        <v>0.5</v>
      </c>
      <c r="L79" s="86">
        <v>0.5</v>
      </c>
      <c r="M79" s="86">
        <v>0.5</v>
      </c>
      <c r="N79" s="86">
        <v>0.5</v>
      </c>
      <c r="O79" s="86">
        <v>0.5</v>
      </c>
      <c r="P79" s="73">
        <v>0.5</v>
      </c>
      <c r="Q79" s="86">
        <v>0</v>
      </c>
      <c r="R79" s="74">
        <v>1</v>
      </c>
    </row>
    <row r="80" spans="1:18" ht="15" customHeight="1" x14ac:dyDescent="0.15">
      <c r="A80" s="86"/>
      <c r="F80" s="201" t="s">
        <v>266</v>
      </c>
      <c r="G80" s="86">
        <v>0</v>
      </c>
      <c r="H80" s="86">
        <v>0</v>
      </c>
      <c r="I80" s="86">
        <v>0</v>
      </c>
      <c r="J80" s="86">
        <v>0</v>
      </c>
      <c r="K80" s="86">
        <v>0.5</v>
      </c>
      <c r="L80" s="86">
        <v>0.5</v>
      </c>
      <c r="M80" s="86">
        <v>0.5</v>
      </c>
      <c r="N80" s="86">
        <v>0.5</v>
      </c>
      <c r="O80" s="86">
        <v>0.5</v>
      </c>
      <c r="P80" s="73">
        <v>0.5</v>
      </c>
      <c r="Q80" s="86">
        <v>0</v>
      </c>
      <c r="R80" s="74">
        <v>1</v>
      </c>
    </row>
    <row r="81" spans="1:18" ht="15" customHeight="1" x14ac:dyDescent="0.15">
      <c r="A81" s="86"/>
      <c r="F81" s="201" t="s">
        <v>267</v>
      </c>
      <c r="G81" s="86">
        <v>0</v>
      </c>
      <c r="H81" s="86">
        <v>0</v>
      </c>
      <c r="I81" s="86">
        <v>0</v>
      </c>
      <c r="J81" s="86">
        <v>0</v>
      </c>
      <c r="K81" s="86">
        <v>0.5</v>
      </c>
      <c r="L81" s="86">
        <v>0.5</v>
      </c>
      <c r="M81" s="86">
        <v>0.5</v>
      </c>
      <c r="N81" s="86">
        <v>0.5</v>
      </c>
      <c r="O81" s="86">
        <v>0.5</v>
      </c>
      <c r="P81" s="73">
        <v>0.5</v>
      </c>
      <c r="Q81" s="86">
        <v>0</v>
      </c>
      <c r="R81" s="74">
        <v>1</v>
      </c>
    </row>
    <row r="82" spans="1:18" ht="15" customHeight="1" x14ac:dyDescent="0.15">
      <c r="A82" s="86"/>
      <c r="F82" s="201" t="s">
        <v>268</v>
      </c>
      <c r="G82" s="86">
        <v>0</v>
      </c>
      <c r="H82" s="86">
        <v>0</v>
      </c>
      <c r="I82" s="86">
        <v>0</v>
      </c>
      <c r="J82" s="86">
        <v>0</v>
      </c>
      <c r="K82" s="86">
        <v>1</v>
      </c>
      <c r="L82" s="86">
        <v>0</v>
      </c>
      <c r="M82" s="86">
        <v>1</v>
      </c>
      <c r="N82" s="86">
        <v>0</v>
      </c>
      <c r="O82" s="86">
        <v>1</v>
      </c>
      <c r="P82" s="73">
        <v>0</v>
      </c>
      <c r="Q82" s="86">
        <v>0</v>
      </c>
      <c r="R82" s="74">
        <v>1</v>
      </c>
    </row>
    <row r="83" spans="1:18" ht="15" customHeight="1" x14ac:dyDescent="0.15">
      <c r="A83" s="86"/>
      <c r="F83" s="201" t="s">
        <v>269</v>
      </c>
      <c r="G83" s="86">
        <v>0</v>
      </c>
      <c r="H83" s="86">
        <v>0</v>
      </c>
      <c r="I83" s="86">
        <v>0</v>
      </c>
      <c r="J83" s="86">
        <v>0</v>
      </c>
      <c r="K83" s="86">
        <v>0.5</v>
      </c>
      <c r="L83" s="86">
        <v>0.5</v>
      </c>
      <c r="M83" s="86">
        <v>0.5</v>
      </c>
      <c r="N83" s="86">
        <v>0.5</v>
      </c>
      <c r="O83" s="86">
        <v>0.5</v>
      </c>
      <c r="P83" s="73">
        <v>0.5</v>
      </c>
      <c r="Q83" s="86">
        <v>0</v>
      </c>
      <c r="R83" s="74">
        <v>1</v>
      </c>
    </row>
    <row r="84" spans="1:18" ht="15" customHeight="1" x14ac:dyDescent="0.15">
      <c r="A84" s="86"/>
      <c r="F84" s="201" t="s">
        <v>270</v>
      </c>
      <c r="G84" s="86">
        <v>0</v>
      </c>
      <c r="H84" s="86">
        <v>0</v>
      </c>
      <c r="I84" s="86">
        <v>0</v>
      </c>
      <c r="J84" s="86">
        <v>0</v>
      </c>
      <c r="K84" s="86">
        <v>0.5</v>
      </c>
      <c r="L84" s="86">
        <v>0.5</v>
      </c>
      <c r="M84" s="86">
        <v>0.5</v>
      </c>
      <c r="N84" s="86">
        <v>0.5</v>
      </c>
      <c r="O84" s="86">
        <v>0.5</v>
      </c>
      <c r="P84" s="73">
        <v>0.5</v>
      </c>
      <c r="Q84" s="86">
        <v>0</v>
      </c>
      <c r="R84" s="74">
        <v>1</v>
      </c>
    </row>
    <row r="85" spans="1:18" ht="15" customHeight="1" x14ac:dyDescent="0.15">
      <c r="A85" s="86"/>
      <c r="F85" s="201" t="s">
        <v>271</v>
      </c>
      <c r="G85" s="86">
        <v>0</v>
      </c>
      <c r="H85" s="86">
        <v>0</v>
      </c>
      <c r="I85" s="86">
        <v>0</v>
      </c>
      <c r="J85" s="86">
        <v>0</v>
      </c>
      <c r="K85" s="86">
        <v>0.5</v>
      </c>
      <c r="L85" s="86">
        <v>0.5</v>
      </c>
      <c r="M85" s="86">
        <v>0.5</v>
      </c>
      <c r="N85" s="86">
        <v>0.5</v>
      </c>
      <c r="O85" s="86">
        <v>0.5</v>
      </c>
      <c r="P85" s="73">
        <v>0.5</v>
      </c>
      <c r="Q85" s="86">
        <v>0</v>
      </c>
      <c r="R85" s="74">
        <v>1</v>
      </c>
    </row>
    <row r="86" spans="1:18" ht="15" customHeight="1" x14ac:dyDescent="0.15">
      <c r="A86" s="86"/>
      <c r="F86" s="201" t="s">
        <v>272</v>
      </c>
      <c r="G86" s="86">
        <v>0</v>
      </c>
      <c r="H86" s="86">
        <v>0</v>
      </c>
      <c r="I86" s="86">
        <v>0</v>
      </c>
      <c r="J86" s="86">
        <v>0</v>
      </c>
      <c r="K86" s="86">
        <v>0.5</v>
      </c>
      <c r="L86" s="86">
        <v>0.5</v>
      </c>
      <c r="M86" s="86">
        <v>0.5</v>
      </c>
      <c r="N86" s="86">
        <v>0.5</v>
      </c>
      <c r="O86" s="86">
        <v>0.5</v>
      </c>
      <c r="P86" s="73">
        <v>0.5</v>
      </c>
      <c r="Q86" s="86">
        <v>0</v>
      </c>
      <c r="R86" s="74">
        <v>1</v>
      </c>
    </row>
    <row r="87" spans="1:18" ht="15" customHeight="1" x14ac:dyDescent="0.15">
      <c r="A87" s="86"/>
      <c r="F87" s="201" t="s">
        <v>273</v>
      </c>
      <c r="G87" s="86">
        <v>0</v>
      </c>
      <c r="H87" s="86">
        <v>0</v>
      </c>
      <c r="I87" s="86">
        <v>0</v>
      </c>
      <c r="J87" s="86">
        <v>0</v>
      </c>
      <c r="K87" s="86">
        <v>0.5</v>
      </c>
      <c r="L87" s="86">
        <v>0.5</v>
      </c>
      <c r="M87" s="86">
        <v>0.5</v>
      </c>
      <c r="N87" s="86">
        <v>0.5</v>
      </c>
      <c r="O87" s="86">
        <v>0.5</v>
      </c>
      <c r="P87" s="73">
        <v>0.5</v>
      </c>
      <c r="Q87" s="86">
        <v>0</v>
      </c>
      <c r="R87" s="74">
        <v>1</v>
      </c>
    </row>
    <row r="88" spans="1:18" ht="15" customHeight="1" x14ac:dyDescent="0.15">
      <c r="A88" s="86"/>
      <c r="F88" s="201" t="s">
        <v>274</v>
      </c>
      <c r="G88" s="86">
        <v>0</v>
      </c>
      <c r="H88" s="86">
        <v>0</v>
      </c>
      <c r="I88" s="86">
        <v>0</v>
      </c>
      <c r="J88" s="86">
        <v>0</v>
      </c>
      <c r="K88" s="86">
        <v>1</v>
      </c>
      <c r="L88" s="86">
        <v>0</v>
      </c>
      <c r="M88" s="86">
        <v>1</v>
      </c>
      <c r="N88" s="86">
        <v>0</v>
      </c>
      <c r="O88" s="86">
        <v>1</v>
      </c>
      <c r="P88" s="73">
        <v>0</v>
      </c>
      <c r="Q88" s="86">
        <v>0</v>
      </c>
      <c r="R88" s="74">
        <v>1</v>
      </c>
    </row>
    <row r="89" spans="1:18" ht="15" customHeight="1" x14ac:dyDescent="0.15">
      <c r="A89" s="86"/>
      <c r="F89" s="201" t="s">
        <v>275</v>
      </c>
      <c r="G89" s="86">
        <v>0</v>
      </c>
      <c r="H89" s="86">
        <v>0</v>
      </c>
      <c r="I89" s="86">
        <v>0</v>
      </c>
      <c r="J89" s="86">
        <v>0</v>
      </c>
      <c r="K89" s="86">
        <v>1</v>
      </c>
      <c r="L89" s="86">
        <v>0</v>
      </c>
      <c r="M89" s="86">
        <v>1</v>
      </c>
      <c r="N89" s="86">
        <v>0</v>
      </c>
      <c r="O89" s="86">
        <v>1</v>
      </c>
      <c r="P89" s="73">
        <v>0</v>
      </c>
      <c r="Q89" s="86">
        <v>0</v>
      </c>
      <c r="R89" s="74">
        <v>1</v>
      </c>
    </row>
    <row r="90" spans="1:18" ht="15" customHeight="1" x14ac:dyDescent="0.15">
      <c r="A90" s="86"/>
      <c r="F90" s="201" t="s">
        <v>276</v>
      </c>
      <c r="G90" s="86">
        <v>0</v>
      </c>
      <c r="H90" s="86">
        <v>0</v>
      </c>
      <c r="I90" s="86">
        <v>0</v>
      </c>
      <c r="J90" s="86">
        <v>0</v>
      </c>
      <c r="K90" s="86">
        <v>1</v>
      </c>
      <c r="L90" s="86">
        <v>0</v>
      </c>
      <c r="M90" s="86">
        <v>1</v>
      </c>
      <c r="N90" s="86">
        <v>0</v>
      </c>
      <c r="O90" s="86">
        <v>1</v>
      </c>
      <c r="P90" s="73">
        <v>0</v>
      </c>
      <c r="Q90" s="86">
        <v>0</v>
      </c>
      <c r="R90" s="74">
        <v>1</v>
      </c>
    </row>
    <row r="91" spans="1:18" ht="15" customHeight="1" x14ac:dyDescent="0.15">
      <c r="A91" s="86"/>
      <c r="F91" s="201" t="s">
        <v>277</v>
      </c>
      <c r="G91" s="86">
        <v>0</v>
      </c>
      <c r="H91" s="86">
        <v>0</v>
      </c>
      <c r="I91" s="86">
        <v>0</v>
      </c>
      <c r="J91" s="86">
        <v>0</v>
      </c>
      <c r="K91" s="86">
        <v>1</v>
      </c>
      <c r="L91" s="86">
        <v>0</v>
      </c>
      <c r="M91" s="86">
        <v>1</v>
      </c>
      <c r="N91" s="86">
        <v>0</v>
      </c>
      <c r="O91" s="86">
        <v>1</v>
      </c>
      <c r="P91" s="73">
        <v>0</v>
      </c>
      <c r="Q91" s="86">
        <v>0</v>
      </c>
      <c r="R91" s="74">
        <v>1</v>
      </c>
    </row>
    <row r="92" spans="1:18" ht="15" customHeight="1" x14ac:dyDescent="0.15">
      <c r="A92" s="86"/>
      <c r="F92" s="201" t="s">
        <v>278</v>
      </c>
      <c r="G92" s="86">
        <v>0</v>
      </c>
      <c r="H92" s="86">
        <v>0</v>
      </c>
      <c r="I92" s="86">
        <v>0</v>
      </c>
      <c r="J92" s="86">
        <v>0</v>
      </c>
      <c r="K92" s="86">
        <v>1</v>
      </c>
      <c r="L92" s="86">
        <v>0</v>
      </c>
      <c r="M92" s="86">
        <v>1</v>
      </c>
      <c r="N92" s="86">
        <v>0</v>
      </c>
      <c r="O92" s="86">
        <v>1</v>
      </c>
      <c r="P92" s="73">
        <v>0</v>
      </c>
      <c r="Q92" s="86">
        <v>0</v>
      </c>
      <c r="R92" s="74">
        <v>1</v>
      </c>
    </row>
    <row r="93" spans="1:18" ht="15" customHeight="1" x14ac:dyDescent="0.15">
      <c r="A93" s="86"/>
      <c r="F93" s="201" t="s">
        <v>279</v>
      </c>
      <c r="G93" s="86">
        <v>0</v>
      </c>
      <c r="H93" s="86">
        <v>0</v>
      </c>
      <c r="I93" s="86">
        <v>0</v>
      </c>
      <c r="J93" s="86">
        <v>0</v>
      </c>
      <c r="K93" s="86">
        <v>1</v>
      </c>
      <c r="L93" s="86">
        <v>0</v>
      </c>
      <c r="M93" s="86">
        <v>1</v>
      </c>
      <c r="N93" s="86">
        <v>0</v>
      </c>
      <c r="O93" s="86">
        <v>1</v>
      </c>
      <c r="P93" s="73">
        <v>0</v>
      </c>
      <c r="Q93" s="86">
        <v>0</v>
      </c>
      <c r="R93" s="74">
        <v>1</v>
      </c>
    </row>
    <row r="94" spans="1:18" ht="15" customHeight="1" x14ac:dyDescent="0.15">
      <c r="A94" s="86"/>
      <c r="F94" s="201" t="s">
        <v>280</v>
      </c>
      <c r="G94" s="86">
        <v>0</v>
      </c>
      <c r="H94" s="86">
        <v>0</v>
      </c>
      <c r="I94" s="86">
        <v>0</v>
      </c>
      <c r="J94" s="86">
        <v>0</v>
      </c>
      <c r="K94" s="86">
        <v>1</v>
      </c>
      <c r="L94" s="86">
        <v>0</v>
      </c>
      <c r="M94" s="86">
        <v>1</v>
      </c>
      <c r="N94" s="86">
        <v>0</v>
      </c>
      <c r="O94" s="86">
        <v>1</v>
      </c>
      <c r="P94" s="73">
        <v>0</v>
      </c>
      <c r="Q94" s="86">
        <v>0</v>
      </c>
      <c r="R94" s="74">
        <v>1</v>
      </c>
    </row>
    <row r="95" spans="1:18" ht="15" customHeight="1" x14ac:dyDescent="0.15">
      <c r="A95" s="86"/>
      <c r="F95" s="201" t="s">
        <v>281</v>
      </c>
      <c r="G95" s="86">
        <v>0</v>
      </c>
      <c r="H95" s="86">
        <v>0</v>
      </c>
      <c r="I95" s="86">
        <v>0</v>
      </c>
      <c r="J95" s="86">
        <v>0</v>
      </c>
      <c r="K95" s="86">
        <v>1</v>
      </c>
      <c r="L95" s="86">
        <v>0</v>
      </c>
      <c r="M95" s="86">
        <v>1</v>
      </c>
      <c r="N95" s="86">
        <v>0</v>
      </c>
      <c r="O95" s="86">
        <v>1</v>
      </c>
      <c r="P95" s="73">
        <v>0</v>
      </c>
      <c r="Q95" s="86">
        <v>0</v>
      </c>
      <c r="R95" s="74">
        <v>1</v>
      </c>
    </row>
    <row r="96" spans="1:18" ht="15" customHeight="1" x14ac:dyDescent="0.15">
      <c r="A96" s="86"/>
      <c r="F96" s="201" t="s">
        <v>282</v>
      </c>
      <c r="G96" s="86">
        <v>0</v>
      </c>
      <c r="H96" s="86">
        <v>0</v>
      </c>
      <c r="I96" s="86">
        <v>0</v>
      </c>
      <c r="J96" s="86">
        <v>0</v>
      </c>
      <c r="K96" s="86">
        <v>1</v>
      </c>
      <c r="L96" s="86">
        <v>0</v>
      </c>
      <c r="M96" s="86">
        <v>1</v>
      </c>
      <c r="N96" s="86">
        <v>0</v>
      </c>
      <c r="O96" s="86">
        <v>1</v>
      </c>
      <c r="P96" s="73">
        <v>0</v>
      </c>
      <c r="Q96" s="86">
        <v>0</v>
      </c>
      <c r="R96" s="74">
        <v>1</v>
      </c>
    </row>
    <row r="97" spans="1:18" ht="15" customHeight="1" x14ac:dyDescent="0.15">
      <c r="A97" s="86"/>
      <c r="F97" s="201" t="s">
        <v>283</v>
      </c>
      <c r="G97" s="86">
        <v>0</v>
      </c>
      <c r="H97" s="86">
        <v>0</v>
      </c>
      <c r="I97" s="86">
        <v>0</v>
      </c>
      <c r="J97" s="86">
        <v>0</v>
      </c>
      <c r="K97" s="86">
        <v>1</v>
      </c>
      <c r="L97" s="86">
        <v>0</v>
      </c>
      <c r="M97" s="86">
        <v>1</v>
      </c>
      <c r="N97" s="86">
        <v>0</v>
      </c>
      <c r="O97" s="86">
        <v>1</v>
      </c>
      <c r="P97" s="73">
        <v>0</v>
      </c>
      <c r="Q97" s="86">
        <v>0</v>
      </c>
      <c r="R97" s="74">
        <v>1</v>
      </c>
    </row>
    <row r="98" spans="1:18" ht="15" customHeight="1" x14ac:dyDescent="0.15">
      <c r="A98" s="86"/>
      <c r="F98" s="201" t="s">
        <v>284</v>
      </c>
      <c r="G98" s="86">
        <v>0</v>
      </c>
      <c r="H98" s="86">
        <v>0</v>
      </c>
      <c r="I98" s="86">
        <v>0</v>
      </c>
      <c r="J98" s="86">
        <v>0</v>
      </c>
      <c r="K98" s="86">
        <v>0</v>
      </c>
      <c r="L98" s="86">
        <v>0</v>
      </c>
      <c r="M98" s="86">
        <v>1</v>
      </c>
      <c r="N98" s="86">
        <v>0</v>
      </c>
      <c r="O98" s="86">
        <v>0</v>
      </c>
      <c r="P98" s="73">
        <v>0</v>
      </c>
      <c r="Q98" s="86">
        <v>0</v>
      </c>
      <c r="R98" s="74">
        <v>1</v>
      </c>
    </row>
    <row r="99" spans="1:18" ht="15" customHeight="1" x14ac:dyDescent="0.15">
      <c r="A99" s="86"/>
      <c r="F99" s="201" t="s">
        <v>285</v>
      </c>
      <c r="G99" s="86">
        <v>0</v>
      </c>
      <c r="H99" s="86">
        <v>0</v>
      </c>
      <c r="I99" s="86">
        <v>0</v>
      </c>
      <c r="J99" s="86">
        <v>0</v>
      </c>
      <c r="K99" s="86">
        <v>0</v>
      </c>
      <c r="L99" s="86">
        <v>0</v>
      </c>
      <c r="M99" s="86">
        <v>1</v>
      </c>
      <c r="N99" s="86">
        <v>0</v>
      </c>
      <c r="O99" s="86">
        <v>0</v>
      </c>
      <c r="P99" s="73">
        <v>0</v>
      </c>
      <c r="Q99" s="86">
        <v>0</v>
      </c>
      <c r="R99" s="74">
        <v>1</v>
      </c>
    </row>
    <row r="100" spans="1:18" ht="15" customHeight="1" x14ac:dyDescent="0.15">
      <c r="A100" s="86"/>
      <c r="F100" s="201" t="s">
        <v>286</v>
      </c>
      <c r="G100" s="86">
        <v>0</v>
      </c>
      <c r="H100" s="86">
        <v>0</v>
      </c>
      <c r="I100" s="86">
        <v>0</v>
      </c>
      <c r="J100" s="86">
        <v>0</v>
      </c>
      <c r="K100" s="86">
        <v>0</v>
      </c>
      <c r="L100" s="86">
        <v>0</v>
      </c>
      <c r="M100" s="86">
        <v>1</v>
      </c>
      <c r="N100" s="86">
        <v>0</v>
      </c>
      <c r="O100" s="86">
        <v>0</v>
      </c>
      <c r="P100" s="73">
        <v>0</v>
      </c>
      <c r="Q100" s="86">
        <v>0</v>
      </c>
      <c r="R100" s="74">
        <v>1</v>
      </c>
    </row>
    <row r="101" spans="1:18" ht="15" customHeight="1" x14ac:dyDescent="0.15">
      <c r="A101" s="86"/>
      <c r="F101" s="201" t="s">
        <v>287</v>
      </c>
      <c r="G101" s="86">
        <v>0</v>
      </c>
      <c r="H101" s="86">
        <v>0</v>
      </c>
      <c r="I101" s="86">
        <v>0</v>
      </c>
      <c r="J101" s="86">
        <v>0</v>
      </c>
      <c r="K101" s="86">
        <v>0</v>
      </c>
      <c r="L101" s="86">
        <v>0</v>
      </c>
      <c r="M101" s="86">
        <v>1</v>
      </c>
      <c r="N101" s="86">
        <v>0</v>
      </c>
      <c r="O101" s="86">
        <v>0</v>
      </c>
      <c r="P101" s="73">
        <v>0</v>
      </c>
      <c r="Q101" s="86">
        <v>0</v>
      </c>
      <c r="R101" s="74">
        <v>1</v>
      </c>
    </row>
    <row r="102" spans="1:18" ht="15" customHeight="1" x14ac:dyDescent="0.15">
      <c r="A102" s="86"/>
      <c r="F102" s="201" t="s">
        <v>288</v>
      </c>
      <c r="G102" s="86">
        <v>0</v>
      </c>
      <c r="H102" s="86">
        <v>0</v>
      </c>
      <c r="I102" s="86">
        <v>0</v>
      </c>
      <c r="J102" s="86">
        <v>0</v>
      </c>
      <c r="K102" s="86">
        <v>0</v>
      </c>
      <c r="L102" s="86">
        <v>1</v>
      </c>
      <c r="M102" s="86">
        <v>0</v>
      </c>
      <c r="N102" s="86">
        <v>1</v>
      </c>
      <c r="O102" s="86">
        <v>0</v>
      </c>
      <c r="P102" s="73">
        <v>1</v>
      </c>
      <c r="Q102" s="86">
        <v>0</v>
      </c>
      <c r="R102" s="74">
        <v>1</v>
      </c>
    </row>
    <row r="103" spans="1:18" ht="15" customHeight="1" x14ac:dyDescent="0.15">
      <c r="A103" s="86"/>
      <c r="F103" s="201" t="s">
        <v>289</v>
      </c>
      <c r="G103" s="86">
        <v>0</v>
      </c>
      <c r="H103" s="86">
        <v>0</v>
      </c>
      <c r="I103" s="86">
        <v>0</v>
      </c>
      <c r="J103" s="86">
        <v>0</v>
      </c>
      <c r="K103" s="86">
        <v>0</v>
      </c>
      <c r="L103" s="86">
        <v>1</v>
      </c>
      <c r="M103" s="86">
        <v>0</v>
      </c>
      <c r="N103" s="86">
        <v>1</v>
      </c>
      <c r="O103" s="86">
        <v>0</v>
      </c>
      <c r="P103" s="73">
        <v>1</v>
      </c>
      <c r="Q103" s="86">
        <v>0</v>
      </c>
      <c r="R103" s="74">
        <v>1</v>
      </c>
    </row>
    <row r="104" spans="1:18" ht="15" customHeight="1" x14ac:dyDescent="0.15">
      <c r="A104" s="86"/>
      <c r="F104" s="201" t="s">
        <v>290</v>
      </c>
      <c r="G104" s="86">
        <v>0</v>
      </c>
      <c r="H104" s="86">
        <v>0</v>
      </c>
      <c r="I104" s="86">
        <v>0</v>
      </c>
      <c r="J104" s="86">
        <v>0</v>
      </c>
      <c r="K104" s="86">
        <v>0</v>
      </c>
      <c r="L104" s="86">
        <v>1</v>
      </c>
      <c r="M104" s="86">
        <v>0</v>
      </c>
      <c r="N104" s="86">
        <v>1</v>
      </c>
      <c r="O104" s="86">
        <v>0</v>
      </c>
      <c r="P104" s="73">
        <v>1</v>
      </c>
      <c r="Q104" s="86">
        <v>0</v>
      </c>
      <c r="R104" s="74">
        <v>1</v>
      </c>
    </row>
    <row r="105" spans="1:18" ht="15" customHeight="1" x14ac:dyDescent="0.15">
      <c r="A105" s="86"/>
      <c r="F105" s="201" t="s">
        <v>291</v>
      </c>
      <c r="G105" s="86">
        <v>0</v>
      </c>
      <c r="H105" s="86">
        <v>0</v>
      </c>
      <c r="I105" s="86">
        <v>0</v>
      </c>
      <c r="J105" s="86">
        <v>0</v>
      </c>
      <c r="K105" s="86">
        <v>0</v>
      </c>
      <c r="L105" s="86">
        <v>1</v>
      </c>
      <c r="M105" s="86">
        <v>0</v>
      </c>
      <c r="N105" s="86">
        <v>0</v>
      </c>
      <c r="O105" s="86">
        <v>0</v>
      </c>
      <c r="P105" s="73">
        <v>0</v>
      </c>
      <c r="Q105" s="86">
        <v>0</v>
      </c>
      <c r="R105" s="74">
        <v>1</v>
      </c>
    </row>
    <row r="106" spans="1:18" ht="15" customHeight="1" x14ac:dyDescent="0.15">
      <c r="F106" s="201" t="s">
        <v>292</v>
      </c>
      <c r="G106" s="86">
        <v>0</v>
      </c>
      <c r="H106" s="86">
        <v>0</v>
      </c>
      <c r="I106" s="86">
        <v>0</v>
      </c>
      <c r="J106" s="86">
        <v>0</v>
      </c>
      <c r="K106" s="86">
        <v>0</v>
      </c>
      <c r="L106" s="86">
        <v>1</v>
      </c>
      <c r="M106" s="86">
        <v>0</v>
      </c>
      <c r="N106" s="86">
        <v>0</v>
      </c>
      <c r="O106" s="86">
        <v>0</v>
      </c>
      <c r="P106" s="73">
        <v>0</v>
      </c>
      <c r="Q106" s="86">
        <v>0</v>
      </c>
      <c r="R106" s="74">
        <v>1</v>
      </c>
    </row>
    <row r="107" spans="1:18" ht="15" customHeight="1" x14ac:dyDescent="0.15">
      <c r="F107" s="201" t="s">
        <v>293</v>
      </c>
      <c r="G107" s="86">
        <v>0</v>
      </c>
      <c r="H107" s="86">
        <v>0</v>
      </c>
      <c r="I107" s="86">
        <v>0</v>
      </c>
      <c r="J107" s="86">
        <v>0</v>
      </c>
      <c r="K107" s="86">
        <v>0</v>
      </c>
      <c r="L107" s="86">
        <v>1</v>
      </c>
      <c r="M107" s="86">
        <v>0</v>
      </c>
      <c r="N107" s="86">
        <v>0</v>
      </c>
      <c r="O107" s="86">
        <v>0</v>
      </c>
      <c r="P107" s="73">
        <v>0</v>
      </c>
      <c r="Q107" s="86">
        <v>0</v>
      </c>
      <c r="R107" s="74">
        <v>1</v>
      </c>
    </row>
    <row r="108" spans="1:18" ht="15" customHeight="1" x14ac:dyDescent="0.15">
      <c r="F108" s="201" t="s">
        <v>294</v>
      </c>
      <c r="G108" s="86">
        <v>0</v>
      </c>
      <c r="H108" s="86">
        <v>0</v>
      </c>
      <c r="I108" s="86">
        <v>0</v>
      </c>
      <c r="J108" s="86">
        <v>0</v>
      </c>
      <c r="K108" s="86">
        <v>0</v>
      </c>
      <c r="L108" s="86">
        <v>1</v>
      </c>
      <c r="M108" s="86">
        <v>0</v>
      </c>
      <c r="N108" s="86">
        <v>0</v>
      </c>
      <c r="O108" s="86">
        <v>0</v>
      </c>
      <c r="P108" s="73">
        <v>0</v>
      </c>
      <c r="Q108" s="86">
        <v>0</v>
      </c>
      <c r="R108" s="74">
        <v>1</v>
      </c>
    </row>
    <row r="109" spans="1:18" ht="15" customHeight="1" x14ac:dyDescent="0.15">
      <c r="F109" s="201" t="s">
        <v>295</v>
      </c>
      <c r="G109" s="86">
        <v>0</v>
      </c>
      <c r="H109" s="86">
        <v>0</v>
      </c>
      <c r="I109" s="86">
        <v>0</v>
      </c>
      <c r="J109" s="86">
        <v>0</v>
      </c>
      <c r="K109" s="86">
        <v>0</v>
      </c>
      <c r="L109" s="86">
        <v>1</v>
      </c>
      <c r="M109" s="86">
        <v>0</v>
      </c>
      <c r="N109" s="86">
        <v>0</v>
      </c>
      <c r="O109" s="86">
        <v>0</v>
      </c>
      <c r="P109" s="73">
        <v>0</v>
      </c>
      <c r="Q109" s="86">
        <v>0</v>
      </c>
      <c r="R109" s="74">
        <v>1</v>
      </c>
    </row>
    <row r="110" spans="1:18" ht="15" customHeight="1" x14ac:dyDescent="0.15">
      <c r="F110" s="201" t="s">
        <v>296</v>
      </c>
      <c r="G110" s="86">
        <v>0</v>
      </c>
      <c r="H110" s="86">
        <v>0</v>
      </c>
      <c r="I110" s="86">
        <v>0</v>
      </c>
      <c r="J110" s="86">
        <v>0</v>
      </c>
      <c r="K110" s="86">
        <v>0</v>
      </c>
      <c r="L110" s="86">
        <v>1</v>
      </c>
      <c r="M110" s="86">
        <v>0</v>
      </c>
      <c r="N110" s="86">
        <v>0</v>
      </c>
      <c r="O110" s="86">
        <v>0</v>
      </c>
      <c r="P110" s="73">
        <v>0</v>
      </c>
      <c r="Q110" s="86">
        <v>0</v>
      </c>
      <c r="R110" s="74">
        <v>1</v>
      </c>
    </row>
    <row r="111" spans="1:18" ht="15" customHeight="1" x14ac:dyDescent="0.15">
      <c r="F111" s="201" t="s">
        <v>297</v>
      </c>
      <c r="G111" s="86">
        <v>0</v>
      </c>
      <c r="H111" s="86">
        <v>0</v>
      </c>
      <c r="I111" s="86">
        <v>0</v>
      </c>
      <c r="J111" s="86">
        <v>0</v>
      </c>
      <c r="K111" s="86">
        <v>0</v>
      </c>
      <c r="L111" s="86">
        <v>1</v>
      </c>
      <c r="M111" s="86">
        <v>0</v>
      </c>
      <c r="N111" s="86">
        <v>0</v>
      </c>
      <c r="O111" s="86">
        <v>0</v>
      </c>
      <c r="P111" s="73">
        <v>0</v>
      </c>
      <c r="Q111" s="86">
        <v>0</v>
      </c>
      <c r="R111" s="74">
        <v>1</v>
      </c>
    </row>
    <row r="112" spans="1:18" ht="15" customHeight="1" x14ac:dyDescent="0.15">
      <c r="F112" s="201" t="s">
        <v>298</v>
      </c>
      <c r="G112" s="86">
        <v>0</v>
      </c>
      <c r="H112" s="86">
        <v>0</v>
      </c>
      <c r="I112" s="86">
        <v>0</v>
      </c>
      <c r="J112" s="86">
        <v>0</v>
      </c>
      <c r="K112" s="86">
        <v>0</v>
      </c>
      <c r="L112" s="86">
        <v>1</v>
      </c>
      <c r="M112" s="86">
        <v>0</v>
      </c>
      <c r="N112" s="86">
        <v>0</v>
      </c>
      <c r="O112" s="86">
        <v>0</v>
      </c>
      <c r="P112" s="73">
        <v>0</v>
      </c>
      <c r="Q112" s="86">
        <v>0</v>
      </c>
      <c r="R112" s="74">
        <v>1</v>
      </c>
    </row>
    <row r="113" spans="6:18" s="86" customFormat="1" ht="15" customHeight="1" x14ac:dyDescent="0.15">
      <c r="F113" s="201" t="s">
        <v>299</v>
      </c>
      <c r="G113" s="86">
        <v>0</v>
      </c>
      <c r="H113" s="86">
        <v>0</v>
      </c>
      <c r="I113" s="86">
        <v>0</v>
      </c>
      <c r="J113" s="86">
        <v>0</v>
      </c>
      <c r="K113" s="86">
        <v>0</v>
      </c>
      <c r="L113" s="86">
        <v>1</v>
      </c>
      <c r="M113" s="86">
        <v>0</v>
      </c>
      <c r="N113" s="86">
        <v>0</v>
      </c>
      <c r="O113" s="86">
        <v>0</v>
      </c>
      <c r="P113" s="73">
        <v>0</v>
      </c>
      <c r="Q113" s="86">
        <v>0</v>
      </c>
      <c r="R113" s="74">
        <v>1</v>
      </c>
    </row>
    <row r="114" spans="6:18" s="86" customFormat="1" ht="15" customHeight="1" x14ac:dyDescent="0.15">
      <c r="F114" s="201" t="s">
        <v>300</v>
      </c>
      <c r="G114" s="86">
        <v>0</v>
      </c>
      <c r="H114" s="86">
        <v>0</v>
      </c>
      <c r="I114" s="86">
        <v>0</v>
      </c>
      <c r="J114" s="86">
        <v>0</v>
      </c>
      <c r="K114" s="86">
        <v>0</v>
      </c>
      <c r="L114" s="86">
        <v>1</v>
      </c>
      <c r="M114" s="86">
        <v>0</v>
      </c>
      <c r="N114" s="86">
        <v>0</v>
      </c>
      <c r="O114" s="86">
        <v>0</v>
      </c>
      <c r="P114" s="73">
        <v>0</v>
      </c>
      <c r="Q114" s="86">
        <v>0</v>
      </c>
      <c r="R114" s="74">
        <v>1</v>
      </c>
    </row>
    <row r="115" spans="6:18" s="86" customFormat="1" ht="15" customHeight="1" x14ac:dyDescent="0.15">
      <c r="F115" s="201" t="s">
        <v>301</v>
      </c>
      <c r="G115" s="86">
        <v>0</v>
      </c>
      <c r="H115" s="86">
        <v>0</v>
      </c>
      <c r="I115" s="86">
        <v>0</v>
      </c>
      <c r="J115" s="86">
        <v>0</v>
      </c>
      <c r="K115" s="86">
        <v>0</v>
      </c>
      <c r="L115" s="86">
        <v>1</v>
      </c>
      <c r="M115" s="86">
        <v>0</v>
      </c>
      <c r="N115" s="86">
        <v>0</v>
      </c>
      <c r="O115" s="86">
        <v>0</v>
      </c>
      <c r="P115" s="73">
        <v>0</v>
      </c>
      <c r="Q115" s="86">
        <v>0</v>
      </c>
      <c r="R115" s="74">
        <v>1</v>
      </c>
    </row>
    <row r="116" spans="6:18" s="86" customFormat="1" ht="15" customHeight="1" x14ac:dyDescent="0.15">
      <c r="F116" s="201" t="s">
        <v>302</v>
      </c>
      <c r="G116" s="86">
        <v>0</v>
      </c>
      <c r="H116" s="86">
        <v>0</v>
      </c>
      <c r="I116" s="86">
        <v>0</v>
      </c>
      <c r="J116" s="86">
        <v>0</v>
      </c>
      <c r="K116" s="86">
        <v>0</v>
      </c>
      <c r="L116" s="86">
        <v>1</v>
      </c>
      <c r="M116" s="86">
        <v>0</v>
      </c>
      <c r="N116" s="86">
        <v>0</v>
      </c>
      <c r="O116" s="86">
        <v>0</v>
      </c>
      <c r="P116" s="73">
        <v>0</v>
      </c>
      <c r="Q116" s="86">
        <v>0</v>
      </c>
      <c r="R116" s="74">
        <v>1</v>
      </c>
    </row>
    <row r="117" spans="6:18" s="86" customFormat="1" ht="15" customHeight="1" x14ac:dyDescent="0.15">
      <c r="F117" s="201" t="s">
        <v>303</v>
      </c>
      <c r="G117" s="86">
        <v>0</v>
      </c>
      <c r="H117" s="86">
        <v>0</v>
      </c>
      <c r="I117" s="86">
        <v>0</v>
      </c>
      <c r="J117" s="86">
        <v>0</v>
      </c>
      <c r="K117" s="86">
        <v>0</v>
      </c>
      <c r="L117" s="86">
        <v>1</v>
      </c>
      <c r="M117" s="86">
        <v>0</v>
      </c>
      <c r="N117" s="86">
        <v>0</v>
      </c>
      <c r="O117" s="86">
        <v>0</v>
      </c>
      <c r="P117" s="73">
        <v>0</v>
      </c>
      <c r="Q117" s="86">
        <v>0</v>
      </c>
      <c r="R117" s="74">
        <v>1</v>
      </c>
    </row>
    <row r="118" spans="6:18" s="86" customFormat="1" ht="15" customHeight="1" x14ac:dyDescent="0.15">
      <c r="F118" s="201" t="s">
        <v>304</v>
      </c>
      <c r="G118" s="86">
        <v>0</v>
      </c>
      <c r="H118" s="86">
        <v>0</v>
      </c>
      <c r="I118" s="86">
        <v>0</v>
      </c>
      <c r="J118" s="86">
        <v>0</v>
      </c>
      <c r="K118" s="86">
        <v>0</v>
      </c>
      <c r="L118" s="86">
        <v>1</v>
      </c>
      <c r="M118" s="86">
        <v>0</v>
      </c>
      <c r="N118" s="86">
        <v>0</v>
      </c>
      <c r="O118" s="86">
        <v>0</v>
      </c>
      <c r="P118" s="73">
        <v>0</v>
      </c>
      <c r="Q118" s="86">
        <v>0</v>
      </c>
      <c r="R118" s="74">
        <v>1</v>
      </c>
    </row>
    <row r="119" spans="6:18" s="86" customFormat="1" ht="15" customHeight="1" x14ac:dyDescent="0.15">
      <c r="F119" s="201" t="s">
        <v>305</v>
      </c>
      <c r="G119" s="86">
        <v>0</v>
      </c>
      <c r="H119" s="86">
        <v>0</v>
      </c>
      <c r="I119" s="86">
        <v>0</v>
      </c>
      <c r="J119" s="86">
        <v>0</v>
      </c>
      <c r="K119" s="86">
        <v>0</v>
      </c>
      <c r="L119" s="86">
        <v>1</v>
      </c>
      <c r="M119" s="86">
        <v>0</v>
      </c>
      <c r="N119" s="86">
        <v>0</v>
      </c>
      <c r="O119" s="86">
        <v>0</v>
      </c>
      <c r="P119" s="73">
        <v>0</v>
      </c>
      <c r="Q119" s="86">
        <v>0</v>
      </c>
      <c r="R119" s="74">
        <v>1</v>
      </c>
    </row>
    <row r="120" spans="6:18" s="86" customFormat="1" ht="15" customHeight="1" x14ac:dyDescent="0.15">
      <c r="F120" s="201" t="s">
        <v>306</v>
      </c>
      <c r="G120" s="86">
        <v>0</v>
      </c>
      <c r="H120" s="86">
        <v>0</v>
      </c>
      <c r="I120" s="86">
        <v>0</v>
      </c>
      <c r="J120" s="86">
        <v>0</v>
      </c>
      <c r="K120" s="86">
        <v>0</v>
      </c>
      <c r="L120" s="86">
        <v>1</v>
      </c>
      <c r="M120" s="86">
        <v>0</v>
      </c>
      <c r="N120" s="86">
        <v>0</v>
      </c>
      <c r="O120" s="86">
        <v>0</v>
      </c>
      <c r="P120" s="73">
        <v>0</v>
      </c>
      <c r="Q120" s="86">
        <v>0</v>
      </c>
      <c r="R120" s="74">
        <v>1</v>
      </c>
    </row>
    <row r="121" spans="6:18" s="86" customFormat="1" ht="15" customHeight="1" x14ac:dyDescent="0.15">
      <c r="F121" s="201" t="s">
        <v>307</v>
      </c>
      <c r="G121" s="86">
        <v>0</v>
      </c>
      <c r="H121" s="86">
        <v>0</v>
      </c>
      <c r="I121" s="86">
        <v>0</v>
      </c>
      <c r="J121" s="86">
        <v>0</v>
      </c>
      <c r="K121" s="86">
        <v>0</v>
      </c>
      <c r="L121" s="86">
        <v>1</v>
      </c>
      <c r="M121" s="86">
        <v>0</v>
      </c>
      <c r="N121" s="86">
        <v>0</v>
      </c>
      <c r="O121" s="86">
        <v>0</v>
      </c>
      <c r="P121" s="73">
        <v>0</v>
      </c>
      <c r="Q121" s="86">
        <v>0</v>
      </c>
      <c r="R121" s="74">
        <v>1</v>
      </c>
    </row>
    <row r="122" spans="6:18" s="86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6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6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6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6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6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6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6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6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6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6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6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6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6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6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6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6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6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6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6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6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6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6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6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6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6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6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6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6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6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6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6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6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6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6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6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6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6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6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6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6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6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6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6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6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6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6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6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6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6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6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6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6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6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6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6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6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6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6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6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6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6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6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6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6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6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6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DT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1.5" bestFit="1" customWidth="1"/>
    <col min="2" max="2" width="2.33203125" style="115" customWidth="1"/>
    <col min="3" max="5" width="7.83203125" style="115" customWidth="1"/>
    <col min="6" max="8" width="8.83203125" style="6"/>
    <col min="9" max="9" width="10.5" style="6" customWidth="1"/>
    <col min="10" max="10" width="21.5" style="6" customWidth="1"/>
    <col min="11" max="11" width="20.83203125" style="6" customWidth="1"/>
    <col min="12" max="12" width="8.5" style="6" customWidth="1"/>
    <col min="13" max="13" width="5.5" style="6" customWidth="1"/>
    <col min="14" max="14" width="20.33203125" style="6" customWidth="1"/>
    <col min="15" max="15" width="12" style="6" customWidth="1"/>
    <col min="16" max="16" width="13.83203125" style="6" customWidth="1"/>
    <col min="17" max="17" width="10" style="6" customWidth="1"/>
    <col min="18" max="18" width="13.33203125" style="6" customWidth="1"/>
    <col min="19" max="19" width="16.33203125" style="6" customWidth="1"/>
    <col min="20" max="20" width="15.5" style="6" customWidth="1"/>
    <col min="21" max="21" width="13.6640625" style="6" customWidth="1"/>
    <col min="22" max="22" width="16.6640625" style="6" customWidth="1"/>
    <col min="23" max="23" width="15.83203125" style="6" customWidth="1"/>
    <col min="24" max="24" width="20.33203125" style="6" customWidth="1"/>
    <col min="25" max="25" width="23.33203125" style="6" customWidth="1"/>
    <col min="26" max="26" width="22.5" style="6" customWidth="1"/>
    <col min="27" max="27" width="12.5" style="6" customWidth="1"/>
    <col min="28" max="28" width="10" style="6" customWidth="1"/>
    <col min="29" max="29" width="8.83203125" style="6" customWidth="1"/>
    <col min="30" max="30" width="6.6640625" style="6" customWidth="1"/>
    <col min="31" max="31" width="14.5" style="6" customWidth="1"/>
    <col min="32" max="32" width="16.5" style="6" customWidth="1"/>
    <col min="33" max="33" width="16.33203125" style="6" customWidth="1"/>
    <col min="34" max="34" width="18.5" style="6" customWidth="1"/>
    <col min="35" max="35" width="16.6640625" style="6" customWidth="1"/>
    <col min="36" max="36" width="18.83203125" style="6" customWidth="1"/>
    <col min="37" max="37" width="11.6640625" style="6" customWidth="1"/>
    <col min="38" max="38" width="9.5" style="6" customWidth="1"/>
    <col min="39" max="39" width="9.6640625" customWidth="1"/>
    <col min="40" max="40" width="11.83203125" customWidth="1"/>
    <col min="41" max="41" width="15.5" customWidth="1"/>
    <col min="42" max="42" width="17.6640625" customWidth="1"/>
    <col min="43" max="43" width="14" customWidth="1"/>
    <col min="44" max="44" width="16.5" customWidth="1"/>
    <col min="45" max="45" width="18.6640625" customWidth="1"/>
    <col min="46" max="46" width="19.1640625" customWidth="1"/>
    <col min="47" max="47" width="21.33203125" customWidth="1"/>
    <col min="48" max="48" width="17" customWidth="1"/>
    <col min="49" max="49" width="19.1640625" customWidth="1"/>
    <col min="50" max="50" width="23.33203125" customWidth="1"/>
    <col min="51" max="51" width="25.5" customWidth="1"/>
    <col min="52" max="52" width="25.83203125" customWidth="1"/>
    <col min="53" max="53" width="28" customWidth="1"/>
    <col min="54" max="54" width="23.6640625" customWidth="1"/>
    <col min="55" max="55" width="24.83203125" customWidth="1"/>
    <col min="56" max="56" width="18.33203125" customWidth="1"/>
    <col min="57" max="57" width="20.5" customWidth="1"/>
    <col min="58" max="58" width="18.6640625" customWidth="1"/>
    <col min="59" max="59" width="20.83203125" customWidth="1"/>
    <col min="60" max="60" width="19.5" customWidth="1"/>
    <col min="61" max="61" width="21.5" customWidth="1"/>
    <col min="62" max="62" width="19.83203125" customWidth="1"/>
    <col min="63" max="63" width="22" customWidth="1"/>
    <col min="64" max="64" width="12.83203125" customWidth="1"/>
    <col min="65" max="65" width="15" customWidth="1"/>
    <col min="66" max="66" width="18" customWidth="1"/>
    <col min="67" max="67" width="20.1640625" customWidth="1"/>
    <col min="68" max="68" width="23.5" customWidth="1"/>
    <col min="69" max="69" width="25.6640625" customWidth="1"/>
    <col min="70" max="70" width="18.83203125" customWidth="1"/>
    <col min="71" max="71" width="21" customWidth="1"/>
    <col min="72" max="72" width="19.83203125" customWidth="1"/>
    <col min="73" max="73" width="22" customWidth="1"/>
    <col min="74" max="74" width="12.83203125" customWidth="1"/>
    <col min="75" max="75" width="20.1640625" customWidth="1"/>
    <col min="76" max="76" width="27.33203125" customWidth="1"/>
    <col min="77" max="77" width="31.5" customWidth="1"/>
    <col min="78" max="78" width="10.1640625" customWidth="1"/>
    <col min="79" max="79" width="15.5" customWidth="1"/>
    <col min="80" max="80" width="10.5" customWidth="1"/>
    <col min="81" max="81" width="15.1640625" bestFit="1" customWidth="1"/>
    <col min="82" max="82" width="18.1640625" customWidth="1"/>
    <col min="83" max="83" width="6" customWidth="1"/>
    <col min="84" max="84" width="8.33203125" customWidth="1"/>
    <col min="85" max="85" width="14.33203125" customWidth="1"/>
    <col min="86" max="86" width="8.5" customWidth="1"/>
    <col min="87" max="87" width="11" customWidth="1"/>
    <col min="88" max="88" width="11.1640625" customWidth="1"/>
    <col min="89" max="89" width="14.1640625" customWidth="1"/>
    <col min="90" max="90" width="10.5" customWidth="1"/>
    <col min="91" max="91" width="19.33203125" customWidth="1"/>
    <col min="92" max="92" width="7.83203125" customWidth="1"/>
    <col min="93" max="93" width="18" customWidth="1"/>
    <col min="94" max="94" width="30.33203125" customWidth="1"/>
    <col min="95" max="95" width="29.6640625" customWidth="1"/>
    <col min="96" max="96" width="18.5" customWidth="1"/>
    <col min="97" max="97" width="19" customWidth="1"/>
    <col min="98" max="98" width="21.5" customWidth="1"/>
    <col min="99" max="99" width="26.33203125" customWidth="1"/>
    <col min="100" max="100" width="26.5" customWidth="1"/>
    <col min="101" max="101" width="13.1640625" customWidth="1"/>
    <col min="102" max="102" width="11.5" customWidth="1"/>
    <col min="103" max="103" width="9.6640625" customWidth="1"/>
    <col min="104" max="104" width="10.1640625" customWidth="1"/>
    <col min="105" max="105" width="15" customWidth="1"/>
    <col min="106" max="106" width="7.6640625" customWidth="1"/>
    <col min="107" max="107" width="21.6640625" customWidth="1"/>
    <col min="108" max="108" width="16.83203125" customWidth="1"/>
    <col min="109" max="109" width="12.5" customWidth="1"/>
    <col min="110" max="110" width="11.5" customWidth="1"/>
    <col min="111" max="111" width="7.1640625" customWidth="1"/>
    <col min="112" max="112" width="14" customWidth="1"/>
    <col min="113" max="113" width="11.83203125" customWidth="1"/>
    <col min="114" max="114" width="11.33203125" customWidth="1"/>
    <col min="115" max="115" width="12.6640625" customWidth="1"/>
    <col min="116" max="116" width="13.1640625" customWidth="1"/>
    <col min="117" max="117" width="11.5" customWidth="1"/>
    <col min="118" max="118" width="7.1640625" customWidth="1"/>
    <col min="119" max="119" width="11.1640625" customWidth="1"/>
    <col min="120" max="120" width="12" customWidth="1"/>
    <col min="121" max="121" width="7.5" customWidth="1"/>
    <col min="122" max="122" width="6.83203125" customWidth="1"/>
    <col min="123" max="124" width="11.5" customWidth="1"/>
  </cols>
  <sheetData>
    <row r="1" spans="1:124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6" t="s">
        <v>192</v>
      </c>
      <c r="J1" s="206" t="s">
        <v>193</v>
      </c>
      <c r="K1" s="206" t="s">
        <v>194</v>
      </c>
      <c r="L1" s="206" t="s">
        <v>195</v>
      </c>
      <c r="M1" s="206" t="s">
        <v>196</v>
      </c>
      <c r="N1" s="206" t="s">
        <v>197</v>
      </c>
      <c r="O1" s="206" t="s">
        <v>198</v>
      </c>
      <c r="P1" s="206" t="s">
        <v>199</v>
      </c>
      <c r="Q1" s="206" t="s">
        <v>200</v>
      </c>
      <c r="R1" s="206" t="s">
        <v>201</v>
      </c>
      <c r="S1" s="206" t="s">
        <v>202</v>
      </c>
      <c r="T1" s="206" t="s">
        <v>203</v>
      </c>
      <c r="U1" s="206" t="s">
        <v>204</v>
      </c>
      <c r="V1" s="206" t="s">
        <v>205</v>
      </c>
      <c r="W1" s="206" t="s">
        <v>206</v>
      </c>
      <c r="X1" s="206" t="s">
        <v>207</v>
      </c>
      <c r="Y1" s="206" t="s">
        <v>208</v>
      </c>
      <c r="Z1" s="206" t="s">
        <v>209</v>
      </c>
      <c r="AA1" s="206" t="s">
        <v>210</v>
      </c>
      <c r="AB1" s="206" t="s">
        <v>211</v>
      </c>
      <c r="AC1" s="206" t="s">
        <v>212</v>
      </c>
      <c r="AD1" s="206" t="s">
        <v>213</v>
      </c>
      <c r="AE1" s="206" t="s">
        <v>214</v>
      </c>
      <c r="AF1" s="206" t="s">
        <v>215</v>
      </c>
      <c r="AG1" s="206" t="s">
        <v>216</v>
      </c>
      <c r="AH1" s="206" t="s">
        <v>217</v>
      </c>
      <c r="AI1" s="206" t="s">
        <v>218</v>
      </c>
      <c r="AJ1" s="206" t="s">
        <v>219</v>
      </c>
      <c r="AK1" s="206" t="s">
        <v>220</v>
      </c>
      <c r="AL1" s="206" t="s">
        <v>221</v>
      </c>
      <c r="AM1" s="206" t="s">
        <v>222</v>
      </c>
      <c r="AN1" s="206" t="s">
        <v>223</v>
      </c>
      <c r="AO1" s="206" t="s">
        <v>224</v>
      </c>
      <c r="AP1" s="206" t="s">
        <v>225</v>
      </c>
      <c r="AQ1" s="206" t="s">
        <v>226</v>
      </c>
      <c r="AR1" s="206" t="s">
        <v>227</v>
      </c>
      <c r="AS1" s="206" t="s">
        <v>228</v>
      </c>
      <c r="AT1" s="206" t="s">
        <v>229</v>
      </c>
      <c r="AU1" s="206" t="s">
        <v>230</v>
      </c>
      <c r="AV1" s="206" t="s">
        <v>231</v>
      </c>
      <c r="AW1" s="206" t="s">
        <v>232</v>
      </c>
      <c r="AX1" s="206" t="s">
        <v>233</v>
      </c>
      <c r="AY1" s="206" t="s">
        <v>234</v>
      </c>
      <c r="AZ1" s="206" t="s">
        <v>235</v>
      </c>
      <c r="BA1" s="206" t="s">
        <v>236</v>
      </c>
      <c r="BB1" s="206" t="s">
        <v>237</v>
      </c>
      <c r="BC1" s="206" t="s">
        <v>238</v>
      </c>
      <c r="BD1" s="206" t="s">
        <v>239</v>
      </c>
      <c r="BE1" s="206" t="s">
        <v>240</v>
      </c>
      <c r="BF1" s="206" t="s">
        <v>241</v>
      </c>
      <c r="BG1" s="206" t="s">
        <v>242</v>
      </c>
      <c r="BH1" s="206" t="s">
        <v>243</v>
      </c>
      <c r="BI1" s="206" t="s">
        <v>244</v>
      </c>
      <c r="BJ1" s="206" t="s">
        <v>245</v>
      </c>
      <c r="BK1" s="206" t="s">
        <v>246</v>
      </c>
      <c r="BL1" s="206" t="s">
        <v>247</v>
      </c>
      <c r="BM1" s="206" t="s">
        <v>248</v>
      </c>
      <c r="BN1" s="206" t="s">
        <v>249</v>
      </c>
      <c r="BO1" s="206" t="s">
        <v>250</v>
      </c>
      <c r="BP1" s="206" t="s">
        <v>251</v>
      </c>
      <c r="BQ1" s="206" t="s">
        <v>252</v>
      </c>
      <c r="BR1" s="206" t="s">
        <v>253</v>
      </c>
      <c r="BS1" s="206" t="s">
        <v>254</v>
      </c>
      <c r="BT1" s="206" t="s">
        <v>255</v>
      </c>
      <c r="BU1" s="206" t="s">
        <v>256</v>
      </c>
      <c r="BV1" s="206" t="s">
        <v>257</v>
      </c>
      <c r="BW1" s="206" t="s">
        <v>258</v>
      </c>
      <c r="BX1" s="206" t="s">
        <v>259</v>
      </c>
      <c r="BY1" s="206" t="s">
        <v>260</v>
      </c>
      <c r="BZ1" s="206" t="s">
        <v>261</v>
      </c>
      <c r="CA1" s="206" t="s">
        <v>262</v>
      </c>
      <c r="CB1" s="206" t="s">
        <v>263</v>
      </c>
      <c r="CC1" s="206" t="s">
        <v>264</v>
      </c>
      <c r="CD1" s="206" t="s">
        <v>265</v>
      </c>
      <c r="CE1" s="206" t="s">
        <v>266</v>
      </c>
      <c r="CF1" s="206" t="s">
        <v>267</v>
      </c>
      <c r="CG1" s="206" t="s">
        <v>268</v>
      </c>
      <c r="CH1" s="206" t="s">
        <v>269</v>
      </c>
      <c r="CI1" s="206" t="s">
        <v>270</v>
      </c>
      <c r="CJ1" s="206" t="s">
        <v>271</v>
      </c>
      <c r="CK1" s="206" t="s">
        <v>272</v>
      </c>
      <c r="CL1" s="206" t="s">
        <v>273</v>
      </c>
      <c r="CM1" s="206" t="s">
        <v>274</v>
      </c>
      <c r="CN1" s="206" t="s">
        <v>275</v>
      </c>
      <c r="CO1" s="206" t="s">
        <v>276</v>
      </c>
      <c r="CP1" s="206" t="s">
        <v>277</v>
      </c>
      <c r="CQ1" s="206" t="s">
        <v>278</v>
      </c>
      <c r="CR1" s="206" t="s">
        <v>279</v>
      </c>
      <c r="CS1" s="206" t="s">
        <v>280</v>
      </c>
      <c r="CT1" s="206" t="s">
        <v>281</v>
      </c>
      <c r="CU1" s="206" t="s">
        <v>282</v>
      </c>
      <c r="CV1" s="206" t="s">
        <v>283</v>
      </c>
      <c r="CW1" s="206" t="s">
        <v>284</v>
      </c>
      <c r="CX1" s="206" t="s">
        <v>285</v>
      </c>
      <c r="CY1" s="206" t="s">
        <v>286</v>
      </c>
      <c r="CZ1" s="206" t="s">
        <v>287</v>
      </c>
      <c r="DA1" s="206" t="s">
        <v>288</v>
      </c>
      <c r="DB1" s="206" t="s">
        <v>289</v>
      </c>
      <c r="DC1" s="206" t="s">
        <v>290</v>
      </c>
      <c r="DD1" s="206" t="s">
        <v>291</v>
      </c>
      <c r="DE1" s="206" t="s">
        <v>292</v>
      </c>
      <c r="DF1" s="206" t="s">
        <v>293</v>
      </c>
      <c r="DG1" s="206" t="s">
        <v>294</v>
      </c>
      <c r="DH1" s="206" t="s">
        <v>295</v>
      </c>
      <c r="DI1" s="206" t="s">
        <v>296</v>
      </c>
      <c r="DJ1" s="206" t="s">
        <v>297</v>
      </c>
      <c r="DK1" s="206" t="s">
        <v>298</v>
      </c>
      <c r="DL1" s="206" t="s">
        <v>299</v>
      </c>
      <c r="DM1" s="206" t="s">
        <v>300</v>
      </c>
      <c r="DN1" s="206" t="s">
        <v>301</v>
      </c>
      <c r="DO1" s="206" t="s">
        <v>302</v>
      </c>
      <c r="DP1" s="206" t="s">
        <v>303</v>
      </c>
      <c r="DQ1" s="206" t="s">
        <v>304</v>
      </c>
      <c r="DR1" s="206" t="s">
        <v>305</v>
      </c>
      <c r="DS1" s="206" t="s">
        <v>306</v>
      </c>
      <c r="DT1" s="206" t="s">
        <v>307</v>
      </c>
    </row>
    <row r="2" spans="1:124" x14ac:dyDescent="0.15">
      <c r="A2" t="s">
        <v>38</v>
      </c>
      <c r="B2" s="115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124" x14ac:dyDescent="0.15">
      <c r="A3" t="s">
        <v>40</v>
      </c>
      <c r="B3" s="115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124" x14ac:dyDescent="0.15">
      <c r="A4" t="s">
        <v>41</v>
      </c>
      <c r="B4" s="115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124" x14ac:dyDescent="0.15">
      <c r="A5" s="205" t="s">
        <v>192</v>
      </c>
      <c r="B5" s="115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124" x14ac:dyDescent="0.15">
      <c r="A6" s="205" t="s">
        <v>193</v>
      </c>
      <c r="B6" s="115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124" x14ac:dyDescent="0.15">
      <c r="A7" s="205" t="s">
        <v>194</v>
      </c>
      <c r="B7" s="115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124" x14ac:dyDescent="0.15">
      <c r="A8" s="205" t="s">
        <v>195</v>
      </c>
      <c r="B8" s="115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124" x14ac:dyDescent="0.15">
      <c r="A9" s="205" t="s">
        <v>196</v>
      </c>
      <c r="B9" s="115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124" x14ac:dyDescent="0.15">
      <c r="A10" s="205" t="s">
        <v>197</v>
      </c>
      <c r="B10" s="115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124" x14ac:dyDescent="0.15">
      <c r="A11" s="205" t="s">
        <v>198</v>
      </c>
      <c r="B11" s="115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124" x14ac:dyDescent="0.15">
      <c r="A12" s="205" t="s">
        <v>199</v>
      </c>
      <c r="B12" s="115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124" x14ac:dyDescent="0.15">
      <c r="A13" s="205" t="s">
        <v>200</v>
      </c>
      <c r="B13" s="115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124" x14ac:dyDescent="0.15">
      <c r="A14" s="205" t="s">
        <v>201</v>
      </c>
      <c r="B14" s="115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124" x14ac:dyDescent="0.15">
      <c r="A15" s="205" t="s">
        <v>202</v>
      </c>
      <c r="B15" s="115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124" x14ac:dyDescent="0.15">
      <c r="A16" s="205" t="s">
        <v>203</v>
      </c>
      <c r="B16" s="115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5" t="s">
        <v>204</v>
      </c>
      <c r="B17" s="115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5" t="s">
        <v>205</v>
      </c>
      <c r="B18" s="115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5" t="s">
        <v>206</v>
      </c>
      <c r="B19" s="115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5" t="s">
        <v>207</v>
      </c>
      <c r="B20" s="115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5" t="s">
        <v>208</v>
      </c>
      <c r="B21" s="115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5" t="s">
        <v>209</v>
      </c>
      <c r="B22" s="115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5" t="s">
        <v>210</v>
      </c>
      <c r="B23" s="115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5" t="s">
        <v>211</v>
      </c>
      <c r="B24" s="115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5" t="s">
        <v>212</v>
      </c>
      <c r="B25" s="115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5" t="s">
        <v>213</v>
      </c>
      <c r="B26" s="115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5" t="s">
        <v>214</v>
      </c>
      <c r="B27" s="115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5" t="s">
        <v>215</v>
      </c>
      <c r="B28" s="115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5" t="s">
        <v>216</v>
      </c>
      <c r="B29" s="115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5" t="s">
        <v>217</v>
      </c>
      <c r="B30" s="115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5" t="s">
        <v>218</v>
      </c>
      <c r="B31" s="115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5" t="s">
        <v>219</v>
      </c>
      <c r="B32" s="115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5" t="s">
        <v>220</v>
      </c>
      <c r="B33" s="115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5" t="s">
        <v>221</v>
      </c>
      <c r="B34" s="115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5" t="s">
        <v>222</v>
      </c>
      <c r="B35" s="115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5" t="s">
        <v>223</v>
      </c>
      <c r="B36" s="115">
        <v>0</v>
      </c>
      <c r="C36"/>
      <c r="D36"/>
    </row>
    <row r="37" spans="1:38" ht="15" customHeight="1" x14ac:dyDescent="0.15">
      <c r="A37" s="205" t="s">
        <v>224</v>
      </c>
      <c r="B37" s="115">
        <v>0</v>
      </c>
      <c r="C37"/>
      <c r="D37"/>
    </row>
    <row r="38" spans="1:38" ht="15" customHeight="1" x14ac:dyDescent="0.15">
      <c r="A38" s="205" t="s">
        <v>225</v>
      </c>
      <c r="B38" s="115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5" t="s">
        <v>226</v>
      </c>
      <c r="B39" s="115">
        <v>0</v>
      </c>
      <c r="C39"/>
      <c r="D39"/>
    </row>
    <row r="40" spans="1:38" ht="15" customHeight="1" x14ac:dyDescent="0.15">
      <c r="A40" s="205" t="s">
        <v>227</v>
      </c>
      <c r="B40" s="115">
        <v>0</v>
      </c>
      <c r="C40"/>
      <c r="D40"/>
    </row>
    <row r="41" spans="1:38" ht="15" customHeight="1" x14ac:dyDescent="0.15">
      <c r="A41" s="205" t="s">
        <v>228</v>
      </c>
      <c r="B41" s="115">
        <v>0</v>
      </c>
      <c r="C41"/>
      <c r="D41"/>
    </row>
    <row r="42" spans="1:38" ht="15" customHeight="1" x14ac:dyDescent="0.15">
      <c r="A42" s="205" t="s">
        <v>229</v>
      </c>
      <c r="B42" s="115">
        <v>0</v>
      </c>
    </row>
    <row r="43" spans="1:38" ht="15" customHeight="1" x14ac:dyDescent="0.15">
      <c r="A43" s="205" t="s">
        <v>230</v>
      </c>
      <c r="B43" s="115">
        <v>0</v>
      </c>
    </row>
    <row r="44" spans="1:38" ht="15" customHeight="1" x14ac:dyDescent="0.15">
      <c r="A44" s="205" t="s">
        <v>231</v>
      </c>
      <c r="B44" s="115">
        <v>0</v>
      </c>
    </row>
    <row r="45" spans="1:38" ht="15" customHeight="1" x14ac:dyDescent="0.15">
      <c r="A45" s="205" t="s">
        <v>232</v>
      </c>
      <c r="B45" s="115">
        <v>0</v>
      </c>
    </row>
    <row r="46" spans="1:38" ht="15" customHeight="1" x14ac:dyDescent="0.15">
      <c r="A46" s="205" t="s">
        <v>233</v>
      </c>
      <c r="B46" s="115">
        <v>0</v>
      </c>
    </row>
    <row r="47" spans="1:38" ht="15" customHeight="1" x14ac:dyDescent="0.15">
      <c r="A47" s="205" t="s">
        <v>234</v>
      </c>
      <c r="B47" s="115">
        <v>0</v>
      </c>
    </row>
    <row r="48" spans="1:38" ht="15" customHeight="1" x14ac:dyDescent="0.15">
      <c r="A48" s="205" t="s">
        <v>235</v>
      </c>
      <c r="B48" s="115">
        <v>0</v>
      </c>
    </row>
    <row r="49" spans="1:38" ht="15" customHeight="1" x14ac:dyDescent="0.15">
      <c r="A49" s="205" t="s">
        <v>236</v>
      </c>
      <c r="B49" s="115">
        <v>0</v>
      </c>
    </row>
    <row r="50" spans="1:38" ht="15" customHeight="1" x14ac:dyDescent="0.15">
      <c r="A50" s="205" t="s">
        <v>237</v>
      </c>
      <c r="B50" s="115">
        <v>0</v>
      </c>
    </row>
    <row r="51" spans="1:38" ht="15" customHeight="1" x14ac:dyDescent="0.15">
      <c r="A51" s="205" t="s">
        <v>238</v>
      </c>
      <c r="B51" s="115">
        <v>0</v>
      </c>
    </row>
    <row r="52" spans="1:38" ht="15" customHeight="1" x14ac:dyDescent="0.15">
      <c r="A52" s="205" t="s">
        <v>239</v>
      </c>
      <c r="B52" s="115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5" t="s">
        <v>240</v>
      </c>
      <c r="B53" s="115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5" t="s">
        <v>241</v>
      </c>
      <c r="B54" s="115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5" t="s">
        <v>242</v>
      </c>
      <c r="B55" s="115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5" t="s">
        <v>243</v>
      </c>
      <c r="B56" s="115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5" t="s">
        <v>244</v>
      </c>
      <c r="B57" s="115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5" t="s">
        <v>245</v>
      </c>
      <c r="B58" s="115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5" t="s">
        <v>246</v>
      </c>
      <c r="B59" s="115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5" t="s">
        <v>247</v>
      </c>
      <c r="B60" s="115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5" t="s">
        <v>248</v>
      </c>
      <c r="B61" s="115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5" t="s">
        <v>249</v>
      </c>
      <c r="B62" s="115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5" t="s">
        <v>250</v>
      </c>
      <c r="B63" s="115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5" t="s">
        <v>251</v>
      </c>
      <c r="B64" s="115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05" t="s">
        <v>252</v>
      </c>
      <c r="B65" s="115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05" t="s">
        <v>253</v>
      </c>
      <c r="B66" s="115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205" t="s">
        <v>254</v>
      </c>
      <c r="B67" s="115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205" t="s">
        <v>255</v>
      </c>
      <c r="B68" s="115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205" t="s">
        <v>256</v>
      </c>
      <c r="B69" s="115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205" t="s">
        <v>257</v>
      </c>
      <c r="B70" s="115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A71" s="205" t="s">
        <v>258</v>
      </c>
      <c r="B71" s="115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A72" s="205" t="s">
        <v>259</v>
      </c>
      <c r="B72" s="115">
        <v>0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A73" s="205" t="s">
        <v>260</v>
      </c>
      <c r="B73" s="115">
        <v>0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A74" s="205" t="s">
        <v>261</v>
      </c>
      <c r="B74" s="115">
        <v>0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A75" s="205" t="s">
        <v>262</v>
      </c>
      <c r="B75" s="115">
        <v>0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A76" s="205" t="s">
        <v>263</v>
      </c>
      <c r="B76" s="115">
        <v>0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A77" s="205" t="s">
        <v>264</v>
      </c>
      <c r="B77" s="115">
        <v>0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A78" s="205" t="s">
        <v>265</v>
      </c>
      <c r="B78" s="115">
        <v>0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A79" s="205" t="s">
        <v>266</v>
      </c>
      <c r="B79" s="115">
        <v>0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A80" s="205" t="s">
        <v>267</v>
      </c>
      <c r="B80" s="115">
        <v>0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 ht="15" customHeight="1" x14ac:dyDescent="0.15">
      <c r="A81" s="205" t="s">
        <v>268</v>
      </c>
      <c r="B81" s="115">
        <v>0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 ht="15" customHeight="1" x14ac:dyDescent="0.15">
      <c r="A82" s="205" t="s">
        <v>269</v>
      </c>
      <c r="B82" s="115">
        <v>0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 ht="15" customHeight="1" x14ac:dyDescent="0.15">
      <c r="A83" s="205" t="s">
        <v>270</v>
      </c>
      <c r="B83" s="115">
        <v>0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 ht="15" customHeight="1" x14ac:dyDescent="0.15">
      <c r="A84" s="205" t="s">
        <v>271</v>
      </c>
      <c r="B84" s="115">
        <v>0</v>
      </c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 ht="15" customHeight="1" x14ac:dyDescent="0.15">
      <c r="A85" s="205" t="s">
        <v>272</v>
      </c>
      <c r="B85" s="115">
        <v>0</v>
      </c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 ht="15" customHeight="1" x14ac:dyDescent="0.15">
      <c r="A86" s="205" t="s">
        <v>273</v>
      </c>
      <c r="B86" s="115">
        <v>0</v>
      </c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 ht="15" customHeight="1" x14ac:dyDescent="0.15">
      <c r="A87" s="205" t="s">
        <v>274</v>
      </c>
      <c r="B87" s="115">
        <v>0</v>
      </c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 ht="15" customHeight="1" x14ac:dyDescent="0.15">
      <c r="A88" s="205" t="s">
        <v>275</v>
      </c>
      <c r="B88" s="115">
        <v>0</v>
      </c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 ht="15" customHeight="1" x14ac:dyDescent="0.15">
      <c r="A89" s="205" t="s">
        <v>276</v>
      </c>
      <c r="B89" s="115">
        <v>0</v>
      </c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 ht="15" customHeight="1" x14ac:dyDescent="0.15">
      <c r="A90" s="205" t="s">
        <v>277</v>
      </c>
      <c r="B90" s="115">
        <v>0</v>
      </c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 ht="15" customHeight="1" x14ac:dyDescent="0.15">
      <c r="A91" s="205" t="s">
        <v>278</v>
      </c>
      <c r="B91" s="115">
        <v>0</v>
      </c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 ht="15" customHeight="1" x14ac:dyDescent="0.15">
      <c r="A92" s="205" t="s">
        <v>279</v>
      </c>
      <c r="B92" s="115">
        <v>0</v>
      </c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 ht="15" customHeight="1" x14ac:dyDescent="0.15">
      <c r="A93" s="205" t="s">
        <v>280</v>
      </c>
      <c r="B93" s="115">
        <v>0</v>
      </c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 ht="15" customHeight="1" x14ac:dyDescent="0.15">
      <c r="A94" s="205" t="s">
        <v>281</v>
      </c>
      <c r="B94" s="115">
        <v>0</v>
      </c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 ht="15" customHeight="1" x14ac:dyDescent="0.15">
      <c r="A95" s="205" t="s">
        <v>282</v>
      </c>
      <c r="B95" s="115">
        <v>0</v>
      </c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 ht="15" customHeight="1" x14ac:dyDescent="0.15">
      <c r="A96" s="205" t="s">
        <v>283</v>
      </c>
      <c r="B96" s="115">
        <v>0</v>
      </c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 ht="15" customHeight="1" x14ac:dyDescent="0.15">
      <c r="A97" s="205" t="s">
        <v>284</v>
      </c>
      <c r="B97" s="115">
        <v>0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 ht="15" customHeight="1" x14ac:dyDescent="0.15">
      <c r="A98" s="205" t="s">
        <v>285</v>
      </c>
      <c r="B98" s="115">
        <v>0</v>
      </c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 ht="15" customHeight="1" x14ac:dyDescent="0.15">
      <c r="A99" s="205" t="s">
        <v>286</v>
      </c>
      <c r="B99" s="115">
        <v>0</v>
      </c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 ht="15" customHeight="1" x14ac:dyDescent="0.15">
      <c r="A100" s="205" t="s">
        <v>287</v>
      </c>
      <c r="B100" s="115">
        <v>0</v>
      </c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 ht="15" customHeight="1" x14ac:dyDescent="0.15">
      <c r="A101" s="205" t="s">
        <v>288</v>
      </c>
      <c r="B101" s="115">
        <v>0</v>
      </c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 ht="15" customHeight="1" x14ac:dyDescent="0.15">
      <c r="A102" s="205" t="s">
        <v>289</v>
      </c>
      <c r="B102" s="115">
        <v>0</v>
      </c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 ht="15" customHeight="1" x14ac:dyDescent="0.15">
      <c r="A103" s="205" t="s">
        <v>290</v>
      </c>
      <c r="B103" s="115">
        <v>0</v>
      </c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 ht="15" customHeight="1" x14ac:dyDescent="0.15">
      <c r="A104" s="205" t="s">
        <v>291</v>
      </c>
      <c r="B104" s="115">
        <v>0</v>
      </c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 ht="15" customHeight="1" x14ac:dyDescent="0.15">
      <c r="A105" s="205" t="s">
        <v>292</v>
      </c>
      <c r="B105" s="115">
        <v>0</v>
      </c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 ht="15" customHeight="1" x14ac:dyDescent="0.15">
      <c r="A106" s="205" t="s">
        <v>293</v>
      </c>
      <c r="B106" s="115">
        <v>0</v>
      </c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 ht="15" customHeight="1" x14ac:dyDescent="0.15">
      <c r="A107" s="205" t="s">
        <v>294</v>
      </c>
      <c r="B107" s="115">
        <v>0</v>
      </c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 ht="15" customHeight="1" x14ac:dyDescent="0.15">
      <c r="A108" s="205" t="s">
        <v>295</v>
      </c>
      <c r="B108" s="115">
        <v>0</v>
      </c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 ht="15" customHeight="1" x14ac:dyDescent="0.15">
      <c r="A109" s="205" t="s">
        <v>296</v>
      </c>
      <c r="B109" s="115">
        <v>0</v>
      </c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 ht="15" customHeight="1" x14ac:dyDescent="0.15">
      <c r="A110" s="205" t="s">
        <v>297</v>
      </c>
      <c r="B110" s="115">
        <v>0</v>
      </c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 ht="15" customHeight="1" x14ac:dyDescent="0.15">
      <c r="A111" s="205" t="s">
        <v>298</v>
      </c>
      <c r="B111" s="115">
        <v>0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 ht="15" customHeight="1" x14ac:dyDescent="0.15">
      <c r="A112" s="205" t="s">
        <v>299</v>
      </c>
      <c r="B112" s="115">
        <v>0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 ht="15" customHeight="1" x14ac:dyDescent="0.15">
      <c r="A113" s="205" t="s">
        <v>300</v>
      </c>
      <c r="B113" s="115">
        <v>0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 ht="15" customHeight="1" x14ac:dyDescent="0.15">
      <c r="A114" s="205" t="s">
        <v>301</v>
      </c>
      <c r="B114" s="115">
        <v>0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 ht="15" customHeight="1" x14ac:dyDescent="0.15">
      <c r="A115" s="205" t="s">
        <v>302</v>
      </c>
      <c r="B115" s="115">
        <v>0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 ht="15" customHeight="1" x14ac:dyDescent="0.15">
      <c r="A116" s="205" t="s">
        <v>303</v>
      </c>
      <c r="B116" s="115">
        <v>0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 ht="15" customHeight="1" x14ac:dyDescent="0.15">
      <c r="A117" s="205" t="s">
        <v>304</v>
      </c>
      <c r="B117" s="115">
        <v>0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 ht="15" customHeight="1" x14ac:dyDescent="0.15">
      <c r="A118" s="205" t="s">
        <v>305</v>
      </c>
      <c r="B118" s="115">
        <v>0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 ht="15" customHeight="1" x14ac:dyDescent="0.15">
      <c r="A119" s="205" t="s">
        <v>306</v>
      </c>
      <c r="B119" s="115">
        <v>0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 ht="15" customHeight="1" x14ac:dyDescent="0.15">
      <c r="A120" s="205" t="s">
        <v>307</v>
      </c>
      <c r="B120" s="115">
        <v>0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2022-10-24T03:06:01Z</dcterms:modified>
</cp:coreProperties>
</file>