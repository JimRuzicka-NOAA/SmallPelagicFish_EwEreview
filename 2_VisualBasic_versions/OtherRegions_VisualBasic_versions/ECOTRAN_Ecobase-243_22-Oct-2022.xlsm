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OtherRegions/"/>
    </mc:Choice>
  </mc:AlternateContent>
  <xr:revisionPtr revIDLastSave="0" documentId="13_ncr:1_{F3669937-AA2B-F24F-A29A-0A86739A97DF}" xr6:coauthVersionLast="45" xr6:coauthVersionMax="45" xr10:uidLastSave="{00000000-0000-0000-0000-000000000000}"/>
  <bookViews>
    <workbookView xWindow="0" yWindow="460" windowWidth="25600" windowHeight="14240" tabRatio="728" firstSheet="3" activeTab="11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Main!$C$2:$N$23</definedName>
    <definedName name="matDetritus">Detritus!$C$2:$E$23</definedName>
    <definedName name="matDiet">Diets!$B$2:$T$23</definedName>
    <definedName name="matDiscards">Discards!$C$2:$C$22</definedName>
    <definedName name="matFishery">Fishing!$C$2:$C$22</definedName>
    <definedName name="matFishing">Fishing!#REF!</definedName>
    <definedName name="matMort">Mortalities!$A$1:$Y$22</definedName>
    <definedName name="matOut">MainOutputs!$A$2:$I$23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<sst xmlns="http://schemas.openxmlformats.org/spreadsheetml/2006/main" count="746" uniqueCount="219">
  <si>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</si>
  <si>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</si>
  <si>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</si>
  <si>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</si>
  <si>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</si>
  <si>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</si>
  <si>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</si>
  <si>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</si>
  <si>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</si>
  <si>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</si>
  <si>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</si>
  <si>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</si>
  <si>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</si>
  <si>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</si>
  <si>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</si>
  <si>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</si>
  <si>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</si>
  <si>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</si>
  <si>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</si>
  <si>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</si>
  <si>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</si>
  <si>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</si>
  <si>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</si>
  <si>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</si>
  <si>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</si>
  <si>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</si>
  <si>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</si>
  <si>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</si>
  <si>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</si>
  <si>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</si>
  <si>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</si>
  <si>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</si>
  <si>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</si>
  <si>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</si>
  <si>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</si>
  <si>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</si>
  <si>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</si>
  <si>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</si>
  <si>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</si>
  <si>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</si>
  <si>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</si>
  <si>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</si>
  <si>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</si>
  <si>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</si>
  <si>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</si>
  <si>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</si>
  <si>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</si>
  <si>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</si>
  <si>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</si>
  <si>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</si>
  <si>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</si>
  <si>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</si>
  <si>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</si>
  <si>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</si>
  <si>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</si>
  <si>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</si>
  <si>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</si>
  <si>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</si>
  <si>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</si>
  <si>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</si>
  <si>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</si>
  <si>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</si>
  <si>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</si>
  <si>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</si>
  <si>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</si>
  <si>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</si>
  <si>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</si>
  <si>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</si>
  <si>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</si>
  <si>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</si>
  <si>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</si>
  <si>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</si>
  <si>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</si>
  <si>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</si>
  <si>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</si>
  <si>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</si>
  <si>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</si>
  <si>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</si>
  <si>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</si>
  <si>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</si>
  <si>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</si>
  <si>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</si>
  <si>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</si>
  <si>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</si>
  <si>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</si>
  <si>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</si>
  <si>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</si>
  <si>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</si>
  <si>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</si>
  <si>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</si>
  <si>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</si>
  <si>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</si>
  <si>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</si>
  <si>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</si>
  <si>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</si>
  <si>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</si>
  <si>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</si>
  <si>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</si>
  <si>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</si>
  <si>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</si>
  <si>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</si>
  <si>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</si>
  <si>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</si>
  <si>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</si>
  <si>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</si>
  <si>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</si>
  <si>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</si>
  <si>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</si>
  <si>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</si>
  <si>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</si>
  <si>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</si>
  <si>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</si>
  <si>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</si>
  <si>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</si>
  <si>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</si>
  <si>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</si>
  <si>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</si>
  <si>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</si>
  <si>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</si>
  <si>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</si>
  <si>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</si>
  <si>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</si>
  <si>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</si>
  <si>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</si>
  <si>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</si>
  <si>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</si>
  <si>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</si>
  <si>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</si>
  <si>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</si>
  <si>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</si>
  <si>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</si>
  <si>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</si>
  <si>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</si>
  <si>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</si>
  <si>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</si>
  <si>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</si>
  <si>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</si>
  <si>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</si>
  <si>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</si>
  <si>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</si>
  <si>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</si>
  <si>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</si>
  <si>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</si>
  <si>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</si>
  <si>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</si>
  <si>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</si>
  <si>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</si>
  <si>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</si>
  <si>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</si>
  <si>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</si>
  <si>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</si>
  <si>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</si>
  <si>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</si>
  <si>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</si>
  <si>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</si>
  <si>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</si>
  <si>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</si>
  <si>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</si>
  <si>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</si>
  <si>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</si>
  <si>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</si>
  <si>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</si>
  <si>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</si>
  <si>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</si>
  <si>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</si>
  <si>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</si>
  <si>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</si>
  <si>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</si>
  <si>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</si>
  <si>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</si>
  <si>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</si>
  <si>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</si>
  <si>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</si>
  <si>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</si>
  <si>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</si>
  <si>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</si>
  <si>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</si>
  <si>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</si>
  <si>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</si>
  <si>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</si>
  <si>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</si>
  <si>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</si>
  <si>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</si>
  <si>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</si>
  <si>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</si>
  <si>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Terminos Lagoon</t>
  </si>
  <si>
    <t>Mexico</t>
  </si>
  <si>
    <t>BOX(-91.926092290531 18.4134035219046,-91.218818604165 18.8431257336979)</t>
  </si>
  <si>
    <t>coastal lagoon</t>
  </si>
  <si>
    <t>WetWeight</t>
  </si>
  <si>
    <t>; 17/04/2006 06:26:56 p.m.</t>
  </si>
  <si>
    <t>Manickchand-Heileman S.,Arreguı́n-Sánchez F.,Lara-Domínguez A.,Soto L.A.(1998). Energy flow and network analysis of Terminos Lagoon, SW Gulf of Mexico Journal of Fish Biology. pp 179-197</t>
  </si>
  <si>
    <t>Engraulidae</t>
  </si>
  <si>
    <t>Gerreidae</t>
  </si>
  <si>
    <t>Ariidae</t>
  </si>
  <si>
    <t>Haemulidae</t>
  </si>
  <si>
    <t>Scianidae</t>
  </si>
  <si>
    <t>Lutjanidae</t>
  </si>
  <si>
    <t>Sparidae</t>
  </si>
  <si>
    <t>Tetraodontidae</t>
  </si>
  <si>
    <t>Other fish</t>
  </si>
  <si>
    <t>Brachyurans</t>
  </si>
  <si>
    <t>Penaeids</t>
  </si>
  <si>
    <t>Microcrustaceans</t>
  </si>
  <si>
    <t>Molluscs</t>
  </si>
  <si>
    <t>Other macroinvertebrates</t>
  </si>
  <si>
    <t>Polychaetes</t>
  </si>
  <si>
    <t>Meiofauna</t>
  </si>
  <si>
    <t>Zooplankton</t>
  </si>
  <si>
    <t>Benthic autotrophs</t>
  </si>
  <si>
    <t>Phytoplankton</t>
  </si>
  <si>
    <t>Detritus</t>
  </si>
  <si>
    <t>detritus_TerminalBenthic</t>
  </si>
  <si>
    <t>Fleet1</t>
  </si>
  <si>
    <t>Import</t>
  </si>
  <si>
    <t>export</t>
  </si>
  <si>
    <t>sum</t>
  </si>
  <si>
    <t>TOTAL</t>
  </si>
  <si>
    <t>F Fleet1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</si>
</sst>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93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56FF00"/>
        <bgColor indexed="64"/>
      </patternFill>
    </fill>
    <fill>
      <patternFill patternType="solid">
        <fgColor rgb="FF3FFF00"/>
        <bgColor indexed="64"/>
      </patternFill>
    </fill>
    <fill>
      <patternFill patternType="solid">
        <fgColor rgb="FF97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FFF200"/>
        <bgColor indexed="64"/>
      </patternFill>
    </fill>
    <fill>
      <patternFill patternType="solid">
        <fgColor rgb="FFFFCB00"/>
        <bgColor indexed="64"/>
      </patternFill>
    </fill>
    <fill>
      <patternFill patternType="solid">
        <fgColor rgb="FFCCFF00"/>
        <bgColor indexed="64"/>
      </patternFill>
    </fill>
    <fill>
      <patternFill patternType="solid">
        <fgColor rgb="FFFF6500"/>
        <bgColor indexed="64"/>
      </patternFill>
    </fill>
    <fill>
      <patternFill patternType="solid">
        <fgColor rgb="FFFF8100"/>
        <bgColor indexed="64"/>
      </patternFill>
    </fill>
    <fill>
      <patternFill patternType="solid">
        <fgColor rgb="FFFFBD00"/>
        <bgColor indexed="64"/>
      </patternFill>
    </fill>
    <fill>
      <patternFill patternType="solid">
        <fgColor rgb="FFFF6D00"/>
        <bgColor indexed="64"/>
      </patternFill>
    </fill>
    <fill>
      <patternFill patternType="solid">
        <fgColor rgb="FFFF32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41FF00"/>
        <bgColor indexed="64"/>
      </patternFill>
    </fill>
    <fill>
      <patternFill patternType="solid">
        <fgColor rgb="FF4CFF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79FF00"/>
        <bgColor indexed="64"/>
      </patternFill>
    </fill>
    <fill>
      <patternFill patternType="solid">
        <fgColor rgb="FF84FF00"/>
        <bgColor indexed="64"/>
      </patternFill>
    </fill>
    <fill>
      <patternFill patternType="solid">
        <fgColor rgb="FF87FF00"/>
        <bgColor indexed="64"/>
      </patternFill>
    </fill>
    <fill>
      <patternFill patternType="solid">
        <fgColor rgb="FF47FF00"/>
        <bgColor indexed="64"/>
      </patternFill>
    </fill>
    <fill>
      <patternFill patternType="solid">
        <fgColor rgb="FF9F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7CF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53FF00"/>
        <bgColor indexed="64"/>
      </patternFill>
    </fill>
    <fill>
      <patternFill patternType="solid">
        <fgColor rgb="FFFF26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15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3" borderId="2" xfId="0" applyFont="1" applyFill="1" applyBorder="1" applyAlignment="1">
      <alignment horizontal="center"/>
    </xf>
    <xf numFmtId="0" fontId="1" fillId="23" borderId="4" xfId="0" applyFont="1" applyFill="1" applyBorder="1" applyAlignment="1">
      <alignment horizontal="center"/>
    </xf>
    <xf numFmtId="0" fontId="1" fillId="23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3" borderId="5" xfId="0" applyFill="1" applyBorder="1"/>
    <xf numFmtId="0" fontId="0" fillId="23" borderId="6" xfId="0" applyFill="1" applyBorder="1"/>
    <xf numFmtId="0" fontId="0" fillId="23" borderId="7" xfId="0" applyFill="1" applyBorder="1"/>
    <xf numFmtId="0" fontId="0" fillId="23" borderId="8" xfId="0" applyFill="1" applyBorder="1"/>
    <xf numFmtId="0" fontId="0" fillId="23" borderId="9" xfId="0" applyFill="1" applyBorder="1"/>
    <xf numFmtId="0" fontId="0" fillId="23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1" fillId="0" borderId="0" xfId="0" applyFont="1" applyAlignment="1">
      <alignment horizontal="center"/>
    </xf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33" borderId="0" xfId="0" applyFill="1"/>
    <xf numFmtId="0" fontId="0" fillId="34" borderId="0" xfId="0" applyFill="1"/>
    <xf numFmtId="0" fontId="0" fillId="0" borderId="0" xfId="0" applyFont="1" applyFill="1" applyAlignment="1">
      <alignment horizontal="center"/>
    </xf>
    <xf numFmtId="0" fontId="0" fillId="35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2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2" borderId="3" xfId="0" applyNumberFormat="1" applyFont="1" applyFill="1" applyBorder="1"/>
    <xf numFmtId="0" fontId="0" fillId="32" borderId="2" xfId="0" applyFont="1" applyFill="1" applyBorder="1"/>
    <xf numFmtId="0" fontId="0" fillId="32" borderId="3" xfId="0" applyFont="1" applyFill="1" applyBorder="1"/>
    <xf numFmtId="0" fontId="0" fillId="32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36" borderId="0" xfId="0" applyFill="1"/>
    <xf numFmtId="0" fontId="0" fillId="37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24" borderId="0" xfId="0" applyFont="1" applyFill="1" applyAlignment="1">
      <alignment horizontal="center"/>
    </xf>
    <xf numFmtId="0" fontId="12" fillId="25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3" borderId="2" xfId="0" applyFill="1" applyBorder="1" applyAlignment="1">
      <alignment horizontal="center"/>
    </xf>
    <xf numFmtId="0" fontId="0" fillId="23" borderId="4" xfId="0" applyFill="1" applyBorder="1" applyAlignment="1">
      <alignment horizontal="center"/>
    </xf>
    <xf numFmtId="0" fontId="0" fillId="23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1" fillId="2" borderId="0" xfId="0" applyNumberFormat="1" applyFont="1" applyFill="1"/>
    <xf numFmtId="0" fontId="0" fillId="0" borderId="0" xfId="0" applyNumberFormat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162.332031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0" t="s">
        <v>164</v>
      </c>
    </row>
    <row r="6" spans="2:4" ht="14" thickBot="1" x14ac:dyDescent="0.2">
      <c r="B6" s="44" t="s">
        <v>141</v>
      </c>
    </row>
    <row r="7" spans="2:4" x14ac:dyDescent="0.15">
      <c r="B7" s="60" t="s">
        <v>143</v>
      </c>
    </row>
    <row r="8" spans="2:4" x14ac:dyDescent="0.15">
      <c r="B8" s="60" t="s">
        <v>142</v>
      </c>
    </row>
    <row r="9" spans="2:4" x14ac:dyDescent="0.15">
      <c r="B9" s="60" t="s">
        <v>144</v>
      </c>
    </row>
    <row r="10" spans="2:4" x14ac:dyDescent="0.15">
      <c r="B10" s="60" t="s">
        <v>147</v>
      </c>
    </row>
    <row r="11" spans="2:4" x14ac:dyDescent="0.15">
      <c r="B11" s="60" t="s">
        <v>151</v>
      </c>
    </row>
    <row r="12" spans="2:4" x14ac:dyDescent="0.15">
      <c r="B12" s="60" t="s">
        <v>153</v>
      </c>
    </row>
    <row r="13" spans="2:4" x14ac:dyDescent="0.15">
      <c r="B13" s="60" t="s">
        <v>165</v>
      </c>
    </row>
    <row r="15" spans="2:4" ht="14" thickBot="1" x14ac:dyDescent="0.2"/>
    <row r="16" spans="2:4" ht="14" thickBot="1" x14ac:dyDescent="0.2">
      <c r="B16" s="45" t="s">
        <v>137</v>
      </c>
      <c r="C16" s="46"/>
      <c r="D16" s="28">
        <v>41373</v>
      </c>
    </row>
    <row r="17" spans="2:4" x14ac:dyDescent="0.15">
      <c r="B17" s="47" t="s">
        <v>58</v>
      </c>
      <c r="C17" s="31">
        <v>0</v>
      </c>
    </row>
    <row r="18" spans="2:4" x14ac:dyDescent="0.15">
      <c r="B18" s="47" t="s">
        <v>59</v>
      </c>
      <c r="C18" s="31">
        <v>1</v>
      </c>
    </row>
    <row r="19" spans="2:4" x14ac:dyDescent="0.15">
      <c r="B19" s="47" t="s">
        <v>60</v>
      </c>
      <c r="C19" s="31">
        <v>2</v>
      </c>
    </row>
    <row r="20" spans="2:4" ht="14" thickBot="1" x14ac:dyDescent="0.2">
      <c r="B20" s="48" t="s">
        <v>44</v>
      </c>
      <c r="C20" s="32">
        <v>3</v>
      </c>
    </row>
    <row r="21" spans="2:4" x14ac:dyDescent="0.15">
      <c r="B21" s="49" t="s">
        <v>140</v>
      </c>
    </row>
    <row r="22" spans="2:4" ht="14" thickBot="1" x14ac:dyDescent="0.2"/>
    <row r="23" spans="2:4" ht="14" thickBot="1" x14ac:dyDescent="0.2">
      <c r="B23" s="45" t="s">
        <v>65</v>
      </c>
      <c r="C23" s="46"/>
      <c r="D23" s="28" t="s">
        <v>148</v>
      </c>
    </row>
    <row r="24" spans="2:4" x14ac:dyDescent="0.15">
      <c r="B24" s="51" t="s">
        <v>38</v>
      </c>
      <c r="C24" s="29">
        <v>1</v>
      </c>
    </row>
    <row r="25" spans="2:4" x14ac:dyDescent="0.15">
      <c r="B25" s="47" t="s">
        <v>40</v>
      </c>
      <c r="C25" s="31">
        <v>1.1000000000000001</v>
      </c>
    </row>
    <row r="26" spans="2:4" x14ac:dyDescent="0.15">
      <c r="B26" s="47" t="s">
        <v>41</v>
      </c>
      <c r="C26" s="31">
        <v>1.2</v>
      </c>
    </row>
    <row r="27" spans="2:4" x14ac:dyDescent="0.15">
      <c r="B27" s="47"/>
      <c r="C27" s="31"/>
    </row>
    <row r="28" spans="2:4" x14ac:dyDescent="0.15">
      <c r="B28" s="47" t="s">
        <v>42</v>
      </c>
      <c r="C28" s="31">
        <v>2.1</v>
      </c>
    </row>
    <row r="29" spans="2:4" x14ac:dyDescent="0.15">
      <c r="B29" s="47" t="s">
        <v>43</v>
      </c>
      <c r="C29" s="31">
        <v>2.2000000000000002</v>
      </c>
    </row>
    <row r="30" spans="2:4" x14ac:dyDescent="0.15">
      <c r="B30" s="47" t="s">
        <v>67</v>
      </c>
      <c r="C30" s="31">
        <v>2.2999999999999998</v>
      </c>
    </row>
    <row r="31" spans="2:4" x14ac:dyDescent="0.15">
      <c r="B31" s="47"/>
      <c r="C31" s="31"/>
    </row>
    <row r="32" spans="2:4" x14ac:dyDescent="0.15">
      <c r="B32" s="47" t="s">
        <v>62</v>
      </c>
      <c r="C32" s="31">
        <v>3.11</v>
      </c>
    </row>
    <row r="33" spans="2:3" x14ac:dyDescent="0.15">
      <c r="B33" s="47" t="s">
        <v>61</v>
      </c>
      <c r="C33" s="31">
        <v>3.12</v>
      </c>
    </row>
    <row r="34" spans="2:3" x14ac:dyDescent="0.15">
      <c r="B34" s="47" t="s">
        <v>68</v>
      </c>
      <c r="C34" s="31">
        <v>3.13</v>
      </c>
    </row>
    <row r="35" spans="2:3" x14ac:dyDescent="0.15">
      <c r="B35" s="47"/>
      <c r="C35" s="31"/>
    </row>
    <row r="36" spans="2:3" x14ac:dyDescent="0.15">
      <c r="B36" s="47" t="s">
        <v>66</v>
      </c>
      <c r="C36" s="31">
        <v>3.21</v>
      </c>
    </row>
    <row r="37" spans="2:3" x14ac:dyDescent="0.15">
      <c r="B37" s="47" t="s">
        <v>63</v>
      </c>
      <c r="C37" s="31">
        <v>3.22</v>
      </c>
    </row>
    <row r="38" spans="2:3" x14ac:dyDescent="0.15">
      <c r="B38" s="47" t="s">
        <v>69</v>
      </c>
      <c r="C38" s="31">
        <v>3.23</v>
      </c>
    </row>
    <row r="39" spans="2:3" x14ac:dyDescent="0.15">
      <c r="B39" s="47"/>
      <c r="C39" s="31"/>
    </row>
    <row r="40" spans="2:3" x14ac:dyDescent="0.15">
      <c r="B40" s="47" t="s">
        <v>64</v>
      </c>
      <c r="C40" s="31">
        <v>8</v>
      </c>
    </row>
    <row r="41" spans="2:3" x14ac:dyDescent="0.15">
      <c r="B41" s="47"/>
      <c r="C41" s="31"/>
    </row>
    <row r="42" spans="2:3" x14ac:dyDescent="0.15">
      <c r="B42" s="47" t="s">
        <v>71</v>
      </c>
      <c r="C42" s="31">
        <v>4.0999999999999996</v>
      </c>
    </row>
    <row r="43" spans="2:3" x14ac:dyDescent="0.15">
      <c r="B43" s="47" t="s">
        <v>70</v>
      </c>
      <c r="C43" s="31">
        <v>4.2</v>
      </c>
    </row>
    <row r="44" spans="2:3" x14ac:dyDescent="0.15">
      <c r="B44" s="47" t="s">
        <v>72</v>
      </c>
      <c r="C44" s="31">
        <v>4.3</v>
      </c>
    </row>
    <row r="45" spans="2:3" x14ac:dyDescent="0.15">
      <c r="B45" s="30"/>
      <c r="C45" s="31"/>
    </row>
    <row r="46" spans="2:3" x14ac:dyDescent="0.15">
      <c r="B46" s="47" t="s">
        <v>138</v>
      </c>
      <c r="C46" s="31">
        <v>6.1</v>
      </c>
    </row>
    <row r="47" spans="2:3" x14ac:dyDescent="0.15">
      <c r="B47" s="47" t="s">
        <v>45</v>
      </c>
      <c r="C47" s="31">
        <v>6.2</v>
      </c>
    </row>
    <row r="48" spans="2:3" x14ac:dyDescent="0.15">
      <c r="B48" s="47"/>
      <c r="C48" s="31"/>
    </row>
    <row r="49" spans="2:4" x14ac:dyDescent="0.15">
      <c r="B49" s="47" t="s">
        <v>44</v>
      </c>
      <c r="C49" s="31">
        <v>5</v>
      </c>
    </row>
    <row r="50" spans="2:4" x14ac:dyDescent="0.15">
      <c r="B50" s="47"/>
      <c r="C50" s="31"/>
    </row>
    <row r="51" spans="2:4" ht="14" thickBot="1" x14ac:dyDescent="0.2">
      <c r="B51" s="48" t="s">
        <v>73</v>
      </c>
      <c r="C51" s="32">
        <v>7</v>
      </c>
    </row>
    <row r="53" spans="2:4" x14ac:dyDescent="0.15">
      <c r="B53" s="157" t="s">
        <v>171</v>
      </c>
      <c r="C53" s="102">
        <v>243</v>
      </c>
      <c r="D53" s="102"/>
    </row>
    <row r="54" spans="2:4" x14ac:dyDescent="0.15">
      <c r="B54" s="157" t="s">
        <v>172</v>
      </c>
      <c r="C54" s="157" t="s">
        <v>185</v>
      </c>
      <c r="D54" s="102"/>
    </row>
    <row r="55" spans="2:4" x14ac:dyDescent="0.15">
      <c r="B55" s="157" t="s">
        <v>173</v>
      </c>
      <c r="C55" s="157" t="s">
        <v>186</v>
      </c>
      <c r="D55" s="102"/>
    </row>
    <row r="56" spans="2:4" x14ac:dyDescent="0.15">
      <c r="B56" s="157" t="s">
        <v>174</v>
      </c>
      <c r="C56" s="102">
        <v>2500</v>
      </c>
      <c r="D56" s="102"/>
    </row>
    <row r="57" spans="2:4" x14ac:dyDescent="0.15">
      <c r="B57" s="157" t="s">
        <v>175</v>
      </c>
      <c r="C57" s="157" t="s">
        <v>187</v>
      </c>
      <c r="D57" s="102"/>
    </row>
    <row r="58" spans="2:4" x14ac:dyDescent="0.15">
      <c r="B58" s="157" t="s">
        <v>176</v>
      </c>
      <c r="C58" s="157" t="s">
        <v>188</v>
      </c>
      <c r="D58" s="102"/>
    </row>
    <row r="59" spans="2:4" x14ac:dyDescent="0.15">
      <c r="B59" s="157" t="s">
        <v>177</v>
      </c>
      <c r="C59" s="157" t="s">
        <v>189</v>
      </c>
      <c r="D59" s="102"/>
    </row>
    <row r="60" spans="2:4" x14ac:dyDescent="0.15">
      <c r="B60" s="157" t="s">
        <v>178</v>
      </c>
      <c r="C60" s="157" t="s">
        <v>190</v>
      </c>
      <c r="D60" s="102"/>
    </row>
    <row r="61" spans="2:4" x14ac:dyDescent="0.15">
      <c r="B61" s="157" t="s">
        <v>179</v>
      </c>
      <c r="C61" s="102">
        <v>20</v>
      </c>
      <c r="D61" s="102"/>
    </row>
    <row r="62" spans="2:4" x14ac:dyDescent="0.15">
      <c r="B62" s="157" t="s">
        <v>180</v>
      </c>
      <c r="C62" s="102">
        <v>1</v>
      </c>
      <c r="D62" s="102"/>
    </row>
    <row r="63" spans="2:4" x14ac:dyDescent="0.15">
      <c r="B63" s="157" t="s">
        <v>181</v>
      </c>
      <c r="C63" s="102">
        <v>1980</v>
      </c>
      <c r="D63" s="102"/>
    </row>
    <row r="64" spans="2:4" x14ac:dyDescent="0.15">
      <c r="B64" s="157" t="s">
        <v>182</v>
      </c>
      <c r="C64" s="102">
        <v>10</v>
      </c>
      <c r="D64" s="102"/>
    </row>
    <row r="65" spans="2:4" x14ac:dyDescent="0.15">
      <c r="B65" s="157" t="s">
        <v>183</v>
      </c>
      <c r="C65" s="157" t="s">
        <v>191</v>
      </c>
      <c r="D65" s="102"/>
    </row>
    <row r="66" spans="2:4" x14ac:dyDescent="0.15">
      <c r="B66" s="157" t="s">
        <v>184</v>
      </c>
      <c r="D66" s="102"/>
    </row>
    <row r="67" spans="2:4" x14ac:dyDescent="0.15">
      <c r="B67" s="102"/>
      <c r="C67" s="102"/>
      <c r="D67" s="102"/>
    </row>
    <row r="68" spans="2:4" x14ac:dyDescent="0.15">
      <c r="B68" s="102"/>
      <c r="C68" s="102"/>
      <c r="D68" s="102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6" sqref="Q6"/>
    </sheetView>
  </sheetViews>
  <sheetFormatPr baseColWidth="10" defaultColWidth="8.83203125" defaultRowHeight="15" customHeight="1" x14ac:dyDescent="0.15"/>
  <cols>
    <col min="1" max="1" width="22.5" style="76" customWidth="1"/>
    <col min="2" max="3" width="3.33203125" style="76" customWidth="1"/>
    <col min="4" max="4" width="14.33203125" style="76" customWidth="1"/>
    <col min="5" max="5" width="22" style="76" bestFit="1" customWidth="1"/>
    <col min="6" max="6" width="2.33203125" style="76" bestFit="1" customWidth="1"/>
    <col min="7" max="7" width="10.83203125" style="76" bestFit="1" customWidth="1"/>
    <col min="8" max="9" width="6.83203125" style="76" customWidth="1"/>
    <col min="10" max="11" width="12.83203125" style="76" customWidth="1"/>
    <col min="12" max="12" width="2.33203125" style="76" customWidth="1"/>
    <col min="13" max="13" width="3.83203125" style="76" customWidth="1"/>
    <col min="14" max="14" width="2.33203125" style="76" customWidth="1"/>
    <col min="16" max="25" width="8.83203125" style="76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76"/>
  </cols>
  <sheetData>
    <row r="1" spans="1:46" s="93" customFormat="1" ht="15" customHeight="1" x14ac:dyDescent="0.15">
      <c r="A1" s="72" t="s">
        <v>18</v>
      </c>
      <c r="C1" s="73" t="s">
        <v>8</v>
      </c>
      <c r="D1" s="72" t="s">
        <v>23</v>
      </c>
      <c r="E1" s="72" t="s">
        <v>0</v>
      </c>
      <c r="F1" s="72" t="s">
        <v>7</v>
      </c>
      <c r="G1" s="74" t="s">
        <v>13</v>
      </c>
      <c r="H1" s="72" t="s">
        <v>1</v>
      </c>
      <c r="I1" s="72" t="s">
        <v>2</v>
      </c>
      <c r="J1" s="72" t="s">
        <v>14</v>
      </c>
      <c r="K1" s="72" t="s">
        <v>3</v>
      </c>
      <c r="L1" s="72" t="s">
        <v>4</v>
      </c>
      <c r="M1" s="72" t="s">
        <v>5</v>
      </c>
      <c r="N1" s="72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3">
        <v>1</v>
      </c>
      <c r="D2"/>
      <c r="E2" s="158" t="s">
        <v>192</v>
      </c>
      <c r="F2" s="76">
        <v>0</v>
      </c>
      <c r="G2" s="76">
        <v>0.72099999999999997</v>
      </c>
      <c r="H2" s="76">
        <v>0.66</v>
      </c>
      <c r="I2" s="6">
        <v>9.2569999999999997</v>
      </c>
      <c r="J2" s="6">
        <v>0.70879150000000002</v>
      </c>
      <c r="K2" s="6">
        <v>7.1297399999999997E-2</v>
      </c>
      <c r="L2" s="6">
        <v>0</v>
      </c>
      <c r="M2" s="76">
        <v>0.2</v>
      </c>
      <c r="N2" s="76">
        <v>0</v>
      </c>
    </row>
    <row r="3" spans="1:46" ht="15" customHeight="1" x14ac:dyDescent="0.15">
      <c r="A3" s="1" t="s">
        <v>9</v>
      </c>
      <c r="B3" s="4">
        <v>19</v>
      </c>
      <c r="C3" s="76">
        <v>2</v>
      </c>
      <c r="D3"/>
      <c r="E3" s="158" t="s">
        <v>193</v>
      </c>
      <c r="F3" s="76">
        <v>0</v>
      </c>
      <c r="G3" s="76">
        <v>0.13700000000000001</v>
      </c>
      <c r="H3" s="76">
        <v>1.5860000000000001</v>
      </c>
      <c r="I3" s="76">
        <v>6.6</v>
      </c>
      <c r="J3" s="76">
        <v>0.74719363500000002</v>
      </c>
      <c r="K3" s="76">
        <v>0.240303025</v>
      </c>
      <c r="L3" s="76">
        <v>0</v>
      </c>
      <c r="M3" s="76">
        <v>0.2</v>
      </c>
      <c r="N3" s="76">
        <v>0</v>
      </c>
    </row>
    <row r="4" spans="1:46" ht="15" customHeight="1" x14ac:dyDescent="0.15">
      <c r="A4" s="1" t="s">
        <v>10</v>
      </c>
      <c r="B4" s="4">
        <v>2</v>
      </c>
      <c r="C4" s="76">
        <v>3</v>
      </c>
      <c r="D4"/>
      <c r="E4" s="158" t="s">
        <v>194</v>
      </c>
      <c r="F4" s="76">
        <v>0</v>
      </c>
      <c r="G4" s="76">
        <v>0.371</v>
      </c>
      <c r="H4" s="76">
        <v>0.35799999999999998</v>
      </c>
      <c r="I4" s="76">
        <v>9.6419999999999995</v>
      </c>
      <c r="J4" s="76">
        <v>0.69713040000000004</v>
      </c>
      <c r="K4" s="76">
        <v>3.7129227100000002E-2</v>
      </c>
      <c r="L4" s="76">
        <v>0</v>
      </c>
      <c r="M4" s="76">
        <v>0.2</v>
      </c>
      <c r="N4" s="76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</v>
      </c>
      <c r="C5" s="76">
        <v>4</v>
      </c>
      <c r="D5"/>
      <c r="E5" s="158" t="s">
        <v>195</v>
      </c>
      <c r="F5" s="76">
        <v>0</v>
      </c>
      <c r="G5" s="76">
        <v>0.14199999999999999</v>
      </c>
      <c r="H5" s="76">
        <v>0.49199999999999999</v>
      </c>
      <c r="I5" s="76">
        <v>9.3369999999999997</v>
      </c>
      <c r="J5" s="76">
        <v>0.80407340000000005</v>
      </c>
      <c r="K5" s="76">
        <v>5.2693586799999997E-2</v>
      </c>
      <c r="L5" s="76">
        <v>0</v>
      </c>
      <c r="M5" s="76">
        <v>0.2</v>
      </c>
      <c r="N5" s="76">
        <v>0</v>
      </c>
      <c r="P5" s="66"/>
      <c r="Q5" s="66"/>
      <c r="R5" s="66"/>
    </row>
    <row r="6" spans="1:46" ht="15" customHeight="1" thickBot="1" x14ac:dyDescent="0.2">
      <c r="B6" s="1"/>
      <c r="C6" s="76">
        <v>5</v>
      </c>
      <c r="D6"/>
      <c r="E6" s="158" t="s">
        <v>196</v>
      </c>
      <c r="F6" s="76">
        <v>0</v>
      </c>
      <c r="G6" s="76">
        <v>0.12</v>
      </c>
      <c r="H6" s="76">
        <v>0.51300000000000001</v>
      </c>
      <c r="I6" s="76">
        <v>6.843</v>
      </c>
      <c r="J6" s="76">
        <v>0.790313661</v>
      </c>
      <c r="K6" s="76">
        <v>7.4967119999999998E-2</v>
      </c>
      <c r="L6" s="76">
        <v>0</v>
      </c>
      <c r="M6" s="76">
        <v>0.2</v>
      </c>
      <c r="N6" s="76">
        <v>0</v>
      </c>
      <c r="P6" s="66"/>
      <c r="Q6" s="66"/>
      <c r="R6" s="66"/>
      <c r="W6" s="34" t="s">
        <v>31</v>
      </c>
      <c r="X6" s="50">
        <f>MAX(MainOutputs!G:G)</f>
        <v>0.9819679856300354</v>
      </c>
    </row>
    <row r="7" spans="1:46" ht="15" customHeight="1" x14ac:dyDescent="0.15">
      <c r="A7" s="2" t="s">
        <v>27</v>
      </c>
      <c r="B7" s="76">
        <f ca="1">COUNTIF(OFFSET(cornerDiets,1,1,NumLiving+NumDead+1,NumLiving+NumDead),"&gt;0")+NumLiving+NumDead+1</f>
        <v>167</v>
      </c>
      <c r="C7" s="76">
        <v>6</v>
      </c>
      <c r="D7"/>
      <c r="E7" s="158" t="s">
        <v>197</v>
      </c>
      <c r="F7" s="76">
        <v>0</v>
      </c>
      <c r="G7" s="76">
        <v>3.6999999999999998E-2</v>
      </c>
      <c r="H7" s="76">
        <v>0.51600000000000001</v>
      </c>
      <c r="I7" s="76">
        <v>4.7510000000000003</v>
      </c>
      <c r="J7" s="76">
        <v>0.69798106000000004</v>
      </c>
      <c r="K7" s="76">
        <v>0.108608708</v>
      </c>
      <c r="L7" s="76">
        <v>0</v>
      </c>
      <c r="M7" s="76">
        <v>0.2</v>
      </c>
      <c r="N7" s="76">
        <v>0</v>
      </c>
      <c r="P7" s="66"/>
      <c r="Q7" s="66"/>
      <c r="R7" s="66"/>
    </row>
    <row r="8" spans="1:46" ht="15" customHeight="1" x14ac:dyDescent="0.15">
      <c r="A8" s="2" t="s">
        <v>28</v>
      </c>
      <c r="B8" s="76">
        <f ca="1">COUNTIF(OFFSET(cornerFishing,1,2,NumLiving+NumDead,NumGears),"&gt;0")+NumDead*COUNTIF(OFFSET(cornerDiscards,1,2,NumLiving+NumDead,NumGears),"&gt;0")+NumLiving+NumDead+1</f>
        <v>31</v>
      </c>
      <c r="C8" s="76">
        <v>7</v>
      </c>
      <c r="D8"/>
      <c r="E8" s="158" t="s">
        <v>198</v>
      </c>
      <c r="F8" s="76">
        <v>0</v>
      </c>
      <c r="G8" s="76">
        <v>0.47899999999999998</v>
      </c>
      <c r="H8" s="76">
        <v>0.47799999999999998</v>
      </c>
      <c r="I8" s="76">
        <v>11.846</v>
      </c>
      <c r="J8" s="76">
        <v>0.79630160000000005</v>
      </c>
      <c r="K8" s="76">
        <v>4.03511748E-2</v>
      </c>
      <c r="L8" s="76">
        <v>0</v>
      </c>
      <c r="M8" s="76">
        <v>0.2</v>
      </c>
      <c r="N8" s="76">
        <v>0</v>
      </c>
      <c r="P8" s="66"/>
      <c r="Q8" s="66"/>
      <c r="R8" s="66"/>
    </row>
    <row r="9" spans="1:46" ht="15" customHeight="1" x14ac:dyDescent="0.15">
      <c r="B9" s="1"/>
      <c r="C9" s="76">
        <v>8</v>
      </c>
      <c r="D9"/>
      <c r="E9" s="158" t="s">
        <v>199</v>
      </c>
      <c r="F9" s="76">
        <v>0</v>
      </c>
      <c r="G9" s="76">
        <v>0.22900000000000001</v>
      </c>
      <c r="H9" s="76">
        <v>0.3</v>
      </c>
      <c r="I9" s="76">
        <v>7.9029999999999996</v>
      </c>
      <c r="J9" s="76">
        <v>3.1252022800000001E-2</v>
      </c>
      <c r="K9" s="76">
        <v>3.7960269999999997E-2</v>
      </c>
      <c r="L9" s="76">
        <v>0</v>
      </c>
      <c r="M9" s="76">
        <v>0.2</v>
      </c>
      <c r="N9" s="76">
        <v>0</v>
      </c>
      <c r="P9" s="66"/>
      <c r="Q9" s="66"/>
      <c r="R9" s="66"/>
    </row>
    <row r="10" spans="1:46" ht="15" customHeight="1" x14ac:dyDescent="0.15">
      <c r="B10" s="1"/>
      <c r="C10" s="76">
        <v>9</v>
      </c>
      <c r="D10"/>
      <c r="E10" s="158" t="s">
        <v>200</v>
      </c>
      <c r="F10" s="76">
        <v>0</v>
      </c>
      <c r="G10" s="76">
        <v>0.24199999999999999</v>
      </c>
      <c r="H10" s="76">
        <v>0.77800000000000002</v>
      </c>
      <c r="I10" s="76">
        <v>6.226</v>
      </c>
      <c r="J10" s="76">
        <v>0.95326630000000001</v>
      </c>
      <c r="K10" s="76">
        <v>0.124959849</v>
      </c>
      <c r="L10" s="76">
        <v>0</v>
      </c>
      <c r="M10" s="76">
        <v>0.2</v>
      </c>
      <c r="N10" s="76">
        <v>0</v>
      </c>
    </row>
    <row r="11" spans="1:46" ht="15" customHeight="1" x14ac:dyDescent="0.15">
      <c r="C11" s="76">
        <v>10</v>
      </c>
      <c r="D11"/>
      <c r="E11" s="158" t="s">
        <v>201</v>
      </c>
      <c r="F11" s="76">
        <v>0</v>
      </c>
      <c r="G11" s="76">
        <v>0.753</v>
      </c>
      <c r="H11" s="76">
        <v>3.8010000000000002</v>
      </c>
      <c r="I11" s="76">
        <v>14.157999999999999</v>
      </c>
      <c r="J11" s="76">
        <v>0.39935969999999998</v>
      </c>
      <c r="K11" s="76">
        <v>0.26847013800000002</v>
      </c>
      <c r="L11" s="76">
        <v>0</v>
      </c>
      <c r="M11" s="76">
        <v>0.2</v>
      </c>
      <c r="N11" s="76">
        <v>0</v>
      </c>
    </row>
    <row r="12" spans="1:46" ht="15" customHeight="1" x14ac:dyDescent="0.15">
      <c r="C12" s="76">
        <v>11</v>
      </c>
      <c r="D12"/>
      <c r="E12" s="158" t="s">
        <v>202</v>
      </c>
      <c r="F12" s="76">
        <v>0</v>
      </c>
      <c r="G12" s="76">
        <v>2.56</v>
      </c>
      <c r="H12" s="76">
        <v>4.5010000000000003</v>
      </c>
      <c r="I12" s="76">
        <v>17.86</v>
      </c>
      <c r="J12" s="76">
        <v>0.235199779</v>
      </c>
      <c r="K12" s="76">
        <v>0.25201564999999998</v>
      </c>
      <c r="L12" s="76">
        <v>0</v>
      </c>
      <c r="M12" s="76">
        <v>0.2</v>
      </c>
      <c r="N12" s="76">
        <v>0</v>
      </c>
    </row>
    <row r="13" spans="1:46" ht="15" customHeight="1" x14ac:dyDescent="0.15">
      <c r="C13" s="76">
        <v>12</v>
      </c>
      <c r="D13"/>
      <c r="E13" s="158" t="s">
        <v>203</v>
      </c>
      <c r="F13" s="76">
        <v>0</v>
      </c>
      <c r="G13" s="76">
        <v>0.38600000000000001</v>
      </c>
      <c r="H13" s="76">
        <v>4.6349999999999998</v>
      </c>
      <c r="I13" s="76">
        <v>13.63</v>
      </c>
      <c r="J13" s="76">
        <v>0.95018040000000004</v>
      </c>
      <c r="K13" s="76">
        <v>0.34005869999999999</v>
      </c>
      <c r="L13" s="76">
        <v>0</v>
      </c>
      <c r="M13" s="76">
        <v>0.2</v>
      </c>
      <c r="N13" s="76">
        <v>0</v>
      </c>
    </row>
    <row r="14" spans="1:46" ht="15" customHeight="1" x14ac:dyDescent="0.15">
      <c r="C14" s="76">
        <v>13</v>
      </c>
      <c r="D14"/>
      <c r="E14" s="158" t="s">
        <v>204</v>
      </c>
      <c r="F14" s="76">
        <v>0</v>
      </c>
      <c r="G14" s="76">
        <v>1.506</v>
      </c>
      <c r="H14" s="76">
        <v>4.6230000000000002</v>
      </c>
      <c r="I14" s="76">
        <v>15.765000000000001</v>
      </c>
      <c r="J14" s="76">
        <v>0.75459766399999995</v>
      </c>
      <c r="K14" s="76">
        <v>0.29324454100000003</v>
      </c>
      <c r="L14" s="76">
        <v>0</v>
      </c>
      <c r="M14" s="76">
        <v>0.2</v>
      </c>
      <c r="N14" s="76">
        <v>0</v>
      </c>
    </row>
    <row r="15" spans="1:46" ht="15" customHeight="1" x14ac:dyDescent="0.15">
      <c r="C15" s="76">
        <v>14</v>
      </c>
      <c r="D15"/>
      <c r="E15" s="158" t="s">
        <v>205</v>
      </c>
      <c r="F15" s="76">
        <v>0</v>
      </c>
      <c r="G15" s="76">
        <v>1.3099393800000001</v>
      </c>
      <c r="H15" s="76">
        <v>2.2450000000000001</v>
      </c>
      <c r="I15" s="76">
        <v>12.596</v>
      </c>
      <c r="J15" s="76">
        <v>0.96</v>
      </c>
      <c r="K15" s="76">
        <v>0.17823117999999999</v>
      </c>
      <c r="L15" s="76">
        <v>0</v>
      </c>
      <c r="M15" s="76">
        <v>0.2</v>
      </c>
      <c r="N15" s="76">
        <v>0</v>
      </c>
    </row>
    <row r="16" spans="1:46" ht="15" customHeight="1" x14ac:dyDescent="0.15">
      <c r="C16" s="76">
        <v>15</v>
      </c>
      <c r="D16"/>
      <c r="E16" s="158" t="s">
        <v>206</v>
      </c>
      <c r="F16" s="76">
        <v>0</v>
      </c>
      <c r="G16" s="76">
        <v>8.0129999999999999</v>
      </c>
      <c r="H16" s="76">
        <v>4.4249999999999998</v>
      </c>
      <c r="I16" s="76">
        <v>21.544</v>
      </c>
      <c r="J16" s="76">
        <v>0.4435576</v>
      </c>
      <c r="K16" s="76">
        <v>0.205393612</v>
      </c>
      <c r="L16" s="76">
        <v>0</v>
      </c>
      <c r="M16" s="76">
        <v>0.2</v>
      </c>
      <c r="N16" s="76">
        <v>0</v>
      </c>
    </row>
    <row r="17" spans="1:22" ht="15" customHeight="1" x14ac:dyDescent="0.15">
      <c r="C17" s="76">
        <v>16</v>
      </c>
      <c r="D17"/>
      <c r="E17" s="158" t="s">
        <v>207</v>
      </c>
      <c r="F17" s="76">
        <v>0</v>
      </c>
      <c r="G17" s="76">
        <v>5.19295025</v>
      </c>
      <c r="H17" s="76">
        <v>10.382999999999999</v>
      </c>
      <c r="I17" s="76">
        <v>48.762999999999998</v>
      </c>
      <c r="J17" s="76">
        <v>0.46</v>
      </c>
      <c r="K17" s="76">
        <v>0.21292783300000001</v>
      </c>
      <c r="L17" s="76">
        <v>0</v>
      </c>
      <c r="M17" s="76">
        <v>0.2</v>
      </c>
      <c r="N17" s="76">
        <v>0</v>
      </c>
      <c r="V17" s="1" t="s">
        <v>30</v>
      </c>
    </row>
    <row r="18" spans="1:22" ht="15" customHeight="1" x14ac:dyDescent="0.15">
      <c r="C18" s="76">
        <v>17</v>
      </c>
      <c r="D18"/>
      <c r="E18" s="158" t="s">
        <v>208</v>
      </c>
      <c r="F18" s="76">
        <v>0</v>
      </c>
      <c r="G18" s="76">
        <v>1.127</v>
      </c>
      <c r="H18" s="76">
        <v>18.95</v>
      </c>
      <c r="I18" s="76">
        <v>71.974000000000004</v>
      </c>
      <c r="J18" s="76">
        <v>0.57438599999999995</v>
      </c>
      <c r="K18" s="76">
        <v>0.26328954100000002</v>
      </c>
      <c r="L18" s="76">
        <v>0</v>
      </c>
      <c r="M18" s="76">
        <v>0.2</v>
      </c>
      <c r="N18" s="76">
        <v>0</v>
      </c>
      <c r="V18" s="1"/>
    </row>
    <row r="19" spans="1:22" ht="15" customHeight="1" x14ac:dyDescent="0.15">
      <c r="C19" s="76">
        <v>18</v>
      </c>
      <c r="D19"/>
      <c r="E19" s="158" t="s">
        <v>209</v>
      </c>
      <c r="F19" s="76">
        <v>1</v>
      </c>
      <c r="G19" s="76">
        <v>239.03800000000001</v>
      </c>
      <c r="H19" s="76">
        <v>10.531000000000001</v>
      </c>
      <c r="I19" s="76">
        <v>0</v>
      </c>
      <c r="J19" s="76">
        <v>1.18747195E-2</v>
      </c>
      <c r="K19" s="76">
        <v>0</v>
      </c>
      <c r="L19" s="76">
        <v>0</v>
      </c>
      <c r="M19" s="76">
        <v>0</v>
      </c>
      <c r="N19" s="76">
        <v>0</v>
      </c>
    </row>
    <row r="20" spans="1:22" ht="15" customHeight="1" thickBot="1" x14ac:dyDescent="0.2">
      <c r="C20" s="76">
        <v>19</v>
      </c>
      <c r="D20"/>
      <c r="E20" s="158" t="s">
        <v>210</v>
      </c>
      <c r="F20" s="76">
        <v>1</v>
      </c>
      <c r="G20" s="76">
        <v>1.155</v>
      </c>
      <c r="H20" s="76">
        <v>60.676000000000002</v>
      </c>
      <c r="I20" s="76">
        <v>0</v>
      </c>
      <c r="J20" s="76">
        <v>0.98196799999999995</v>
      </c>
      <c r="K20" s="76">
        <v>0</v>
      </c>
      <c r="L20" s="76">
        <v>0</v>
      </c>
      <c r="M20" s="76">
        <v>0</v>
      </c>
      <c r="N20" s="76">
        <v>0</v>
      </c>
    </row>
    <row r="21" spans="1:22" ht="15" customHeight="1" thickBot="1" x14ac:dyDescent="0.2">
      <c r="A21" s="45" t="s">
        <v>137</v>
      </c>
      <c r="B21" s="94"/>
      <c r="C21" s="76">
        <v>20</v>
      </c>
      <c r="D21"/>
      <c r="E21" s="158" t="s">
        <v>211</v>
      </c>
      <c r="F21" s="76">
        <v>2</v>
      </c>
      <c r="G21" s="76">
        <v>12.71</v>
      </c>
      <c r="H21" s="76">
        <v>0</v>
      </c>
      <c r="I21" s="76">
        <v>0</v>
      </c>
      <c r="J21" s="76">
        <v>0</v>
      </c>
      <c r="K21" s="76">
        <v>0</v>
      </c>
      <c r="L21" s="76">
        <v>0</v>
      </c>
      <c r="M21" s="76">
        <v>0</v>
      </c>
      <c r="N21" s="76">
        <v>0</v>
      </c>
    </row>
    <row r="22" spans="1:22" ht="15" customHeight="1" x14ac:dyDescent="0.15">
      <c r="A22" s="95" t="s">
        <v>58</v>
      </c>
      <c r="B22" s="96">
        <v>0</v>
      </c>
      <c r="C22" s="76">
        <v>21</v>
      </c>
      <c r="D22"/>
      <c r="E22" s="158" t="s">
        <v>212</v>
      </c>
      <c r="F22" s="76">
        <v>2</v>
      </c>
      <c r="G22" s="76">
        <v>5</v>
      </c>
      <c r="H22" s="76">
        <v>0</v>
      </c>
      <c r="I22" s="76">
        <v>0</v>
      </c>
      <c r="J22" s="76">
        <v>0</v>
      </c>
      <c r="K22" s="76">
        <v>0</v>
      </c>
      <c r="L22" s="76">
        <v>0</v>
      </c>
      <c r="M22" s="76">
        <v>0</v>
      </c>
      <c r="N22" s="76">
        <v>0</v>
      </c>
    </row>
    <row r="23" spans="1:22" ht="15" customHeight="1" x14ac:dyDescent="0.15">
      <c r="A23" s="95" t="s">
        <v>59</v>
      </c>
      <c r="B23" s="96">
        <v>1</v>
      </c>
      <c r="C23" s="76">
        <v>22</v>
      </c>
      <c r="D23"/>
      <c r="E23" s="158" t="s">
        <v>213</v>
      </c>
      <c r="F23" s="76">
        <v>3</v>
      </c>
      <c r="G23" s="76">
        <v>0</v>
      </c>
      <c r="H23" s="76">
        <v>0</v>
      </c>
      <c r="I23" s="76">
        <v>0</v>
      </c>
      <c r="J23" s="76">
        <v>0</v>
      </c>
      <c r="K23" s="76">
        <v>0</v>
      </c>
      <c r="L23" s="76">
        <v>0</v>
      </c>
      <c r="M23" s="76">
        <v>0</v>
      </c>
      <c r="N23" s="76">
        <v>0</v>
      </c>
    </row>
    <row r="24" spans="1:22" ht="15" customHeight="1" x14ac:dyDescent="0.15">
      <c r="A24" s="95" t="s">
        <v>60</v>
      </c>
      <c r="B24" s="96">
        <v>2</v>
      </c>
      <c r="C24"/>
      <c r="D24"/>
      <c r="E24"/>
      <c r="F24"/>
      <c r="G24"/>
      <c r="H24"/>
      <c r="I24"/>
      <c r="J24"/>
      <c r="K24"/>
      <c r="L24"/>
      <c r="M24"/>
      <c r="N24"/>
    </row>
    <row r="25" spans="1:22" ht="15" customHeight="1" thickBot="1" x14ac:dyDescent="0.2">
      <c r="A25" s="97" t="s">
        <v>44</v>
      </c>
      <c r="B25" s="98">
        <v>3</v>
      </c>
      <c r="C25"/>
      <c r="D25"/>
      <c r="E25"/>
      <c r="F25"/>
      <c r="G25"/>
      <c r="H25"/>
      <c r="I25"/>
      <c r="J25"/>
      <c r="K25"/>
      <c r="L25"/>
      <c r="M25"/>
      <c r="N25"/>
    </row>
    <row r="26" spans="1:22" ht="15" customHeight="1" x14ac:dyDescent="0.15">
      <c r="A26" s="99" t="s">
        <v>140</v>
      </c>
      <c r="C26"/>
      <c r="D26"/>
      <c r="E26"/>
      <c r="F26"/>
      <c r="G26"/>
      <c r="H26"/>
      <c r="I26"/>
      <c r="J26"/>
      <c r="K26"/>
      <c r="L26"/>
      <c r="M26"/>
      <c r="N26"/>
    </row>
    <row r="27" spans="1:22" ht="15" customHeight="1" x14ac:dyDescent="0.15">
      <c r="C27"/>
      <c r="D27"/>
      <c r="E27"/>
      <c r="F27"/>
      <c r="G27"/>
      <c r="H27"/>
      <c r="I27"/>
      <c r="J27"/>
      <c r="K27"/>
      <c r="L27"/>
      <c r="M27"/>
      <c r="N27"/>
    </row>
    <row r="28" spans="1:22" ht="15" customHeight="1" x14ac:dyDescent="0.15">
      <c r="C28"/>
      <c r="D28"/>
      <c r="E28"/>
      <c r="F28"/>
      <c r="G28"/>
      <c r="H28"/>
      <c r="I28"/>
      <c r="J28"/>
      <c r="K28"/>
      <c r="L28"/>
      <c r="M28"/>
      <c r="N28"/>
    </row>
    <row r="29" spans="1:22" customFormat="1" ht="15" customHeight="1" x14ac:dyDescent="0.15"/>
    <row r="30" spans="1:22" customFormat="1" ht="15" customHeight="1" x14ac:dyDescent="0.15"/>
    <row r="31" spans="1:22" customFormat="1" ht="15" customHeight="1" x14ac:dyDescent="0.15"/>
    <row r="32" spans="1:22" customFormat="1" ht="15" customHeight="1" x14ac:dyDescent="0.15"/>
    <row r="33" customFormat="1" ht="15" customHeight="1" x14ac:dyDescent="0.15"/>
    <row r="34" customFormat="1" ht="15" customHeight="1" x14ac:dyDescent="0.15"/>
    <row r="35" customFormat="1" ht="15" customHeight="1" x14ac:dyDescent="0.15"/>
    <row r="36" customFormat="1" ht="15" customHeight="1" x14ac:dyDescent="0.15"/>
    <row r="37" customFormat="1" ht="15" customHeight="1" x14ac:dyDescent="0.15"/>
    <row r="38" customFormat="1" ht="15" customHeight="1" x14ac:dyDescent="0.15"/>
    <row r="39" customFormat="1" ht="15" customHeight="1" x14ac:dyDescent="0.15"/>
    <row r="40" customFormat="1" ht="15" customHeight="1" x14ac:dyDescent="0.15"/>
    <row r="41" customFormat="1" ht="15" customHeight="1" x14ac:dyDescent="0.15"/>
    <row r="42" customFormat="1" ht="15" customHeight="1" x14ac:dyDescent="0.15"/>
    <row r="43" customFormat="1" ht="15" customHeight="1" x14ac:dyDescent="0.15"/>
    <row r="44" customFormat="1" ht="15" customHeight="1" x14ac:dyDescent="0.15"/>
    <row r="45" customFormat="1" ht="15" customHeight="1" x14ac:dyDescent="0.15"/>
    <row r="46" customFormat="1" ht="15" customHeight="1" x14ac:dyDescent="0.15"/>
    <row r="47" customFormat="1" ht="15" customHeight="1" x14ac:dyDescent="0.15"/>
    <row r="48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2" style="132" bestFit="1" customWidth="1"/>
    <col min="2" max="2" width="5.83203125" style="132" bestFit="1" customWidth="1"/>
    <col min="3" max="3" width="13.83203125" style="132" bestFit="1" customWidth="1"/>
    <col min="4" max="5" width="5.83203125" style="132" bestFit="1" customWidth="1"/>
    <col min="6" max="7" width="14.83203125" style="132" bestFit="1" customWidth="1"/>
    <col min="8" max="8" width="5.83203125" style="132" bestFit="1" customWidth="1"/>
    <col min="9" max="10" width="14.83203125" style="132" bestFit="1" customWidth="1"/>
    <col min="11" max="11" width="13.83203125" style="132" bestFit="1" customWidth="1"/>
    <col min="12" max="18" width="5.83203125" style="132" bestFit="1" customWidth="1"/>
    <col min="19" max="22" width="2.33203125" style="132" bestFit="1" customWidth="1"/>
    <col min="23" max="29" width="9" style="132" bestFit="1" customWidth="1"/>
    <col min="30" max="16384" width="8.83203125" style="132"/>
  </cols>
  <sheetData>
    <row r="1" spans="1:34" x14ac:dyDescent="0.15">
      <c r="A1" s="131" t="s">
        <v>19</v>
      </c>
      <c r="B1" s="160" t="s">
        <v>192</v>
      </c>
      <c r="C1" s="160" t="s">
        <v>193</v>
      </c>
      <c r="D1" s="160" t="s">
        <v>194</v>
      </c>
      <c r="E1" s="160" t="s">
        <v>195</v>
      </c>
      <c r="F1" s="160" t="s">
        <v>196</v>
      </c>
      <c r="G1" s="160" t="s">
        <v>197</v>
      </c>
      <c r="H1" s="160" t="s">
        <v>198</v>
      </c>
      <c r="I1" s="160" t="s">
        <v>199</v>
      </c>
      <c r="J1" s="160" t="s">
        <v>200</v>
      </c>
      <c r="K1" s="160" t="s">
        <v>201</v>
      </c>
      <c r="L1" s="160" t="s">
        <v>202</v>
      </c>
      <c r="M1" s="160" t="s">
        <v>203</v>
      </c>
      <c r="N1" s="160" t="s">
        <v>204</v>
      </c>
      <c r="O1" s="160" t="s">
        <v>205</v>
      </c>
      <c r="P1" s="160" t="s">
        <v>206</v>
      </c>
      <c r="Q1" s="160" t="s">
        <v>207</v>
      </c>
      <c r="R1" s="160" t="s">
        <v>208</v>
      </c>
      <c r="S1" s="160" t="s">
        <v>209</v>
      </c>
      <c r="T1" s="160" t="s">
        <v>210</v>
      </c>
      <c r="U1" s="160" t="s">
        <v>211</v>
      </c>
      <c r="V1" s="160" t="s">
        <v>212</v>
      </c>
      <c r="W1"/>
      <c r="X1"/>
      <c r="Y1"/>
      <c r="Z1"/>
      <c r="AA1"/>
      <c r="AB1"/>
      <c r="AC1"/>
      <c r="AD1"/>
      <c r="AE1"/>
      <c r="AF1"/>
      <c r="AG1"/>
      <c r="AH1"/>
    </row>
    <row r="2" spans="1:34" customFormat="1" x14ac:dyDescent="0.15">
      <c r="A2" s="159" t="s">
        <v>192</v>
      </c>
      <c r="B2" s="132">
        <v>1.2E-2</v>
      </c>
      <c r="C2" s="132">
        <v>4.0000003800399735E-3</v>
      </c>
      <c r="D2" s="132">
        <v>1E-3</v>
      </c>
      <c r="E2" s="132">
        <v>0</v>
      </c>
      <c r="F2" s="132">
        <v>0</v>
      </c>
      <c r="G2" s="132">
        <v>0</v>
      </c>
      <c r="H2" s="132">
        <v>0</v>
      </c>
      <c r="I2" s="132">
        <v>0</v>
      </c>
      <c r="J2" s="132">
        <v>0</v>
      </c>
      <c r="K2" s="132">
        <v>0</v>
      </c>
      <c r="L2" s="132">
        <v>0</v>
      </c>
      <c r="M2" s="132">
        <v>0</v>
      </c>
      <c r="N2" s="132">
        <v>0</v>
      </c>
      <c r="O2" s="132">
        <v>0</v>
      </c>
      <c r="P2" s="132">
        <v>0</v>
      </c>
      <c r="Q2" s="132">
        <v>0</v>
      </c>
      <c r="R2" s="132">
        <v>0</v>
      </c>
      <c r="S2" s="132">
        <v>0</v>
      </c>
      <c r="T2" s="132">
        <v>0</v>
      </c>
      <c r="U2" s="132">
        <v>0</v>
      </c>
      <c r="V2" s="132">
        <v>0</v>
      </c>
    </row>
    <row r="3" spans="1:34" customFormat="1" x14ac:dyDescent="0.15">
      <c r="A3" s="159" t="s">
        <v>193</v>
      </c>
      <c r="B3" s="132">
        <v>1E-3</v>
      </c>
      <c r="C3" s="132">
        <v>0</v>
      </c>
      <c r="D3" s="132">
        <v>1E-3</v>
      </c>
      <c r="E3" s="132">
        <v>5.0000000000000001E-3</v>
      </c>
      <c r="F3" s="132">
        <v>9.0000009909999984E-3</v>
      </c>
      <c r="G3" s="132">
        <v>7.9999990079999989E-3</v>
      </c>
      <c r="H3" s="132">
        <v>1E-3</v>
      </c>
      <c r="I3" s="132">
        <v>0</v>
      </c>
      <c r="J3" s="132">
        <v>0</v>
      </c>
      <c r="K3" s="132">
        <v>0</v>
      </c>
      <c r="L3" s="132">
        <v>0</v>
      </c>
      <c r="M3" s="132">
        <v>0</v>
      </c>
      <c r="N3" s="132">
        <v>0</v>
      </c>
      <c r="O3" s="132">
        <v>0</v>
      </c>
      <c r="P3" s="132">
        <v>0</v>
      </c>
      <c r="Q3" s="132">
        <v>0</v>
      </c>
      <c r="R3" s="132">
        <v>0</v>
      </c>
      <c r="S3" s="132">
        <v>0</v>
      </c>
      <c r="T3" s="132">
        <v>0</v>
      </c>
      <c r="U3" s="132">
        <v>0</v>
      </c>
      <c r="V3" s="132">
        <v>0</v>
      </c>
    </row>
    <row r="4" spans="1:34" customFormat="1" x14ac:dyDescent="0.15">
      <c r="A4" s="159" t="s">
        <v>194</v>
      </c>
      <c r="B4" s="132">
        <v>0</v>
      </c>
      <c r="C4" s="132">
        <v>0</v>
      </c>
      <c r="D4" s="132">
        <v>0</v>
      </c>
      <c r="E4" s="132">
        <v>0</v>
      </c>
      <c r="F4" s="132">
        <v>4.7999999951999994E-2</v>
      </c>
      <c r="G4" s="132">
        <v>1.000000001E-3</v>
      </c>
      <c r="H4" s="132">
        <v>0</v>
      </c>
      <c r="I4" s="132">
        <v>0</v>
      </c>
      <c r="J4" s="132">
        <v>0</v>
      </c>
      <c r="K4" s="132">
        <v>0</v>
      </c>
      <c r="L4" s="132">
        <v>0</v>
      </c>
      <c r="M4" s="132">
        <v>0</v>
      </c>
      <c r="N4" s="132">
        <v>0</v>
      </c>
      <c r="O4" s="132">
        <v>0</v>
      </c>
      <c r="P4" s="132">
        <v>0</v>
      </c>
      <c r="Q4" s="132">
        <v>0</v>
      </c>
      <c r="R4" s="132">
        <v>0</v>
      </c>
      <c r="S4" s="132">
        <v>0</v>
      </c>
      <c r="T4" s="132">
        <v>0</v>
      </c>
      <c r="U4" s="132">
        <v>0</v>
      </c>
      <c r="V4" s="132">
        <v>0</v>
      </c>
    </row>
    <row r="5" spans="1:34" customFormat="1" x14ac:dyDescent="0.15">
      <c r="A5" s="159" t="s">
        <v>195</v>
      </c>
      <c r="B5" s="132">
        <v>0</v>
      </c>
      <c r="C5" s="132">
        <v>0</v>
      </c>
      <c r="D5" s="132">
        <v>0</v>
      </c>
      <c r="E5" s="132">
        <v>0</v>
      </c>
      <c r="F5" s="132">
        <v>0</v>
      </c>
      <c r="G5" s="132">
        <v>1.000000001E-3</v>
      </c>
      <c r="H5" s="132">
        <v>0</v>
      </c>
      <c r="I5" s="132">
        <v>0</v>
      </c>
      <c r="J5" s="132">
        <v>0</v>
      </c>
      <c r="K5" s="132">
        <v>0</v>
      </c>
      <c r="L5" s="132">
        <v>0</v>
      </c>
      <c r="M5" s="132">
        <v>0</v>
      </c>
      <c r="N5" s="132">
        <v>0</v>
      </c>
      <c r="O5" s="132">
        <v>0</v>
      </c>
      <c r="P5" s="132">
        <v>0</v>
      </c>
      <c r="Q5" s="132">
        <v>0</v>
      </c>
      <c r="R5" s="132">
        <v>0</v>
      </c>
      <c r="S5" s="132">
        <v>0</v>
      </c>
      <c r="T5" s="132">
        <v>0</v>
      </c>
      <c r="U5" s="132">
        <v>0</v>
      </c>
      <c r="V5" s="132">
        <v>0</v>
      </c>
    </row>
    <row r="6" spans="1:34" customFormat="1" x14ac:dyDescent="0.15">
      <c r="A6" s="159" t="s">
        <v>196</v>
      </c>
      <c r="B6" s="132">
        <v>0</v>
      </c>
      <c r="C6" s="132">
        <v>0</v>
      </c>
      <c r="D6" s="132">
        <v>0</v>
      </c>
      <c r="E6" s="132">
        <v>2E-3</v>
      </c>
      <c r="F6" s="132">
        <v>0</v>
      </c>
      <c r="G6" s="132">
        <v>0</v>
      </c>
      <c r="H6" s="132">
        <v>0</v>
      </c>
      <c r="I6" s="132">
        <v>0</v>
      </c>
      <c r="J6" s="132">
        <v>0</v>
      </c>
      <c r="K6" s="132">
        <v>0</v>
      </c>
      <c r="L6" s="132">
        <v>0</v>
      </c>
      <c r="M6" s="132">
        <v>0</v>
      </c>
      <c r="N6" s="132">
        <v>0</v>
      </c>
      <c r="O6" s="132">
        <v>0</v>
      </c>
      <c r="P6" s="132">
        <v>0</v>
      </c>
      <c r="Q6" s="132">
        <v>0</v>
      </c>
      <c r="R6" s="132">
        <v>0</v>
      </c>
      <c r="S6" s="132">
        <v>0</v>
      </c>
      <c r="T6" s="132">
        <v>0</v>
      </c>
      <c r="U6" s="132">
        <v>0</v>
      </c>
      <c r="V6" s="132">
        <v>0</v>
      </c>
    </row>
    <row r="7" spans="1:34" customFormat="1" x14ac:dyDescent="0.15">
      <c r="A7" s="159" t="s">
        <v>197</v>
      </c>
      <c r="B7" s="132">
        <v>0</v>
      </c>
      <c r="C7" s="132">
        <v>0</v>
      </c>
      <c r="D7" s="132">
        <v>0</v>
      </c>
      <c r="E7" s="132">
        <v>1E-3</v>
      </c>
      <c r="F7" s="132">
        <v>0</v>
      </c>
      <c r="G7" s="132">
        <v>0</v>
      </c>
      <c r="H7" s="132">
        <v>0</v>
      </c>
      <c r="I7" s="132">
        <v>0</v>
      </c>
      <c r="J7" s="132">
        <v>0</v>
      </c>
      <c r="K7" s="132">
        <v>0</v>
      </c>
      <c r="L7" s="132">
        <v>0</v>
      </c>
      <c r="M7" s="132">
        <v>0</v>
      </c>
      <c r="N7" s="132">
        <v>0</v>
      </c>
      <c r="O7" s="132">
        <v>0</v>
      </c>
      <c r="P7" s="132">
        <v>0</v>
      </c>
      <c r="Q7" s="132">
        <v>0</v>
      </c>
      <c r="R7" s="132">
        <v>0</v>
      </c>
      <c r="S7" s="132">
        <v>0</v>
      </c>
      <c r="T7" s="132">
        <v>0</v>
      </c>
      <c r="U7" s="132">
        <v>0</v>
      </c>
      <c r="V7" s="132">
        <v>0</v>
      </c>
    </row>
    <row r="8" spans="1:34" customFormat="1" x14ac:dyDescent="0.15">
      <c r="A8" s="159" t="s">
        <v>198</v>
      </c>
      <c r="B8" s="132">
        <v>0</v>
      </c>
      <c r="C8" s="132">
        <v>0</v>
      </c>
      <c r="D8" s="132">
        <v>0</v>
      </c>
      <c r="E8" s="132">
        <v>1E-3</v>
      </c>
      <c r="F8" s="132">
        <v>9.9999999900000002E-4</v>
      </c>
      <c r="G8" s="132">
        <v>1.000000001E-3</v>
      </c>
      <c r="H8" s="132">
        <v>0</v>
      </c>
      <c r="I8" s="132">
        <v>0</v>
      </c>
      <c r="J8" s="132">
        <v>0</v>
      </c>
      <c r="K8" s="132">
        <v>0</v>
      </c>
      <c r="L8" s="132">
        <v>0</v>
      </c>
      <c r="M8" s="132">
        <v>0</v>
      </c>
      <c r="N8" s="132">
        <v>0</v>
      </c>
      <c r="O8" s="132">
        <v>0</v>
      </c>
      <c r="P8" s="132">
        <v>0</v>
      </c>
      <c r="Q8" s="132">
        <v>0</v>
      </c>
      <c r="R8" s="132">
        <v>0</v>
      </c>
      <c r="S8" s="132">
        <v>0</v>
      </c>
      <c r="T8" s="132">
        <v>0</v>
      </c>
      <c r="U8" s="132">
        <v>0</v>
      </c>
      <c r="V8" s="132">
        <v>0</v>
      </c>
    </row>
    <row r="9" spans="1:34" customFormat="1" x14ac:dyDescent="0.15">
      <c r="A9" s="159" t="s">
        <v>199</v>
      </c>
      <c r="B9" s="132">
        <v>0</v>
      </c>
      <c r="C9" s="132">
        <v>0</v>
      </c>
      <c r="D9" s="132">
        <v>0</v>
      </c>
      <c r="E9" s="132">
        <v>1E-3</v>
      </c>
      <c r="F9" s="132">
        <v>9.9999999900000002E-4</v>
      </c>
      <c r="G9" s="132">
        <v>0</v>
      </c>
      <c r="H9" s="132">
        <v>0</v>
      </c>
      <c r="I9" s="132">
        <v>0</v>
      </c>
      <c r="J9" s="132">
        <v>0</v>
      </c>
      <c r="K9" s="132">
        <v>0</v>
      </c>
      <c r="L9" s="132">
        <v>0</v>
      </c>
      <c r="M9" s="132">
        <v>0</v>
      </c>
      <c r="N9" s="132">
        <v>0</v>
      </c>
      <c r="O9" s="132">
        <v>0</v>
      </c>
      <c r="P9" s="132">
        <v>0</v>
      </c>
      <c r="Q9" s="132">
        <v>0</v>
      </c>
      <c r="R9" s="132">
        <v>0</v>
      </c>
      <c r="S9" s="132">
        <v>0</v>
      </c>
      <c r="T9" s="132">
        <v>0</v>
      </c>
      <c r="U9" s="132">
        <v>0</v>
      </c>
      <c r="V9" s="132">
        <v>0</v>
      </c>
    </row>
    <row r="10" spans="1:34" customFormat="1" x14ac:dyDescent="0.15">
      <c r="A10" s="159" t="s">
        <v>200</v>
      </c>
      <c r="B10" s="132">
        <v>0</v>
      </c>
      <c r="C10" s="132">
        <v>0</v>
      </c>
      <c r="D10" s="132">
        <v>2E-3</v>
      </c>
      <c r="E10" s="132">
        <v>1E-3</v>
      </c>
      <c r="F10" s="132">
        <v>9.9999999900000002E-4</v>
      </c>
      <c r="G10" s="132">
        <v>1.000000001E-3</v>
      </c>
      <c r="H10" s="132">
        <v>0</v>
      </c>
      <c r="I10" s="132">
        <v>0</v>
      </c>
      <c r="J10" s="132">
        <v>0</v>
      </c>
      <c r="K10" s="132">
        <v>0</v>
      </c>
      <c r="L10" s="132">
        <v>0</v>
      </c>
      <c r="M10" s="132">
        <v>0</v>
      </c>
      <c r="N10" s="132">
        <v>0</v>
      </c>
      <c r="O10" s="132">
        <v>0</v>
      </c>
      <c r="P10" s="132">
        <v>0</v>
      </c>
      <c r="Q10" s="132">
        <v>0</v>
      </c>
      <c r="R10" s="132">
        <v>0</v>
      </c>
      <c r="S10" s="132">
        <v>0</v>
      </c>
      <c r="T10" s="132">
        <v>0</v>
      </c>
      <c r="U10" s="132">
        <v>0</v>
      </c>
      <c r="V10" s="132">
        <v>0</v>
      </c>
    </row>
    <row r="11" spans="1:34" customFormat="1" x14ac:dyDescent="0.15">
      <c r="A11" s="159" t="s">
        <v>201</v>
      </c>
      <c r="B11" s="132">
        <v>0.01</v>
      </c>
      <c r="C11" s="132">
        <v>7.0000001900699868E-3</v>
      </c>
      <c r="D11" s="132">
        <v>5.8000000000000003E-2</v>
      </c>
      <c r="E11" s="132">
        <v>0.16</v>
      </c>
      <c r="F11" s="132">
        <v>0.22199999977799997</v>
      </c>
      <c r="G11" s="132">
        <v>0.17000000017</v>
      </c>
      <c r="H11" s="132">
        <v>0</v>
      </c>
      <c r="I11" s="132">
        <v>4.9999999356000052E-3</v>
      </c>
      <c r="J11" s="132">
        <v>0.24099999713512019</v>
      </c>
      <c r="K11" s="132">
        <v>0</v>
      </c>
      <c r="L11" s="132">
        <v>0</v>
      </c>
      <c r="M11" s="132">
        <v>0</v>
      </c>
      <c r="N11" s="132">
        <v>0</v>
      </c>
      <c r="O11" s="132">
        <v>4.0000000000000001E-3</v>
      </c>
      <c r="P11" s="132">
        <v>0</v>
      </c>
      <c r="Q11" s="132">
        <v>0</v>
      </c>
      <c r="R11" s="132">
        <v>0</v>
      </c>
      <c r="S11" s="132">
        <v>0</v>
      </c>
      <c r="T11" s="132">
        <v>0</v>
      </c>
      <c r="U11" s="132">
        <v>0</v>
      </c>
      <c r="V11" s="132">
        <v>0</v>
      </c>
    </row>
    <row r="12" spans="1:34" customFormat="1" x14ac:dyDescent="0.15">
      <c r="A12" s="159" t="s">
        <v>202</v>
      </c>
      <c r="B12" s="132">
        <v>0.02</v>
      </c>
      <c r="C12" s="132">
        <v>7.9000004470789684E-2</v>
      </c>
      <c r="D12" s="132">
        <v>4.4999999999999998E-2</v>
      </c>
      <c r="E12" s="132">
        <v>3.9E-2</v>
      </c>
      <c r="F12" s="132">
        <v>0.197999999802</v>
      </c>
      <c r="G12" s="132">
        <v>0.19300000019300001</v>
      </c>
      <c r="H12" s="132">
        <v>2.9000000000000001E-2</v>
      </c>
      <c r="I12" s="132">
        <v>2.0000001642399867E-3</v>
      </c>
      <c r="J12" s="132">
        <v>1.0000000983199939E-3</v>
      </c>
      <c r="K12" s="132">
        <v>4.0000000155999978E-2</v>
      </c>
      <c r="L12" s="132">
        <v>3.1E-2</v>
      </c>
      <c r="M12" s="132">
        <v>0</v>
      </c>
      <c r="N12" s="132">
        <v>0</v>
      </c>
      <c r="O12" s="132">
        <v>5.0000000000000001E-3</v>
      </c>
      <c r="P12" s="132">
        <v>0</v>
      </c>
      <c r="Q12" s="132">
        <v>0</v>
      </c>
      <c r="R12" s="132">
        <v>0</v>
      </c>
      <c r="S12" s="132">
        <v>0</v>
      </c>
      <c r="T12" s="132">
        <v>0</v>
      </c>
      <c r="U12" s="132">
        <v>0</v>
      </c>
      <c r="V12" s="132">
        <v>0</v>
      </c>
    </row>
    <row r="13" spans="1:34" customFormat="1" x14ac:dyDescent="0.15">
      <c r="A13" s="159" t="s">
        <v>203</v>
      </c>
      <c r="B13" s="132">
        <v>0.04</v>
      </c>
      <c r="C13" s="132">
        <v>0.18500000405184971</v>
      </c>
      <c r="D13" s="132">
        <v>4.8000000000000001E-2</v>
      </c>
      <c r="E13" s="132">
        <v>4.8000000000000001E-2</v>
      </c>
      <c r="F13" s="132">
        <v>0.27599999972400002</v>
      </c>
      <c r="G13" s="132">
        <v>0.23500000023499998</v>
      </c>
      <c r="H13" s="132">
        <v>1.2999999999999999E-2</v>
      </c>
      <c r="I13" s="132">
        <v>8.2000003203839739E-2</v>
      </c>
      <c r="J13" s="132">
        <v>0</v>
      </c>
      <c r="K13" s="132">
        <v>1.9000000044099994E-2</v>
      </c>
      <c r="L13" s="132">
        <v>1E-3</v>
      </c>
      <c r="M13" s="132">
        <v>2.1000000000000001E-2</v>
      </c>
      <c r="N13" s="132">
        <v>0</v>
      </c>
      <c r="O13" s="132">
        <v>1.0999999999999999E-2</v>
      </c>
      <c r="P13" s="132">
        <v>0</v>
      </c>
      <c r="Q13" s="132">
        <v>0</v>
      </c>
      <c r="R13" s="132">
        <v>0</v>
      </c>
      <c r="S13" s="132">
        <v>0</v>
      </c>
      <c r="T13" s="132">
        <v>0</v>
      </c>
      <c r="U13" s="132">
        <v>0</v>
      </c>
      <c r="V13" s="132">
        <v>0</v>
      </c>
    </row>
    <row r="14" spans="1:34" customFormat="1" x14ac:dyDescent="0.15">
      <c r="A14" s="159" t="s">
        <v>204</v>
      </c>
      <c r="B14" s="132">
        <v>0</v>
      </c>
      <c r="C14" s="132">
        <v>6.0000001000599925E-3</v>
      </c>
      <c r="D14" s="132">
        <v>0.15</v>
      </c>
      <c r="E14" s="132">
        <v>2.4E-2</v>
      </c>
      <c r="F14" s="132">
        <v>4.9999999949999999E-2</v>
      </c>
      <c r="G14" s="132">
        <v>2.3000000022999997E-2</v>
      </c>
      <c r="H14" s="132">
        <v>0.02</v>
      </c>
      <c r="I14" s="132">
        <v>0.28799999313056057</v>
      </c>
      <c r="J14" s="132">
        <v>0.43099999741592016</v>
      </c>
      <c r="K14" s="132">
        <v>0.20299998658170088</v>
      </c>
      <c r="L14" s="132">
        <v>0</v>
      </c>
      <c r="M14" s="132">
        <v>0</v>
      </c>
      <c r="N14" s="132">
        <v>0</v>
      </c>
      <c r="O14" s="132">
        <v>5.8999999999999997E-2</v>
      </c>
      <c r="P14" s="132">
        <v>0</v>
      </c>
      <c r="Q14" s="132">
        <v>0</v>
      </c>
      <c r="R14" s="132">
        <v>0</v>
      </c>
      <c r="S14" s="132">
        <v>0</v>
      </c>
      <c r="T14" s="132">
        <v>0</v>
      </c>
      <c r="U14" s="132">
        <v>0</v>
      </c>
      <c r="V14" s="132">
        <v>0</v>
      </c>
    </row>
    <row r="15" spans="1:34" customFormat="1" x14ac:dyDescent="0.15">
      <c r="A15" s="159" t="s">
        <v>205</v>
      </c>
      <c r="B15" s="132">
        <v>0</v>
      </c>
      <c r="C15" s="132">
        <v>1.8999999970190001E-2</v>
      </c>
      <c r="D15" s="132">
        <v>3.4000000000000002E-2</v>
      </c>
      <c r="E15" s="132">
        <v>1E-3</v>
      </c>
      <c r="F15" s="132">
        <v>4.299999995699999E-2</v>
      </c>
      <c r="G15" s="132">
        <v>0.36700000036699998</v>
      </c>
      <c r="H15" s="132">
        <v>0.123</v>
      </c>
      <c r="I15" s="132">
        <v>0</v>
      </c>
      <c r="J15" s="132">
        <v>0.23100000675191959</v>
      </c>
      <c r="K15" s="132">
        <v>7.300000517469965E-2</v>
      </c>
      <c r="L15" s="132">
        <v>0</v>
      </c>
      <c r="M15" s="132">
        <v>0</v>
      </c>
      <c r="N15" s="132">
        <v>0</v>
      </c>
      <c r="O15" s="132">
        <v>4.5999999999999999E-2</v>
      </c>
      <c r="P15" s="132">
        <v>0</v>
      </c>
      <c r="Q15" s="132">
        <v>0</v>
      </c>
      <c r="R15" s="132">
        <v>0</v>
      </c>
      <c r="S15" s="132">
        <v>0</v>
      </c>
      <c r="T15" s="132">
        <v>0</v>
      </c>
      <c r="U15" s="132">
        <v>0</v>
      </c>
      <c r="V15" s="132">
        <v>0</v>
      </c>
    </row>
    <row r="16" spans="1:34" customFormat="1" x14ac:dyDescent="0.15">
      <c r="A16" s="159" t="s">
        <v>206</v>
      </c>
      <c r="B16" s="132">
        <v>6.0000000000000001E-3</v>
      </c>
      <c r="C16" s="132">
        <v>0.40099999493401034</v>
      </c>
      <c r="D16" s="132">
        <v>0.111</v>
      </c>
      <c r="E16" s="132">
        <v>0.13300000000000001</v>
      </c>
      <c r="F16" s="132">
        <v>3.9999999960000001E-3</v>
      </c>
      <c r="G16" s="132">
        <v>0</v>
      </c>
      <c r="H16" s="132">
        <v>3.5000000000000003E-2</v>
      </c>
      <c r="I16" s="132">
        <v>5.1999995690240358E-2</v>
      </c>
      <c r="J16" s="132">
        <v>1.0000000983199939E-3</v>
      </c>
      <c r="K16" s="132">
        <v>1.399999907460006E-2</v>
      </c>
      <c r="L16" s="132">
        <v>0.10299999999999999</v>
      </c>
      <c r="M16" s="132">
        <v>0</v>
      </c>
      <c r="N16" s="132">
        <v>0</v>
      </c>
      <c r="O16" s="132">
        <v>0.05</v>
      </c>
      <c r="P16" s="132">
        <v>0.02</v>
      </c>
      <c r="Q16" s="132">
        <v>2.1000000000000001E-2</v>
      </c>
      <c r="R16" s="132">
        <v>0</v>
      </c>
      <c r="S16" s="132">
        <v>0</v>
      </c>
      <c r="T16" s="132">
        <v>0</v>
      </c>
      <c r="U16" s="132">
        <v>0</v>
      </c>
      <c r="V16" s="132">
        <v>0</v>
      </c>
    </row>
    <row r="17" spans="1:22" customFormat="1" x14ac:dyDescent="0.15">
      <c r="A17" s="159" t="s">
        <v>207</v>
      </c>
      <c r="B17" s="132">
        <v>3.2000000000000001E-2</v>
      </c>
      <c r="C17" s="132">
        <v>5.0000001000499929E-2</v>
      </c>
      <c r="D17" s="132">
        <v>9.5000000000000001E-2</v>
      </c>
      <c r="E17" s="132">
        <v>0.153</v>
      </c>
      <c r="F17" s="132">
        <v>0</v>
      </c>
      <c r="G17" s="132">
        <v>0</v>
      </c>
      <c r="H17" s="132">
        <v>0</v>
      </c>
      <c r="I17" s="132">
        <v>1.099999998832E-2</v>
      </c>
      <c r="J17" s="132">
        <v>0</v>
      </c>
      <c r="K17" s="132">
        <v>0</v>
      </c>
      <c r="L17" s="132">
        <v>0.192</v>
      </c>
      <c r="M17" s="132">
        <v>7.2999999999999995E-2</v>
      </c>
      <c r="N17" s="132">
        <v>7.0000000000000007E-2</v>
      </c>
      <c r="O17" s="132">
        <v>5.0999999999999997E-2</v>
      </c>
      <c r="P17" s="132">
        <v>4.2000000000000003E-2</v>
      </c>
      <c r="Q17" s="132">
        <v>0.02</v>
      </c>
      <c r="R17" s="132">
        <v>0</v>
      </c>
      <c r="S17" s="132">
        <v>0</v>
      </c>
      <c r="T17" s="132">
        <v>0</v>
      </c>
      <c r="U17" s="132">
        <v>0</v>
      </c>
      <c r="V17" s="132">
        <v>0</v>
      </c>
    </row>
    <row r="18" spans="1:22" customFormat="1" x14ac:dyDescent="0.15">
      <c r="A18" s="159" t="s">
        <v>208</v>
      </c>
      <c r="B18" s="132">
        <v>0.378</v>
      </c>
      <c r="C18" s="132">
        <v>2.8999998970290073E-2</v>
      </c>
      <c r="D18" s="132">
        <v>0.02</v>
      </c>
      <c r="E18" s="132">
        <v>0.20399999999999999</v>
      </c>
      <c r="F18" s="132">
        <v>0</v>
      </c>
      <c r="G18" s="132">
        <v>0</v>
      </c>
      <c r="H18" s="132">
        <v>7.9000000000000001E-2</v>
      </c>
      <c r="I18" s="132">
        <v>1.8999999725280024E-2</v>
      </c>
      <c r="J18" s="132">
        <v>0</v>
      </c>
      <c r="K18" s="132">
        <v>0</v>
      </c>
      <c r="L18" s="132">
        <v>2.1999999999999999E-2</v>
      </c>
      <c r="M18" s="132">
        <v>0</v>
      </c>
      <c r="N18" s="132">
        <v>3.2000000000000001E-2</v>
      </c>
      <c r="O18" s="132">
        <v>0.10199999999999999</v>
      </c>
      <c r="P18" s="132">
        <v>0</v>
      </c>
      <c r="Q18" s="132">
        <v>1E-3</v>
      </c>
      <c r="R18" s="132">
        <v>6.4000000000000001E-2</v>
      </c>
      <c r="S18" s="132">
        <v>0</v>
      </c>
      <c r="T18" s="132">
        <v>0</v>
      </c>
      <c r="U18" s="132">
        <v>0</v>
      </c>
      <c r="V18" s="132">
        <v>0</v>
      </c>
    </row>
    <row r="19" spans="1:22" customFormat="1" x14ac:dyDescent="0.15">
      <c r="A19" s="159" t="s">
        <v>209</v>
      </c>
      <c r="B19" s="132">
        <v>7.0000000000000001E-3</v>
      </c>
      <c r="C19" s="132">
        <v>2.8999998970290073E-2</v>
      </c>
      <c r="D19" s="132">
        <v>2.8000000000000001E-2</v>
      </c>
      <c r="E19" s="132">
        <v>1.0999999999999999E-2</v>
      </c>
      <c r="F19" s="132">
        <v>0</v>
      </c>
      <c r="G19" s="132">
        <v>0</v>
      </c>
      <c r="H19" s="132">
        <v>0.31</v>
      </c>
      <c r="I19" s="132">
        <v>8.0000003369599722E-3</v>
      </c>
      <c r="J19" s="132">
        <v>1.0000000983199939E-3</v>
      </c>
      <c r="K19" s="132">
        <v>0.3130000023106998</v>
      </c>
      <c r="L19" s="132">
        <v>0.14799999999999999</v>
      </c>
      <c r="M19" s="132">
        <v>0.38300000000000001</v>
      </c>
      <c r="N19" s="132">
        <v>0.14099999999999999</v>
      </c>
      <c r="O19" s="132">
        <v>0.14499999999999999</v>
      </c>
      <c r="P19" s="132">
        <v>2.9000000000000001E-2</v>
      </c>
      <c r="Q19" s="132">
        <v>0.02</v>
      </c>
      <c r="R19" s="132">
        <v>0</v>
      </c>
      <c r="S19" s="132">
        <v>0</v>
      </c>
      <c r="T19" s="132">
        <v>0</v>
      </c>
      <c r="U19" s="132">
        <v>0</v>
      </c>
      <c r="V19" s="132">
        <v>0</v>
      </c>
    </row>
    <row r="20" spans="1:22" customFormat="1" x14ac:dyDescent="0.15">
      <c r="A20" s="159" t="s">
        <v>210</v>
      </c>
      <c r="B20" s="132">
        <v>0.30199999999999999</v>
      </c>
      <c r="C20" s="132">
        <v>2.0000001900199868E-3</v>
      </c>
      <c r="D20" s="132">
        <v>0</v>
      </c>
      <c r="E20" s="132">
        <v>0</v>
      </c>
      <c r="F20" s="132">
        <v>0</v>
      </c>
      <c r="G20" s="132">
        <v>0</v>
      </c>
      <c r="H20" s="132">
        <v>0</v>
      </c>
      <c r="I20" s="132">
        <v>0</v>
      </c>
      <c r="J20" s="132">
        <v>0</v>
      </c>
      <c r="K20" s="132">
        <v>0</v>
      </c>
      <c r="L20" s="132">
        <v>0</v>
      </c>
      <c r="M20" s="132">
        <v>0</v>
      </c>
      <c r="N20" s="132">
        <v>4.7E-2</v>
      </c>
      <c r="O20" s="132">
        <v>4.8000000000000001E-2</v>
      </c>
      <c r="P20" s="132">
        <v>0</v>
      </c>
      <c r="Q20" s="132">
        <v>0</v>
      </c>
      <c r="R20" s="132">
        <v>0.8</v>
      </c>
      <c r="S20" s="132">
        <v>0</v>
      </c>
      <c r="T20" s="132">
        <v>0</v>
      </c>
      <c r="U20" s="132">
        <v>0</v>
      </c>
      <c r="V20" s="132">
        <v>0</v>
      </c>
    </row>
    <row r="21" spans="1:22" customFormat="1" x14ac:dyDescent="0.15">
      <c r="A21" s="159" t="s">
        <v>211</v>
      </c>
      <c r="B21" s="132">
        <v>0.192</v>
      </c>
      <c r="C21" s="132">
        <v>0.18899999677189022</v>
      </c>
      <c r="D21" s="132">
        <v>0.40699999999999997</v>
      </c>
      <c r="E21" s="132">
        <v>0.216</v>
      </c>
      <c r="F21" s="132">
        <v>0.14699999985299997</v>
      </c>
      <c r="G21" s="132">
        <v>0</v>
      </c>
      <c r="H21" s="132">
        <v>0.39</v>
      </c>
      <c r="I21" s="132">
        <v>0.53300000782495938</v>
      </c>
      <c r="J21" s="132">
        <v>9.3999998402080107E-2</v>
      </c>
      <c r="K21" s="132">
        <v>0.33800000665819951</v>
      </c>
      <c r="L21" s="132">
        <v>0.503</v>
      </c>
      <c r="M21" s="132">
        <v>0.52300000000000002</v>
      </c>
      <c r="N21" s="132">
        <v>0.71</v>
      </c>
      <c r="O21" s="132">
        <v>0.47899999999999998</v>
      </c>
      <c r="P21" s="132">
        <v>0.90900000000000003</v>
      </c>
      <c r="Q21" s="132">
        <v>0.93799999999999994</v>
      </c>
      <c r="R21" s="132">
        <v>0.13600000000000001</v>
      </c>
      <c r="S21" s="132">
        <v>0</v>
      </c>
      <c r="T21" s="132">
        <v>0</v>
      </c>
      <c r="U21" s="132">
        <v>0</v>
      </c>
      <c r="V21" s="132">
        <v>0</v>
      </c>
    </row>
    <row r="22" spans="1:22" customFormat="1" x14ac:dyDescent="0.15">
      <c r="A22" s="159" t="s">
        <v>212</v>
      </c>
      <c r="B22" s="132">
        <v>0</v>
      </c>
      <c r="C22" s="132">
        <v>0</v>
      </c>
      <c r="D22" s="132">
        <v>0</v>
      </c>
      <c r="E22" s="132">
        <v>0</v>
      </c>
      <c r="F22" s="132">
        <v>0</v>
      </c>
      <c r="G22" s="132">
        <v>0</v>
      </c>
      <c r="H22" s="132">
        <v>0</v>
      </c>
      <c r="I22" s="132">
        <v>0</v>
      </c>
      <c r="J22" s="132">
        <v>0</v>
      </c>
      <c r="K22" s="132">
        <v>0</v>
      </c>
      <c r="L22" s="132">
        <v>0</v>
      </c>
      <c r="M22" s="132">
        <v>0</v>
      </c>
      <c r="N22" s="132">
        <v>0</v>
      </c>
      <c r="O22" s="132">
        <v>0</v>
      </c>
      <c r="P22" s="132">
        <v>0</v>
      </c>
      <c r="Q22" s="132">
        <v>0</v>
      </c>
      <c r="R22" s="132">
        <v>0</v>
      </c>
      <c r="S22" s="132">
        <v>0</v>
      </c>
      <c r="T22" s="132">
        <v>0</v>
      </c>
      <c r="U22" s="132">
        <v>0</v>
      </c>
      <c r="V22" s="132">
        <v>0</v>
      </c>
    </row>
    <row r="23" spans="1:22" customFormat="1" x14ac:dyDescent="0.15">
      <c r="A23" s="159" t="s">
        <v>214</v>
      </c>
      <c r="B23" s="132">
        <v>0</v>
      </c>
      <c r="C23" s="132">
        <v>0</v>
      </c>
      <c r="D23" s="132">
        <v>0</v>
      </c>
      <c r="E23" s="132">
        <v>0</v>
      </c>
      <c r="F23" s="132">
        <v>0</v>
      </c>
      <c r="G23" s="132">
        <v>0</v>
      </c>
      <c r="H23" s="132">
        <v>0</v>
      </c>
      <c r="I23" s="132">
        <v>0</v>
      </c>
      <c r="J23" s="132">
        <v>0</v>
      </c>
      <c r="K23" s="132">
        <v>0</v>
      </c>
      <c r="L23" s="132">
        <v>0</v>
      </c>
      <c r="M23" s="132">
        <v>0</v>
      </c>
      <c r="N23" s="132">
        <v>0</v>
      </c>
      <c r="O23" s="132">
        <v>0</v>
      </c>
      <c r="P23" s="132">
        <v>0</v>
      </c>
      <c r="Q23" s="132">
        <v>0</v>
      </c>
      <c r="R23" s="132">
        <v>0</v>
      </c>
      <c r="S23" s="132">
        <v>0</v>
      </c>
      <c r="T23" s="132">
        <v>0</v>
      </c>
      <c r="U23" s="132">
        <v>0</v>
      </c>
      <c r="V23" s="132">
        <v>0</v>
      </c>
    </row>
    <row r="24" spans="1:22" customFormat="1" x14ac:dyDescent="0.15"/>
    <row r="25" spans="1:22" customFormat="1" x14ac:dyDescent="0.15"/>
    <row r="26" spans="1:22" customFormat="1" x14ac:dyDescent="0.15"/>
    <row r="27" spans="1:22" customFormat="1" x14ac:dyDescent="0.15"/>
    <row r="28" spans="1:22" customFormat="1" x14ac:dyDescent="0.15"/>
    <row r="29" spans="1:22" customFormat="1" x14ac:dyDescent="0.15"/>
    <row r="30" spans="1:22" customFormat="1" x14ac:dyDescent="0.15"/>
    <row r="31" spans="1:22" customFormat="1" x14ac:dyDescent="0.15"/>
    <row r="32" spans="1:22" customFormat="1" x14ac:dyDescent="0.15"/>
    <row r="33" customFormat="1" x14ac:dyDescent="0.15"/>
    <row r="34" customFormat="1" x14ac:dyDescent="0.15"/>
    <row r="35" customFormat="1" x14ac:dyDescent="0.15"/>
    <row r="36" customFormat="1" x14ac:dyDescent="0.15"/>
    <row r="37" customFormat="1" x14ac:dyDescent="0.15"/>
    <row r="38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2" customWidth="1"/>
    <col min="3" max="4" width="2.33203125" style="104" customWidth="1"/>
    <col min="5" max="6" width="2.33203125" style="103" bestFit="1" customWidth="1"/>
    <col min="7" max="8" width="8.83203125" style="104"/>
  </cols>
  <sheetData>
    <row r="1" spans="1:8" ht="70" x14ac:dyDescent="0.15">
      <c r="A1" s="5" t="s">
        <v>20</v>
      </c>
      <c r="B1" s="1" t="s">
        <v>0</v>
      </c>
      <c r="C1" s="162" t="s">
        <v>211</v>
      </c>
      <c r="D1" s="162" t="s">
        <v>212</v>
      </c>
      <c r="E1" s="162" t="s">
        <v>215</v>
      </c>
      <c r="F1" s="162" t="s">
        <v>216</v>
      </c>
      <c r="G1"/>
      <c r="H1"/>
    </row>
    <row r="2" spans="1:8" x14ac:dyDescent="0.15">
      <c r="A2">
        <v>1</v>
      </c>
      <c r="B2" s="161" t="s">
        <v>192</v>
      </c>
      <c r="C2" s="104">
        <v>0</v>
      </c>
      <c r="D2" s="104">
        <v>0</v>
      </c>
      <c r="E2" s="103">
        <v>1</v>
      </c>
      <c r="F2" s="103">
        <v>1</v>
      </c>
      <c r="G2"/>
      <c r="H2"/>
    </row>
    <row r="3" spans="1:8" x14ac:dyDescent="0.15">
      <c r="A3">
        <v>2</v>
      </c>
      <c r="B3" s="161" t="s">
        <v>193</v>
      </c>
      <c r="C3" s="104">
        <v>1</v>
      </c>
      <c r="D3" s="104">
        <v>0</v>
      </c>
      <c r="E3" s="103">
        <v>0</v>
      </c>
      <c r="F3" s="103">
        <v>1</v>
      </c>
      <c r="G3"/>
      <c r="H3"/>
    </row>
    <row r="4" spans="1:8" x14ac:dyDescent="0.15">
      <c r="A4">
        <v>3</v>
      </c>
      <c r="B4" s="161" t="s">
        <v>194</v>
      </c>
      <c r="C4" s="104">
        <v>1</v>
      </c>
      <c r="D4" s="104">
        <v>0</v>
      </c>
      <c r="E4" s="103">
        <v>0</v>
      </c>
      <c r="F4" s="103">
        <v>1</v>
      </c>
      <c r="G4"/>
      <c r="H4"/>
    </row>
    <row r="5" spans="1:8" x14ac:dyDescent="0.15">
      <c r="A5">
        <v>4</v>
      </c>
      <c r="B5" s="161" t="s">
        <v>195</v>
      </c>
      <c r="C5" s="104">
        <v>1</v>
      </c>
      <c r="D5" s="104">
        <v>0</v>
      </c>
      <c r="E5" s="103">
        <v>0</v>
      </c>
      <c r="F5" s="103">
        <v>1</v>
      </c>
      <c r="G5"/>
      <c r="H5"/>
    </row>
    <row r="6" spans="1:8" x14ac:dyDescent="0.15">
      <c r="A6">
        <v>5</v>
      </c>
      <c r="B6" s="161" t="s">
        <v>196</v>
      </c>
      <c r="C6" s="104">
        <v>1</v>
      </c>
      <c r="D6" s="104">
        <v>0</v>
      </c>
      <c r="E6" s="103">
        <v>0</v>
      </c>
      <c r="F6" s="103">
        <v>1</v>
      </c>
      <c r="G6"/>
      <c r="H6"/>
    </row>
    <row r="7" spans="1:8" x14ac:dyDescent="0.15">
      <c r="A7">
        <v>6</v>
      </c>
      <c r="B7" s="161" t="s">
        <v>197</v>
      </c>
      <c r="C7" s="104">
        <v>1</v>
      </c>
      <c r="D7" s="104">
        <v>0</v>
      </c>
      <c r="E7" s="103">
        <v>0</v>
      </c>
      <c r="F7" s="103">
        <v>1</v>
      </c>
      <c r="G7"/>
      <c r="H7"/>
    </row>
    <row r="8" spans="1:8" x14ac:dyDescent="0.15">
      <c r="A8">
        <v>7</v>
      </c>
      <c r="B8" s="161" t="s">
        <v>198</v>
      </c>
      <c r="C8" s="104">
        <v>1</v>
      </c>
      <c r="D8" s="104">
        <v>0</v>
      </c>
      <c r="E8" s="103">
        <v>0</v>
      </c>
      <c r="F8" s="103">
        <v>1</v>
      </c>
      <c r="G8"/>
      <c r="H8"/>
    </row>
    <row r="9" spans="1:8" x14ac:dyDescent="0.15">
      <c r="A9">
        <v>8</v>
      </c>
      <c r="B9" s="161" t="s">
        <v>199</v>
      </c>
      <c r="C9" s="104">
        <v>1</v>
      </c>
      <c r="D9" s="104">
        <v>0</v>
      </c>
      <c r="E9" s="103">
        <v>0</v>
      </c>
      <c r="F9" s="103">
        <v>1</v>
      </c>
      <c r="G9"/>
      <c r="H9"/>
    </row>
    <row r="10" spans="1:8" x14ac:dyDescent="0.15">
      <c r="A10">
        <v>9</v>
      </c>
      <c r="B10" s="161" t="s">
        <v>200</v>
      </c>
      <c r="C10" s="104">
        <v>1</v>
      </c>
      <c r="D10" s="104">
        <v>0</v>
      </c>
      <c r="E10" s="103">
        <v>0</v>
      </c>
      <c r="F10" s="103">
        <v>1</v>
      </c>
      <c r="G10"/>
      <c r="H10"/>
    </row>
    <row r="11" spans="1:8" x14ac:dyDescent="0.15">
      <c r="A11">
        <v>10</v>
      </c>
      <c r="B11" s="161" t="s">
        <v>201</v>
      </c>
      <c r="C11" s="104">
        <v>1</v>
      </c>
      <c r="D11" s="104">
        <v>0</v>
      </c>
      <c r="E11" s="103">
        <v>0</v>
      </c>
      <c r="F11" s="103">
        <v>1</v>
      </c>
      <c r="G11"/>
      <c r="H11"/>
    </row>
    <row r="12" spans="1:8" x14ac:dyDescent="0.15">
      <c r="A12">
        <v>11</v>
      </c>
      <c r="B12" s="161" t="s">
        <v>202</v>
      </c>
      <c r="C12" s="104">
        <v>1</v>
      </c>
      <c r="D12" s="104">
        <v>0</v>
      </c>
      <c r="E12" s="103">
        <v>0</v>
      </c>
      <c r="F12" s="103">
        <v>1</v>
      </c>
      <c r="G12"/>
      <c r="H12"/>
    </row>
    <row r="13" spans="1:8" x14ac:dyDescent="0.15">
      <c r="A13">
        <v>12</v>
      </c>
      <c r="B13" s="161" t="s">
        <v>203</v>
      </c>
      <c r="C13" s="104">
        <v>1</v>
      </c>
      <c r="D13" s="104">
        <v>0</v>
      </c>
      <c r="E13" s="103">
        <v>0</v>
      </c>
      <c r="F13" s="103">
        <v>1</v>
      </c>
      <c r="G13"/>
      <c r="H13"/>
    </row>
    <row r="14" spans="1:8" x14ac:dyDescent="0.15">
      <c r="A14">
        <v>13</v>
      </c>
      <c r="B14" s="161" t="s">
        <v>204</v>
      </c>
      <c r="C14" s="104">
        <v>1</v>
      </c>
      <c r="D14" s="104">
        <v>0</v>
      </c>
      <c r="E14" s="103">
        <v>0</v>
      </c>
      <c r="F14" s="103">
        <v>1</v>
      </c>
      <c r="G14"/>
      <c r="H14"/>
    </row>
    <row r="15" spans="1:8" x14ac:dyDescent="0.15">
      <c r="A15">
        <v>14</v>
      </c>
      <c r="B15" s="161" t="s">
        <v>205</v>
      </c>
      <c r="C15" s="104">
        <v>1</v>
      </c>
      <c r="D15" s="104">
        <v>0</v>
      </c>
      <c r="E15" s="103">
        <v>0</v>
      </c>
      <c r="F15" s="103">
        <v>1</v>
      </c>
      <c r="G15"/>
      <c r="H15"/>
    </row>
    <row r="16" spans="1:8" x14ac:dyDescent="0.15">
      <c r="A16">
        <v>15</v>
      </c>
      <c r="B16" s="161" t="s">
        <v>206</v>
      </c>
      <c r="C16" s="104">
        <v>1</v>
      </c>
      <c r="D16" s="104">
        <v>0</v>
      </c>
      <c r="E16" s="103">
        <v>0</v>
      </c>
      <c r="F16" s="103">
        <v>1</v>
      </c>
      <c r="G16"/>
      <c r="H16"/>
    </row>
    <row r="17" spans="1:8" ht="15" customHeight="1" x14ac:dyDescent="0.15">
      <c r="A17">
        <v>16</v>
      </c>
      <c r="B17" s="161" t="s">
        <v>207</v>
      </c>
      <c r="C17" s="104">
        <v>1</v>
      </c>
      <c r="D17" s="104">
        <v>0</v>
      </c>
      <c r="E17" s="103">
        <v>0</v>
      </c>
      <c r="F17" s="103">
        <v>1</v>
      </c>
      <c r="G17"/>
      <c r="H17"/>
    </row>
    <row r="18" spans="1:8" ht="15" customHeight="1" x14ac:dyDescent="0.15">
      <c r="A18">
        <v>17</v>
      </c>
      <c r="B18" s="161" t="s">
        <v>208</v>
      </c>
      <c r="C18" s="104">
        <v>1</v>
      </c>
      <c r="D18" s="104">
        <v>0</v>
      </c>
      <c r="E18" s="103">
        <v>0</v>
      </c>
      <c r="F18" s="103">
        <v>1</v>
      </c>
      <c r="G18"/>
      <c r="H18"/>
    </row>
    <row r="19" spans="1:8" ht="15" customHeight="1" x14ac:dyDescent="0.15">
      <c r="A19">
        <v>18</v>
      </c>
      <c r="B19" s="161" t="s">
        <v>209</v>
      </c>
      <c r="C19" s="104">
        <v>1</v>
      </c>
      <c r="D19" s="104">
        <v>0</v>
      </c>
      <c r="E19" s="103">
        <v>0</v>
      </c>
      <c r="F19" s="103">
        <v>1</v>
      </c>
      <c r="G19"/>
      <c r="H19"/>
    </row>
    <row r="20" spans="1:8" ht="15" customHeight="1" x14ac:dyDescent="0.15">
      <c r="A20">
        <v>19</v>
      </c>
      <c r="B20" s="161" t="s">
        <v>210</v>
      </c>
      <c r="C20" s="104">
        <v>1</v>
      </c>
      <c r="D20" s="104">
        <v>0</v>
      </c>
      <c r="E20" s="103">
        <v>0</v>
      </c>
      <c r="F20" s="103">
        <v>1</v>
      </c>
      <c r="G20"/>
      <c r="H20"/>
    </row>
    <row r="21" spans="1:8" ht="15" customHeight="1" x14ac:dyDescent="0.15">
      <c r="A21">
        <v>20</v>
      </c>
      <c r="B21" s="161" t="s">
        <v>211</v>
      </c>
      <c r="C21" s="104">
        <v>0</v>
      </c>
      <c r="D21" s="104">
        <v>1</v>
      </c>
      <c r="E21" s="103">
        <v>0</v>
      </c>
      <c r="F21" s="103">
        <v>1</v>
      </c>
      <c r="G21"/>
      <c r="H21"/>
    </row>
    <row r="22" spans="1:8" ht="15" customHeight="1" x14ac:dyDescent="0.15">
      <c r="A22">
        <v>21</v>
      </c>
      <c r="B22" s="161" t="s">
        <v>212</v>
      </c>
      <c r="C22" s="104">
        <v>0</v>
      </c>
      <c r="D22" s="104">
        <v>0</v>
      </c>
      <c r="E22" s="103">
        <v>1</v>
      </c>
      <c r="F22" s="103">
        <v>1</v>
      </c>
      <c r="G22"/>
      <c r="H22"/>
    </row>
    <row r="23" spans="1:8" ht="15" customHeight="1" x14ac:dyDescent="0.15">
      <c r="A23">
        <v>22</v>
      </c>
      <c r="B23" s="161" t="s">
        <v>213</v>
      </c>
      <c r="C23" s="104">
        <v>0</v>
      </c>
      <c r="D23" s="104">
        <v>1</v>
      </c>
      <c r="E23" s="103">
        <v>0</v>
      </c>
      <c r="F23" s="103">
        <v>1</v>
      </c>
      <c r="G23"/>
      <c r="H23"/>
    </row>
    <row r="24" spans="1:8" ht="15" customHeight="1" x14ac:dyDescent="0.15">
      <c r="C24"/>
      <c r="D24"/>
      <c r="E24"/>
      <c r="F24"/>
      <c r="G24"/>
      <c r="H24"/>
    </row>
    <row r="25" spans="1:8" ht="15" customHeight="1" x14ac:dyDescent="0.15">
      <c r="C25"/>
      <c r="D25"/>
      <c r="E25"/>
      <c r="F25"/>
      <c r="G25"/>
      <c r="H25"/>
    </row>
    <row r="26" spans="1:8" ht="15" customHeight="1" x14ac:dyDescent="0.15">
      <c r="C26"/>
      <c r="D26"/>
      <c r="E26"/>
      <c r="F26"/>
      <c r="G26"/>
      <c r="H26"/>
    </row>
    <row r="27" spans="1:8" ht="15" customHeight="1" x14ac:dyDescent="0.15">
      <c r="C27"/>
      <c r="D27"/>
      <c r="E27"/>
      <c r="F27"/>
      <c r="G27"/>
      <c r="H27"/>
    </row>
    <row r="28" spans="1:8" ht="15" customHeight="1" x14ac:dyDescent="0.15">
      <c r="C28"/>
      <c r="D28"/>
      <c r="E28"/>
      <c r="F28"/>
      <c r="G28"/>
      <c r="H28"/>
    </row>
    <row r="29" spans="1:8" ht="15" customHeight="1" x14ac:dyDescent="0.15">
      <c r="C29"/>
      <c r="D29"/>
      <c r="E29"/>
      <c r="F29"/>
      <c r="G29"/>
      <c r="H29"/>
    </row>
    <row r="30" spans="1:8" ht="15" customHeight="1" x14ac:dyDescent="0.15">
      <c r="C30"/>
      <c r="D30"/>
      <c r="E30"/>
      <c r="F30"/>
      <c r="G30"/>
      <c r="H30"/>
    </row>
    <row r="31" spans="1:8" ht="15" customHeight="1" x14ac:dyDescent="0.15">
      <c r="C31"/>
      <c r="D31"/>
      <c r="E31"/>
      <c r="F31"/>
      <c r="G31"/>
      <c r="H31"/>
    </row>
    <row r="32" spans="1:8" ht="15" customHeight="1" x14ac:dyDescent="0.15"/>
    <row r="33" spans="3:8" ht="15" customHeight="1" x14ac:dyDescent="0.15"/>
    <row r="34" spans="3:8" ht="15" customHeight="1" x14ac:dyDescent="0.15"/>
    <row r="35" spans="3:8" ht="15" customHeight="1" x14ac:dyDescent="0.15"/>
    <row r="36" spans="3:8" ht="15" customHeight="1" x14ac:dyDescent="0.15">
      <c r="C36"/>
      <c r="D36"/>
      <c r="E36" s="104"/>
      <c r="F36" s="104"/>
      <c r="G36"/>
      <c r="H36"/>
    </row>
    <row r="37" spans="3:8" ht="15" customHeight="1" x14ac:dyDescent="0.15">
      <c r="C37"/>
      <c r="D37"/>
      <c r="E37" s="104"/>
      <c r="F37" s="104"/>
      <c r="G37"/>
      <c r="H37"/>
    </row>
    <row r="38" spans="3:8" ht="15" customHeight="1" x14ac:dyDescent="0.15">
      <c r="C38"/>
      <c r="D38"/>
      <c r="E38" s="104"/>
      <c r="F38" s="104"/>
      <c r="G38"/>
      <c r="H38"/>
    </row>
    <row r="39" spans="3:8" ht="15" customHeight="1" x14ac:dyDescent="0.15">
      <c r="C39"/>
      <c r="D39"/>
      <c r="E39" s="104"/>
      <c r="F39" s="104"/>
      <c r="G39"/>
      <c r="H39"/>
    </row>
    <row r="40" spans="3:8" ht="15" customHeight="1" x14ac:dyDescent="0.15">
      <c r="C40"/>
      <c r="D40"/>
      <c r="E40" s="104"/>
      <c r="F40" s="104"/>
      <c r="G40"/>
      <c r="H40"/>
    </row>
    <row r="41" spans="3:8" ht="15" customHeight="1" x14ac:dyDescent="0.15">
      <c r="C41"/>
      <c r="D41"/>
      <c r="E41" s="104"/>
      <c r="F41" s="104"/>
      <c r="G41"/>
      <c r="H41"/>
    </row>
    <row r="42" spans="3:8" ht="15" customHeight="1" x14ac:dyDescent="0.15">
      <c r="C42"/>
      <c r="D42"/>
      <c r="E42" s="104"/>
      <c r="F42" s="104"/>
      <c r="G42"/>
      <c r="H42"/>
    </row>
    <row r="43" spans="3:8" ht="15" customHeight="1" x14ac:dyDescent="0.15">
      <c r="C43"/>
      <c r="D43"/>
      <c r="E43" s="104"/>
      <c r="F43" s="104"/>
      <c r="G43"/>
      <c r="H43"/>
    </row>
    <row r="44" spans="3:8" ht="15" customHeight="1" x14ac:dyDescent="0.15">
      <c r="C44"/>
      <c r="D44"/>
      <c r="G44"/>
      <c r="H44"/>
    </row>
    <row r="45" spans="3:8" ht="15" customHeight="1" x14ac:dyDescent="0.15">
      <c r="C45"/>
      <c r="D45"/>
      <c r="G45"/>
      <c r="H45"/>
    </row>
    <row r="46" spans="3:8" ht="15" customHeight="1" x14ac:dyDescent="0.15">
      <c r="C46"/>
      <c r="D46"/>
      <c r="E46" s="104"/>
      <c r="F46" s="104"/>
      <c r="G46"/>
      <c r="H46"/>
    </row>
    <row r="47" spans="3:8" ht="15" customHeight="1" x14ac:dyDescent="0.15">
      <c r="C47"/>
      <c r="D47"/>
      <c r="G47"/>
      <c r="H47"/>
    </row>
    <row r="48" spans="3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2" bestFit="1" customWidth="1"/>
    <col min="3" max="4" width="5.83203125" bestFit="1" customWidth="1"/>
    <col min="5" max="5" width="12.1640625" bestFit="1" customWidth="1"/>
  </cols>
  <sheetData>
    <row r="1" spans="1:5" s="105" customFormat="1" ht="112" x14ac:dyDescent="0.15">
      <c r="A1" s="5" t="s">
        <v>21</v>
      </c>
      <c r="B1" s="3" t="s">
        <v>0</v>
      </c>
      <c r="C1" s="164" t="s">
        <v>213</v>
      </c>
      <c r="D1" s="164" t="s">
        <v>217</v>
      </c>
      <c r="E1"/>
    </row>
    <row r="2" spans="1:5" ht="15" customHeight="1" x14ac:dyDescent="0.15">
      <c r="A2">
        <v>1</v>
      </c>
      <c r="B2" s="163" t="s">
        <v>192</v>
      </c>
      <c r="C2">
        <v>0.25</v>
      </c>
      <c r="D2">
        <v>0.25</v>
      </c>
    </row>
    <row r="3" spans="1:5" ht="15" customHeight="1" x14ac:dyDescent="0.15">
      <c r="A3">
        <v>2</v>
      </c>
      <c r="B3" s="163" t="s">
        <v>193</v>
      </c>
      <c r="C3">
        <v>0.13100000000000001</v>
      </c>
      <c r="D3">
        <v>0.13100000000000001</v>
      </c>
    </row>
    <row r="4" spans="1:5" ht="15" customHeight="1" x14ac:dyDescent="0.15">
      <c r="A4">
        <v>3</v>
      </c>
      <c r="B4" s="163" t="s">
        <v>194</v>
      </c>
      <c r="C4">
        <v>5.2999999999999999E-2</v>
      </c>
      <c r="D4">
        <v>5.2999999999999999E-2</v>
      </c>
    </row>
    <row r="5" spans="1:5" ht="15" customHeight="1" x14ac:dyDescent="0.15">
      <c r="A5">
        <v>4</v>
      </c>
      <c r="B5" s="163" t="s">
        <v>195</v>
      </c>
      <c r="C5">
        <v>5.6000000000000001E-2</v>
      </c>
      <c r="D5">
        <v>5.6000000000000001E-2</v>
      </c>
    </row>
    <row r="6" spans="1:5" ht="15" customHeight="1" x14ac:dyDescent="0.15">
      <c r="A6">
        <v>5</v>
      </c>
      <c r="B6" s="163" t="s">
        <v>196</v>
      </c>
      <c r="C6">
        <v>4.5999999999999999E-2</v>
      </c>
      <c r="D6">
        <v>4.5999999999999999E-2</v>
      </c>
    </row>
    <row r="7" spans="1:5" ht="15" customHeight="1" x14ac:dyDescent="0.15">
      <c r="A7">
        <v>6</v>
      </c>
      <c r="B7" s="163" t="s">
        <v>197</v>
      </c>
      <c r="C7">
        <v>1.2E-2</v>
      </c>
      <c r="D7">
        <v>1.2E-2</v>
      </c>
    </row>
    <row r="8" spans="1:5" ht="15" customHeight="1" x14ac:dyDescent="0.15">
      <c r="A8">
        <v>7</v>
      </c>
      <c r="B8" s="163" t="s">
        <v>198</v>
      </c>
      <c r="C8">
        <v>0.18</v>
      </c>
      <c r="D8">
        <v>0.18</v>
      </c>
    </row>
    <row r="9" spans="1:5" ht="15" customHeight="1" x14ac:dyDescent="0.15">
      <c r="A9">
        <v>8</v>
      </c>
      <c r="B9" s="163" t="s">
        <v>199</v>
      </c>
      <c r="C9">
        <v>0</v>
      </c>
      <c r="D9">
        <v>0</v>
      </c>
    </row>
    <row r="10" spans="1:5" ht="15" customHeight="1" x14ac:dyDescent="0.15">
      <c r="A10">
        <v>9</v>
      </c>
      <c r="B10" s="163" t="s">
        <v>200</v>
      </c>
      <c r="C10">
        <v>0.17</v>
      </c>
      <c r="D10">
        <v>0.17</v>
      </c>
    </row>
    <row r="11" spans="1:5" ht="15" customHeight="1" x14ac:dyDescent="0.15">
      <c r="A11">
        <v>10</v>
      </c>
      <c r="B11" s="163" t="s">
        <v>201</v>
      </c>
      <c r="C11">
        <v>0</v>
      </c>
      <c r="D11">
        <v>0</v>
      </c>
    </row>
    <row r="12" spans="1:5" ht="15" customHeight="1" x14ac:dyDescent="0.15">
      <c r="A12">
        <v>11</v>
      </c>
      <c r="B12" s="163" t="s">
        <v>202</v>
      </c>
      <c r="C12">
        <v>0</v>
      </c>
      <c r="D12">
        <v>0</v>
      </c>
    </row>
    <row r="13" spans="1:5" ht="15" customHeight="1" x14ac:dyDescent="0.15">
      <c r="A13">
        <v>12</v>
      </c>
      <c r="B13" s="163" t="s">
        <v>203</v>
      </c>
      <c r="C13">
        <v>0</v>
      </c>
      <c r="D13">
        <v>0</v>
      </c>
    </row>
    <row r="14" spans="1:5" ht="15" customHeight="1" x14ac:dyDescent="0.15">
      <c r="A14">
        <v>13</v>
      </c>
      <c r="B14" s="163" t="s">
        <v>204</v>
      </c>
      <c r="C14">
        <v>0.21299999999999999</v>
      </c>
      <c r="D14">
        <v>0.21299999999999999</v>
      </c>
    </row>
    <row r="15" spans="1:5" ht="15" customHeight="1" x14ac:dyDescent="0.15">
      <c r="A15">
        <v>14</v>
      </c>
      <c r="B15" s="163" t="s">
        <v>205</v>
      </c>
      <c r="C15">
        <v>0</v>
      </c>
      <c r="D15">
        <v>0</v>
      </c>
    </row>
    <row r="16" spans="1:5" ht="15" customHeight="1" x14ac:dyDescent="0.15">
      <c r="A16">
        <v>15</v>
      </c>
      <c r="B16" s="163" t="s">
        <v>206</v>
      </c>
      <c r="C16">
        <v>0</v>
      </c>
      <c r="D16">
        <v>0</v>
      </c>
    </row>
    <row r="17" spans="1:4" ht="15" customHeight="1" x14ac:dyDescent="0.15">
      <c r="A17">
        <v>16</v>
      </c>
      <c r="B17" s="163" t="s">
        <v>207</v>
      </c>
      <c r="C17">
        <v>0</v>
      </c>
      <c r="D17">
        <v>0</v>
      </c>
    </row>
    <row r="18" spans="1:4" ht="15" customHeight="1" x14ac:dyDescent="0.15">
      <c r="A18">
        <v>17</v>
      </c>
      <c r="B18" s="163" t="s">
        <v>208</v>
      </c>
      <c r="C18">
        <v>0</v>
      </c>
      <c r="D18">
        <v>0</v>
      </c>
    </row>
    <row r="19" spans="1:4" ht="15" customHeight="1" x14ac:dyDescent="0.15">
      <c r="A19">
        <v>18</v>
      </c>
      <c r="B19" s="163" t="s">
        <v>209</v>
      </c>
      <c r="C19">
        <v>0</v>
      </c>
      <c r="D19">
        <v>0</v>
      </c>
    </row>
    <row r="20" spans="1:4" ht="15" customHeight="1" x14ac:dyDescent="0.15">
      <c r="A20">
        <v>19</v>
      </c>
      <c r="B20" s="163" t="s">
        <v>210</v>
      </c>
      <c r="C20">
        <v>0</v>
      </c>
      <c r="D20">
        <v>0</v>
      </c>
    </row>
    <row r="21" spans="1:4" ht="15" customHeight="1" x14ac:dyDescent="0.15">
      <c r="A21">
        <v>20</v>
      </c>
      <c r="B21" s="163" t="s">
        <v>211</v>
      </c>
      <c r="C21">
        <v>0</v>
      </c>
      <c r="D21">
        <v>0</v>
      </c>
    </row>
    <row r="22" spans="1:4" ht="15" customHeight="1" x14ac:dyDescent="0.15">
      <c r="A22">
        <v>21</v>
      </c>
      <c r="B22" s="163" t="s">
        <v>212</v>
      </c>
      <c r="C22">
        <v>0</v>
      </c>
      <c r="D22">
        <v>0</v>
      </c>
    </row>
    <row r="23" spans="1:4" ht="15" customHeight="1" x14ac:dyDescent="0.15"/>
    <row r="24" spans="1:4" ht="15" customHeight="1" x14ac:dyDescent="0.15"/>
    <row r="25" spans="1:4" ht="15" customHeight="1" x14ac:dyDescent="0.15"/>
    <row r="26" spans="1:4" ht="15" customHeight="1" x14ac:dyDescent="0.15"/>
    <row r="27" spans="1:4" ht="15" customHeight="1" x14ac:dyDescent="0.15"/>
    <row r="28" spans="1:4" ht="15" customHeight="1" x14ac:dyDescent="0.15"/>
    <row r="29" spans="1:4" ht="15" customHeight="1" x14ac:dyDescent="0.15"/>
    <row r="30" spans="1:4" ht="15" customHeight="1" x14ac:dyDescent="0.15"/>
    <row r="31" spans="1:4" ht="15" customHeight="1" x14ac:dyDescent="0.15"/>
    <row r="32" spans="1:4" ht="15" customHeight="1" x14ac:dyDescent="0.15"/>
    <row r="33" ht="15" customHeight="1" x14ac:dyDescent="0.15"/>
    <row r="34" ht="15" customHeight="1" x14ac:dyDescent="0.15"/>
    <row r="35" ht="15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5" customHeight="1" x14ac:dyDescent="0.15"/>
    <row r="47" ht="15" customHeight="1" x14ac:dyDescent="0.15"/>
    <row r="48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D22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2" bestFit="1" customWidth="1"/>
    <col min="3" max="4" width="2.33203125" bestFit="1" customWidth="1"/>
    <col min="5" max="5" width="12.1640625" bestFit="1" customWidth="1"/>
  </cols>
  <sheetData>
    <row r="1" spans="1:4" s="105" customFormat="1" ht="112" x14ac:dyDescent="0.15">
      <c r="A1" s="5" t="s">
        <v>22</v>
      </c>
      <c r="B1" s="3" t="s">
        <v>0</v>
      </c>
      <c r="C1" s="166" t="s">
        <v>213</v>
      </c>
      <c r="D1" s="166" t="s">
        <v>217</v>
      </c>
    </row>
    <row r="2" spans="1:4" x14ac:dyDescent="0.15">
      <c r="A2">
        <v>1</v>
      </c>
      <c r="B2" s="165" t="s">
        <v>192</v>
      </c>
      <c r="C2">
        <v>0</v>
      </c>
      <c r="D2">
        <v>0</v>
      </c>
    </row>
    <row r="3" spans="1:4" x14ac:dyDescent="0.15">
      <c r="A3">
        <v>2</v>
      </c>
      <c r="B3" s="165" t="s">
        <v>193</v>
      </c>
      <c r="C3">
        <v>0</v>
      </c>
      <c r="D3">
        <v>0</v>
      </c>
    </row>
    <row r="4" spans="1:4" x14ac:dyDescent="0.15">
      <c r="A4">
        <v>3</v>
      </c>
      <c r="B4" s="165" t="s">
        <v>194</v>
      </c>
      <c r="C4">
        <v>0</v>
      </c>
      <c r="D4">
        <v>0</v>
      </c>
    </row>
    <row r="5" spans="1:4" x14ac:dyDescent="0.15">
      <c r="A5">
        <v>4</v>
      </c>
      <c r="B5" s="165" t="s">
        <v>195</v>
      </c>
      <c r="C5">
        <v>0</v>
      </c>
      <c r="D5">
        <v>0</v>
      </c>
    </row>
    <row r="6" spans="1:4" x14ac:dyDescent="0.15">
      <c r="A6">
        <v>5</v>
      </c>
      <c r="B6" s="165" t="s">
        <v>196</v>
      </c>
      <c r="C6">
        <v>0</v>
      </c>
      <c r="D6">
        <v>0</v>
      </c>
    </row>
    <row r="7" spans="1:4" x14ac:dyDescent="0.15">
      <c r="A7">
        <v>6</v>
      </c>
      <c r="B7" s="165" t="s">
        <v>197</v>
      </c>
      <c r="C7">
        <v>0</v>
      </c>
      <c r="D7">
        <v>0</v>
      </c>
    </row>
    <row r="8" spans="1:4" x14ac:dyDescent="0.15">
      <c r="A8">
        <v>7</v>
      </c>
      <c r="B8" s="165" t="s">
        <v>198</v>
      </c>
      <c r="C8">
        <v>0</v>
      </c>
      <c r="D8">
        <v>0</v>
      </c>
    </row>
    <row r="9" spans="1:4" x14ac:dyDescent="0.15">
      <c r="A9">
        <v>8</v>
      </c>
      <c r="B9" s="165" t="s">
        <v>199</v>
      </c>
      <c r="C9">
        <v>0</v>
      </c>
      <c r="D9">
        <v>0</v>
      </c>
    </row>
    <row r="10" spans="1:4" x14ac:dyDescent="0.15">
      <c r="A10">
        <v>9</v>
      </c>
      <c r="B10" s="165" t="s">
        <v>200</v>
      </c>
      <c r="C10">
        <v>0</v>
      </c>
      <c r="D10">
        <v>0</v>
      </c>
    </row>
    <row r="11" spans="1:4" x14ac:dyDescent="0.15">
      <c r="A11">
        <v>10</v>
      </c>
      <c r="B11" s="165" t="s">
        <v>201</v>
      </c>
      <c r="C11">
        <v>0</v>
      </c>
      <c r="D11">
        <v>0</v>
      </c>
    </row>
    <row r="12" spans="1:4" x14ac:dyDescent="0.15">
      <c r="A12">
        <v>11</v>
      </c>
      <c r="B12" s="165" t="s">
        <v>202</v>
      </c>
      <c r="C12">
        <v>0</v>
      </c>
      <c r="D12">
        <v>0</v>
      </c>
    </row>
    <row r="13" spans="1:4" x14ac:dyDescent="0.15">
      <c r="A13">
        <v>12</v>
      </c>
      <c r="B13" s="165" t="s">
        <v>203</v>
      </c>
      <c r="C13">
        <v>0</v>
      </c>
      <c r="D13">
        <v>0</v>
      </c>
    </row>
    <row r="14" spans="1:4" x14ac:dyDescent="0.15">
      <c r="A14">
        <v>13</v>
      </c>
      <c r="B14" s="165" t="s">
        <v>204</v>
      </c>
      <c r="C14">
        <v>0</v>
      </c>
      <c r="D14">
        <v>0</v>
      </c>
    </row>
    <row r="15" spans="1:4" x14ac:dyDescent="0.15">
      <c r="A15">
        <v>14</v>
      </c>
      <c r="B15" s="165" t="s">
        <v>205</v>
      </c>
      <c r="C15">
        <v>0</v>
      </c>
      <c r="D15">
        <v>0</v>
      </c>
    </row>
    <row r="16" spans="1:4" x14ac:dyDescent="0.15">
      <c r="A16">
        <v>15</v>
      </c>
      <c r="B16" s="165" t="s">
        <v>206</v>
      </c>
      <c r="C16">
        <v>0</v>
      </c>
      <c r="D16">
        <v>0</v>
      </c>
    </row>
    <row r="17" spans="1:4" x14ac:dyDescent="0.15">
      <c r="A17">
        <v>16</v>
      </c>
      <c r="B17" s="165" t="s">
        <v>207</v>
      </c>
      <c r="C17">
        <v>0</v>
      </c>
      <c r="D17">
        <v>0</v>
      </c>
    </row>
    <row r="18" spans="1:4" x14ac:dyDescent="0.15">
      <c r="A18">
        <v>17</v>
      </c>
      <c r="B18" s="165" t="s">
        <v>208</v>
      </c>
      <c r="C18">
        <v>0</v>
      </c>
      <c r="D18">
        <v>0</v>
      </c>
    </row>
    <row r="19" spans="1:4" x14ac:dyDescent="0.15">
      <c r="A19">
        <v>18</v>
      </c>
      <c r="B19" s="165" t="s">
        <v>209</v>
      </c>
      <c r="C19">
        <v>0</v>
      </c>
      <c r="D19">
        <v>0</v>
      </c>
    </row>
    <row r="20" spans="1:4" x14ac:dyDescent="0.15">
      <c r="A20">
        <v>19</v>
      </c>
      <c r="B20" s="165" t="s">
        <v>210</v>
      </c>
      <c r="C20">
        <v>0</v>
      </c>
      <c r="D20">
        <v>0</v>
      </c>
    </row>
    <row r="21" spans="1:4" x14ac:dyDescent="0.15">
      <c r="A21">
        <v>20</v>
      </c>
      <c r="B21" s="165" t="s">
        <v>211</v>
      </c>
      <c r="C21">
        <v>0</v>
      </c>
      <c r="D21">
        <v>0</v>
      </c>
    </row>
    <row r="22" spans="1:4" x14ac:dyDescent="0.15">
      <c r="A22">
        <v>21</v>
      </c>
      <c r="B22" s="165" t="s">
        <v>212</v>
      </c>
      <c r="C22">
        <v>0</v>
      </c>
      <c r="D22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22" bestFit="1" customWidth="1"/>
    <col min="6" max="6" width="4.83203125" bestFit="1" customWidth="1"/>
    <col min="7" max="9" width="3.83203125" bestFit="1" customWidth="1"/>
    <col min="10" max="11" width="4.83203125" style="104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06" customFormat="1" ht="14" thickBot="1" x14ac:dyDescent="0.2">
      <c r="D1" s="107" t="s">
        <v>8</v>
      </c>
      <c r="E1" s="107" t="s">
        <v>0</v>
      </c>
      <c r="F1" s="108" t="s">
        <v>99</v>
      </c>
      <c r="G1" s="109" t="s">
        <v>84</v>
      </c>
      <c r="H1" s="109" t="s">
        <v>85</v>
      </c>
      <c r="I1" s="109" t="s">
        <v>86</v>
      </c>
      <c r="J1" s="109" t="s">
        <v>87</v>
      </c>
      <c r="K1" s="109" t="s">
        <v>88</v>
      </c>
      <c r="L1" s="110" t="s">
        <v>89</v>
      </c>
      <c r="M1" s="110" t="s">
        <v>93</v>
      </c>
      <c r="N1" s="110" t="s">
        <v>92</v>
      </c>
      <c r="O1" s="110" t="s">
        <v>90</v>
      </c>
      <c r="P1" s="110" t="s">
        <v>91</v>
      </c>
      <c r="Q1" s="111" t="s">
        <v>94</v>
      </c>
      <c r="R1" s="111" t="s">
        <v>95</v>
      </c>
      <c r="S1" s="111" t="s">
        <v>96</v>
      </c>
      <c r="T1" s="111" t="s">
        <v>97</v>
      </c>
      <c r="U1" s="111" t="s">
        <v>98</v>
      </c>
      <c r="V1" s="109" t="s">
        <v>100</v>
      </c>
      <c r="W1" s="109" t="s">
        <v>101</v>
      </c>
      <c r="X1" s="109" t="s">
        <v>102</v>
      </c>
      <c r="Y1" s="109" t="s">
        <v>134</v>
      </c>
      <c r="Z1" s="110" t="s">
        <v>103</v>
      </c>
      <c r="AA1" s="110" t="s">
        <v>104</v>
      </c>
      <c r="AB1" s="110" t="s">
        <v>105</v>
      </c>
      <c r="AC1" s="112" t="s">
        <v>135</v>
      </c>
      <c r="AD1" s="111" t="s">
        <v>106</v>
      </c>
      <c r="AE1" s="111" t="s">
        <v>107</v>
      </c>
      <c r="AF1" s="111" t="s">
        <v>108</v>
      </c>
      <c r="AG1" s="111" t="s">
        <v>136</v>
      </c>
      <c r="AH1" s="109" t="s">
        <v>109</v>
      </c>
      <c r="AI1" s="109" t="s">
        <v>111</v>
      </c>
      <c r="AJ1" s="109" t="s">
        <v>110</v>
      </c>
      <c r="AK1" s="110" t="s">
        <v>115</v>
      </c>
      <c r="AL1" s="110" t="s">
        <v>116</v>
      </c>
      <c r="AM1" s="110" t="s">
        <v>117</v>
      </c>
      <c r="AN1" s="111" t="s">
        <v>112</v>
      </c>
      <c r="AO1" s="111" t="s">
        <v>113</v>
      </c>
      <c r="AP1" s="111" t="s">
        <v>114</v>
      </c>
    </row>
    <row r="2" spans="1:42" x14ac:dyDescent="0.15">
      <c r="A2" s="113" t="s">
        <v>74</v>
      </c>
      <c r="B2" s="114">
        <v>1</v>
      </c>
      <c r="D2">
        <v>1</v>
      </c>
      <c r="E2" s="167" t="s">
        <v>192</v>
      </c>
      <c r="F2">
        <v>0.98</v>
      </c>
      <c r="G2">
        <v>0.8</v>
      </c>
      <c r="H2">
        <v>0.8</v>
      </c>
      <c r="I2">
        <v>0.8</v>
      </c>
      <c r="J2" s="104">
        <v>0.25</v>
      </c>
      <c r="K2" s="104">
        <v>0.05</v>
      </c>
    </row>
    <row r="3" spans="1:42" x14ac:dyDescent="0.15">
      <c r="A3" s="113" t="s">
        <v>75</v>
      </c>
      <c r="B3" s="115">
        <v>1</v>
      </c>
      <c r="D3">
        <v>2</v>
      </c>
      <c r="E3" s="167" t="s">
        <v>193</v>
      </c>
      <c r="F3">
        <v>0.98</v>
      </c>
      <c r="G3">
        <v>0.8</v>
      </c>
      <c r="H3">
        <v>0.8</v>
      </c>
      <c r="I3">
        <v>0.8</v>
      </c>
      <c r="J3" s="104">
        <v>0.25</v>
      </c>
      <c r="K3" s="104">
        <v>0.05</v>
      </c>
    </row>
    <row r="4" spans="1:42" x14ac:dyDescent="0.15">
      <c r="A4" s="113" t="s">
        <v>76</v>
      </c>
      <c r="B4" s="115">
        <v>1</v>
      </c>
      <c r="D4">
        <v>3</v>
      </c>
      <c r="E4" s="167" t="s">
        <v>194</v>
      </c>
      <c r="F4">
        <v>0.98</v>
      </c>
      <c r="G4">
        <v>0.8</v>
      </c>
      <c r="H4">
        <v>0.8</v>
      </c>
      <c r="I4">
        <v>0.8</v>
      </c>
      <c r="J4" s="104">
        <v>0.25</v>
      </c>
      <c r="K4" s="104">
        <v>0.05</v>
      </c>
    </row>
    <row r="5" spans="1:42" x14ac:dyDescent="0.15">
      <c r="A5" s="113" t="s">
        <v>77</v>
      </c>
      <c r="B5" s="115">
        <v>1</v>
      </c>
      <c r="D5">
        <v>4</v>
      </c>
      <c r="E5" s="167" t="s">
        <v>195</v>
      </c>
      <c r="F5">
        <v>0.98</v>
      </c>
      <c r="G5">
        <v>0.8</v>
      </c>
      <c r="H5">
        <v>0.8</v>
      </c>
      <c r="I5">
        <v>0.8</v>
      </c>
      <c r="J5" s="104">
        <v>0.25</v>
      </c>
      <c r="K5" s="104">
        <v>0.05</v>
      </c>
    </row>
    <row r="6" spans="1:42" x14ac:dyDescent="0.15">
      <c r="A6" s="113" t="s">
        <v>78</v>
      </c>
      <c r="B6" s="115">
        <v>1</v>
      </c>
      <c r="D6">
        <v>5</v>
      </c>
      <c r="E6" s="167" t="s">
        <v>196</v>
      </c>
      <c r="F6">
        <v>0.98</v>
      </c>
      <c r="G6">
        <v>0.8</v>
      </c>
      <c r="H6">
        <v>0.8</v>
      </c>
      <c r="I6">
        <v>0.8</v>
      </c>
      <c r="J6" s="104">
        <v>0.25</v>
      </c>
      <c r="K6" s="104">
        <v>0.05</v>
      </c>
    </row>
    <row r="7" spans="1:42" x14ac:dyDescent="0.15">
      <c r="A7" s="113" t="s">
        <v>79</v>
      </c>
      <c r="B7" s="115">
        <v>1</v>
      </c>
      <c r="D7">
        <v>6</v>
      </c>
      <c r="E7" s="167" t="s">
        <v>197</v>
      </c>
      <c r="F7">
        <v>0.98</v>
      </c>
      <c r="G7">
        <v>0.8</v>
      </c>
      <c r="H7">
        <v>0.8</v>
      </c>
      <c r="I7">
        <v>0.8</v>
      </c>
      <c r="J7" s="104">
        <v>0.25</v>
      </c>
      <c r="K7" s="104">
        <v>0.05</v>
      </c>
    </row>
    <row r="8" spans="1:42" x14ac:dyDescent="0.15">
      <c r="A8" s="113" t="s">
        <v>80</v>
      </c>
      <c r="B8" s="115">
        <v>1</v>
      </c>
      <c r="D8">
        <v>7</v>
      </c>
      <c r="E8" s="167" t="s">
        <v>198</v>
      </c>
      <c r="F8">
        <v>0.98</v>
      </c>
      <c r="G8">
        <v>0.8</v>
      </c>
      <c r="H8">
        <v>0.8</v>
      </c>
      <c r="I8">
        <v>0.8</v>
      </c>
      <c r="J8" s="104">
        <v>0.25</v>
      </c>
      <c r="K8" s="104">
        <v>0.05</v>
      </c>
    </row>
    <row r="9" spans="1:42" x14ac:dyDescent="0.15">
      <c r="A9" s="113" t="s">
        <v>81</v>
      </c>
      <c r="B9" s="115">
        <v>0.1</v>
      </c>
      <c r="C9" s="59" t="s">
        <v>150</v>
      </c>
      <c r="D9">
        <v>8</v>
      </c>
      <c r="E9" s="167" t="s">
        <v>199</v>
      </c>
      <c r="F9">
        <v>0.98</v>
      </c>
      <c r="G9">
        <v>0.8</v>
      </c>
      <c r="H9">
        <v>0.8</v>
      </c>
      <c r="I9">
        <v>0.8</v>
      </c>
      <c r="J9" s="104">
        <v>0.25</v>
      </c>
      <c r="K9" s="104">
        <v>0.05</v>
      </c>
    </row>
    <row r="10" spans="1:42" ht="14" thickBot="1" x14ac:dyDescent="0.2">
      <c r="A10" s="113" t="s">
        <v>149</v>
      </c>
      <c r="B10" s="116">
        <f>1/3</f>
        <v>0.33333333333333331</v>
      </c>
      <c r="C10" s="59" t="s">
        <v>150</v>
      </c>
      <c r="D10">
        <v>9</v>
      </c>
      <c r="E10" s="167" t="s">
        <v>200</v>
      </c>
      <c r="F10">
        <v>0.98</v>
      </c>
      <c r="G10">
        <v>0.8</v>
      </c>
      <c r="H10">
        <v>0.8</v>
      </c>
      <c r="I10">
        <v>0.8</v>
      </c>
      <c r="J10" s="104">
        <v>0.25</v>
      </c>
      <c r="K10" s="104">
        <v>0.05</v>
      </c>
    </row>
    <row r="11" spans="1:42" x14ac:dyDescent="0.15">
      <c r="D11">
        <v>10</v>
      </c>
      <c r="E11" s="167" t="s">
        <v>201</v>
      </c>
      <c r="F11">
        <v>0.98</v>
      </c>
      <c r="G11">
        <v>0.8</v>
      </c>
      <c r="H11">
        <v>0.8</v>
      </c>
      <c r="I11">
        <v>0.8</v>
      </c>
      <c r="J11" s="104">
        <v>0.25</v>
      </c>
      <c r="K11" s="104">
        <v>0.05</v>
      </c>
    </row>
    <row r="12" spans="1:42" x14ac:dyDescent="0.15">
      <c r="D12">
        <v>11</v>
      </c>
      <c r="E12" s="167" t="s">
        <v>202</v>
      </c>
      <c r="F12">
        <v>0.98</v>
      </c>
      <c r="G12">
        <v>0.8</v>
      </c>
      <c r="H12">
        <v>0.8</v>
      </c>
      <c r="I12">
        <v>0.8</v>
      </c>
      <c r="J12" s="104">
        <v>0.25</v>
      </c>
      <c r="K12" s="104">
        <v>0.05</v>
      </c>
    </row>
    <row r="13" spans="1:42" x14ac:dyDescent="0.15">
      <c r="D13">
        <v>12</v>
      </c>
      <c r="E13" s="167" t="s">
        <v>203</v>
      </c>
      <c r="F13">
        <v>0.98</v>
      </c>
      <c r="G13">
        <v>0.8</v>
      </c>
      <c r="H13">
        <v>0.8</v>
      </c>
      <c r="I13">
        <v>0.8</v>
      </c>
      <c r="J13" s="104">
        <v>0.25</v>
      </c>
      <c r="K13" s="104">
        <v>0.05</v>
      </c>
    </row>
    <row r="14" spans="1:42" x14ac:dyDescent="0.15">
      <c r="D14">
        <v>13</v>
      </c>
      <c r="E14" s="167" t="s">
        <v>204</v>
      </c>
      <c r="F14">
        <v>0.98</v>
      </c>
      <c r="G14">
        <v>0.8</v>
      </c>
      <c r="H14">
        <v>0.8</v>
      </c>
      <c r="I14">
        <v>0.8</v>
      </c>
      <c r="J14" s="104">
        <v>0.25</v>
      </c>
      <c r="K14" s="104">
        <v>0.05</v>
      </c>
    </row>
    <row r="15" spans="1:42" x14ac:dyDescent="0.15">
      <c r="D15">
        <v>14</v>
      </c>
      <c r="E15" s="167" t="s">
        <v>205</v>
      </c>
      <c r="F15">
        <v>0.98</v>
      </c>
      <c r="G15">
        <v>0.8</v>
      </c>
      <c r="H15">
        <v>0.8</v>
      </c>
      <c r="I15">
        <v>0.8</v>
      </c>
      <c r="J15" s="104">
        <v>0.25</v>
      </c>
      <c r="K15" s="104">
        <v>0.05</v>
      </c>
    </row>
    <row r="16" spans="1:42" x14ac:dyDescent="0.15">
      <c r="D16">
        <v>15</v>
      </c>
      <c r="E16" s="167" t="s">
        <v>206</v>
      </c>
      <c r="F16">
        <v>0.98</v>
      </c>
      <c r="G16">
        <v>0.8</v>
      </c>
      <c r="H16">
        <v>0.8</v>
      </c>
      <c r="I16">
        <v>0.8</v>
      </c>
      <c r="J16" s="104">
        <v>0.25</v>
      </c>
      <c r="K16" s="104">
        <v>0.05</v>
      </c>
    </row>
    <row r="17" spans="4:33" ht="15" customHeight="1" x14ac:dyDescent="0.15">
      <c r="D17">
        <v>16</v>
      </c>
      <c r="E17" s="167" t="s">
        <v>207</v>
      </c>
      <c r="F17">
        <v>0.98</v>
      </c>
      <c r="G17">
        <v>0.8</v>
      </c>
      <c r="H17">
        <v>0.8</v>
      </c>
      <c r="I17">
        <v>0.8</v>
      </c>
      <c r="J17" s="104">
        <v>0.25</v>
      </c>
      <c r="K17" s="104">
        <v>0.05</v>
      </c>
    </row>
    <row r="18" spans="4:33" ht="15" customHeight="1" x14ac:dyDescent="0.15">
      <c r="D18">
        <v>17</v>
      </c>
      <c r="E18" s="167" t="s">
        <v>208</v>
      </c>
      <c r="F18">
        <v>0.98</v>
      </c>
      <c r="G18">
        <v>0.8</v>
      </c>
      <c r="H18">
        <v>0.8</v>
      </c>
      <c r="I18">
        <v>0.8</v>
      </c>
      <c r="J18" s="104">
        <v>0.25</v>
      </c>
      <c r="K18" s="104">
        <v>0.05</v>
      </c>
    </row>
    <row r="19" spans="4:33" ht="15" customHeight="1" x14ac:dyDescent="0.15">
      <c r="D19">
        <v>18</v>
      </c>
      <c r="E19" s="167" t="s">
        <v>209</v>
      </c>
      <c r="F19">
        <v>0.98</v>
      </c>
      <c r="G19">
        <v>0.8</v>
      </c>
      <c r="H19">
        <v>0.8</v>
      </c>
      <c r="I19">
        <v>0</v>
      </c>
      <c r="J19" s="104">
        <v>0</v>
      </c>
      <c r="K19" s="104">
        <v>0</v>
      </c>
    </row>
    <row r="20" spans="4:33" ht="15" customHeight="1" x14ac:dyDescent="0.15">
      <c r="D20">
        <v>19</v>
      </c>
      <c r="E20" s="167" t="s">
        <v>210</v>
      </c>
      <c r="F20">
        <v>0.98</v>
      </c>
      <c r="G20">
        <v>0.8</v>
      </c>
      <c r="H20">
        <v>0.8</v>
      </c>
      <c r="I20">
        <v>0</v>
      </c>
      <c r="J20" s="104">
        <v>0</v>
      </c>
      <c r="K20" s="104">
        <v>0</v>
      </c>
    </row>
    <row r="21" spans="4:33" ht="15" customHeight="1" x14ac:dyDescent="0.15">
      <c r="D21">
        <v>20</v>
      </c>
      <c r="E21" s="167" t="s">
        <v>211</v>
      </c>
      <c r="F21">
        <v>0.98</v>
      </c>
      <c r="G21">
        <v>0.8</v>
      </c>
      <c r="H21">
        <v>0</v>
      </c>
      <c r="I21">
        <v>0</v>
      </c>
      <c r="J21" s="104">
        <v>0</v>
      </c>
      <c r="K21" s="104">
        <v>0</v>
      </c>
    </row>
    <row r="22" spans="4:33" ht="15" customHeight="1" x14ac:dyDescent="0.15">
      <c r="D22">
        <v>21</v>
      </c>
      <c r="E22" s="167" t="s">
        <v>212</v>
      </c>
      <c r="F22">
        <v>0.98</v>
      </c>
      <c r="G22">
        <v>0.8</v>
      </c>
      <c r="H22">
        <v>0</v>
      </c>
      <c r="I22">
        <v>0</v>
      </c>
      <c r="J22" s="104">
        <v>0</v>
      </c>
      <c r="K22" s="104">
        <v>0</v>
      </c>
    </row>
    <row r="23" spans="4:33" ht="15" customHeight="1" x14ac:dyDescent="0.15">
      <c r="J23"/>
      <c r="K23"/>
    </row>
    <row r="24" spans="4:33" ht="15" customHeight="1" x14ac:dyDescent="0.15">
      <c r="J24"/>
      <c r="K24"/>
    </row>
    <row r="25" spans="4:33" ht="15" customHeight="1" x14ac:dyDescent="0.15">
      <c r="J25"/>
      <c r="K25"/>
    </row>
    <row r="26" spans="4:33" ht="15" customHeight="1" x14ac:dyDescent="0.15">
      <c r="J26"/>
      <c r="K26"/>
    </row>
    <row r="27" spans="4:33" ht="15" customHeight="1" x14ac:dyDescent="0.15">
      <c r="J27"/>
      <c r="K27"/>
    </row>
    <row r="28" spans="4:33" ht="15" customHeight="1" x14ac:dyDescent="0.15">
      <c r="J28"/>
      <c r="K28"/>
    </row>
    <row r="29" spans="4:33" ht="15" customHeight="1" x14ac:dyDescent="0.15">
      <c r="J29"/>
      <c r="K29"/>
      <c r="Y29"/>
      <c r="AC29"/>
      <c r="AG29"/>
    </row>
    <row r="30" spans="4:33" ht="15" customHeight="1" x14ac:dyDescent="0.15">
      <c r="J30"/>
      <c r="K30"/>
      <c r="Y30"/>
      <c r="AC30"/>
      <c r="AG30"/>
    </row>
    <row r="31" spans="4:33" ht="15" customHeight="1" x14ac:dyDescent="0.15">
      <c r="J31"/>
      <c r="K31"/>
      <c r="Y31"/>
      <c r="AC31"/>
      <c r="AG31"/>
    </row>
    <row r="32" spans="4:33" ht="15" customHeight="1" x14ac:dyDescent="0.15">
      <c r="J32"/>
      <c r="K32"/>
      <c r="Y32"/>
      <c r="AC32"/>
      <c r="AG32"/>
    </row>
    <row r="33" spans="10:33" ht="15" customHeight="1" x14ac:dyDescent="0.15">
      <c r="J33"/>
      <c r="K33"/>
      <c r="Y33"/>
      <c r="AC33"/>
      <c r="AG33"/>
    </row>
    <row r="34" spans="10:33" ht="15" customHeight="1" x14ac:dyDescent="0.15">
      <c r="J34"/>
      <c r="K34"/>
      <c r="Y34"/>
      <c r="AC34"/>
      <c r="AG34"/>
    </row>
    <row r="35" spans="10:33" ht="15" customHeight="1" x14ac:dyDescent="0.15">
      <c r="J35"/>
      <c r="K35"/>
      <c r="Y35"/>
      <c r="AC35"/>
      <c r="AG35"/>
    </row>
    <row r="36" spans="10:33" ht="15" customHeight="1" x14ac:dyDescent="0.15">
      <c r="J36"/>
      <c r="K36"/>
      <c r="Y36"/>
      <c r="AC36"/>
      <c r="AG36"/>
    </row>
    <row r="37" spans="10:33" ht="15" customHeight="1" x14ac:dyDescent="0.15">
      <c r="J37"/>
      <c r="K37"/>
      <c r="Y37"/>
      <c r="AC37"/>
      <c r="AG37"/>
    </row>
    <row r="38" spans="10:33" ht="15" customHeight="1" x14ac:dyDescent="0.15">
      <c r="J38"/>
      <c r="K38"/>
      <c r="Y38"/>
      <c r="AC38"/>
      <c r="AG38"/>
    </row>
    <row r="39" spans="10:33" ht="15" customHeight="1" x14ac:dyDescent="0.15">
      <c r="J39"/>
      <c r="K39"/>
    </row>
    <row r="40" spans="10:33" ht="15" customHeight="1" x14ac:dyDescent="0.15">
      <c r="J40"/>
      <c r="K40"/>
      <c r="Y40"/>
      <c r="AC40"/>
      <c r="AG40"/>
    </row>
    <row r="41" spans="10:33" ht="15" customHeight="1" x14ac:dyDescent="0.15">
      <c r="J41"/>
      <c r="K41"/>
      <c r="Y41"/>
      <c r="AC41"/>
      <c r="AG41"/>
    </row>
    <row r="42" spans="10:33" ht="15" customHeight="1" x14ac:dyDescent="0.15">
      <c r="J42"/>
      <c r="K42"/>
      <c r="Y42"/>
      <c r="AC42"/>
      <c r="AG42"/>
    </row>
    <row r="43" spans="10:33" ht="15" customHeight="1" x14ac:dyDescent="0.15">
      <c r="J43"/>
      <c r="K43"/>
      <c r="Y43"/>
      <c r="AC43"/>
      <c r="AG43"/>
    </row>
    <row r="44" spans="10:33" ht="15" customHeight="1" x14ac:dyDescent="0.15">
      <c r="J44"/>
      <c r="K44"/>
      <c r="Y44"/>
      <c r="AC44"/>
      <c r="AG44"/>
    </row>
    <row r="45" spans="10:33" ht="15" customHeight="1" x14ac:dyDescent="0.15">
      <c r="J45"/>
      <c r="K45"/>
      <c r="Y45"/>
      <c r="AC45"/>
      <c r="AG45"/>
    </row>
    <row r="46" spans="10:33" ht="15" customHeight="1" x14ac:dyDescent="0.15">
      <c r="J46"/>
      <c r="K46"/>
      <c r="Y46"/>
      <c r="AC46"/>
      <c r="AG46"/>
    </row>
    <row r="47" spans="10:33" ht="15" customHeight="1" x14ac:dyDescent="0.15">
      <c r="J47"/>
      <c r="K47"/>
      <c r="Y47"/>
      <c r="AC47"/>
      <c r="AG47"/>
    </row>
    <row r="48" spans="10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D32"/>
  <sheetViews>
    <sheetView workbookViewId="0">
      <selection activeCell="A3" sqref="A3"/>
    </sheetView>
  </sheetViews>
  <sheetFormatPr baseColWidth="10" defaultRowHeight="13" x14ac:dyDescent="0.15"/>
  <cols>
    <col min="1" max="1" width="22" style="102" bestFit="1" customWidth="1"/>
    <col min="2" max="18" width="3.83203125" style="102" customWidth="1"/>
    <col min="19" max="22" width="2.33203125" style="102" customWidth="1"/>
    <col min="23" max="16384" width="10.83203125" style="102"/>
  </cols>
  <sheetData>
    <row r="1" spans="1:30" x14ac:dyDescent="0.15">
      <c r="A1" s="61" t="s">
        <v>118</v>
      </c>
      <c r="B1" s="169" t="s">
        <v>192</v>
      </c>
      <c r="C1" s="169" t="s">
        <v>193</v>
      </c>
      <c r="D1" s="169" t="s">
        <v>194</v>
      </c>
      <c r="E1" s="169" t="s">
        <v>195</v>
      </c>
      <c r="F1" s="169" t="s">
        <v>196</v>
      </c>
      <c r="G1" s="169" t="s">
        <v>197</v>
      </c>
      <c r="H1" s="169" t="s">
        <v>198</v>
      </c>
      <c r="I1" s="169" t="s">
        <v>199</v>
      </c>
      <c r="J1" s="169" t="s">
        <v>200</v>
      </c>
      <c r="K1" s="169" t="s">
        <v>201</v>
      </c>
      <c r="L1" s="169" t="s">
        <v>202</v>
      </c>
      <c r="M1" s="169" t="s">
        <v>203</v>
      </c>
      <c r="N1" s="169" t="s">
        <v>204</v>
      </c>
      <c r="O1" s="169" t="s">
        <v>205</v>
      </c>
      <c r="P1" s="169" t="s">
        <v>206</v>
      </c>
      <c r="Q1" s="169" t="s">
        <v>207</v>
      </c>
      <c r="R1" s="169" t="s">
        <v>208</v>
      </c>
      <c r="S1" s="169" t="s">
        <v>209</v>
      </c>
      <c r="T1" s="169" t="s">
        <v>210</v>
      </c>
      <c r="U1" s="169" t="s">
        <v>211</v>
      </c>
      <c r="V1" s="169" t="s">
        <v>212</v>
      </c>
      <c r="W1"/>
      <c r="X1"/>
      <c r="Y1"/>
      <c r="Z1"/>
      <c r="AA1"/>
      <c r="AB1"/>
      <c r="AC1"/>
      <c r="AD1"/>
    </row>
    <row r="2" spans="1:30" customFormat="1" x14ac:dyDescent="0.15">
      <c r="A2" s="168" t="s">
        <v>192</v>
      </c>
      <c r="B2" s="102">
        <v>0.8</v>
      </c>
      <c r="C2" s="102">
        <v>0.8</v>
      </c>
      <c r="D2" s="102">
        <v>0.8</v>
      </c>
      <c r="E2" s="102">
        <v>0</v>
      </c>
      <c r="F2" s="102">
        <v>0</v>
      </c>
      <c r="G2" s="102">
        <v>0</v>
      </c>
      <c r="H2" s="102">
        <v>0</v>
      </c>
      <c r="I2" s="102">
        <v>0</v>
      </c>
      <c r="J2" s="102">
        <v>0</v>
      </c>
      <c r="K2" s="102">
        <v>0</v>
      </c>
      <c r="L2" s="102">
        <v>0</v>
      </c>
      <c r="M2" s="102">
        <v>0</v>
      </c>
      <c r="N2" s="102">
        <v>0</v>
      </c>
      <c r="O2" s="102">
        <v>0</v>
      </c>
      <c r="P2" s="102">
        <v>0</v>
      </c>
      <c r="Q2" s="102">
        <v>0</v>
      </c>
      <c r="R2" s="102">
        <v>0</v>
      </c>
      <c r="S2" s="102">
        <v>0</v>
      </c>
      <c r="T2" s="102">
        <v>0</v>
      </c>
      <c r="U2" s="102">
        <v>0</v>
      </c>
      <c r="V2" s="102">
        <v>0</v>
      </c>
    </row>
    <row r="3" spans="1:30" customFormat="1" x14ac:dyDescent="0.15">
      <c r="A3" s="168" t="s">
        <v>193</v>
      </c>
      <c r="B3" s="102">
        <v>0.8</v>
      </c>
      <c r="C3" s="102">
        <v>0</v>
      </c>
      <c r="D3" s="102">
        <v>0.8</v>
      </c>
      <c r="E3" s="102">
        <v>0.8</v>
      </c>
      <c r="F3" s="102">
        <v>0.8</v>
      </c>
      <c r="G3" s="102">
        <v>0.8</v>
      </c>
      <c r="H3" s="102">
        <v>0.8</v>
      </c>
      <c r="I3" s="102">
        <v>0</v>
      </c>
      <c r="J3" s="102">
        <v>0</v>
      </c>
      <c r="K3" s="102">
        <v>0</v>
      </c>
      <c r="L3" s="102">
        <v>0</v>
      </c>
      <c r="M3" s="102">
        <v>0</v>
      </c>
      <c r="N3" s="102">
        <v>0</v>
      </c>
      <c r="O3" s="102">
        <v>0</v>
      </c>
      <c r="P3" s="102">
        <v>0</v>
      </c>
      <c r="Q3" s="102">
        <v>0</v>
      </c>
      <c r="R3" s="102">
        <v>0</v>
      </c>
      <c r="S3" s="102">
        <v>0</v>
      </c>
      <c r="T3" s="102">
        <v>0</v>
      </c>
      <c r="U3" s="102">
        <v>0</v>
      </c>
      <c r="V3" s="102">
        <v>0</v>
      </c>
    </row>
    <row r="4" spans="1:30" customFormat="1" x14ac:dyDescent="0.15">
      <c r="A4" s="168" t="s">
        <v>194</v>
      </c>
      <c r="B4" s="102">
        <v>0</v>
      </c>
      <c r="C4" s="102">
        <v>0</v>
      </c>
      <c r="D4" s="102">
        <v>0</v>
      </c>
      <c r="E4" s="102">
        <v>0</v>
      </c>
      <c r="F4" s="102">
        <v>0.8</v>
      </c>
      <c r="G4" s="102">
        <v>0.8</v>
      </c>
      <c r="H4" s="102">
        <v>0</v>
      </c>
      <c r="I4" s="102">
        <v>0</v>
      </c>
      <c r="J4" s="102">
        <v>0</v>
      </c>
      <c r="K4" s="102">
        <v>0</v>
      </c>
      <c r="L4" s="102">
        <v>0</v>
      </c>
      <c r="M4" s="102">
        <v>0</v>
      </c>
      <c r="N4" s="102">
        <v>0</v>
      </c>
      <c r="O4" s="102">
        <v>0</v>
      </c>
      <c r="P4" s="102">
        <v>0</v>
      </c>
      <c r="Q4" s="102">
        <v>0</v>
      </c>
      <c r="R4" s="102">
        <v>0</v>
      </c>
      <c r="S4" s="102">
        <v>0</v>
      </c>
      <c r="T4" s="102">
        <v>0</v>
      </c>
      <c r="U4" s="102">
        <v>0</v>
      </c>
      <c r="V4" s="102">
        <v>0</v>
      </c>
    </row>
    <row r="5" spans="1:30" customFormat="1" x14ac:dyDescent="0.15">
      <c r="A5" s="168" t="s">
        <v>195</v>
      </c>
      <c r="B5" s="102">
        <v>0</v>
      </c>
      <c r="C5" s="102">
        <v>0</v>
      </c>
      <c r="D5" s="102">
        <v>0</v>
      </c>
      <c r="E5" s="102">
        <v>0</v>
      </c>
      <c r="F5" s="102">
        <v>0</v>
      </c>
      <c r="G5" s="102">
        <v>0.8</v>
      </c>
      <c r="H5" s="102">
        <v>0</v>
      </c>
      <c r="I5" s="102">
        <v>0</v>
      </c>
      <c r="J5" s="102">
        <v>0</v>
      </c>
      <c r="K5" s="102">
        <v>0</v>
      </c>
      <c r="L5" s="102">
        <v>0</v>
      </c>
      <c r="M5" s="102">
        <v>0</v>
      </c>
      <c r="N5" s="102">
        <v>0</v>
      </c>
      <c r="O5" s="102">
        <v>0</v>
      </c>
      <c r="P5" s="102">
        <v>0</v>
      </c>
      <c r="Q5" s="102">
        <v>0</v>
      </c>
      <c r="R5" s="102">
        <v>0</v>
      </c>
      <c r="S5" s="102">
        <v>0</v>
      </c>
      <c r="T5" s="102">
        <v>0</v>
      </c>
      <c r="U5" s="102">
        <v>0</v>
      </c>
      <c r="V5" s="102">
        <v>0</v>
      </c>
    </row>
    <row r="6" spans="1:30" customFormat="1" x14ac:dyDescent="0.15">
      <c r="A6" s="168" t="s">
        <v>196</v>
      </c>
      <c r="B6" s="102">
        <v>0</v>
      </c>
      <c r="C6" s="102">
        <v>0</v>
      </c>
      <c r="D6" s="102">
        <v>0</v>
      </c>
      <c r="E6" s="102">
        <v>0.8</v>
      </c>
      <c r="F6" s="102">
        <v>0</v>
      </c>
      <c r="G6" s="102">
        <v>0</v>
      </c>
      <c r="H6" s="102">
        <v>0</v>
      </c>
      <c r="I6" s="102">
        <v>0</v>
      </c>
      <c r="J6" s="102">
        <v>0</v>
      </c>
      <c r="K6" s="102">
        <v>0</v>
      </c>
      <c r="L6" s="102">
        <v>0</v>
      </c>
      <c r="M6" s="102">
        <v>0</v>
      </c>
      <c r="N6" s="102">
        <v>0</v>
      </c>
      <c r="O6" s="102">
        <v>0</v>
      </c>
      <c r="P6" s="102">
        <v>0</v>
      </c>
      <c r="Q6" s="102">
        <v>0</v>
      </c>
      <c r="R6" s="102">
        <v>0</v>
      </c>
      <c r="S6" s="102">
        <v>0</v>
      </c>
      <c r="T6" s="102">
        <v>0</v>
      </c>
      <c r="U6" s="102">
        <v>0</v>
      </c>
      <c r="V6" s="102">
        <v>0</v>
      </c>
    </row>
    <row r="7" spans="1:30" customFormat="1" x14ac:dyDescent="0.15">
      <c r="A7" s="168" t="s">
        <v>197</v>
      </c>
      <c r="B7" s="102">
        <v>0</v>
      </c>
      <c r="C7" s="102">
        <v>0</v>
      </c>
      <c r="D7" s="102">
        <v>0</v>
      </c>
      <c r="E7" s="102">
        <v>0.8</v>
      </c>
      <c r="F7" s="102">
        <v>0</v>
      </c>
      <c r="G7" s="102">
        <v>0</v>
      </c>
      <c r="H7" s="102">
        <v>0</v>
      </c>
      <c r="I7" s="102">
        <v>0</v>
      </c>
      <c r="J7" s="102">
        <v>0</v>
      </c>
      <c r="K7" s="102">
        <v>0</v>
      </c>
      <c r="L7" s="102">
        <v>0</v>
      </c>
      <c r="M7" s="102">
        <v>0</v>
      </c>
      <c r="N7" s="102">
        <v>0</v>
      </c>
      <c r="O7" s="102">
        <v>0</v>
      </c>
      <c r="P7" s="102">
        <v>0</v>
      </c>
      <c r="Q7" s="102">
        <v>0</v>
      </c>
      <c r="R7" s="102">
        <v>0</v>
      </c>
      <c r="S7" s="102">
        <v>0</v>
      </c>
      <c r="T7" s="102">
        <v>0</v>
      </c>
      <c r="U7" s="102">
        <v>0</v>
      </c>
      <c r="V7" s="102">
        <v>0</v>
      </c>
    </row>
    <row r="8" spans="1:30" customFormat="1" x14ac:dyDescent="0.15">
      <c r="A8" s="168" t="s">
        <v>198</v>
      </c>
      <c r="B8" s="102">
        <v>0</v>
      </c>
      <c r="C8" s="102">
        <v>0</v>
      </c>
      <c r="D8" s="102">
        <v>0</v>
      </c>
      <c r="E8" s="102">
        <v>0.8</v>
      </c>
      <c r="F8" s="102">
        <v>0.8</v>
      </c>
      <c r="G8" s="102">
        <v>0.8</v>
      </c>
      <c r="H8" s="102">
        <v>0</v>
      </c>
      <c r="I8" s="102">
        <v>0</v>
      </c>
      <c r="J8" s="102">
        <v>0</v>
      </c>
      <c r="K8" s="102">
        <v>0</v>
      </c>
      <c r="L8" s="102">
        <v>0</v>
      </c>
      <c r="M8" s="102">
        <v>0</v>
      </c>
      <c r="N8" s="102">
        <v>0</v>
      </c>
      <c r="O8" s="102">
        <v>0</v>
      </c>
      <c r="P8" s="102">
        <v>0</v>
      </c>
      <c r="Q8" s="102">
        <v>0</v>
      </c>
      <c r="R8" s="102">
        <v>0</v>
      </c>
      <c r="S8" s="102">
        <v>0</v>
      </c>
      <c r="T8" s="102">
        <v>0</v>
      </c>
      <c r="U8" s="102">
        <v>0</v>
      </c>
      <c r="V8" s="102">
        <v>0</v>
      </c>
    </row>
    <row r="9" spans="1:30" customFormat="1" x14ac:dyDescent="0.15">
      <c r="A9" s="168" t="s">
        <v>199</v>
      </c>
      <c r="B9" s="102">
        <v>0</v>
      </c>
      <c r="C9" s="102">
        <v>0</v>
      </c>
      <c r="D9" s="102">
        <v>0</v>
      </c>
      <c r="E9" s="102">
        <v>0.8</v>
      </c>
      <c r="F9" s="102">
        <v>0.8</v>
      </c>
      <c r="G9" s="102">
        <v>0</v>
      </c>
      <c r="H9" s="102">
        <v>0</v>
      </c>
      <c r="I9" s="102">
        <v>0</v>
      </c>
      <c r="J9" s="102">
        <v>0</v>
      </c>
      <c r="K9" s="102">
        <v>0</v>
      </c>
      <c r="L9" s="102">
        <v>0</v>
      </c>
      <c r="M9" s="102">
        <v>0</v>
      </c>
      <c r="N9" s="102">
        <v>0</v>
      </c>
      <c r="O9" s="102">
        <v>0</v>
      </c>
      <c r="P9" s="102">
        <v>0</v>
      </c>
      <c r="Q9" s="102">
        <v>0</v>
      </c>
      <c r="R9" s="102">
        <v>0</v>
      </c>
      <c r="S9" s="102">
        <v>0</v>
      </c>
      <c r="T9" s="102">
        <v>0</v>
      </c>
      <c r="U9" s="102">
        <v>0</v>
      </c>
      <c r="V9" s="102">
        <v>0</v>
      </c>
    </row>
    <row r="10" spans="1:30" customFormat="1" x14ac:dyDescent="0.15">
      <c r="A10" s="168" t="s">
        <v>200</v>
      </c>
      <c r="B10" s="102">
        <v>0</v>
      </c>
      <c r="C10" s="102">
        <v>0</v>
      </c>
      <c r="D10" s="102">
        <v>0.8</v>
      </c>
      <c r="E10" s="102">
        <v>0.8</v>
      </c>
      <c r="F10" s="102">
        <v>0.8</v>
      </c>
      <c r="G10" s="102">
        <v>0.8</v>
      </c>
      <c r="H10" s="102">
        <v>0</v>
      </c>
      <c r="I10" s="102">
        <v>0</v>
      </c>
      <c r="J10" s="102">
        <v>0</v>
      </c>
      <c r="K10" s="102">
        <v>0</v>
      </c>
      <c r="L10" s="102">
        <v>0</v>
      </c>
      <c r="M10" s="102">
        <v>0</v>
      </c>
      <c r="N10" s="102">
        <v>0</v>
      </c>
      <c r="O10" s="102">
        <v>0</v>
      </c>
      <c r="P10" s="102">
        <v>0</v>
      </c>
      <c r="Q10" s="102">
        <v>0</v>
      </c>
      <c r="R10" s="102">
        <v>0</v>
      </c>
      <c r="S10" s="102">
        <v>0</v>
      </c>
      <c r="T10" s="102">
        <v>0</v>
      </c>
      <c r="U10" s="102">
        <v>0</v>
      </c>
      <c r="V10" s="102">
        <v>0</v>
      </c>
    </row>
    <row r="11" spans="1:30" customFormat="1" x14ac:dyDescent="0.15">
      <c r="A11" s="168" t="s">
        <v>201</v>
      </c>
      <c r="B11" s="102">
        <v>0.8</v>
      </c>
      <c r="C11" s="102">
        <v>0.8</v>
      </c>
      <c r="D11" s="102">
        <v>0.8</v>
      </c>
      <c r="E11" s="102">
        <v>0.8</v>
      </c>
      <c r="F11" s="102">
        <v>0.8</v>
      </c>
      <c r="G11" s="102">
        <v>0.8</v>
      </c>
      <c r="H11" s="102">
        <v>0</v>
      </c>
      <c r="I11" s="102">
        <v>0.8</v>
      </c>
      <c r="J11" s="102">
        <v>0.8</v>
      </c>
      <c r="K11" s="102">
        <v>0</v>
      </c>
      <c r="L11" s="102">
        <v>0</v>
      </c>
      <c r="M11" s="102">
        <v>0</v>
      </c>
      <c r="N11" s="102">
        <v>0</v>
      </c>
      <c r="O11" s="102">
        <v>0.8</v>
      </c>
      <c r="P11" s="102">
        <v>0</v>
      </c>
      <c r="Q11" s="102">
        <v>0</v>
      </c>
      <c r="R11" s="102">
        <v>0</v>
      </c>
      <c r="S11" s="102">
        <v>0</v>
      </c>
      <c r="T11" s="102">
        <v>0</v>
      </c>
      <c r="U11" s="102">
        <v>0</v>
      </c>
      <c r="V11" s="102">
        <v>0</v>
      </c>
    </row>
    <row r="12" spans="1:30" customFormat="1" x14ac:dyDescent="0.15">
      <c r="A12" s="168" t="s">
        <v>202</v>
      </c>
      <c r="B12" s="102">
        <v>0.8</v>
      </c>
      <c r="C12" s="102">
        <v>0.8</v>
      </c>
      <c r="D12" s="102">
        <v>0.8</v>
      </c>
      <c r="E12" s="102">
        <v>0.8</v>
      </c>
      <c r="F12" s="102">
        <v>0.8</v>
      </c>
      <c r="G12" s="102">
        <v>0.8</v>
      </c>
      <c r="H12" s="102">
        <v>0.8</v>
      </c>
      <c r="I12" s="102">
        <v>0.8</v>
      </c>
      <c r="J12" s="102">
        <v>0.8</v>
      </c>
      <c r="K12" s="102">
        <v>0.8</v>
      </c>
      <c r="L12" s="102">
        <v>0.8</v>
      </c>
      <c r="M12" s="102">
        <v>0</v>
      </c>
      <c r="N12" s="102">
        <v>0</v>
      </c>
      <c r="O12" s="102">
        <v>0.8</v>
      </c>
      <c r="P12" s="102">
        <v>0</v>
      </c>
      <c r="Q12" s="102">
        <v>0</v>
      </c>
      <c r="R12" s="102">
        <v>0</v>
      </c>
      <c r="S12" s="102">
        <v>0</v>
      </c>
      <c r="T12" s="102">
        <v>0</v>
      </c>
      <c r="U12" s="102">
        <v>0</v>
      </c>
      <c r="V12" s="102">
        <v>0</v>
      </c>
    </row>
    <row r="13" spans="1:30" customFormat="1" x14ac:dyDescent="0.15">
      <c r="A13" s="168" t="s">
        <v>203</v>
      </c>
      <c r="B13" s="102">
        <v>0.8</v>
      </c>
      <c r="C13" s="102">
        <v>0.8</v>
      </c>
      <c r="D13" s="102">
        <v>0.8</v>
      </c>
      <c r="E13" s="102">
        <v>0.8</v>
      </c>
      <c r="F13" s="102">
        <v>0.8</v>
      </c>
      <c r="G13" s="102">
        <v>0.8</v>
      </c>
      <c r="H13" s="102">
        <v>0.8</v>
      </c>
      <c r="I13" s="102">
        <v>0.8</v>
      </c>
      <c r="J13" s="102">
        <v>0</v>
      </c>
      <c r="K13" s="102">
        <v>0.8</v>
      </c>
      <c r="L13" s="102">
        <v>0.8</v>
      </c>
      <c r="M13" s="102">
        <v>0.8</v>
      </c>
      <c r="N13" s="102">
        <v>0</v>
      </c>
      <c r="O13" s="102">
        <v>0.8</v>
      </c>
      <c r="P13" s="102">
        <v>0</v>
      </c>
      <c r="Q13" s="102">
        <v>0</v>
      </c>
      <c r="R13" s="102">
        <v>0</v>
      </c>
      <c r="S13" s="102">
        <v>0</v>
      </c>
      <c r="T13" s="102">
        <v>0</v>
      </c>
      <c r="U13" s="102">
        <v>0</v>
      </c>
      <c r="V13" s="102">
        <v>0</v>
      </c>
    </row>
    <row r="14" spans="1:30" customFormat="1" x14ac:dyDescent="0.15">
      <c r="A14" s="168" t="s">
        <v>204</v>
      </c>
      <c r="B14" s="102">
        <v>0</v>
      </c>
      <c r="C14" s="102">
        <v>0.8</v>
      </c>
      <c r="D14" s="102">
        <v>0.8</v>
      </c>
      <c r="E14" s="102">
        <v>0.8</v>
      </c>
      <c r="F14" s="102">
        <v>0.8</v>
      </c>
      <c r="G14" s="102">
        <v>0.8</v>
      </c>
      <c r="H14" s="102">
        <v>0.8</v>
      </c>
      <c r="I14" s="102">
        <v>0.8</v>
      </c>
      <c r="J14" s="102">
        <v>0.8</v>
      </c>
      <c r="K14" s="102">
        <v>0.8</v>
      </c>
      <c r="L14" s="102">
        <v>0</v>
      </c>
      <c r="M14" s="102">
        <v>0</v>
      </c>
      <c r="N14" s="102">
        <v>0</v>
      </c>
      <c r="O14" s="102">
        <v>0.8</v>
      </c>
      <c r="P14" s="102">
        <v>0</v>
      </c>
      <c r="Q14" s="102">
        <v>0</v>
      </c>
      <c r="R14" s="102">
        <v>0</v>
      </c>
      <c r="S14" s="102">
        <v>0</v>
      </c>
      <c r="T14" s="102">
        <v>0</v>
      </c>
      <c r="U14" s="102">
        <v>0</v>
      </c>
      <c r="V14" s="102">
        <v>0</v>
      </c>
    </row>
    <row r="15" spans="1:30" customFormat="1" x14ac:dyDescent="0.15">
      <c r="A15" s="168" t="s">
        <v>205</v>
      </c>
      <c r="B15" s="102">
        <v>0</v>
      </c>
      <c r="C15" s="102">
        <v>0.8</v>
      </c>
      <c r="D15" s="102">
        <v>0.8</v>
      </c>
      <c r="E15" s="102">
        <v>0.8</v>
      </c>
      <c r="F15" s="102">
        <v>0.8</v>
      </c>
      <c r="G15" s="102">
        <v>0.8</v>
      </c>
      <c r="H15" s="102">
        <v>0.8</v>
      </c>
      <c r="I15" s="102">
        <v>0</v>
      </c>
      <c r="J15" s="102">
        <v>0.8</v>
      </c>
      <c r="K15" s="102">
        <v>0.8</v>
      </c>
      <c r="L15" s="102">
        <v>0</v>
      </c>
      <c r="M15" s="102">
        <v>0</v>
      </c>
      <c r="N15" s="102">
        <v>0</v>
      </c>
      <c r="O15" s="102">
        <v>0.8</v>
      </c>
      <c r="P15" s="102">
        <v>0</v>
      </c>
      <c r="Q15" s="102">
        <v>0</v>
      </c>
      <c r="R15" s="102">
        <v>0</v>
      </c>
      <c r="S15" s="102">
        <v>0</v>
      </c>
      <c r="T15" s="102">
        <v>0</v>
      </c>
      <c r="U15" s="102">
        <v>0</v>
      </c>
      <c r="V15" s="102">
        <v>0</v>
      </c>
    </row>
    <row r="16" spans="1:30" customFormat="1" x14ac:dyDescent="0.15">
      <c r="A16" s="168" t="s">
        <v>206</v>
      </c>
      <c r="B16" s="102">
        <v>0.8</v>
      </c>
      <c r="C16" s="102">
        <v>0.8</v>
      </c>
      <c r="D16" s="102">
        <v>0.8</v>
      </c>
      <c r="E16" s="102">
        <v>0.8</v>
      </c>
      <c r="F16" s="102">
        <v>0.8</v>
      </c>
      <c r="G16" s="102">
        <v>0</v>
      </c>
      <c r="H16" s="102">
        <v>0.8</v>
      </c>
      <c r="I16" s="102">
        <v>0.8</v>
      </c>
      <c r="J16" s="102">
        <v>0.8</v>
      </c>
      <c r="K16" s="102">
        <v>0.8</v>
      </c>
      <c r="L16" s="102">
        <v>0.8</v>
      </c>
      <c r="M16" s="102">
        <v>0</v>
      </c>
      <c r="N16" s="102">
        <v>0</v>
      </c>
      <c r="O16" s="102">
        <v>0.8</v>
      </c>
      <c r="P16" s="102">
        <v>0.8</v>
      </c>
      <c r="Q16" s="102">
        <v>0.8</v>
      </c>
      <c r="R16" s="102">
        <v>0</v>
      </c>
      <c r="S16" s="102">
        <v>0</v>
      </c>
      <c r="T16" s="102">
        <v>0</v>
      </c>
      <c r="U16" s="102">
        <v>0</v>
      </c>
      <c r="V16" s="102">
        <v>0</v>
      </c>
    </row>
    <row r="17" spans="1:22" customFormat="1" x14ac:dyDescent="0.15">
      <c r="A17" s="168" t="s">
        <v>207</v>
      </c>
      <c r="B17" s="102">
        <v>0.8</v>
      </c>
      <c r="C17" s="102">
        <v>0.8</v>
      </c>
      <c r="D17" s="102">
        <v>0.8</v>
      </c>
      <c r="E17" s="102">
        <v>0.8</v>
      </c>
      <c r="F17" s="102">
        <v>0</v>
      </c>
      <c r="G17" s="102">
        <v>0</v>
      </c>
      <c r="H17" s="102">
        <v>0</v>
      </c>
      <c r="I17" s="102">
        <v>0.8</v>
      </c>
      <c r="J17" s="102">
        <v>0</v>
      </c>
      <c r="K17" s="102">
        <v>0</v>
      </c>
      <c r="L17" s="102">
        <v>0.8</v>
      </c>
      <c r="M17" s="102">
        <v>0.8</v>
      </c>
      <c r="N17" s="102">
        <v>0.8</v>
      </c>
      <c r="O17" s="102">
        <v>0.8</v>
      </c>
      <c r="P17" s="102">
        <v>0.8</v>
      </c>
      <c r="Q17" s="102">
        <v>0.8</v>
      </c>
      <c r="R17" s="102">
        <v>0</v>
      </c>
      <c r="S17" s="102">
        <v>0</v>
      </c>
      <c r="T17" s="102">
        <v>0</v>
      </c>
      <c r="U17" s="102">
        <v>0</v>
      </c>
      <c r="V17" s="102">
        <v>0</v>
      </c>
    </row>
    <row r="18" spans="1:22" customFormat="1" x14ac:dyDescent="0.15">
      <c r="A18" s="168" t="s">
        <v>208</v>
      </c>
      <c r="B18" s="102">
        <v>0.8</v>
      </c>
      <c r="C18" s="102">
        <v>0.8</v>
      </c>
      <c r="D18" s="102">
        <v>0.8</v>
      </c>
      <c r="E18" s="102">
        <v>0.8</v>
      </c>
      <c r="F18" s="102">
        <v>0</v>
      </c>
      <c r="G18" s="102">
        <v>0</v>
      </c>
      <c r="H18" s="102">
        <v>0.8</v>
      </c>
      <c r="I18" s="102">
        <v>0.8</v>
      </c>
      <c r="J18" s="102">
        <v>0</v>
      </c>
      <c r="K18" s="102">
        <v>0</v>
      </c>
      <c r="L18" s="102">
        <v>0.8</v>
      </c>
      <c r="M18" s="102">
        <v>0</v>
      </c>
      <c r="N18" s="102">
        <v>0.8</v>
      </c>
      <c r="O18" s="102">
        <v>0.8</v>
      </c>
      <c r="P18" s="102">
        <v>0</v>
      </c>
      <c r="Q18" s="102">
        <v>0.8</v>
      </c>
      <c r="R18" s="102">
        <v>0.8</v>
      </c>
      <c r="S18" s="102">
        <v>0</v>
      </c>
      <c r="T18" s="102">
        <v>0</v>
      </c>
      <c r="U18" s="102">
        <v>0</v>
      </c>
      <c r="V18" s="102">
        <v>0</v>
      </c>
    </row>
    <row r="19" spans="1:22" customFormat="1" x14ac:dyDescent="0.15">
      <c r="A19" s="168" t="s">
        <v>209</v>
      </c>
      <c r="B19" s="102">
        <v>0.8</v>
      </c>
      <c r="C19" s="102">
        <v>0.8</v>
      </c>
      <c r="D19" s="102">
        <v>0.8</v>
      </c>
      <c r="E19" s="102">
        <v>0.8</v>
      </c>
      <c r="F19" s="102">
        <v>0</v>
      </c>
      <c r="G19" s="102">
        <v>0</v>
      </c>
      <c r="H19" s="102">
        <v>0.8</v>
      </c>
      <c r="I19" s="102">
        <v>0.8</v>
      </c>
      <c r="J19" s="102">
        <v>0.8</v>
      </c>
      <c r="K19" s="102">
        <v>0.8</v>
      </c>
      <c r="L19" s="102">
        <v>0.8</v>
      </c>
      <c r="M19" s="102">
        <v>0.8</v>
      </c>
      <c r="N19" s="102">
        <v>0.8</v>
      </c>
      <c r="O19" s="102">
        <v>0.8</v>
      </c>
      <c r="P19" s="102">
        <v>0.8</v>
      </c>
      <c r="Q19" s="102">
        <v>0.8</v>
      </c>
      <c r="R19" s="102">
        <v>0</v>
      </c>
      <c r="S19" s="102">
        <v>0</v>
      </c>
      <c r="T19" s="102">
        <v>0</v>
      </c>
      <c r="U19" s="102">
        <v>0</v>
      </c>
      <c r="V19" s="102">
        <v>0</v>
      </c>
    </row>
    <row r="20" spans="1:22" customFormat="1" x14ac:dyDescent="0.15">
      <c r="A20" s="168" t="s">
        <v>210</v>
      </c>
      <c r="B20" s="102">
        <v>0.8</v>
      </c>
      <c r="C20" s="102">
        <v>0.8</v>
      </c>
      <c r="D20" s="102">
        <v>0</v>
      </c>
      <c r="E20" s="102">
        <v>0</v>
      </c>
      <c r="F20" s="102">
        <v>0</v>
      </c>
      <c r="G20" s="102">
        <v>0</v>
      </c>
      <c r="H20" s="102">
        <v>0</v>
      </c>
      <c r="I20" s="102">
        <v>0</v>
      </c>
      <c r="J20" s="102">
        <v>0</v>
      </c>
      <c r="K20" s="102">
        <v>0</v>
      </c>
      <c r="L20" s="102">
        <v>0</v>
      </c>
      <c r="M20" s="102">
        <v>0</v>
      </c>
      <c r="N20" s="102">
        <v>0.8</v>
      </c>
      <c r="O20" s="102">
        <v>0.8</v>
      </c>
      <c r="P20" s="102">
        <v>0</v>
      </c>
      <c r="Q20" s="102">
        <v>0</v>
      </c>
      <c r="R20" s="102">
        <v>0.8</v>
      </c>
      <c r="S20" s="102">
        <v>0</v>
      </c>
      <c r="T20" s="102">
        <v>0</v>
      </c>
      <c r="U20" s="102">
        <v>0</v>
      </c>
      <c r="V20" s="102">
        <v>0</v>
      </c>
    </row>
    <row r="21" spans="1:22" customFormat="1" x14ac:dyDescent="0.15">
      <c r="A21" s="168" t="s">
        <v>211</v>
      </c>
      <c r="B21" s="102">
        <v>0.8</v>
      </c>
      <c r="C21" s="102">
        <v>0.8</v>
      </c>
      <c r="D21" s="102">
        <v>0.8</v>
      </c>
      <c r="E21" s="102">
        <v>0.8</v>
      </c>
      <c r="F21" s="102">
        <v>0.8</v>
      </c>
      <c r="G21" s="102">
        <v>0</v>
      </c>
      <c r="H21" s="102">
        <v>0.8</v>
      </c>
      <c r="I21" s="102">
        <v>0.8</v>
      </c>
      <c r="J21" s="102">
        <v>0.8</v>
      </c>
      <c r="K21" s="102">
        <v>0.8</v>
      </c>
      <c r="L21" s="102">
        <v>0.8</v>
      </c>
      <c r="M21" s="102">
        <v>0.8</v>
      </c>
      <c r="N21" s="102">
        <v>0.8</v>
      </c>
      <c r="O21" s="102">
        <v>0.8</v>
      </c>
      <c r="P21" s="102">
        <v>0.8</v>
      </c>
      <c r="Q21" s="102">
        <v>0.8</v>
      </c>
      <c r="R21" s="102">
        <v>0.8</v>
      </c>
      <c r="S21" s="102">
        <v>0</v>
      </c>
      <c r="T21" s="102">
        <v>0</v>
      </c>
      <c r="U21" s="102">
        <v>0</v>
      </c>
      <c r="V21" s="102">
        <v>0</v>
      </c>
    </row>
    <row r="22" spans="1:22" customFormat="1" x14ac:dyDescent="0.15">
      <c r="A22" s="168" t="s">
        <v>212</v>
      </c>
      <c r="B22" s="102">
        <v>0</v>
      </c>
      <c r="C22" s="102">
        <v>0</v>
      </c>
      <c r="D22" s="102">
        <v>0</v>
      </c>
      <c r="E22" s="102">
        <v>0</v>
      </c>
      <c r="F22" s="102">
        <v>0</v>
      </c>
      <c r="G22" s="102">
        <v>0</v>
      </c>
      <c r="H22" s="102">
        <v>0</v>
      </c>
      <c r="I22" s="102">
        <v>0</v>
      </c>
      <c r="J22" s="102">
        <v>0</v>
      </c>
      <c r="K22" s="102">
        <v>0</v>
      </c>
      <c r="L22" s="102">
        <v>0</v>
      </c>
      <c r="M22" s="102">
        <v>0</v>
      </c>
      <c r="N22" s="102">
        <v>0</v>
      </c>
      <c r="O22" s="102">
        <v>0</v>
      </c>
      <c r="P22" s="102">
        <v>0</v>
      </c>
      <c r="Q22" s="102">
        <v>0</v>
      </c>
      <c r="R22" s="102">
        <v>0</v>
      </c>
      <c r="S22" s="102">
        <v>0</v>
      </c>
      <c r="T22" s="102">
        <v>0</v>
      </c>
      <c r="U22" s="102">
        <v>0</v>
      </c>
      <c r="V22" s="102">
        <v>0</v>
      </c>
    </row>
    <row r="23" spans="1:22" customFormat="1" x14ac:dyDescent="0.15">
      <c r="A23" s="168" t="s">
        <v>214</v>
      </c>
      <c r="B23" s="102">
        <v>0</v>
      </c>
      <c r="C23" s="102">
        <v>0</v>
      </c>
      <c r="D23" s="102">
        <v>0</v>
      </c>
      <c r="E23" s="102">
        <v>0</v>
      </c>
      <c r="F23" s="102">
        <v>0</v>
      </c>
      <c r="G23" s="102">
        <v>0</v>
      </c>
      <c r="H23" s="102">
        <v>0</v>
      </c>
      <c r="I23" s="102">
        <v>0</v>
      </c>
      <c r="J23" s="102">
        <v>0</v>
      </c>
      <c r="K23" s="102">
        <v>0</v>
      </c>
      <c r="L23" s="102">
        <v>0</v>
      </c>
      <c r="M23" s="102">
        <v>0</v>
      </c>
      <c r="N23" s="102">
        <v>0</v>
      </c>
      <c r="O23" s="102">
        <v>0</v>
      </c>
      <c r="P23" s="102">
        <v>0</v>
      </c>
      <c r="Q23" s="102">
        <v>0</v>
      </c>
      <c r="R23" s="102">
        <v>0</v>
      </c>
      <c r="S23" s="102">
        <v>0</v>
      </c>
      <c r="T23" s="102">
        <v>0</v>
      </c>
      <c r="U23" s="102">
        <v>0</v>
      </c>
      <c r="V23" s="102">
        <v>0</v>
      </c>
    </row>
    <row r="24" spans="1:22" customFormat="1" x14ac:dyDescent="0.15"/>
    <row r="25" spans="1:22" customFormat="1" x14ac:dyDescent="0.15"/>
    <row r="26" spans="1:22" customFormat="1" x14ac:dyDescent="0.15"/>
    <row r="27" spans="1:22" customFormat="1" x14ac:dyDescent="0.15"/>
    <row r="28" spans="1:22" customFormat="1" x14ac:dyDescent="0.15"/>
    <row r="29" spans="1:22" customFormat="1" x14ac:dyDescent="0.15"/>
    <row r="30" spans="1:22" customFormat="1" x14ac:dyDescent="0.15"/>
    <row r="31" spans="1:22" customFormat="1" x14ac:dyDescent="0.15"/>
    <row r="32" spans="1:22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E31"/>
  <sheetViews>
    <sheetView workbookViewId="0">
      <selection activeCell="A3" sqref="A3"/>
    </sheetView>
  </sheetViews>
  <sheetFormatPr baseColWidth="10" defaultRowHeight="13" x14ac:dyDescent="0.15"/>
  <cols>
    <col min="1" max="1" width="22" style="102" bestFit="1" customWidth="1"/>
    <col min="2" max="22" width="2.33203125" style="102" customWidth="1"/>
    <col min="23" max="16384" width="10.83203125" style="102"/>
  </cols>
  <sheetData>
    <row r="1" spans="1:31" x14ac:dyDescent="0.15">
      <c r="A1" s="61" t="s">
        <v>139</v>
      </c>
      <c r="B1" s="171" t="s">
        <v>192</v>
      </c>
      <c r="C1" s="171" t="s">
        <v>193</v>
      </c>
      <c r="D1" s="171" t="s">
        <v>194</v>
      </c>
      <c r="E1" s="171" t="s">
        <v>195</v>
      </c>
      <c r="F1" s="171" t="s">
        <v>196</v>
      </c>
      <c r="G1" s="171" t="s">
        <v>197</v>
      </c>
      <c r="H1" s="171" t="s">
        <v>198</v>
      </c>
      <c r="I1" s="171" t="s">
        <v>199</v>
      </c>
      <c r="J1" s="171" t="s">
        <v>200</v>
      </c>
      <c r="K1" s="171" t="s">
        <v>201</v>
      </c>
      <c r="L1" s="171" t="s">
        <v>202</v>
      </c>
      <c r="M1" s="171" t="s">
        <v>203</v>
      </c>
      <c r="N1" s="171" t="s">
        <v>204</v>
      </c>
      <c r="O1" s="171" t="s">
        <v>205</v>
      </c>
      <c r="P1" s="171" t="s">
        <v>206</v>
      </c>
      <c r="Q1" s="171" t="s">
        <v>207</v>
      </c>
      <c r="R1" s="171" t="s">
        <v>208</v>
      </c>
      <c r="S1" s="171" t="s">
        <v>209</v>
      </c>
      <c r="T1" s="171" t="s">
        <v>210</v>
      </c>
      <c r="U1" s="171" t="s">
        <v>211</v>
      </c>
      <c r="V1" s="171" t="s">
        <v>212</v>
      </c>
      <c r="W1"/>
      <c r="X1"/>
      <c r="Y1"/>
      <c r="Z1"/>
      <c r="AA1"/>
      <c r="AB1"/>
      <c r="AC1"/>
      <c r="AD1"/>
      <c r="AE1"/>
    </row>
    <row r="2" spans="1:31" customFormat="1" x14ac:dyDescent="0.15">
      <c r="A2" s="170" t="s">
        <v>192</v>
      </c>
      <c r="B2" s="102">
        <v>1</v>
      </c>
      <c r="C2" s="102">
        <v>1</v>
      </c>
      <c r="D2" s="102">
        <v>1</v>
      </c>
      <c r="E2" s="102">
        <v>0</v>
      </c>
      <c r="F2" s="102">
        <v>0</v>
      </c>
      <c r="G2" s="102">
        <v>0</v>
      </c>
      <c r="H2" s="102">
        <v>0</v>
      </c>
      <c r="I2" s="102">
        <v>0</v>
      </c>
      <c r="J2" s="102">
        <v>0</v>
      </c>
      <c r="K2" s="102">
        <v>0</v>
      </c>
      <c r="L2" s="102">
        <v>0</v>
      </c>
      <c r="M2" s="102">
        <v>0</v>
      </c>
      <c r="N2" s="102">
        <v>0</v>
      </c>
      <c r="O2" s="102">
        <v>0</v>
      </c>
      <c r="P2" s="102">
        <v>0</v>
      </c>
      <c r="Q2" s="102">
        <v>0</v>
      </c>
      <c r="R2" s="102">
        <v>0</v>
      </c>
      <c r="S2" s="102">
        <v>0</v>
      </c>
      <c r="T2" s="102">
        <v>0</v>
      </c>
      <c r="U2" s="102">
        <v>0</v>
      </c>
      <c r="V2" s="102">
        <v>0</v>
      </c>
    </row>
    <row r="3" spans="1:31" customFormat="1" x14ac:dyDescent="0.15">
      <c r="A3" s="170" t="s">
        <v>193</v>
      </c>
      <c r="B3" s="102">
        <v>1</v>
      </c>
      <c r="C3" s="102">
        <v>0</v>
      </c>
      <c r="D3" s="102">
        <v>1</v>
      </c>
      <c r="E3" s="102">
        <v>1</v>
      </c>
      <c r="F3" s="102">
        <v>1</v>
      </c>
      <c r="G3" s="102">
        <v>1</v>
      </c>
      <c r="H3" s="102">
        <v>1</v>
      </c>
      <c r="I3" s="102">
        <v>0</v>
      </c>
      <c r="J3" s="102">
        <v>0</v>
      </c>
      <c r="K3" s="102">
        <v>0</v>
      </c>
      <c r="L3" s="102">
        <v>0</v>
      </c>
      <c r="M3" s="102">
        <v>0</v>
      </c>
      <c r="N3" s="102">
        <v>0</v>
      </c>
      <c r="O3" s="102">
        <v>0</v>
      </c>
      <c r="P3" s="102">
        <v>0</v>
      </c>
      <c r="Q3" s="102">
        <v>0</v>
      </c>
      <c r="R3" s="102">
        <v>0</v>
      </c>
      <c r="S3" s="102">
        <v>0</v>
      </c>
      <c r="T3" s="102">
        <v>0</v>
      </c>
      <c r="U3" s="102">
        <v>0</v>
      </c>
      <c r="V3" s="102">
        <v>0</v>
      </c>
    </row>
    <row r="4" spans="1:31" customFormat="1" x14ac:dyDescent="0.15">
      <c r="A4" s="170" t="s">
        <v>194</v>
      </c>
      <c r="B4" s="102">
        <v>0</v>
      </c>
      <c r="C4" s="102">
        <v>0</v>
      </c>
      <c r="D4" s="102">
        <v>0</v>
      </c>
      <c r="E4" s="102">
        <v>0</v>
      </c>
      <c r="F4" s="102">
        <v>1</v>
      </c>
      <c r="G4" s="102">
        <v>1</v>
      </c>
      <c r="H4" s="102">
        <v>0</v>
      </c>
      <c r="I4" s="102">
        <v>0</v>
      </c>
      <c r="J4" s="102">
        <v>0</v>
      </c>
      <c r="K4" s="102">
        <v>0</v>
      </c>
      <c r="L4" s="102">
        <v>0</v>
      </c>
      <c r="M4" s="102">
        <v>0</v>
      </c>
      <c r="N4" s="102">
        <v>0</v>
      </c>
      <c r="O4" s="102">
        <v>0</v>
      </c>
      <c r="P4" s="102">
        <v>0</v>
      </c>
      <c r="Q4" s="102">
        <v>0</v>
      </c>
      <c r="R4" s="102">
        <v>0</v>
      </c>
      <c r="S4" s="102">
        <v>0</v>
      </c>
      <c r="T4" s="102">
        <v>0</v>
      </c>
      <c r="U4" s="102">
        <v>0</v>
      </c>
      <c r="V4" s="102">
        <v>0</v>
      </c>
    </row>
    <row r="5" spans="1:31" customFormat="1" x14ac:dyDescent="0.15">
      <c r="A5" s="170" t="s">
        <v>195</v>
      </c>
      <c r="B5" s="102">
        <v>0</v>
      </c>
      <c r="C5" s="102">
        <v>0</v>
      </c>
      <c r="D5" s="102">
        <v>0</v>
      </c>
      <c r="E5" s="102">
        <v>0</v>
      </c>
      <c r="F5" s="102">
        <v>0</v>
      </c>
      <c r="G5" s="102">
        <v>1</v>
      </c>
      <c r="H5" s="102">
        <v>0</v>
      </c>
      <c r="I5" s="102">
        <v>0</v>
      </c>
      <c r="J5" s="102">
        <v>0</v>
      </c>
      <c r="K5" s="102">
        <v>0</v>
      </c>
      <c r="L5" s="102">
        <v>0</v>
      </c>
      <c r="M5" s="102">
        <v>0</v>
      </c>
      <c r="N5" s="102">
        <v>0</v>
      </c>
      <c r="O5" s="102">
        <v>0</v>
      </c>
      <c r="P5" s="102">
        <v>0</v>
      </c>
      <c r="Q5" s="102">
        <v>0</v>
      </c>
      <c r="R5" s="102">
        <v>0</v>
      </c>
      <c r="S5" s="102">
        <v>0</v>
      </c>
      <c r="T5" s="102">
        <v>0</v>
      </c>
      <c r="U5" s="102">
        <v>0</v>
      </c>
      <c r="V5" s="102">
        <v>0</v>
      </c>
    </row>
    <row r="6" spans="1:31" customFormat="1" x14ac:dyDescent="0.15">
      <c r="A6" s="170" t="s">
        <v>196</v>
      </c>
      <c r="B6" s="102">
        <v>0</v>
      </c>
      <c r="C6" s="102">
        <v>0</v>
      </c>
      <c r="D6" s="102">
        <v>0</v>
      </c>
      <c r="E6" s="102">
        <v>1</v>
      </c>
      <c r="F6" s="102">
        <v>0</v>
      </c>
      <c r="G6" s="102">
        <v>0</v>
      </c>
      <c r="H6" s="102">
        <v>0</v>
      </c>
      <c r="I6" s="102">
        <v>0</v>
      </c>
      <c r="J6" s="102">
        <v>0</v>
      </c>
      <c r="K6" s="102">
        <v>0</v>
      </c>
      <c r="L6" s="102">
        <v>0</v>
      </c>
      <c r="M6" s="102">
        <v>0</v>
      </c>
      <c r="N6" s="102">
        <v>0</v>
      </c>
      <c r="O6" s="102">
        <v>0</v>
      </c>
      <c r="P6" s="102">
        <v>0</v>
      </c>
      <c r="Q6" s="102">
        <v>0</v>
      </c>
      <c r="R6" s="102">
        <v>0</v>
      </c>
      <c r="S6" s="102">
        <v>0</v>
      </c>
      <c r="T6" s="102">
        <v>0</v>
      </c>
      <c r="U6" s="102">
        <v>0</v>
      </c>
      <c r="V6" s="102">
        <v>0</v>
      </c>
    </row>
    <row r="7" spans="1:31" customFormat="1" x14ac:dyDescent="0.15">
      <c r="A7" s="170" t="s">
        <v>197</v>
      </c>
      <c r="B7" s="102">
        <v>0</v>
      </c>
      <c r="C7" s="102">
        <v>0</v>
      </c>
      <c r="D7" s="102">
        <v>0</v>
      </c>
      <c r="E7" s="102">
        <v>1</v>
      </c>
      <c r="F7" s="102">
        <v>0</v>
      </c>
      <c r="G7" s="102">
        <v>0</v>
      </c>
      <c r="H7" s="102">
        <v>0</v>
      </c>
      <c r="I7" s="102">
        <v>0</v>
      </c>
      <c r="J7" s="102">
        <v>0</v>
      </c>
      <c r="K7" s="102">
        <v>0</v>
      </c>
      <c r="L7" s="102">
        <v>0</v>
      </c>
      <c r="M7" s="102">
        <v>0</v>
      </c>
      <c r="N7" s="102">
        <v>0</v>
      </c>
      <c r="O7" s="102">
        <v>0</v>
      </c>
      <c r="P7" s="102">
        <v>0</v>
      </c>
      <c r="Q7" s="102">
        <v>0</v>
      </c>
      <c r="R7" s="102">
        <v>0</v>
      </c>
      <c r="S7" s="102">
        <v>0</v>
      </c>
      <c r="T7" s="102">
        <v>0</v>
      </c>
      <c r="U7" s="102">
        <v>0</v>
      </c>
      <c r="V7" s="102">
        <v>0</v>
      </c>
    </row>
    <row r="8" spans="1:31" customFormat="1" x14ac:dyDescent="0.15">
      <c r="A8" s="170" t="s">
        <v>198</v>
      </c>
      <c r="B8" s="102">
        <v>0</v>
      </c>
      <c r="C8" s="102">
        <v>0</v>
      </c>
      <c r="D8" s="102">
        <v>0</v>
      </c>
      <c r="E8" s="102">
        <v>1</v>
      </c>
      <c r="F8" s="102">
        <v>1</v>
      </c>
      <c r="G8" s="102">
        <v>1</v>
      </c>
      <c r="H8" s="102">
        <v>0</v>
      </c>
      <c r="I8" s="102">
        <v>0</v>
      </c>
      <c r="J8" s="102">
        <v>0</v>
      </c>
      <c r="K8" s="102">
        <v>0</v>
      </c>
      <c r="L8" s="102">
        <v>0</v>
      </c>
      <c r="M8" s="102">
        <v>0</v>
      </c>
      <c r="N8" s="102">
        <v>0</v>
      </c>
      <c r="O8" s="102">
        <v>0</v>
      </c>
      <c r="P8" s="102">
        <v>0</v>
      </c>
      <c r="Q8" s="102">
        <v>0</v>
      </c>
      <c r="R8" s="102">
        <v>0</v>
      </c>
      <c r="S8" s="102">
        <v>0</v>
      </c>
      <c r="T8" s="102">
        <v>0</v>
      </c>
      <c r="U8" s="102">
        <v>0</v>
      </c>
      <c r="V8" s="102">
        <v>0</v>
      </c>
    </row>
    <row r="9" spans="1:31" customFormat="1" x14ac:dyDescent="0.15">
      <c r="A9" s="170" t="s">
        <v>199</v>
      </c>
      <c r="B9" s="102">
        <v>0</v>
      </c>
      <c r="C9" s="102">
        <v>0</v>
      </c>
      <c r="D9" s="102">
        <v>0</v>
      </c>
      <c r="E9" s="102">
        <v>1</v>
      </c>
      <c r="F9" s="102">
        <v>1</v>
      </c>
      <c r="G9" s="102">
        <v>0</v>
      </c>
      <c r="H9" s="102">
        <v>0</v>
      </c>
      <c r="I9" s="102">
        <v>0</v>
      </c>
      <c r="J9" s="102">
        <v>0</v>
      </c>
      <c r="K9" s="102">
        <v>0</v>
      </c>
      <c r="L9" s="102">
        <v>0</v>
      </c>
      <c r="M9" s="102">
        <v>0</v>
      </c>
      <c r="N9" s="102">
        <v>0</v>
      </c>
      <c r="O9" s="102">
        <v>0</v>
      </c>
      <c r="P9" s="102">
        <v>0</v>
      </c>
      <c r="Q9" s="102">
        <v>0</v>
      </c>
      <c r="R9" s="102">
        <v>0</v>
      </c>
      <c r="S9" s="102">
        <v>0</v>
      </c>
      <c r="T9" s="102">
        <v>0</v>
      </c>
      <c r="U9" s="102">
        <v>0</v>
      </c>
      <c r="V9" s="102">
        <v>0</v>
      </c>
    </row>
    <row r="10" spans="1:31" customFormat="1" x14ac:dyDescent="0.15">
      <c r="A10" s="170" t="s">
        <v>200</v>
      </c>
      <c r="B10" s="102">
        <v>0</v>
      </c>
      <c r="C10" s="102">
        <v>0</v>
      </c>
      <c r="D10" s="102">
        <v>1</v>
      </c>
      <c r="E10" s="102">
        <v>1</v>
      </c>
      <c r="F10" s="102">
        <v>1</v>
      </c>
      <c r="G10" s="102">
        <v>1</v>
      </c>
      <c r="H10" s="102">
        <v>0</v>
      </c>
      <c r="I10" s="102">
        <v>0</v>
      </c>
      <c r="J10" s="102">
        <v>0</v>
      </c>
      <c r="K10" s="102">
        <v>0</v>
      </c>
      <c r="L10" s="102">
        <v>0</v>
      </c>
      <c r="M10" s="102">
        <v>0</v>
      </c>
      <c r="N10" s="102">
        <v>0</v>
      </c>
      <c r="O10" s="102">
        <v>0</v>
      </c>
      <c r="P10" s="102">
        <v>0</v>
      </c>
      <c r="Q10" s="102">
        <v>0</v>
      </c>
      <c r="R10" s="102">
        <v>0</v>
      </c>
      <c r="S10" s="102">
        <v>0</v>
      </c>
      <c r="T10" s="102">
        <v>0</v>
      </c>
      <c r="U10" s="102">
        <v>0</v>
      </c>
      <c r="V10" s="102">
        <v>0</v>
      </c>
    </row>
    <row r="11" spans="1:31" customFormat="1" x14ac:dyDescent="0.15">
      <c r="A11" s="170" t="s">
        <v>201</v>
      </c>
      <c r="B11" s="102">
        <v>1</v>
      </c>
      <c r="C11" s="102">
        <v>1</v>
      </c>
      <c r="D11" s="102">
        <v>1</v>
      </c>
      <c r="E11" s="102">
        <v>1</v>
      </c>
      <c r="F11" s="102">
        <v>1</v>
      </c>
      <c r="G11" s="102">
        <v>1</v>
      </c>
      <c r="H11" s="102">
        <v>0</v>
      </c>
      <c r="I11" s="102">
        <v>1</v>
      </c>
      <c r="J11" s="102">
        <v>1</v>
      </c>
      <c r="K11" s="102">
        <v>0</v>
      </c>
      <c r="L11" s="102">
        <v>0</v>
      </c>
      <c r="M11" s="102">
        <v>0</v>
      </c>
      <c r="N11" s="102">
        <v>0</v>
      </c>
      <c r="O11" s="102">
        <v>1</v>
      </c>
      <c r="P11" s="102">
        <v>0</v>
      </c>
      <c r="Q11" s="102">
        <v>0</v>
      </c>
      <c r="R11" s="102">
        <v>0</v>
      </c>
      <c r="S11" s="102">
        <v>0</v>
      </c>
      <c r="T11" s="102">
        <v>0</v>
      </c>
      <c r="U11" s="102">
        <v>0</v>
      </c>
      <c r="V11" s="102">
        <v>0</v>
      </c>
    </row>
    <row r="12" spans="1:31" customFormat="1" x14ac:dyDescent="0.15">
      <c r="A12" s="170" t="s">
        <v>202</v>
      </c>
      <c r="B12" s="102">
        <v>1</v>
      </c>
      <c r="C12" s="102">
        <v>1</v>
      </c>
      <c r="D12" s="102">
        <v>1</v>
      </c>
      <c r="E12" s="102">
        <v>1</v>
      </c>
      <c r="F12" s="102">
        <v>1</v>
      </c>
      <c r="G12" s="102">
        <v>1</v>
      </c>
      <c r="H12" s="102">
        <v>1</v>
      </c>
      <c r="I12" s="102">
        <v>1</v>
      </c>
      <c r="J12" s="102">
        <v>1</v>
      </c>
      <c r="K12" s="102">
        <v>1</v>
      </c>
      <c r="L12" s="102">
        <v>1</v>
      </c>
      <c r="M12" s="102">
        <v>0</v>
      </c>
      <c r="N12" s="102">
        <v>0</v>
      </c>
      <c r="O12" s="102">
        <v>1</v>
      </c>
      <c r="P12" s="102">
        <v>0</v>
      </c>
      <c r="Q12" s="102">
        <v>0</v>
      </c>
      <c r="R12" s="102">
        <v>0</v>
      </c>
      <c r="S12" s="102">
        <v>0</v>
      </c>
      <c r="T12" s="102">
        <v>0</v>
      </c>
      <c r="U12" s="102">
        <v>0</v>
      </c>
      <c r="V12" s="102">
        <v>0</v>
      </c>
    </row>
    <row r="13" spans="1:31" customFormat="1" x14ac:dyDescent="0.15">
      <c r="A13" s="170" t="s">
        <v>203</v>
      </c>
      <c r="B13" s="102">
        <v>1</v>
      </c>
      <c r="C13" s="102">
        <v>1</v>
      </c>
      <c r="D13" s="102">
        <v>1</v>
      </c>
      <c r="E13" s="102">
        <v>1</v>
      </c>
      <c r="F13" s="102">
        <v>1</v>
      </c>
      <c r="G13" s="102">
        <v>1</v>
      </c>
      <c r="H13" s="102">
        <v>1</v>
      </c>
      <c r="I13" s="102">
        <v>1</v>
      </c>
      <c r="J13" s="102">
        <v>0</v>
      </c>
      <c r="K13" s="102">
        <v>1</v>
      </c>
      <c r="L13" s="102">
        <v>1</v>
      </c>
      <c r="M13" s="102">
        <v>1</v>
      </c>
      <c r="N13" s="102">
        <v>0</v>
      </c>
      <c r="O13" s="102">
        <v>1</v>
      </c>
      <c r="P13" s="102">
        <v>0</v>
      </c>
      <c r="Q13" s="102">
        <v>0</v>
      </c>
      <c r="R13" s="102">
        <v>0</v>
      </c>
      <c r="S13" s="102">
        <v>0</v>
      </c>
      <c r="T13" s="102">
        <v>0</v>
      </c>
      <c r="U13" s="102">
        <v>0</v>
      </c>
      <c r="V13" s="102">
        <v>0</v>
      </c>
    </row>
    <row r="14" spans="1:31" customFormat="1" x14ac:dyDescent="0.15">
      <c r="A14" s="170" t="s">
        <v>204</v>
      </c>
      <c r="B14" s="102">
        <v>0</v>
      </c>
      <c r="C14" s="102">
        <v>1</v>
      </c>
      <c r="D14" s="102">
        <v>1</v>
      </c>
      <c r="E14" s="102">
        <v>1</v>
      </c>
      <c r="F14" s="102">
        <v>1</v>
      </c>
      <c r="G14" s="102">
        <v>1</v>
      </c>
      <c r="H14" s="102">
        <v>1</v>
      </c>
      <c r="I14" s="102">
        <v>1</v>
      </c>
      <c r="J14" s="102">
        <v>1</v>
      </c>
      <c r="K14" s="102">
        <v>1</v>
      </c>
      <c r="L14" s="102">
        <v>0</v>
      </c>
      <c r="M14" s="102">
        <v>0</v>
      </c>
      <c r="N14" s="102">
        <v>0</v>
      </c>
      <c r="O14" s="102">
        <v>1</v>
      </c>
      <c r="P14" s="102">
        <v>0</v>
      </c>
      <c r="Q14" s="102">
        <v>0</v>
      </c>
      <c r="R14" s="102">
        <v>0</v>
      </c>
      <c r="S14" s="102">
        <v>0</v>
      </c>
      <c r="T14" s="102">
        <v>0</v>
      </c>
      <c r="U14" s="102">
        <v>0</v>
      </c>
      <c r="V14" s="102">
        <v>0</v>
      </c>
    </row>
    <row r="15" spans="1:31" customFormat="1" x14ac:dyDescent="0.15">
      <c r="A15" s="170" t="s">
        <v>205</v>
      </c>
      <c r="B15" s="102">
        <v>0</v>
      </c>
      <c r="C15" s="102">
        <v>1</v>
      </c>
      <c r="D15" s="102">
        <v>1</v>
      </c>
      <c r="E15" s="102">
        <v>1</v>
      </c>
      <c r="F15" s="102">
        <v>1</v>
      </c>
      <c r="G15" s="102">
        <v>1</v>
      </c>
      <c r="H15" s="102">
        <v>1</v>
      </c>
      <c r="I15" s="102">
        <v>0</v>
      </c>
      <c r="J15" s="102">
        <v>1</v>
      </c>
      <c r="K15" s="102">
        <v>1</v>
      </c>
      <c r="L15" s="102">
        <v>0</v>
      </c>
      <c r="M15" s="102">
        <v>0</v>
      </c>
      <c r="N15" s="102">
        <v>0</v>
      </c>
      <c r="O15" s="102">
        <v>1</v>
      </c>
      <c r="P15" s="102">
        <v>0</v>
      </c>
      <c r="Q15" s="102">
        <v>0</v>
      </c>
      <c r="R15" s="102">
        <v>0</v>
      </c>
      <c r="S15" s="102">
        <v>0</v>
      </c>
      <c r="T15" s="102">
        <v>0</v>
      </c>
      <c r="U15" s="102">
        <v>0</v>
      </c>
      <c r="V15" s="102">
        <v>0</v>
      </c>
    </row>
    <row r="16" spans="1:31" customFormat="1" x14ac:dyDescent="0.15">
      <c r="A16" s="170" t="s">
        <v>206</v>
      </c>
      <c r="B16" s="102">
        <v>1</v>
      </c>
      <c r="C16" s="102">
        <v>1</v>
      </c>
      <c r="D16" s="102">
        <v>1</v>
      </c>
      <c r="E16" s="102">
        <v>1</v>
      </c>
      <c r="F16" s="102">
        <v>1</v>
      </c>
      <c r="G16" s="102">
        <v>0</v>
      </c>
      <c r="H16" s="102">
        <v>1</v>
      </c>
      <c r="I16" s="102">
        <v>1</v>
      </c>
      <c r="J16" s="102">
        <v>1</v>
      </c>
      <c r="K16" s="102">
        <v>1</v>
      </c>
      <c r="L16" s="102">
        <v>1</v>
      </c>
      <c r="M16" s="102">
        <v>0</v>
      </c>
      <c r="N16" s="102">
        <v>0</v>
      </c>
      <c r="O16" s="102">
        <v>1</v>
      </c>
      <c r="P16" s="102">
        <v>1</v>
      </c>
      <c r="Q16" s="102">
        <v>1</v>
      </c>
      <c r="R16" s="102">
        <v>0</v>
      </c>
      <c r="S16" s="102">
        <v>0</v>
      </c>
      <c r="T16" s="102">
        <v>0</v>
      </c>
      <c r="U16" s="102">
        <v>0</v>
      </c>
      <c r="V16" s="102">
        <v>0</v>
      </c>
    </row>
    <row r="17" spans="1:22" customFormat="1" x14ac:dyDescent="0.15">
      <c r="A17" s="170" t="s">
        <v>207</v>
      </c>
      <c r="B17" s="102">
        <v>1</v>
      </c>
      <c r="C17" s="102">
        <v>1</v>
      </c>
      <c r="D17" s="102">
        <v>1</v>
      </c>
      <c r="E17" s="102">
        <v>1</v>
      </c>
      <c r="F17" s="102">
        <v>0</v>
      </c>
      <c r="G17" s="102">
        <v>0</v>
      </c>
      <c r="H17" s="102">
        <v>0</v>
      </c>
      <c r="I17" s="102">
        <v>1</v>
      </c>
      <c r="J17" s="102">
        <v>0</v>
      </c>
      <c r="K17" s="102">
        <v>0</v>
      </c>
      <c r="L17" s="102">
        <v>1</v>
      </c>
      <c r="M17" s="102">
        <v>1</v>
      </c>
      <c r="N17" s="102">
        <v>1</v>
      </c>
      <c r="O17" s="102">
        <v>1</v>
      </c>
      <c r="P17" s="102">
        <v>1</v>
      </c>
      <c r="Q17" s="102">
        <v>1</v>
      </c>
      <c r="R17" s="102">
        <v>0</v>
      </c>
      <c r="S17" s="102">
        <v>0</v>
      </c>
      <c r="T17" s="102">
        <v>0</v>
      </c>
      <c r="U17" s="102">
        <v>0</v>
      </c>
      <c r="V17" s="102">
        <v>0</v>
      </c>
    </row>
    <row r="18" spans="1:22" customFormat="1" x14ac:dyDescent="0.15">
      <c r="A18" s="170" t="s">
        <v>208</v>
      </c>
      <c r="B18" s="102">
        <v>1</v>
      </c>
      <c r="C18" s="102">
        <v>1</v>
      </c>
      <c r="D18" s="102">
        <v>1</v>
      </c>
      <c r="E18" s="102">
        <v>1</v>
      </c>
      <c r="F18" s="102">
        <v>0</v>
      </c>
      <c r="G18" s="102">
        <v>0</v>
      </c>
      <c r="H18" s="102">
        <v>1</v>
      </c>
      <c r="I18" s="102">
        <v>1</v>
      </c>
      <c r="J18" s="102">
        <v>0</v>
      </c>
      <c r="K18" s="102">
        <v>0</v>
      </c>
      <c r="L18" s="102">
        <v>1</v>
      </c>
      <c r="M18" s="102">
        <v>0</v>
      </c>
      <c r="N18" s="102">
        <v>1</v>
      </c>
      <c r="O18" s="102">
        <v>1</v>
      </c>
      <c r="P18" s="102">
        <v>0</v>
      </c>
      <c r="Q18" s="102">
        <v>1</v>
      </c>
      <c r="R18" s="102">
        <v>1</v>
      </c>
      <c r="S18" s="102">
        <v>0</v>
      </c>
      <c r="T18" s="102">
        <v>0</v>
      </c>
      <c r="U18" s="102">
        <v>0</v>
      </c>
      <c r="V18" s="102">
        <v>0</v>
      </c>
    </row>
    <row r="19" spans="1:22" customFormat="1" x14ac:dyDescent="0.15">
      <c r="A19" s="170" t="s">
        <v>209</v>
      </c>
      <c r="B19" s="102">
        <v>1</v>
      </c>
      <c r="C19" s="102">
        <v>1</v>
      </c>
      <c r="D19" s="102">
        <v>1</v>
      </c>
      <c r="E19" s="102">
        <v>1</v>
      </c>
      <c r="F19" s="102">
        <v>0</v>
      </c>
      <c r="G19" s="102">
        <v>0</v>
      </c>
      <c r="H19" s="102">
        <v>1</v>
      </c>
      <c r="I19" s="102">
        <v>1</v>
      </c>
      <c r="J19" s="102">
        <v>1</v>
      </c>
      <c r="K19" s="102">
        <v>1</v>
      </c>
      <c r="L19" s="102">
        <v>1</v>
      </c>
      <c r="M19" s="102">
        <v>1</v>
      </c>
      <c r="N19" s="102">
        <v>1</v>
      </c>
      <c r="O19" s="102">
        <v>1</v>
      </c>
      <c r="P19" s="102">
        <v>1</v>
      </c>
      <c r="Q19" s="102">
        <v>1</v>
      </c>
      <c r="R19" s="102">
        <v>0</v>
      </c>
      <c r="S19" s="102">
        <v>0</v>
      </c>
      <c r="T19" s="102">
        <v>0</v>
      </c>
      <c r="U19" s="102">
        <v>0</v>
      </c>
      <c r="V19" s="102">
        <v>0</v>
      </c>
    </row>
    <row r="20" spans="1:22" customFormat="1" x14ac:dyDescent="0.15">
      <c r="A20" s="170" t="s">
        <v>210</v>
      </c>
      <c r="B20" s="102">
        <v>1</v>
      </c>
      <c r="C20" s="102">
        <v>1</v>
      </c>
      <c r="D20" s="102">
        <v>0</v>
      </c>
      <c r="E20" s="102">
        <v>0</v>
      </c>
      <c r="F20" s="102">
        <v>0</v>
      </c>
      <c r="G20" s="102">
        <v>0</v>
      </c>
      <c r="H20" s="102">
        <v>0</v>
      </c>
      <c r="I20" s="102">
        <v>0</v>
      </c>
      <c r="J20" s="102">
        <v>0</v>
      </c>
      <c r="K20" s="102">
        <v>0</v>
      </c>
      <c r="L20" s="102">
        <v>0</v>
      </c>
      <c r="M20" s="102">
        <v>0</v>
      </c>
      <c r="N20" s="102">
        <v>1</v>
      </c>
      <c r="O20" s="102">
        <v>1</v>
      </c>
      <c r="P20" s="102">
        <v>0</v>
      </c>
      <c r="Q20" s="102">
        <v>0</v>
      </c>
      <c r="R20" s="102">
        <v>1</v>
      </c>
      <c r="S20" s="102">
        <v>0</v>
      </c>
      <c r="T20" s="102">
        <v>0</v>
      </c>
      <c r="U20" s="102">
        <v>0</v>
      </c>
      <c r="V20" s="102">
        <v>0</v>
      </c>
    </row>
    <row r="21" spans="1:22" customFormat="1" x14ac:dyDescent="0.15">
      <c r="A21" s="170" t="s">
        <v>211</v>
      </c>
      <c r="B21" s="102">
        <v>1</v>
      </c>
      <c r="C21" s="102">
        <v>1</v>
      </c>
      <c r="D21" s="102">
        <v>1</v>
      </c>
      <c r="E21" s="102">
        <v>1</v>
      </c>
      <c r="F21" s="102">
        <v>1</v>
      </c>
      <c r="G21" s="102">
        <v>0</v>
      </c>
      <c r="H21" s="102">
        <v>1</v>
      </c>
      <c r="I21" s="102">
        <v>1</v>
      </c>
      <c r="J21" s="102">
        <v>1</v>
      </c>
      <c r="K21" s="102">
        <v>1</v>
      </c>
      <c r="L21" s="102">
        <v>1</v>
      </c>
      <c r="M21" s="102">
        <v>1</v>
      </c>
      <c r="N21" s="102">
        <v>1</v>
      </c>
      <c r="O21" s="102">
        <v>1</v>
      </c>
      <c r="P21" s="102">
        <v>1</v>
      </c>
      <c r="Q21" s="102">
        <v>1</v>
      </c>
      <c r="R21" s="102">
        <v>1</v>
      </c>
      <c r="S21" s="102">
        <v>0</v>
      </c>
      <c r="T21" s="102">
        <v>0</v>
      </c>
      <c r="U21" s="102">
        <v>0</v>
      </c>
      <c r="V21" s="102">
        <v>0</v>
      </c>
    </row>
    <row r="22" spans="1:22" customFormat="1" x14ac:dyDescent="0.15">
      <c r="A22" s="170" t="s">
        <v>212</v>
      </c>
      <c r="B22" s="102">
        <v>0</v>
      </c>
      <c r="C22" s="102">
        <v>0</v>
      </c>
      <c r="D22" s="102">
        <v>0</v>
      </c>
      <c r="E22" s="102">
        <v>0</v>
      </c>
      <c r="F22" s="102">
        <v>0</v>
      </c>
      <c r="G22" s="102">
        <v>0</v>
      </c>
      <c r="H22" s="102">
        <v>0</v>
      </c>
      <c r="I22" s="102">
        <v>0</v>
      </c>
      <c r="J22" s="102">
        <v>0</v>
      </c>
      <c r="K22" s="102">
        <v>0</v>
      </c>
      <c r="L22" s="102">
        <v>0</v>
      </c>
      <c r="M22" s="102">
        <v>0</v>
      </c>
      <c r="N22" s="102">
        <v>0</v>
      </c>
      <c r="O22" s="102">
        <v>0</v>
      </c>
      <c r="P22" s="102">
        <v>0</v>
      </c>
      <c r="Q22" s="102">
        <v>0</v>
      </c>
      <c r="R22" s="102">
        <v>0</v>
      </c>
      <c r="S22" s="102">
        <v>0</v>
      </c>
      <c r="T22" s="102">
        <v>0</v>
      </c>
      <c r="U22" s="102">
        <v>0</v>
      </c>
      <c r="V22" s="102">
        <v>0</v>
      </c>
    </row>
    <row r="23" spans="1:22" customFormat="1" x14ac:dyDescent="0.15">
      <c r="A23" s="170" t="s">
        <v>214</v>
      </c>
      <c r="B23" s="102">
        <v>0</v>
      </c>
      <c r="C23" s="102">
        <v>0</v>
      </c>
      <c r="D23" s="102">
        <v>0</v>
      </c>
      <c r="E23" s="102">
        <v>0</v>
      </c>
      <c r="F23" s="102">
        <v>0</v>
      </c>
      <c r="G23" s="102">
        <v>0</v>
      </c>
      <c r="H23" s="102">
        <v>0</v>
      </c>
      <c r="I23" s="102">
        <v>0</v>
      </c>
      <c r="J23" s="102">
        <v>0</v>
      </c>
      <c r="K23" s="102">
        <v>0</v>
      </c>
      <c r="L23" s="102">
        <v>0</v>
      </c>
      <c r="M23" s="102">
        <v>0</v>
      </c>
      <c r="N23" s="102">
        <v>0</v>
      </c>
      <c r="O23" s="102">
        <v>0</v>
      </c>
      <c r="P23" s="102">
        <v>0</v>
      </c>
      <c r="Q23" s="102">
        <v>0</v>
      </c>
      <c r="R23" s="102">
        <v>0</v>
      </c>
      <c r="S23" s="102">
        <v>0</v>
      </c>
      <c r="T23" s="102">
        <v>0</v>
      </c>
      <c r="U23" s="102">
        <v>0</v>
      </c>
      <c r="V23" s="102">
        <v>0</v>
      </c>
    </row>
    <row r="24" spans="1:22" customFormat="1" x14ac:dyDescent="0.15"/>
    <row r="25" spans="1:22" customFormat="1" x14ac:dyDescent="0.15"/>
    <row r="26" spans="1:22" customFormat="1" x14ac:dyDescent="0.15"/>
    <row r="27" spans="1:22" customFormat="1" x14ac:dyDescent="0.15"/>
    <row r="28" spans="1:22" customFormat="1" x14ac:dyDescent="0.15"/>
    <row r="29" spans="1:22" customFormat="1" x14ac:dyDescent="0.15"/>
    <row r="30" spans="1:22" customFormat="1" x14ac:dyDescent="0.15"/>
    <row r="31" spans="1:22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C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2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83</v>
      </c>
      <c r="B1" s="3" t="s">
        <v>0</v>
      </c>
      <c r="C1" s="173" t="s">
        <v>213</v>
      </c>
    </row>
    <row r="2" spans="1:3" x14ac:dyDescent="0.15">
      <c r="A2">
        <v>1</v>
      </c>
      <c r="B2" s="172" t="s">
        <v>192</v>
      </c>
      <c r="C2">
        <v>0.8</v>
      </c>
    </row>
    <row r="3" spans="1:3" x14ac:dyDescent="0.15">
      <c r="A3">
        <v>2</v>
      </c>
      <c r="B3" s="172" t="s">
        <v>193</v>
      </c>
      <c r="C3">
        <v>0.8</v>
      </c>
    </row>
    <row r="4" spans="1:3" x14ac:dyDescent="0.15">
      <c r="A4">
        <v>3</v>
      </c>
      <c r="B4" s="172" t="s">
        <v>194</v>
      </c>
      <c r="C4">
        <v>0.8</v>
      </c>
    </row>
    <row r="5" spans="1:3" x14ac:dyDescent="0.15">
      <c r="A5">
        <v>4</v>
      </c>
      <c r="B5" s="172" t="s">
        <v>195</v>
      </c>
      <c r="C5">
        <v>0.8</v>
      </c>
    </row>
    <row r="6" spans="1:3" x14ac:dyDescent="0.15">
      <c r="A6">
        <v>5</v>
      </c>
      <c r="B6" s="172" t="s">
        <v>196</v>
      </c>
      <c r="C6">
        <v>0.8</v>
      </c>
    </row>
    <row r="7" spans="1:3" x14ac:dyDescent="0.15">
      <c r="A7">
        <v>6</v>
      </c>
      <c r="B7" s="172" t="s">
        <v>197</v>
      </c>
      <c r="C7">
        <v>0.8</v>
      </c>
    </row>
    <row r="8" spans="1:3" x14ac:dyDescent="0.15">
      <c r="A8">
        <v>7</v>
      </c>
      <c r="B8" s="172" t="s">
        <v>198</v>
      </c>
      <c r="C8">
        <v>0.8</v>
      </c>
    </row>
    <row r="9" spans="1:3" x14ac:dyDescent="0.15">
      <c r="A9">
        <v>8</v>
      </c>
      <c r="B9" s="172" t="s">
        <v>199</v>
      </c>
      <c r="C9">
        <v>0</v>
      </c>
    </row>
    <row r="10" spans="1:3" x14ac:dyDescent="0.15">
      <c r="A10">
        <v>9</v>
      </c>
      <c r="B10" s="172" t="s">
        <v>200</v>
      </c>
      <c r="C10">
        <v>0.8</v>
      </c>
    </row>
    <row r="11" spans="1:3" x14ac:dyDescent="0.15">
      <c r="A11">
        <v>10</v>
      </c>
      <c r="B11" s="172" t="s">
        <v>201</v>
      </c>
      <c r="C11">
        <v>0</v>
      </c>
    </row>
    <row r="12" spans="1:3" x14ac:dyDescent="0.15">
      <c r="A12">
        <v>11</v>
      </c>
      <c r="B12" s="172" t="s">
        <v>202</v>
      </c>
      <c r="C12">
        <v>0</v>
      </c>
    </row>
    <row r="13" spans="1:3" x14ac:dyDescent="0.15">
      <c r="A13">
        <v>12</v>
      </c>
      <c r="B13" s="172" t="s">
        <v>203</v>
      </c>
      <c r="C13">
        <v>0</v>
      </c>
    </row>
    <row r="14" spans="1:3" x14ac:dyDescent="0.15">
      <c r="A14">
        <v>13</v>
      </c>
      <c r="B14" s="172" t="s">
        <v>204</v>
      </c>
      <c r="C14">
        <v>0.8</v>
      </c>
    </row>
    <row r="15" spans="1:3" x14ac:dyDescent="0.15">
      <c r="A15">
        <v>14</v>
      </c>
      <c r="B15" s="172" t="s">
        <v>205</v>
      </c>
      <c r="C15">
        <v>0</v>
      </c>
    </row>
    <row r="16" spans="1:3" x14ac:dyDescent="0.15">
      <c r="A16">
        <v>15</v>
      </c>
      <c r="B16" s="172" t="s">
        <v>206</v>
      </c>
      <c r="C16">
        <v>0</v>
      </c>
    </row>
    <row r="17" spans="1:3" x14ac:dyDescent="0.15">
      <c r="A17">
        <v>16</v>
      </c>
      <c r="B17" s="172" t="s">
        <v>207</v>
      </c>
      <c r="C17">
        <v>0</v>
      </c>
    </row>
    <row r="18" spans="1:3" x14ac:dyDescent="0.15">
      <c r="A18">
        <v>17</v>
      </c>
      <c r="B18" s="172" t="s">
        <v>208</v>
      </c>
      <c r="C18">
        <v>0</v>
      </c>
    </row>
    <row r="19" spans="1:3" x14ac:dyDescent="0.15">
      <c r="A19">
        <v>18</v>
      </c>
      <c r="B19" s="172" t="s">
        <v>209</v>
      </c>
      <c r="C19">
        <v>0</v>
      </c>
    </row>
    <row r="20" spans="1:3" x14ac:dyDescent="0.15">
      <c r="A20">
        <v>19</v>
      </c>
      <c r="B20" s="172" t="s">
        <v>210</v>
      </c>
      <c r="C20">
        <v>0</v>
      </c>
    </row>
    <row r="21" spans="1:3" x14ac:dyDescent="0.15">
      <c r="A21">
        <v>20</v>
      </c>
      <c r="B21" s="172" t="s">
        <v>211</v>
      </c>
      <c r="C21">
        <v>0</v>
      </c>
    </row>
    <row r="22" spans="1:3" x14ac:dyDescent="0.15">
      <c r="A22">
        <v>21</v>
      </c>
      <c r="B22" s="172" t="s">
        <v>212</v>
      </c>
      <c r="C22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C22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2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82</v>
      </c>
      <c r="B1" s="3" t="s">
        <v>0</v>
      </c>
      <c r="C1" s="175" t="s">
        <v>213</v>
      </c>
    </row>
    <row r="2" spans="1:3" x14ac:dyDescent="0.15">
      <c r="A2">
        <v>1</v>
      </c>
      <c r="B2" s="174" t="s">
        <v>192</v>
      </c>
      <c r="C2">
        <v>0.8</v>
      </c>
    </row>
    <row r="3" spans="1:3" x14ac:dyDescent="0.15">
      <c r="A3">
        <v>2</v>
      </c>
      <c r="B3" s="174" t="s">
        <v>193</v>
      </c>
      <c r="C3">
        <v>0.8</v>
      </c>
    </row>
    <row r="4" spans="1:3" x14ac:dyDescent="0.15">
      <c r="A4">
        <v>3</v>
      </c>
      <c r="B4" s="174" t="s">
        <v>194</v>
      </c>
      <c r="C4">
        <v>0.8</v>
      </c>
    </row>
    <row r="5" spans="1:3" x14ac:dyDescent="0.15">
      <c r="A5">
        <v>4</v>
      </c>
      <c r="B5" s="174" t="s">
        <v>195</v>
      </c>
      <c r="C5">
        <v>0.8</v>
      </c>
    </row>
    <row r="6" spans="1:3" x14ac:dyDescent="0.15">
      <c r="A6">
        <v>5</v>
      </c>
      <c r="B6" s="174" t="s">
        <v>196</v>
      </c>
      <c r="C6">
        <v>0.8</v>
      </c>
    </row>
    <row r="7" spans="1:3" x14ac:dyDescent="0.15">
      <c r="A7">
        <v>6</v>
      </c>
      <c r="B7" s="174" t="s">
        <v>197</v>
      </c>
      <c r="C7">
        <v>0.8</v>
      </c>
    </row>
    <row r="8" spans="1:3" x14ac:dyDescent="0.15">
      <c r="A8">
        <v>7</v>
      </c>
      <c r="B8" s="174" t="s">
        <v>198</v>
      </c>
      <c r="C8">
        <v>0.8</v>
      </c>
    </row>
    <row r="9" spans="1:3" x14ac:dyDescent="0.15">
      <c r="A9">
        <v>8</v>
      </c>
      <c r="B9" s="174" t="s">
        <v>199</v>
      </c>
      <c r="C9">
        <v>0</v>
      </c>
    </row>
    <row r="10" spans="1:3" x14ac:dyDescent="0.15">
      <c r="A10">
        <v>9</v>
      </c>
      <c r="B10" s="174" t="s">
        <v>200</v>
      </c>
      <c r="C10">
        <v>0.8</v>
      </c>
    </row>
    <row r="11" spans="1:3" x14ac:dyDescent="0.15">
      <c r="A11">
        <v>10</v>
      </c>
      <c r="B11" s="174" t="s">
        <v>201</v>
      </c>
      <c r="C11">
        <v>0</v>
      </c>
    </row>
    <row r="12" spans="1:3" x14ac:dyDescent="0.15">
      <c r="A12">
        <v>11</v>
      </c>
      <c r="B12" s="174" t="s">
        <v>202</v>
      </c>
      <c r="C12">
        <v>0</v>
      </c>
    </row>
    <row r="13" spans="1:3" x14ac:dyDescent="0.15">
      <c r="A13">
        <v>12</v>
      </c>
      <c r="B13" s="174" t="s">
        <v>203</v>
      </c>
      <c r="C13">
        <v>0</v>
      </c>
    </row>
    <row r="14" spans="1:3" x14ac:dyDescent="0.15">
      <c r="A14">
        <v>13</v>
      </c>
      <c r="B14" s="174" t="s">
        <v>204</v>
      </c>
      <c r="C14">
        <v>0.8</v>
      </c>
    </row>
    <row r="15" spans="1:3" x14ac:dyDescent="0.15">
      <c r="A15">
        <v>14</v>
      </c>
      <c r="B15" s="174" t="s">
        <v>205</v>
      </c>
      <c r="C15">
        <v>0</v>
      </c>
    </row>
    <row r="16" spans="1:3" x14ac:dyDescent="0.15">
      <c r="A16">
        <v>15</v>
      </c>
      <c r="B16" s="174" t="s">
        <v>206</v>
      </c>
      <c r="C16">
        <v>0</v>
      </c>
    </row>
    <row r="17" spans="1:3" x14ac:dyDescent="0.15">
      <c r="A17">
        <v>16</v>
      </c>
      <c r="B17" s="174" t="s">
        <v>207</v>
      </c>
      <c r="C17">
        <v>0</v>
      </c>
    </row>
    <row r="18" spans="1:3" x14ac:dyDescent="0.15">
      <c r="A18">
        <v>17</v>
      </c>
      <c r="B18" s="174" t="s">
        <v>208</v>
      </c>
      <c r="C18">
        <v>0</v>
      </c>
    </row>
    <row r="19" spans="1:3" x14ac:dyDescent="0.15">
      <c r="A19">
        <v>18</v>
      </c>
      <c r="B19" s="174" t="s">
        <v>209</v>
      </c>
      <c r="C19">
        <v>0</v>
      </c>
    </row>
    <row r="20" spans="1:3" x14ac:dyDescent="0.15">
      <c r="A20">
        <v>19</v>
      </c>
      <c r="B20" s="174" t="s">
        <v>210</v>
      </c>
      <c r="C20">
        <v>0</v>
      </c>
    </row>
    <row r="21" spans="1:3" x14ac:dyDescent="0.15">
      <c r="A21">
        <v>20</v>
      </c>
      <c r="B21" s="174" t="s">
        <v>211</v>
      </c>
      <c r="C21">
        <v>0</v>
      </c>
    </row>
    <row r="22" spans="1:3" x14ac:dyDescent="0.15">
      <c r="A22">
        <v>21</v>
      </c>
      <c r="B22" s="174" t="s">
        <v>212</v>
      </c>
      <c r="C22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tabSelected="1"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G17" sqref="G17"/>
    </sheetView>
  </sheetViews>
  <sheetFormatPr baseColWidth="10" defaultColWidth="8.83203125" defaultRowHeight="15" customHeight="1" x14ac:dyDescent="0.15"/>
  <cols>
    <col min="1" max="1" width="8.83203125" style="76"/>
    <col min="2" max="2" width="41.83203125" style="76" bestFit="1" customWidth="1"/>
    <col min="3" max="3" width="9.33203125" style="76" bestFit="1" customWidth="1"/>
    <col min="4" max="4" width="13" style="76" bestFit="1" customWidth="1"/>
    <col min="5" max="6" width="9.33203125" style="76" bestFit="1" customWidth="1"/>
    <col min="7" max="7" width="9.33203125" style="92" bestFit="1" customWidth="1"/>
    <col min="8" max="8" width="9.33203125" style="76" bestFit="1" customWidth="1"/>
    <col min="9" max="9" width="11" style="76" customWidth="1"/>
    <col min="10" max="10" width="8.83203125" style="76"/>
    <col min="15" max="16384" width="8.83203125" style="76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3" t="s">
        <v>14</v>
      </c>
      <c r="H1" s="1" t="s">
        <v>26</v>
      </c>
      <c r="I1" s="1" t="s">
        <v>24</v>
      </c>
    </row>
    <row r="2" spans="1:10" ht="15" customHeight="1" x14ac:dyDescent="0.15">
      <c r="A2" s="135">
        <v>1</v>
      </c>
      <c r="B2" s="135" t="s">
        <v>192</v>
      </c>
      <c r="C2" s="8">
        <v>2.5498037338256836</v>
      </c>
      <c r="D2" s="9">
        <v>0.72100001573562622</v>
      </c>
      <c r="E2" s="9">
        <v>0.6600000262260437</v>
      </c>
      <c r="F2" s="9">
        <v>9.2569999694824219</v>
      </c>
      <c r="G2" s="9">
        <v>0.70879149436950684</v>
      </c>
      <c r="H2" s="9">
        <v>7.1297399699687958E-2</v>
      </c>
      <c r="I2">
        <v>0.25</v>
      </c>
      <c r="J2"/>
    </row>
    <row r="3" spans="1:10" ht="15" customHeight="1" x14ac:dyDescent="0.15">
      <c r="A3" s="136">
        <v>2</v>
      </c>
      <c r="B3" s="136" t="s">
        <v>193</v>
      </c>
      <c r="C3" s="8">
        <v>2.8712813854217529</v>
      </c>
      <c r="D3" s="9">
        <v>0.13699999451637268</v>
      </c>
      <c r="E3" s="9">
        <v>1.5859999656677246</v>
      </c>
      <c r="F3" s="9">
        <v>6.5999999046325684</v>
      </c>
      <c r="G3" s="9">
        <v>0.74719363451004028</v>
      </c>
      <c r="H3" s="9">
        <v>0.24030302464962006</v>
      </c>
      <c r="I3">
        <v>0.13099999725818634</v>
      </c>
      <c r="J3"/>
    </row>
    <row r="4" spans="1:10" ht="15" customHeight="1" x14ac:dyDescent="0.15">
      <c r="A4" s="137">
        <v>3</v>
      </c>
      <c r="B4" s="137" t="s">
        <v>194</v>
      </c>
      <c r="C4" s="8">
        <v>2.6559855937957764</v>
      </c>
      <c r="D4" s="9">
        <v>0.37099999189376831</v>
      </c>
      <c r="E4" s="9">
        <v>0.3580000102519989</v>
      </c>
      <c r="F4" s="9">
        <v>9.6420001983642578</v>
      </c>
      <c r="G4" s="9">
        <v>0.69713038206100464</v>
      </c>
      <c r="H4" s="9">
        <v>3.7129227072000504E-2</v>
      </c>
      <c r="I4">
        <v>5.299999937415123E-2</v>
      </c>
      <c r="J4"/>
    </row>
    <row r="5" spans="1:10" ht="15" customHeight="1" x14ac:dyDescent="0.15">
      <c r="A5" s="138">
        <v>4</v>
      </c>
      <c r="B5" s="138" t="s">
        <v>195</v>
      </c>
      <c r="C5" s="8">
        <v>2.9012260437011719</v>
      </c>
      <c r="D5" s="9">
        <v>0.14200000464916229</v>
      </c>
      <c r="E5" s="9">
        <v>0.49200001358985901</v>
      </c>
      <c r="F5" s="9">
        <v>9.3369998931884766</v>
      </c>
      <c r="G5" s="9">
        <v>0.80407339334487915</v>
      </c>
      <c r="H5" s="9">
        <v>5.2693586796522141E-2</v>
      </c>
      <c r="I5">
        <v>5.6000001728534698E-2</v>
      </c>
      <c r="J5"/>
    </row>
    <row r="6" spans="1:10" ht="15" customHeight="1" x14ac:dyDescent="0.15">
      <c r="A6" s="139">
        <v>5</v>
      </c>
      <c r="B6" s="139" t="s">
        <v>196</v>
      </c>
      <c r="C6" s="8">
        <v>3.1102278232574463</v>
      </c>
      <c r="D6" s="9">
        <v>0.11999999731779099</v>
      </c>
      <c r="E6" s="9">
        <v>0.5130000114440918</v>
      </c>
      <c r="F6" s="9">
        <v>6.8429999351501465</v>
      </c>
      <c r="G6" s="9">
        <v>0.79031366109848022</v>
      </c>
      <c r="H6" s="9">
        <v>7.4967123568058014E-2</v>
      </c>
      <c r="I6">
        <v>4.6000000089406967E-2</v>
      </c>
      <c r="J6"/>
    </row>
    <row r="7" spans="1:10" ht="15" customHeight="1" x14ac:dyDescent="0.15">
      <c r="A7" s="140">
        <v>6</v>
      </c>
      <c r="B7" s="140" t="s">
        <v>197</v>
      </c>
      <c r="C7" s="8">
        <v>3.3145592212677002</v>
      </c>
      <c r="D7" s="9">
        <v>3.7000000476837158E-2</v>
      </c>
      <c r="E7" s="9">
        <v>0.51599997282028198</v>
      </c>
      <c r="F7" s="9">
        <v>4.750999927520752</v>
      </c>
      <c r="G7" s="9">
        <v>0.69798105955123901</v>
      </c>
      <c r="H7" s="9">
        <v>0.10860870778560638</v>
      </c>
      <c r="I7">
        <v>1.2000000104308128E-2</v>
      </c>
      <c r="J7"/>
    </row>
    <row r="8" spans="1:10" ht="15" customHeight="1" x14ac:dyDescent="0.15">
      <c r="A8" s="141">
        <v>7</v>
      </c>
      <c r="B8" s="141" t="s">
        <v>198</v>
      </c>
      <c r="C8" s="8">
        <v>2.3682537078857422</v>
      </c>
      <c r="D8" s="9">
        <v>0.47900000214576721</v>
      </c>
      <c r="E8" s="9">
        <v>0.4779999852180481</v>
      </c>
      <c r="F8" s="9">
        <v>11.845999717712402</v>
      </c>
      <c r="G8" s="9">
        <v>0.79630160331726074</v>
      </c>
      <c r="H8" s="9">
        <v>4.0351174771785736E-2</v>
      </c>
      <c r="I8">
        <v>0.18000000715255737</v>
      </c>
      <c r="J8"/>
    </row>
    <row r="9" spans="1:10" ht="15" customHeight="1" x14ac:dyDescent="0.15">
      <c r="A9" s="142">
        <v>8</v>
      </c>
      <c r="B9" s="142" t="s">
        <v>199</v>
      </c>
      <c r="C9" s="8">
        <v>2.5060522556304932</v>
      </c>
      <c r="D9" s="9">
        <v>0.22900000214576721</v>
      </c>
      <c r="E9" s="9">
        <v>0.30000001192092896</v>
      </c>
      <c r="F9" s="9">
        <v>7.9029998779296875</v>
      </c>
      <c r="G9" s="9">
        <v>3.1252022832632065E-2</v>
      </c>
      <c r="H9" s="9">
        <v>3.7960268557071686E-2</v>
      </c>
      <c r="I9">
        <v>0</v>
      </c>
      <c r="J9"/>
    </row>
    <row r="10" spans="1:10" ht="15" customHeight="1" x14ac:dyDescent="0.15">
      <c r="A10" s="143">
        <v>9</v>
      </c>
      <c r="B10" s="143" t="s">
        <v>200</v>
      </c>
      <c r="C10" s="8">
        <v>3.1369421482086182</v>
      </c>
      <c r="D10" s="9">
        <v>0.24199999868869781</v>
      </c>
      <c r="E10" s="9">
        <v>0.77799999713897705</v>
      </c>
      <c r="F10" s="9">
        <v>6.2259998321533203</v>
      </c>
      <c r="G10" s="9">
        <v>0.95326632261276245</v>
      </c>
      <c r="H10" s="9">
        <v>0.12495984882116318</v>
      </c>
      <c r="I10">
        <v>0.17000000178813934</v>
      </c>
      <c r="J10"/>
    </row>
    <row r="11" spans="1:10" ht="15" customHeight="1" x14ac:dyDescent="0.15">
      <c r="A11" s="144">
        <v>10</v>
      </c>
      <c r="B11" s="144" t="s">
        <v>201</v>
      </c>
      <c r="C11" s="8">
        <v>2.4155747890472412</v>
      </c>
      <c r="D11" s="9">
        <v>0.75300002098083496</v>
      </c>
      <c r="E11" s="9">
        <v>3.8010001182556152</v>
      </c>
      <c r="F11" s="9">
        <v>14.157999992370605</v>
      </c>
      <c r="G11" s="9">
        <v>0.39935970306396484</v>
      </c>
      <c r="H11" s="9">
        <v>0.26847013831138611</v>
      </c>
      <c r="I11">
        <v>0</v>
      </c>
      <c r="J11"/>
    </row>
    <row r="12" spans="1:10" ht="15" customHeight="1" x14ac:dyDescent="0.15">
      <c r="A12" s="145">
        <v>11</v>
      </c>
      <c r="B12" s="145" t="s">
        <v>202</v>
      </c>
      <c r="C12" s="8">
        <v>2.3775291442871094</v>
      </c>
      <c r="D12" s="9">
        <v>2.559999942779541</v>
      </c>
      <c r="E12" s="9">
        <v>4.500999927520752</v>
      </c>
      <c r="F12" s="9">
        <v>17.860000610351562</v>
      </c>
      <c r="G12" s="9">
        <v>0.23519976437091827</v>
      </c>
      <c r="H12" s="9">
        <v>0.25201565027236938</v>
      </c>
      <c r="I12">
        <v>0</v>
      </c>
      <c r="J12"/>
    </row>
    <row r="13" spans="1:10" ht="15" customHeight="1" x14ac:dyDescent="0.15">
      <c r="A13" s="146">
        <v>12</v>
      </c>
      <c r="B13" s="146" t="s">
        <v>203</v>
      </c>
      <c r="C13" s="8">
        <v>2.0993213653564453</v>
      </c>
      <c r="D13" s="9">
        <v>0.38600000739097595</v>
      </c>
      <c r="E13" s="9">
        <v>4.6350002288818359</v>
      </c>
      <c r="F13" s="9">
        <v>13.630000114440918</v>
      </c>
      <c r="G13" s="9">
        <v>0.95018041133880615</v>
      </c>
      <c r="H13" s="9">
        <v>0.34005871415138245</v>
      </c>
      <c r="I13">
        <v>0</v>
      </c>
      <c r="J13"/>
    </row>
    <row r="14" spans="1:10" ht="15" customHeight="1" x14ac:dyDescent="0.15">
      <c r="A14" s="147">
        <v>13</v>
      </c>
      <c r="B14" s="147" t="s">
        <v>204</v>
      </c>
      <c r="C14" s="8">
        <v>2.107290506362915</v>
      </c>
      <c r="D14" s="9">
        <v>1.5060000419616699</v>
      </c>
      <c r="E14" s="9">
        <v>4.6230001449584961</v>
      </c>
      <c r="F14" s="9">
        <v>15.765000343322754</v>
      </c>
      <c r="G14" s="9">
        <v>0.75459766387939453</v>
      </c>
      <c r="H14" s="9">
        <v>0.29324454069137573</v>
      </c>
      <c r="I14">
        <v>0.21299999952316284</v>
      </c>
      <c r="J14"/>
    </row>
    <row r="15" spans="1:10" ht="15" customHeight="1" x14ac:dyDescent="0.15">
      <c r="A15" s="148">
        <v>14</v>
      </c>
      <c r="B15" s="148" t="s">
        <v>205</v>
      </c>
      <c r="C15" s="8">
        <v>2.3684127330780029</v>
      </c>
      <c r="D15" s="9">
        <v>1.3099393844604492</v>
      </c>
      <c r="E15" s="9">
        <v>2.244999885559082</v>
      </c>
      <c r="F15" s="9">
        <v>12.595999717712402</v>
      </c>
      <c r="G15" s="9">
        <v>0.95999997854232788</v>
      </c>
      <c r="H15" s="9">
        <v>0.17823117971420288</v>
      </c>
      <c r="I15">
        <v>0</v>
      </c>
      <c r="J15"/>
    </row>
    <row r="16" spans="1:10" ht="15" customHeight="1" x14ac:dyDescent="0.15">
      <c r="A16" s="149">
        <v>15</v>
      </c>
      <c r="B16" s="149" t="s">
        <v>206</v>
      </c>
      <c r="C16" s="8">
        <v>2.0651648044586182</v>
      </c>
      <c r="D16" s="9">
        <v>8.0129995346069336</v>
      </c>
      <c r="E16" s="9">
        <v>4.4250001907348633</v>
      </c>
      <c r="F16" s="9">
        <v>21.544000625610352</v>
      </c>
      <c r="G16" s="9">
        <v>0.44355759024620056</v>
      </c>
      <c r="H16" s="9">
        <v>0.20539361238479614</v>
      </c>
      <c r="I16">
        <v>0</v>
      </c>
      <c r="J16"/>
    </row>
    <row r="17" spans="1:10" ht="15" customHeight="1" x14ac:dyDescent="0.15">
      <c r="A17" s="150">
        <v>16</v>
      </c>
      <c r="B17" s="150" t="s">
        <v>207</v>
      </c>
      <c r="C17" s="8">
        <v>2.044323205947876</v>
      </c>
      <c r="D17" s="9">
        <v>5.1929502487182617</v>
      </c>
      <c r="E17" s="9">
        <v>10.383000373840332</v>
      </c>
      <c r="F17" s="9">
        <v>48.76300048828125</v>
      </c>
      <c r="G17" s="9">
        <v>0.45999997854232788</v>
      </c>
      <c r="H17" s="9">
        <v>0.21292783319950104</v>
      </c>
      <c r="I17">
        <v>0</v>
      </c>
      <c r="J17"/>
    </row>
    <row r="18" spans="1:10" ht="15" customHeight="1" x14ac:dyDescent="0.15">
      <c r="A18" s="151">
        <v>17</v>
      </c>
      <c r="B18" s="151" t="s">
        <v>208</v>
      </c>
      <c r="C18" s="8">
        <v>2.0683760643005371</v>
      </c>
      <c r="D18" s="9">
        <v>1.1269999742507935</v>
      </c>
      <c r="E18" s="9">
        <v>18.950000762939453</v>
      </c>
      <c r="F18" s="9">
        <v>71.9739990234375</v>
      </c>
      <c r="G18" s="9">
        <v>0.57438600063323975</v>
      </c>
      <c r="H18" s="9">
        <v>0.26328954100608826</v>
      </c>
      <c r="I18">
        <v>0</v>
      </c>
      <c r="J18"/>
    </row>
    <row r="19" spans="1:10" ht="15" customHeight="1" x14ac:dyDescent="0.15">
      <c r="A19" s="152">
        <v>18</v>
      </c>
      <c r="B19" s="152" t="s">
        <v>209</v>
      </c>
      <c r="C19" s="8">
        <v>1</v>
      </c>
      <c r="D19" s="9">
        <v>239.03799438476562</v>
      </c>
      <c r="E19" s="9">
        <v>10.531000137329102</v>
      </c>
      <c r="F19" s="10"/>
      <c r="G19" s="9">
        <v>1.1874719522893429E-2</v>
      </c>
      <c r="H19" s="10"/>
      <c r="I19">
        <v>0</v>
      </c>
      <c r="J19"/>
    </row>
    <row r="20" spans="1:10" ht="15" customHeight="1" x14ac:dyDescent="0.15">
      <c r="A20" s="153">
        <v>19</v>
      </c>
      <c r="B20" s="153" t="s">
        <v>210</v>
      </c>
      <c r="C20" s="8">
        <v>1</v>
      </c>
      <c r="D20" s="9">
        <v>1.1549999713897705</v>
      </c>
      <c r="E20" s="9">
        <v>60.675998687744141</v>
      </c>
      <c r="F20" s="10"/>
      <c r="G20" s="9">
        <v>0.9819679856300354</v>
      </c>
      <c r="H20" s="10"/>
      <c r="I20">
        <v>0</v>
      </c>
      <c r="J20"/>
    </row>
    <row r="21" spans="1:10" ht="15" customHeight="1" x14ac:dyDescent="0.15">
      <c r="A21" s="154">
        <v>20</v>
      </c>
      <c r="B21" s="154" t="s">
        <v>211</v>
      </c>
      <c r="C21" s="8">
        <v>1</v>
      </c>
      <c r="D21" s="9">
        <v>12.710000038146973</v>
      </c>
      <c r="E21" s="10"/>
      <c r="F21" s="10"/>
      <c r="G21" s="7">
        <v>0.17368996143341064</v>
      </c>
      <c r="H21" s="10"/>
      <c r="I21">
        <v>0</v>
      </c>
      <c r="J21"/>
    </row>
    <row r="22" spans="1:10" ht="15" customHeight="1" x14ac:dyDescent="0.15">
      <c r="A22" s="155">
        <v>21</v>
      </c>
      <c r="B22" s="155" t="s">
        <v>212</v>
      </c>
      <c r="C22" s="8">
        <v>1</v>
      </c>
      <c r="D22" s="9">
        <v>5</v>
      </c>
      <c r="E22" s="10"/>
      <c r="F22" s="10"/>
      <c r="G22" s="7">
        <v>0</v>
      </c>
      <c r="H22" s="10"/>
      <c r="I22">
        <v>0</v>
      </c>
      <c r="J22"/>
    </row>
    <row r="23" spans="1:10" ht="15" customHeight="1" x14ac:dyDescent="0.15">
      <c r="A23" s="156">
        <v>22</v>
      </c>
      <c r="B23" s="156" t="s">
        <v>213</v>
      </c>
      <c r="C23" s="8">
        <v>3.6175408363342285</v>
      </c>
      <c r="D23" s="10"/>
      <c r="E23" s="10"/>
      <c r="F23" s="10"/>
      <c r="G23" s="10"/>
      <c r="H23" s="10"/>
      <c r="I23">
        <v>1.1110000610351562</v>
      </c>
      <c r="J23"/>
    </row>
    <row r="24" spans="1:10" ht="15" customHeight="1" x14ac:dyDescent="0.15">
      <c r="A24"/>
      <c r="B24"/>
      <c r="C24"/>
      <c r="D24"/>
      <c r="E24"/>
      <c r="F24"/>
      <c r="G24"/>
      <c r="H24"/>
      <c r="I24"/>
      <c r="J24"/>
    </row>
    <row r="25" spans="1:10" ht="15" customHeight="1" x14ac:dyDescent="0.15">
      <c r="A25"/>
      <c r="B25"/>
      <c r="C25"/>
      <c r="D25"/>
      <c r="E25"/>
      <c r="F25"/>
      <c r="G25"/>
      <c r="H25"/>
      <c r="I25"/>
      <c r="J25"/>
    </row>
    <row r="26" spans="1:10" ht="15" customHeight="1" x14ac:dyDescent="0.15">
      <c r="A26"/>
      <c r="B26"/>
      <c r="C26"/>
      <c r="D26"/>
      <c r="E26"/>
      <c r="F26"/>
      <c r="G26"/>
      <c r="H26"/>
      <c r="I26"/>
      <c r="J26"/>
    </row>
    <row r="27" spans="1:10" ht="15" customHeight="1" x14ac:dyDescent="0.15">
      <c r="A27"/>
      <c r="B27"/>
      <c r="C27"/>
      <c r="D27"/>
      <c r="E27"/>
      <c r="F27"/>
      <c r="G27"/>
      <c r="H27"/>
      <c r="I27"/>
      <c r="J27"/>
    </row>
    <row r="28" spans="1:10" ht="15" customHeight="1" x14ac:dyDescent="0.15">
      <c r="A28"/>
      <c r="B28"/>
      <c r="C28"/>
      <c r="D28"/>
      <c r="E28"/>
      <c r="F28"/>
      <c r="G28"/>
      <c r="H28"/>
      <c r="I28"/>
      <c r="J28"/>
    </row>
    <row r="29" spans="1:10" ht="15" customHeight="1" x14ac:dyDescent="0.15">
      <c r="A29"/>
      <c r="B29"/>
      <c r="C29"/>
      <c r="D29"/>
      <c r="E29"/>
      <c r="F29"/>
      <c r="G29"/>
      <c r="H29"/>
      <c r="I29"/>
      <c r="J29"/>
    </row>
    <row r="30" spans="1:10" ht="15" customHeight="1" x14ac:dyDescent="0.15">
      <c r="A30"/>
      <c r="B30"/>
      <c r="C30"/>
      <c r="D30"/>
      <c r="E30"/>
      <c r="F30"/>
      <c r="G30"/>
      <c r="H30"/>
      <c r="I30"/>
      <c r="J30"/>
    </row>
    <row r="31" spans="1:10" ht="15" customHeight="1" x14ac:dyDescent="0.15">
      <c r="A31"/>
      <c r="B31"/>
      <c r="C31"/>
      <c r="D31"/>
      <c r="E31"/>
      <c r="F31"/>
      <c r="G31"/>
      <c r="H31"/>
      <c r="I31"/>
      <c r="J31"/>
    </row>
    <row r="32" spans="1:10" ht="15" customHeight="1" x14ac:dyDescent="0.15">
      <c r="A32"/>
      <c r="B32"/>
      <c r="C32"/>
      <c r="D32"/>
      <c r="E32"/>
      <c r="F32"/>
      <c r="G32"/>
      <c r="H32"/>
      <c r="I32"/>
      <c r="J32"/>
    </row>
    <row r="33" spans="1:10" ht="15" customHeight="1" x14ac:dyDescent="0.15">
      <c r="A33"/>
      <c r="B33"/>
      <c r="C33"/>
      <c r="D33"/>
      <c r="E33"/>
      <c r="F33"/>
      <c r="G33"/>
      <c r="H33"/>
      <c r="I33"/>
      <c r="J33"/>
    </row>
    <row r="34" spans="1:10" ht="15" customHeight="1" x14ac:dyDescent="0.15">
      <c r="A34"/>
      <c r="B34"/>
      <c r="C34"/>
      <c r="D34"/>
      <c r="E34"/>
      <c r="F34"/>
      <c r="G34"/>
      <c r="H34"/>
      <c r="I34"/>
      <c r="J34"/>
    </row>
    <row r="35" spans="1:10" ht="15" customHeight="1" x14ac:dyDescent="0.15">
      <c r="A35"/>
      <c r="B35"/>
      <c r="C35"/>
      <c r="D35"/>
      <c r="E35"/>
      <c r="F35"/>
      <c r="G35"/>
      <c r="H35"/>
      <c r="I35"/>
      <c r="J35"/>
    </row>
    <row r="36" spans="1:10" ht="15" customHeight="1" x14ac:dyDescent="0.15">
      <c r="A36"/>
      <c r="B36"/>
      <c r="C36"/>
      <c r="D36"/>
      <c r="E36"/>
      <c r="F36"/>
      <c r="G36"/>
      <c r="H36"/>
      <c r="I36"/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76" bestFit="1" customWidth="1"/>
    <col min="2" max="4" width="9.5" style="76" bestFit="1" customWidth="1"/>
    <col min="5" max="7" width="9" style="76" bestFit="1" customWidth="1"/>
    <col min="8" max="16" width="12.6640625" style="76" bestFit="1" customWidth="1"/>
    <col min="17" max="17" width="12.33203125" style="76" bestFit="1" customWidth="1"/>
    <col min="18" max="18" width="8.83203125" style="76"/>
    <col min="19" max="21" width="9.33203125" style="76" bestFit="1" customWidth="1"/>
    <col min="22" max="23" width="8.83203125" style="76"/>
    <col min="24" max="24" width="9.33203125" style="76" bestFit="1" customWidth="1"/>
    <col min="25" max="27" width="8.83203125" style="76"/>
    <col min="28" max="58" width="9" style="76" bestFit="1" customWidth="1"/>
    <col min="59" max="59" width="12.33203125" style="76" bestFit="1" customWidth="1"/>
    <col min="60" max="60" width="9" style="76" bestFit="1" customWidth="1"/>
    <col min="61" max="61" width="11.33203125" style="76" bestFit="1" customWidth="1"/>
    <col min="62" max="77" width="9" style="76" bestFit="1" customWidth="1"/>
    <col min="78" max="78" width="12.33203125" style="76" bestFit="1" customWidth="1"/>
    <col min="79" max="79" width="9" style="76" bestFit="1" customWidth="1"/>
    <col min="80" max="80" width="12.33203125" style="76" bestFit="1" customWidth="1"/>
    <col min="81" max="107" width="9" style="76" bestFit="1" customWidth="1"/>
    <col min="108" max="108" width="11.33203125" style="76" bestFit="1" customWidth="1"/>
    <col min="109" max="124" width="9" style="76" bestFit="1" customWidth="1"/>
    <col min="125" max="125" width="10.33203125" style="76" bestFit="1" customWidth="1"/>
    <col min="126" max="129" width="9.33203125" style="76" bestFit="1" customWidth="1"/>
    <col min="130" max="130" width="9" style="76" bestFit="1" customWidth="1"/>
    <col min="131" max="134" width="9.33203125" style="76" bestFit="1" customWidth="1"/>
    <col min="135" max="165" width="9" style="76" bestFit="1" customWidth="1"/>
    <col min="166" max="166" width="12.33203125" style="76" bestFit="1" customWidth="1"/>
    <col min="167" max="170" width="9" style="76" bestFit="1" customWidth="1"/>
    <col min="171" max="176" width="8.83203125" style="76"/>
    <col min="177" max="177" width="13.83203125" style="76" bestFit="1" customWidth="1"/>
    <col min="178" max="16384" width="8.83203125" style="76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218</v>
      </c>
      <c r="E1" t="s">
        <v>192</v>
      </c>
      <c r="F1" t="s">
        <v>193</v>
      </c>
      <c r="G1" t="s">
        <v>194</v>
      </c>
      <c r="H1" t="s">
        <v>195</v>
      </c>
      <c r="I1" t="s">
        <v>196</v>
      </c>
      <c r="J1" t="s">
        <v>197</v>
      </c>
      <c r="K1" t="s">
        <v>198</v>
      </c>
      <c r="L1" t="s">
        <v>199</v>
      </c>
      <c r="M1" t="s">
        <v>200</v>
      </c>
      <c r="N1" t="s">
        <v>201</v>
      </c>
      <c r="O1" t="s">
        <v>202</v>
      </c>
      <c r="P1" t="s">
        <v>203</v>
      </c>
      <c r="Q1" t="s">
        <v>204</v>
      </c>
      <c r="R1" t="s">
        <v>205</v>
      </c>
      <c r="S1" t="s">
        <v>206</v>
      </c>
      <c r="T1" t="s">
        <v>207</v>
      </c>
      <c r="U1" t="s">
        <v>208</v>
      </c>
      <c r="V1" t="s">
        <v>209</v>
      </c>
      <c r="W1" t="s">
        <v>210</v>
      </c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0.6600000262260437</v>
      </c>
      <c r="C2">
        <v>0.19219762086868286</v>
      </c>
      <c r="D2" s="184">
        <v>0.34674063324928284</v>
      </c>
      <c r="E2" s="71">
        <v>0.11108399927616119</v>
      </c>
      <c r="F2" s="21">
        <v>5.0163664855062962E-3</v>
      </c>
      <c r="G2" s="21">
        <v>4.9614175222814083E-3</v>
      </c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1.5859999656677246</v>
      </c>
      <c r="C3">
        <v>0.40095087885856628</v>
      </c>
      <c r="D3" s="185">
        <v>0.95620441436767578</v>
      </c>
      <c r="E3" s="23">
        <v>4.8717502504587173E-2</v>
      </c>
      <c r="F3"/>
      <c r="G3" s="16">
        <v>2.6110818609595299E-2</v>
      </c>
      <c r="H3" s="23">
        <v>4.8388835042715073E-2</v>
      </c>
      <c r="I3" s="193">
        <v>5.3944822400808334E-2</v>
      </c>
      <c r="J3" s="22">
        <v>1.0264934040606022E-2</v>
      </c>
      <c r="K3" s="24">
        <v>4.1417770087718964E-2</v>
      </c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0.3580000102519989</v>
      </c>
      <c r="C4">
        <v>0.10842732340097427</v>
      </c>
      <c r="D4" s="186">
        <v>0.1428571492433548</v>
      </c>
      <c r="E4"/>
      <c r="F4"/>
      <c r="G4"/>
      <c r="H4"/>
      <c r="I4" s="101">
        <v>0.10624172538518906</v>
      </c>
      <c r="J4" s="14">
        <v>4.738194402307272E-4</v>
      </c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0.49200001358985901</v>
      </c>
      <c r="C5">
        <v>9.6395894885063171E-2</v>
      </c>
      <c r="D5" s="187">
        <v>0.39436620473861694</v>
      </c>
      <c r="E5"/>
      <c r="F5"/>
      <c r="G5"/>
      <c r="H5"/>
      <c r="I5"/>
      <c r="J5" s="14">
        <v>1.2379366671666503E-3</v>
      </c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0.5130000114440918</v>
      </c>
      <c r="C6">
        <v>0.10756909102201462</v>
      </c>
      <c r="D6" s="188">
        <v>0.38333335518836975</v>
      </c>
      <c r="E6"/>
      <c r="F6"/>
      <c r="G6"/>
      <c r="H6" s="19">
        <v>2.2097568958997726E-2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0.51599997282028198</v>
      </c>
      <c r="C7">
        <v>0.15584176778793335</v>
      </c>
      <c r="D7" s="189">
        <v>0.32432430982589722</v>
      </c>
      <c r="E7"/>
      <c r="F7"/>
      <c r="G7"/>
      <c r="H7" s="192">
        <v>3.5833895206451416E-2</v>
      </c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0.4779999852180481</v>
      </c>
      <c r="C8">
        <v>9.7367830574512482E-2</v>
      </c>
      <c r="D8" s="190">
        <v>0.37578290700912476</v>
      </c>
      <c r="E8"/>
      <c r="F8"/>
      <c r="G8"/>
      <c r="H8" s="22">
        <v>2.7679626364260912E-3</v>
      </c>
      <c r="I8" s="12">
        <v>1.7143215518444777E-3</v>
      </c>
      <c r="J8" s="11">
        <v>3.6698748590424657E-4</v>
      </c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0.30000001192092896</v>
      </c>
      <c r="C9">
        <v>0.29062440991401672</v>
      </c>
      <c r="D9"/>
      <c r="E9"/>
      <c r="F9"/>
      <c r="G9"/>
      <c r="H9" s="20">
        <v>5.7897558435797691E-3</v>
      </c>
      <c r="I9" s="18">
        <v>3.58585175126791E-3</v>
      </c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0.77799999713897705</v>
      </c>
      <c r="C10">
        <v>3.6358799785375595E-2</v>
      </c>
      <c r="D10" s="191">
        <v>0.70247936248779297</v>
      </c>
      <c r="E10"/>
      <c r="F10"/>
      <c r="G10" s="13">
        <v>2.9563488438725471E-2</v>
      </c>
      <c r="H10" s="21">
        <v>5.478736013174057E-3</v>
      </c>
      <c r="I10" s="12">
        <v>3.3932232763618231E-3</v>
      </c>
      <c r="J10" s="11">
        <v>7.2639260906726122E-4</v>
      </c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3.8010001182556152</v>
      </c>
      <c r="C11">
        <v>2.2830338478088379</v>
      </c>
      <c r="D11"/>
      <c r="E11" s="194">
        <v>8.8636085391044617E-2</v>
      </c>
      <c r="F11" s="14">
        <v>8.4055783227086067E-3</v>
      </c>
      <c r="G11" s="199">
        <v>0.27553325891494751</v>
      </c>
      <c r="H11" s="200">
        <v>0.28172194957733154</v>
      </c>
      <c r="I11" s="64">
        <v>0.24209496378898621</v>
      </c>
      <c r="J11" s="15">
        <v>3.9686307311058044E-2</v>
      </c>
      <c r="K11"/>
      <c r="L11" s="12">
        <v>1.2017179280519485E-2</v>
      </c>
      <c r="M11" s="201">
        <v>0.48222148418426514</v>
      </c>
      <c r="N11"/>
      <c r="O11"/>
      <c r="P11"/>
      <c r="Q11"/>
      <c r="R11" s="194">
        <v>8.7649382650852203E-2</v>
      </c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4.500999927520752</v>
      </c>
      <c r="C12">
        <v>3.4423658847808838</v>
      </c>
      <c r="D12"/>
      <c r="E12" s="18">
        <v>5.2142947912216187E-2</v>
      </c>
      <c r="F12" s="22">
        <v>2.7903050184249878E-2</v>
      </c>
      <c r="G12" s="17">
        <v>6.2880150973796844E-2</v>
      </c>
      <c r="H12" s="12">
        <v>2.0198557525873184E-2</v>
      </c>
      <c r="I12" s="17">
        <v>6.3511587679386139E-2</v>
      </c>
      <c r="J12" s="12">
        <v>1.3252693228423595E-2</v>
      </c>
      <c r="K12" s="17">
        <v>6.4278431236743927E-2</v>
      </c>
      <c r="L12" s="11">
        <v>1.4138963306322694E-3</v>
      </c>
      <c r="M12" s="11">
        <v>5.8855162933468819E-4</v>
      </c>
      <c r="N12" s="13">
        <v>0.16657772660255432</v>
      </c>
      <c r="O12" s="100">
        <v>0.55366003513336182</v>
      </c>
      <c r="P12"/>
      <c r="Q12"/>
      <c r="R12" s="21">
        <v>3.2226555049419403E-2</v>
      </c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4.6350002288818359</v>
      </c>
      <c r="C13">
        <v>0.23091380298137665</v>
      </c>
      <c r="D13"/>
      <c r="E13" s="202">
        <v>0.69163697957992554</v>
      </c>
      <c r="F13" s="68">
        <v>0.43336012959480286</v>
      </c>
      <c r="G13" s="196">
        <v>0.44483092427253723</v>
      </c>
      <c r="H13" s="26">
        <v>0.16487304866313934</v>
      </c>
      <c r="I13" s="201">
        <v>0.58715063333511353</v>
      </c>
      <c r="J13" s="194">
        <v>0.10702057927846909</v>
      </c>
      <c r="K13" s="63">
        <v>0.19110113382339478</v>
      </c>
      <c r="L13" s="195">
        <v>0.38446256518363953</v>
      </c>
      <c r="M13"/>
      <c r="N13" s="198">
        <v>0.52476292848587036</v>
      </c>
      <c r="O13" s="24">
        <v>0.11844974011182785</v>
      </c>
      <c r="P13" s="134">
        <v>0.28622999787330627</v>
      </c>
      <c r="Q13"/>
      <c r="R13" s="197">
        <v>0.47020712494850159</v>
      </c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4.6230001449584961</v>
      </c>
      <c r="C14">
        <v>1.1344950199127197</v>
      </c>
      <c r="D14" s="23">
        <v>0.14143425226211548</v>
      </c>
      <c r="E14"/>
      <c r="F14" s="11">
        <v>3.602390643209219E-3</v>
      </c>
      <c r="G14" s="25">
        <v>0.35629305243492126</v>
      </c>
      <c r="H14" s="12">
        <v>2.1129148080945015E-2</v>
      </c>
      <c r="I14" s="22">
        <v>2.7262948453426361E-2</v>
      </c>
      <c r="J14" s="11">
        <v>2.6846618857234716E-3</v>
      </c>
      <c r="K14" s="16">
        <v>7.5355023145675659E-2</v>
      </c>
      <c r="L14" s="200">
        <v>0.34609472751617432</v>
      </c>
      <c r="M14" s="68">
        <v>0.43119803071022034</v>
      </c>
      <c r="N14" s="208">
        <v>1.4370367527008057</v>
      </c>
      <c r="O14"/>
      <c r="P14"/>
      <c r="Q14"/>
      <c r="R14" s="207">
        <v>0.64641416072845459</v>
      </c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2.244999885559082</v>
      </c>
      <c r="C15">
        <v>8.9800044894218445E-2</v>
      </c>
      <c r="D15"/>
      <c r="E15"/>
      <c r="F15" s="22">
        <v>1.3114958070218563E-2</v>
      </c>
      <c r="G15" s="63">
        <v>9.2847190797328949E-2</v>
      </c>
      <c r="H15" s="11">
        <v>1.0121491504833102E-3</v>
      </c>
      <c r="I15" s="18">
        <v>2.6955354958772659E-2</v>
      </c>
      <c r="J15" s="62">
        <v>4.9249477684497833E-2</v>
      </c>
      <c r="K15" s="204">
        <v>0.53279626369476318</v>
      </c>
      <c r="L15"/>
      <c r="M15" s="203">
        <v>0.26569616794586182</v>
      </c>
      <c r="N15" s="206">
        <v>0.5941123366355896</v>
      </c>
      <c r="O15"/>
      <c r="P15"/>
      <c r="Q15"/>
      <c r="R15" s="205">
        <v>0.57941597700119019</v>
      </c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4.4250001907348633</v>
      </c>
      <c r="C16">
        <v>2.4622578620910645</v>
      </c>
      <c r="D16"/>
      <c r="E16" s="14">
        <v>4.9976021982729435E-3</v>
      </c>
      <c r="F16" s="15">
        <v>4.5249499380588531E-2</v>
      </c>
      <c r="G16" s="18">
        <v>4.9552880227565765E-2</v>
      </c>
      <c r="H16" s="22">
        <v>2.20065638422966E-2</v>
      </c>
      <c r="I16" s="11">
        <v>4.0991391870193183E-4</v>
      </c>
      <c r="J16"/>
      <c r="K16" s="22">
        <v>2.4784499779343605E-2</v>
      </c>
      <c r="L16" s="14">
        <v>1.174453180283308E-2</v>
      </c>
      <c r="M16" s="11">
        <v>1.8803097191266716E-4</v>
      </c>
      <c r="N16" s="12">
        <v>1.8626436591148376E-2</v>
      </c>
      <c r="O16" s="210">
        <v>0.58771061897277832</v>
      </c>
      <c r="P16"/>
      <c r="Q16"/>
      <c r="R16" s="194">
        <v>0.10295767337083817</v>
      </c>
      <c r="S16" s="209">
        <v>0.43088001012802124</v>
      </c>
      <c r="T16" s="202">
        <v>0.66363418102264404</v>
      </c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10.383000373840332</v>
      </c>
      <c r="C17">
        <v>5.6068205833435059</v>
      </c>
      <c r="D17"/>
      <c r="E17" s="12">
        <v>4.1128359735012054E-2</v>
      </c>
      <c r="F17" s="11">
        <v>8.7060341611504555E-3</v>
      </c>
      <c r="G17" s="22">
        <v>6.5441079437732697E-2</v>
      </c>
      <c r="H17" s="12">
        <v>3.906366229057312E-2</v>
      </c>
      <c r="I17"/>
      <c r="J17"/>
      <c r="K17"/>
      <c r="L17" s="11">
        <v>3.8335933350026608E-3</v>
      </c>
      <c r="M17"/>
      <c r="N17"/>
      <c r="O17" s="213">
        <v>1.6904740333557129</v>
      </c>
      <c r="P17" s="21">
        <v>7.3959141969680786E-2</v>
      </c>
      <c r="Q17" s="23">
        <v>0.32003897428512573</v>
      </c>
      <c r="R17" s="16">
        <v>0.16204658150672913</v>
      </c>
      <c r="S17" s="212">
        <v>1.3962287902832031</v>
      </c>
      <c r="T17" s="68">
        <v>0.97525995969772339</v>
      </c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18.950000762939453</v>
      </c>
      <c r="C18">
        <v>8.0653858184814453</v>
      </c>
      <c r="D18"/>
      <c r="E18" s="203">
        <v>2.2385842800140381</v>
      </c>
      <c r="F18" s="14">
        <v>2.3266902193427086E-2</v>
      </c>
      <c r="G18" s="12">
        <v>6.3481494784355164E-2</v>
      </c>
      <c r="H18" s="18">
        <v>0.23999488353729248</v>
      </c>
      <c r="I18"/>
      <c r="J18"/>
      <c r="K18" s="62">
        <v>0.39775022864341736</v>
      </c>
      <c r="L18" s="14">
        <v>3.0511053279042244E-2</v>
      </c>
      <c r="M18"/>
      <c r="N18"/>
      <c r="O18" s="27">
        <v>0.8925246000289917</v>
      </c>
      <c r="P18"/>
      <c r="Q18" s="26">
        <v>0.67413216829299927</v>
      </c>
      <c r="R18" s="69">
        <v>1.4933449029922485</v>
      </c>
      <c r="S18"/>
      <c r="T18" s="18">
        <v>0.22468841075897217</v>
      </c>
      <c r="U18" s="211">
        <v>4.6063361167907715</v>
      </c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10.531000137329102</v>
      </c>
      <c r="C19">
        <v>10.405947685241699</v>
      </c>
      <c r="D19"/>
      <c r="E19" s="11">
        <v>1.9545044051483274E-4</v>
      </c>
      <c r="F19" s="11">
        <v>1.096971973311156E-4</v>
      </c>
      <c r="G19" s="11">
        <v>4.1901748045347631E-4</v>
      </c>
      <c r="H19" s="11">
        <v>6.1012869991827756E-5</v>
      </c>
      <c r="I19"/>
      <c r="J19"/>
      <c r="K19" s="11">
        <v>7.3587149381637573E-3</v>
      </c>
      <c r="L19" s="11">
        <v>6.0569022025447339E-5</v>
      </c>
      <c r="M19" s="11">
        <v>6.303149348241277E-6</v>
      </c>
      <c r="N19" s="14">
        <v>1.3959642499685287E-2</v>
      </c>
      <c r="O19" s="14">
        <v>2.8308458626270294E-2</v>
      </c>
      <c r="P19" s="11">
        <v>8.4297554567456245E-3</v>
      </c>
      <c r="Q19" s="14">
        <v>1.4004615135490894E-2</v>
      </c>
      <c r="R19" s="11">
        <v>1.0008866898715496E-2</v>
      </c>
      <c r="S19" s="14">
        <v>2.0943658426403999E-2</v>
      </c>
      <c r="T19" s="14">
        <v>2.1186910569667816E-2</v>
      </c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60.675998687744141</v>
      </c>
      <c r="C20">
        <v>1.0941104888916016</v>
      </c>
      <c r="D20"/>
      <c r="E20" s="133">
        <v>1.7451409101486206</v>
      </c>
      <c r="F20" s="11">
        <v>1.5657144831493497E-3</v>
      </c>
      <c r="G20"/>
      <c r="H20"/>
      <c r="I20"/>
      <c r="J20"/>
      <c r="K20"/>
      <c r="L20"/>
      <c r="M20"/>
      <c r="N20"/>
      <c r="O20"/>
      <c r="P20"/>
      <c r="Q20" s="16">
        <v>0.96612834930419922</v>
      </c>
      <c r="R20" s="18">
        <v>0.68571412563323975</v>
      </c>
      <c r="S20"/>
      <c r="T20"/>
      <c r="U20" s="214">
        <v>56.183338165283203</v>
      </c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/>
      <c r="C21">
        <v>0.17368996143341064</v>
      </c>
      <c r="D21"/>
      <c r="E21" s="9">
        <v>1.2814650535583496</v>
      </c>
      <c r="F21" s="9">
        <v>0.17089380323886871</v>
      </c>
      <c r="G21" s="9">
        <v>1.4559130668640137</v>
      </c>
      <c r="H21" s="9">
        <v>0.2863844633102417</v>
      </c>
      <c r="I21" s="9">
        <v>0.12071051448583603</v>
      </c>
      <c r="J21"/>
      <c r="K21" s="9">
        <v>2.2129511833190918</v>
      </c>
      <c r="L21" s="9">
        <v>0.96461653709411621</v>
      </c>
      <c r="M21" s="9">
        <v>0.14162905514240265</v>
      </c>
      <c r="N21" s="9">
        <v>3.6034092903137207</v>
      </c>
      <c r="O21" s="9">
        <v>22.997966766357422</v>
      </c>
      <c r="P21" s="9">
        <v>2.7515971660614014</v>
      </c>
      <c r="Q21" s="9">
        <v>16.856884002685547</v>
      </c>
      <c r="R21" s="9">
        <v>7.9034981727600098</v>
      </c>
      <c r="S21" s="9">
        <v>156.92254638671875</v>
      </c>
      <c r="T21" s="9">
        <v>237.52395629882812</v>
      </c>
      <c r="U21" s="9">
        <v>11.031599044799805</v>
      </c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/>
      <c r="C22">
        <v>0</v>
      </c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2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2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2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0" t="s">
        <v>166</v>
      </c>
    </row>
    <row r="2" spans="1:12" x14ac:dyDescent="0.15">
      <c r="A2" s="1" t="s">
        <v>37</v>
      </c>
      <c r="B2" s="37">
        <v>3</v>
      </c>
      <c r="C2" s="35"/>
      <c r="D2" t="s">
        <v>38</v>
      </c>
      <c r="E2">
        <v>1</v>
      </c>
      <c r="F2">
        <v>1</v>
      </c>
      <c r="G2">
        <v>1</v>
      </c>
      <c r="H2" t="s">
        <v>38</v>
      </c>
      <c r="J2" s="53"/>
      <c r="K2" s="54"/>
      <c r="L2" s="60" t="s">
        <v>167</v>
      </c>
    </row>
    <row r="3" spans="1:12" ht="14" thickBot="1" x14ac:dyDescent="0.2">
      <c r="A3" s="1" t="s">
        <v>39</v>
      </c>
      <c r="B3" s="38">
        <v>0</v>
      </c>
      <c r="C3" s="35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5"/>
      <c r="K3" s="56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5"/>
      <c r="K4" s="56"/>
    </row>
    <row r="5" spans="1:12" x14ac:dyDescent="0.15">
      <c r="D5" s="176" t="s">
        <v>192</v>
      </c>
      <c r="E5">
        <v>4</v>
      </c>
      <c r="F5">
        <v>3.14</v>
      </c>
      <c r="G5">
        <v>4</v>
      </c>
      <c r="H5" s="177" t="s">
        <v>192</v>
      </c>
      <c r="J5" s="55"/>
      <c r="K5" s="56"/>
    </row>
    <row r="6" spans="1:12" ht="14" thickBot="1" x14ac:dyDescent="0.2">
      <c r="A6" s="39" t="s">
        <v>121</v>
      </c>
      <c r="D6" s="176" t="s">
        <v>193</v>
      </c>
      <c r="E6">
        <v>5</v>
      </c>
      <c r="F6">
        <v>3.04</v>
      </c>
      <c r="G6">
        <v>5</v>
      </c>
      <c r="H6" s="177" t="s">
        <v>193</v>
      </c>
      <c r="J6" s="55"/>
      <c r="K6" s="56"/>
    </row>
    <row r="7" spans="1:12" x14ac:dyDescent="0.15">
      <c r="A7" s="34" t="s">
        <v>126</v>
      </c>
      <c r="B7" s="41">
        <v>1</v>
      </c>
      <c r="C7" s="36"/>
      <c r="D7" s="176" t="s">
        <v>194</v>
      </c>
      <c r="E7">
        <v>6</v>
      </c>
      <c r="F7">
        <v>3.24</v>
      </c>
      <c r="G7">
        <v>6</v>
      </c>
      <c r="H7" s="177" t="s">
        <v>194</v>
      </c>
      <c r="J7" s="55"/>
      <c r="K7" s="56"/>
    </row>
    <row r="8" spans="1:12" x14ac:dyDescent="0.15">
      <c r="A8" s="34" t="s">
        <v>38</v>
      </c>
      <c r="B8" s="42">
        <v>1</v>
      </c>
      <c r="C8" s="36"/>
      <c r="D8" s="176" t="s">
        <v>195</v>
      </c>
      <c r="E8">
        <v>7</v>
      </c>
      <c r="F8">
        <v>3.24</v>
      </c>
      <c r="G8">
        <v>7</v>
      </c>
      <c r="H8" s="177" t="s">
        <v>195</v>
      </c>
      <c r="J8" s="55"/>
      <c r="K8" s="56"/>
    </row>
    <row r="9" spans="1:12" x14ac:dyDescent="0.15">
      <c r="A9" s="34" t="s">
        <v>40</v>
      </c>
      <c r="B9" s="42">
        <v>1.1000000000000001</v>
      </c>
      <c r="C9" s="36"/>
      <c r="D9" s="176" t="s">
        <v>196</v>
      </c>
      <c r="E9">
        <v>8</v>
      </c>
      <c r="F9">
        <v>3.24</v>
      </c>
      <c r="G9">
        <v>8</v>
      </c>
      <c r="H9" s="177" t="s">
        <v>196</v>
      </c>
      <c r="J9" s="55"/>
      <c r="K9" s="56"/>
    </row>
    <row r="10" spans="1:12" x14ac:dyDescent="0.15">
      <c r="A10" s="34" t="s">
        <v>41</v>
      </c>
      <c r="B10" s="42">
        <v>1.2</v>
      </c>
      <c r="C10" s="36"/>
      <c r="D10" s="176" t="s">
        <v>197</v>
      </c>
      <c r="E10">
        <v>9</v>
      </c>
      <c r="F10">
        <v>3.24</v>
      </c>
      <c r="G10">
        <v>9</v>
      </c>
      <c r="H10" s="177" t="s">
        <v>197</v>
      </c>
      <c r="J10" s="55"/>
      <c r="K10" s="56"/>
    </row>
    <row r="11" spans="1:12" ht="12" customHeight="1" x14ac:dyDescent="0.15">
      <c r="A11" s="40" t="s">
        <v>127</v>
      </c>
      <c r="B11" s="42">
        <v>2</v>
      </c>
      <c r="C11" s="36"/>
      <c r="D11" s="176" t="s">
        <v>198</v>
      </c>
      <c r="E11">
        <v>10</v>
      </c>
      <c r="F11">
        <v>3.24</v>
      </c>
      <c r="G11">
        <v>10</v>
      </c>
      <c r="H11" s="177" t="s">
        <v>198</v>
      </c>
      <c r="J11" s="55"/>
      <c r="K11" s="56"/>
    </row>
    <row r="12" spans="1:12" x14ac:dyDescent="0.15">
      <c r="A12" s="34" t="s">
        <v>42</v>
      </c>
      <c r="B12" s="42">
        <v>2.1</v>
      </c>
      <c r="C12" s="36"/>
      <c r="D12" s="176" t="s">
        <v>199</v>
      </c>
      <c r="E12">
        <v>11</v>
      </c>
      <c r="F12">
        <v>3.24</v>
      </c>
      <c r="G12">
        <v>11</v>
      </c>
      <c r="H12" s="177" t="s">
        <v>199</v>
      </c>
      <c r="J12" s="55"/>
      <c r="K12" s="56"/>
    </row>
    <row r="13" spans="1:12" x14ac:dyDescent="0.15">
      <c r="A13" s="34" t="s">
        <v>43</v>
      </c>
      <c r="B13" s="42">
        <v>2.2000000000000002</v>
      </c>
      <c r="C13" s="36"/>
      <c r="D13" s="176" t="s">
        <v>200</v>
      </c>
      <c r="E13">
        <v>12</v>
      </c>
      <c r="F13">
        <v>3.04</v>
      </c>
      <c r="G13">
        <v>12</v>
      </c>
      <c r="H13" s="177" t="s">
        <v>200</v>
      </c>
      <c r="J13" s="55"/>
      <c r="K13" s="56"/>
    </row>
    <row r="14" spans="1:12" x14ac:dyDescent="0.15">
      <c r="A14" s="34" t="s">
        <v>67</v>
      </c>
      <c r="B14" s="42">
        <v>2.2999999999999998</v>
      </c>
      <c r="C14" s="36"/>
      <c r="D14" s="176" t="s">
        <v>201</v>
      </c>
      <c r="E14">
        <v>13</v>
      </c>
      <c r="F14">
        <v>3.21</v>
      </c>
      <c r="G14">
        <v>13</v>
      </c>
      <c r="H14" s="177" t="s">
        <v>201</v>
      </c>
      <c r="J14" s="55"/>
      <c r="K14" s="56"/>
    </row>
    <row r="15" spans="1:12" x14ac:dyDescent="0.15">
      <c r="A15" s="40" t="s">
        <v>128</v>
      </c>
      <c r="B15" s="42">
        <v>3</v>
      </c>
      <c r="C15" s="36"/>
      <c r="D15" s="176" t="s">
        <v>202</v>
      </c>
      <c r="E15">
        <v>14</v>
      </c>
      <c r="F15">
        <v>3.12</v>
      </c>
      <c r="G15">
        <v>14</v>
      </c>
      <c r="H15" s="177" t="s">
        <v>202</v>
      </c>
      <c r="J15" s="55"/>
      <c r="K15" s="56"/>
    </row>
    <row r="16" spans="1:12" x14ac:dyDescent="0.15">
      <c r="A16" s="34" t="s">
        <v>62</v>
      </c>
      <c r="B16" s="42">
        <v>3.11</v>
      </c>
      <c r="C16" s="36"/>
      <c r="D16" s="176" t="s">
        <v>203</v>
      </c>
      <c r="E16">
        <v>15</v>
      </c>
      <c r="F16">
        <v>3</v>
      </c>
      <c r="G16">
        <v>15</v>
      </c>
      <c r="H16" s="177" t="s">
        <v>203</v>
      </c>
      <c r="J16" s="55"/>
      <c r="K16" s="56"/>
    </row>
    <row r="17" spans="1:12" x14ac:dyDescent="0.15">
      <c r="A17" s="34" t="s">
        <v>61</v>
      </c>
      <c r="B17" s="42">
        <v>3.12</v>
      </c>
      <c r="C17" s="36"/>
      <c r="D17" s="176" t="s">
        <v>204</v>
      </c>
      <c r="E17">
        <v>16</v>
      </c>
      <c r="F17">
        <v>3.01</v>
      </c>
      <c r="G17">
        <v>16</v>
      </c>
      <c r="H17" s="177" t="s">
        <v>204</v>
      </c>
      <c r="J17" s="55"/>
      <c r="K17" s="56"/>
    </row>
    <row r="18" spans="1:12" x14ac:dyDescent="0.15">
      <c r="A18" s="34" t="s">
        <v>68</v>
      </c>
      <c r="B18" s="42">
        <v>3.13</v>
      </c>
      <c r="C18" s="36"/>
      <c r="D18" s="176" t="s">
        <v>205</v>
      </c>
      <c r="E18">
        <v>17</v>
      </c>
      <c r="F18">
        <v>3.21</v>
      </c>
      <c r="G18">
        <v>17</v>
      </c>
      <c r="H18" s="177" t="s">
        <v>205</v>
      </c>
      <c r="J18" s="55"/>
      <c r="K18" s="56"/>
    </row>
    <row r="19" spans="1:12" x14ac:dyDescent="0.15">
      <c r="A19" s="34" t="s">
        <v>66</v>
      </c>
      <c r="B19" s="42">
        <v>3.21</v>
      </c>
      <c r="C19" s="36"/>
      <c r="D19" s="176" t="s">
        <v>206</v>
      </c>
      <c r="E19">
        <v>18</v>
      </c>
      <c r="F19">
        <v>3.21</v>
      </c>
      <c r="G19">
        <v>18</v>
      </c>
      <c r="H19" s="177" t="s">
        <v>206</v>
      </c>
      <c r="J19" s="55"/>
      <c r="K19" s="56"/>
    </row>
    <row r="20" spans="1:12" x14ac:dyDescent="0.15">
      <c r="A20" s="34" t="s">
        <v>63</v>
      </c>
      <c r="B20" s="42">
        <v>3.22</v>
      </c>
      <c r="C20" s="36"/>
      <c r="D20" s="176" t="s">
        <v>207</v>
      </c>
      <c r="E20">
        <v>19</v>
      </c>
      <c r="F20">
        <v>3.21</v>
      </c>
      <c r="G20">
        <v>19</v>
      </c>
      <c r="H20" s="177" t="s">
        <v>207</v>
      </c>
      <c r="J20" s="55"/>
      <c r="K20" s="56"/>
    </row>
    <row r="21" spans="1:12" ht="14" thickBot="1" x14ac:dyDescent="0.2">
      <c r="A21" s="34" t="s">
        <v>69</v>
      </c>
      <c r="B21" s="42">
        <v>3.23</v>
      </c>
      <c r="C21" s="36"/>
      <c r="D21" s="176" t="s">
        <v>208</v>
      </c>
      <c r="E21">
        <v>20</v>
      </c>
      <c r="F21">
        <v>3.11</v>
      </c>
      <c r="G21">
        <v>20</v>
      </c>
      <c r="H21" s="177" t="s">
        <v>208</v>
      </c>
      <c r="J21" s="57"/>
      <c r="K21" s="58"/>
      <c r="L21" s="60" t="s">
        <v>152</v>
      </c>
    </row>
    <row r="22" spans="1:12" x14ac:dyDescent="0.15">
      <c r="A22" s="34" t="s">
        <v>64</v>
      </c>
      <c r="B22" s="42">
        <v>8</v>
      </c>
      <c r="C22" s="36"/>
      <c r="D22" s="176" t="s">
        <v>209</v>
      </c>
      <c r="E22">
        <v>21</v>
      </c>
      <c r="F22">
        <v>2.2000000000000002</v>
      </c>
      <c r="G22">
        <v>21</v>
      </c>
      <c r="H22" s="177" t="s">
        <v>209</v>
      </c>
    </row>
    <row r="23" spans="1:12" x14ac:dyDescent="0.15">
      <c r="A23" s="34" t="s">
        <v>129</v>
      </c>
      <c r="B23" s="42">
        <v>4</v>
      </c>
      <c r="C23" s="36"/>
      <c r="D23" s="176" t="s">
        <v>210</v>
      </c>
      <c r="E23">
        <v>22</v>
      </c>
      <c r="F23">
        <v>2.1</v>
      </c>
      <c r="G23">
        <v>22</v>
      </c>
      <c r="H23" s="177" t="s">
        <v>210</v>
      </c>
    </row>
    <row r="24" spans="1:12" x14ac:dyDescent="0.15">
      <c r="A24" s="34" t="s">
        <v>122</v>
      </c>
      <c r="B24" s="42">
        <v>4.0999999999999996</v>
      </c>
      <c r="C24" s="36"/>
      <c r="D24" s="176" t="s">
        <v>211</v>
      </c>
      <c r="E24">
        <v>23</v>
      </c>
      <c r="F24">
        <v>4.0999999999999996</v>
      </c>
      <c r="G24">
        <v>23</v>
      </c>
      <c r="H24" s="177" t="s">
        <v>211</v>
      </c>
    </row>
    <row r="25" spans="1:12" x14ac:dyDescent="0.15">
      <c r="A25" s="34" t="s">
        <v>70</v>
      </c>
      <c r="B25" s="42">
        <v>4.2</v>
      </c>
      <c r="C25" s="36"/>
      <c r="D25" s="176" t="s">
        <v>212</v>
      </c>
      <c r="E25">
        <v>24</v>
      </c>
      <c r="F25">
        <v>4.3</v>
      </c>
      <c r="G25">
        <v>24</v>
      </c>
      <c r="H25" s="177" t="s">
        <v>212</v>
      </c>
    </row>
    <row r="26" spans="1:12" x14ac:dyDescent="0.15">
      <c r="A26" s="34" t="s">
        <v>123</v>
      </c>
      <c r="B26" s="42">
        <v>4.3</v>
      </c>
      <c r="C26" s="36"/>
      <c r="D26" s="176" t="s">
        <v>213</v>
      </c>
      <c r="E26">
        <v>25</v>
      </c>
      <c r="F26">
        <v>5</v>
      </c>
      <c r="G26">
        <v>25</v>
      </c>
      <c r="H26" s="177" t="s">
        <v>213</v>
      </c>
    </row>
    <row r="27" spans="1:12" x14ac:dyDescent="0.15">
      <c r="A27" s="34" t="s">
        <v>125</v>
      </c>
      <c r="B27" s="42">
        <v>6.1</v>
      </c>
      <c r="D27" s="176" t="s">
        <v>138</v>
      </c>
      <c r="E27">
        <v>26</v>
      </c>
      <c r="F27">
        <v>6.1</v>
      </c>
      <c r="G27">
        <v>26</v>
      </c>
      <c r="H27" s="177" t="s">
        <v>138</v>
      </c>
    </row>
    <row r="28" spans="1:12" x14ac:dyDescent="0.15">
      <c r="A28" s="34" t="s">
        <v>124</v>
      </c>
      <c r="B28" s="42">
        <v>6.2</v>
      </c>
      <c r="D28" s="176" t="s">
        <v>45</v>
      </c>
      <c r="E28">
        <v>27</v>
      </c>
      <c r="F28">
        <v>6.2</v>
      </c>
      <c r="G28">
        <v>27</v>
      </c>
      <c r="H28" s="177" t="s">
        <v>45</v>
      </c>
    </row>
    <row r="29" spans="1:12" x14ac:dyDescent="0.15">
      <c r="A29" s="34" t="s">
        <v>44</v>
      </c>
      <c r="B29" s="42">
        <v>5</v>
      </c>
    </row>
    <row r="30" spans="1:12" x14ac:dyDescent="0.15">
      <c r="A30" s="34" t="s">
        <v>73</v>
      </c>
      <c r="B30" s="42">
        <v>7</v>
      </c>
    </row>
    <row r="31" spans="1:12" x14ac:dyDescent="0.15">
      <c r="A31" s="34" t="s">
        <v>169</v>
      </c>
      <c r="B31" s="42">
        <v>3.14</v>
      </c>
    </row>
    <row r="32" spans="1:12" ht="12" customHeight="1" thickBot="1" x14ac:dyDescent="0.2">
      <c r="A32" s="40" t="s">
        <v>170</v>
      </c>
      <c r="B32" s="43">
        <v>9</v>
      </c>
    </row>
    <row r="33" customFormat="1" ht="12" customHeight="1" x14ac:dyDescent="0.15"/>
    <row r="34" customFormat="1" ht="12" customHeight="1" x14ac:dyDescent="0.15"/>
    <row r="35" customFormat="1" x14ac:dyDescent="0.15"/>
    <row r="36" customFormat="1" x14ac:dyDescent="0.15"/>
    <row r="37" customFormat="1" ht="12" customHeight="1" x14ac:dyDescent="0.15"/>
    <row r="38" customFormat="1" x14ac:dyDescent="0.15"/>
    <row r="39" customFormat="1" x14ac:dyDescent="0.15"/>
    <row r="40" customFormat="1" x14ac:dyDescent="0.15"/>
    <row r="41" customFormat="1" x14ac:dyDescent="0.15"/>
    <row r="42" customFormat="1" x14ac:dyDescent="0.15"/>
    <row r="43" customFormat="1" x14ac:dyDescent="0.15"/>
    <row r="44" customFormat="1" x14ac:dyDescent="0.15"/>
    <row r="45" customFormat="1" x14ac:dyDescent="0.15"/>
    <row r="46" customFormat="1" x14ac:dyDescent="0.15"/>
    <row r="47" customFormat="1" x14ac:dyDescent="0.15"/>
    <row r="4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16.83203125" style="77" bestFit="1" customWidth="1"/>
    <col min="2" max="2" width="12.83203125" style="76" customWidth="1"/>
    <col min="3" max="3" width="16.83203125" style="76" customWidth="1"/>
    <col min="4" max="4" width="11.83203125" style="76" customWidth="1"/>
    <col min="5" max="5" width="12.83203125" style="76" customWidth="1"/>
    <col min="6" max="6" width="22" style="76" bestFit="1" customWidth="1"/>
    <col min="7" max="9" width="2.33203125" style="76" customWidth="1"/>
    <col min="10" max="10" width="2.33203125" style="76" bestFit="1" customWidth="1"/>
    <col min="11" max="15" width="2.33203125" style="76" customWidth="1"/>
    <col min="16" max="16" width="2.33203125" style="66" customWidth="1"/>
    <col min="17" max="17" width="2.33203125" style="76" customWidth="1"/>
    <col min="18" max="18" width="2.33203125" style="67" customWidth="1"/>
    <col min="19" max="16384" width="11.5" style="76"/>
  </cols>
  <sheetData>
    <row r="1" spans="1:23" ht="15" customHeight="1" thickBot="1" x14ac:dyDescent="0.2">
      <c r="F1" s="1"/>
      <c r="G1" s="65" t="s">
        <v>46</v>
      </c>
      <c r="H1" s="65" t="s">
        <v>47</v>
      </c>
      <c r="I1" s="65" t="s">
        <v>120</v>
      </c>
      <c r="J1" s="65" t="s">
        <v>132</v>
      </c>
      <c r="K1" s="78" t="s">
        <v>48</v>
      </c>
      <c r="L1" s="67"/>
      <c r="M1" s="78" t="s">
        <v>119</v>
      </c>
      <c r="N1" s="67"/>
      <c r="O1" s="78" t="s">
        <v>49</v>
      </c>
      <c r="P1" s="70"/>
      <c r="Q1" s="78" t="s">
        <v>50</v>
      </c>
      <c r="R1" s="65" t="s">
        <v>154</v>
      </c>
    </row>
    <row r="2" spans="1:23" ht="15" customHeight="1" x14ac:dyDescent="0.15">
      <c r="A2" s="78" t="s">
        <v>51</v>
      </c>
      <c r="B2" s="79">
        <v>0.5</v>
      </c>
      <c r="C2" s="77" t="s">
        <v>52</v>
      </c>
      <c r="D2" s="80"/>
      <c r="F2" s="1"/>
      <c r="G2" s="81"/>
      <c r="H2" s="81"/>
      <c r="I2" s="81" t="s">
        <v>133</v>
      </c>
      <c r="J2" s="81" t="s">
        <v>133</v>
      </c>
      <c r="K2" s="81" t="s">
        <v>52</v>
      </c>
      <c r="L2" s="81" t="s">
        <v>53</v>
      </c>
      <c r="M2" s="81" t="s">
        <v>52</v>
      </c>
      <c r="N2" s="81" t="s">
        <v>53</v>
      </c>
      <c r="O2" s="81" t="s">
        <v>52</v>
      </c>
      <c r="P2" s="82" t="s">
        <v>53</v>
      </c>
      <c r="Q2" s="81"/>
      <c r="R2" s="83" t="s">
        <v>155</v>
      </c>
    </row>
    <row r="3" spans="1:23" ht="15" customHeight="1" thickBot="1" x14ac:dyDescent="0.2">
      <c r="A3" s="78" t="s">
        <v>54</v>
      </c>
      <c r="B3" s="84">
        <v>0.5</v>
      </c>
      <c r="C3" s="77" t="s">
        <v>53</v>
      </c>
      <c r="D3" s="80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30">
        <v>0</v>
      </c>
      <c r="R3" s="36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30">
        <v>0</v>
      </c>
      <c r="R4" s="103">
        <v>0</v>
      </c>
    </row>
    <row r="5" spans="1:23" ht="15" customHeight="1" x14ac:dyDescent="0.15">
      <c r="A5" s="78" t="s">
        <v>55</v>
      </c>
      <c r="B5" s="85">
        <v>0.5</v>
      </c>
      <c r="C5" s="77" t="s">
        <v>52</v>
      </c>
      <c r="D5" s="80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30">
        <v>0</v>
      </c>
      <c r="R5" s="103">
        <v>0</v>
      </c>
    </row>
    <row r="6" spans="1:23" ht="15" customHeight="1" thickBot="1" x14ac:dyDescent="0.2">
      <c r="A6" s="78"/>
      <c r="B6" s="86">
        <v>0.5</v>
      </c>
      <c r="C6" s="77" t="s">
        <v>53</v>
      </c>
      <c r="D6" s="80"/>
      <c r="F6" s="178" t="s">
        <v>192</v>
      </c>
      <c r="G6" s="76">
        <v>0</v>
      </c>
      <c r="H6" s="76">
        <v>0</v>
      </c>
      <c r="I6" s="76">
        <v>0</v>
      </c>
      <c r="J6" s="76">
        <v>0</v>
      </c>
      <c r="K6" s="76">
        <v>0</v>
      </c>
      <c r="L6" s="76">
        <v>1</v>
      </c>
      <c r="M6" s="76">
        <v>0</v>
      </c>
      <c r="N6" s="76">
        <v>1</v>
      </c>
      <c r="O6" s="76">
        <v>0</v>
      </c>
      <c r="P6" s="66">
        <v>1</v>
      </c>
      <c r="Q6" s="76">
        <v>0</v>
      </c>
      <c r="R6" s="67">
        <v>1</v>
      </c>
      <c r="S6"/>
      <c r="T6"/>
    </row>
    <row r="7" spans="1:23" ht="15" customHeight="1" thickBot="1" x14ac:dyDescent="0.2">
      <c r="F7" s="178" t="s">
        <v>193</v>
      </c>
      <c r="G7" s="76">
        <v>0</v>
      </c>
      <c r="H7" s="76">
        <v>0</v>
      </c>
      <c r="I7" s="76">
        <v>0</v>
      </c>
      <c r="J7" s="76">
        <v>0</v>
      </c>
      <c r="K7" s="76">
        <v>1</v>
      </c>
      <c r="L7" s="76">
        <v>0</v>
      </c>
      <c r="M7" s="76">
        <v>1</v>
      </c>
      <c r="N7" s="76">
        <v>0</v>
      </c>
      <c r="O7" s="76">
        <v>1</v>
      </c>
      <c r="P7" s="66">
        <v>0</v>
      </c>
      <c r="Q7" s="76">
        <v>0</v>
      </c>
      <c r="R7" s="67">
        <v>1</v>
      </c>
      <c r="S7"/>
      <c r="T7"/>
    </row>
    <row r="8" spans="1:23" ht="15" customHeight="1" x14ac:dyDescent="0.15">
      <c r="A8" s="78" t="s">
        <v>56</v>
      </c>
      <c r="B8" s="85">
        <v>0.97291448867871033</v>
      </c>
      <c r="C8" s="179" t="s">
        <v>209</v>
      </c>
      <c r="D8" s="80" t="s">
        <v>160</v>
      </c>
      <c r="F8" s="178" t="s">
        <v>194</v>
      </c>
      <c r="G8" s="76">
        <v>0</v>
      </c>
      <c r="H8" s="76">
        <v>0</v>
      </c>
      <c r="I8" s="76">
        <v>0</v>
      </c>
      <c r="J8" s="76">
        <v>0</v>
      </c>
      <c r="K8" s="76">
        <v>1</v>
      </c>
      <c r="L8" s="76">
        <v>0</v>
      </c>
      <c r="M8" s="76">
        <v>1</v>
      </c>
      <c r="N8" s="76">
        <v>0</v>
      </c>
      <c r="O8" s="76">
        <v>1</v>
      </c>
      <c r="P8" s="66">
        <v>0</v>
      </c>
      <c r="Q8" s="76">
        <v>0</v>
      </c>
      <c r="R8" s="67">
        <v>1</v>
      </c>
      <c r="S8"/>
      <c r="T8"/>
      <c r="W8"/>
    </row>
    <row r="9" spans="1:23" ht="15" customHeight="1" x14ac:dyDescent="0.15">
      <c r="A9" s="117" t="s">
        <v>168</v>
      </c>
      <c r="B9" s="87">
        <v>2.7085511321289585E-2</v>
      </c>
      <c r="C9" s="179" t="s">
        <v>210</v>
      </c>
      <c r="D9" s="80" t="s">
        <v>160</v>
      </c>
      <c r="F9" s="178" t="s">
        <v>195</v>
      </c>
      <c r="G9" s="76">
        <v>0</v>
      </c>
      <c r="H9" s="76">
        <v>0</v>
      </c>
      <c r="I9" s="76">
        <v>0</v>
      </c>
      <c r="J9" s="76">
        <v>0</v>
      </c>
      <c r="K9" s="76">
        <v>1</v>
      </c>
      <c r="L9" s="76">
        <v>0</v>
      </c>
      <c r="M9" s="76">
        <v>1</v>
      </c>
      <c r="N9" s="76">
        <v>0</v>
      </c>
      <c r="O9" s="76">
        <v>1</v>
      </c>
      <c r="P9" s="66">
        <v>0</v>
      </c>
      <c r="Q9" s="76">
        <v>0</v>
      </c>
      <c r="R9" s="67">
        <v>1</v>
      </c>
      <c r="S9"/>
      <c r="T9"/>
      <c r="W9"/>
    </row>
    <row r="10" spans="1:23" ht="15" customHeight="1" x14ac:dyDescent="0.15">
      <c r="B10" s="87"/>
      <c r="C10" s="75"/>
      <c r="D10" s="80" t="s">
        <v>160</v>
      </c>
      <c r="F10" s="178" t="s">
        <v>196</v>
      </c>
      <c r="G10" s="76">
        <v>0</v>
      </c>
      <c r="H10" s="76">
        <v>0</v>
      </c>
      <c r="I10" s="76">
        <v>0</v>
      </c>
      <c r="J10" s="76">
        <v>0</v>
      </c>
      <c r="K10" s="76">
        <v>1</v>
      </c>
      <c r="L10" s="76">
        <v>0</v>
      </c>
      <c r="M10" s="76">
        <v>1</v>
      </c>
      <c r="N10" s="76">
        <v>0</v>
      </c>
      <c r="O10" s="76">
        <v>1</v>
      </c>
      <c r="P10" s="66">
        <v>0</v>
      </c>
      <c r="Q10" s="76">
        <v>0</v>
      </c>
      <c r="R10" s="67">
        <v>1</v>
      </c>
      <c r="S10"/>
      <c r="T10"/>
      <c r="W10"/>
    </row>
    <row r="11" spans="1:23" ht="15" customHeight="1" x14ac:dyDescent="0.15">
      <c r="A11" s="78"/>
      <c r="B11" s="87"/>
      <c r="C11" s="90"/>
      <c r="D11" s="80" t="s">
        <v>160</v>
      </c>
      <c r="F11" s="178" t="s">
        <v>197</v>
      </c>
      <c r="G11" s="76">
        <v>0</v>
      </c>
      <c r="H11" s="76">
        <v>0</v>
      </c>
      <c r="I11" s="76">
        <v>0</v>
      </c>
      <c r="J11" s="76">
        <v>0</v>
      </c>
      <c r="K11" s="76">
        <v>1</v>
      </c>
      <c r="L11" s="76">
        <v>0</v>
      </c>
      <c r="M11" s="76">
        <v>1</v>
      </c>
      <c r="N11" s="76">
        <v>0</v>
      </c>
      <c r="O11" s="76">
        <v>1</v>
      </c>
      <c r="P11" s="66">
        <v>0</v>
      </c>
      <c r="Q11" s="76">
        <v>0</v>
      </c>
      <c r="R11" s="67">
        <v>1</v>
      </c>
      <c r="S11"/>
      <c r="T11"/>
      <c r="W11"/>
    </row>
    <row r="12" spans="1:23" ht="15" customHeight="1" x14ac:dyDescent="0.15">
      <c r="B12" s="87"/>
      <c r="C12" s="91"/>
      <c r="D12" s="80" t="s">
        <v>160</v>
      </c>
      <c r="F12" s="178" t="s">
        <v>198</v>
      </c>
      <c r="G12" s="76">
        <v>0</v>
      </c>
      <c r="H12" s="76">
        <v>0</v>
      </c>
      <c r="I12" s="76">
        <v>0</v>
      </c>
      <c r="J12" s="76">
        <v>0</v>
      </c>
      <c r="K12" s="76">
        <v>1</v>
      </c>
      <c r="L12" s="76">
        <v>0</v>
      </c>
      <c r="M12" s="76">
        <v>1</v>
      </c>
      <c r="N12" s="76">
        <v>0</v>
      </c>
      <c r="O12" s="76">
        <v>1</v>
      </c>
      <c r="P12" s="66">
        <v>0</v>
      </c>
      <c r="Q12" s="76">
        <v>0</v>
      </c>
      <c r="R12" s="67">
        <v>1</v>
      </c>
      <c r="S12"/>
      <c r="T12"/>
      <c r="W12"/>
    </row>
    <row r="13" spans="1:23" ht="15" customHeight="1" x14ac:dyDescent="0.15">
      <c r="B13" s="87"/>
      <c r="C13" s="91"/>
      <c r="D13" s="80" t="s">
        <v>160</v>
      </c>
      <c r="F13" s="178" t="s">
        <v>199</v>
      </c>
      <c r="G13" s="76">
        <v>0</v>
      </c>
      <c r="H13" s="76">
        <v>0</v>
      </c>
      <c r="I13" s="76">
        <v>0</v>
      </c>
      <c r="J13" s="76">
        <v>0</v>
      </c>
      <c r="K13" s="76">
        <v>1</v>
      </c>
      <c r="L13" s="76">
        <v>0</v>
      </c>
      <c r="M13" s="76">
        <v>1</v>
      </c>
      <c r="N13" s="76">
        <v>0</v>
      </c>
      <c r="O13" s="76">
        <v>1</v>
      </c>
      <c r="P13" s="66">
        <v>0</v>
      </c>
      <c r="Q13" s="76">
        <v>0</v>
      </c>
      <c r="R13" s="67">
        <v>1</v>
      </c>
      <c r="S13"/>
      <c r="T13"/>
      <c r="W13"/>
    </row>
    <row r="14" spans="1:23" ht="15" customHeight="1" x14ac:dyDescent="0.15">
      <c r="B14" s="87"/>
      <c r="C14" s="75"/>
      <c r="D14" s="80" t="s">
        <v>160</v>
      </c>
      <c r="F14" s="178" t="s">
        <v>200</v>
      </c>
      <c r="G14" s="76">
        <v>0</v>
      </c>
      <c r="H14" s="76">
        <v>0</v>
      </c>
      <c r="I14" s="76">
        <v>0</v>
      </c>
      <c r="J14" s="76">
        <v>0</v>
      </c>
      <c r="K14" s="76">
        <v>1</v>
      </c>
      <c r="L14" s="76">
        <v>0</v>
      </c>
      <c r="M14" s="76">
        <v>1</v>
      </c>
      <c r="N14" s="76">
        <v>0</v>
      </c>
      <c r="O14" s="76">
        <v>1</v>
      </c>
      <c r="P14" s="66">
        <v>0</v>
      </c>
      <c r="Q14" s="76">
        <v>0</v>
      </c>
      <c r="R14" s="67">
        <v>1</v>
      </c>
      <c r="S14"/>
      <c r="T14"/>
      <c r="W14"/>
    </row>
    <row r="15" spans="1:23" ht="15" customHeight="1" x14ac:dyDescent="0.15">
      <c r="B15" s="87"/>
      <c r="C15" s="75"/>
      <c r="D15" s="80" t="s">
        <v>160</v>
      </c>
      <c r="F15" s="178" t="s">
        <v>201</v>
      </c>
      <c r="G15" s="76">
        <v>0</v>
      </c>
      <c r="H15" s="76">
        <v>0</v>
      </c>
      <c r="I15" s="76">
        <v>0</v>
      </c>
      <c r="J15" s="76">
        <v>0</v>
      </c>
      <c r="K15" s="76">
        <v>1</v>
      </c>
      <c r="L15" s="76">
        <v>0</v>
      </c>
      <c r="M15" s="76">
        <v>1</v>
      </c>
      <c r="N15" s="76">
        <v>0</v>
      </c>
      <c r="O15" s="76">
        <v>1</v>
      </c>
      <c r="P15" s="66">
        <v>0</v>
      </c>
      <c r="Q15" s="76">
        <v>0</v>
      </c>
      <c r="R15" s="67">
        <v>1</v>
      </c>
      <c r="S15"/>
      <c r="T15"/>
      <c r="W15"/>
    </row>
    <row r="16" spans="1:23" ht="15" customHeight="1" x14ac:dyDescent="0.15">
      <c r="B16" s="87"/>
      <c r="C16" s="75"/>
      <c r="D16" s="80" t="s">
        <v>160</v>
      </c>
      <c r="F16" s="178" t="s">
        <v>202</v>
      </c>
      <c r="G16" s="76">
        <v>0</v>
      </c>
      <c r="H16" s="76">
        <v>0</v>
      </c>
      <c r="I16" s="76">
        <v>0</v>
      </c>
      <c r="J16" s="76">
        <v>0</v>
      </c>
      <c r="K16" s="76">
        <v>1</v>
      </c>
      <c r="L16" s="76">
        <v>0</v>
      </c>
      <c r="M16" s="76">
        <v>1</v>
      </c>
      <c r="N16" s="76">
        <v>0</v>
      </c>
      <c r="O16" s="76">
        <v>1</v>
      </c>
      <c r="P16" s="66">
        <v>0</v>
      </c>
      <c r="Q16" s="76">
        <v>0</v>
      </c>
      <c r="R16" s="67">
        <v>1</v>
      </c>
      <c r="S16"/>
      <c r="T16"/>
    </row>
    <row r="17" spans="1:20" ht="15" customHeight="1" thickBot="1" x14ac:dyDescent="0.2">
      <c r="B17" s="86"/>
      <c r="C17" s="75"/>
      <c r="D17" s="80" t="s">
        <v>160</v>
      </c>
      <c r="F17" s="178" t="s">
        <v>203</v>
      </c>
      <c r="G17" s="76">
        <v>0</v>
      </c>
      <c r="H17" s="76">
        <v>0</v>
      </c>
      <c r="I17" s="76">
        <v>0</v>
      </c>
      <c r="J17" s="76">
        <v>0</v>
      </c>
      <c r="K17" s="76">
        <v>1</v>
      </c>
      <c r="L17" s="76">
        <v>0</v>
      </c>
      <c r="M17" s="76">
        <v>1</v>
      </c>
      <c r="N17" s="76">
        <v>0</v>
      </c>
      <c r="O17" s="76">
        <v>1</v>
      </c>
      <c r="P17" s="66">
        <v>0</v>
      </c>
      <c r="Q17" s="76">
        <v>0</v>
      </c>
      <c r="R17" s="67">
        <v>1</v>
      </c>
      <c r="S17"/>
      <c r="T17"/>
    </row>
    <row r="18" spans="1:20" ht="15" customHeight="1" thickBot="1" x14ac:dyDescent="0.2">
      <c r="B18" s="88"/>
      <c r="F18" s="178" t="s">
        <v>204</v>
      </c>
      <c r="G18" s="76">
        <v>0</v>
      </c>
      <c r="H18" s="76">
        <v>0</v>
      </c>
      <c r="I18" s="76">
        <v>0</v>
      </c>
      <c r="J18" s="76">
        <v>0</v>
      </c>
      <c r="K18" s="76">
        <v>1</v>
      </c>
      <c r="L18" s="76">
        <v>0</v>
      </c>
      <c r="M18" s="76">
        <v>1</v>
      </c>
      <c r="N18" s="76">
        <v>0</v>
      </c>
      <c r="O18" s="76">
        <v>1</v>
      </c>
      <c r="P18" s="66">
        <v>0</v>
      </c>
      <c r="Q18" s="76">
        <v>0</v>
      </c>
      <c r="R18" s="67">
        <v>1</v>
      </c>
      <c r="S18"/>
      <c r="T18"/>
    </row>
    <row r="19" spans="1:20" ht="15" customHeight="1" x14ac:dyDescent="0.15">
      <c r="A19" s="78" t="s">
        <v>57</v>
      </c>
      <c r="B19" s="85">
        <v>0.97291448867871033</v>
      </c>
      <c r="C19" s="180" t="s">
        <v>209</v>
      </c>
      <c r="D19" s="80" t="s">
        <v>160</v>
      </c>
      <c r="F19" s="178" t="s">
        <v>205</v>
      </c>
      <c r="G19" s="76">
        <v>0</v>
      </c>
      <c r="H19" s="76">
        <v>0</v>
      </c>
      <c r="I19" s="76">
        <v>0</v>
      </c>
      <c r="J19" s="76">
        <v>0</v>
      </c>
      <c r="K19" s="76">
        <v>1</v>
      </c>
      <c r="L19" s="76">
        <v>0</v>
      </c>
      <c r="M19" s="76">
        <v>1</v>
      </c>
      <c r="N19" s="76">
        <v>0</v>
      </c>
      <c r="O19" s="76">
        <v>1</v>
      </c>
      <c r="P19" s="66">
        <v>0</v>
      </c>
      <c r="Q19" s="76">
        <v>0</v>
      </c>
      <c r="R19" s="67">
        <v>1</v>
      </c>
      <c r="S19"/>
      <c r="T19"/>
    </row>
    <row r="20" spans="1:20" ht="15" customHeight="1" x14ac:dyDescent="0.15">
      <c r="A20" s="117" t="s">
        <v>168</v>
      </c>
      <c r="B20" s="87">
        <v>2.7085511321289585E-2</v>
      </c>
      <c r="C20" s="180" t="s">
        <v>210</v>
      </c>
      <c r="D20" s="80" t="s">
        <v>160</v>
      </c>
      <c r="F20" s="178" t="s">
        <v>206</v>
      </c>
      <c r="G20" s="76">
        <v>0</v>
      </c>
      <c r="H20" s="76">
        <v>0</v>
      </c>
      <c r="I20" s="76">
        <v>0</v>
      </c>
      <c r="J20" s="76">
        <v>0</v>
      </c>
      <c r="K20" s="76">
        <v>1</v>
      </c>
      <c r="L20" s="76">
        <v>0</v>
      </c>
      <c r="M20" s="76">
        <v>1</v>
      </c>
      <c r="N20" s="76">
        <v>0</v>
      </c>
      <c r="O20" s="76">
        <v>1</v>
      </c>
      <c r="P20" s="66">
        <v>0</v>
      </c>
      <c r="Q20" s="76">
        <v>0</v>
      </c>
      <c r="R20" s="67">
        <v>1</v>
      </c>
      <c r="S20"/>
      <c r="T20"/>
    </row>
    <row r="21" spans="1:20" ht="15" customHeight="1" x14ac:dyDescent="0.15">
      <c r="B21" s="87"/>
      <c r="C21" s="75"/>
      <c r="D21" s="80" t="s">
        <v>160</v>
      </c>
      <c r="F21" s="178" t="s">
        <v>207</v>
      </c>
      <c r="G21" s="76">
        <v>0</v>
      </c>
      <c r="H21" s="76">
        <v>0</v>
      </c>
      <c r="I21" s="76">
        <v>0</v>
      </c>
      <c r="J21" s="76">
        <v>0</v>
      </c>
      <c r="K21" s="76">
        <v>1</v>
      </c>
      <c r="L21" s="76">
        <v>0</v>
      </c>
      <c r="M21" s="76">
        <v>1</v>
      </c>
      <c r="N21" s="76">
        <v>0</v>
      </c>
      <c r="O21" s="76">
        <v>1</v>
      </c>
      <c r="P21" s="66">
        <v>0</v>
      </c>
      <c r="Q21" s="76">
        <v>0</v>
      </c>
      <c r="R21" s="67">
        <v>1</v>
      </c>
      <c r="S21"/>
      <c r="T21"/>
    </row>
    <row r="22" spans="1:20" ht="15" customHeight="1" x14ac:dyDescent="0.15">
      <c r="A22" s="76"/>
      <c r="B22" s="87"/>
      <c r="C22" s="90"/>
      <c r="D22" s="80" t="s">
        <v>160</v>
      </c>
      <c r="F22" s="178" t="s">
        <v>208</v>
      </c>
      <c r="G22" s="76">
        <v>0</v>
      </c>
      <c r="H22" s="76">
        <v>0</v>
      </c>
      <c r="I22" s="76">
        <v>0</v>
      </c>
      <c r="J22" s="76">
        <v>0</v>
      </c>
      <c r="K22" s="76">
        <v>1</v>
      </c>
      <c r="L22" s="76">
        <v>0</v>
      </c>
      <c r="M22" s="76">
        <v>1</v>
      </c>
      <c r="N22" s="76">
        <v>0</v>
      </c>
      <c r="O22" s="76">
        <v>1</v>
      </c>
      <c r="P22" s="66">
        <v>0</v>
      </c>
      <c r="Q22" s="76">
        <v>0</v>
      </c>
      <c r="R22" s="67">
        <v>1</v>
      </c>
      <c r="S22"/>
      <c r="T22"/>
    </row>
    <row r="23" spans="1:20" ht="15" customHeight="1" x14ac:dyDescent="0.15">
      <c r="A23" s="76"/>
      <c r="B23" s="87"/>
      <c r="C23" s="91"/>
      <c r="D23" s="80" t="s">
        <v>160</v>
      </c>
      <c r="F23" s="178" t="s">
        <v>209</v>
      </c>
      <c r="G23" s="76">
        <v>0</v>
      </c>
      <c r="H23" s="76">
        <v>0</v>
      </c>
      <c r="I23" s="76">
        <v>0</v>
      </c>
      <c r="J23" s="76">
        <v>0</v>
      </c>
      <c r="K23" s="76">
        <v>0</v>
      </c>
      <c r="L23" s="76">
        <v>0</v>
      </c>
      <c r="M23" s="76">
        <v>1</v>
      </c>
      <c r="N23" s="76">
        <v>0</v>
      </c>
      <c r="O23" s="76">
        <v>0</v>
      </c>
      <c r="P23" s="66">
        <v>0</v>
      </c>
      <c r="Q23" s="76">
        <v>0</v>
      </c>
      <c r="R23" s="67">
        <v>1</v>
      </c>
      <c r="S23"/>
      <c r="T23"/>
    </row>
    <row r="24" spans="1:20" ht="15" customHeight="1" x14ac:dyDescent="0.15">
      <c r="A24" s="76"/>
      <c r="B24" s="87"/>
      <c r="C24" s="91"/>
      <c r="D24" s="80" t="s">
        <v>160</v>
      </c>
      <c r="F24" s="178" t="s">
        <v>210</v>
      </c>
      <c r="G24" s="76">
        <v>0</v>
      </c>
      <c r="H24" s="76">
        <v>0</v>
      </c>
      <c r="I24" s="76">
        <v>0</v>
      </c>
      <c r="J24" s="76">
        <v>0</v>
      </c>
      <c r="K24" s="76">
        <v>0</v>
      </c>
      <c r="L24" s="76">
        <v>0</v>
      </c>
      <c r="M24" s="76">
        <v>1</v>
      </c>
      <c r="N24" s="76">
        <v>0</v>
      </c>
      <c r="O24" s="76">
        <v>0</v>
      </c>
      <c r="P24" s="66">
        <v>0</v>
      </c>
      <c r="Q24" s="76">
        <v>0</v>
      </c>
      <c r="R24" s="67">
        <v>1</v>
      </c>
      <c r="S24"/>
      <c r="T24"/>
    </row>
    <row r="25" spans="1:20" ht="15" customHeight="1" x14ac:dyDescent="0.15">
      <c r="A25" s="76"/>
      <c r="B25" s="87"/>
      <c r="C25" s="75"/>
      <c r="D25" s="80" t="s">
        <v>160</v>
      </c>
      <c r="F25" s="178" t="s">
        <v>211</v>
      </c>
      <c r="G25" s="76">
        <v>0</v>
      </c>
      <c r="H25" s="76">
        <v>0</v>
      </c>
      <c r="I25" s="76">
        <v>0</v>
      </c>
      <c r="J25" s="76">
        <v>0</v>
      </c>
      <c r="K25" s="76">
        <v>0</v>
      </c>
      <c r="L25" s="76">
        <v>1</v>
      </c>
      <c r="M25" s="76">
        <v>0</v>
      </c>
      <c r="N25" s="76">
        <v>1</v>
      </c>
      <c r="O25" s="76">
        <v>0</v>
      </c>
      <c r="P25" s="66">
        <v>1</v>
      </c>
      <c r="Q25" s="76">
        <v>0</v>
      </c>
      <c r="R25" s="67">
        <v>1</v>
      </c>
      <c r="S25"/>
      <c r="T25"/>
    </row>
    <row r="26" spans="1:20" ht="15" customHeight="1" x14ac:dyDescent="0.15">
      <c r="B26" s="87"/>
      <c r="C26" s="75"/>
      <c r="D26" s="80" t="s">
        <v>160</v>
      </c>
      <c r="F26" s="178" t="s">
        <v>212</v>
      </c>
      <c r="G26" s="76">
        <v>0</v>
      </c>
      <c r="H26" s="76">
        <v>0</v>
      </c>
      <c r="I26" s="76">
        <v>0</v>
      </c>
      <c r="J26" s="76">
        <v>0</v>
      </c>
      <c r="K26" s="76">
        <v>0</v>
      </c>
      <c r="L26" s="76">
        <v>1</v>
      </c>
      <c r="M26" s="76">
        <v>0</v>
      </c>
      <c r="N26" s="76">
        <v>1</v>
      </c>
      <c r="O26" s="76">
        <v>0</v>
      </c>
      <c r="P26" s="66">
        <v>1</v>
      </c>
      <c r="Q26" s="76">
        <v>0</v>
      </c>
      <c r="R26" s="67">
        <v>1</v>
      </c>
      <c r="S26"/>
      <c r="T26"/>
    </row>
    <row r="27" spans="1:20" ht="15" customHeight="1" x14ac:dyDescent="0.15">
      <c r="B27" s="87"/>
      <c r="C27" s="75"/>
      <c r="D27" s="80" t="s">
        <v>160</v>
      </c>
      <c r="F27" s="178" t="s">
        <v>213</v>
      </c>
      <c r="G27" s="76">
        <v>0</v>
      </c>
      <c r="H27" s="76">
        <v>0</v>
      </c>
      <c r="I27" s="76">
        <v>0</v>
      </c>
      <c r="J27" s="76">
        <v>0</v>
      </c>
      <c r="K27" s="76">
        <v>0</v>
      </c>
      <c r="L27" s="76">
        <v>1</v>
      </c>
      <c r="M27" s="76">
        <v>0</v>
      </c>
      <c r="N27" s="76">
        <v>0</v>
      </c>
      <c r="O27" s="76">
        <v>0</v>
      </c>
      <c r="P27" s="66">
        <v>0</v>
      </c>
      <c r="Q27" s="76">
        <v>0</v>
      </c>
      <c r="R27" s="67">
        <v>1</v>
      </c>
      <c r="S27"/>
      <c r="T27"/>
    </row>
    <row r="28" spans="1:20" ht="15" customHeight="1" thickBot="1" x14ac:dyDescent="0.2">
      <c r="B28" s="86"/>
      <c r="C28" s="75"/>
      <c r="D28" s="80" t="s">
        <v>160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15" customHeight="1" x14ac:dyDescent="0.15"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15" customHeight="1" x14ac:dyDescent="0.15"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15" customHeight="1" x14ac:dyDescent="0.15">
      <c r="A31" s="118"/>
      <c r="B31" s="128" t="s">
        <v>17</v>
      </c>
      <c r="C31" s="128" t="s">
        <v>1</v>
      </c>
      <c r="D31" s="128" t="s">
        <v>161</v>
      </c>
      <c r="E31" s="129" t="s">
        <v>163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15" customHeight="1" x14ac:dyDescent="0.15">
      <c r="A32" s="181" t="s">
        <v>209</v>
      </c>
      <c r="B32" s="88">
        <v>239.03800000000001</v>
      </c>
      <c r="C32" s="88">
        <v>10.531000000000001</v>
      </c>
      <c r="D32" s="88">
        <v>2517.3091780000004</v>
      </c>
      <c r="E32" s="119">
        <v>0.97291448867871033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15" customHeight="1" x14ac:dyDescent="0.15">
      <c r="A33" s="181" t="s">
        <v>210</v>
      </c>
      <c r="B33" s="88">
        <v>1.155</v>
      </c>
      <c r="C33" s="88">
        <v>60.676000000000002</v>
      </c>
      <c r="D33" s="88">
        <v>70.080780000000004</v>
      </c>
      <c r="E33" s="119">
        <v>2.7085511321289585E-2</v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15" customHeight="1" x14ac:dyDescent="0.15">
      <c r="A34" s="120"/>
      <c r="B34" s="88"/>
      <c r="C34" s="88"/>
      <c r="D34" s="88"/>
      <c r="E34" s="119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15" customHeight="1" x14ac:dyDescent="0.15">
      <c r="A35" s="121"/>
      <c r="B35" s="88"/>
      <c r="C35" s="88"/>
      <c r="D35" s="88"/>
      <c r="E35" s="119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15" customHeight="1" x14ac:dyDescent="0.15">
      <c r="A36" s="122"/>
      <c r="B36" s="88"/>
      <c r="C36" s="88"/>
      <c r="D36" s="88"/>
      <c r="E36" s="119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15" customHeight="1" x14ac:dyDescent="0.15">
      <c r="A37" s="122"/>
      <c r="B37" s="88"/>
      <c r="C37" s="88"/>
      <c r="D37" s="88"/>
      <c r="E37" s="119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15" customHeight="1" x14ac:dyDescent="0.15">
      <c r="A38" s="123"/>
      <c r="B38" s="88"/>
      <c r="C38" s="88"/>
      <c r="D38" s="88"/>
      <c r="E38" s="119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15" customHeight="1" x14ac:dyDescent="0.15">
      <c r="A39" s="123"/>
      <c r="B39" s="88"/>
      <c r="C39" s="88"/>
      <c r="D39" s="88"/>
      <c r="E39" s="11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15" customHeight="1" x14ac:dyDescent="0.15">
      <c r="A40" s="123"/>
      <c r="B40" s="88"/>
      <c r="C40" s="88"/>
      <c r="D40" s="88"/>
      <c r="E40" s="119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 customHeight="1" thickBot="1" x14ac:dyDescent="0.2">
      <c r="A41" s="123"/>
      <c r="B41" s="88"/>
      <c r="C41" s="88"/>
      <c r="D41" s="89"/>
      <c r="E41" s="124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25"/>
      <c r="B42" s="126"/>
      <c r="C42" s="126" t="s">
        <v>162</v>
      </c>
      <c r="D42" s="126">
        <f>SUM(D32:D41)</f>
        <v>2587.3899580000007</v>
      </c>
      <c r="E42" s="127">
        <f>SUM(E32:E41)</f>
        <v>0.99999999999999989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76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76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76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76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76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76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76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76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76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76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76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76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76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76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76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76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76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76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76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76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76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76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76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76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76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76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76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76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76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76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76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76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76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76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76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76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76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76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76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76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76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76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76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76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76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76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76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76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76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76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76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76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76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76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76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76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76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76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76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76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76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76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76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76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76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76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76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76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76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76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76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76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76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76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76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76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76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76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76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76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76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76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76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76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76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76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76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76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76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76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76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76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76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76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76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76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76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76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76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76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76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76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76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76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76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76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76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76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76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76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76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76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76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76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76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76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76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76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76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76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76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76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76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76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76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76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76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76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L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2" bestFit="1" customWidth="1"/>
    <col min="2" max="2" width="2.33203125" style="103" customWidth="1"/>
    <col min="3" max="5" width="7.83203125" style="103" customWidth="1"/>
    <col min="6" max="8" width="8.83203125" style="6"/>
    <col min="9" max="9" width="11" style="6" customWidth="1"/>
    <col min="10" max="10" width="9.33203125" style="6" customWidth="1"/>
    <col min="11" max="11" width="7" style="6" customWidth="1"/>
    <col min="12" max="12" width="11" style="6" customWidth="1"/>
    <col min="13" max="13" width="9.5" style="6" customWidth="1"/>
    <col min="14" max="14" width="9.6640625" style="6" customWidth="1"/>
    <col min="15" max="15" width="8.5" style="6" customWidth="1"/>
    <col min="16" max="16" width="13.5" style="6" customWidth="1"/>
    <col min="17" max="17" width="9.33203125" style="6" customWidth="1"/>
    <col min="18" max="18" width="11.6640625" style="6" customWidth="1"/>
    <col min="19" max="19" width="9" style="6" customWidth="1"/>
    <col min="20" max="20" width="16" style="6" customWidth="1"/>
    <col min="21" max="21" width="8.6640625" style="6" customWidth="1"/>
    <col min="22" max="22" width="22" style="6" customWidth="1"/>
    <col min="23" max="23" width="11.5" style="6" customWidth="1"/>
    <col min="24" max="24" width="9.6640625" style="6" customWidth="1"/>
    <col min="25" max="25" width="11.33203125" style="6" customWidth="1"/>
    <col min="26" max="26" width="16.83203125" style="6" customWidth="1"/>
    <col min="27" max="27" width="13.1640625" style="6" customWidth="1"/>
    <col min="28" max="28" width="7.6640625" style="6" customWidth="1"/>
    <col min="29" max="29" width="21.6640625" style="6" customWidth="1"/>
    <col min="30" max="30" width="6.5" style="6" customWidth="1"/>
    <col min="31" max="38" width="8.83203125" style="6"/>
    <col min="81" max="81" width="22.1640625" bestFit="1" customWidth="1"/>
  </cols>
  <sheetData>
    <row r="1" spans="1:38" x14ac:dyDescent="0.15">
      <c r="A1" s="4" t="s">
        <v>156</v>
      </c>
      <c r="B1" s="35" t="s">
        <v>157</v>
      </c>
      <c r="C1" s="35" t="s">
        <v>17</v>
      </c>
      <c r="D1" s="35" t="s">
        <v>158</v>
      </c>
      <c r="E1" s="35" t="s">
        <v>159</v>
      </c>
      <c r="F1" t="s">
        <v>38</v>
      </c>
      <c r="G1" t="s">
        <v>40</v>
      </c>
      <c r="H1" t="s">
        <v>41</v>
      </c>
      <c r="I1" s="183" t="s">
        <v>192</v>
      </c>
      <c r="J1" s="183" t="s">
        <v>193</v>
      </c>
      <c r="K1" s="183" t="s">
        <v>194</v>
      </c>
      <c r="L1" s="183" t="s">
        <v>195</v>
      </c>
      <c r="M1" s="183" t="s">
        <v>196</v>
      </c>
      <c r="N1" s="183" t="s">
        <v>197</v>
      </c>
      <c r="O1" s="183" t="s">
        <v>198</v>
      </c>
      <c r="P1" s="183" t="s">
        <v>199</v>
      </c>
      <c r="Q1" s="183" t="s">
        <v>200</v>
      </c>
      <c r="R1" s="183" t="s">
        <v>201</v>
      </c>
      <c r="S1" s="183" t="s">
        <v>202</v>
      </c>
      <c r="T1" s="183" t="s">
        <v>203</v>
      </c>
      <c r="U1" s="183" t="s">
        <v>204</v>
      </c>
      <c r="V1" s="183" t="s">
        <v>205</v>
      </c>
      <c r="W1" s="183" t="s">
        <v>206</v>
      </c>
      <c r="X1" s="183" t="s">
        <v>207</v>
      </c>
      <c r="Y1" s="183" t="s">
        <v>208</v>
      </c>
      <c r="Z1" s="183" t="s">
        <v>209</v>
      </c>
      <c r="AA1" s="183" t="s">
        <v>210</v>
      </c>
      <c r="AB1" s="183" t="s">
        <v>211</v>
      </c>
      <c r="AC1" s="183" t="s">
        <v>212</v>
      </c>
      <c r="AD1" s="183" t="s">
        <v>213</v>
      </c>
      <c r="AE1"/>
      <c r="AF1"/>
      <c r="AG1"/>
      <c r="AH1"/>
      <c r="AI1"/>
      <c r="AJ1"/>
      <c r="AK1"/>
      <c r="AL1"/>
    </row>
    <row r="2" spans="1:38" x14ac:dyDescent="0.15">
      <c r="A2" t="s">
        <v>38</v>
      </c>
      <c r="B2" s="103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38" x14ac:dyDescent="0.15">
      <c r="A3" t="s">
        <v>40</v>
      </c>
      <c r="B3" s="103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38" x14ac:dyDescent="0.15">
      <c r="A4" t="s">
        <v>41</v>
      </c>
      <c r="B4" s="103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38" x14ac:dyDescent="0.15">
      <c r="A5" s="182" t="s">
        <v>192</v>
      </c>
      <c r="B5" s="103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38" x14ac:dyDescent="0.15">
      <c r="A6" s="182" t="s">
        <v>193</v>
      </c>
      <c r="B6" s="103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38" x14ac:dyDescent="0.15">
      <c r="A7" s="182" t="s">
        <v>194</v>
      </c>
      <c r="B7" s="103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38" x14ac:dyDescent="0.15">
      <c r="A8" s="182" t="s">
        <v>195</v>
      </c>
      <c r="B8" s="103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38" x14ac:dyDescent="0.15">
      <c r="A9" s="182" t="s">
        <v>196</v>
      </c>
      <c r="B9" s="103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38" x14ac:dyDescent="0.15">
      <c r="A10" s="182" t="s">
        <v>197</v>
      </c>
      <c r="B10" s="103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38" x14ac:dyDescent="0.15">
      <c r="A11" s="182" t="s">
        <v>198</v>
      </c>
      <c r="B11" s="103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x14ac:dyDescent="0.15">
      <c r="A12" s="182" t="s">
        <v>199</v>
      </c>
      <c r="B12" s="103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38" x14ac:dyDescent="0.15">
      <c r="A13" s="182" t="s">
        <v>200</v>
      </c>
      <c r="B13" s="103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38" x14ac:dyDescent="0.15">
      <c r="A14" s="182" t="s">
        <v>201</v>
      </c>
      <c r="B14" s="103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8" x14ac:dyDescent="0.15">
      <c r="A15" s="182" t="s">
        <v>202</v>
      </c>
      <c r="B15" s="103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8" x14ac:dyDescent="0.15">
      <c r="A16" s="182" t="s">
        <v>203</v>
      </c>
      <c r="B16" s="103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82" t="s">
        <v>204</v>
      </c>
      <c r="B17" s="103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82" t="s">
        <v>205</v>
      </c>
      <c r="B18" s="103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82" t="s">
        <v>206</v>
      </c>
      <c r="B19" s="103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82" t="s">
        <v>207</v>
      </c>
      <c r="B20" s="103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82" t="s">
        <v>208</v>
      </c>
      <c r="B21" s="103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82" t="s">
        <v>209</v>
      </c>
      <c r="B22" s="103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82" t="s">
        <v>210</v>
      </c>
      <c r="B23" s="103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82" t="s">
        <v>211</v>
      </c>
      <c r="B24" s="103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82" t="s">
        <v>212</v>
      </c>
      <c r="B25" s="103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82" t="s">
        <v>213</v>
      </c>
      <c r="B26" s="103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2:38" ht="15" customHeight="1" x14ac:dyDescent="0.15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2:38" ht="15" customHeight="1" x14ac:dyDescent="0.1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2:38" ht="15" customHeight="1" x14ac:dyDescent="0.1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2:38" ht="15" customHeight="1" x14ac:dyDescent="0.15">
      <c r="B36"/>
      <c r="C36"/>
      <c r="D36"/>
    </row>
    <row r="37" spans="2:38" ht="15" customHeight="1" x14ac:dyDescent="0.15">
      <c r="B37"/>
      <c r="C37"/>
      <c r="D37"/>
    </row>
    <row r="38" spans="2:38" ht="15" customHeight="1" x14ac:dyDescent="0.1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2:38" ht="15" customHeight="1" x14ac:dyDescent="0.15">
      <c r="B39"/>
      <c r="C39"/>
      <c r="D39"/>
    </row>
    <row r="40" spans="2:38" ht="15" customHeight="1" x14ac:dyDescent="0.15">
      <c r="B40"/>
      <c r="C40"/>
      <c r="D40"/>
    </row>
    <row r="41" spans="2:38" ht="15" customHeight="1" x14ac:dyDescent="0.15">
      <c r="B41"/>
      <c r="C41"/>
      <c r="D41"/>
    </row>
    <row r="42" spans="2:38" ht="15" customHeight="1" x14ac:dyDescent="0.15"/>
    <row r="43" spans="2:38" ht="15" customHeight="1" x14ac:dyDescent="0.15"/>
    <row r="44" spans="2:38" ht="15" customHeight="1" x14ac:dyDescent="0.15"/>
    <row r="45" spans="2:38" ht="15" customHeight="1" x14ac:dyDescent="0.15"/>
    <row r="46" spans="2:38" ht="15" customHeight="1" x14ac:dyDescent="0.15"/>
    <row r="47" spans="2:38" ht="15" customHeight="1" x14ac:dyDescent="0.15"/>
    <row r="48" spans="2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2022-10-23T21:57:42Z</dcterms:modified>
</cp:coreProperties>
</file>