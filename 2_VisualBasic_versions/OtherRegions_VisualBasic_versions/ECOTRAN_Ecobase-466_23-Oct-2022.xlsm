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OtherRegions/"/>
    </mc:Choice>
  </mc:AlternateContent>
  <xr:revisionPtr revIDLastSave="0" documentId="13_ncr:1_{C5BC08BB-D2A7-F043-95DC-4A4791D513A6}" xr6:coauthVersionLast="45" xr6:coauthVersionMax="45" xr10:uidLastSave="{00000000-0000-0000-0000-000000000000}"/>
  <bookViews>
    <workbookView xWindow="0" yWindow="460" windowWidth="25600" windowHeight="14240" tabRatio="728" firstSheet="3" activeTab="11"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Main!$C$2:$N$95</definedName>
    <definedName name="matDetritus">Detritus!$C$2:$H$95</definedName>
    <definedName name="matDiet">Diets!$B$2:$CB$86</definedName>
    <definedName name="matDiscards">Discards!$C$2:$L$85</definedName>
    <definedName name="matFishery">Fishing!$C$2:$L$85</definedName>
    <definedName name="matFishing">Fishing!#REF!</definedName>
    <definedName name="matMort">Mortalities!$A$1:$CS$85</definedName>
    <definedName name="matOut">MainOutputs!$A$2:$I$95</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<sst xmlns="http://schemas.openxmlformats.org/spreadsheetml/2006/main" count="2195" uniqueCount="300">
  <si>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</si>
  <si>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</si>
  <si>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</si>
  <si>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</si>
  <si>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</si>
  <si>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</si>
  <si>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</si>
  <si>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</si>
  <si>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</si>
  <si>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</si>
  <si>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</si>
  <si>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</si>
  <si>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</si>
  <si>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</si>
  <si>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</si>
  <si>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</si>
  <si>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</si>
  <si>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</si>
  <si>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</si>
  <si>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</si>
  <si>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</si>
  <si>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</si>
  <si>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</si>
  <si>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</si>
  <si>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</si>
  <si>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</si>
  <si>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</si>
  <si>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</si>
  <si>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</si>
  <si>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</si>
  <si>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</si>
  <si>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</si>
  <si>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</si>
  <si>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</si>
  <si>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</si>
  <si>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</si>
  <si>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</si>
  <si>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</si>
  <si>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</si>
  <si>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</si>
  <si>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</si>
  <si>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</si>
  <si>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</si>
  <si>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</si>
  <si>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</si>
  <si>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</si>
  <si>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</si>
  <si>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</si>
  <si>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</si>
  <si>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</si>
  <si>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</si>
  <si>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</si>
  <si>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</si>
  <si>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</si>
  <si>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</si>
  <si>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</si>
  <si>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</si>
  <si>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</si>
  <si>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</si>
  <si>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</si>
  <si>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</si>
  <si>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</si>
  <si>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</si>
  <si>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</si>
  <si>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</si>
  <si>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</si>
  <si>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</si>
  <si>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</si>
  <si>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</si>
  <si>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</si>
  <si>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</si>
  <si>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</si>
  <si>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</si>
  <si>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</si>
  <si>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</si>
  <si>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</si>
  <si>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</si>
  <si>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</si>
  <si>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</si>
  <si>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</si>
  <si>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</si>
  <si>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</si>
  <si>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</si>
  <si>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</si>
  <si>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</si>
  <si>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</si>
  <si>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</si>
  <si>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</si>
  <si>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</si>
  <si>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</si>
  <si>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</si>
  <si>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</si>
  <si>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</si>
  <si>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</si>
  <si>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</si>
  <si>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</si>
  <si>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</si>
  <si>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</si>
  <si>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</si>
  <si>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</si>
  <si>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</si>
  <si>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</si>
  <si>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</si>
  <si>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</si>
  <si>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</si>
  <si>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</si>
  <si>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</si>
  <si>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</si>
  <si>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</si>
  <si>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</si>
  <si>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</si>
  <si>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</si>
  <si>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</si>
  <si>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</si>
  <si>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</si>
  <si>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</si>
  <si>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</si>
  <si>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</si>
  <si>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</si>
  <si>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</si>
  <si>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</si>
  <si>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</si>
  <si>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</si>
  <si>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</si>
  <si>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</si>
  <si>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</si>
  <si>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</si>
  <si>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</si>
  <si>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</si>
  <si>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</si>
  <si>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</si>
  <si>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</si>
  <si>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</si>
  <si>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</si>
  <si>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</si>
  <si>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</si>
  <si>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</si>
  <si>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</si>
  <si>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</si>
  <si>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</si>
  <si>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</si>
  <si>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</si>
  <si>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</si>
  <si>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</si>
  <si>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</si>
  <si>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</si>
  <si>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</si>
  <si>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</si>
  <si>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</si>
  <si>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</si>
  <si>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</si>
  <si>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</si>
  <si>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</si>
  <si>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</si>
  <si>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</si>
  <si>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</si>
  <si>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</si>
  <si>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</si>
  <si>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</si>
  <si>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</si>
  <si>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</si>
  <si>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</si>
  <si>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</si>
  <si>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</si>
  <si>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</si>
  <si>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</si>
  <si>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</si>
  <si>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</si>
  <si>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</si>
  <si>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</si>
  <si>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</si>
  <si>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</si>
  <si>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</si>
  <si>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</si>
  <si>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</si>
  <si>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</si>
  <si>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</si>
  <si>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</si>
  <si>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</si>
  <si>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</si>
  <si>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</si>
  <si>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</si>
  <si>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</si>
  <si>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</si>
  <si>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</si>
  <si>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Gulf of Carpentaria</t>
  </si>
  <si>
    <t>Australia</t>
  </si>
  <si>
    <t>BOX(134.91354983335 -18.5740880991375,142.794632058708 -10.2262447397036)</t>
  </si>
  <si>
    <t>bay/fjord</t>
  </si>
  <si>
    <t>WetWeight</t>
  </si>
  <si>
    <t>A preliminary ecosystem model of the Gulf of Carpentaria, Australia adapted from a model of the Albatross Bay, Gulf of Carpentaria. This trophodynamic model was constructed to explore the ecological and economic impacts of illegal, unregulated, and unreported fisheries for sharks (and snappers) in the region. It has 83 functional groups, life-stage-based sub-models for some groups, and catch, discard and economic information for ten fisheries. 
28/04/2005 5:11:47 PM; 28/04/2005 10:39:52 PM; 29/04/2005 3:24:22 PM; 29/04/2005 4:03:14 PM; 29/04/2005 10:13:37 PM; 30/04/2005 12:04:12 PM; 30/04/2005 1:49:39 PM; 30/04/2005 1:51:39 PM; 30/04/2005 6:44:51 PM; 30/04/2005 10:56:12 PM; 1/05/2005 9:24:55 AM; 1/05/2005 11:01:58 AM; 1/05/2005 11:04:29 AM; 1/05/2005 11:09:01 AM; 1/05/2005 11:11:06 AM; 1/05/2005 2:23:39 PM; 1/05/2005 2:57:02 PM; 1/05/2005 4:39:28 PM; 1/05/2005 5:31:14 PM; 1/05/2005 8:32:49 PM; 1/05/2005 8:41:31 PM; 1/05/2005 8:55:45 PM; 1/05/2005 9:05:10 PM; 1/05/2005 9:07:01 PM; 1/05/2005 10:10:45 PM; 2/05/2005 9:34:41 AM; 2/05/2005 9:46:24 AM; 2/05/2005 11:25:15 AM; 2/05/2005 5:10:25 PM; 3/05/2005 5:22:41 PM; 3/05/2005 10:04:03 PM; 4/05/2005 6:24:05 AM; 4/05/2005 8:50:39 AM; 4/05/2005 10:15:00 AM; 4/05/2005 10:33:18 AM; 4/05/2005 12:40:31 PM; 4/05/2005 1:08:57 PM; 4/05/2005 1:15:19 PM; 4/05/2005 3:14:52 PM; 5/05/2005 4:30:24 PM; 6/05/2005 8:15:37 AM; 6/05/2005 9:19:25 AM; 13/05/2005 11:41:17 AM; 13/05/2005 11:44:35 AM; 13/05/2005 3:57:43 PM; 19/05/2005 8:51:13 AM; 8/07/2005 4:17:57 PM; 10/07/2005 8:30:48 PM; 11/07/2005 8:00:02 PM; 12/07/2005 11:33:29 AM; 12/07/2005 6:49:08 PM; 12/07/2005 7:48:12 PM; 14/07/2005 8:01:59 PM; 14/07/2005 8:27:45 PM; 1/09/2005 2:38:16 PM; 2/09/2005 1:46:41 PM; 21/09/2005 2:49:42 PM; 21/09/2005 6:01:19 PM; 29/09/2005 6:12:00 PM; 30/09/2005 3:54:43 PM; 3/10/2005 6:26:00 PM; 4/10/2005 4:45:57 PM; 5/10/2005 6:17:15 PM; 6/10/2005 4:48:18 PM; 7/10/2005 9:52:13 AM; 7/10/2005 4:10:54 PM; 7/10/2005 11:35:38 PM; 8/10/2005 12:12:53 AM; 8/10/2005 8:59:46 AM; 9/10/2005 2:34:45 PM; 9/10/2005 3:58:11 PM; 9/10/2005 5:27:24 PM; 9/10/2005 9:29:19 PM; 10/10/2005 3:14:28 PM; 10/10/2005 10:43:45 PM; 13/10/2005 3:55:22 PM; 20/10/2005 4:37:48 PM; 21/10/2005 12:51:28 PM; 21/10/2005 5:28:47 PM; 24/10/2005 11:11:48 AM; 25/10/2005 12:27:02 PM; 25/10/2005 5:09:44 PM; 23/11/2005 6:04:57 PM; 8/12/2005 4:23:08 PM; 29/12/2005 6:45:04 PM; 3/01/2006 10:52:56 AM; 3/01/2006 4:30:03 PM; 6/01/2006 3:08:44 PM; 6/01/2006 4:17:06 PM; 9/01/2006 5:13:12 PM; 12/01/2006 5:52:21 PM; 16/01/2006 3:30:03 PM; 20/01/2006 4:00:28 PM; 23/01/2006 12:57:40 PM; 24/01/2006 9:18:15 PM; 27/01/2006 9:47:56 AM; 28/01/2006 5:12:27 PM; 28/01/2006 5:13:49 PM; 29/01/2006 5:57:41 PM; 5/02/2006 12:25:04 PM; 16/02/2006 3:07:13 PM; 16/02/2006 4:09:47 PM; 17/02/2006 10:36:41 AM; 24/02/2006 4:00:32 PM; 9/03/2006 4:31:41 PM; 21/03/2006 8:25:06 PM; 11/10/2006 8:27:02 AM; 20/11/2006 1:43:57 PM; 5/02/2007 12:10:01 PM; 5/02/2007 12:24:04 PM; 5/02/2007 2:34:12 PM; 5/02/2007 4:27:55 PM; 7/02/2007 4:35:52 PM; 21/02/2007 4:39:55 PM; 21/02/2007 7:07:21 PM; 22/02/2007 6:34:01 PM; 23/02/2007 2:05:31 PM; 26/02/2007 4:53:29 PM; 16/03/2007 10:14:39 AM; 16/03/2007 1:10:40 PM; 16/03/2007 1:12:55 PM; 16/03/2007 3:18:56 PM; 16/03/2007 3:23:17 PM; 16/03/2007 3:42:31 PM; 18/03/2007 1:11:02 PM; 18/03/2007 4:52:09 PM; 18/03/2007 5:07:35 PM; 18/03/2007 7:57:05 PM; 19/03/2007 5:16:14 PM; 20/03/2007 2:28:16 PM; 20/03/2007 4:46:00 PM; 22/03/2007 12:40:03 PM; 23/03/2007 2:22:50 PM; 23/03/2007 2:34:49 PM; 23/03/2007 2:35:10 PM; 23/03/2007 3:52:30 PM; 26/03/2007 2:18:25 PM; 26/03/2007 2:42:59 PM; 30/03/2007 4:28:37 PM; 3/04/2007 3:57:14 PM; 3/04/2007 4:02:54 PM; 3/04/2007 4:15:03 PM; 3/04/2007 4:34:18 PM; 3/04/2007 5:01:12 PM; 5/04/2007 4:04:09 PM; 5/04/2007 4:40:57 PM; 9/04/2007 6:05:01 AM; 9/04/2007 9:01:34 PM; 10/04/2007 3:34:24 PM; 13/04/2007 12:57:18 PM; 13/04/2007 1:01:34 PM; 16/04/2007 9:58:59 AM; 16/04/2007 10:12:40 AM; 17/04/2007 1:44:15 PM; 17/04/2007 3:16:03 PM; 18/04/2007 12:10:49 PM; 18/04/2007 12:11:46 PM; 18/04/2007 1:40:59 PM; 18/04/2007 3:42:55 PM; 19/04/2007 8:57:51 AM; 19/04/2007 10:02:56 AM; 20/04/2007 1:03:18 PM; 20/04/2007 3:19:18 PM; 10/06/2009 11:33:08 PM; 10/06/2009 11:53:40 PM; 11/06/2009 10:46:50 PM; 11/06/2009 10:49:37 PM; 12/06/2009 9:54:09 AM; 12/06/2009 11:00:03 AM</t>
  </si>
  <si>
    <t>Okey T.A.,Griffiths S.,Pascoe S.,Kenyon R.,Miller M.,Dell Q.,Pillans R.,Buckworth R.C.,Gribble N.,Engstrom N.,Bishop J.,Milton D.,Salini J.,Stevens J.(2007). The effect of illegal foreign fishing on the ecosystem in the Gulf of Carpentaria: management options and downstream effects on other fisheries Final Report to Australian Fisheries Management Authority Project 2006/825</t>
  </si>
  <si>
    <t>Dolphins</t>
  </si>
  <si>
    <t>Dugongs</t>
  </si>
  <si>
    <t>Crocodiles</t>
  </si>
  <si>
    <t>Turtles</t>
  </si>
  <si>
    <t>Sea snakes</t>
  </si>
  <si>
    <t>Lesser frigates</t>
  </si>
  <si>
    <t>Brown boobies</t>
  </si>
  <si>
    <t>Crested terns</t>
  </si>
  <si>
    <t>Common terns</t>
  </si>
  <si>
    <t>Large sharks</t>
  </si>
  <si>
    <t>Medium coastal sharks</t>
  </si>
  <si>
    <t>Reef sharks</t>
  </si>
  <si>
    <t>Black-tip sharks</t>
  </si>
  <si>
    <t>Small sharks</t>
  </si>
  <si>
    <t>Weasel sharks</t>
  </si>
  <si>
    <t>Sawfishes</t>
  </si>
  <si>
    <t>Billfishes</t>
  </si>
  <si>
    <t>Large mackerels and tunas</t>
  </si>
  <si>
    <t>Large trevallies and barracudas</t>
  </si>
  <si>
    <t>Small tunas and bonitos</t>
  </si>
  <si>
    <t>Catfish and flatheads</t>
  </si>
  <si>
    <t>Jewfishes</t>
  </si>
  <si>
    <t>Cobia, groupers and jacks</t>
  </si>
  <si>
    <t>Red snappers</t>
  </si>
  <si>
    <t>Sweetlips and grunters</t>
  </si>
  <si>
    <t>Whitings, goatfishes and flounders</t>
  </si>
  <si>
    <t>Ponyfishes, pinkies and trumpters</t>
  </si>
  <si>
    <t>Silver biddies and small catfishes</t>
  </si>
  <si>
    <t>Lizardfishes</t>
  </si>
  <si>
    <t>Pelagic scads</t>
  </si>
  <si>
    <t>Sardines and pilchards</t>
  </si>
  <si>
    <t>Garfishes, rabbitfishes and batfishes</t>
  </si>
  <si>
    <t>Mullets</t>
  </si>
  <si>
    <t>Benthic shark / rays</t>
  </si>
  <si>
    <t>Small rays</t>
  </si>
  <si>
    <t>Large rays</t>
  </si>
  <si>
    <t>Eagle rays</t>
  </si>
  <si>
    <t>Manta rays</t>
  </si>
  <si>
    <t>Octopus</t>
  </si>
  <si>
    <t>Squid and cuttlefishes</t>
  </si>
  <si>
    <t>Stomatopods</t>
  </si>
  <si>
    <t>Banana prawn juvenile</t>
  </si>
  <si>
    <t>Banana prawn subadults</t>
  </si>
  <si>
    <t>Banana prawn adult</t>
  </si>
  <si>
    <t>Tiger prawn juvenile</t>
  </si>
  <si>
    <t>Tiger prawn subadults</t>
  </si>
  <si>
    <t>Tiger prawn adult</t>
  </si>
  <si>
    <t>All other commercial prawns</t>
  </si>
  <si>
    <t>Thallasinid prawns (Callianassa)</t>
  </si>
  <si>
    <t>All other non-commercial prawns</t>
  </si>
  <si>
    <t>Rock lobster</t>
  </si>
  <si>
    <t>Slipper lobsters</t>
  </si>
  <si>
    <t>The mud crab</t>
  </si>
  <si>
    <t>Sand crab</t>
  </si>
  <si>
    <t>Other large crabs</t>
  </si>
  <si>
    <t>Large gastropods</t>
  </si>
  <si>
    <t>Holothurians</t>
  </si>
  <si>
    <t>Spatangoids</t>
  </si>
  <si>
    <t>Echinoids</t>
  </si>
  <si>
    <t>Ophioroids</t>
  </si>
  <si>
    <t>Asteriods</t>
  </si>
  <si>
    <t>Sessile epibenthos</t>
  </si>
  <si>
    <t>Bivalves</t>
  </si>
  <si>
    <t>Small crustaceans</t>
  </si>
  <si>
    <t>Worms</t>
  </si>
  <si>
    <t>Small gastropods</t>
  </si>
  <si>
    <t>Meiofauna</t>
  </si>
  <si>
    <t>Forams</t>
  </si>
  <si>
    <t>Large jellies</t>
  </si>
  <si>
    <t>Small jellies</t>
  </si>
  <si>
    <t>Zooplankton</t>
  </si>
  <si>
    <t>Ichthyoplankton</t>
  </si>
  <si>
    <t>Insects</t>
  </si>
  <si>
    <t>Microbial heterotrophs</t>
  </si>
  <si>
    <t>Phytoplankton</t>
  </si>
  <si>
    <t>Microphytobenthos</t>
  </si>
  <si>
    <t>Seagrass</t>
  </si>
  <si>
    <t>Macroalgae</t>
  </si>
  <si>
    <t>Mangroves</t>
  </si>
  <si>
    <t>Discards</t>
  </si>
  <si>
    <t>Detached macrophytes</t>
  </si>
  <si>
    <t>Water-column detritus</t>
  </si>
  <si>
    <t>Sediment detritus</t>
  </si>
  <si>
    <t>detritus_TerminalBenthic</t>
  </si>
  <si>
    <t>Banana trawl</t>
  </si>
  <si>
    <t>Tiger trawl</t>
  </si>
  <si>
    <t>Line (Spanish mackerel)</t>
  </si>
  <si>
    <t>Gillnet fisheries (shark and mackerel)</t>
  </si>
  <si>
    <t>Pot (MudCrab)</t>
  </si>
  <si>
    <t>Recreational</t>
  </si>
  <si>
    <t>Aboriginal</t>
  </si>
  <si>
    <t>Charter fishery</t>
  </si>
  <si>
    <t>IUU shark fishery</t>
  </si>
  <si>
    <t>Fish trawl (Red snapper)</t>
  </si>
  <si>
    <t>Import</t>
  </si>
  <si>
    <t>export</t>
  </si>
  <si>
    <t>sum</t>
  </si>
  <si>
    <t>TOTAL</t>
  </si>
  <si>
    <t>F Banana trawl</t>
  </si>
  <si>
    <t>F Tiger trawl</t>
  </si>
  <si>
    <t>F Line (Spanish mackerel)</t>
  </si>
  <si>
    <t>F Gillnet fisheries (shark and mackerel)</t>
  </si>
  <si>
    <t>F Pot (MudCrab)</t>
  </si>
  <si>
    <t>F Recreational</t>
  </si>
  <si>
    <t>F Aboriginal</t>
  </si>
  <si>
    <t>F Charter fishery</t>
  </si>
  <si>
    <t>F IUU shark fishery</t>
  </si>
  <si>
    <t>F Fish trawl (Red snapper)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</si>
</sst>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251">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8FF00"/>
        <bgColor indexed="64"/>
      </patternFill>
    </fill>
    <fill>
      <patternFill patternType="solid">
        <fgColor rgb="FF21FF00"/>
        <bgColor indexed="64"/>
      </patternFill>
    </fill>
    <fill>
      <patternFill patternType="solid">
        <fgColor rgb="FF71FF00"/>
        <bgColor indexed="64"/>
      </patternFill>
    </fill>
    <fill>
      <patternFill patternType="solid">
        <fgColor rgb="FF22FF00"/>
        <bgColor indexed="64"/>
      </patternFill>
    </fill>
    <fill>
      <patternFill patternType="solid">
        <fgColor rgb="FF58FF00"/>
        <bgColor indexed="64"/>
      </patternFill>
    </fill>
    <fill>
      <patternFill patternType="solid">
        <fgColor rgb="FF63FF00"/>
        <bgColor indexed="64"/>
      </patternFill>
    </fill>
    <fill>
      <patternFill patternType="solid">
        <fgColor rgb="FF42FF00"/>
        <bgColor indexed="64"/>
      </patternFill>
    </fill>
    <fill>
      <patternFill patternType="solid">
        <fgColor rgb="FF3DFF00"/>
        <bgColor indexed="64"/>
      </patternFill>
    </fill>
    <fill>
      <patternFill patternType="solid">
        <fgColor rgb="FFADFF00"/>
        <bgColor indexed="64"/>
      </patternFill>
    </fill>
    <fill>
      <patternFill patternType="solid">
        <fgColor rgb="FF33FF00"/>
        <bgColor indexed="64"/>
      </patternFill>
    </fill>
    <fill>
      <patternFill patternType="solid">
        <fgColor rgb="FF0FFF00"/>
        <bgColor indexed="64"/>
      </patternFill>
    </fill>
    <fill>
      <patternFill patternType="solid">
        <fgColor rgb="FF82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67E35"/>
        <bgColor indexed="64"/>
      </patternFill>
    </fill>
    <fill>
      <patternFill patternType="solid">
        <fgColor rgb="FF541896"/>
        <bgColor indexed="64"/>
      </patternFill>
    </fill>
    <fill>
      <patternFill patternType="solid">
        <fgColor rgb="FF2BED19"/>
        <bgColor indexed="64"/>
      </patternFill>
    </fill>
    <fill>
      <patternFill patternType="solid">
        <fgColor rgb="FF7146DE"/>
        <bgColor indexed="64"/>
      </patternFill>
    </fill>
    <fill>
      <patternFill patternType="solid">
        <fgColor rgb="FFBF46AC"/>
        <bgColor indexed="64"/>
      </patternFill>
    </fill>
    <fill>
      <patternFill patternType="solid">
        <fgColor rgb="FF411708"/>
        <bgColor indexed="64"/>
      </patternFill>
    </fill>
    <fill>
      <patternFill patternType="solid">
        <fgColor rgb="FF52C94C"/>
        <bgColor indexed="64"/>
      </patternFill>
    </fill>
    <fill>
      <patternFill patternType="solid">
        <fgColor rgb="FF3C7B41"/>
        <bgColor indexed="64"/>
      </patternFill>
    </fill>
    <fill>
      <patternFill patternType="solid">
        <fgColor rgb="FF570B7B"/>
        <bgColor indexed="64"/>
      </patternFill>
    </fill>
    <fill>
      <patternFill patternType="solid">
        <fgColor rgb="FF35DC96"/>
        <bgColor indexed="64"/>
      </patternFill>
    </fill>
    <fill>
      <patternFill patternType="solid">
        <fgColor rgb="FFC1ED54"/>
        <bgColor indexed="64"/>
      </patternFill>
    </fill>
    <fill>
      <patternFill patternType="solid">
        <fgColor rgb="FF8A15A2"/>
        <bgColor indexed="64"/>
      </patternFill>
    </fill>
    <fill>
      <patternFill patternType="solid">
        <fgColor rgb="FF69F51D"/>
        <bgColor indexed="64"/>
      </patternFill>
    </fill>
    <fill>
      <patternFill patternType="solid">
        <fgColor rgb="FFEB9E59"/>
        <bgColor indexed="64"/>
      </patternFill>
    </fill>
    <fill>
      <patternFill patternType="solid">
        <fgColor rgb="FF267A38"/>
        <bgColor indexed="64"/>
      </patternFill>
    </fill>
    <fill>
      <patternFill patternType="solid">
        <fgColor rgb="FFFD2107"/>
        <bgColor indexed="64"/>
      </patternFill>
    </fill>
    <fill>
      <patternFill patternType="solid">
        <fgColor rgb="FF588CEB"/>
        <bgColor indexed="64"/>
      </patternFill>
    </fill>
    <fill>
      <patternFill patternType="solid">
        <fgColor rgb="FF8968D8"/>
        <bgColor indexed="64"/>
      </patternFill>
    </fill>
    <fill>
      <patternFill patternType="solid">
        <fgColor rgb="FFD3ABB8"/>
        <bgColor indexed="64"/>
      </patternFill>
    </fill>
    <fill>
      <patternFill patternType="solid">
        <fgColor rgb="FFFE577E"/>
        <bgColor indexed="64"/>
      </patternFill>
    </fill>
    <fill>
      <patternFill patternType="solid">
        <fgColor rgb="FF69B12E"/>
        <bgColor indexed="64"/>
      </patternFill>
    </fill>
    <fill>
      <patternFill patternType="solid">
        <fgColor rgb="FF6C8BD0"/>
        <bgColor indexed="64"/>
      </patternFill>
    </fill>
    <fill>
      <patternFill patternType="solid">
        <fgColor rgb="FF8A6D82"/>
        <bgColor indexed="64"/>
      </patternFill>
    </fill>
    <fill>
      <patternFill patternType="solid">
        <fgColor rgb="FF3A9E7D"/>
        <bgColor indexed="64"/>
      </patternFill>
    </fill>
    <fill>
      <patternFill patternType="solid">
        <fgColor rgb="FFAEE25E"/>
        <bgColor indexed="64"/>
      </patternFill>
    </fill>
    <fill>
      <patternFill patternType="solid">
        <fgColor rgb="FF4D4B26"/>
        <bgColor indexed="64"/>
      </patternFill>
    </fill>
    <fill>
      <patternFill patternType="solid">
        <fgColor rgb="FF873995"/>
        <bgColor indexed="64"/>
      </patternFill>
    </fill>
    <fill>
      <patternFill patternType="solid">
        <fgColor rgb="FF5DDF7A"/>
        <bgColor indexed="64"/>
      </patternFill>
    </fill>
    <fill>
      <patternFill patternType="solid">
        <fgColor rgb="FF31AEBF"/>
        <bgColor indexed="64"/>
      </patternFill>
    </fill>
    <fill>
      <patternFill patternType="solid">
        <fgColor rgb="FF9DC729"/>
        <bgColor indexed="64"/>
      </patternFill>
    </fill>
    <fill>
      <patternFill patternType="solid">
        <fgColor rgb="FFCE34F4"/>
        <bgColor indexed="64"/>
      </patternFill>
    </fill>
    <fill>
      <patternFill patternType="solid">
        <fgColor rgb="FF1110CA"/>
        <bgColor indexed="64"/>
      </patternFill>
    </fill>
    <fill>
      <patternFill patternType="solid">
        <fgColor rgb="FF61761E"/>
        <bgColor indexed="64"/>
      </patternFill>
    </fill>
    <fill>
      <patternFill patternType="solid">
        <fgColor rgb="FF1D2C0C"/>
        <bgColor indexed="64"/>
      </patternFill>
    </fill>
    <fill>
      <patternFill patternType="solid">
        <fgColor rgb="FFB6888F"/>
        <bgColor indexed="64"/>
      </patternFill>
    </fill>
    <fill>
      <patternFill patternType="solid">
        <fgColor rgb="FF3777BE"/>
        <bgColor indexed="64"/>
      </patternFill>
    </fill>
    <fill>
      <patternFill patternType="solid">
        <fgColor rgb="FFC066E6"/>
        <bgColor indexed="64"/>
      </patternFill>
    </fill>
    <fill>
      <patternFill patternType="solid">
        <fgColor rgb="FFBE17A2"/>
        <bgColor indexed="64"/>
      </patternFill>
    </fill>
    <fill>
      <patternFill patternType="solid">
        <fgColor rgb="FFB6046E"/>
        <bgColor indexed="64"/>
      </patternFill>
    </fill>
    <fill>
      <patternFill patternType="solid">
        <fgColor rgb="FF6746FB"/>
        <bgColor indexed="64"/>
      </patternFill>
    </fill>
    <fill>
      <patternFill patternType="solid">
        <fgColor rgb="FFCDB26A"/>
        <bgColor indexed="64"/>
      </patternFill>
    </fill>
    <fill>
      <patternFill patternType="solid">
        <fgColor rgb="FFBB475B"/>
        <bgColor indexed="64"/>
      </patternFill>
    </fill>
    <fill>
      <patternFill patternType="solid">
        <fgColor rgb="FF6FF11F"/>
        <bgColor indexed="64"/>
      </patternFill>
    </fill>
    <fill>
      <patternFill patternType="solid">
        <fgColor rgb="FFA5591B"/>
        <bgColor indexed="64"/>
      </patternFill>
    </fill>
    <fill>
      <patternFill patternType="solid">
        <fgColor rgb="FF2F146E"/>
        <bgColor indexed="64"/>
      </patternFill>
    </fill>
    <fill>
      <patternFill patternType="solid">
        <fgColor rgb="FFF58A7E"/>
        <bgColor indexed="64"/>
      </patternFill>
    </fill>
    <fill>
      <patternFill patternType="solid">
        <fgColor rgb="FFF83861"/>
        <bgColor indexed="64"/>
      </patternFill>
    </fill>
    <fill>
      <patternFill patternType="solid">
        <fgColor rgb="FF5AFF00"/>
        <bgColor indexed="64"/>
      </patternFill>
    </fill>
    <fill>
      <patternFill patternType="solid">
        <fgColor rgb="FF2BFF00"/>
        <bgColor indexed="64"/>
      </patternFill>
    </fill>
    <fill>
      <patternFill patternType="solid">
        <fgColor rgb="FF26FF00"/>
        <bgColor indexed="64"/>
      </patternFill>
    </fill>
    <fill>
      <patternFill patternType="solid">
        <fgColor rgb="FF54FF00"/>
        <bgColor indexed="64"/>
      </patternFill>
    </fill>
    <fill>
      <patternFill patternType="solid">
        <fgColor rgb="FFFFE300"/>
        <bgColor indexed="64"/>
      </patternFill>
    </fill>
    <fill>
      <patternFill patternType="solid">
        <fgColor rgb="FF3EFF00"/>
        <bgColor indexed="64"/>
      </patternFill>
    </fill>
    <fill>
      <patternFill patternType="solid">
        <fgColor rgb="FFFF9700"/>
        <bgColor indexed="64"/>
      </patternFill>
    </fill>
    <fill>
      <patternFill patternType="solid">
        <fgColor rgb="FFFFA400"/>
        <bgColor indexed="64"/>
      </patternFill>
    </fill>
    <fill>
      <patternFill patternType="solid">
        <fgColor rgb="FF0CFF00"/>
        <bgColor indexed="64"/>
      </patternFill>
    </fill>
    <fill>
      <patternFill patternType="solid">
        <fgColor rgb="FF3AFF00"/>
        <bgColor indexed="64"/>
      </patternFill>
    </fill>
    <fill>
      <patternFill patternType="solid">
        <fgColor rgb="FF17FF00"/>
        <bgColor indexed="64"/>
      </patternFill>
    </fill>
    <fill>
      <patternFill patternType="solid">
        <fgColor rgb="FF5FFF00"/>
        <bgColor indexed="64"/>
      </patternFill>
    </fill>
    <fill>
      <patternFill patternType="solid">
        <fgColor rgb="FF14FF00"/>
        <bgColor indexed="64"/>
      </patternFill>
    </fill>
    <fill>
      <patternFill patternType="solid">
        <fgColor rgb="FF9DFF00"/>
        <bgColor indexed="64"/>
      </patternFill>
    </fill>
    <fill>
      <patternFill patternType="solid">
        <fgColor rgb="FFFF4100"/>
        <bgColor indexed="64"/>
      </patternFill>
    </fill>
    <fill>
      <patternFill patternType="solid">
        <fgColor rgb="FF2CFF00"/>
        <bgColor indexed="64"/>
      </patternFill>
    </fill>
    <fill>
      <patternFill patternType="solid">
        <fgColor rgb="FFABFF00"/>
        <bgColor indexed="64"/>
      </patternFill>
    </fill>
    <fill>
      <patternFill patternType="solid">
        <fgColor rgb="FF38FF00"/>
        <bgColor indexed="64"/>
      </patternFill>
    </fill>
    <fill>
      <patternFill patternType="solid">
        <fgColor rgb="FF11FF00"/>
        <bgColor indexed="64"/>
      </patternFill>
    </fill>
    <fill>
      <patternFill patternType="solid">
        <fgColor rgb="FFFFB100"/>
        <bgColor indexed="64"/>
      </patternFill>
    </fill>
    <fill>
      <patternFill patternType="solid">
        <fgColor rgb="FF23FF00"/>
        <bgColor indexed="64"/>
      </patternFill>
    </fill>
    <fill>
      <patternFill patternType="solid">
        <fgColor rgb="FF79FF00"/>
        <bgColor indexed="64"/>
      </patternFill>
    </fill>
    <fill>
      <patternFill patternType="solid">
        <fgColor rgb="FF1BFF00"/>
        <bgColor indexed="64"/>
      </patternFill>
    </fill>
    <fill>
      <patternFill patternType="solid">
        <fgColor rgb="FF37FF00"/>
        <bgColor indexed="64"/>
      </patternFill>
    </fill>
    <fill>
      <patternFill patternType="solid">
        <fgColor rgb="FF3CFF00"/>
        <bgColor indexed="64"/>
      </patternFill>
    </fill>
    <fill>
      <patternFill patternType="solid">
        <fgColor rgb="FF76FF00"/>
        <bgColor indexed="64"/>
      </patternFill>
    </fill>
    <fill>
      <patternFill patternType="solid">
        <fgColor rgb="FF29FF00"/>
        <bgColor indexed="64"/>
      </patternFill>
    </fill>
    <fill>
      <patternFill patternType="solid">
        <fgColor rgb="FF41FF00"/>
        <bgColor indexed="64"/>
      </patternFill>
    </fill>
    <fill>
      <patternFill patternType="solid">
        <fgColor rgb="FFFF4B00"/>
        <bgColor indexed="64"/>
      </patternFill>
    </fill>
    <fill>
      <patternFill patternType="solid">
        <fgColor rgb="FFFFF300"/>
        <bgColor indexed="64"/>
      </patternFill>
    </fill>
    <fill>
      <patternFill patternType="solid">
        <fgColor rgb="FFB4FF00"/>
        <bgColor indexed="64"/>
      </patternFill>
    </fill>
    <fill>
      <patternFill patternType="solid">
        <fgColor rgb="FF1DFF00"/>
        <bgColor indexed="64"/>
      </patternFill>
    </fill>
    <fill>
      <patternFill patternType="solid">
        <fgColor rgb="FF43FF00"/>
        <bgColor indexed="64"/>
      </patternFill>
    </fill>
    <fill>
      <patternFill patternType="solid">
        <fgColor rgb="FF2EFF00"/>
        <bgColor indexed="64"/>
      </patternFill>
    </fill>
    <fill>
      <patternFill patternType="solid">
        <fgColor rgb="FF47FF00"/>
        <bgColor indexed="64"/>
      </patternFill>
    </fill>
    <fill>
      <patternFill patternType="solid">
        <fgColor rgb="FF4FFF00"/>
        <bgColor indexed="64"/>
      </patternFill>
    </fill>
    <fill>
      <patternFill patternType="solid">
        <fgColor rgb="FFFF7700"/>
        <bgColor indexed="64"/>
      </patternFill>
    </fill>
    <fill>
      <patternFill patternType="solid">
        <fgColor rgb="FF7FFF00"/>
        <bgColor indexed="64"/>
      </patternFill>
    </fill>
    <fill>
      <patternFill patternType="solid">
        <fgColor rgb="FF78FF00"/>
        <bgColor indexed="64"/>
      </patternFill>
    </fill>
    <fill>
      <patternFill patternType="solid">
        <fgColor rgb="FF59FF00"/>
        <bgColor indexed="64"/>
      </patternFill>
    </fill>
    <fill>
      <patternFill patternType="solid">
        <fgColor rgb="FF6CFF00"/>
        <bgColor indexed="64"/>
      </patternFill>
    </fill>
    <fill>
      <patternFill patternType="solid">
        <fgColor rgb="FF34FF00"/>
        <bgColor indexed="64"/>
      </patternFill>
    </fill>
    <fill>
      <patternFill patternType="solid">
        <fgColor rgb="FFAFFF00"/>
        <bgColor indexed="64"/>
      </patternFill>
    </fill>
    <fill>
      <patternFill patternType="solid">
        <fgColor rgb="FF3BFF00"/>
        <bgColor indexed="64"/>
      </patternFill>
    </fill>
    <fill>
      <patternFill patternType="solid">
        <fgColor rgb="FFC8FF00"/>
        <bgColor indexed="64"/>
      </patternFill>
    </fill>
    <fill>
      <patternFill patternType="solid">
        <fgColor rgb="FFFFE600"/>
        <bgColor indexed="64"/>
      </patternFill>
    </fill>
    <fill>
      <patternFill patternType="solid">
        <fgColor rgb="FF65FF00"/>
        <bgColor indexed="64"/>
      </patternFill>
    </fill>
    <fill>
      <patternFill patternType="solid">
        <fgColor rgb="FFFFF400"/>
        <bgColor indexed="64"/>
      </patternFill>
    </fill>
    <fill>
      <patternFill patternType="solid">
        <fgColor rgb="FFEFFF00"/>
        <bgColor indexed="64"/>
      </patternFill>
    </fill>
    <fill>
      <patternFill patternType="solid">
        <fgColor rgb="FF61FF00"/>
        <bgColor indexed="64"/>
      </patternFill>
    </fill>
    <fill>
      <patternFill patternType="solid">
        <fgColor rgb="FF46FF00"/>
        <bgColor indexed="64"/>
      </patternFill>
    </fill>
    <fill>
      <patternFill patternType="solid">
        <fgColor rgb="FF90FF00"/>
        <bgColor indexed="64"/>
      </patternFill>
    </fill>
    <fill>
      <patternFill patternType="solid">
        <fgColor rgb="FF93FF00"/>
        <bgColor indexed="64"/>
      </patternFill>
    </fill>
    <fill>
      <patternFill patternType="solid">
        <fgColor rgb="FFA4FF00"/>
        <bgColor indexed="64"/>
      </patternFill>
    </fill>
    <fill>
      <patternFill patternType="solid">
        <fgColor rgb="FF89FF00"/>
        <bgColor indexed="64"/>
      </patternFill>
    </fill>
    <fill>
      <patternFill patternType="solid">
        <fgColor rgb="FF45FF00"/>
        <bgColor indexed="64"/>
      </patternFill>
    </fill>
    <fill>
      <patternFill patternType="solid">
        <fgColor rgb="FF4DFF00"/>
        <bgColor indexed="64"/>
      </patternFill>
    </fill>
    <fill>
      <patternFill patternType="solid">
        <fgColor rgb="FF8CFF00"/>
        <bgColor indexed="64"/>
      </patternFill>
    </fill>
    <fill>
      <patternFill patternType="solid">
        <fgColor rgb="FF62FF00"/>
        <bgColor indexed="64"/>
      </patternFill>
    </fill>
    <fill>
      <patternFill patternType="solid">
        <fgColor rgb="FF7DFF00"/>
        <bgColor indexed="64"/>
      </patternFill>
    </fill>
    <fill>
      <patternFill patternType="solid">
        <fgColor rgb="FFEEFF00"/>
        <bgColor indexed="64"/>
      </patternFill>
    </fill>
    <fill>
      <patternFill patternType="solid">
        <fgColor rgb="FF88FF00"/>
        <bgColor indexed="64"/>
      </patternFill>
    </fill>
    <fill>
      <patternFill patternType="solid">
        <fgColor rgb="FFC2FF00"/>
        <bgColor indexed="64"/>
      </patternFill>
    </fill>
    <fill>
      <patternFill patternType="solid">
        <fgColor rgb="FF96FF00"/>
        <bgColor indexed="64"/>
      </patternFill>
    </fill>
    <fill>
      <patternFill patternType="solid">
        <fgColor rgb="FFFBFF00"/>
        <bgColor indexed="64"/>
      </patternFill>
    </fill>
    <fill>
      <patternFill patternType="solid">
        <fgColor rgb="FF44FF00"/>
        <bgColor indexed="64"/>
      </patternFill>
    </fill>
    <fill>
      <patternFill patternType="solid">
        <fgColor rgb="FF52FF00"/>
        <bgColor indexed="64"/>
      </patternFill>
    </fill>
    <fill>
      <patternFill patternType="solid">
        <fgColor rgb="FF53FF00"/>
        <bgColor indexed="64"/>
      </patternFill>
    </fill>
    <fill>
      <patternFill patternType="solid">
        <fgColor rgb="FF77FF00"/>
        <bgColor indexed="64"/>
      </patternFill>
    </fill>
    <fill>
      <patternFill patternType="solid">
        <fgColor rgb="FF68FF00"/>
        <bgColor indexed="64"/>
      </patternFill>
    </fill>
    <fill>
      <patternFill patternType="solid">
        <fgColor rgb="FF75FF00"/>
        <bgColor indexed="64"/>
      </patternFill>
    </fill>
    <fill>
      <patternFill patternType="solid">
        <fgColor rgb="FF86FF00"/>
        <bgColor indexed="64"/>
      </patternFill>
    </fill>
    <fill>
      <patternFill patternType="solid">
        <fgColor rgb="FFDCFF00"/>
        <bgColor indexed="64"/>
      </patternFill>
    </fill>
    <fill>
      <patternFill patternType="solid">
        <fgColor rgb="FF69FF00"/>
        <bgColor indexed="64"/>
      </patternFill>
    </fill>
    <fill>
      <patternFill patternType="solid">
        <fgColor rgb="FF19FF00"/>
        <bgColor indexed="64"/>
      </patternFill>
    </fill>
    <fill>
      <patternFill patternType="solid">
        <fgColor rgb="FFB5FF00"/>
        <bgColor indexed="64"/>
      </patternFill>
    </fill>
    <fill>
      <patternFill patternType="solid">
        <fgColor rgb="FFFF5300"/>
        <bgColor indexed="64"/>
      </patternFill>
    </fill>
    <fill>
      <patternFill patternType="solid">
        <fgColor rgb="FFD2FF00"/>
        <bgColor indexed="64"/>
      </patternFill>
    </fill>
    <fill>
      <patternFill patternType="solid">
        <fgColor rgb="FFCCFF00"/>
        <bgColor indexed="64"/>
      </patternFill>
    </fill>
    <fill>
      <patternFill patternType="solid">
        <fgColor rgb="FFB7FF00"/>
        <bgColor indexed="64"/>
      </patternFill>
    </fill>
    <fill>
      <patternFill patternType="solid">
        <fgColor rgb="FF2AFF00"/>
        <bgColor indexed="64"/>
      </patternFill>
    </fill>
    <fill>
      <patternFill patternType="solid">
        <fgColor rgb="FF2DFF00"/>
        <bgColor indexed="64"/>
      </patternFill>
    </fill>
    <fill>
      <patternFill patternType="solid">
        <fgColor rgb="FFFF7D00"/>
        <bgColor indexed="64"/>
      </patternFill>
    </fill>
    <fill>
      <patternFill patternType="solid">
        <fgColor rgb="FF4AFF00"/>
        <bgColor indexed="64"/>
      </patternFill>
    </fill>
    <fill>
      <patternFill patternType="solid">
        <fgColor rgb="FFFFD800"/>
        <bgColor indexed="64"/>
      </patternFill>
    </fill>
    <fill>
      <patternFill patternType="solid">
        <fgColor rgb="FFFFB400"/>
        <bgColor indexed="64"/>
      </patternFill>
    </fill>
    <fill>
      <patternFill patternType="solid">
        <fgColor rgb="FF64FF00"/>
        <bgColor indexed="64"/>
      </patternFill>
    </fill>
    <fill>
      <patternFill patternType="solid">
        <fgColor rgb="FFFFA700"/>
        <bgColor indexed="64"/>
      </patternFill>
    </fill>
    <fill>
      <patternFill patternType="solid">
        <fgColor rgb="FF35FF00"/>
        <bgColor indexed="64"/>
      </patternFill>
    </fill>
    <fill>
      <patternFill patternType="solid">
        <fgColor rgb="FF32FF00"/>
        <bgColor indexed="64"/>
      </patternFill>
    </fill>
    <fill>
      <patternFill patternType="solid">
        <fgColor rgb="FF4BFF00"/>
        <bgColor indexed="64"/>
      </patternFill>
    </fill>
    <fill>
      <patternFill patternType="solid">
        <fgColor rgb="FFFF5600"/>
        <bgColor indexed="64"/>
      </patternFill>
    </fill>
    <fill>
      <patternFill patternType="solid">
        <fgColor rgb="FFFF7400"/>
        <bgColor indexed="64"/>
      </patternFill>
    </fill>
    <fill>
      <patternFill patternType="solid">
        <fgColor rgb="FFFF9300"/>
        <bgColor indexed="64"/>
      </patternFill>
    </fill>
    <fill>
      <patternFill patternType="solid">
        <fgColor rgb="FFFFF100"/>
        <bgColor indexed="64"/>
      </patternFill>
    </fill>
    <fill>
      <patternFill patternType="solid">
        <fgColor rgb="FFFFDF00"/>
        <bgColor indexed="64"/>
      </patternFill>
    </fill>
    <fill>
      <patternFill patternType="solid">
        <fgColor rgb="FF31FF00"/>
        <bgColor indexed="64"/>
      </patternFill>
    </fill>
    <fill>
      <patternFill patternType="solid">
        <fgColor rgb="FFE7FF00"/>
        <bgColor indexed="64"/>
      </patternFill>
    </fill>
    <fill>
      <patternFill patternType="solid">
        <fgColor rgb="FFFFDC00"/>
        <bgColor indexed="64"/>
      </patternFill>
    </fill>
    <fill>
      <patternFill patternType="solid">
        <fgColor rgb="FF4EFF00"/>
        <bgColor indexed="64"/>
      </patternFill>
    </fill>
    <fill>
      <patternFill patternType="solid">
        <fgColor rgb="FF55FF00"/>
        <bgColor indexed="64"/>
      </patternFill>
    </fill>
    <fill>
      <patternFill patternType="solid">
        <fgColor rgb="FF8BFF00"/>
        <bgColor indexed="64"/>
      </patternFill>
    </fill>
    <fill>
      <patternFill patternType="solid">
        <fgColor rgb="FFA7FF00"/>
        <bgColor indexed="64"/>
      </patternFill>
    </fill>
    <fill>
      <patternFill patternType="solid">
        <fgColor rgb="FFE0FF00"/>
        <bgColor indexed="64"/>
      </patternFill>
    </fill>
  </fills>
  <borders count="52">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370">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1" fillId="0" borderId="0" xfId="0" applyFont="1" applyAlignment="1">
      <alignment horizontal="center"/>
    </xf>
    <xf numFmtId="0" fontId="0" fillId="38" borderId="0" xfId="0" applyFill="1"/>
    <xf numFmtId="0" fontId="0" fillId="0" borderId="0" xfId="0" applyFont="1" applyFill="1"/>
    <xf numFmtId="0" fontId="0" fillId="0" borderId="0" xfId="0" applyFont="1" applyAlignment="1">
      <alignment horizontal="center"/>
    </xf>
    <xf numFmtId="0" fontId="0" fillId="40" borderId="0" xfId="0" applyFill="1"/>
    <xf numFmtId="0" fontId="0" fillId="41" borderId="0" xfId="0" applyFill="1"/>
    <xf numFmtId="0" fontId="0" fillId="0" borderId="0" xfId="0" applyFont="1" applyFill="1" applyAlignment="1">
      <alignment horizontal="center"/>
    </xf>
    <xf numFmtId="0" fontId="0" fillId="42" borderId="0" xfId="0" applyFill="1"/>
    <xf numFmtId="0" fontId="0" fillId="43"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9"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9" borderId="3" xfId="0" applyNumberFormat="1" applyFont="1" applyFill="1" applyBorder="1"/>
    <xf numFmtId="0" fontId="0" fillId="39" borderId="2" xfId="0" applyFont="1" applyFill="1" applyBorder="1"/>
    <xf numFmtId="0" fontId="0" fillId="39" borderId="3" xfId="0" applyFont="1" applyFill="1" applyBorder="1"/>
    <xf numFmtId="0" fontId="0" fillId="39"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4" borderId="0" xfId="0" applyFill="1"/>
    <xf numFmtId="0" fontId="0" fillId="45" borderId="0" xfId="0" applyFill="1"/>
    <xf numFmtId="0" fontId="0" fillId="46"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30" borderId="0" xfId="0" applyFont="1" applyFill="1" applyAlignment="1">
      <alignment horizontal="center"/>
    </xf>
    <xf numFmtId="0" fontId="12" fillId="28" borderId="0" xfId="0" applyFont="1" applyFill="1" applyAlignment="1">
      <alignment horizontal="center"/>
    </xf>
    <xf numFmtId="0" fontId="12" fillId="29"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6" xfId="0" applyFont="1" applyBorder="1"/>
    <xf numFmtId="0" fontId="0" fillId="0" borderId="18" xfId="0" applyFont="1" applyBorder="1"/>
    <xf numFmtId="0" fontId="10" fillId="0" borderId="19" xfId="0" applyFont="1" applyFill="1" applyBorder="1" applyAlignment="1">
      <alignment horizontal="right" wrapText="1"/>
    </xf>
    <xf numFmtId="0" fontId="0" fillId="0" borderId="17" xfId="0" applyFont="1" applyFill="1" applyBorder="1" applyAlignment="1">
      <alignment horizontal="right"/>
    </xf>
    <xf numFmtId="0" fontId="0" fillId="0" borderId="20" xfId="0" applyFont="1" applyBorder="1"/>
    <xf numFmtId="0" fontId="0" fillId="0" borderId="21" xfId="0" applyFont="1" applyBorder="1"/>
    <xf numFmtId="0" fontId="0" fillId="0" borderId="1" xfId="0" applyFont="1" applyBorder="1"/>
    <xf numFmtId="0" fontId="0" fillId="0" borderId="22" xfId="0" applyFont="1" applyBorder="1"/>
    <xf numFmtId="0" fontId="1" fillId="0" borderId="24" xfId="0" applyFont="1" applyBorder="1" applyAlignment="1">
      <alignment horizontal="center"/>
    </xf>
    <xf numFmtId="0" fontId="1" fillId="0" borderId="23" xfId="0" applyFont="1" applyBorder="1" applyAlignment="1">
      <alignment horizontal="center"/>
    </xf>
    <xf numFmtId="0" fontId="0" fillId="0" borderId="0" xfId="0" applyBorder="1" applyAlignment="1"/>
    <xf numFmtId="0" fontId="0" fillId="47" borderId="0" xfId="0" applyFill="1"/>
    <xf numFmtId="0" fontId="0" fillId="48" borderId="0" xfId="0" applyFill="1"/>
    <xf numFmtId="0" fontId="0" fillId="49" borderId="0" xfId="0" applyFill="1"/>
    <xf numFmtId="0" fontId="0" fillId="50" borderId="0" xfId="0" applyFill="1"/>
    <xf numFmtId="0" fontId="1" fillId="2" borderId="0" xfId="0" applyNumberFormat="1" applyFont="1" applyFill="1"/>
    <xf numFmtId="0" fontId="0" fillId="0" borderId="0" xfId="0" applyNumberFormat="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49" fontId="0" fillId="0" borderId="25" xfId="0" applyNumberFormat="1" applyBorder="1"/>
    <xf numFmtId="49" fontId="0" fillId="0" borderId="26" xfId="0" applyNumberFormat="1" applyBorder="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0" fontId="0" fillId="197" borderId="0" xfId="0" applyFill="1"/>
    <xf numFmtId="0" fontId="0" fillId="198" borderId="0" xfId="0" applyFill="1"/>
    <xf numFmtId="0" fontId="0" fillId="199" borderId="0" xfId="0" applyFill="1"/>
    <xf numFmtId="0" fontId="0" fillId="200" borderId="0" xfId="0" applyFill="1"/>
    <xf numFmtId="0" fontId="0" fillId="201" borderId="0" xfId="0" applyFill="1"/>
    <xf numFmtId="0" fontId="0" fillId="202" borderId="0" xfId="0" applyFill="1"/>
    <xf numFmtId="0" fontId="0" fillId="203" borderId="0" xfId="0" applyFill="1"/>
    <xf numFmtId="0" fontId="0" fillId="204" borderId="0" xfId="0" applyFill="1"/>
    <xf numFmtId="0" fontId="0" fillId="205" borderId="0" xfId="0" applyFill="1"/>
    <xf numFmtId="0" fontId="0" fillId="206" borderId="0" xfId="0" applyFill="1"/>
    <xf numFmtId="0" fontId="0" fillId="207" borderId="0" xfId="0" applyFill="1"/>
    <xf numFmtId="0" fontId="0" fillId="208" borderId="0" xfId="0" applyFill="1"/>
    <xf numFmtId="0" fontId="0" fillId="209" borderId="0" xfId="0" applyFill="1"/>
    <xf numFmtId="0" fontId="0" fillId="210" borderId="0" xfId="0" applyFill="1"/>
    <xf numFmtId="0" fontId="0" fillId="211" borderId="0" xfId="0" applyFill="1"/>
    <xf numFmtId="0" fontId="0" fillId="212" borderId="0" xfId="0" applyFill="1"/>
    <xf numFmtId="0" fontId="0" fillId="213" borderId="0" xfId="0" applyFill="1"/>
    <xf numFmtId="0" fontId="0" fillId="214" borderId="0" xfId="0" applyFill="1"/>
    <xf numFmtId="0" fontId="0" fillId="215" borderId="0" xfId="0" applyFill="1"/>
    <xf numFmtId="0" fontId="0" fillId="216" borderId="0" xfId="0" applyFill="1"/>
    <xf numFmtId="0" fontId="0" fillId="217" borderId="0" xfId="0" applyFill="1"/>
    <xf numFmtId="0" fontId="0" fillId="218" borderId="0" xfId="0" applyFill="1"/>
    <xf numFmtId="0" fontId="0" fillId="219" borderId="0" xfId="0" applyFill="1"/>
    <xf numFmtId="0" fontId="0" fillId="220" borderId="0" xfId="0" applyFill="1"/>
    <xf numFmtId="0" fontId="0" fillId="221" borderId="0" xfId="0" applyFill="1"/>
    <xf numFmtId="0" fontId="0" fillId="222" borderId="0" xfId="0" applyFill="1"/>
    <xf numFmtId="0" fontId="0" fillId="223" borderId="0" xfId="0" applyFill="1"/>
    <xf numFmtId="0" fontId="0" fillId="224" borderId="0" xfId="0" applyFill="1"/>
    <xf numFmtId="0" fontId="0" fillId="225" borderId="0" xfId="0" applyFill="1"/>
    <xf numFmtId="0" fontId="0" fillId="226" borderId="0" xfId="0" applyFill="1"/>
    <xf numFmtId="0" fontId="0" fillId="227" borderId="0" xfId="0" applyFill="1"/>
    <xf numFmtId="0" fontId="0" fillId="228" borderId="0" xfId="0" applyFill="1"/>
    <xf numFmtId="0" fontId="0" fillId="229" borderId="0" xfId="0" applyFill="1"/>
    <xf numFmtId="0" fontId="0" fillId="230" borderId="0" xfId="0" applyFill="1"/>
    <xf numFmtId="0" fontId="0" fillId="231" borderId="0" xfId="0" applyFill="1"/>
    <xf numFmtId="0" fontId="0" fillId="232" borderId="0" xfId="0" applyFill="1"/>
    <xf numFmtId="0" fontId="0" fillId="233" borderId="0" xfId="0" applyFill="1"/>
    <xf numFmtId="0" fontId="0" fillId="234" borderId="0" xfId="0" applyFill="1"/>
    <xf numFmtId="0" fontId="0" fillId="235" borderId="0" xfId="0" applyFill="1"/>
    <xf numFmtId="0" fontId="0" fillId="236" borderId="0" xfId="0" applyFill="1"/>
    <xf numFmtId="0" fontId="0" fillId="237" borderId="0" xfId="0" applyFill="1"/>
    <xf numFmtId="0" fontId="0" fillId="238" borderId="0" xfId="0" applyFill="1"/>
    <xf numFmtId="0" fontId="0" fillId="239" borderId="0" xfId="0" applyFill="1"/>
    <xf numFmtId="0" fontId="0" fillId="240" borderId="0" xfId="0" applyFill="1"/>
    <xf numFmtId="0" fontId="0" fillId="241" borderId="0" xfId="0" applyFill="1"/>
    <xf numFmtId="0" fontId="0" fillId="242" borderId="0" xfId="0" applyFill="1"/>
    <xf numFmtId="0" fontId="0" fillId="243" borderId="0" xfId="0" applyFill="1"/>
    <xf numFmtId="0" fontId="0" fillId="244" borderId="0" xfId="0" applyFill="1"/>
    <xf numFmtId="0" fontId="0" fillId="245" borderId="0" xfId="0" applyFill="1"/>
    <xf numFmtId="0" fontId="0" fillId="246" borderId="0" xfId="0" applyFill="1"/>
    <xf numFmtId="0" fontId="0" fillId="247" borderId="0" xfId="0" applyFill="1"/>
    <xf numFmtId="0" fontId="0" fillId="248" borderId="0" xfId="0" applyFill="1"/>
    <xf numFmtId="0" fontId="0" fillId="249" borderId="0" xfId="0" applyFill="1"/>
    <xf numFmtId="0" fontId="0" fillId="250"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3423.5"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75" t="s">
        <v>171</v>
      </c>
      <c r="C53" s="110">
        <v>466</v>
      </c>
      <c r="D53" s="110"/>
    </row>
    <row r="54" spans="2:4" x14ac:dyDescent="0.15">
      <c r="B54" s="175" t="s">
        <v>172</v>
      </c>
      <c r="C54" s="175" t="s">
        <v>185</v>
      </c>
      <c r="D54" s="110"/>
    </row>
    <row r="55" spans="2:4" x14ac:dyDescent="0.15">
      <c r="B55" s="175" t="s">
        <v>173</v>
      </c>
      <c r="C55" s="175" t="s">
        <v>186</v>
      </c>
      <c r="D55" s="110"/>
    </row>
    <row r="56" spans="2:4" x14ac:dyDescent="0.15">
      <c r="B56" s="175" t="s">
        <v>174</v>
      </c>
      <c r="C56" s="110">
        <v>700000</v>
      </c>
      <c r="D56" s="110"/>
    </row>
    <row r="57" spans="2:4" x14ac:dyDescent="0.15">
      <c r="B57" s="175" t="s">
        <v>175</v>
      </c>
      <c r="C57" s="175" t="s">
        <v>187</v>
      </c>
      <c r="D57" s="110"/>
    </row>
    <row r="58" spans="2:4" x14ac:dyDescent="0.15">
      <c r="B58" s="175" t="s">
        <v>176</v>
      </c>
      <c r="C58" s="175" t="s">
        <v>188</v>
      </c>
      <c r="D58" s="110"/>
    </row>
    <row r="59" spans="2:4" x14ac:dyDescent="0.15">
      <c r="B59" s="175" t="s">
        <v>177</v>
      </c>
      <c r="C59" s="175" t="s">
        <v>189</v>
      </c>
      <c r="D59" s="110"/>
    </row>
    <row r="60" spans="2:4" x14ac:dyDescent="0.15">
      <c r="B60" s="175" t="s">
        <v>178</v>
      </c>
      <c r="C60" s="175" t="s">
        <v>190</v>
      </c>
      <c r="D60" s="110"/>
    </row>
    <row r="61" spans="2:4" x14ac:dyDescent="0.15">
      <c r="B61" s="175" t="s">
        <v>179</v>
      </c>
      <c r="C61" s="110">
        <v>83</v>
      </c>
      <c r="D61" s="110"/>
    </row>
    <row r="62" spans="2:4" x14ac:dyDescent="0.15">
      <c r="B62" s="175" t="s">
        <v>180</v>
      </c>
      <c r="C62" s="110">
        <v>10</v>
      </c>
      <c r="D62" s="110"/>
    </row>
    <row r="63" spans="2:4" x14ac:dyDescent="0.15">
      <c r="B63" s="175" t="s">
        <v>181</v>
      </c>
      <c r="C63" s="110">
        <v>1990</v>
      </c>
      <c r="D63" s="110"/>
    </row>
    <row r="64" spans="2:4" x14ac:dyDescent="0.15">
      <c r="B64" s="175" t="s">
        <v>182</v>
      </c>
      <c r="C64" s="110">
        <v>1</v>
      </c>
      <c r="D64" s="110"/>
    </row>
    <row r="65" spans="2:4" x14ac:dyDescent="0.15">
      <c r="B65" s="175" t="s">
        <v>183</v>
      </c>
      <c r="C65" s="175" t="s">
        <v>191</v>
      </c>
      <c r="D65" s="110"/>
    </row>
    <row r="66" spans="2:4" x14ac:dyDescent="0.15">
      <c r="B66" s="175" t="s">
        <v>184</v>
      </c>
      <c r="D66" s="110"/>
    </row>
    <row r="67" spans="2:4" x14ac:dyDescent="0.15">
      <c r="B67" s="110"/>
      <c r="C67" s="110"/>
      <c r="D67" s="110"/>
    </row>
    <row r="68" spans="2:4" x14ac:dyDescent="0.15">
      <c r="B68" s="110"/>
      <c r="C68" s="110"/>
      <c r="D68" s="110"/>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5" sqref="Q5"/>
    </sheetView>
  </sheetViews>
  <sheetFormatPr baseColWidth="10" defaultColWidth="8.83203125" defaultRowHeight="15" customHeight="1" x14ac:dyDescent="0.15"/>
  <cols>
    <col min="1" max="1" width="22.5" style="84" customWidth="1"/>
    <col min="2" max="3" width="3.33203125" style="84" customWidth="1"/>
    <col min="4" max="4" width="14.33203125" style="84" customWidth="1"/>
    <col min="5" max="5" width="32" style="84" bestFit="1" customWidth="1"/>
    <col min="6" max="6" width="2.33203125" style="84" bestFit="1" customWidth="1"/>
    <col min="7" max="7" width="12.83203125" style="84" bestFit="1" customWidth="1"/>
    <col min="8" max="8" width="7.83203125" style="84" customWidth="1"/>
    <col min="9" max="9" width="10.83203125" style="84" customWidth="1"/>
    <col min="10" max="11" width="13.83203125" style="84" customWidth="1"/>
    <col min="12" max="12" width="2.33203125" style="84" customWidth="1"/>
    <col min="13" max="13" width="3.83203125" style="84" customWidth="1"/>
    <col min="14" max="14" width="5.33203125" style="84" customWidth="1"/>
    <col min="16" max="25" width="8.83203125" style="84"/>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4"/>
  </cols>
  <sheetData>
    <row r="1" spans="1:46" s="100" customFormat="1" ht="15" customHeight="1" x14ac:dyDescent="0.15">
      <c r="A1" s="80" t="s">
        <v>18</v>
      </c>
      <c r="C1" s="81" t="s">
        <v>8</v>
      </c>
      <c r="D1" s="80" t="s">
        <v>23</v>
      </c>
      <c r="E1" s="80" t="s">
        <v>0</v>
      </c>
      <c r="F1" s="80" t="s">
        <v>7</v>
      </c>
      <c r="G1" s="82" t="s">
        <v>13</v>
      </c>
      <c r="H1" s="80" t="s">
        <v>1</v>
      </c>
      <c r="I1" s="80" t="s">
        <v>2</v>
      </c>
      <c r="J1" s="80" t="s">
        <v>14</v>
      </c>
      <c r="K1" s="80" t="s">
        <v>3</v>
      </c>
      <c r="L1" s="80" t="s">
        <v>4</v>
      </c>
      <c r="M1" s="80" t="s">
        <v>5</v>
      </c>
      <c r="N1" s="80" t="s">
        <v>6</v>
      </c>
      <c r="O1"/>
      <c r="Z1"/>
      <c r="AA1"/>
      <c r="AB1"/>
      <c r="AC1"/>
      <c r="AD1"/>
      <c r="AE1"/>
      <c r="AF1"/>
      <c r="AG1"/>
      <c r="AH1"/>
      <c r="AI1"/>
      <c r="AJ1"/>
      <c r="AK1"/>
      <c r="AL1"/>
      <c r="AM1"/>
      <c r="AN1"/>
      <c r="AO1"/>
      <c r="AP1"/>
      <c r="AQ1"/>
      <c r="AR1"/>
      <c r="AS1"/>
      <c r="AT1"/>
    </row>
    <row r="2" spans="1:46" ht="15" customHeight="1" x14ac:dyDescent="0.15">
      <c r="C2" s="100">
        <v>1</v>
      </c>
      <c r="D2"/>
      <c r="E2" s="176" t="s">
        <v>192</v>
      </c>
      <c r="F2" s="84">
        <v>0</v>
      </c>
      <c r="G2" s="84">
        <v>1.4499999999999999E-3</v>
      </c>
      <c r="H2" s="84">
        <v>0.1</v>
      </c>
      <c r="I2" s="6">
        <v>41.07</v>
      </c>
      <c r="J2" s="6">
        <v>2.3142413700000001E-3</v>
      </c>
      <c r="K2" s="6">
        <v>2.4348674299999999E-3</v>
      </c>
      <c r="L2" s="6">
        <v>0</v>
      </c>
      <c r="M2" s="84">
        <v>0.2</v>
      </c>
      <c r="N2" s="84">
        <v>0</v>
      </c>
    </row>
    <row r="3" spans="1:46" ht="15" customHeight="1" x14ac:dyDescent="0.15">
      <c r="A3" s="1" t="s">
        <v>9</v>
      </c>
      <c r="B3" s="4">
        <v>79</v>
      </c>
      <c r="C3" s="84">
        <v>2</v>
      </c>
      <c r="D3"/>
      <c r="E3" s="176" t="s">
        <v>193</v>
      </c>
      <c r="F3" s="84">
        <v>0</v>
      </c>
      <c r="G3" s="84">
        <v>3.2000000000000003E-4</v>
      </c>
      <c r="H3" s="84">
        <v>0.08</v>
      </c>
      <c r="I3" s="84">
        <v>36.5</v>
      </c>
      <c r="J3" s="84">
        <v>0.70312505999999997</v>
      </c>
      <c r="K3" s="84">
        <v>2.1917808300000001E-3</v>
      </c>
      <c r="L3" s="84">
        <v>0</v>
      </c>
      <c r="M3" s="84">
        <v>0.2</v>
      </c>
      <c r="N3" s="84">
        <v>0</v>
      </c>
    </row>
    <row r="4" spans="1:46" ht="15" customHeight="1" x14ac:dyDescent="0.15">
      <c r="A4" s="1" t="s">
        <v>10</v>
      </c>
      <c r="B4" s="4">
        <v>5</v>
      </c>
      <c r="C4" s="84">
        <v>3</v>
      </c>
      <c r="D4"/>
      <c r="E4" s="176" t="s">
        <v>194</v>
      </c>
      <c r="F4" s="84">
        <v>0</v>
      </c>
      <c r="G4" s="84">
        <v>1.03E-4</v>
      </c>
      <c r="H4" s="84">
        <v>0.318</v>
      </c>
      <c r="I4" s="84">
        <v>2.08</v>
      </c>
      <c r="J4" s="84">
        <v>0</v>
      </c>
      <c r="K4" s="84">
        <v>0.152884617</v>
      </c>
      <c r="L4" s="84">
        <v>0</v>
      </c>
      <c r="M4" s="84">
        <v>0.2</v>
      </c>
      <c r="N4" s="84">
        <v>0</v>
      </c>
      <c r="V4" s="1" t="s">
        <v>29</v>
      </c>
    </row>
    <row r="5" spans="1:46" ht="15" customHeight="1" thickBot="1" x14ac:dyDescent="0.2">
      <c r="A5" s="1" t="s">
        <v>11</v>
      </c>
      <c r="B5" s="4">
        <v>10</v>
      </c>
      <c r="C5" s="84">
        <v>4</v>
      </c>
      <c r="D5"/>
      <c r="E5" s="176" t="s">
        <v>195</v>
      </c>
      <c r="F5" s="84">
        <v>0</v>
      </c>
      <c r="G5" s="84">
        <v>2.3000000000000001E-4</v>
      </c>
      <c r="H5" s="84">
        <v>0.192</v>
      </c>
      <c r="I5" s="84">
        <v>3.5</v>
      </c>
      <c r="J5" s="84">
        <v>0.71906610000000004</v>
      </c>
      <c r="K5" s="84">
        <v>5.4857142300000002E-2</v>
      </c>
      <c r="L5" s="84">
        <v>0</v>
      </c>
      <c r="M5" s="84">
        <v>0.2</v>
      </c>
      <c r="N5" s="84">
        <v>0</v>
      </c>
      <c r="P5" s="73"/>
      <c r="Q5" s="73"/>
      <c r="R5" s="73"/>
    </row>
    <row r="6" spans="1:46" ht="15" customHeight="1" thickBot="1" x14ac:dyDescent="0.2">
      <c r="B6" s="1"/>
      <c r="C6" s="84">
        <v>5</v>
      </c>
      <c r="D6"/>
      <c r="E6" s="176" t="s">
        <v>196</v>
      </c>
      <c r="F6" s="84">
        <v>0</v>
      </c>
      <c r="G6" s="84">
        <v>2.0999999999999999E-3</v>
      </c>
      <c r="H6" s="84">
        <v>0.7</v>
      </c>
      <c r="I6" s="84">
        <v>6.3</v>
      </c>
      <c r="J6" s="84">
        <v>4.42136079E-2</v>
      </c>
      <c r="K6" s="84">
        <v>0.111111104</v>
      </c>
      <c r="L6" s="84">
        <v>0</v>
      </c>
      <c r="M6" s="84">
        <v>0.2</v>
      </c>
      <c r="N6" s="84">
        <v>0</v>
      </c>
      <c r="P6" s="73"/>
      <c r="Q6" s="73"/>
      <c r="R6" s="73"/>
      <c r="W6" s="36" t="s">
        <v>31</v>
      </c>
      <c r="X6" s="52">
        <f>MAX(MainOutputs!G:G)</f>
        <v>0.99365007877349854</v>
      </c>
    </row>
    <row r="7" spans="1:46" ht="15" customHeight="1" x14ac:dyDescent="0.15">
      <c r="A7" s="2" t="s">
        <v>27</v>
      </c>
      <c r="B7" s="84">
        <f ca="1">COUNTIF(OFFSET(cornerDiets,1,1,NumLiving+NumDead+1,NumLiving+NumDead),"&gt;0")+NumLiving+NumDead+1</f>
        <v>1130</v>
      </c>
      <c r="C7" s="84">
        <v>6</v>
      </c>
      <c r="D7"/>
      <c r="E7" s="176" t="s">
        <v>197</v>
      </c>
      <c r="F7" s="84">
        <v>0</v>
      </c>
      <c r="G7" s="84">
        <v>3.0000000000000001E-5</v>
      </c>
      <c r="H7" s="84">
        <v>0.08</v>
      </c>
      <c r="I7" s="84">
        <v>36.700000000000003</v>
      </c>
      <c r="J7" s="84">
        <v>0</v>
      </c>
      <c r="K7" s="84">
        <v>2.1798363899999998E-3</v>
      </c>
      <c r="L7" s="84">
        <v>0</v>
      </c>
      <c r="M7" s="84">
        <v>0.2</v>
      </c>
      <c r="N7" s="84">
        <v>0</v>
      </c>
      <c r="P7" s="73"/>
      <c r="Q7" s="73"/>
      <c r="R7" s="73"/>
    </row>
    <row r="8" spans="1:46" ht="15" customHeight="1" x14ac:dyDescent="0.15">
      <c r="A8" s="2" t="s">
        <v>28</v>
      </c>
      <c r="B8" s="84">
        <f ca="1">COUNTIF(OFFSET(cornerFishing,1,2,NumLiving+NumDead,NumGears),"&gt;0")+NumDead*COUNTIF(OFFSET(cornerDiscards,1,2,NumLiving+NumDead,NumGears),"&gt;0")+NumLiving+NumDead+1</f>
        <v>1154</v>
      </c>
      <c r="C8" s="84">
        <v>7</v>
      </c>
      <c r="D8"/>
      <c r="E8" s="176" t="s">
        <v>198</v>
      </c>
      <c r="F8" s="84">
        <v>0</v>
      </c>
      <c r="G8" s="84">
        <v>2.0200000000000001E-3</v>
      </c>
      <c r="H8" s="84">
        <v>0.08</v>
      </c>
      <c r="I8" s="84">
        <v>33.799999999999997</v>
      </c>
      <c r="J8" s="84">
        <v>0</v>
      </c>
      <c r="K8" s="84">
        <v>2.3668640000000002E-3</v>
      </c>
      <c r="L8" s="84">
        <v>0</v>
      </c>
      <c r="M8" s="84">
        <v>0.2</v>
      </c>
      <c r="N8" s="84">
        <v>0</v>
      </c>
      <c r="P8" s="73"/>
      <c r="Q8" s="73"/>
      <c r="R8" s="73"/>
    </row>
    <row r="9" spans="1:46" ht="15" customHeight="1" x14ac:dyDescent="0.15">
      <c r="B9" s="1"/>
      <c r="C9" s="84">
        <v>8</v>
      </c>
      <c r="D9"/>
      <c r="E9" s="176" t="s">
        <v>199</v>
      </c>
      <c r="F9" s="84">
        <v>0</v>
      </c>
      <c r="G9" s="84">
        <v>3.4000000000000002E-4</v>
      </c>
      <c r="H9" s="84">
        <v>0.20399999999999999</v>
      </c>
      <c r="I9" s="84">
        <v>47.5</v>
      </c>
      <c r="J9" s="84">
        <v>0</v>
      </c>
      <c r="K9" s="84">
        <v>4.2947369999999999E-3</v>
      </c>
      <c r="L9" s="84">
        <v>0</v>
      </c>
      <c r="M9" s="84">
        <v>0.2</v>
      </c>
      <c r="N9" s="84">
        <v>0</v>
      </c>
      <c r="P9" s="73"/>
      <c r="Q9" s="73"/>
      <c r="R9" s="73"/>
    </row>
    <row r="10" spans="1:46" ht="15" customHeight="1" x14ac:dyDescent="0.15">
      <c r="B10" s="1"/>
      <c r="C10" s="84">
        <v>9</v>
      </c>
      <c r="D10"/>
      <c r="E10" s="176" t="s">
        <v>200</v>
      </c>
      <c r="F10" s="84">
        <v>0</v>
      </c>
      <c r="G10" s="84">
        <v>3.6000000000000002E-4</v>
      </c>
      <c r="H10" s="84">
        <v>0.16</v>
      </c>
      <c r="I10" s="84">
        <v>65.099999999999994</v>
      </c>
      <c r="J10" s="84">
        <v>0</v>
      </c>
      <c r="K10" s="84">
        <v>2.45775725E-3</v>
      </c>
      <c r="L10" s="84">
        <v>0</v>
      </c>
      <c r="M10" s="84">
        <v>0.2</v>
      </c>
      <c r="N10" s="84">
        <v>0</v>
      </c>
    </row>
    <row r="11" spans="1:46" ht="15" customHeight="1" x14ac:dyDescent="0.15">
      <c r="C11" s="84">
        <v>10</v>
      </c>
      <c r="D11"/>
      <c r="E11" s="176" t="s">
        <v>201</v>
      </c>
      <c r="F11" s="84">
        <v>0</v>
      </c>
      <c r="G11" s="84">
        <v>0.17709335700000001</v>
      </c>
      <c r="H11" s="84">
        <v>0.32600000000000001</v>
      </c>
      <c r="I11" s="84">
        <v>4.04795456</v>
      </c>
      <c r="J11" s="84">
        <v>1.4152823E-2</v>
      </c>
      <c r="K11" s="84">
        <v>8.0534499999999995E-2</v>
      </c>
      <c r="L11" s="84">
        <v>0</v>
      </c>
      <c r="M11" s="84">
        <v>0.2</v>
      </c>
      <c r="N11" s="84">
        <v>0</v>
      </c>
    </row>
    <row r="12" spans="1:46" ht="15" customHeight="1" x14ac:dyDescent="0.15">
      <c r="C12" s="84">
        <v>11</v>
      </c>
      <c r="D12"/>
      <c r="E12" s="176" t="s">
        <v>202</v>
      </c>
      <c r="F12" s="84">
        <v>0</v>
      </c>
      <c r="G12" s="84">
        <v>1.8155999999999999E-2</v>
      </c>
      <c r="H12" s="84">
        <v>0.57899999999999996</v>
      </c>
      <c r="I12" s="84">
        <v>4.9000000000000004</v>
      </c>
      <c r="J12" s="84">
        <v>0.88763990000000004</v>
      </c>
      <c r="K12" s="84">
        <v>0.118163265</v>
      </c>
      <c r="L12" s="84">
        <v>0</v>
      </c>
      <c r="M12" s="84">
        <v>0.2</v>
      </c>
      <c r="N12" s="84">
        <v>0</v>
      </c>
    </row>
    <row r="13" spans="1:46" ht="15" customHeight="1" x14ac:dyDescent="0.15">
      <c r="C13" s="84">
        <v>12</v>
      </c>
      <c r="D13"/>
      <c r="E13" s="176" t="s">
        <v>203</v>
      </c>
      <c r="F13" s="84">
        <v>0</v>
      </c>
      <c r="G13" s="84">
        <v>0.24951200000000001</v>
      </c>
      <c r="H13" s="84">
        <v>0.435</v>
      </c>
      <c r="I13" s="84">
        <v>4.5999999999999996</v>
      </c>
      <c r="J13" s="84">
        <v>1.3555654999999999E-3</v>
      </c>
      <c r="K13" s="84">
        <v>9.4565220000000005E-2</v>
      </c>
      <c r="L13" s="84">
        <v>0</v>
      </c>
      <c r="M13" s="84">
        <v>0.2</v>
      </c>
      <c r="N13" s="84">
        <v>0</v>
      </c>
    </row>
    <row r="14" spans="1:46" ht="15" customHeight="1" x14ac:dyDescent="0.15">
      <c r="C14" s="84">
        <v>13</v>
      </c>
      <c r="D14"/>
      <c r="E14" s="176" t="s">
        <v>204</v>
      </c>
      <c r="F14" s="84">
        <v>0</v>
      </c>
      <c r="G14" s="84">
        <v>3.389628E-3</v>
      </c>
      <c r="H14" s="84">
        <v>0.59799999999999998</v>
      </c>
      <c r="I14" s="84">
        <v>8.5779999999999994</v>
      </c>
      <c r="J14" s="84">
        <v>0.43095990000000001</v>
      </c>
      <c r="K14" s="84">
        <v>6.9713220000000006E-2</v>
      </c>
      <c r="L14" s="84">
        <v>0</v>
      </c>
      <c r="M14" s="84">
        <v>0.2</v>
      </c>
      <c r="N14" s="84">
        <v>0</v>
      </c>
    </row>
    <row r="15" spans="1:46" ht="15" customHeight="1" x14ac:dyDescent="0.15">
      <c r="C15" s="84">
        <v>14</v>
      </c>
      <c r="D15"/>
      <c r="E15" s="176" t="s">
        <v>205</v>
      </c>
      <c r="F15" s="84">
        <v>0</v>
      </c>
      <c r="G15" s="84">
        <v>0.48165103799999998</v>
      </c>
      <c r="H15" s="84">
        <v>1.3049999999999999</v>
      </c>
      <c r="I15" s="84">
        <v>7.4843000000000002</v>
      </c>
      <c r="J15" s="84">
        <v>1.69423665E-3</v>
      </c>
      <c r="K15" s="84">
        <v>0.17436499999999999</v>
      </c>
      <c r="L15" s="84">
        <v>0</v>
      </c>
      <c r="M15" s="84">
        <v>0.2</v>
      </c>
      <c r="N15" s="84">
        <v>0</v>
      </c>
    </row>
    <row r="16" spans="1:46" ht="15" customHeight="1" x14ac:dyDescent="0.15">
      <c r="C16" s="84">
        <v>15</v>
      </c>
      <c r="D16"/>
      <c r="E16" s="176" t="s">
        <v>206</v>
      </c>
      <c r="F16" s="84">
        <v>0</v>
      </c>
      <c r="G16" s="84">
        <v>3.3614695100000001E-2</v>
      </c>
      <c r="H16" s="84">
        <v>0.55900000000000005</v>
      </c>
      <c r="I16" s="84">
        <v>4.6500000000000004</v>
      </c>
      <c r="J16" s="84">
        <v>1.1930943499999999E-2</v>
      </c>
      <c r="K16" s="84">
        <v>0.120215051</v>
      </c>
      <c r="L16" s="84">
        <v>0</v>
      </c>
      <c r="M16" s="84">
        <v>0.2</v>
      </c>
      <c r="N16" s="84">
        <v>0</v>
      </c>
    </row>
    <row r="17" spans="1:22" ht="15" customHeight="1" x14ac:dyDescent="0.15">
      <c r="C17" s="84">
        <v>16</v>
      </c>
      <c r="D17"/>
      <c r="E17" s="176" t="s">
        <v>207</v>
      </c>
      <c r="F17" s="84">
        <v>0</v>
      </c>
      <c r="G17" s="84">
        <v>0.05</v>
      </c>
      <c r="H17" s="84">
        <v>0.26200000000000001</v>
      </c>
      <c r="I17" s="84">
        <v>2.66</v>
      </c>
      <c r="J17" s="84">
        <v>0.17124424899999999</v>
      </c>
      <c r="K17" s="84">
        <v>9.8496235900000007E-2</v>
      </c>
      <c r="L17" s="84">
        <v>0</v>
      </c>
      <c r="M17" s="84">
        <v>0.2</v>
      </c>
      <c r="N17" s="84">
        <v>0</v>
      </c>
      <c r="V17" s="1" t="s">
        <v>30</v>
      </c>
    </row>
    <row r="18" spans="1:22" ht="15" customHeight="1" x14ac:dyDescent="0.15">
      <c r="C18" s="84">
        <v>17</v>
      </c>
      <c r="D18"/>
      <c r="E18" s="176" t="s">
        <v>208</v>
      </c>
      <c r="F18" s="84">
        <v>0</v>
      </c>
      <c r="G18" s="84">
        <v>2.7999999999999998E-4</v>
      </c>
      <c r="H18" s="84">
        <v>0.37</v>
      </c>
      <c r="I18" s="84">
        <v>7.766667</v>
      </c>
      <c r="J18" s="84">
        <v>0.61422509999999997</v>
      </c>
      <c r="K18" s="84">
        <v>4.7639485400000001E-2</v>
      </c>
      <c r="L18" s="84">
        <v>0</v>
      </c>
      <c r="M18" s="84">
        <v>0.2</v>
      </c>
      <c r="N18" s="84">
        <v>0</v>
      </c>
      <c r="V18" s="1"/>
    </row>
    <row r="19" spans="1:22" ht="15" customHeight="1" x14ac:dyDescent="0.15">
      <c r="C19" s="84">
        <v>18</v>
      </c>
      <c r="D19"/>
      <c r="E19" s="176" t="s">
        <v>209</v>
      </c>
      <c r="F19" s="84">
        <v>0</v>
      </c>
      <c r="G19" s="84">
        <v>1.4999999999999999E-2</v>
      </c>
      <c r="H19" s="84">
        <v>0.70299999999999996</v>
      </c>
      <c r="I19" s="84">
        <v>12.904571499999999</v>
      </c>
      <c r="J19" s="84">
        <v>0.89830005199999996</v>
      </c>
      <c r="K19" s="84">
        <v>5.4476820000000002E-2</v>
      </c>
      <c r="L19" s="84">
        <v>0</v>
      </c>
      <c r="M19" s="84">
        <v>0.2</v>
      </c>
      <c r="N19" s="84">
        <v>0</v>
      </c>
    </row>
    <row r="20" spans="1:22" ht="15" customHeight="1" thickBot="1" x14ac:dyDescent="0.2">
      <c r="C20" s="84">
        <v>19</v>
      </c>
      <c r="D20"/>
      <c r="E20" s="176" t="s">
        <v>210</v>
      </c>
      <c r="F20" s="84">
        <v>0</v>
      </c>
      <c r="G20" s="84">
        <v>0.3</v>
      </c>
      <c r="H20" s="84">
        <v>0.93799999999999994</v>
      </c>
      <c r="I20" s="84">
        <v>9.35</v>
      </c>
      <c r="J20" s="84">
        <v>0.87421879999999996</v>
      </c>
      <c r="K20" s="84">
        <v>0.100320853</v>
      </c>
      <c r="L20" s="84">
        <v>0</v>
      </c>
      <c r="M20" s="84">
        <v>0.2</v>
      </c>
      <c r="N20" s="84">
        <v>0</v>
      </c>
    </row>
    <row r="21" spans="1:22" ht="15" customHeight="1" thickBot="1" x14ac:dyDescent="0.2">
      <c r="A21" s="47" t="s">
        <v>137</v>
      </c>
      <c r="B21" s="101"/>
      <c r="C21" s="84">
        <v>20</v>
      </c>
      <c r="D21"/>
      <c r="E21" s="176" t="s">
        <v>211</v>
      </c>
      <c r="F21" s="84">
        <v>0</v>
      </c>
      <c r="G21" s="84">
        <v>0.13</v>
      </c>
      <c r="H21" s="84">
        <v>1.016</v>
      </c>
      <c r="I21" s="84">
        <v>16.151687599999999</v>
      </c>
      <c r="J21" s="84">
        <v>0.85478514400000005</v>
      </c>
      <c r="K21" s="84">
        <v>6.2903639999999997E-2</v>
      </c>
      <c r="L21" s="84">
        <v>0</v>
      </c>
      <c r="M21" s="84">
        <v>0.2</v>
      </c>
      <c r="N21" s="84">
        <v>0</v>
      </c>
    </row>
    <row r="22" spans="1:22" ht="15" customHeight="1" x14ac:dyDescent="0.15">
      <c r="A22" s="102" t="s">
        <v>58</v>
      </c>
      <c r="B22" s="103">
        <v>0</v>
      </c>
      <c r="C22" s="84">
        <v>21</v>
      </c>
      <c r="D22"/>
      <c r="E22" s="176" t="s">
        <v>212</v>
      </c>
      <c r="F22" s="84">
        <v>0</v>
      </c>
      <c r="G22" s="84">
        <v>0.7</v>
      </c>
      <c r="H22" s="84">
        <v>1.17</v>
      </c>
      <c r="I22" s="84">
        <v>7.2166667000000002</v>
      </c>
      <c r="J22" s="84">
        <v>0.94616719999999999</v>
      </c>
      <c r="K22" s="84">
        <v>0.16212470800000001</v>
      </c>
      <c r="L22" s="84">
        <v>0</v>
      </c>
      <c r="M22" s="84">
        <v>0.2</v>
      </c>
      <c r="N22" s="84">
        <v>0</v>
      </c>
    </row>
    <row r="23" spans="1:22" ht="15" customHeight="1" x14ac:dyDescent="0.15">
      <c r="A23" s="102" t="s">
        <v>59</v>
      </c>
      <c r="B23" s="103">
        <v>1</v>
      </c>
      <c r="C23" s="84">
        <v>22</v>
      </c>
      <c r="D23"/>
      <c r="E23" s="176" t="s">
        <v>213</v>
      </c>
      <c r="F23" s="84">
        <v>0</v>
      </c>
      <c r="G23" s="84">
        <v>0.93821659999999996</v>
      </c>
      <c r="H23" s="84">
        <v>0.995</v>
      </c>
      <c r="I23" s="84">
        <v>10.65</v>
      </c>
      <c r="J23" s="84">
        <v>0.233073846</v>
      </c>
      <c r="K23" s="84">
        <v>9.342723E-2</v>
      </c>
      <c r="L23" s="84">
        <v>0</v>
      </c>
      <c r="M23" s="84">
        <v>0.2</v>
      </c>
      <c r="N23" s="84">
        <v>0</v>
      </c>
    </row>
    <row r="24" spans="1:22" ht="15" customHeight="1" x14ac:dyDescent="0.15">
      <c r="A24" s="102" t="s">
        <v>60</v>
      </c>
      <c r="B24" s="103">
        <v>2</v>
      </c>
      <c r="C24" s="84">
        <v>23</v>
      </c>
      <c r="D24"/>
      <c r="E24" s="176" t="s">
        <v>214</v>
      </c>
      <c r="F24" s="84">
        <v>0</v>
      </c>
      <c r="G24" s="84">
        <v>0.47346255199999998</v>
      </c>
      <c r="H24" s="84">
        <v>0.65200000000000002</v>
      </c>
      <c r="I24" s="84">
        <v>7.9855</v>
      </c>
      <c r="J24" s="84">
        <v>0.524330556</v>
      </c>
      <c r="K24" s="84">
        <v>8.1647990000000004E-2</v>
      </c>
      <c r="L24" s="84">
        <v>0</v>
      </c>
      <c r="M24" s="84">
        <v>0.2</v>
      </c>
      <c r="N24" s="84">
        <v>0</v>
      </c>
    </row>
    <row r="25" spans="1:22" ht="15" customHeight="1" thickBot="1" x14ac:dyDescent="0.2">
      <c r="A25" s="104" t="s">
        <v>44</v>
      </c>
      <c r="B25" s="105">
        <v>3</v>
      </c>
      <c r="C25" s="84">
        <v>24</v>
      </c>
      <c r="D25"/>
      <c r="E25" s="176" t="s">
        <v>215</v>
      </c>
      <c r="F25" s="84">
        <v>0</v>
      </c>
      <c r="G25" s="84">
        <v>1.1679999999999999</v>
      </c>
      <c r="H25" s="84">
        <v>0.88700000000000001</v>
      </c>
      <c r="I25" s="84">
        <v>5.16</v>
      </c>
      <c r="J25" s="84">
        <v>1.42461259E-3</v>
      </c>
      <c r="K25" s="84">
        <v>0.17189922899999999</v>
      </c>
      <c r="L25" s="84">
        <v>0</v>
      </c>
      <c r="M25" s="84">
        <v>0.2</v>
      </c>
      <c r="N25" s="84">
        <v>0</v>
      </c>
    </row>
    <row r="26" spans="1:22" ht="15" customHeight="1" x14ac:dyDescent="0.15">
      <c r="A26" s="106" t="s">
        <v>140</v>
      </c>
      <c r="C26" s="84">
        <v>25</v>
      </c>
      <c r="D26"/>
      <c r="E26" s="176" t="s">
        <v>216</v>
      </c>
      <c r="F26" s="84">
        <v>0</v>
      </c>
      <c r="G26" s="84">
        <v>1.66388559</v>
      </c>
      <c r="H26" s="84">
        <v>1.222</v>
      </c>
      <c r="I26" s="84">
        <v>6.46</v>
      </c>
      <c r="J26" s="84">
        <v>4.8848660000000002E-2</v>
      </c>
      <c r="K26" s="84">
        <v>0.18916408700000001</v>
      </c>
      <c r="L26" s="84">
        <v>0</v>
      </c>
      <c r="M26" s="84">
        <v>0.2</v>
      </c>
      <c r="N26" s="84">
        <v>0</v>
      </c>
    </row>
    <row r="27" spans="1:22" ht="15" customHeight="1" x14ac:dyDescent="0.15">
      <c r="C27" s="84">
        <v>26</v>
      </c>
      <c r="D27"/>
      <c r="E27" s="176" t="s">
        <v>217</v>
      </c>
      <c r="F27" s="84">
        <v>0</v>
      </c>
      <c r="G27" s="84">
        <v>3.2</v>
      </c>
      <c r="H27" s="84">
        <v>2.25</v>
      </c>
      <c r="I27" s="84">
        <v>9.9411760000000005</v>
      </c>
      <c r="J27" s="84">
        <v>0.99314206800000004</v>
      </c>
      <c r="K27" s="84">
        <v>0.226331368</v>
      </c>
      <c r="L27" s="84">
        <v>0</v>
      </c>
      <c r="M27" s="84">
        <v>0.2</v>
      </c>
      <c r="N27" s="84">
        <v>0</v>
      </c>
    </row>
    <row r="28" spans="1:22" ht="15" customHeight="1" x14ac:dyDescent="0.15">
      <c r="C28" s="84">
        <v>27</v>
      </c>
      <c r="D28"/>
      <c r="E28" s="176" t="s">
        <v>218</v>
      </c>
      <c r="F28" s="84">
        <v>0</v>
      </c>
      <c r="G28" s="84">
        <v>3.2</v>
      </c>
      <c r="H28" s="84">
        <v>2.25</v>
      </c>
      <c r="I28" s="84">
        <v>13.0818186</v>
      </c>
      <c r="J28" s="84">
        <v>0.99348557000000004</v>
      </c>
      <c r="K28" s="84">
        <v>0.171994433</v>
      </c>
      <c r="L28" s="84">
        <v>0</v>
      </c>
      <c r="M28" s="84">
        <v>0.2</v>
      </c>
      <c r="N28" s="84">
        <v>0</v>
      </c>
    </row>
    <row r="29" spans="1:22" customFormat="1" ht="15" customHeight="1" x14ac:dyDescent="0.15">
      <c r="C29" s="84">
        <v>28</v>
      </c>
      <c r="E29" s="176" t="s">
        <v>219</v>
      </c>
      <c r="F29" s="84">
        <v>0</v>
      </c>
      <c r="G29" s="84">
        <v>1.3</v>
      </c>
      <c r="H29" s="84">
        <v>1.913</v>
      </c>
      <c r="I29" s="84">
        <v>12.1</v>
      </c>
      <c r="J29" s="84">
        <v>0.90068244900000005</v>
      </c>
      <c r="K29" s="84">
        <v>0.15809917400000001</v>
      </c>
      <c r="L29" s="84">
        <v>0</v>
      </c>
      <c r="M29" s="84">
        <v>0.2</v>
      </c>
      <c r="N29" s="84">
        <v>0</v>
      </c>
    </row>
    <row r="30" spans="1:22" customFormat="1" ht="15" customHeight="1" x14ac:dyDescent="0.15">
      <c r="C30" s="84">
        <v>29</v>
      </c>
      <c r="E30" s="176" t="s">
        <v>220</v>
      </c>
      <c r="F30" s="84">
        <v>0</v>
      </c>
      <c r="G30" s="84">
        <v>0.43</v>
      </c>
      <c r="H30" s="84">
        <v>1.6850000000000001</v>
      </c>
      <c r="I30" s="84">
        <v>10.824999999999999</v>
      </c>
      <c r="J30" s="84">
        <v>0.74417889999999998</v>
      </c>
      <c r="K30" s="84">
        <v>0.1556582</v>
      </c>
      <c r="L30" s="84">
        <v>0</v>
      </c>
      <c r="M30" s="84">
        <v>0.2</v>
      </c>
      <c r="N30" s="84">
        <v>0</v>
      </c>
    </row>
    <row r="31" spans="1:22" customFormat="1" ht="15" customHeight="1" x14ac:dyDescent="0.15">
      <c r="C31" s="84">
        <v>30</v>
      </c>
      <c r="E31" s="176" t="s">
        <v>221</v>
      </c>
      <c r="F31" s="84">
        <v>0</v>
      </c>
      <c r="G31" s="84">
        <v>1.5848468499999999</v>
      </c>
      <c r="H31" s="84">
        <v>1.5660000000000001</v>
      </c>
      <c r="I31" s="84">
        <v>11.493</v>
      </c>
      <c r="J31" s="84">
        <v>0.33552807600000001</v>
      </c>
      <c r="K31" s="84">
        <v>0.13625684399999999</v>
      </c>
      <c r="L31" s="84">
        <v>0</v>
      </c>
      <c r="M31" s="84">
        <v>0.2</v>
      </c>
      <c r="N31" s="84">
        <v>0</v>
      </c>
    </row>
    <row r="32" spans="1:22" customFormat="1" ht="15" customHeight="1" x14ac:dyDescent="0.15">
      <c r="C32" s="84">
        <v>31</v>
      </c>
      <c r="E32" s="176" t="s">
        <v>222</v>
      </c>
      <c r="F32" s="84">
        <v>0</v>
      </c>
      <c r="G32" s="84">
        <v>10</v>
      </c>
      <c r="H32" s="84">
        <v>4.0999999999999996</v>
      </c>
      <c r="I32" s="84">
        <v>16.483333600000002</v>
      </c>
      <c r="J32" s="84">
        <v>0.98557170000000005</v>
      </c>
      <c r="K32" s="84">
        <v>0.248736084</v>
      </c>
      <c r="L32" s="84">
        <v>0</v>
      </c>
      <c r="M32" s="84">
        <v>0.2</v>
      </c>
      <c r="N32" s="84">
        <v>0</v>
      </c>
    </row>
    <row r="33" spans="3:14" customFormat="1" ht="15" customHeight="1" x14ac:dyDescent="0.15">
      <c r="C33" s="84">
        <v>32</v>
      </c>
      <c r="E33" s="176" t="s">
        <v>223</v>
      </c>
      <c r="F33" s="84">
        <v>0</v>
      </c>
      <c r="G33" s="84">
        <v>0.3006548</v>
      </c>
      <c r="H33" s="84">
        <v>1.798</v>
      </c>
      <c r="I33" s="84">
        <v>35.142856600000002</v>
      </c>
      <c r="J33" s="84">
        <v>0.240942508</v>
      </c>
      <c r="K33" s="84">
        <v>5.1162600000000003E-2</v>
      </c>
      <c r="L33" s="84">
        <v>0</v>
      </c>
      <c r="M33" s="84">
        <v>0.2</v>
      </c>
      <c r="N33" s="84">
        <v>0</v>
      </c>
    </row>
    <row r="34" spans="3:14" customFormat="1" ht="15" customHeight="1" x14ac:dyDescent="0.15">
      <c r="C34" s="84">
        <v>33</v>
      </c>
      <c r="E34" s="176" t="s">
        <v>224</v>
      </c>
      <c r="F34" s="84">
        <v>0</v>
      </c>
      <c r="G34" s="84">
        <v>0.2195</v>
      </c>
      <c r="H34" s="84">
        <v>3.3</v>
      </c>
      <c r="I34" s="84">
        <v>17.440000000000001</v>
      </c>
      <c r="J34" s="84">
        <v>0.96531359999999999</v>
      </c>
      <c r="K34" s="84">
        <v>0.18922017499999999</v>
      </c>
      <c r="L34" s="84">
        <v>0</v>
      </c>
      <c r="M34" s="84">
        <v>0.2</v>
      </c>
      <c r="N34" s="84">
        <v>0</v>
      </c>
    </row>
    <row r="35" spans="3:14" customFormat="1" ht="15" customHeight="1" x14ac:dyDescent="0.15">
      <c r="C35" s="84">
        <v>34</v>
      </c>
      <c r="E35" s="176" t="s">
        <v>225</v>
      </c>
      <c r="F35" s="84">
        <v>0</v>
      </c>
      <c r="G35" s="84">
        <v>0.9</v>
      </c>
      <c r="H35" s="84">
        <v>0.50700000000000001</v>
      </c>
      <c r="I35" s="84">
        <v>3.5166666499999999</v>
      </c>
      <c r="J35" s="84">
        <v>2.6817091299999999E-3</v>
      </c>
      <c r="K35" s="84">
        <v>0.144170627</v>
      </c>
      <c r="L35" s="84">
        <v>0</v>
      </c>
      <c r="M35" s="84">
        <v>0.2</v>
      </c>
      <c r="N35" s="84">
        <v>0</v>
      </c>
    </row>
    <row r="36" spans="3:14" customFormat="1" ht="15" customHeight="1" x14ac:dyDescent="0.15">
      <c r="C36" s="84">
        <v>35</v>
      </c>
      <c r="E36" s="176" t="s">
        <v>226</v>
      </c>
      <c r="F36" s="84">
        <v>0</v>
      </c>
      <c r="G36" s="84">
        <v>2.5</v>
      </c>
      <c r="H36" s="84">
        <v>0.92200000000000004</v>
      </c>
      <c r="I36" s="84">
        <v>6.4285709999999998</v>
      </c>
      <c r="J36" s="84">
        <v>0.15136840900000001</v>
      </c>
      <c r="K36" s="84">
        <v>0.14342223100000001</v>
      </c>
      <c r="L36" s="84">
        <v>0</v>
      </c>
      <c r="M36" s="84">
        <v>0.2</v>
      </c>
      <c r="N36" s="84">
        <v>0</v>
      </c>
    </row>
    <row r="37" spans="3:14" customFormat="1" ht="15" customHeight="1" x14ac:dyDescent="0.15">
      <c r="C37" s="84">
        <v>36</v>
      </c>
      <c r="E37" s="176" t="s">
        <v>227</v>
      </c>
      <c r="F37" s="84">
        <v>0</v>
      </c>
      <c r="G37" s="84">
        <v>4.9255032500000002</v>
      </c>
      <c r="H37" s="84">
        <v>0.32800000000000001</v>
      </c>
      <c r="I37" s="84">
        <v>3.1</v>
      </c>
      <c r="J37" s="84">
        <v>7.4679749999999995E-4</v>
      </c>
      <c r="K37" s="84">
        <v>0.10580645499999999</v>
      </c>
      <c r="L37" s="84">
        <v>0</v>
      </c>
      <c r="M37" s="84">
        <v>0.2</v>
      </c>
      <c r="N37" s="84">
        <v>0</v>
      </c>
    </row>
    <row r="38" spans="3:14" customFormat="1" ht="15" customHeight="1" x14ac:dyDescent="0.15">
      <c r="C38" s="84">
        <v>37</v>
      </c>
      <c r="E38" s="176" t="s">
        <v>228</v>
      </c>
      <c r="F38" s="84">
        <v>0</v>
      </c>
      <c r="G38" s="84">
        <v>8.1655000000000005E-2</v>
      </c>
      <c r="H38" s="84">
        <v>0.59</v>
      </c>
      <c r="I38" s="84">
        <v>4.8</v>
      </c>
      <c r="J38" s="84">
        <v>4.4863330000000003E-3</v>
      </c>
      <c r="K38" s="84">
        <v>0.122916654</v>
      </c>
      <c r="L38" s="84">
        <v>0</v>
      </c>
      <c r="M38" s="84">
        <v>0.2</v>
      </c>
      <c r="N38" s="84">
        <v>0</v>
      </c>
    </row>
    <row r="39" spans="3:14" customFormat="1" ht="15" customHeight="1" x14ac:dyDescent="0.15">
      <c r="C39" s="84">
        <v>38</v>
      </c>
      <c r="E39" s="176" t="s">
        <v>229</v>
      </c>
      <c r="F39" s="84">
        <v>0</v>
      </c>
      <c r="G39" s="84">
        <v>0.152</v>
      </c>
      <c r="H39" s="84">
        <v>0.159</v>
      </c>
      <c r="I39" s="84">
        <v>3.4</v>
      </c>
      <c r="J39" s="84">
        <v>0</v>
      </c>
      <c r="K39" s="84">
        <v>4.6764699999999999E-2</v>
      </c>
      <c r="L39" s="84">
        <v>0</v>
      </c>
      <c r="M39" s="84">
        <v>0.2</v>
      </c>
      <c r="N39" s="84">
        <v>0</v>
      </c>
    </row>
    <row r="40" spans="3:14" customFormat="1" ht="15" customHeight="1" x14ac:dyDescent="0.15">
      <c r="C40" s="84">
        <v>39</v>
      </c>
      <c r="E40" s="176" t="s">
        <v>230</v>
      </c>
      <c r="F40" s="84">
        <v>0</v>
      </c>
      <c r="G40" s="84">
        <v>0.55063589999999996</v>
      </c>
      <c r="H40" s="84">
        <v>1.778</v>
      </c>
      <c r="I40" s="84">
        <v>7.9</v>
      </c>
      <c r="J40" s="84">
        <v>0.9</v>
      </c>
      <c r="K40" s="84">
        <v>0.22506329999999999</v>
      </c>
      <c r="L40" s="84">
        <v>0</v>
      </c>
      <c r="M40" s="84">
        <v>0.2</v>
      </c>
      <c r="N40" s="84">
        <v>0</v>
      </c>
    </row>
    <row r="41" spans="3:14" customFormat="1" ht="15" customHeight="1" x14ac:dyDescent="0.15">
      <c r="C41" s="84">
        <v>40</v>
      </c>
      <c r="E41" s="176" t="s">
        <v>231</v>
      </c>
      <c r="F41" s="84">
        <v>0</v>
      </c>
      <c r="G41" s="84">
        <v>3.8880691500000002</v>
      </c>
      <c r="H41" s="84">
        <v>1.778</v>
      </c>
      <c r="I41" s="84">
        <v>7.9</v>
      </c>
      <c r="J41" s="84">
        <v>0.97</v>
      </c>
      <c r="K41" s="84">
        <v>0.22506329999999999</v>
      </c>
      <c r="L41" s="84">
        <v>0</v>
      </c>
      <c r="M41" s="84">
        <v>0.2</v>
      </c>
      <c r="N41" s="84">
        <v>0</v>
      </c>
    </row>
    <row r="42" spans="3:14" customFormat="1" ht="15" customHeight="1" x14ac:dyDescent="0.15">
      <c r="C42" s="84">
        <v>41</v>
      </c>
      <c r="E42" s="176" t="s">
        <v>232</v>
      </c>
      <c r="F42" s="84">
        <v>0</v>
      </c>
      <c r="G42" s="84">
        <v>2.8025934700000001</v>
      </c>
      <c r="H42" s="84">
        <v>2.7</v>
      </c>
      <c r="I42" s="84">
        <v>7.4320000000000004</v>
      </c>
      <c r="J42" s="84">
        <v>0.97</v>
      </c>
      <c r="K42" s="84">
        <v>0.36329385600000003</v>
      </c>
      <c r="L42" s="84">
        <v>0</v>
      </c>
      <c r="M42" s="84">
        <v>0.2</v>
      </c>
      <c r="N42" s="84">
        <v>0</v>
      </c>
    </row>
    <row r="43" spans="3:14" customFormat="1" ht="15" customHeight="1" x14ac:dyDescent="0.15">
      <c r="C43" s="84">
        <v>42</v>
      </c>
      <c r="E43" s="176" t="s">
        <v>233</v>
      </c>
      <c r="F43" s="84">
        <v>0</v>
      </c>
      <c r="G43" s="84">
        <v>2.1386047799999999E-2</v>
      </c>
      <c r="H43" s="84">
        <v>3.72</v>
      </c>
      <c r="I43" s="84">
        <v>43.888015699999997</v>
      </c>
      <c r="J43" s="84">
        <v>0.74995979999999995</v>
      </c>
      <c r="K43" s="84">
        <v>8.4761180000000005E-2</v>
      </c>
      <c r="L43" s="84">
        <v>0</v>
      </c>
      <c r="M43" s="84">
        <v>0.4</v>
      </c>
      <c r="N43" s="84">
        <v>0</v>
      </c>
    </row>
    <row r="44" spans="3:14" customFormat="1" ht="15" customHeight="1" x14ac:dyDescent="0.15">
      <c r="C44" s="84">
        <v>43</v>
      </c>
      <c r="E44" s="176" t="s">
        <v>234</v>
      </c>
      <c r="F44" s="84">
        <v>0</v>
      </c>
      <c r="G44" s="84">
        <v>3.782195E-2</v>
      </c>
      <c r="H44" s="84">
        <v>3.12</v>
      </c>
      <c r="I44" s="84">
        <v>27.1808014</v>
      </c>
      <c r="J44" s="84">
        <v>0.85677769999999998</v>
      </c>
      <c r="K44" s="84">
        <v>0.1147869</v>
      </c>
      <c r="L44" s="84">
        <v>0</v>
      </c>
      <c r="M44" s="84">
        <v>0.4</v>
      </c>
      <c r="N44" s="84">
        <v>0</v>
      </c>
    </row>
    <row r="45" spans="3:14" customFormat="1" ht="15" customHeight="1" x14ac:dyDescent="0.15">
      <c r="C45" s="84">
        <v>44</v>
      </c>
      <c r="E45" s="176" t="s">
        <v>235</v>
      </c>
      <c r="F45" s="84">
        <v>0</v>
      </c>
      <c r="G45" s="84">
        <v>0.15</v>
      </c>
      <c r="H45" s="84">
        <v>3.2</v>
      </c>
      <c r="I45" s="84">
        <v>19.2</v>
      </c>
      <c r="J45" s="84">
        <v>0.73925719999999995</v>
      </c>
      <c r="K45" s="84">
        <v>0.166666657</v>
      </c>
      <c r="L45" s="84">
        <v>0</v>
      </c>
      <c r="M45" s="84">
        <v>0.3</v>
      </c>
      <c r="N45" s="84">
        <v>0</v>
      </c>
    </row>
    <row r="46" spans="3:14" customFormat="1" ht="15" customHeight="1" x14ac:dyDescent="0.15">
      <c r="C46" s="84">
        <v>45</v>
      </c>
      <c r="E46" s="176" t="s">
        <v>236</v>
      </c>
      <c r="F46" s="84">
        <v>0</v>
      </c>
      <c r="G46" s="84">
        <v>1.3935690000000001E-2</v>
      </c>
      <c r="H46" s="84">
        <v>3.5</v>
      </c>
      <c r="I46" s="84">
        <v>45.304042799999998</v>
      </c>
      <c r="J46" s="84">
        <v>0.85408150000000005</v>
      </c>
      <c r="K46" s="84">
        <v>7.7255799999999999E-2</v>
      </c>
      <c r="L46" s="84">
        <v>0</v>
      </c>
      <c r="M46" s="84">
        <v>0.4</v>
      </c>
      <c r="N46" s="84">
        <v>0</v>
      </c>
    </row>
    <row r="47" spans="3:14" customFormat="1" ht="15" customHeight="1" x14ac:dyDescent="0.15">
      <c r="C47" s="84">
        <v>46</v>
      </c>
      <c r="E47" s="176" t="s">
        <v>237</v>
      </c>
      <c r="F47" s="84">
        <v>0</v>
      </c>
      <c r="G47" s="84">
        <v>2.5000000000000001E-2</v>
      </c>
      <c r="H47" s="84">
        <v>3.4</v>
      </c>
      <c r="I47" s="84">
        <v>28.176622399999999</v>
      </c>
      <c r="J47" s="84">
        <v>0.79705669999999995</v>
      </c>
      <c r="K47" s="84">
        <v>0.120667413</v>
      </c>
      <c r="L47" s="84">
        <v>0</v>
      </c>
      <c r="M47" s="84">
        <v>0.4</v>
      </c>
      <c r="N47" s="84">
        <v>0</v>
      </c>
    </row>
    <row r="48" spans="3:14" customFormat="1" ht="15" customHeight="1" x14ac:dyDescent="0.15">
      <c r="C48" s="84">
        <v>47</v>
      </c>
      <c r="E48" s="176" t="s">
        <v>238</v>
      </c>
      <c r="F48" s="84">
        <v>0</v>
      </c>
      <c r="G48" s="84">
        <v>0.13979723999999999</v>
      </c>
      <c r="H48" s="84">
        <v>2.34</v>
      </c>
      <c r="I48" s="84">
        <v>19.2</v>
      </c>
      <c r="J48" s="84">
        <v>0.89611470000000004</v>
      </c>
      <c r="K48" s="84">
        <v>0.121874988</v>
      </c>
      <c r="L48" s="84">
        <v>0</v>
      </c>
      <c r="M48" s="84">
        <v>0.3</v>
      </c>
      <c r="N48" s="84">
        <v>0</v>
      </c>
    </row>
    <row r="49" spans="3:14" customFormat="1" ht="15" customHeight="1" x14ac:dyDescent="0.15">
      <c r="C49" s="84">
        <v>48</v>
      </c>
      <c r="E49" s="176" t="s">
        <v>239</v>
      </c>
      <c r="F49" s="84">
        <v>0</v>
      </c>
      <c r="G49" s="84">
        <v>3.7298815300000001</v>
      </c>
      <c r="H49" s="84">
        <v>1.875</v>
      </c>
      <c r="I49" s="84">
        <v>25</v>
      </c>
      <c r="J49" s="84">
        <v>0.97</v>
      </c>
      <c r="K49" s="84">
        <v>7.4999999999999997E-2</v>
      </c>
      <c r="L49" s="84">
        <v>0</v>
      </c>
      <c r="M49" s="84">
        <v>0.3</v>
      </c>
      <c r="N49" s="84">
        <v>0</v>
      </c>
    </row>
    <row r="50" spans="3:14" customFormat="1" ht="15" customHeight="1" x14ac:dyDescent="0.15">
      <c r="C50" s="84">
        <v>49</v>
      </c>
      <c r="E50" s="176" t="s">
        <v>240</v>
      </c>
      <c r="F50" s="84">
        <v>0</v>
      </c>
      <c r="G50" s="84">
        <v>3.4147543900000001</v>
      </c>
      <c r="H50" s="84">
        <v>2.5</v>
      </c>
      <c r="I50" s="84">
        <v>25</v>
      </c>
      <c r="J50" s="84">
        <v>0.97</v>
      </c>
      <c r="K50" s="84">
        <v>0.1</v>
      </c>
      <c r="L50" s="84">
        <v>0</v>
      </c>
      <c r="M50" s="84">
        <v>0.3</v>
      </c>
      <c r="N50" s="84">
        <v>0</v>
      </c>
    </row>
    <row r="51" spans="3:14" customFormat="1" ht="15" customHeight="1" x14ac:dyDescent="0.15">
      <c r="C51" s="84">
        <v>50</v>
      </c>
      <c r="E51" s="176" t="s">
        <v>241</v>
      </c>
      <c r="F51" s="84">
        <v>0</v>
      </c>
      <c r="G51" s="84">
        <v>35.273807499999997</v>
      </c>
      <c r="H51" s="84">
        <v>2.2999999999999998</v>
      </c>
      <c r="I51" s="84">
        <v>25</v>
      </c>
      <c r="J51" s="84">
        <v>0.95</v>
      </c>
      <c r="K51" s="84">
        <v>9.1999999999999998E-2</v>
      </c>
      <c r="L51" s="84">
        <v>0</v>
      </c>
      <c r="M51" s="84">
        <v>0.3</v>
      </c>
      <c r="N51" s="84">
        <v>0</v>
      </c>
    </row>
    <row r="52" spans="3:14" customFormat="1" ht="15" customHeight="1" x14ac:dyDescent="0.15">
      <c r="C52" s="84">
        <v>51</v>
      </c>
      <c r="E52" s="176" t="s">
        <v>242</v>
      </c>
      <c r="F52" s="84">
        <v>0</v>
      </c>
      <c r="G52" s="84">
        <v>0.04</v>
      </c>
      <c r="H52" s="84">
        <v>0.9</v>
      </c>
      <c r="I52" s="84">
        <v>7.4</v>
      </c>
      <c r="J52" s="84">
        <v>0.59039439999999999</v>
      </c>
      <c r="K52" s="84">
        <v>0.121621616</v>
      </c>
      <c r="L52" s="84">
        <v>0</v>
      </c>
      <c r="M52" s="84">
        <v>0.3</v>
      </c>
      <c r="N52" s="84">
        <v>0</v>
      </c>
    </row>
    <row r="53" spans="3:14" customFormat="1" ht="15" customHeight="1" x14ac:dyDescent="0.15">
      <c r="C53" s="84">
        <v>52</v>
      </c>
      <c r="E53" s="176" t="s">
        <v>243</v>
      </c>
      <c r="F53" s="84">
        <v>0</v>
      </c>
      <c r="G53" s="84">
        <v>1.6431810899999999</v>
      </c>
      <c r="H53" s="84">
        <v>0.9</v>
      </c>
      <c r="I53" s="84">
        <v>7.4</v>
      </c>
      <c r="J53" s="84">
        <v>0.9</v>
      </c>
      <c r="K53" s="84">
        <v>0.121621616</v>
      </c>
      <c r="L53" s="84">
        <v>0</v>
      </c>
      <c r="M53" s="84">
        <v>0.3</v>
      </c>
      <c r="N53" s="84">
        <v>0</v>
      </c>
    </row>
    <row r="54" spans="3:14" customFormat="1" ht="15" customHeight="1" x14ac:dyDescent="0.15">
      <c r="C54" s="84">
        <v>53</v>
      </c>
      <c r="E54" s="176" t="s">
        <v>244</v>
      </c>
      <c r="F54" s="84">
        <v>0</v>
      </c>
      <c r="G54" s="84">
        <v>0.46879035200000002</v>
      </c>
      <c r="H54" s="84">
        <v>2.8</v>
      </c>
      <c r="I54" s="84">
        <v>10.95</v>
      </c>
      <c r="J54" s="84">
        <v>0.85</v>
      </c>
      <c r="K54" s="84">
        <v>0.25570777099999997</v>
      </c>
      <c r="L54" s="84">
        <v>0</v>
      </c>
      <c r="M54" s="84">
        <v>0.3</v>
      </c>
      <c r="N54" s="84">
        <v>0</v>
      </c>
    </row>
    <row r="55" spans="3:14" customFormat="1" ht="15" customHeight="1" x14ac:dyDescent="0.15">
      <c r="C55" s="84">
        <v>54</v>
      </c>
      <c r="E55" s="176" t="s">
        <v>245</v>
      </c>
      <c r="F55" s="84">
        <v>0</v>
      </c>
      <c r="G55" s="84">
        <v>0.58726853099999998</v>
      </c>
      <c r="H55" s="84">
        <v>3.2</v>
      </c>
      <c r="I55" s="84">
        <v>10.95</v>
      </c>
      <c r="J55" s="84">
        <v>0.9</v>
      </c>
      <c r="K55" s="84">
        <v>0.29223746099999998</v>
      </c>
      <c r="L55" s="84">
        <v>0</v>
      </c>
      <c r="M55" s="84">
        <v>0.3</v>
      </c>
      <c r="N55" s="84">
        <v>0</v>
      </c>
    </row>
    <row r="56" spans="3:14" customFormat="1" ht="15" customHeight="1" x14ac:dyDescent="0.15">
      <c r="C56" s="84">
        <v>55</v>
      </c>
      <c r="E56" s="176" t="s">
        <v>246</v>
      </c>
      <c r="F56" s="84">
        <v>0</v>
      </c>
      <c r="G56" s="84">
        <v>16.5071926</v>
      </c>
      <c r="H56" s="84">
        <v>2.8</v>
      </c>
      <c r="I56" s="84">
        <v>10.95</v>
      </c>
      <c r="J56" s="84">
        <v>0.95</v>
      </c>
      <c r="K56" s="84">
        <v>0.25570777099999997</v>
      </c>
      <c r="L56" s="84">
        <v>0</v>
      </c>
      <c r="M56" s="84">
        <v>0.3</v>
      </c>
      <c r="N56" s="84">
        <v>0</v>
      </c>
    </row>
    <row r="57" spans="3:14" customFormat="1" ht="15" customHeight="1" x14ac:dyDescent="0.15">
      <c r="C57" s="84">
        <v>56</v>
      </c>
      <c r="E57" s="176" t="s">
        <v>247</v>
      </c>
      <c r="F57" s="84">
        <v>0</v>
      </c>
      <c r="G57" s="84">
        <v>9.2828690000000005E-2</v>
      </c>
      <c r="H57" s="84">
        <v>2.8</v>
      </c>
      <c r="I57" s="84">
        <v>14</v>
      </c>
      <c r="J57" s="84">
        <v>0.8</v>
      </c>
      <c r="K57" s="84">
        <v>0.2</v>
      </c>
      <c r="L57" s="84">
        <v>0</v>
      </c>
      <c r="M57" s="84">
        <v>0.3</v>
      </c>
      <c r="N57" s="84">
        <v>0</v>
      </c>
    </row>
    <row r="58" spans="3:14" customFormat="1" ht="15" customHeight="1" x14ac:dyDescent="0.15">
      <c r="C58" s="84">
        <v>57</v>
      </c>
      <c r="E58" s="176" t="s">
        <v>248</v>
      </c>
      <c r="F58" s="84">
        <v>0</v>
      </c>
      <c r="G58" s="84">
        <v>0.65</v>
      </c>
      <c r="H58" s="84">
        <v>0.61</v>
      </c>
      <c r="I58" s="84">
        <v>3.36</v>
      </c>
      <c r="J58" s="84">
        <v>0.69742369999999998</v>
      </c>
      <c r="K58" s="84">
        <v>0.18154762699999999</v>
      </c>
      <c r="L58" s="84">
        <v>0</v>
      </c>
      <c r="M58" s="84">
        <v>0.4</v>
      </c>
      <c r="N58" s="84">
        <v>0</v>
      </c>
    </row>
    <row r="59" spans="3:14" customFormat="1" ht="15" customHeight="1" x14ac:dyDescent="0.15">
      <c r="C59" s="84">
        <v>58</v>
      </c>
      <c r="E59" s="176" t="s">
        <v>249</v>
      </c>
      <c r="F59" s="84">
        <v>0</v>
      </c>
      <c r="G59" s="84">
        <v>2.2999999999999998</v>
      </c>
      <c r="H59" s="84">
        <v>1.5</v>
      </c>
      <c r="I59" s="84">
        <v>2.81</v>
      </c>
      <c r="J59" s="84">
        <v>0.96890383999999996</v>
      </c>
      <c r="K59" s="84">
        <v>0.53380780000000005</v>
      </c>
      <c r="L59" s="84">
        <v>0</v>
      </c>
      <c r="M59" s="84">
        <v>0.4</v>
      </c>
      <c r="N59" s="84">
        <v>0</v>
      </c>
    </row>
    <row r="60" spans="3:14" customFormat="1" ht="15" customHeight="1" x14ac:dyDescent="0.15">
      <c r="C60" s="84">
        <v>59</v>
      </c>
      <c r="E60" s="176" t="s">
        <v>250</v>
      </c>
      <c r="F60" s="84">
        <v>0</v>
      </c>
      <c r="G60" s="84">
        <v>0.62170239999999999</v>
      </c>
      <c r="H60" s="84">
        <v>1.65</v>
      </c>
      <c r="I60" s="84">
        <v>2.81</v>
      </c>
      <c r="J60" s="84">
        <v>0.8</v>
      </c>
      <c r="K60" s="84">
        <v>0.58718859999999995</v>
      </c>
      <c r="L60" s="84">
        <v>0</v>
      </c>
      <c r="M60" s="84">
        <v>0.4</v>
      </c>
      <c r="N60" s="84">
        <v>0</v>
      </c>
    </row>
    <row r="61" spans="3:14" customFormat="1" ht="15" customHeight="1" x14ac:dyDescent="0.15">
      <c r="C61" s="84">
        <v>60</v>
      </c>
      <c r="E61" s="176" t="s">
        <v>251</v>
      </c>
      <c r="F61" s="84">
        <v>0</v>
      </c>
      <c r="G61" s="84">
        <v>40.968643200000002</v>
      </c>
      <c r="H61" s="84">
        <v>1.6</v>
      </c>
      <c r="I61" s="84">
        <v>2.81</v>
      </c>
      <c r="J61" s="84">
        <v>0.98</v>
      </c>
      <c r="K61" s="84">
        <v>0.56939506500000003</v>
      </c>
      <c r="L61" s="84">
        <v>0</v>
      </c>
      <c r="M61" s="84">
        <v>0.4</v>
      </c>
      <c r="N61" s="84">
        <v>0</v>
      </c>
    </row>
    <row r="62" spans="3:14" customFormat="1" ht="15" customHeight="1" x14ac:dyDescent="0.15">
      <c r="C62" s="84">
        <v>61</v>
      </c>
      <c r="E62" s="176" t="s">
        <v>252</v>
      </c>
      <c r="F62" s="84">
        <v>0</v>
      </c>
      <c r="G62" s="84">
        <v>6.5000000000000002E-2</v>
      </c>
      <c r="H62" s="84">
        <v>0.49</v>
      </c>
      <c r="I62" s="84">
        <v>3.24</v>
      </c>
      <c r="J62" s="84">
        <v>0.75910610000000001</v>
      </c>
      <c r="K62" s="84">
        <v>0.15123456699999999</v>
      </c>
      <c r="L62" s="84">
        <v>0</v>
      </c>
      <c r="M62" s="84">
        <v>0.4</v>
      </c>
      <c r="N62" s="84">
        <v>0</v>
      </c>
    </row>
    <row r="63" spans="3:14" customFormat="1" ht="15" customHeight="1" x14ac:dyDescent="0.15">
      <c r="C63" s="84">
        <v>62</v>
      </c>
      <c r="E63" s="176" t="s">
        <v>253</v>
      </c>
      <c r="F63" s="84">
        <v>0</v>
      </c>
      <c r="G63" s="84">
        <v>30.94285</v>
      </c>
      <c r="H63" s="84">
        <v>0.8</v>
      </c>
      <c r="I63" s="84">
        <v>9</v>
      </c>
      <c r="J63" s="84">
        <v>0.8</v>
      </c>
      <c r="K63" s="84">
        <v>8.8888889999999998E-2</v>
      </c>
      <c r="L63" s="84">
        <v>0</v>
      </c>
      <c r="M63" s="84">
        <v>0.4</v>
      </c>
      <c r="N63" s="84">
        <v>0</v>
      </c>
    </row>
    <row r="64" spans="3:14" customFormat="1" ht="15" customHeight="1" x14ac:dyDescent="0.15">
      <c r="C64" s="84">
        <v>63</v>
      </c>
      <c r="E64" s="176" t="s">
        <v>254</v>
      </c>
      <c r="F64" s="84">
        <v>0</v>
      </c>
      <c r="G64" s="84">
        <v>197.826874</v>
      </c>
      <c r="H64" s="84">
        <v>1.2689999999999999</v>
      </c>
      <c r="I64" s="84">
        <v>23</v>
      </c>
      <c r="J64" s="84">
        <v>0.9</v>
      </c>
      <c r="K64" s="84">
        <v>5.5173914900000003E-2</v>
      </c>
      <c r="L64" s="84">
        <v>0</v>
      </c>
      <c r="M64" s="84">
        <v>0.4</v>
      </c>
      <c r="N64" s="84">
        <v>0</v>
      </c>
    </row>
    <row r="65" spans="3:14" customFormat="1" ht="15" customHeight="1" x14ac:dyDescent="0.15">
      <c r="C65" s="84">
        <v>64</v>
      </c>
      <c r="E65" s="176" t="s">
        <v>255</v>
      </c>
      <c r="F65" s="84">
        <v>0</v>
      </c>
      <c r="G65" s="84">
        <v>44.707843799999999</v>
      </c>
      <c r="H65" s="84">
        <v>7.01</v>
      </c>
      <c r="I65" s="84">
        <v>27.14</v>
      </c>
      <c r="J65" s="84">
        <v>0.99</v>
      </c>
      <c r="K65" s="84">
        <v>0.25829035</v>
      </c>
      <c r="L65" s="84">
        <v>0</v>
      </c>
      <c r="M65" s="84">
        <v>0.4</v>
      </c>
      <c r="N65" s="84">
        <v>0</v>
      </c>
    </row>
    <row r="66" spans="3:14" customFormat="1" ht="15" customHeight="1" x14ac:dyDescent="0.15">
      <c r="C66" s="84">
        <v>65</v>
      </c>
      <c r="E66" s="176" t="s">
        <v>256</v>
      </c>
      <c r="F66" s="84">
        <v>0</v>
      </c>
      <c r="G66" s="84">
        <v>72.376620000000003</v>
      </c>
      <c r="H66" s="84">
        <v>6.85</v>
      </c>
      <c r="I66" s="84">
        <v>27.4</v>
      </c>
      <c r="J66" s="84">
        <v>0.98</v>
      </c>
      <c r="K66" s="84">
        <v>0.25</v>
      </c>
      <c r="L66" s="84">
        <v>0</v>
      </c>
      <c r="M66" s="84">
        <v>0.4</v>
      </c>
      <c r="N66" s="84">
        <v>0</v>
      </c>
    </row>
    <row r="67" spans="3:14" customFormat="1" ht="15" customHeight="1" x14ac:dyDescent="0.15">
      <c r="C67" s="84">
        <v>66</v>
      </c>
      <c r="E67" s="176" t="s">
        <v>257</v>
      </c>
      <c r="F67" s="84">
        <v>0</v>
      </c>
      <c r="G67" s="84">
        <v>45.671019999999999</v>
      </c>
      <c r="H67" s="84">
        <v>2.5</v>
      </c>
      <c r="I67" s="84">
        <v>14</v>
      </c>
      <c r="J67" s="84">
        <v>0.98</v>
      </c>
      <c r="K67" s="84">
        <v>0.178571433</v>
      </c>
      <c r="L67" s="84">
        <v>0</v>
      </c>
      <c r="M67" s="84">
        <v>0.4</v>
      </c>
      <c r="N67" s="84">
        <v>0</v>
      </c>
    </row>
    <row r="68" spans="3:14" customFormat="1" ht="15" customHeight="1" x14ac:dyDescent="0.15">
      <c r="C68" s="84">
        <v>67</v>
      </c>
      <c r="E68" s="176" t="s">
        <v>258</v>
      </c>
      <c r="F68" s="84">
        <v>0</v>
      </c>
      <c r="G68" s="84">
        <v>35.003749999999997</v>
      </c>
      <c r="H68" s="84">
        <v>12.5</v>
      </c>
      <c r="I68" s="84">
        <v>25</v>
      </c>
      <c r="J68" s="84">
        <v>0.95</v>
      </c>
      <c r="K68" s="84">
        <v>0.5</v>
      </c>
      <c r="L68" s="84">
        <v>0</v>
      </c>
      <c r="M68" s="84">
        <v>0.4</v>
      </c>
      <c r="N68" s="84">
        <v>0</v>
      </c>
    </row>
    <row r="69" spans="3:14" customFormat="1" ht="15" customHeight="1" x14ac:dyDescent="0.15">
      <c r="C69" s="84">
        <v>68</v>
      </c>
      <c r="E69" s="176" t="s">
        <v>259</v>
      </c>
      <c r="F69" s="84">
        <v>0</v>
      </c>
      <c r="G69" s="84">
        <v>10.786850899999999</v>
      </c>
      <c r="H69" s="84">
        <v>12.5</v>
      </c>
      <c r="I69" s="84">
        <v>25</v>
      </c>
      <c r="J69" s="84">
        <v>0.95</v>
      </c>
      <c r="K69" s="84">
        <v>0.5</v>
      </c>
      <c r="L69" s="84">
        <v>0</v>
      </c>
      <c r="M69" s="84">
        <v>0.4</v>
      </c>
      <c r="N69" s="84">
        <v>0</v>
      </c>
    </row>
    <row r="70" spans="3:14" customFormat="1" ht="15" customHeight="1" x14ac:dyDescent="0.15">
      <c r="C70" s="84">
        <v>69</v>
      </c>
      <c r="E70" s="176" t="s">
        <v>260</v>
      </c>
      <c r="F70" s="84">
        <v>0</v>
      </c>
      <c r="G70" s="84">
        <v>0.15053492800000001</v>
      </c>
      <c r="H70" s="84">
        <v>30</v>
      </c>
      <c r="I70" s="84">
        <v>80</v>
      </c>
      <c r="J70" s="84">
        <v>0.5</v>
      </c>
      <c r="K70" s="84">
        <v>0.375</v>
      </c>
      <c r="L70" s="84">
        <v>0</v>
      </c>
      <c r="M70" s="84">
        <v>0.4</v>
      </c>
      <c r="N70" s="84">
        <v>0</v>
      </c>
    </row>
    <row r="71" spans="3:14" customFormat="1" ht="15" customHeight="1" x14ac:dyDescent="0.15">
      <c r="C71" s="84">
        <v>70</v>
      </c>
      <c r="E71" s="176" t="s">
        <v>261</v>
      </c>
      <c r="F71" s="84">
        <v>0</v>
      </c>
      <c r="G71" s="84">
        <v>0.23588725899999999</v>
      </c>
      <c r="H71" s="84">
        <v>40</v>
      </c>
      <c r="I71" s="84">
        <v>80</v>
      </c>
      <c r="J71" s="84">
        <v>0.5</v>
      </c>
      <c r="K71" s="84">
        <v>0.5</v>
      </c>
      <c r="L71" s="84">
        <v>0</v>
      </c>
      <c r="M71" s="84">
        <v>0.4</v>
      </c>
      <c r="N71" s="84">
        <v>0</v>
      </c>
    </row>
    <row r="72" spans="3:14" customFormat="1" ht="15" customHeight="1" x14ac:dyDescent="0.15">
      <c r="C72" s="84">
        <v>71</v>
      </c>
      <c r="E72" s="176" t="s">
        <v>262</v>
      </c>
      <c r="F72" s="84">
        <v>0</v>
      </c>
      <c r="G72" s="84">
        <v>11.743499999999999</v>
      </c>
      <c r="H72" s="84">
        <v>52</v>
      </c>
      <c r="I72" s="84">
        <v>173.33332799999999</v>
      </c>
      <c r="J72" s="84">
        <v>0.54912930000000004</v>
      </c>
      <c r="K72" s="84">
        <v>0.3</v>
      </c>
      <c r="L72" s="84">
        <v>0</v>
      </c>
      <c r="M72" s="84">
        <v>0.4</v>
      </c>
      <c r="N72" s="84">
        <v>0</v>
      </c>
    </row>
    <row r="73" spans="3:14" customFormat="1" ht="15" customHeight="1" x14ac:dyDescent="0.15">
      <c r="C73" s="84">
        <v>72</v>
      </c>
      <c r="E73" s="176" t="s">
        <v>263</v>
      </c>
      <c r="F73" s="84">
        <v>0</v>
      </c>
      <c r="G73" s="84">
        <v>0.44879806</v>
      </c>
      <c r="H73" s="84">
        <v>52</v>
      </c>
      <c r="I73" s="84">
        <v>132.13</v>
      </c>
      <c r="J73" s="84">
        <v>0.99</v>
      </c>
      <c r="K73" s="84">
        <v>0.39355180000000001</v>
      </c>
      <c r="L73" s="84">
        <v>0</v>
      </c>
      <c r="M73" s="84">
        <v>0.4</v>
      </c>
      <c r="N73" s="84">
        <v>0</v>
      </c>
    </row>
    <row r="74" spans="3:14" customFormat="1" ht="15" customHeight="1" x14ac:dyDescent="0.15">
      <c r="C74" s="84">
        <v>73</v>
      </c>
      <c r="E74" s="176" t="s">
        <v>264</v>
      </c>
      <c r="F74" s="84">
        <v>0</v>
      </c>
      <c r="G74" s="84">
        <v>2.7909342199999999E-2</v>
      </c>
      <c r="H74" s="84">
        <v>12.6</v>
      </c>
      <c r="I74" s="84">
        <v>51.93</v>
      </c>
      <c r="J74" s="84">
        <v>0.98</v>
      </c>
      <c r="K74" s="84">
        <v>0.24263432600000001</v>
      </c>
      <c r="L74" s="84">
        <v>0</v>
      </c>
      <c r="M74" s="84">
        <v>0.4</v>
      </c>
      <c r="N74" s="84">
        <v>0</v>
      </c>
    </row>
    <row r="75" spans="3:14" customFormat="1" ht="15" customHeight="1" x14ac:dyDescent="0.15">
      <c r="C75" s="84">
        <v>74</v>
      </c>
      <c r="E75" s="176" t="s">
        <v>265</v>
      </c>
      <c r="F75" s="84">
        <v>0</v>
      </c>
      <c r="G75" s="84">
        <v>19.412790000000001</v>
      </c>
      <c r="H75" s="84">
        <v>100</v>
      </c>
      <c r="I75" s="84">
        <v>215</v>
      </c>
      <c r="J75" s="84">
        <v>0.95</v>
      </c>
      <c r="K75" s="84">
        <v>0.46511629999999998</v>
      </c>
      <c r="L75" s="84">
        <v>0</v>
      </c>
      <c r="M75" s="84">
        <v>0.4</v>
      </c>
      <c r="N75" s="84">
        <v>0</v>
      </c>
    </row>
    <row r="76" spans="3:14" customFormat="1" ht="15" customHeight="1" x14ac:dyDescent="0.15">
      <c r="C76" s="84">
        <v>75</v>
      </c>
      <c r="E76" s="176" t="s">
        <v>266</v>
      </c>
      <c r="F76" s="84">
        <v>1</v>
      </c>
      <c r="G76" s="84">
        <v>4.2</v>
      </c>
      <c r="H76" s="84">
        <v>760</v>
      </c>
      <c r="I76" s="84">
        <v>0</v>
      </c>
      <c r="J76" s="84">
        <v>0.99155563099999999</v>
      </c>
      <c r="K76" s="84">
        <v>0</v>
      </c>
      <c r="L76" s="84">
        <v>0</v>
      </c>
      <c r="M76" s="84">
        <v>0</v>
      </c>
      <c r="N76" s="84">
        <v>0</v>
      </c>
    </row>
    <row r="77" spans="3:14" customFormat="1" ht="15" customHeight="1" x14ac:dyDescent="0.15">
      <c r="C77" s="84">
        <v>76</v>
      </c>
      <c r="E77" s="176" t="s">
        <v>267</v>
      </c>
      <c r="F77" s="84">
        <v>1</v>
      </c>
      <c r="G77" s="84">
        <v>3.7720618199999998</v>
      </c>
      <c r="H77" s="84">
        <v>529.87199999999996</v>
      </c>
      <c r="I77" s="84">
        <v>0</v>
      </c>
      <c r="J77" s="84">
        <v>0.95</v>
      </c>
      <c r="K77" s="84">
        <v>0</v>
      </c>
      <c r="L77" s="84">
        <v>0</v>
      </c>
      <c r="M77" s="84">
        <v>0</v>
      </c>
      <c r="N77" s="84">
        <v>0</v>
      </c>
    </row>
    <row r="78" spans="3:14" customFormat="1" ht="15" customHeight="1" x14ac:dyDescent="0.15">
      <c r="C78" s="84">
        <v>77</v>
      </c>
      <c r="E78" s="176" t="s">
        <v>268</v>
      </c>
      <c r="F78" s="84">
        <v>1</v>
      </c>
      <c r="G78" s="84">
        <v>0.626</v>
      </c>
      <c r="H78" s="84">
        <v>8.3170000000000002</v>
      </c>
      <c r="I78" s="84">
        <v>0</v>
      </c>
      <c r="J78" s="84">
        <v>0.39506542700000002</v>
      </c>
      <c r="K78" s="84">
        <v>0</v>
      </c>
      <c r="L78" s="84">
        <v>0</v>
      </c>
      <c r="M78" s="84">
        <v>0</v>
      </c>
      <c r="N78" s="84">
        <v>0</v>
      </c>
    </row>
    <row r="79" spans="3:14" customFormat="1" ht="15" customHeight="1" x14ac:dyDescent="0.15">
      <c r="C79" s="84">
        <v>78</v>
      </c>
      <c r="E79" s="176" t="s">
        <v>269</v>
      </c>
      <c r="F79" s="84">
        <v>1</v>
      </c>
      <c r="G79" s="84">
        <v>14.2906046</v>
      </c>
      <c r="H79" s="84">
        <v>8.3170000000000002</v>
      </c>
      <c r="I79" s="84">
        <v>0</v>
      </c>
      <c r="J79" s="84">
        <v>0.98</v>
      </c>
      <c r="K79" s="84">
        <v>0</v>
      </c>
      <c r="L79" s="84">
        <v>0</v>
      </c>
      <c r="M79" s="84">
        <v>0</v>
      </c>
      <c r="N79" s="84">
        <v>0</v>
      </c>
    </row>
    <row r="80" spans="3:14" customFormat="1" ht="15" customHeight="1" x14ac:dyDescent="0.15">
      <c r="C80" s="84">
        <v>79</v>
      </c>
      <c r="E80" s="176" t="s">
        <v>270</v>
      </c>
      <c r="F80" s="84">
        <v>1</v>
      </c>
      <c r="G80" s="84">
        <v>16.399999999999999</v>
      </c>
      <c r="H80" s="84">
        <v>0.17199999999999999</v>
      </c>
      <c r="I80" s="84">
        <v>0</v>
      </c>
      <c r="J80" s="84">
        <v>0.248209924</v>
      </c>
      <c r="K80" s="84">
        <v>0</v>
      </c>
      <c r="L80" s="84">
        <v>0</v>
      </c>
      <c r="M80" s="84">
        <v>0</v>
      </c>
      <c r="N80" s="84">
        <v>0</v>
      </c>
    </row>
    <row r="81" spans="3:14" customFormat="1" ht="15" customHeight="1" x14ac:dyDescent="0.15">
      <c r="C81" s="84">
        <v>80</v>
      </c>
      <c r="E81" s="176" t="s">
        <v>271</v>
      </c>
      <c r="F81" s="84">
        <v>2</v>
      </c>
      <c r="G81" s="84">
        <v>0.7</v>
      </c>
      <c r="H81" s="84">
        <v>0</v>
      </c>
      <c r="I81" s="84">
        <v>0</v>
      </c>
      <c r="J81" s="84">
        <v>0.38544630000000002</v>
      </c>
      <c r="K81" s="84">
        <v>0</v>
      </c>
      <c r="L81" s="84">
        <v>0</v>
      </c>
      <c r="M81" s="84">
        <v>0</v>
      </c>
      <c r="N81" s="84">
        <v>0.5</v>
      </c>
    </row>
    <row r="82" spans="3:14" customFormat="1" ht="15" customHeight="1" x14ac:dyDescent="0.15">
      <c r="C82" s="84">
        <v>81</v>
      </c>
      <c r="E82" s="176" t="s">
        <v>272</v>
      </c>
      <c r="F82" s="84">
        <v>2</v>
      </c>
      <c r="G82" s="84">
        <v>5</v>
      </c>
      <c r="H82" s="84">
        <v>0</v>
      </c>
      <c r="I82" s="84">
        <v>0</v>
      </c>
      <c r="J82" s="84">
        <v>0.99008166799999997</v>
      </c>
      <c r="K82" s="84">
        <v>0</v>
      </c>
      <c r="L82" s="84">
        <v>0</v>
      </c>
      <c r="M82" s="84">
        <v>0</v>
      </c>
      <c r="N82" s="84">
        <v>1</v>
      </c>
    </row>
    <row r="83" spans="3:14" customFormat="1" ht="15" customHeight="1" x14ac:dyDescent="0.15">
      <c r="C83" s="84">
        <v>82</v>
      </c>
      <c r="E83" s="176" t="s">
        <v>273</v>
      </c>
      <c r="F83" s="84">
        <v>2</v>
      </c>
      <c r="G83" s="84">
        <v>33.350999999999999</v>
      </c>
      <c r="H83" s="84">
        <v>0</v>
      </c>
      <c r="I83" s="84">
        <v>0</v>
      </c>
      <c r="J83" s="84">
        <v>0.9476926</v>
      </c>
      <c r="K83" s="84">
        <v>0</v>
      </c>
      <c r="L83" s="84">
        <v>0</v>
      </c>
      <c r="M83" s="84">
        <v>0</v>
      </c>
      <c r="N83" s="84">
        <v>1300</v>
      </c>
    </row>
    <row r="84" spans="3:14" customFormat="1" ht="15" customHeight="1" x14ac:dyDescent="0.15">
      <c r="C84" s="84">
        <v>83</v>
      </c>
      <c r="E84" s="176" t="s">
        <v>274</v>
      </c>
      <c r="F84" s="84">
        <v>2</v>
      </c>
      <c r="G84" s="84">
        <v>250</v>
      </c>
      <c r="H84" s="84">
        <v>0</v>
      </c>
      <c r="I84" s="84">
        <v>0</v>
      </c>
      <c r="J84" s="84">
        <v>0</v>
      </c>
      <c r="K84" s="84">
        <v>0</v>
      </c>
      <c r="L84" s="84">
        <v>0</v>
      </c>
      <c r="M84" s="84">
        <v>0</v>
      </c>
      <c r="N84" s="84">
        <v>0</v>
      </c>
    </row>
    <row r="85" spans="3:14" customFormat="1" ht="15" customHeight="1" x14ac:dyDescent="0.15">
      <c r="C85" s="84">
        <v>84</v>
      </c>
      <c r="E85" s="176" t="s">
        <v>275</v>
      </c>
      <c r="F85" s="84">
        <v>2</v>
      </c>
      <c r="G85" s="84">
        <v>5</v>
      </c>
      <c r="H85" s="84">
        <v>0</v>
      </c>
      <c r="I85" s="84">
        <v>0</v>
      </c>
      <c r="J85" s="84">
        <v>0</v>
      </c>
      <c r="K85" s="84">
        <v>0</v>
      </c>
      <c r="L85" s="84">
        <v>0</v>
      </c>
      <c r="M85" s="84">
        <v>0</v>
      </c>
      <c r="N85" s="84">
        <v>0</v>
      </c>
    </row>
    <row r="86" spans="3:14" customFormat="1" ht="15" customHeight="1" x14ac:dyDescent="0.15">
      <c r="C86" s="84">
        <v>85</v>
      </c>
      <c r="E86" s="176" t="s">
        <v>276</v>
      </c>
      <c r="F86" s="84">
        <v>3</v>
      </c>
      <c r="G86" s="84">
        <v>0</v>
      </c>
      <c r="H86" s="84">
        <v>0</v>
      </c>
      <c r="I86" s="84">
        <v>0</v>
      </c>
      <c r="J86" s="84">
        <v>0</v>
      </c>
      <c r="K86" s="84">
        <v>0</v>
      </c>
      <c r="L86" s="84">
        <v>0</v>
      </c>
      <c r="M86" s="84">
        <v>0</v>
      </c>
      <c r="N86" s="84">
        <v>0</v>
      </c>
    </row>
    <row r="87" spans="3:14" customFormat="1" ht="15" customHeight="1" x14ac:dyDescent="0.15">
      <c r="C87" s="84">
        <v>86</v>
      </c>
      <c r="E87" s="176" t="s">
        <v>277</v>
      </c>
      <c r="F87" s="84">
        <v>3</v>
      </c>
      <c r="G87" s="84">
        <v>0</v>
      </c>
      <c r="H87" s="84">
        <v>0</v>
      </c>
      <c r="I87" s="84">
        <v>0</v>
      </c>
      <c r="J87" s="84">
        <v>0</v>
      </c>
      <c r="K87" s="84">
        <v>0</v>
      </c>
      <c r="L87" s="84">
        <v>0</v>
      </c>
      <c r="M87" s="84">
        <v>0</v>
      </c>
      <c r="N87" s="84">
        <v>0</v>
      </c>
    </row>
    <row r="88" spans="3:14" customFormat="1" ht="15" customHeight="1" x14ac:dyDescent="0.15">
      <c r="C88" s="84">
        <v>87</v>
      </c>
      <c r="E88" s="176" t="s">
        <v>278</v>
      </c>
      <c r="F88" s="84">
        <v>3</v>
      </c>
      <c r="G88" s="84">
        <v>0</v>
      </c>
      <c r="H88" s="84">
        <v>0</v>
      </c>
      <c r="I88" s="84">
        <v>0</v>
      </c>
      <c r="J88" s="84">
        <v>0</v>
      </c>
      <c r="K88" s="84">
        <v>0</v>
      </c>
      <c r="L88" s="84">
        <v>0</v>
      </c>
      <c r="M88" s="84">
        <v>0</v>
      </c>
      <c r="N88" s="84">
        <v>0</v>
      </c>
    </row>
    <row r="89" spans="3:14" customFormat="1" ht="15" customHeight="1" x14ac:dyDescent="0.15">
      <c r="C89" s="84">
        <v>88</v>
      </c>
      <c r="E89" s="176" t="s">
        <v>279</v>
      </c>
      <c r="F89" s="84">
        <v>3</v>
      </c>
      <c r="G89" s="84">
        <v>0</v>
      </c>
      <c r="H89" s="84">
        <v>0</v>
      </c>
      <c r="I89" s="84">
        <v>0</v>
      </c>
      <c r="J89" s="84">
        <v>0</v>
      </c>
      <c r="K89" s="84">
        <v>0</v>
      </c>
      <c r="L89" s="84">
        <v>0</v>
      </c>
      <c r="M89" s="84">
        <v>0</v>
      </c>
      <c r="N89" s="84">
        <v>0</v>
      </c>
    </row>
    <row r="90" spans="3:14" customFormat="1" ht="15" customHeight="1" x14ac:dyDescent="0.15">
      <c r="C90" s="84">
        <v>89</v>
      </c>
      <c r="E90" s="176" t="s">
        <v>280</v>
      </c>
      <c r="F90" s="84">
        <v>3</v>
      </c>
      <c r="G90" s="84">
        <v>0</v>
      </c>
      <c r="H90" s="84">
        <v>0</v>
      </c>
      <c r="I90" s="84">
        <v>0</v>
      </c>
      <c r="J90" s="84">
        <v>0</v>
      </c>
      <c r="K90" s="84">
        <v>0</v>
      </c>
      <c r="L90" s="84">
        <v>0</v>
      </c>
      <c r="M90" s="84">
        <v>0</v>
      </c>
      <c r="N90" s="84">
        <v>0</v>
      </c>
    </row>
    <row r="91" spans="3:14" customFormat="1" ht="15" customHeight="1" x14ac:dyDescent="0.15">
      <c r="C91" s="84">
        <v>90</v>
      </c>
      <c r="E91" s="176" t="s">
        <v>281</v>
      </c>
      <c r="F91" s="84">
        <v>3</v>
      </c>
      <c r="G91" s="84">
        <v>0</v>
      </c>
      <c r="H91" s="84">
        <v>0</v>
      </c>
      <c r="I91" s="84">
        <v>0</v>
      </c>
      <c r="J91" s="84">
        <v>0</v>
      </c>
      <c r="K91" s="84">
        <v>0</v>
      </c>
      <c r="L91" s="84">
        <v>0</v>
      </c>
      <c r="M91" s="84">
        <v>0</v>
      </c>
      <c r="N91" s="84">
        <v>0</v>
      </c>
    </row>
    <row r="92" spans="3:14" customFormat="1" ht="15" customHeight="1" x14ac:dyDescent="0.15">
      <c r="C92" s="84">
        <v>91</v>
      </c>
      <c r="E92" s="176" t="s">
        <v>282</v>
      </c>
      <c r="F92" s="84">
        <v>3</v>
      </c>
      <c r="G92" s="84">
        <v>0</v>
      </c>
      <c r="H92" s="84">
        <v>0</v>
      </c>
      <c r="I92" s="84">
        <v>0</v>
      </c>
      <c r="J92" s="84">
        <v>0</v>
      </c>
      <c r="K92" s="84">
        <v>0</v>
      </c>
      <c r="L92" s="84">
        <v>0</v>
      </c>
      <c r="M92" s="84">
        <v>0</v>
      </c>
      <c r="N92" s="84">
        <v>0</v>
      </c>
    </row>
    <row r="93" spans="3:14" customFormat="1" ht="15" customHeight="1" x14ac:dyDescent="0.15">
      <c r="C93" s="84">
        <v>92</v>
      </c>
      <c r="E93" s="176" t="s">
        <v>283</v>
      </c>
      <c r="F93" s="84">
        <v>3</v>
      </c>
      <c r="G93" s="84">
        <v>0</v>
      </c>
      <c r="H93" s="84">
        <v>0</v>
      </c>
      <c r="I93" s="84">
        <v>0</v>
      </c>
      <c r="J93" s="84">
        <v>0</v>
      </c>
      <c r="K93" s="84">
        <v>0</v>
      </c>
      <c r="L93" s="84">
        <v>0</v>
      </c>
      <c r="M93" s="84">
        <v>0</v>
      </c>
      <c r="N93" s="84">
        <v>0</v>
      </c>
    </row>
    <row r="94" spans="3:14" customFormat="1" ht="15" customHeight="1" x14ac:dyDescent="0.15">
      <c r="C94" s="84">
        <v>93</v>
      </c>
      <c r="E94" s="176" t="s">
        <v>284</v>
      </c>
      <c r="F94" s="84">
        <v>3</v>
      </c>
      <c r="G94" s="84">
        <v>0</v>
      </c>
      <c r="H94" s="84">
        <v>0</v>
      </c>
      <c r="I94" s="84">
        <v>0</v>
      </c>
      <c r="J94" s="84">
        <v>0</v>
      </c>
      <c r="K94" s="84">
        <v>0</v>
      </c>
      <c r="L94" s="84">
        <v>0</v>
      </c>
      <c r="M94" s="84">
        <v>0</v>
      </c>
      <c r="N94" s="84">
        <v>0</v>
      </c>
    </row>
    <row r="95" spans="3:14" customFormat="1" ht="15" customHeight="1" x14ac:dyDescent="0.15">
      <c r="C95" s="84">
        <v>94</v>
      </c>
      <c r="E95" s="176" t="s">
        <v>285</v>
      </c>
      <c r="F95" s="84">
        <v>3</v>
      </c>
      <c r="G95" s="84">
        <v>0</v>
      </c>
      <c r="H95" s="84">
        <v>0</v>
      </c>
      <c r="I95" s="84">
        <v>0</v>
      </c>
      <c r="J95" s="84">
        <v>0</v>
      </c>
      <c r="K95" s="84">
        <v>0</v>
      </c>
      <c r="L95" s="84">
        <v>0</v>
      </c>
      <c r="M95" s="84">
        <v>0</v>
      </c>
      <c r="N95" s="84">
        <v>0</v>
      </c>
    </row>
    <row r="96" spans="3:14"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CG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31.33203125" style="142" bestFit="1" customWidth="1"/>
    <col min="2" max="2" width="5.83203125" style="142" bestFit="1" customWidth="1"/>
    <col min="3" max="3" width="2.33203125" style="142" bestFit="1" customWidth="1"/>
    <col min="4" max="4" width="5.83203125" style="142" bestFit="1" customWidth="1"/>
    <col min="5" max="5" width="4.83203125" style="142" bestFit="1" customWidth="1"/>
    <col min="6" max="7" width="5.83203125" style="142" bestFit="1" customWidth="1"/>
    <col min="8" max="8" width="15.5" style="142" bestFit="1" customWidth="1"/>
    <col min="9" max="9" width="5.83203125" style="142" bestFit="1" customWidth="1"/>
    <col min="10" max="10" width="4.83203125" style="142" bestFit="1" customWidth="1"/>
    <col min="11" max="16" width="15.83203125" style="142" bestFit="1" customWidth="1"/>
    <col min="17" max="18" width="5.83203125" style="142" bestFit="1" customWidth="1"/>
    <col min="19" max="29" width="15.83203125" style="142" bestFit="1" customWidth="1"/>
    <col min="30" max="32" width="15.83203125" style="142" customWidth="1"/>
    <col min="33" max="33" width="5.83203125" style="142" customWidth="1"/>
    <col min="34" max="34" width="2.33203125" style="142" customWidth="1"/>
    <col min="35" max="37" width="15.83203125" style="142" customWidth="1"/>
    <col min="38" max="38" width="14.83203125" style="142" customWidth="1"/>
    <col min="39" max="39" width="3.83203125" style="142" customWidth="1"/>
    <col min="40" max="40" width="13.83203125" style="142" customWidth="1"/>
    <col min="41" max="41" width="5.83203125" style="142" customWidth="1"/>
    <col min="42" max="42" width="15.83203125" style="142" customWidth="1"/>
    <col min="43" max="45" width="5.83203125" style="142" customWidth="1"/>
    <col min="46" max="46" width="14.83203125" style="142" customWidth="1"/>
    <col min="47" max="47" width="5.83203125" style="142" customWidth="1"/>
    <col min="48" max="48" width="6.83203125" style="142" customWidth="1"/>
    <col min="49" max="49" width="15.83203125" style="142" customWidth="1"/>
    <col min="50" max="50" width="5.83203125" style="142" customWidth="1"/>
    <col min="51" max="51" width="15.83203125" style="142" customWidth="1"/>
    <col min="52" max="52" width="4.83203125" style="142" customWidth="1"/>
    <col min="53" max="53" width="5.83203125" style="142" customWidth="1"/>
    <col min="54" max="54" width="14.83203125" style="142" customWidth="1"/>
    <col min="55" max="55" width="5.83203125" style="142" customWidth="1"/>
    <col min="56" max="56" width="15.83203125" style="142" customWidth="1"/>
    <col min="57" max="58" width="5.83203125" style="142" customWidth="1"/>
    <col min="59" max="59" width="4.83203125" style="142" customWidth="1"/>
    <col min="60" max="62" width="5.83203125" style="142" customWidth="1"/>
    <col min="63" max="63" width="15.83203125" style="142" customWidth="1"/>
    <col min="64" max="64" width="4.83203125" style="142" customWidth="1"/>
    <col min="65" max="65" width="15.83203125" style="142" customWidth="1"/>
    <col min="66" max="66" width="5.83203125" style="142" customWidth="1"/>
    <col min="67" max="70" width="4.83203125" style="142" customWidth="1"/>
    <col min="71" max="71" width="5.83203125" style="142" customWidth="1"/>
    <col min="72" max="73" width="4.83203125" style="142" customWidth="1"/>
    <col min="74" max="74" width="3.83203125" style="142" customWidth="1"/>
    <col min="75" max="75" width="13.83203125" style="142" customWidth="1"/>
    <col min="76" max="85" width="2.33203125" style="142" customWidth="1"/>
    <col min="86" max="16384" width="8.83203125" style="142"/>
  </cols>
  <sheetData>
    <row r="1" spans="1:85" x14ac:dyDescent="0.15">
      <c r="A1" s="141" t="s">
        <v>19</v>
      </c>
      <c r="B1" s="178" t="s">
        <v>192</v>
      </c>
      <c r="C1" s="178" t="s">
        <v>193</v>
      </c>
      <c r="D1" s="178" t="s">
        <v>194</v>
      </c>
      <c r="E1" s="178" t="s">
        <v>195</v>
      </c>
      <c r="F1" s="178" t="s">
        <v>196</v>
      </c>
      <c r="G1" s="178" t="s">
        <v>197</v>
      </c>
      <c r="H1" s="178" t="s">
        <v>198</v>
      </c>
      <c r="I1" s="178" t="s">
        <v>199</v>
      </c>
      <c r="J1" s="178" t="s">
        <v>200</v>
      </c>
      <c r="K1" s="178" t="s">
        <v>201</v>
      </c>
      <c r="L1" s="178" t="s">
        <v>202</v>
      </c>
      <c r="M1" s="178" t="s">
        <v>203</v>
      </c>
      <c r="N1" s="178" t="s">
        <v>204</v>
      </c>
      <c r="O1" s="178" t="s">
        <v>205</v>
      </c>
      <c r="P1" s="178" t="s">
        <v>206</v>
      </c>
      <c r="Q1" s="178" t="s">
        <v>207</v>
      </c>
      <c r="R1" s="178" t="s">
        <v>208</v>
      </c>
      <c r="S1" s="178" t="s">
        <v>209</v>
      </c>
      <c r="T1" s="178" t="s">
        <v>210</v>
      </c>
      <c r="U1" s="178" t="s">
        <v>211</v>
      </c>
      <c r="V1" s="178" t="s">
        <v>212</v>
      </c>
      <c r="W1" s="178" t="s">
        <v>213</v>
      </c>
      <c r="X1" s="178" t="s">
        <v>214</v>
      </c>
      <c r="Y1" s="178" t="s">
        <v>215</v>
      </c>
      <c r="Z1" s="178" t="s">
        <v>216</v>
      </c>
      <c r="AA1" s="178" t="s">
        <v>217</v>
      </c>
      <c r="AB1" s="178" t="s">
        <v>218</v>
      </c>
      <c r="AC1" s="178" t="s">
        <v>219</v>
      </c>
      <c r="AD1" s="178" t="s">
        <v>220</v>
      </c>
      <c r="AE1" s="178" t="s">
        <v>221</v>
      </c>
      <c r="AF1" s="178" t="s">
        <v>222</v>
      </c>
      <c r="AG1" s="178" t="s">
        <v>223</v>
      </c>
      <c r="AH1" s="178" t="s">
        <v>224</v>
      </c>
      <c r="AI1" s="178" t="s">
        <v>225</v>
      </c>
      <c r="AJ1" s="178" t="s">
        <v>226</v>
      </c>
      <c r="AK1" s="178" t="s">
        <v>227</v>
      </c>
      <c r="AL1" s="178" t="s">
        <v>228</v>
      </c>
      <c r="AM1" s="178" t="s">
        <v>229</v>
      </c>
      <c r="AN1" s="178" t="s">
        <v>230</v>
      </c>
      <c r="AO1" s="178" t="s">
        <v>231</v>
      </c>
      <c r="AP1" s="178" t="s">
        <v>232</v>
      </c>
      <c r="AQ1" s="178" t="s">
        <v>233</v>
      </c>
      <c r="AR1" s="178" t="s">
        <v>234</v>
      </c>
      <c r="AS1" s="178" t="s">
        <v>235</v>
      </c>
      <c r="AT1" s="178" t="s">
        <v>236</v>
      </c>
      <c r="AU1" s="178" t="s">
        <v>237</v>
      </c>
      <c r="AV1" s="178" t="s">
        <v>238</v>
      </c>
      <c r="AW1" s="178" t="s">
        <v>239</v>
      </c>
      <c r="AX1" s="178" t="s">
        <v>240</v>
      </c>
      <c r="AY1" s="178" t="s">
        <v>241</v>
      </c>
      <c r="AZ1" s="178" t="s">
        <v>242</v>
      </c>
      <c r="BA1" s="178" t="s">
        <v>243</v>
      </c>
      <c r="BB1" s="178" t="s">
        <v>244</v>
      </c>
      <c r="BC1" s="178" t="s">
        <v>245</v>
      </c>
      <c r="BD1" s="178" t="s">
        <v>246</v>
      </c>
      <c r="BE1" s="178" t="s">
        <v>247</v>
      </c>
      <c r="BF1" s="178" t="s">
        <v>248</v>
      </c>
      <c r="BG1" s="178" t="s">
        <v>249</v>
      </c>
      <c r="BH1" s="178" t="s">
        <v>250</v>
      </c>
      <c r="BI1" s="178" t="s">
        <v>251</v>
      </c>
      <c r="BJ1" s="178" t="s">
        <v>252</v>
      </c>
      <c r="BK1" s="178" t="s">
        <v>253</v>
      </c>
      <c r="BL1" s="178" t="s">
        <v>254</v>
      </c>
      <c r="BM1" s="178" t="s">
        <v>255</v>
      </c>
      <c r="BN1" s="178" t="s">
        <v>256</v>
      </c>
      <c r="BO1" s="178" t="s">
        <v>257</v>
      </c>
      <c r="BP1" s="178" t="s">
        <v>258</v>
      </c>
      <c r="BQ1" s="178" t="s">
        <v>259</v>
      </c>
      <c r="BR1" s="178" t="s">
        <v>260</v>
      </c>
      <c r="BS1" s="178" t="s">
        <v>261</v>
      </c>
      <c r="BT1" s="178" t="s">
        <v>262</v>
      </c>
      <c r="BU1" s="178" t="s">
        <v>263</v>
      </c>
      <c r="BV1" s="178" t="s">
        <v>264</v>
      </c>
      <c r="BW1" s="178" t="s">
        <v>265</v>
      </c>
      <c r="BX1" s="178" t="s">
        <v>266</v>
      </c>
      <c r="BY1" s="178" t="s">
        <v>267</v>
      </c>
      <c r="BZ1" s="178" t="s">
        <v>268</v>
      </c>
      <c r="CA1" s="178" t="s">
        <v>269</v>
      </c>
      <c r="CB1" s="178" t="s">
        <v>270</v>
      </c>
      <c r="CC1" s="178" t="s">
        <v>271</v>
      </c>
      <c r="CD1" s="178" t="s">
        <v>272</v>
      </c>
      <c r="CE1" s="178" t="s">
        <v>273</v>
      </c>
      <c r="CF1" s="178" t="s">
        <v>274</v>
      </c>
      <c r="CG1" s="178" t="s">
        <v>275</v>
      </c>
    </row>
    <row r="2" spans="1:85" customFormat="1" x14ac:dyDescent="0.15">
      <c r="A2" s="177" t="s">
        <v>192</v>
      </c>
      <c r="B2" s="142">
        <v>0</v>
      </c>
      <c r="C2" s="142">
        <v>0</v>
      </c>
      <c r="D2" s="142">
        <v>0</v>
      </c>
      <c r="E2" s="142">
        <v>0</v>
      </c>
      <c r="F2" s="142">
        <v>0</v>
      </c>
      <c r="G2" s="142">
        <v>0</v>
      </c>
      <c r="H2" s="142">
        <v>0</v>
      </c>
      <c r="I2" s="142">
        <v>0</v>
      </c>
      <c r="J2" s="142">
        <v>0</v>
      </c>
      <c r="K2" s="142">
        <v>0</v>
      </c>
      <c r="L2" s="142">
        <v>0</v>
      </c>
      <c r="M2" s="142">
        <v>0</v>
      </c>
      <c r="N2" s="142">
        <v>0</v>
      </c>
      <c r="O2" s="142">
        <v>0</v>
      </c>
      <c r="P2" s="142">
        <v>0</v>
      </c>
      <c r="Q2" s="142">
        <v>0</v>
      </c>
      <c r="R2" s="142">
        <v>0</v>
      </c>
      <c r="S2" s="142">
        <v>0</v>
      </c>
      <c r="T2" s="142">
        <v>0</v>
      </c>
      <c r="U2" s="142">
        <v>0</v>
      </c>
      <c r="V2" s="142">
        <v>0</v>
      </c>
      <c r="W2" s="142">
        <v>0</v>
      </c>
      <c r="X2" s="142">
        <v>0</v>
      </c>
      <c r="Y2" s="142">
        <v>0</v>
      </c>
      <c r="Z2" s="142">
        <v>0</v>
      </c>
      <c r="AA2" s="142">
        <v>0</v>
      </c>
      <c r="AB2" s="142">
        <v>0</v>
      </c>
      <c r="AC2" s="142">
        <v>0</v>
      </c>
      <c r="AD2" s="142">
        <v>0</v>
      </c>
      <c r="AE2" s="142">
        <v>0</v>
      </c>
      <c r="AF2" s="142">
        <v>0</v>
      </c>
      <c r="AG2" s="142">
        <v>0</v>
      </c>
      <c r="AH2" s="142">
        <v>0</v>
      </c>
      <c r="AI2" s="142">
        <v>0</v>
      </c>
      <c r="AJ2" s="142">
        <v>0</v>
      </c>
      <c r="AK2" s="142">
        <v>0</v>
      </c>
      <c r="AL2" s="142">
        <v>0</v>
      </c>
      <c r="AM2" s="142">
        <v>0</v>
      </c>
      <c r="AN2" s="142">
        <v>0</v>
      </c>
      <c r="AO2" s="142">
        <v>0</v>
      </c>
      <c r="AP2" s="142">
        <v>0</v>
      </c>
      <c r="AQ2" s="142">
        <v>0</v>
      </c>
      <c r="AR2" s="142">
        <v>0</v>
      </c>
      <c r="AS2" s="142">
        <v>0</v>
      </c>
      <c r="AT2" s="142">
        <v>0</v>
      </c>
      <c r="AU2" s="142">
        <v>0</v>
      </c>
      <c r="AV2" s="142">
        <v>0</v>
      </c>
      <c r="AW2" s="142">
        <v>0</v>
      </c>
      <c r="AX2" s="142">
        <v>0</v>
      </c>
      <c r="AY2" s="142">
        <v>0</v>
      </c>
      <c r="AZ2" s="142">
        <v>0</v>
      </c>
      <c r="BA2" s="142">
        <v>0</v>
      </c>
      <c r="BB2" s="142">
        <v>0</v>
      </c>
      <c r="BC2" s="142">
        <v>0</v>
      </c>
      <c r="BD2" s="142">
        <v>0</v>
      </c>
      <c r="BE2" s="142">
        <v>0</v>
      </c>
      <c r="BF2" s="142">
        <v>0</v>
      </c>
      <c r="BG2" s="142">
        <v>0</v>
      </c>
      <c r="BH2" s="142">
        <v>0</v>
      </c>
      <c r="BI2" s="142">
        <v>0</v>
      </c>
      <c r="BJ2" s="142">
        <v>0</v>
      </c>
      <c r="BK2" s="142">
        <v>0</v>
      </c>
      <c r="BL2" s="142">
        <v>0</v>
      </c>
      <c r="BM2" s="142">
        <v>0</v>
      </c>
      <c r="BN2" s="142">
        <v>0</v>
      </c>
      <c r="BO2" s="142">
        <v>0</v>
      </c>
      <c r="BP2" s="142">
        <v>0</v>
      </c>
      <c r="BQ2" s="142">
        <v>0</v>
      </c>
      <c r="BR2" s="142">
        <v>0</v>
      </c>
      <c r="BS2" s="142">
        <v>0</v>
      </c>
      <c r="BT2" s="142">
        <v>0</v>
      </c>
      <c r="BU2" s="142">
        <v>0</v>
      </c>
      <c r="BV2" s="142">
        <v>0</v>
      </c>
      <c r="BW2" s="142">
        <v>0</v>
      </c>
      <c r="BX2" s="142">
        <v>0</v>
      </c>
      <c r="BY2" s="142">
        <v>0</v>
      </c>
      <c r="BZ2" s="142">
        <v>0</v>
      </c>
      <c r="CA2" s="142">
        <v>0</v>
      </c>
      <c r="CB2" s="142">
        <v>0</v>
      </c>
      <c r="CC2" s="142">
        <v>0</v>
      </c>
      <c r="CD2" s="142">
        <v>0</v>
      </c>
      <c r="CE2" s="142">
        <v>0</v>
      </c>
      <c r="CF2" s="142">
        <v>0</v>
      </c>
      <c r="CG2" s="142">
        <v>0</v>
      </c>
    </row>
    <row r="3" spans="1:85" customFormat="1" x14ac:dyDescent="0.15">
      <c r="A3" s="177" t="s">
        <v>193</v>
      </c>
      <c r="B3" s="142">
        <v>0</v>
      </c>
      <c r="C3" s="142">
        <v>0</v>
      </c>
      <c r="D3" s="142">
        <v>0</v>
      </c>
      <c r="E3" s="142">
        <v>0</v>
      </c>
      <c r="F3" s="142">
        <v>0</v>
      </c>
      <c r="G3" s="142">
        <v>0</v>
      </c>
      <c r="H3" s="142">
        <v>0</v>
      </c>
      <c r="I3" s="142">
        <v>0</v>
      </c>
      <c r="J3" s="142">
        <v>0</v>
      </c>
      <c r="K3" s="142">
        <v>0</v>
      </c>
      <c r="L3" s="142">
        <v>0</v>
      </c>
      <c r="M3" s="142">
        <v>0</v>
      </c>
      <c r="N3" s="142">
        <v>0</v>
      </c>
      <c r="O3" s="142">
        <v>0</v>
      </c>
      <c r="P3" s="142">
        <v>0</v>
      </c>
      <c r="Q3" s="142">
        <v>0</v>
      </c>
      <c r="R3" s="142">
        <v>0</v>
      </c>
      <c r="S3" s="142">
        <v>0</v>
      </c>
      <c r="T3" s="142">
        <v>0</v>
      </c>
      <c r="U3" s="142">
        <v>0</v>
      </c>
      <c r="V3" s="142">
        <v>0</v>
      </c>
      <c r="W3" s="142">
        <v>0</v>
      </c>
      <c r="X3" s="142">
        <v>0</v>
      </c>
      <c r="Y3" s="142">
        <v>0</v>
      </c>
      <c r="Z3" s="142">
        <v>0</v>
      </c>
      <c r="AA3" s="142">
        <v>0</v>
      </c>
      <c r="AB3" s="142">
        <v>0</v>
      </c>
      <c r="AC3" s="142">
        <v>0</v>
      </c>
      <c r="AD3" s="142">
        <v>0</v>
      </c>
      <c r="AE3" s="142">
        <v>0</v>
      </c>
      <c r="AF3" s="142">
        <v>0</v>
      </c>
      <c r="AG3" s="142">
        <v>0</v>
      </c>
      <c r="AH3" s="142">
        <v>0</v>
      </c>
      <c r="AI3" s="142">
        <v>0</v>
      </c>
      <c r="AJ3" s="142">
        <v>0</v>
      </c>
      <c r="AK3" s="142">
        <v>0</v>
      </c>
      <c r="AL3" s="142">
        <v>0</v>
      </c>
      <c r="AM3" s="142">
        <v>0</v>
      </c>
      <c r="AN3" s="142">
        <v>0</v>
      </c>
      <c r="AO3" s="142">
        <v>0</v>
      </c>
      <c r="AP3" s="142">
        <v>0</v>
      </c>
      <c r="AQ3" s="142">
        <v>0</v>
      </c>
      <c r="AR3" s="142">
        <v>0</v>
      </c>
      <c r="AS3" s="142">
        <v>0</v>
      </c>
      <c r="AT3" s="142">
        <v>0</v>
      </c>
      <c r="AU3" s="142">
        <v>0</v>
      </c>
      <c r="AV3" s="142">
        <v>0</v>
      </c>
      <c r="AW3" s="142">
        <v>0</v>
      </c>
      <c r="AX3" s="142">
        <v>0</v>
      </c>
      <c r="AY3" s="142">
        <v>0</v>
      </c>
      <c r="AZ3" s="142">
        <v>0</v>
      </c>
      <c r="BA3" s="142">
        <v>0</v>
      </c>
      <c r="BB3" s="142">
        <v>0</v>
      </c>
      <c r="BC3" s="142">
        <v>0</v>
      </c>
      <c r="BD3" s="142">
        <v>0</v>
      </c>
      <c r="BE3" s="142">
        <v>0</v>
      </c>
      <c r="BF3" s="142">
        <v>0</v>
      </c>
      <c r="BG3" s="142">
        <v>0</v>
      </c>
      <c r="BH3" s="142">
        <v>0</v>
      </c>
      <c r="BI3" s="142">
        <v>0</v>
      </c>
      <c r="BJ3" s="142">
        <v>0</v>
      </c>
      <c r="BK3" s="142">
        <v>0</v>
      </c>
      <c r="BL3" s="142">
        <v>0</v>
      </c>
      <c r="BM3" s="142">
        <v>0</v>
      </c>
      <c r="BN3" s="142">
        <v>0</v>
      </c>
      <c r="BO3" s="142">
        <v>0</v>
      </c>
      <c r="BP3" s="142">
        <v>0</v>
      </c>
      <c r="BQ3" s="142">
        <v>0</v>
      </c>
      <c r="BR3" s="142">
        <v>0</v>
      </c>
      <c r="BS3" s="142">
        <v>0</v>
      </c>
      <c r="BT3" s="142">
        <v>0</v>
      </c>
      <c r="BU3" s="142">
        <v>0</v>
      </c>
      <c r="BV3" s="142">
        <v>0</v>
      </c>
      <c r="BW3" s="142">
        <v>0</v>
      </c>
      <c r="BX3" s="142">
        <v>0</v>
      </c>
      <c r="BY3" s="142">
        <v>0</v>
      </c>
      <c r="BZ3" s="142">
        <v>0</v>
      </c>
      <c r="CA3" s="142">
        <v>0</v>
      </c>
      <c r="CB3" s="142">
        <v>0</v>
      </c>
      <c r="CC3" s="142">
        <v>0</v>
      </c>
      <c r="CD3" s="142">
        <v>0</v>
      </c>
      <c r="CE3" s="142">
        <v>0</v>
      </c>
      <c r="CF3" s="142">
        <v>0</v>
      </c>
      <c r="CG3" s="142">
        <v>0</v>
      </c>
    </row>
    <row r="4" spans="1:85" customFormat="1" x14ac:dyDescent="0.15">
      <c r="A4" s="177" t="s">
        <v>194</v>
      </c>
      <c r="B4" s="142">
        <v>0</v>
      </c>
      <c r="C4" s="142">
        <v>0</v>
      </c>
      <c r="D4" s="142">
        <v>0</v>
      </c>
      <c r="E4" s="142">
        <v>0</v>
      </c>
      <c r="F4" s="142">
        <v>0</v>
      </c>
      <c r="G4" s="142">
        <v>0</v>
      </c>
      <c r="H4" s="142">
        <v>0</v>
      </c>
      <c r="I4" s="142">
        <v>0</v>
      </c>
      <c r="J4" s="142">
        <v>0</v>
      </c>
      <c r="K4" s="142">
        <v>0</v>
      </c>
      <c r="L4" s="142">
        <v>0</v>
      </c>
      <c r="M4" s="142">
        <v>0</v>
      </c>
      <c r="N4" s="142">
        <v>0</v>
      </c>
      <c r="O4" s="142">
        <v>0</v>
      </c>
      <c r="P4" s="142">
        <v>0</v>
      </c>
      <c r="Q4" s="142">
        <v>0</v>
      </c>
      <c r="R4" s="142">
        <v>0</v>
      </c>
      <c r="S4" s="142">
        <v>0</v>
      </c>
      <c r="T4" s="142">
        <v>0</v>
      </c>
      <c r="U4" s="142">
        <v>0</v>
      </c>
      <c r="V4" s="142">
        <v>0</v>
      </c>
      <c r="W4" s="142">
        <v>0</v>
      </c>
      <c r="X4" s="142">
        <v>0</v>
      </c>
      <c r="Y4" s="142">
        <v>0</v>
      </c>
      <c r="Z4" s="142">
        <v>0</v>
      </c>
      <c r="AA4" s="142">
        <v>0</v>
      </c>
      <c r="AB4" s="142">
        <v>0</v>
      </c>
      <c r="AC4" s="142">
        <v>0</v>
      </c>
      <c r="AD4" s="142">
        <v>0</v>
      </c>
      <c r="AE4" s="142">
        <v>0</v>
      </c>
      <c r="AF4" s="142">
        <v>0</v>
      </c>
      <c r="AG4" s="142">
        <v>0</v>
      </c>
      <c r="AH4" s="142">
        <v>0</v>
      </c>
      <c r="AI4" s="142">
        <v>0</v>
      </c>
      <c r="AJ4" s="142">
        <v>0</v>
      </c>
      <c r="AK4" s="142">
        <v>0</v>
      </c>
      <c r="AL4" s="142">
        <v>0</v>
      </c>
      <c r="AM4" s="142">
        <v>0</v>
      </c>
      <c r="AN4" s="142">
        <v>0</v>
      </c>
      <c r="AO4" s="142">
        <v>0</v>
      </c>
      <c r="AP4" s="142">
        <v>0</v>
      </c>
      <c r="AQ4" s="142">
        <v>0</v>
      </c>
      <c r="AR4" s="142">
        <v>0</v>
      </c>
      <c r="AS4" s="142">
        <v>0</v>
      </c>
      <c r="AT4" s="142">
        <v>0</v>
      </c>
      <c r="AU4" s="142">
        <v>0</v>
      </c>
      <c r="AV4" s="142">
        <v>0</v>
      </c>
      <c r="AW4" s="142">
        <v>0</v>
      </c>
      <c r="AX4" s="142">
        <v>0</v>
      </c>
      <c r="AY4" s="142">
        <v>0</v>
      </c>
      <c r="AZ4" s="142">
        <v>0</v>
      </c>
      <c r="BA4" s="142">
        <v>0</v>
      </c>
      <c r="BB4" s="142">
        <v>0</v>
      </c>
      <c r="BC4" s="142">
        <v>0</v>
      </c>
      <c r="BD4" s="142">
        <v>0</v>
      </c>
      <c r="BE4" s="142">
        <v>0</v>
      </c>
      <c r="BF4" s="142">
        <v>0</v>
      </c>
      <c r="BG4" s="142">
        <v>0</v>
      </c>
      <c r="BH4" s="142">
        <v>0</v>
      </c>
      <c r="BI4" s="142">
        <v>0</v>
      </c>
      <c r="BJ4" s="142">
        <v>0</v>
      </c>
      <c r="BK4" s="142">
        <v>0</v>
      </c>
      <c r="BL4" s="142">
        <v>0</v>
      </c>
      <c r="BM4" s="142">
        <v>0</v>
      </c>
      <c r="BN4" s="142">
        <v>0</v>
      </c>
      <c r="BO4" s="142">
        <v>0</v>
      </c>
      <c r="BP4" s="142">
        <v>0</v>
      </c>
      <c r="BQ4" s="142">
        <v>0</v>
      </c>
      <c r="BR4" s="142">
        <v>0</v>
      </c>
      <c r="BS4" s="142">
        <v>0</v>
      </c>
      <c r="BT4" s="142">
        <v>0</v>
      </c>
      <c r="BU4" s="142">
        <v>0</v>
      </c>
      <c r="BV4" s="142">
        <v>0</v>
      </c>
      <c r="BW4" s="142">
        <v>0</v>
      </c>
      <c r="BX4" s="142">
        <v>0</v>
      </c>
      <c r="BY4" s="142">
        <v>0</v>
      </c>
      <c r="BZ4" s="142">
        <v>0</v>
      </c>
      <c r="CA4" s="142">
        <v>0</v>
      </c>
      <c r="CB4" s="142">
        <v>0</v>
      </c>
      <c r="CC4" s="142">
        <v>0</v>
      </c>
      <c r="CD4" s="142">
        <v>0</v>
      </c>
      <c r="CE4" s="142">
        <v>0</v>
      </c>
      <c r="CF4" s="142">
        <v>0</v>
      </c>
      <c r="CG4" s="142">
        <v>0</v>
      </c>
    </row>
    <row r="5" spans="1:85" customFormat="1" x14ac:dyDescent="0.15">
      <c r="A5" s="177" t="s">
        <v>195</v>
      </c>
      <c r="B5" s="142">
        <v>0</v>
      </c>
      <c r="C5" s="142">
        <v>0</v>
      </c>
      <c r="D5" s="142">
        <v>5.0000000000000001E-3</v>
      </c>
      <c r="E5" s="142">
        <v>0</v>
      </c>
      <c r="F5" s="142">
        <v>0</v>
      </c>
      <c r="G5" s="142">
        <v>0</v>
      </c>
      <c r="H5" s="142">
        <v>9.9999000009999908E-6</v>
      </c>
      <c r="I5" s="142">
        <v>0</v>
      </c>
      <c r="J5" s="142">
        <v>0</v>
      </c>
      <c r="K5" s="142">
        <v>0</v>
      </c>
      <c r="L5" s="142">
        <v>0</v>
      </c>
      <c r="M5" s="142">
        <v>0</v>
      </c>
      <c r="N5" s="142">
        <v>0</v>
      </c>
      <c r="O5" s="142">
        <v>0</v>
      </c>
      <c r="P5" s="142">
        <v>0</v>
      </c>
      <c r="Q5" s="142">
        <v>0</v>
      </c>
      <c r="R5" s="142">
        <v>0</v>
      </c>
      <c r="S5" s="142">
        <v>0</v>
      </c>
      <c r="T5" s="142">
        <v>0</v>
      </c>
      <c r="U5" s="142">
        <v>0</v>
      </c>
      <c r="V5" s="142">
        <v>0</v>
      </c>
      <c r="W5" s="142">
        <v>0</v>
      </c>
      <c r="X5" s="142">
        <v>0</v>
      </c>
      <c r="Y5" s="142">
        <v>0</v>
      </c>
      <c r="Z5" s="142">
        <v>0</v>
      </c>
      <c r="AA5" s="142">
        <v>0</v>
      </c>
      <c r="AB5" s="142">
        <v>0</v>
      </c>
      <c r="AC5" s="142">
        <v>0</v>
      </c>
      <c r="AD5" s="142">
        <v>0</v>
      </c>
      <c r="AE5" s="142">
        <v>0</v>
      </c>
      <c r="AF5" s="142">
        <v>0</v>
      </c>
      <c r="AG5" s="142">
        <v>0</v>
      </c>
      <c r="AH5" s="142">
        <v>0</v>
      </c>
      <c r="AI5" s="142">
        <v>0</v>
      </c>
      <c r="AJ5" s="142">
        <v>0</v>
      </c>
      <c r="AK5" s="142">
        <v>0</v>
      </c>
      <c r="AL5" s="142">
        <v>0</v>
      </c>
      <c r="AM5" s="142">
        <v>0</v>
      </c>
      <c r="AN5" s="142">
        <v>0</v>
      </c>
      <c r="AO5" s="142">
        <v>0</v>
      </c>
      <c r="AP5" s="142">
        <v>0</v>
      </c>
      <c r="AQ5" s="142">
        <v>0</v>
      </c>
      <c r="AR5" s="142">
        <v>0</v>
      </c>
      <c r="AS5" s="142">
        <v>0</v>
      </c>
      <c r="AT5" s="142">
        <v>0</v>
      </c>
      <c r="AU5" s="142">
        <v>0</v>
      </c>
      <c r="AV5" s="142">
        <v>0</v>
      </c>
      <c r="AW5" s="142">
        <v>0</v>
      </c>
      <c r="AX5" s="142">
        <v>0</v>
      </c>
      <c r="AY5" s="142">
        <v>0</v>
      </c>
      <c r="AZ5" s="142">
        <v>0</v>
      </c>
      <c r="BA5" s="142">
        <v>0</v>
      </c>
      <c r="BB5" s="142">
        <v>0</v>
      </c>
      <c r="BC5" s="142">
        <v>0</v>
      </c>
      <c r="BD5" s="142">
        <v>0</v>
      </c>
      <c r="BE5" s="142">
        <v>0</v>
      </c>
      <c r="BF5" s="142">
        <v>0</v>
      </c>
      <c r="BG5" s="142">
        <v>0</v>
      </c>
      <c r="BH5" s="142">
        <v>0</v>
      </c>
      <c r="BI5" s="142">
        <v>0</v>
      </c>
      <c r="BJ5" s="142">
        <v>0</v>
      </c>
      <c r="BK5" s="142">
        <v>0</v>
      </c>
      <c r="BL5" s="142">
        <v>0</v>
      </c>
      <c r="BM5" s="142">
        <v>0</v>
      </c>
      <c r="BN5" s="142">
        <v>0</v>
      </c>
      <c r="BO5" s="142">
        <v>0</v>
      </c>
      <c r="BP5" s="142">
        <v>0</v>
      </c>
      <c r="BQ5" s="142">
        <v>0</v>
      </c>
      <c r="BR5" s="142">
        <v>0</v>
      </c>
      <c r="BS5" s="142">
        <v>0</v>
      </c>
      <c r="BT5" s="142">
        <v>0</v>
      </c>
      <c r="BU5" s="142">
        <v>0</v>
      </c>
      <c r="BV5" s="142">
        <v>0</v>
      </c>
      <c r="BW5" s="142">
        <v>0</v>
      </c>
      <c r="BX5" s="142">
        <v>0</v>
      </c>
      <c r="BY5" s="142">
        <v>0</v>
      </c>
      <c r="BZ5" s="142">
        <v>0</v>
      </c>
      <c r="CA5" s="142">
        <v>0</v>
      </c>
      <c r="CB5" s="142">
        <v>0</v>
      </c>
      <c r="CC5" s="142">
        <v>0</v>
      </c>
      <c r="CD5" s="142">
        <v>0</v>
      </c>
      <c r="CE5" s="142">
        <v>0</v>
      </c>
      <c r="CF5" s="142">
        <v>0</v>
      </c>
      <c r="CG5" s="142">
        <v>0</v>
      </c>
    </row>
    <row r="6" spans="1:85" customFormat="1" x14ac:dyDescent="0.15">
      <c r="A6" s="177" t="s">
        <v>196</v>
      </c>
      <c r="B6" s="142">
        <v>0</v>
      </c>
      <c r="C6" s="142">
        <v>0</v>
      </c>
      <c r="D6" s="142">
        <v>0</v>
      </c>
      <c r="E6" s="142">
        <v>0</v>
      </c>
      <c r="F6" s="142">
        <v>0</v>
      </c>
      <c r="G6" s="142">
        <v>0</v>
      </c>
      <c r="H6" s="142">
        <v>0</v>
      </c>
      <c r="I6" s="142">
        <v>0</v>
      </c>
      <c r="J6" s="142">
        <v>0</v>
      </c>
      <c r="K6" s="142">
        <v>0</v>
      </c>
      <c r="L6" s="142">
        <v>0</v>
      </c>
      <c r="M6" s="142">
        <v>0</v>
      </c>
      <c r="N6" s="142">
        <v>0</v>
      </c>
      <c r="O6" s="142">
        <v>0</v>
      </c>
      <c r="P6" s="142">
        <v>0</v>
      </c>
      <c r="Q6" s="142">
        <v>0</v>
      </c>
      <c r="R6" s="142">
        <v>0</v>
      </c>
      <c r="S6" s="142">
        <v>0</v>
      </c>
      <c r="T6" s="142">
        <v>0</v>
      </c>
      <c r="U6" s="142">
        <v>0</v>
      </c>
      <c r="V6" s="142">
        <v>0</v>
      </c>
      <c r="W6" s="142">
        <v>0</v>
      </c>
      <c r="X6" s="142">
        <v>0</v>
      </c>
      <c r="Y6" s="142">
        <v>0</v>
      </c>
      <c r="Z6" s="142">
        <v>0</v>
      </c>
      <c r="AA6" s="142">
        <v>0</v>
      </c>
      <c r="AB6" s="142">
        <v>0</v>
      </c>
      <c r="AC6" s="142">
        <v>0</v>
      </c>
      <c r="AD6" s="142">
        <v>0</v>
      </c>
      <c r="AE6" s="142">
        <v>0</v>
      </c>
      <c r="AF6" s="142">
        <v>0</v>
      </c>
      <c r="AG6" s="142">
        <v>0</v>
      </c>
      <c r="AH6" s="142">
        <v>0</v>
      </c>
      <c r="AI6" s="142">
        <v>0</v>
      </c>
      <c r="AJ6" s="142">
        <v>0</v>
      </c>
      <c r="AK6" s="142">
        <v>0</v>
      </c>
      <c r="AL6" s="142">
        <v>0</v>
      </c>
      <c r="AM6" s="142">
        <v>0</v>
      </c>
      <c r="AN6" s="142">
        <v>0</v>
      </c>
      <c r="AO6" s="142">
        <v>0</v>
      </c>
      <c r="AP6" s="142">
        <v>0</v>
      </c>
      <c r="AQ6" s="142">
        <v>0</v>
      </c>
      <c r="AR6" s="142">
        <v>0</v>
      </c>
      <c r="AS6" s="142">
        <v>0</v>
      </c>
      <c r="AT6" s="142">
        <v>0</v>
      </c>
      <c r="AU6" s="142">
        <v>0</v>
      </c>
      <c r="AV6" s="142">
        <v>0</v>
      </c>
      <c r="AW6" s="142">
        <v>0</v>
      </c>
      <c r="AX6" s="142">
        <v>0</v>
      </c>
      <c r="AY6" s="142">
        <v>0</v>
      </c>
      <c r="AZ6" s="142">
        <v>0</v>
      </c>
      <c r="BA6" s="142">
        <v>0</v>
      </c>
      <c r="BB6" s="142">
        <v>0</v>
      </c>
      <c r="BC6" s="142">
        <v>0</v>
      </c>
      <c r="BD6" s="142">
        <v>0</v>
      </c>
      <c r="BE6" s="142">
        <v>0</v>
      </c>
      <c r="BF6" s="142">
        <v>0</v>
      </c>
      <c r="BG6" s="142">
        <v>0</v>
      </c>
      <c r="BH6" s="142">
        <v>0</v>
      </c>
      <c r="BI6" s="142">
        <v>0</v>
      </c>
      <c r="BJ6" s="142">
        <v>0</v>
      </c>
      <c r="BK6" s="142">
        <v>0</v>
      </c>
      <c r="BL6" s="142">
        <v>0</v>
      </c>
      <c r="BM6" s="142">
        <v>0</v>
      </c>
      <c r="BN6" s="142">
        <v>0</v>
      </c>
      <c r="BO6" s="142">
        <v>0</v>
      </c>
      <c r="BP6" s="142">
        <v>0</v>
      </c>
      <c r="BQ6" s="142">
        <v>0</v>
      </c>
      <c r="BR6" s="142">
        <v>0</v>
      </c>
      <c r="BS6" s="142">
        <v>0</v>
      </c>
      <c r="BT6" s="142">
        <v>0</v>
      </c>
      <c r="BU6" s="142">
        <v>0</v>
      </c>
      <c r="BV6" s="142">
        <v>0</v>
      </c>
      <c r="BW6" s="142">
        <v>0</v>
      </c>
      <c r="BX6" s="142">
        <v>0</v>
      </c>
      <c r="BY6" s="142">
        <v>0</v>
      </c>
      <c r="BZ6" s="142">
        <v>0</v>
      </c>
      <c r="CA6" s="142">
        <v>0</v>
      </c>
      <c r="CB6" s="142">
        <v>0</v>
      </c>
      <c r="CC6" s="142">
        <v>0</v>
      </c>
      <c r="CD6" s="142">
        <v>0</v>
      </c>
      <c r="CE6" s="142">
        <v>0</v>
      </c>
      <c r="CF6" s="142">
        <v>0</v>
      </c>
      <c r="CG6" s="142">
        <v>0</v>
      </c>
    </row>
    <row r="7" spans="1:85" customFormat="1" x14ac:dyDescent="0.15">
      <c r="A7" s="177" t="s">
        <v>197</v>
      </c>
      <c r="B7" s="142">
        <v>0</v>
      </c>
      <c r="C7" s="142">
        <v>0</v>
      </c>
      <c r="D7" s="142">
        <v>0</v>
      </c>
      <c r="E7" s="142">
        <v>0</v>
      </c>
      <c r="F7" s="142">
        <v>0</v>
      </c>
      <c r="G7" s="142">
        <v>0</v>
      </c>
      <c r="H7" s="142">
        <v>0</v>
      </c>
      <c r="I7" s="142">
        <v>0</v>
      </c>
      <c r="J7" s="142">
        <v>0</v>
      </c>
      <c r="K7" s="142">
        <v>0</v>
      </c>
      <c r="L7" s="142">
        <v>0</v>
      </c>
      <c r="M7" s="142">
        <v>0</v>
      </c>
      <c r="N7" s="142">
        <v>0</v>
      </c>
      <c r="O7" s="142">
        <v>0</v>
      </c>
      <c r="P7" s="142">
        <v>0</v>
      </c>
      <c r="Q7" s="142">
        <v>0</v>
      </c>
      <c r="R7" s="142">
        <v>0</v>
      </c>
      <c r="S7" s="142">
        <v>0</v>
      </c>
      <c r="T7" s="142">
        <v>0</v>
      </c>
      <c r="U7" s="142">
        <v>0</v>
      </c>
      <c r="V7" s="142">
        <v>0</v>
      </c>
      <c r="W7" s="142">
        <v>0</v>
      </c>
      <c r="X7" s="142">
        <v>0</v>
      </c>
      <c r="Y7" s="142">
        <v>0</v>
      </c>
      <c r="Z7" s="142">
        <v>0</v>
      </c>
      <c r="AA7" s="142">
        <v>0</v>
      </c>
      <c r="AB7" s="142">
        <v>0</v>
      </c>
      <c r="AC7" s="142">
        <v>0</v>
      </c>
      <c r="AD7" s="142">
        <v>0</v>
      </c>
      <c r="AE7" s="142">
        <v>0</v>
      </c>
      <c r="AF7" s="142">
        <v>0</v>
      </c>
      <c r="AG7" s="142">
        <v>0</v>
      </c>
      <c r="AH7" s="142">
        <v>0</v>
      </c>
      <c r="AI7" s="142">
        <v>0</v>
      </c>
      <c r="AJ7" s="142">
        <v>0</v>
      </c>
      <c r="AK7" s="142">
        <v>0</v>
      </c>
      <c r="AL7" s="142">
        <v>0</v>
      </c>
      <c r="AM7" s="142">
        <v>0</v>
      </c>
      <c r="AN7" s="142">
        <v>0</v>
      </c>
      <c r="AO7" s="142">
        <v>0</v>
      </c>
      <c r="AP7" s="142">
        <v>0</v>
      </c>
      <c r="AQ7" s="142">
        <v>0</v>
      </c>
      <c r="AR7" s="142">
        <v>0</v>
      </c>
      <c r="AS7" s="142">
        <v>0</v>
      </c>
      <c r="AT7" s="142">
        <v>0</v>
      </c>
      <c r="AU7" s="142">
        <v>0</v>
      </c>
      <c r="AV7" s="142">
        <v>0</v>
      </c>
      <c r="AW7" s="142">
        <v>0</v>
      </c>
      <c r="AX7" s="142">
        <v>0</v>
      </c>
      <c r="AY7" s="142">
        <v>0</v>
      </c>
      <c r="AZ7" s="142">
        <v>0</v>
      </c>
      <c r="BA7" s="142">
        <v>0</v>
      </c>
      <c r="BB7" s="142">
        <v>0</v>
      </c>
      <c r="BC7" s="142">
        <v>0</v>
      </c>
      <c r="BD7" s="142">
        <v>0</v>
      </c>
      <c r="BE7" s="142">
        <v>0</v>
      </c>
      <c r="BF7" s="142">
        <v>0</v>
      </c>
      <c r="BG7" s="142">
        <v>0</v>
      </c>
      <c r="BH7" s="142">
        <v>0</v>
      </c>
      <c r="BI7" s="142">
        <v>0</v>
      </c>
      <c r="BJ7" s="142">
        <v>0</v>
      </c>
      <c r="BK7" s="142">
        <v>0</v>
      </c>
      <c r="BL7" s="142">
        <v>0</v>
      </c>
      <c r="BM7" s="142">
        <v>0</v>
      </c>
      <c r="BN7" s="142">
        <v>0</v>
      </c>
      <c r="BO7" s="142">
        <v>0</v>
      </c>
      <c r="BP7" s="142">
        <v>0</v>
      </c>
      <c r="BQ7" s="142">
        <v>0</v>
      </c>
      <c r="BR7" s="142">
        <v>0</v>
      </c>
      <c r="BS7" s="142">
        <v>0</v>
      </c>
      <c r="BT7" s="142">
        <v>0</v>
      </c>
      <c r="BU7" s="142">
        <v>0</v>
      </c>
      <c r="BV7" s="142">
        <v>0</v>
      </c>
      <c r="BW7" s="142">
        <v>0</v>
      </c>
      <c r="BX7" s="142">
        <v>0</v>
      </c>
      <c r="BY7" s="142">
        <v>0</v>
      </c>
      <c r="BZ7" s="142">
        <v>0</v>
      </c>
      <c r="CA7" s="142">
        <v>0</v>
      </c>
      <c r="CB7" s="142">
        <v>0</v>
      </c>
      <c r="CC7" s="142">
        <v>0</v>
      </c>
      <c r="CD7" s="142">
        <v>0</v>
      </c>
      <c r="CE7" s="142">
        <v>0</v>
      </c>
      <c r="CF7" s="142">
        <v>0</v>
      </c>
      <c r="CG7" s="142">
        <v>0</v>
      </c>
    </row>
    <row r="8" spans="1:85" customFormat="1" x14ac:dyDescent="0.15">
      <c r="A8" s="177" t="s">
        <v>198</v>
      </c>
      <c r="B8" s="142">
        <v>0</v>
      </c>
      <c r="C8" s="142">
        <v>0</v>
      </c>
      <c r="D8" s="142">
        <v>0</v>
      </c>
      <c r="E8" s="142">
        <v>0</v>
      </c>
      <c r="F8" s="142">
        <v>0</v>
      </c>
      <c r="G8" s="142">
        <v>0</v>
      </c>
      <c r="H8" s="142">
        <v>0</v>
      </c>
      <c r="I8" s="142">
        <v>0</v>
      </c>
      <c r="J8" s="142">
        <v>0</v>
      </c>
      <c r="K8" s="142">
        <v>0</v>
      </c>
      <c r="L8" s="142">
        <v>0</v>
      </c>
      <c r="M8" s="142">
        <v>0</v>
      </c>
      <c r="N8" s="142">
        <v>0</v>
      </c>
      <c r="O8" s="142">
        <v>0</v>
      </c>
      <c r="P8" s="142">
        <v>0</v>
      </c>
      <c r="Q8" s="142">
        <v>0</v>
      </c>
      <c r="R8" s="142">
        <v>0</v>
      </c>
      <c r="S8" s="142">
        <v>0</v>
      </c>
      <c r="T8" s="142">
        <v>0</v>
      </c>
      <c r="U8" s="142">
        <v>0</v>
      </c>
      <c r="V8" s="142">
        <v>0</v>
      </c>
      <c r="W8" s="142">
        <v>0</v>
      </c>
      <c r="X8" s="142">
        <v>0</v>
      </c>
      <c r="Y8" s="142">
        <v>0</v>
      </c>
      <c r="Z8" s="142">
        <v>0</v>
      </c>
      <c r="AA8" s="142">
        <v>0</v>
      </c>
      <c r="AB8" s="142">
        <v>0</v>
      </c>
      <c r="AC8" s="142">
        <v>0</v>
      </c>
      <c r="AD8" s="142">
        <v>0</v>
      </c>
      <c r="AE8" s="142">
        <v>0</v>
      </c>
      <c r="AF8" s="142">
        <v>0</v>
      </c>
      <c r="AG8" s="142">
        <v>0</v>
      </c>
      <c r="AH8" s="142">
        <v>0</v>
      </c>
      <c r="AI8" s="142">
        <v>0</v>
      </c>
      <c r="AJ8" s="142">
        <v>0</v>
      </c>
      <c r="AK8" s="142">
        <v>0</v>
      </c>
      <c r="AL8" s="142">
        <v>0</v>
      </c>
      <c r="AM8" s="142">
        <v>0</v>
      </c>
      <c r="AN8" s="142">
        <v>0</v>
      </c>
      <c r="AO8" s="142">
        <v>0</v>
      </c>
      <c r="AP8" s="142">
        <v>0</v>
      </c>
      <c r="AQ8" s="142">
        <v>0</v>
      </c>
      <c r="AR8" s="142">
        <v>0</v>
      </c>
      <c r="AS8" s="142">
        <v>0</v>
      </c>
      <c r="AT8" s="142">
        <v>0</v>
      </c>
      <c r="AU8" s="142">
        <v>0</v>
      </c>
      <c r="AV8" s="142">
        <v>0</v>
      </c>
      <c r="AW8" s="142">
        <v>0</v>
      </c>
      <c r="AX8" s="142">
        <v>0</v>
      </c>
      <c r="AY8" s="142">
        <v>0</v>
      </c>
      <c r="AZ8" s="142">
        <v>0</v>
      </c>
      <c r="BA8" s="142">
        <v>0</v>
      </c>
      <c r="BB8" s="142">
        <v>0</v>
      </c>
      <c r="BC8" s="142">
        <v>0</v>
      </c>
      <c r="BD8" s="142">
        <v>0</v>
      </c>
      <c r="BE8" s="142">
        <v>0</v>
      </c>
      <c r="BF8" s="142">
        <v>0</v>
      </c>
      <c r="BG8" s="142">
        <v>0</v>
      </c>
      <c r="BH8" s="142">
        <v>0</v>
      </c>
      <c r="BI8" s="142">
        <v>0</v>
      </c>
      <c r="BJ8" s="142">
        <v>0</v>
      </c>
      <c r="BK8" s="142">
        <v>0</v>
      </c>
      <c r="BL8" s="142">
        <v>0</v>
      </c>
      <c r="BM8" s="142">
        <v>0</v>
      </c>
      <c r="BN8" s="142">
        <v>0</v>
      </c>
      <c r="BO8" s="142">
        <v>0</v>
      </c>
      <c r="BP8" s="142">
        <v>0</v>
      </c>
      <c r="BQ8" s="142">
        <v>0</v>
      </c>
      <c r="BR8" s="142">
        <v>0</v>
      </c>
      <c r="BS8" s="142">
        <v>0</v>
      </c>
      <c r="BT8" s="142">
        <v>0</v>
      </c>
      <c r="BU8" s="142">
        <v>0</v>
      </c>
      <c r="BV8" s="142">
        <v>0</v>
      </c>
      <c r="BW8" s="142">
        <v>0</v>
      </c>
      <c r="BX8" s="142">
        <v>0</v>
      </c>
      <c r="BY8" s="142">
        <v>0</v>
      </c>
      <c r="BZ8" s="142">
        <v>0</v>
      </c>
      <c r="CA8" s="142">
        <v>0</v>
      </c>
      <c r="CB8" s="142">
        <v>0</v>
      </c>
      <c r="CC8" s="142">
        <v>0</v>
      </c>
      <c r="CD8" s="142">
        <v>0</v>
      </c>
      <c r="CE8" s="142">
        <v>0</v>
      </c>
      <c r="CF8" s="142">
        <v>0</v>
      </c>
      <c r="CG8" s="142">
        <v>0</v>
      </c>
    </row>
    <row r="9" spans="1:85" customFormat="1" x14ac:dyDescent="0.15">
      <c r="A9" s="177" t="s">
        <v>199</v>
      </c>
      <c r="B9" s="142">
        <v>0</v>
      </c>
      <c r="C9" s="142">
        <v>0</v>
      </c>
      <c r="D9" s="142">
        <v>0</v>
      </c>
      <c r="E9" s="142">
        <v>0</v>
      </c>
      <c r="F9" s="142">
        <v>0</v>
      </c>
      <c r="G9" s="142">
        <v>0</v>
      </c>
      <c r="H9" s="142">
        <v>0</v>
      </c>
      <c r="I9" s="142">
        <v>0</v>
      </c>
      <c r="J9" s="142">
        <v>0</v>
      </c>
      <c r="K9" s="142">
        <v>0</v>
      </c>
      <c r="L9" s="142">
        <v>0</v>
      </c>
      <c r="M9" s="142">
        <v>0</v>
      </c>
      <c r="N9" s="142">
        <v>0</v>
      </c>
      <c r="O9" s="142">
        <v>0</v>
      </c>
      <c r="P9" s="142">
        <v>0</v>
      </c>
      <c r="Q9" s="142">
        <v>0</v>
      </c>
      <c r="R9" s="142">
        <v>0</v>
      </c>
      <c r="S9" s="142">
        <v>0</v>
      </c>
      <c r="T9" s="142">
        <v>0</v>
      </c>
      <c r="U9" s="142">
        <v>0</v>
      </c>
      <c r="V9" s="142">
        <v>0</v>
      </c>
      <c r="W9" s="142">
        <v>0</v>
      </c>
      <c r="X9" s="142">
        <v>0</v>
      </c>
      <c r="Y9" s="142">
        <v>0</v>
      </c>
      <c r="Z9" s="142">
        <v>0</v>
      </c>
      <c r="AA9" s="142">
        <v>0</v>
      </c>
      <c r="AB9" s="142">
        <v>0</v>
      </c>
      <c r="AC9" s="142">
        <v>0</v>
      </c>
      <c r="AD9" s="142">
        <v>0</v>
      </c>
      <c r="AE9" s="142">
        <v>0</v>
      </c>
      <c r="AF9" s="142">
        <v>0</v>
      </c>
      <c r="AG9" s="142">
        <v>0</v>
      </c>
      <c r="AH9" s="142">
        <v>0</v>
      </c>
      <c r="AI9" s="142">
        <v>0</v>
      </c>
      <c r="AJ9" s="142">
        <v>0</v>
      </c>
      <c r="AK9" s="142">
        <v>0</v>
      </c>
      <c r="AL9" s="142">
        <v>0</v>
      </c>
      <c r="AM9" s="142">
        <v>0</v>
      </c>
      <c r="AN9" s="142">
        <v>0</v>
      </c>
      <c r="AO9" s="142">
        <v>0</v>
      </c>
      <c r="AP9" s="142">
        <v>0</v>
      </c>
      <c r="AQ9" s="142">
        <v>0</v>
      </c>
      <c r="AR9" s="142">
        <v>0</v>
      </c>
      <c r="AS9" s="142">
        <v>0</v>
      </c>
      <c r="AT9" s="142">
        <v>0</v>
      </c>
      <c r="AU9" s="142">
        <v>0</v>
      </c>
      <c r="AV9" s="142">
        <v>0</v>
      </c>
      <c r="AW9" s="142">
        <v>0</v>
      </c>
      <c r="AX9" s="142">
        <v>0</v>
      </c>
      <c r="AY9" s="142">
        <v>0</v>
      </c>
      <c r="AZ9" s="142">
        <v>0</v>
      </c>
      <c r="BA9" s="142">
        <v>0</v>
      </c>
      <c r="BB9" s="142">
        <v>0</v>
      </c>
      <c r="BC9" s="142">
        <v>0</v>
      </c>
      <c r="BD9" s="142">
        <v>0</v>
      </c>
      <c r="BE9" s="142">
        <v>0</v>
      </c>
      <c r="BF9" s="142">
        <v>0</v>
      </c>
      <c r="BG9" s="142">
        <v>0</v>
      </c>
      <c r="BH9" s="142">
        <v>0</v>
      </c>
      <c r="BI9" s="142">
        <v>0</v>
      </c>
      <c r="BJ9" s="142">
        <v>0</v>
      </c>
      <c r="BK9" s="142">
        <v>0</v>
      </c>
      <c r="BL9" s="142">
        <v>0</v>
      </c>
      <c r="BM9" s="142">
        <v>0</v>
      </c>
      <c r="BN9" s="142">
        <v>0</v>
      </c>
      <c r="BO9" s="142">
        <v>0</v>
      </c>
      <c r="BP9" s="142">
        <v>0</v>
      </c>
      <c r="BQ9" s="142">
        <v>0</v>
      </c>
      <c r="BR9" s="142">
        <v>0</v>
      </c>
      <c r="BS9" s="142">
        <v>0</v>
      </c>
      <c r="BT9" s="142">
        <v>0</v>
      </c>
      <c r="BU9" s="142">
        <v>0</v>
      </c>
      <c r="BV9" s="142">
        <v>0</v>
      </c>
      <c r="BW9" s="142">
        <v>0</v>
      </c>
      <c r="BX9" s="142">
        <v>0</v>
      </c>
      <c r="BY9" s="142">
        <v>0</v>
      </c>
      <c r="BZ9" s="142">
        <v>0</v>
      </c>
      <c r="CA9" s="142">
        <v>0</v>
      </c>
      <c r="CB9" s="142">
        <v>0</v>
      </c>
      <c r="CC9" s="142">
        <v>0</v>
      </c>
      <c r="CD9" s="142">
        <v>0</v>
      </c>
      <c r="CE9" s="142">
        <v>0</v>
      </c>
      <c r="CF9" s="142">
        <v>0</v>
      </c>
      <c r="CG9" s="142">
        <v>0</v>
      </c>
    </row>
    <row r="10" spans="1:85" customFormat="1" x14ac:dyDescent="0.15">
      <c r="A10" s="177" t="s">
        <v>200</v>
      </c>
      <c r="B10" s="142">
        <v>0</v>
      </c>
      <c r="C10" s="142">
        <v>0</v>
      </c>
      <c r="D10" s="142">
        <v>0</v>
      </c>
      <c r="E10" s="142">
        <v>0</v>
      </c>
      <c r="F10" s="142">
        <v>0</v>
      </c>
      <c r="G10" s="142">
        <v>0</v>
      </c>
      <c r="H10" s="142">
        <v>0</v>
      </c>
      <c r="I10" s="142">
        <v>0</v>
      </c>
      <c r="J10" s="142">
        <v>0</v>
      </c>
      <c r="K10" s="142">
        <v>0</v>
      </c>
      <c r="L10" s="142">
        <v>0</v>
      </c>
      <c r="M10" s="142">
        <v>0</v>
      </c>
      <c r="N10" s="142">
        <v>0</v>
      </c>
      <c r="O10" s="142">
        <v>0</v>
      </c>
      <c r="P10" s="142">
        <v>0</v>
      </c>
      <c r="Q10" s="142">
        <v>0</v>
      </c>
      <c r="R10" s="142">
        <v>0</v>
      </c>
      <c r="S10" s="142">
        <v>0</v>
      </c>
      <c r="T10" s="142">
        <v>0</v>
      </c>
      <c r="U10" s="142">
        <v>0</v>
      </c>
      <c r="V10" s="142">
        <v>0</v>
      </c>
      <c r="W10" s="142">
        <v>0</v>
      </c>
      <c r="X10" s="142">
        <v>0</v>
      </c>
      <c r="Y10" s="142">
        <v>0</v>
      </c>
      <c r="Z10" s="142">
        <v>0</v>
      </c>
      <c r="AA10" s="142">
        <v>0</v>
      </c>
      <c r="AB10" s="142">
        <v>0</v>
      </c>
      <c r="AC10" s="142">
        <v>0</v>
      </c>
      <c r="AD10" s="142">
        <v>0</v>
      </c>
      <c r="AE10" s="142">
        <v>0</v>
      </c>
      <c r="AF10" s="142">
        <v>0</v>
      </c>
      <c r="AG10" s="142">
        <v>0</v>
      </c>
      <c r="AH10" s="142">
        <v>0</v>
      </c>
      <c r="AI10" s="142">
        <v>0</v>
      </c>
      <c r="AJ10" s="142">
        <v>0</v>
      </c>
      <c r="AK10" s="142">
        <v>0</v>
      </c>
      <c r="AL10" s="142">
        <v>0</v>
      </c>
      <c r="AM10" s="142">
        <v>0</v>
      </c>
      <c r="AN10" s="142">
        <v>0</v>
      </c>
      <c r="AO10" s="142">
        <v>0</v>
      </c>
      <c r="AP10" s="142">
        <v>0</v>
      </c>
      <c r="AQ10" s="142">
        <v>0</v>
      </c>
      <c r="AR10" s="142">
        <v>0</v>
      </c>
      <c r="AS10" s="142">
        <v>0</v>
      </c>
      <c r="AT10" s="142">
        <v>0</v>
      </c>
      <c r="AU10" s="142">
        <v>0</v>
      </c>
      <c r="AV10" s="142">
        <v>0</v>
      </c>
      <c r="AW10" s="142">
        <v>0</v>
      </c>
      <c r="AX10" s="142">
        <v>0</v>
      </c>
      <c r="AY10" s="142">
        <v>0</v>
      </c>
      <c r="AZ10" s="142">
        <v>0</v>
      </c>
      <c r="BA10" s="142">
        <v>0</v>
      </c>
      <c r="BB10" s="142">
        <v>0</v>
      </c>
      <c r="BC10" s="142">
        <v>0</v>
      </c>
      <c r="BD10" s="142">
        <v>0</v>
      </c>
      <c r="BE10" s="142">
        <v>0</v>
      </c>
      <c r="BF10" s="142">
        <v>0</v>
      </c>
      <c r="BG10" s="142">
        <v>0</v>
      </c>
      <c r="BH10" s="142">
        <v>0</v>
      </c>
      <c r="BI10" s="142">
        <v>0</v>
      </c>
      <c r="BJ10" s="142">
        <v>0</v>
      </c>
      <c r="BK10" s="142">
        <v>0</v>
      </c>
      <c r="BL10" s="142">
        <v>0</v>
      </c>
      <c r="BM10" s="142">
        <v>0</v>
      </c>
      <c r="BN10" s="142">
        <v>0</v>
      </c>
      <c r="BO10" s="142">
        <v>0</v>
      </c>
      <c r="BP10" s="142">
        <v>0</v>
      </c>
      <c r="BQ10" s="142">
        <v>0</v>
      </c>
      <c r="BR10" s="142">
        <v>0</v>
      </c>
      <c r="BS10" s="142">
        <v>0</v>
      </c>
      <c r="BT10" s="142">
        <v>0</v>
      </c>
      <c r="BU10" s="142">
        <v>0</v>
      </c>
      <c r="BV10" s="142">
        <v>0</v>
      </c>
      <c r="BW10" s="142">
        <v>0</v>
      </c>
      <c r="BX10" s="142">
        <v>0</v>
      </c>
      <c r="BY10" s="142">
        <v>0</v>
      </c>
      <c r="BZ10" s="142">
        <v>0</v>
      </c>
      <c r="CA10" s="142">
        <v>0</v>
      </c>
      <c r="CB10" s="142">
        <v>0</v>
      </c>
      <c r="CC10" s="142">
        <v>0</v>
      </c>
      <c r="CD10" s="142">
        <v>0</v>
      </c>
      <c r="CE10" s="142">
        <v>0</v>
      </c>
      <c r="CF10" s="142">
        <v>0</v>
      </c>
      <c r="CG10" s="142">
        <v>0</v>
      </c>
    </row>
    <row r="11" spans="1:85" customFormat="1" x14ac:dyDescent="0.15">
      <c r="A11" s="177" t="s">
        <v>201</v>
      </c>
      <c r="B11" s="142">
        <v>0</v>
      </c>
      <c r="C11" s="142">
        <v>0</v>
      </c>
      <c r="D11" s="142">
        <v>0</v>
      </c>
      <c r="E11" s="142">
        <v>0</v>
      </c>
      <c r="F11" s="142">
        <v>0</v>
      </c>
      <c r="G11" s="142">
        <v>0</v>
      </c>
      <c r="H11" s="142">
        <v>0</v>
      </c>
      <c r="I11" s="142">
        <v>0</v>
      </c>
      <c r="J11" s="142">
        <v>0</v>
      </c>
      <c r="K11" s="142">
        <v>0</v>
      </c>
      <c r="L11" s="142">
        <v>0</v>
      </c>
      <c r="M11" s="142">
        <v>0</v>
      </c>
      <c r="N11" s="142">
        <v>0</v>
      </c>
      <c r="O11" s="142">
        <v>0</v>
      </c>
      <c r="P11" s="142">
        <v>0</v>
      </c>
      <c r="Q11" s="142">
        <v>0</v>
      </c>
      <c r="R11" s="142">
        <v>0</v>
      </c>
      <c r="S11" s="142">
        <v>0</v>
      </c>
      <c r="T11" s="142">
        <v>0</v>
      </c>
      <c r="U11" s="142">
        <v>0</v>
      </c>
      <c r="V11" s="142">
        <v>0</v>
      </c>
      <c r="W11" s="142">
        <v>0</v>
      </c>
      <c r="X11" s="142">
        <v>0</v>
      </c>
      <c r="Y11" s="142">
        <v>0</v>
      </c>
      <c r="Z11" s="142">
        <v>0</v>
      </c>
      <c r="AA11" s="142">
        <v>0</v>
      </c>
      <c r="AB11" s="142">
        <v>0</v>
      </c>
      <c r="AC11" s="142">
        <v>0</v>
      </c>
      <c r="AD11" s="142">
        <v>0</v>
      </c>
      <c r="AE11" s="142">
        <v>0</v>
      </c>
      <c r="AF11" s="142">
        <v>0</v>
      </c>
      <c r="AG11" s="142">
        <v>0</v>
      </c>
      <c r="AH11" s="142">
        <v>0</v>
      </c>
      <c r="AI11" s="142">
        <v>0</v>
      </c>
      <c r="AJ11" s="142">
        <v>0</v>
      </c>
      <c r="AK11" s="142">
        <v>0</v>
      </c>
      <c r="AL11" s="142">
        <v>0</v>
      </c>
      <c r="AM11" s="142">
        <v>0</v>
      </c>
      <c r="AN11" s="142">
        <v>0</v>
      </c>
      <c r="AO11" s="142">
        <v>0</v>
      </c>
      <c r="AP11" s="142">
        <v>0</v>
      </c>
      <c r="AQ11" s="142">
        <v>0</v>
      </c>
      <c r="AR11" s="142">
        <v>0</v>
      </c>
      <c r="AS11" s="142">
        <v>0</v>
      </c>
      <c r="AT11" s="142">
        <v>0</v>
      </c>
      <c r="AU11" s="142">
        <v>0</v>
      </c>
      <c r="AV11" s="142">
        <v>0</v>
      </c>
      <c r="AW11" s="142">
        <v>0</v>
      </c>
      <c r="AX11" s="142">
        <v>0</v>
      </c>
      <c r="AY11" s="142">
        <v>0</v>
      </c>
      <c r="AZ11" s="142">
        <v>0</v>
      </c>
      <c r="BA11" s="142">
        <v>0</v>
      </c>
      <c r="BB11" s="142">
        <v>0</v>
      </c>
      <c r="BC11" s="142">
        <v>0</v>
      </c>
      <c r="BD11" s="142">
        <v>0</v>
      </c>
      <c r="BE11" s="142">
        <v>0</v>
      </c>
      <c r="BF11" s="142">
        <v>0</v>
      </c>
      <c r="BG11" s="142">
        <v>0</v>
      </c>
      <c r="BH11" s="142">
        <v>0</v>
      </c>
      <c r="BI11" s="142">
        <v>0</v>
      </c>
      <c r="BJ11" s="142">
        <v>0</v>
      </c>
      <c r="BK11" s="142">
        <v>0</v>
      </c>
      <c r="BL11" s="142">
        <v>0</v>
      </c>
      <c r="BM11" s="142">
        <v>0</v>
      </c>
      <c r="BN11" s="142">
        <v>0</v>
      </c>
      <c r="BO11" s="142">
        <v>0</v>
      </c>
      <c r="BP11" s="142">
        <v>0</v>
      </c>
      <c r="BQ11" s="142">
        <v>0</v>
      </c>
      <c r="BR11" s="142">
        <v>0</v>
      </c>
      <c r="BS11" s="142">
        <v>0</v>
      </c>
      <c r="BT11" s="142">
        <v>0</v>
      </c>
      <c r="BU11" s="142">
        <v>0</v>
      </c>
      <c r="BV11" s="142">
        <v>0</v>
      </c>
      <c r="BW11" s="142">
        <v>0</v>
      </c>
      <c r="BX11" s="142">
        <v>0</v>
      </c>
      <c r="BY11" s="142">
        <v>0</v>
      </c>
      <c r="BZ11" s="142">
        <v>0</v>
      </c>
      <c r="CA11" s="142">
        <v>0</v>
      </c>
      <c r="CB11" s="142">
        <v>0</v>
      </c>
      <c r="CC11" s="142">
        <v>0</v>
      </c>
      <c r="CD11" s="142">
        <v>0</v>
      </c>
      <c r="CE11" s="142">
        <v>0</v>
      </c>
      <c r="CF11" s="142">
        <v>0</v>
      </c>
      <c r="CG11" s="142">
        <v>0</v>
      </c>
    </row>
    <row r="12" spans="1:85" customFormat="1" x14ac:dyDescent="0.15">
      <c r="A12" s="177" t="s">
        <v>202</v>
      </c>
      <c r="B12" s="142">
        <v>0</v>
      </c>
      <c r="C12" s="142">
        <v>0</v>
      </c>
      <c r="D12" s="142">
        <v>0</v>
      </c>
      <c r="E12" s="142">
        <v>0</v>
      </c>
      <c r="F12" s="142">
        <v>0</v>
      </c>
      <c r="G12" s="142">
        <v>0</v>
      </c>
      <c r="H12" s="142">
        <v>0</v>
      </c>
      <c r="I12" s="142">
        <v>0</v>
      </c>
      <c r="J12" s="142">
        <v>0</v>
      </c>
      <c r="K12" s="142">
        <v>0</v>
      </c>
      <c r="L12" s="142">
        <v>0</v>
      </c>
      <c r="M12" s="142">
        <v>7.9979021502659866E-3</v>
      </c>
      <c r="N12" s="142">
        <v>0</v>
      </c>
      <c r="O12" s="142">
        <v>4.1019554021401992E-5</v>
      </c>
      <c r="P12" s="142">
        <v>0</v>
      </c>
      <c r="Q12" s="142">
        <v>0</v>
      </c>
      <c r="R12" s="142">
        <v>0</v>
      </c>
      <c r="S12" s="142">
        <v>0</v>
      </c>
      <c r="T12" s="142">
        <v>0</v>
      </c>
      <c r="U12" s="142">
        <v>0</v>
      </c>
      <c r="V12" s="142">
        <v>0</v>
      </c>
      <c r="W12" s="142">
        <v>0</v>
      </c>
      <c r="X12" s="142">
        <v>0</v>
      </c>
      <c r="Y12" s="142">
        <v>0</v>
      </c>
      <c r="Z12" s="142">
        <v>0</v>
      </c>
      <c r="AA12" s="142">
        <v>0</v>
      </c>
      <c r="AB12" s="142">
        <v>0</v>
      </c>
      <c r="AC12" s="142">
        <v>0</v>
      </c>
      <c r="AD12" s="142">
        <v>0</v>
      </c>
      <c r="AE12" s="142">
        <v>0</v>
      </c>
      <c r="AF12" s="142">
        <v>0</v>
      </c>
      <c r="AG12" s="142">
        <v>0</v>
      </c>
      <c r="AH12" s="142">
        <v>0</v>
      </c>
      <c r="AI12" s="142">
        <v>0</v>
      </c>
      <c r="AJ12" s="142">
        <v>0</v>
      </c>
      <c r="AK12" s="142">
        <v>0</v>
      </c>
      <c r="AL12" s="142">
        <v>0</v>
      </c>
      <c r="AM12" s="142">
        <v>0</v>
      </c>
      <c r="AN12" s="142">
        <v>0</v>
      </c>
      <c r="AO12" s="142">
        <v>0</v>
      </c>
      <c r="AP12" s="142">
        <v>0</v>
      </c>
      <c r="AQ12" s="142">
        <v>0</v>
      </c>
      <c r="AR12" s="142">
        <v>0</v>
      </c>
      <c r="AS12" s="142">
        <v>0</v>
      </c>
      <c r="AT12" s="142">
        <v>0</v>
      </c>
      <c r="AU12" s="142">
        <v>0</v>
      </c>
      <c r="AV12" s="142">
        <v>0</v>
      </c>
      <c r="AW12" s="142">
        <v>0</v>
      </c>
      <c r="AX12" s="142">
        <v>0</v>
      </c>
      <c r="AY12" s="142">
        <v>0</v>
      </c>
      <c r="AZ12" s="142">
        <v>0</v>
      </c>
      <c r="BA12" s="142">
        <v>0</v>
      </c>
      <c r="BB12" s="142">
        <v>0</v>
      </c>
      <c r="BC12" s="142">
        <v>0</v>
      </c>
      <c r="BD12" s="142">
        <v>0</v>
      </c>
      <c r="BE12" s="142">
        <v>0</v>
      </c>
      <c r="BF12" s="142">
        <v>0</v>
      </c>
      <c r="BG12" s="142">
        <v>0</v>
      </c>
      <c r="BH12" s="142">
        <v>0</v>
      </c>
      <c r="BI12" s="142">
        <v>0</v>
      </c>
      <c r="BJ12" s="142">
        <v>0</v>
      </c>
      <c r="BK12" s="142">
        <v>0</v>
      </c>
      <c r="BL12" s="142">
        <v>0</v>
      </c>
      <c r="BM12" s="142">
        <v>0</v>
      </c>
      <c r="BN12" s="142">
        <v>0</v>
      </c>
      <c r="BO12" s="142">
        <v>0</v>
      </c>
      <c r="BP12" s="142">
        <v>0</v>
      </c>
      <c r="BQ12" s="142">
        <v>0</v>
      </c>
      <c r="BR12" s="142">
        <v>0</v>
      </c>
      <c r="BS12" s="142">
        <v>0</v>
      </c>
      <c r="BT12" s="142">
        <v>0</v>
      </c>
      <c r="BU12" s="142">
        <v>0</v>
      </c>
      <c r="BV12" s="142">
        <v>0</v>
      </c>
      <c r="BW12" s="142">
        <v>0</v>
      </c>
      <c r="BX12" s="142">
        <v>0</v>
      </c>
      <c r="BY12" s="142">
        <v>0</v>
      </c>
      <c r="BZ12" s="142">
        <v>0</v>
      </c>
      <c r="CA12" s="142">
        <v>0</v>
      </c>
      <c r="CB12" s="142">
        <v>0</v>
      </c>
      <c r="CC12" s="142">
        <v>0</v>
      </c>
      <c r="CD12" s="142">
        <v>0</v>
      </c>
      <c r="CE12" s="142">
        <v>0</v>
      </c>
      <c r="CF12" s="142">
        <v>0</v>
      </c>
      <c r="CG12" s="142">
        <v>0</v>
      </c>
    </row>
    <row r="13" spans="1:85" customFormat="1" x14ac:dyDescent="0.15">
      <c r="A13" s="177" t="s">
        <v>203</v>
      </c>
      <c r="B13" s="142">
        <v>0</v>
      </c>
      <c r="C13" s="142">
        <v>0</v>
      </c>
      <c r="D13" s="142">
        <v>0</v>
      </c>
      <c r="E13" s="142">
        <v>0</v>
      </c>
      <c r="F13" s="142">
        <v>0</v>
      </c>
      <c r="G13" s="142">
        <v>0</v>
      </c>
      <c r="H13" s="142">
        <v>0</v>
      </c>
      <c r="I13" s="142">
        <v>0</v>
      </c>
      <c r="J13" s="142">
        <v>0</v>
      </c>
      <c r="K13" s="142">
        <v>0</v>
      </c>
      <c r="L13" s="142">
        <v>0</v>
      </c>
      <c r="M13" s="142">
        <v>0</v>
      </c>
      <c r="N13" s="142">
        <v>0</v>
      </c>
      <c r="O13" s="142">
        <v>0</v>
      </c>
      <c r="P13" s="142">
        <v>0</v>
      </c>
      <c r="Q13" s="142">
        <v>0</v>
      </c>
      <c r="R13" s="142">
        <v>0</v>
      </c>
      <c r="S13" s="142">
        <v>0</v>
      </c>
      <c r="T13" s="142">
        <v>0</v>
      </c>
      <c r="U13" s="142">
        <v>0</v>
      </c>
      <c r="V13" s="142">
        <v>0</v>
      </c>
      <c r="W13" s="142">
        <v>0</v>
      </c>
      <c r="X13" s="142">
        <v>0</v>
      </c>
      <c r="Y13" s="142">
        <v>0</v>
      </c>
      <c r="Z13" s="142">
        <v>0</v>
      </c>
      <c r="AA13" s="142">
        <v>0</v>
      </c>
      <c r="AB13" s="142">
        <v>0</v>
      </c>
      <c r="AC13" s="142">
        <v>0</v>
      </c>
      <c r="AD13" s="142">
        <v>0</v>
      </c>
      <c r="AE13" s="142">
        <v>0</v>
      </c>
      <c r="AF13" s="142">
        <v>0</v>
      </c>
      <c r="AG13" s="142">
        <v>0</v>
      </c>
      <c r="AH13" s="142">
        <v>0</v>
      </c>
      <c r="AI13" s="142">
        <v>0</v>
      </c>
      <c r="AJ13" s="142">
        <v>0</v>
      </c>
      <c r="AK13" s="142">
        <v>0</v>
      </c>
      <c r="AL13" s="142">
        <v>0</v>
      </c>
      <c r="AM13" s="142">
        <v>0</v>
      </c>
      <c r="AN13" s="142">
        <v>0</v>
      </c>
      <c r="AO13" s="142">
        <v>0</v>
      </c>
      <c r="AP13" s="142">
        <v>0</v>
      </c>
      <c r="AQ13" s="142">
        <v>0</v>
      </c>
      <c r="AR13" s="142">
        <v>0</v>
      </c>
      <c r="AS13" s="142">
        <v>0</v>
      </c>
      <c r="AT13" s="142">
        <v>0</v>
      </c>
      <c r="AU13" s="142">
        <v>0</v>
      </c>
      <c r="AV13" s="142">
        <v>0</v>
      </c>
      <c r="AW13" s="142">
        <v>0</v>
      </c>
      <c r="AX13" s="142">
        <v>0</v>
      </c>
      <c r="AY13" s="142">
        <v>0</v>
      </c>
      <c r="AZ13" s="142">
        <v>0</v>
      </c>
      <c r="BA13" s="142">
        <v>0</v>
      </c>
      <c r="BB13" s="142">
        <v>0</v>
      </c>
      <c r="BC13" s="142">
        <v>0</v>
      </c>
      <c r="BD13" s="142">
        <v>0</v>
      </c>
      <c r="BE13" s="142">
        <v>0</v>
      </c>
      <c r="BF13" s="142">
        <v>0</v>
      </c>
      <c r="BG13" s="142">
        <v>0</v>
      </c>
      <c r="BH13" s="142">
        <v>0</v>
      </c>
      <c r="BI13" s="142">
        <v>0</v>
      </c>
      <c r="BJ13" s="142">
        <v>0</v>
      </c>
      <c r="BK13" s="142">
        <v>0</v>
      </c>
      <c r="BL13" s="142">
        <v>0</v>
      </c>
      <c r="BM13" s="142">
        <v>0</v>
      </c>
      <c r="BN13" s="142">
        <v>0</v>
      </c>
      <c r="BO13" s="142">
        <v>0</v>
      </c>
      <c r="BP13" s="142">
        <v>0</v>
      </c>
      <c r="BQ13" s="142">
        <v>0</v>
      </c>
      <c r="BR13" s="142">
        <v>0</v>
      </c>
      <c r="BS13" s="142">
        <v>0</v>
      </c>
      <c r="BT13" s="142">
        <v>0</v>
      </c>
      <c r="BU13" s="142">
        <v>0</v>
      </c>
      <c r="BV13" s="142">
        <v>0</v>
      </c>
      <c r="BW13" s="142">
        <v>0</v>
      </c>
      <c r="BX13" s="142">
        <v>0</v>
      </c>
      <c r="BY13" s="142">
        <v>0</v>
      </c>
      <c r="BZ13" s="142">
        <v>0</v>
      </c>
      <c r="CA13" s="142">
        <v>0</v>
      </c>
      <c r="CB13" s="142">
        <v>0</v>
      </c>
      <c r="CC13" s="142">
        <v>0</v>
      </c>
      <c r="CD13" s="142">
        <v>0</v>
      </c>
      <c r="CE13" s="142">
        <v>0</v>
      </c>
      <c r="CF13" s="142">
        <v>0</v>
      </c>
      <c r="CG13" s="142">
        <v>0</v>
      </c>
    </row>
    <row r="14" spans="1:85" customFormat="1" x14ac:dyDescent="0.15">
      <c r="A14" s="177" t="s">
        <v>204</v>
      </c>
      <c r="B14" s="142">
        <v>0</v>
      </c>
      <c r="C14" s="142">
        <v>0</v>
      </c>
      <c r="D14" s="142">
        <v>0</v>
      </c>
      <c r="E14" s="142">
        <v>0</v>
      </c>
      <c r="F14" s="142">
        <v>0</v>
      </c>
      <c r="G14" s="142">
        <v>0</v>
      </c>
      <c r="H14" s="142">
        <v>0</v>
      </c>
      <c r="I14" s="142">
        <v>0</v>
      </c>
      <c r="J14" s="142">
        <v>0</v>
      </c>
      <c r="K14" s="142">
        <v>0</v>
      </c>
      <c r="L14" s="142">
        <v>0</v>
      </c>
      <c r="M14" s="142">
        <v>0</v>
      </c>
      <c r="N14" s="142">
        <v>0</v>
      </c>
      <c r="O14" s="142">
        <v>0</v>
      </c>
      <c r="P14" s="142">
        <v>0</v>
      </c>
      <c r="Q14" s="142">
        <v>0</v>
      </c>
      <c r="R14" s="142">
        <v>0</v>
      </c>
      <c r="S14" s="142">
        <v>0</v>
      </c>
      <c r="T14" s="142">
        <v>0</v>
      </c>
      <c r="U14" s="142">
        <v>0</v>
      </c>
      <c r="V14" s="142">
        <v>0</v>
      </c>
      <c r="W14" s="142">
        <v>0</v>
      </c>
      <c r="X14" s="142">
        <v>0</v>
      </c>
      <c r="Y14" s="142">
        <v>0</v>
      </c>
      <c r="Z14" s="142">
        <v>0</v>
      </c>
      <c r="AA14" s="142">
        <v>0</v>
      </c>
      <c r="AB14" s="142">
        <v>0</v>
      </c>
      <c r="AC14" s="142">
        <v>0</v>
      </c>
      <c r="AD14" s="142">
        <v>0</v>
      </c>
      <c r="AE14" s="142">
        <v>0</v>
      </c>
      <c r="AF14" s="142">
        <v>0</v>
      </c>
      <c r="AG14" s="142">
        <v>0</v>
      </c>
      <c r="AH14" s="142">
        <v>0</v>
      </c>
      <c r="AI14" s="142">
        <v>0</v>
      </c>
      <c r="AJ14" s="142">
        <v>0</v>
      </c>
      <c r="AK14" s="142">
        <v>0</v>
      </c>
      <c r="AL14" s="142">
        <v>0</v>
      </c>
      <c r="AM14" s="142">
        <v>0</v>
      </c>
      <c r="AN14" s="142">
        <v>0</v>
      </c>
      <c r="AO14" s="142">
        <v>0</v>
      </c>
      <c r="AP14" s="142">
        <v>0</v>
      </c>
      <c r="AQ14" s="142">
        <v>0</v>
      </c>
      <c r="AR14" s="142">
        <v>0</v>
      </c>
      <c r="AS14" s="142">
        <v>0</v>
      </c>
      <c r="AT14" s="142">
        <v>0</v>
      </c>
      <c r="AU14" s="142">
        <v>0</v>
      </c>
      <c r="AV14" s="142">
        <v>0</v>
      </c>
      <c r="AW14" s="142">
        <v>0</v>
      </c>
      <c r="AX14" s="142">
        <v>0</v>
      </c>
      <c r="AY14" s="142">
        <v>0</v>
      </c>
      <c r="AZ14" s="142">
        <v>0</v>
      </c>
      <c r="BA14" s="142">
        <v>0</v>
      </c>
      <c r="BB14" s="142">
        <v>0</v>
      </c>
      <c r="BC14" s="142">
        <v>0</v>
      </c>
      <c r="BD14" s="142">
        <v>0</v>
      </c>
      <c r="BE14" s="142">
        <v>0</v>
      </c>
      <c r="BF14" s="142">
        <v>0</v>
      </c>
      <c r="BG14" s="142">
        <v>0</v>
      </c>
      <c r="BH14" s="142">
        <v>0</v>
      </c>
      <c r="BI14" s="142">
        <v>0</v>
      </c>
      <c r="BJ14" s="142">
        <v>0</v>
      </c>
      <c r="BK14" s="142">
        <v>0</v>
      </c>
      <c r="BL14" s="142">
        <v>0</v>
      </c>
      <c r="BM14" s="142">
        <v>0</v>
      </c>
      <c r="BN14" s="142">
        <v>0</v>
      </c>
      <c r="BO14" s="142">
        <v>0</v>
      </c>
      <c r="BP14" s="142">
        <v>0</v>
      </c>
      <c r="BQ14" s="142">
        <v>0</v>
      </c>
      <c r="BR14" s="142">
        <v>0</v>
      </c>
      <c r="BS14" s="142">
        <v>0</v>
      </c>
      <c r="BT14" s="142">
        <v>0</v>
      </c>
      <c r="BU14" s="142">
        <v>0</v>
      </c>
      <c r="BV14" s="142">
        <v>0</v>
      </c>
      <c r="BW14" s="142">
        <v>0</v>
      </c>
      <c r="BX14" s="142">
        <v>0</v>
      </c>
      <c r="BY14" s="142">
        <v>0</v>
      </c>
      <c r="BZ14" s="142">
        <v>0</v>
      </c>
      <c r="CA14" s="142">
        <v>0</v>
      </c>
      <c r="CB14" s="142">
        <v>0</v>
      </c>
      <c r="CC14" s="142">
        <v>0</v>
      </c>
      <c r="CD14" s="142">
        <v>0</v>
      </c>
      <c r="CE14" s="142">
        <v>0</v>
      </c>
      <c r="CF14" s="142">
        <v>0</v>
      </c>
      <c r="CG14" s="142">
        <v>0</v>
      </c>
    </row>
    <row r="15" spans="1:85" customFormat="1" x14ac:dyDescent="0.15">
      <c r="A15" s="177" t="s">
        <v>205</v>
      </c>
      <c r="B15" s="142">
        <v>0</v>
      </c>
      <c r="C15" s="142">
        <v>0</v>
      </c>
      <c r="D15" s="142">
        <v>0</v>
      </c>
      <c r="E15" s="142">
        <v>0</v>
      </c>
      <c r="F15" s="142">
        <v>0</v>
      </c>
      <c r="G15" s="142">
        <v>0</v>
      </c>
      <c r="H15" s="142">
        <v>0</v>
      </c>
      <c r="I15" s="142">
        <v>0</v>
      </c>
      <c r="J15" s="142">
        <v>0</v>
      </c>
      <c r="K15" s="142">
        <v>0</v>
      </c>
      <c r="L15" s="142">
        <v>0</v>
      </c>
      <c r="M15" s="142">
        <v>0</v>
      </c>
      <c r="N15" s="142">
        <v>0</v>
      </c>
      <c r="O15" s="142">
        <v>0</v>
      </c>
      <c r="P15" s="142">
        <v>0</v>
      </c>
      <c r="Q15" s="142">
        <v>0</v>
      </c>
      <c r="R15" s="142">
        <v>0</v>
      </c>
      <c r="S15" s="142">
        <v>0</v>
      </c>
      <c r="T15" s="142">
        <v>0</v>
      </c>
      <c r="U15" s="142">
        <v>0</v>
      </c>
      <c r="V15" s="142">
        <v>0</v>
      </c>
      <c r="W15" s="142">
        <v>0</v>
      </c>
      <c r="X15" s="142">
        <v>0</v>
      </c>
      <c r="Y15" s="142">
        <v>0</v>
      </c>
      <c r="Z15" s="142">
        <v>0</v>
      </c>
      <c r="AA15" s="142">
        <v>0</v>
      </c>
      <c r="AB15" s="142">
        <v>0</v>
      </c>
      <c r="AC15" s="142">
        <v>0</v>
      </c>
      <c r="AD15" s="142">
        <v>0</v>
      </c>
      <c r="AE15" s="142">
        <v>0</v>
      </c>
      <c r="AF15" s="142">
        <v>0</v>
      </c>
      <c r="AG15" s="142">
        <v>0</v>
      </c>
      <c r="AH15" s="142">
        <v>0</v>
      </c>
      <c r="AI15" s="142">
        <v>0</v>
      </c>
      <c r="AJ15" s="142">
        <v>0</v>
      </c>
      <c r="AK15" s="142">
        <v>0</v>
      </c>
      <c r="AL15" s="142">
        <v>0</v>
      </c>
      <c r="AM15" s="142">
        <v>0</v>
      </c>
      <c r="AN15" s="142">
        <v>0</v>
      </c>
      <c r="AO15" s="142">
        <v>0</v>
      </c>
      <c r="AP15" s="142">
        <v>0</v>
      </c>
      <c r="AQ15" s="142">
        <v>0</v>
      </c>
      <c r="AR15" s="142">
        <v>0</v>
      </c>
      <c r="AS15" s="142">
        <v>0</v>
      </c>
      <c r="AT15" s="142">
        <v>0</v>
      </c>
      <c r="AU15" s="142">
        <v>0</v>
      </c>
      <c r="AV15" s="142">
        <v>0</v>
      </c>
      <c r="AW15" s="142">
        <v>0</v>
      </c>
      <c r="AX15" s="142">
        <v>0</v>
      </c>
      <c r="AY15" s="142">
        <v>0</v>
      </c>
      <c r="AZ15" s="142">
        <v>0</v>
      </c>
      <c r="BA15" s="142">
        <v>0</v>
      </c>
      <c r="BB15" s="142">
        <v>0</v>
      </c>
      <c r="BC15" s="142">
        <v>0</v>
      </c>
      <c r="BD15" s="142">
        <v>0</v>
      </c>
      <c r="BE15" s="142">
        <v>0</v>
      </c>
      <c r="BF15" s="142">
        <v>0</v>
      </c>
      <c r="BG15" s="142">
        <v>0</v>
      </c>
      <c r="BH15" s="142">
        <v>0</v>
      </c>
      <c r="BI15" s="142">
        <v>0</v>
      </c>
      <c r="BJ15" s="142">
        <v>0</v>
      </c>
      <c r="BK15" s="142">
        <v>0</v>
      </c>
      <c r="BL15" s="142">
        <v>0</v>
      </c>
      <c r="BM15" s="142">
        <v>0</v>
      </c>
      <c r="BN15" s="142">
        <v>0</v>
      </c>
      <c r="BO15" s="142">
        <v>0</v>
      </c>
      <c r="BP15" s="142">
        <v>0</v>
      </c>
      <c r="BQ15" s="142">
        <v>0</v>
      </c>
      <c r="BR15" s="142">
        <v>0</v>
      </c>
      <c r="BS15" s="142">
        <v>0</v>
      </c>
      <c r="BT15" s="142">
        <v>0</v>
      </c>
      <c r="BU15" s="142">
        <v>0</v>
      </c>
      <c r="BV15" s="142">
        <v>0</v>
      </c>
      <c r="BW15" s="142">
        <v>0</v>
      </c>
      <c r="BX15" s="142">
        <v>0</v>
      </c>
      <c r="BY15" s="142">
        <v>0</v>
      </c>
      <c r="BZ15" s="142">
        <v>0</v>
      </c>
      <c r="CA15" s="142">
        <v>0</v>
      </c>
      <c r="CB15" s="142">
        <v>0</v>
      </c>
      <c r="CC15" s="142">
        <v>0</v>
      </c>
      <c r="CD15" s="142">
        <v>0</v>
      </c>
      <c r="CE15" s="142">
        <v>0</v>
      </c>
      <c r="CF15" s="142">
        <v>0</v>
      </c>
      <c r="CG15" s="142">
        <v>0</v>
      </c>
    </row>
    <row r="16" spans="1:85" customFormat="1" x14ac:dyDescent="0.15">
      <c r="A16" s="177" t="s">
        <v>206</v>
      </c>
      <c r="B16" s="142">
        <v>0</v>
      </c>
      <c r="C16" s="142">
        <v>0</v>
      </c>
      <c r="D16" s="142">
        <v>0</v>
      </c>
      <c r="E16" s="142">
        <v>0</v>
      </c>
      <c r="F16" s="142">
        <v>0</v>
      </c>
      <c r="G16" s="142">
        <v>0</v>
      </c>
      <c r="H16" s="142">
        <v>0</v>
      </c>
      <c r="I16" s="142">
        <v>0</v>
      </c>
      <c r="J16" s="142">
        <v>0</v>
      </c>
      <c r="K16" s="142">
        <v>0</v>
      </c>
      <c r="L16" s="142">
        <v>0</v>
      </c>
      <c r="M16" s="142">
        <v>0</v>
      </c>
      <c r="N16" s="142">
        <v>0</v>
      </c>
      <c r="O16" s="142">
        <v>0</v>
      </c>
      <c r="P16" s="142">
        <v>0</v>
      </c>
      <c r="Q16" s="142">
        <v>0</v>
      </c>
      <c r="R16" s="142">
        <v>0</v>
      </c>
      <c r="S16" s="142">
        <v>0</v>
      </c>
      <c r="T16" s="142">
        <v>0</v>
      </c>
      <c r="U16" s="142">
        <v>0</v>
      </c>
      <c r="V16" s="142">
        <v>0</v>
      </c>
      <c r="W16" s="142">
        <v>0</v>
      </c>
      <c r="X16" s="142">
        <v>0</v>
      </c>
      <c r="Y16" s="142">
        <v>0</v>
      </c>
      <c r="Z16" s="142">
        <v>0</v>
      </c>
      <c r="AA16" s="142">
        <v>0</v>
      </c>
      <c r="AB16" s="142">
        <v>0</v>
      </c>
      <c r="AC16" s="142">
        <v>0</v>
      </c>
      <c r="AD16" s="142">
        <v>0</v>
      </c>
      <c r="AE16" s="142">
        <v>0</v>
      </c>
      <c r="AF16" s="142">
        <v>0</v>
      </c>
      <c r="AG16" s="142">
        <v>0</v>
      </c>
      <c r="AH16" s="142">
        <v>0</v>
      </c>
      <c r="AI16" s="142">
        <v>0</v>
      </c>
      <c r="AJ16" s="142">
        <v>0</v>
      </c>
      <c r="AK16" s="142">
        <v>0</v>
      </c>
      <c r="AL16" s="142">
        <v>0</v>
      </c>
      <c r="AM16" s="142">
        <v>0</v>
      </c>
      <c r="AN16" s="142">
        <v>0</v>
      </c>
      <c r="AO16" s="142">
        <v>0</v>
      </c>
      <c r="AP16" s="142">
        <v>0</v>
      </c>
      <c r="AQ16" s="142">
        <v>0</v>
      </c>
      <c r="AR16" s="142">
        <v>0</v>
      </c>
      <c r="AS16" s="142">
        <v>0</v>
      </c>
      <c r="AT16" s="142">
        <v>0</v>
      </c>
      <c r="AU16" s="142">
        <v>0</v>
      </c>
      <c r="AV16" s="142">
        <v>0</v>
      </c>
      <c r="AW16" s="142">
        <v>0</v>
      </c>
      <c r="AX16" s="142">
        <v>0</v>
      </c>
      <c r="AY16" s="142">
        <v>0</v>
      </c>
      <c r="AZ16" s="142">
        <v>0</v>
      </c>
      <c r="BA16" s="142">
        <v>0</v>
      </c>
      <c r="BB16" s="142">
        <v>0</v>
      </c>
      <c r="BC16" s="142">
        <v>0</v>
      </c>
      <c r="BD16" s="142">
        <v>0</v>
      </c>
      <c r="BE16" s="142">
        <v>0</v>
      </c>
      <c r="BF16" s="142">
        <v>0</v>
      </c>
      <c r="BG16" s="142">
        <v>0</v>
      </c>
      <c r="BH16" s="142">
        <v>0</v>
      </c>
      <c r="BI16" s="142">
        <v>0</v>
      </c>
      <c r="BJ16" s="142">
        <v>0</v>
      </c>
      <c r="BK16" s="142">
        <v>0</v>
      </c>
      <c r="BL16" s="142">
        <v>0</v>
      </c>
      <c r="BM16" s="142">
        <v>0</v>
      </c>
      <c r="BN16" s="142">
        <v>0</v>
      </c>
      <c r="BO16" s="142">
        <v>0</v>
      </c>
      <c r="BP16" s="142">
        <v>0</v>
      </c>
      <c r="BQ16" s="142">
        <v>0</v>
      </c>
      <c r="BR16" s="142">
        <v>0</v>
      </c>
      <c r="BS16" s="142">
        <v>0</v>
      </c>
      <c r="BT16" s="142">
        <v>0</v>
      </c>
      <c r="BU16" s="142">
        <v>0</v>
      </c>
      <c r="BV16" s="142">
        <v>0</v>
      </c>
      <c r="BW16" s="142">
        <v>0</v>
      </c>
      <c r="BX16" s="142">
        <v>0</v>
      </c>
      <c r="BY16" s="142">
        <v>0</v>
      </c>
      <c r="BZ16" s="142">
        <v>0</v>
      </c>
      <c r="CA16" s="142">
        <v>0</v>
      </c>
      <c r="CB16" s="142">
        <v>0</v>
      </c>
      <c r="CC16" s="142">
        <v>0</v>
      </c>
      <c r="CD16" s="142">
        <v>0</v>
      </c>
      <c r="CE16" s="142">
        <v>0</v>
      </c>
      <c r="CF16" s="142">
        <v>0</v>
      </c>
      <c r="CG16" s="142">
        <v>0</v>
      </c>
    </row>
    <row r="17" spans="1:85" customFormat="1" x14ac:dyDescent="0.15">
      <c r="A17" s="177" t="s">
        <v>207</v>
      </c>
      <c r="B17" s="142">
        <v>0</v>
      </c>
      <c r="C17" s="142">
        <v>0</v>
      </c>
      <c r="D17" s="142">
        <v>0</v>
      </c>
      <c r="E17" s="142">
        <v>0</v>
      </c>
      <c r="F17" s="142">
        <v>0</v>
      </c>
      <c r="G17" s="142">
        <v>0</v>
      </c>
      <c r="H17" s="142">
        <v>0</v>
      </c>
      <c r="I17" s="142">
        <v>0</v>
      </c>
      <c r="J17" s="142">
        <v>0</v>
      </c>
      <c r="K17" s="142">
        <v>0</v>
      </c>
      <c r="L17" s="142">
        <v>0</v>
      </c>
      <c r="M17" s="142">
        <v>0</v>
      </c>
      <c r="N17" s="142">
        <v>0</v>
      </c>
      <c r="O17" s="142">
        <v>0</v>
      </c>
      <c r="P17" s="142">
        <v>0</v>
      </c>
      <c r="Q17" s="142">
        <v>0</v>
      </c>
      <c r="R17" s="142">
        <v>0</v>
      </c>
      <c r="S17" s="142">
        <v>0</v>
      </c>
      <c r="T17" s="142">
        <v>0</v>
      </c>
      <c r="U17" s="142">
        <v>0</v>
      </c>
      <c r="V17" s="142">
        <v>0</v>
      </c>
      <c r="W17" s="142">
        <v>0</v>
      </c>
      <c r="X17" s="142">
        <v>0</v>
      </c>
      <c r="Y17" s="142">
        <v>0</v>
      </c>
      <c r="Z17" s="142">
        <v>0</v>
      </c>
      <c r="AA17" s="142">
        <v>0</v>
      </c>
      <c r="AB17" s="142">
        <v>0</v>
      </c>
      <c r="AC17" s="142">
        <v>0</v>
      </c>
      <c r="AD17" s="142">
        <v>0</v>
      </c>
      <c r="AE17" s="142">
        <v>0</v>
      </c>
      <c r="AF17" s="142">
        <v>0</v>
      </c>
      <c r="AG17" s="142">
        <v>0</v>
      </c>
      <c r="AH17" s="142">
        <v>0</v>
      </c>
      <c r="AI17" s="142">
        <v>0</v>
      </c>
      <c r="AJ17" s="142">
        <v>0</v>
      </c>
      <c r="AK17" s="142">
        <v>0</v>
      </c>
      <c r="AL17" s="142">
        <v>0</v>
      </c>
      <c r="AM17" s="142">
        <v>0</v>
      </c>
      <c r="AN17" s="142">
        <v>0</v>
      </c>
      <c r="AO17" s="142">
        <v>0</v>
      </c>
      <c r="AP17" s="142">
        <v>0</v>
      </c>
      <c r="AQ17" s="142">
        <v>0</v>
      </c>
      <c r="AR17" s="142">
        <v>0</v>
      </c>
      <c r="AS17" s="142">
        <v>0</v>
      </c>
      <c r="AT17" s="142">
        <v>0</v>
      </c>
      <c r="AU17" s="142">
        <v>0</v>
      </c>
      <c r="AV17" s="142">
        <v>0</v>
      </c>
      <c r="AW17" s="142">
        <v>0</v>
      </c>
      <c r="AX17" s="142">
        <v>0</v>
      </c>
      <c r="AY17" s="142">
        <v>0</v>
      </c>
      <c r="AZ17" s="142">
        <v>0</v>
      </c>
      <c r="BA17" s="142">
        <v>0</v>
      </c>
      <c r="BB17" s="142">
        <v>0</v>
      </c>
      <c r="BC17" s="142">
        <v>0</v>
      </c>
      <c r="BD17" s="142">
        <v>0</v>
      </c>
      <c r="BE17" s="142">
        <v>0</v>
      </c>
      <c r="BF17" s="142">
        <v>0</v>
      </c>
      <c r="BG17" s="142">
        <v>0</v>
      </c>
      <c r="BH17" s="142">
        <v>0</v>
      </c>
      <c r="BI17" s="142">
        <v>0</v>
      </c>
      <c r="BJ17" s="142">
        <v>0</v>
      </c>
      <c r="BK17" s="142">
        <v>0</v>
      </c>
      <c r="BL17" s="142">
        <v>0</v>
      </c>
      <c r="BM17" s="142">
        <v>0</v>
      </c>
      <c r="BN17" s="142">
        <v>0</v>
      </c>
      <c r="BO17" s="142">
        <v>0</v>
      </c>
      <c r="BP17" s="142">
        <v>0</v>
      </c>
      <c r="BQ17" s="142">
        <v>0</v>
      </c>
      <c r="BR17" s="142">
        <v>0</v>
      </c>
      <c r="BS17" s="142">
        <v>0</v>
      </c>
      <c r="BT17" s="142">
        <v>0</v>
      </c>
      <c r="BU17" s="142">
        <v>0</v>
      </c>
      <c r="BV17" s="142">
        <v>0</v>
      </c>
      <c r="BW17" s="142">
        <v>0</v>
      </c>
      <c r="BX17" s="142">
        <v>0</v>
      </c>
      <c r="BY17" s="142">
        <v>0</v>
      </c>
      <c r="BZ17" s="142">
        <v>0</v>
      </c>
      <c r="CA17" s="142">
        <v>0</v>
      </c>
      <c r="CB17" s="142">
        <v>0</v>
      </c>
      <c r="CC17" s="142">
        <v>0</v>
      </c>
      <c r="CD17" s="142">
        <v>0</v>
      </c>
      <c r="CE17" s="142">
        <v>0</v>
      </c>
      <c r="CF17" s="142">
        <v>0</v>
      </c>
      <c r="CG17" s="142">
        <v>0</v>
      </c>
    </row>
    <row r="18" spans="1:85" customFormat="1" x14ac:dyDescent="0.15">
      <c r="A18" s="177" t="s">
        <v>208</v>
      </c>
      <c r="B18" s="142">
        <v>0</v>
      </c>
      <c r="C18" s="142">
        <v>0</v>
      </c>
      <c r="D18" s="142">
        <v>0</v>
      </c>
      <c r="E18" s="142">
        <v>0</v>
      </c>
      <c r="F18" s="142">
        <v>0</v>
      </c>
      <c r="G18" s="142">
        <v>0</v>
      </c>
      <c r="H18" s="142">
        <v>0</v>
      </c>
      <c r="I18" s="142">
        <v>0</v>
      </c>
      <c r="J18" s="142">
        <v>0</v>
      </c>
      <c r="K18" s="142">
        <v>0</v>
      </c>
      <c r="L18" s="142">
        <v>0</v>
      </c>
      <c r="M18" s="142">
        <v>0</v>
      </c>
      <c r="N18" s="142">
        <v>0</v>
      </c>
      <c r="O18" s="142">
        <v>0</v>
      </c>
      <c r="P18" s="142">
        <v>0</v>
      </c>
      <c r="Q18" s="142">
        <v>0</v>
      </c>
      <c r="R18" s="142">
        <v>0</v>
      </c>
      <c r="S18" s="142">
        <v>0</v>
      </c>
      <c r="T18" s="142">
        <v>0</v>
      </c>
      <c r="U18" s="142">
        <v>0</v>
      </c>
      <c r="V18" s="142">
        <v>0</v>
      </c>
      <c r="W18" s="142">
        <v>0</v>
      </c>
      <c r="X18" s="142">
        <v>0</v>
      </c>
      <c r="Y18" s="142">
        <v>0</v>
      </c>
      <c r="Z18" s="142">
        <v>0</v>
      </c>
      <c r="AA18" s="142">
        <v>0</v>
      </c>
      <c r="AB18" s="142">
        <v>0</v>
      </c>
      <c r="AC18" s="142">
        <v>0</v>
      </c>
      <c r="AD18" s="142">
        <v>0</v>
      </c>
      <c r="AE18" s="142">
        <v>0</v>
      </c>
      <c r="AF18" s="142">
        <v>0</v>
      </c>
      <c r="AG18" s="142">
        <v>0</v>
      </c>
      <c r="AH18" s="142">
        <v>0</v>
      </c>
      <c r="AI18" s="142">
        <v>0</v>
      </c>
      <c r="AJ18" s="142">
        <v>0</v>
      </c>
      <c r="AK18" s="142">
        <v>0</v>
      </c>
      <c r="AL18" s="142">
        <v>0</v>
      </c>
      <c r="AM18" s="142">
        <v>0</v>
      </c>
      <c r="AN18" s="142">
        <v>0</v>
      </c>
      <c r="AO18" s="142">
        <v>0</v>
      </c>
      <c r="AP18" s="142">
        <v>0</v>
      </c>
      <c r="AQ18" s="142">
        <v>0</v>
      </c>
      <c r="AR18" s="142">
        <v>0</v>
      </c>
      <c r="AS18" s="142">
        <v>0</v>
      </c>
      <c r="AT18" s="142">
        <v>0</v>
      </c>
      <c r="AU18" s="142">
        <v>0</v>
      </c>
      <c r="AV18" s="142">
        <v>0</v>
      </c>
      <c r="AW18" s="142">
        <v>0</v>
      </c>
      <c r="AX18" s="142">
        <v>0</v>
      </c>
      <c r="AY18" s="142">
        <v>0</v>
      </c>
      <c r="AZ18" s="142">
        <v>0</v>
      </c>
      <c r="BA18" s="142">
        <v>0</v>
      </c>
      <c r="BB18" s="142">
        <v>0</v>
      </c>
      <c r="BC18" s="142">
        <v>0</v>
      </c>
      <c r="BD18" s="142">
        <v>0</v>
      </c>
      <c r="BE18" s="142">
        <v>0</v>
      </c>
      <c r="BF18" s="142">
        <v>0</v>
      </c>
      <c r="BG18" s="142">
        <v>0</v>
      </c>
      <c r="BH18" s="142">
        <v>0</v>
      </c>
      <c r="BI18" s="142">
        <v>0</v>
      </c>
      <c r="BJ18" s="142">
        <v>0</v>
      </c>
      <c r="BK18" s="142">
        <v>0</v>
      </c>
      <c r="BL18" s="142">
        <v>0</v>
      </c>
      <c r="BM18" s="142">
        <v>0</v>
      </c>
      <c r="BN18" s="142">
        <v>0</v>
      </c>
      <c r="BO18" s="142">
        <v>0</v>
      </c>
      <c r="BP18" s="142">
        <v>0</v>
      </c>
      <c r="BQ18" s="142">
        <v>0</v>
      </c>
      <c r="BR18" s="142">
        <v>0</v>
      </c>
      <c r="BS18" s="142">
        <v>0</v>
      </c>
      <c r="BT18" s="142">
        <v>0</v>
      </c>
      <c r="BU18" s="142">
        <v>0</v>
      </c>
      <c r="BV18" s="142">
        <v>0</v>
      </c>
      <c r="BW18" s="142">
        <v>0</v>
      </c>
      <c r="BX18" s="142">
        <v>0</v>
      </c>
      <c r="BY18" s="142">
        <v>0</v>
      </c>
      <c r="BZ18" s="142">
        <v>0</v>
      </c>
      <c r="CA18" s="142">
        <v>0</v>
      </c>
      <c r="CB18" s="142">
        <v>0</v>
      </c>
      <c r="CC18" s="142">
        <v>0</v>
      </c>
      <c r="CD18" s="142">
        <v>0</v>
      </c>
      <c r="CE18" s="142">
        <v>0</v>
      </c>
      <c r="CF18" s="142">
        <v>0</v>
      </c>
      <c r="CG18" s="142">
        <v>0</v>
      </c>
    </row>
    <row r="19" spans="1:85" customFormat="1" x14ac:dyDescent="0.15">
      <c r="A19" s="177" t="s">
        <v>209</v>
      </c>
      <c r="B19" s="142">
        <v>0.02</v>
      </c>
      <c r="C19" s="142">
        <v>0</v>
      </c>
      <c r="D19" s="142">
        <v>0</v>
      </c>
      <c r="E19" s="142">
        <v>0</v>
      </c>
      <c r="F19" s="142">
        <v>0</v>
      </c>
      <c r="G19" s="142">
        <v>0</v>
      </c>
      <c r="H19" s="142">
        <v>0</v>
      </c>
      <c r="I19" s="142">
        <v>0</v>
      </c>
      <c r="J19" s="142">
        <v>0</v>
      </c>
      <c r="K19" s="142">
        <v>8.1996547945331491E-4</v>
      </c>
      <c r="L19" s="142">
        <v>0</v>
      </c>
      <c r="M19" s="142">
        <v>0</v>
      </c>
      <c r="N19" s="142">
        <v>0</v>
      </c>
      <c r="O19" s="142">
        <v>9.004292346161413E-4</v>
      </c>
      <c r="P19" s="142">
        <v>0</v>
      </c>
      <c r="Q19" s="142">
        <v>0</v>
      </c>
      <c r="R19" s="142">
        <v>0</v>
      </c>
      <c r="S19" s="142">
        <v>0</v>
      </c>
      <c r="T19" s="142">
        <v>6.9990488292641026E-4</v>
      </c>
      <c r="U19" s="142">
        <v>0</v>
      </c>
      <c r="V19" s="142">
        <v>0</v>
      </c>
      <c r="W19" s="142">
        <v>0</v>
      </c>
      <c r="X19" s="142">
        <v>0</v>
      </c>
      <c r="Y19" s="142">
        <v>0</v>
      </c>
      <c r="Z19" s="142">
        <v>0</v>
      </c>
      <c r="AA19" s="142">
        <v>0</v>
      </c>
      <c r="AB19" s="142">
        <v>0</v>
      </c>
      <c r="AC19" s="142">
        <v>0</v>
      </c>
      <c r="AD19" s="142">
        <v>0</v>
      </c>
      <c r="AE19" s="142">
        <v>0</v>
      </c>
      <c r="AF19" s="142">
        <v>0</v>
      </c>
      <c r="AG19" s="142">
        <v>0</v>
      </c>
      <c r="AH19" s="142">
        <v>0</v>
      </c>
      <c r="AI19" s="142">
        <v>0</v>
      </c>
      <c r="AJ19" s="142">
        <v>0</v>
      </c>
      <c r="AK19" s="142">
        <v>0</v>
      </c>
      <c r="AL19" s="142">
        <v>0</v>
      </c>
      <c r="AM19" s="142">
        <v>0</v>
      </c>
      <c r="AN19" s="142">
        <v>0</v>
      </c>
      <c r="AO19" s="142">
        <v>0</v>
      </c>
      <c r="AP19" s="142">
        <v>0</v>
      </c>
      <c r="AQ19" s="142">
        <v>0</v>
      </c>
      <c r="AR19" s="142">
        <v>0</v>
      </c>
      <c r="AS19" s="142">
        <v>0</v>
      </c>
      <c r="AT19" s="142">
        <v>0</v>
      </c>
      <c r="AU19" s="142">
        <v>0</v>
      </c>
      <c r="AV19" s="142">
        <v>0</v>
      </c>
      <c r="AW19" s="142">
        <v>0</v>
      </c>
      <c r="AX19" s="142">
        <v>0</v>
      </c>
      <c r="AY19" s="142">
        <v>0</v>
      </c>
      <c r="AZ19" s="142">
        <v>0</v>
      </c>
      <c r="BA19" s="142">
        <v>0</v>
      </c>
      <c r="BB19" s="142">
        <v>0</v>
      </c>
      <c r="BC19" s="142">
        <v>0</v>
      </c>
      <c r="BD19" s="142">
        <v>0</v>
      </c>
      <c r="BE19" s="142">
        <v>0</v>
      </c>
      <c r="BF19" s="142">
        <v>0</v>
      </c>
      <c r="BG19" s="142">
        <v>0</v>
      </c>
      <c r="BH19" s="142">
        <v>0</v>
      </c>
      <c r="BI19" s="142">
        <v>0</v>
      </c>
      <c r="BJ19" s="142">
        <v>0</v>
      </c>
      <c r="BK19" s="142">
        <v>0</v>
      </c>
      <c r="BL19" s="142">
        <v>0</v>
      </c>
      <c r="BM19" s="142">
        <v>0</v>
      </c>
      <c r="BN19" s="142">
        <v>0</v>
      </c>
      <c r="BO19" s="142">
        <v>0</v>
      </c>
      <c r="BP19" s="142">
        <v>0</v>
      </c>
      <c r="BQ19" s="142">
        <v>0</v>
      </c>
      <c r="BR19" s="142">
        <v>0</v>
      </c>
      <c r="BS19" s="142">
        <v>0</v>
      </c>
      <c r="BT19" s="142">
        <v>0</v>
      </c>
      <c r="BU19" s="142">
        <v>0</v>
      </c>
      <c r="BV19" s="142">
        <v>0</v>
      </c>
      <c r="BW19" s="142">
        <v>0</v>
      </c>
      <c r="BX19" s="142">
        <v>0</v>
      </c>
      <c r="BY19" s="142">
        <v>0</v>
      </c>
      <c r="BZ19" s="142">
        <v>0</v>
      </c>
      <c r="CA19" s="142">
        <v>0</v>
      </c>
      <c r="CB19" s="142">
        <v>0</v>
      </c>
      <c r="CC19" s="142">
        <v>0</v>
      </c>
      <c r="CD19" s="142">
        <v>0</v>
      </c>
      <c r="CE19" s="142">
        <v>0</v>
      </c>
      <c r="CF19" s="142">
        <v>0</v>
      </c>
      <c r="CG19" s="142">
        <v>0</v>
      </c>
    </row>
    <row r="20" spans="1:85" customFormat="1" x14ac:dyDescent="0.15">
      <c r="A20" s="177" t="s">
        <v>210</v>
      </c>
      <c r="B20" s="142">
        <v>0.01</v>
      </c>
      <c r="C20" s="142">
        <v>0</v>
      </c>
      <c r="D20" s="142">
        <v>8.3000000000000004E-2</v>
      </c>
      <c r="E20" s="142">
        <v>0</v>
      </c>
      <c r="F20" s="142">
        <v>0</v>
      </c>
      <c r="G20" s="142">
        <v>0</v>
      </c>
      <c r="H20" s="142">
        <v>0</v>
      </c>
      <c r="I20" s="142">
        <v>0</v>
      </c>
      <c r="J20" s="142">
        <v>0</v>
      </c>
      <c r="K20" s="142">
        <v>9.7995874373688854E-2</v>
      </c>
      <c r="L20" s="142">
        <v>4.601186646036013E-2</v>
      </c>
      <c r="M20" s="142">
        <v>8.3977972577792853E-2</v>
      </c>
      <c r="N20" s="142">
        <v>6.1018915863917805E-2</v>
      </c>
      <c r="O20" s="142">
        <v>1.0004769273512681E-2</v>
      </c>
      <c r="P20" s="142">
        <v>0</v>
      </c>
      <c r="Q20" s="142">
        <v>0</v>
      </c>
      <c r="R20" s="142">
        <v>0</v>
      </c>
      <c r="S20" s="142">
        <v>3.9993095591976998E-3</v>
      </c>
      <c r="T20" s="142">
        <v>0</v>
      </c>
      <c r="U20" s="142">
        <v>0</v>
      </c>
      <c r="V20" s="142">
        <v>5.9988962030986318E-3</v>
      </c>
      <c r="W20" s="142">
        <v>0</v>
      </c>
      <c r="X20" s="142">
        <v>0</v>
      </c>
      <c r="Y20" s="142">
        <v>0</v>
      </c>
      <c r="Z20" s="142">
        <v>0</v>
      </c>
      <c r="AA20" s="142">
        <v>0</v>
      </c>
      <c r="AB20" s="142">
        <v>0</v>
      </c>
      <c r="AC20" s="142">
        <v>0</v>
      </c>
      <c r="AD20" s="142">
        <v>0</v>
      </c>
      <c r="AE20" s="142">
        <v>0</v>
      </c>
      <c r="AF20" s="142">
        <v>0</v>
      </c>
      <c r="AG20" s="142">
        <v>0</v>
      </c>
      <c r="AH20" s="142">
        <v>0</v>
      </c>
      <c r="AI20" s="142">
        <v>0</v>
      </c>
      <c r="AJ20" s="142">
        <v>0</v>
      </c>
      <c r="AK20" s="142">
        <v>0</v>
      </c>
      <c r="AL20" s="142">
        <v>0</v>
      </c>
      <c r="AM20" s="142">
        <v>0</v>
      </c>
      <c r="AN20" s="142">
        <v>0</v>
      </c>
      <c r="AO20" s="142">
        <v>0</v>
      </c>
      <c r="AP20" s="142">
        <v>0</v>
      </c>
      <c r="AQ20" s="142">
        <v>0</v>
      </c>
      <c r="AR20" s="142">
        <v>0</v>
      </c>
      <c r="AS20" s="142">
        <v>0</v>
      </c>
      <c r="AT20" s="142">
        <v>0</v>
      </c>
      <c r="AU20" s="142">
        <v>0</v>
      </c>
      <c r="AV20" s="142">
        <v>0</v>
      </c>
      <c r="AW20" s="142">
        <v>0</v>
      </c>
      <c r="AX20" s="142">
        <v>0</v>
      </c>
      <c r="AY20" s="142">
        <v>0</v>
      </c>
      <c r="AZ20" s="142">
        <v>0</v>
      </c>
      <c r="BA20" s="142">
        <v>0</v>
      </c>
      <c r="BB20" s="142">
        <v>0</v>
      </c>
      <c r="BC20" s="142">
        <v>0</v>
      </c>
      <c r="BD20" s="142">
        <v>0</v>
      </c>
      <c r="BE20" s="142">
        <v>0</v>
      </c>
      <c r="BF20" s="142">
        <v>0</v>
      </c>
      <c r="BG20" s="142">
        <v>0</v>
      </c>
      <c r="BH20" s="142">
        <v>0</v>
      </c>
      <c r="BI20" s="142">
        <v>0</v>
      </c>
      <c r="BJ20" s="142">
        <v>0</v>
      </c>
      <c r="BK20" s="142">
        <v>0</v>
      </c>
      <c r="BL20" s="142">
        <v>0</v>
      </c>
      <c r="BM20" s="142">
        <v>0</v>
      </c>
      <c r="BN20" s="142">
        <v>0</v>
      </c>
      <c r="BO20" s="142">
        <v>0</v>
      </c>
      <c r="BP20" s="142">
        <v>0</v>
      </c>
      <c r="BQ20" s="142">
        <v>0</v>
      </c>
      <c r="BR20" s="142">
        <v>0</v>
      </c>
      <c r="BS20" s="142">
        <v>0</v>
      </c>
      <c r="BT20" s="142">
        <v>0</v>
      </c>
      <c r="BU20" s="142">
        <v>0</v>
      </c>
      <c r="BV20" s="142">
        <v>0</v>
      </c>
      <c r="BW20" s="142">
        <v>0</v>
      </c>
      <c r="BX20" s="142">
        <v>0</v>
      </c>
      <c r="BY20" s="142">
        <v>0</v>
      </c>
      <c r="BZ20" s="142">
        <v>0</v>
      </c>
      <c r="CA20" s="142">
        <v>0</v>
      </c>
      <c r="CB20" s="142">
        <v>0</v>
      </c>
      <c r="CC20" s="142">
        <v>0</v>
      </c>
      <c r="CD20" s="142">
        <v>0</v>
      </c>
      <c r="CE20" s="142">
        <v>0</v>
      </c>
      <c r="CF20" s="142">
        <v>0</v>
      </c>
      <c r="CG20" s="142">
        <v>0</v>
      </c>
    </row>
    <row r="21" spans="1:85" customFormat="1" x14ac:dyDescent="0.15">
      <c r="A21" s="177" t="s">
        <v>211</v>
      </c>
      <c r="B21" s="142">
        <v>0.22</v>
      </c>
      <c r="C21" s="142">
        <v>0</v>
      </c>
      <c r="D21" s="142">
        <v>0</v>
      </c>
      <c r="E21" s="142">
        <v>0</v>
      </c>
      <c r="F21" s="142">
        <v>1.2999999999999999E-2</v>
      </c>
      <c r="G21" s="142">
        <v>0.47000000000000003</v>
      </c>
      <c r="H21" s="142">
        <v>0.31999680003199965</v>
      </c>
      <c r="I21" s="142">
        <v>0</v>
      </c>
      <c r="J21" s="142">
        <v>0</v>
      </c>
      <c r="K21" s="142">
        <v>0</v>
      </c>
      <c r="L21" s="142">
        <v>0</v>
      </c>
      <c r="M21" s="142">
        <v>3.0991870832280694E-4</v>
      </c>
      <c r="N21" s="142">
        <v>0.10503256009362902</v>
      </c>
      <c r="O21" s="142">
        <v>6.0028615641076087E-3</v>
      </c>
      <c r="P21" s="142">
        <v>0</v>
      </c>
      <c r="Q21" s="142">
        <v>0</v>
      </c>
      <c r="R21" s="142">
        <v>0</v>
      </c>
      <c r="S21" s="142">
        <v>8.9984465081948233E-3</v>
      </c>
      <c r="T21" s="142">
        <v>2.999592355398901E-3</v>
      </c>
      <c r="U21" s="142">
        <v>0</v>
      </c>
      <c r="V21" s="142">
        <v>0</v>
      </c>
      <c r="W21" s="142">
        <v>0</v>
      </c>
      <c r="X21" s="142">
        <v>3.0009245848645967E-3</v>
      </c>
      <c r="Y21" s="142">
        <v>0</v>
      </c>
      <c r="Z21" s="142">
        <v>0</v>
      </c>
      <c r="AA21" s="142">
        <v>0</v>
      </c>
      <c r="AB21" s="142">
        <v>7.3031843928844599E-4</v>
      </c>
      <c r="AC21" s="142">
        <v>0</v>
      </c>
      <c r="AD21" s="142">
        <v>0</v>
      </c>
      <c r="AE21" s="142">
        <v>0</v>
      </c>
      <c r="AF21" s="142">
        <v>0</v>
      </c>
      <c r="AG21" s="142">
        <v>0</v>
      </c>
      <c r="AH21" s="142">
        <v>0</v>
      </c>
      <c r="AI21" s="142">
        <v>0</v>
      </c>
      <c r="AJ21" s="142">
        <v>0</v>
      </c>
      <c r="AK21" s="142">
        <v>0</v>
      </c>
      <c r="AL21" s="142">
        <v>0</v>
      </c>
      <c r="AM21" s="142">
        <v>0</v>
      </c>
      <c r="AN21" s="142">
        <v>0</v>
      </c>
      <c r="AO21" s="142">
        <v>0</v>
      </c>
      <c r="AP21" s="142">
        <v>0</v>
      </c>
      <c r="AQ21" s="142">
        <v>0</v>
      </c>
      <c r="AR21" s="142">
        <v>0</v>
      </c>
      <c r="AS21" s="142">
        <v>0</v>
      </c>
      <c r="AT21" s="142">
        <v>0</v>
      </c>
      <c r="AU21" s="142">
        <v>0</v>
      </c>
      <c r="AV21" s="142">
        <v>0</v>
      </c>
      <c r="AW21" s="142">
        <v>0</v>
      </c>
      <c r="AX21" s="142">
        <v>0</v>
      </c>
      <c r="AY21" s="142">
        <v>0</v>
      </c>
      <c r="AZ21" s="142">
        <v>0</v>
      </c>
      <c r="BA21" s="142">
        <v>0</v>
      </c>
      <c r="BB21" s="142">
        <v>0</v>
      </c>
      <c r="BC21" s="142">
        <v>0</v>
      </c>
      <c r="BD21" s="142">
        <v>0</v>
      </c>
      <c r="BE21" s="142">
        <v>0</v>
      </c>
      <c r="BF21" s="142">
        <v>0</v>
      </c>
      <c r="BG21" s="142">
        <v>0</v>
      </c>
      <c r="BH21" s="142">
        <v>0</v>
      </c>
      <c r="BI21" s="142">
        <v>0</v>
      </c>
      <c r="BJ21" s="142">
        <v>0</v>
      </c>
      <c r="BK21" s="142">
        <v>0</v>
      </c>
      <c r="BL21" s="142">
        <v>0</v>
      </c>
      <c r="BM21" s="142">
        <v>0</v>
      </c>
      <c r="BN21" s="142">
        <v>0</v>
      </c>
      <c r="BO21" s="142">
        <v>0</v>
      </c>
      <c r="BP21" s="142">
        <v>0</v>
      </c>
      <c r="BQ21" s="142">
        <v>0</v>
      </c>
      <c r="BR21" s="142">
        <v>0</v>
      </c>
      <c r="BS21" s="142">
        <v>0</v>
      </c>
      <c r="BT21" s="142">
        <v>0</v>
      </c>
      <c r="BU21" s="142">
        <v>0</v>
      </c>
      <c r="BV21" s="142">
        <v>0</v>
      </c>
      <c r="BW21" s="142">
        <v>0</v>
      </c>
      <c r="BX21" s="142">
        <v>0</v>
      </c>
      <c r="BY21" s="142">
        <v>0</v>
      </c>
      <c r="BZ21" s="142">
        <v>0</v>
      </c>
      <c r="CA21" s="142">
        <v>0</v>
      </c>
      <c r="CB21" s="142">
        <v>0</v>
      </c>
      <c r="CC21" s="142">
        <v>0</v>
      </c>
      <c r="CD21" s="142">
        <v>0</v>
      </c>
      <c r="CE21" s="142">
        <v>0</v>
      </c>
      <c r="CF21" s="142">
        <v>0</v>
      </c>
      <c r="CG21" s="142">
        <v>0</v>
      </c>
    </row>
    <row r="22" spans="1:85" customFormat="1" x14ac:dyDescent="0.15">
      <c r="A22" s="177" t="s">
        <v>212</v>
      </c>
      <c r="B22" s="142">
        <v>0.02</v>
      </c>
      <c r="C22" s="142">
        <v>0</v>
      </c>
      <c r="D22" s="142">
        <v>8.3000000000000004E-2</v>
      </c>
      <c r="E22" s="142">
        <v>0</v>
      </c>
      <c r="F22" s="142">
        <v>0</v>
      </c>
      <c r="G22" s="142">
        <v>0</v>
      </c>
      <c r="H22" s="142">
        <v>0</v>
      </c>
      <c r="I22" s="142">
        <v>0</v>
      </c>
      <c r="J22" s="142">
        <v>0</v>
      </c>
      <c r="K22" s="142">
        <v>5.2997768793933767E-2</v>
      </c>
      <c r="L22" s="142">
        <v>2.2005675263650496E-2</v>
      </c>
      <c r="M22" s="142">
        <v>3.3991084138630445E-2</v>
      </c>
      <c r="N22" s="142">
        <v>0</v>
      </c>
      <c r="O22" s="142">
        <v>9.0042923461614126E-3</v>
      </c>
      <c r="P22" s="142">
        <v>0</v>
      </c>
      <c r="Q22" s="142">
        <v>0</v>
      </c>
      <c r="R22" s="142">
        <v>0</v>
      </c>
      <c r="S22" s="142">
        <v>2.9994821693982749E-3</v>
      </c>
      <c r="T22" s="142">
        <v>3.9994564738652016E-3</v>
      </c>
      <c r="U22" s="142">
        <v>1.2004615654673065E-4</v>
      </c>
      <c r="V22" s="142">
        <v>0</v>
      </c>
      <c r="W22" s="142">
        <v>3.600183105312736E-5</v>
      </c>
      <c r="X22" s="142">
        <v>1.5004622924322981E-2</v>
      </c>
      <c r="Y22" s="142">
        <v>3.0005280929443576E-3</v>
      </c>
      <c r="Z22" s="142">
        <v>2.9992891984528583E-3</v>
      </c>
      <c r="AA22" s="142">
        <v>1.2003228868565644E-2</v>
      </c>
      <c r="AB22" s="142">
        <v>2.0008724364067015E-3</v>
      </c>
      <c r="AC22" s="142">
        <v>1.0003771421826031E-3</v>
      </c>
      <c r="AD22" s="142">
        <v>1.9994621446830806E-3</v>
      </c>
      <c r="AE22" s="142">
        <v>1.0001335178246296E-3</v>
      </c>
      <c r="AF22" s="142">
        <v>0</v>
      </c>
      <c r="AG22" s="142">
        <v>0</v>
      </c>
      <c r="AH22" s="142">
        <v>0</v>
      </c>
      <c r="AI22" s="142">
        <v>0</v>
      </c>
      <c r="AJ22" s="142">
        <v>2.0001360092486288E-3</v>
      </c>
      <c r="AK22" s="142">
        <v>0</v>
      </c>
      <c r="AL22" s="142">
        <v>0</v>
      </c>
      <c r="AM22" s="142">
        <v>0</v>
      </c>
      <c r="AN22" s="142">
        <v>0</v>
      </c>
      <c r="AO22" s="142">
        <v>0</v>
      </c>
      <c r="AP22" s="142">
        <v>0</v>
      </c>
      <c r="AQ22" s="142">
        <v>0</v>
      </c>
      <c r="AR22" s="142">
        <v>0</v>
      </c>
      <c r="AS22" s="142">
        <v>0</v>
      </c>
      <c r="AT22" s="142">
        <v>0</v>
      </c>
      <c r="AU22" s="142">
        <v>0</v>
      </c>
      <c r="AV22" s="142">
        <v>0</v>
      </c>
      <c r="AW22" s="142">
        <v>0</v>
      </c>
      <c r="AX22" s="142">
        <v>0</v>
      </c>
      <c r="AY22" s="142">
        <v>0</v>
      </c>
      <c r="AZ22" s="142">
        <v>0</v>
      </c>
      <c r="BA22" s="142">
        <v>0</v>
      </c>
      <c r="BB22" s="142">
        <v>0</v>
      </c>
      <c r="BC22" s="142">
        <v>0</v>
      </c>
      <c r="BD22" s="142">
        <v>0</v>
      </c>
      <c r="BE22" s="142">
        <v>0</v>
      </c>
      <c r="BF22" s="142">
        <v>0</v>
      </c>
      <c r="BG22" s="142">
        <v>0</v>
      </c>
      <c r="BH22" s="142">
        <v>0</v>
      </c>
      <c r="BI22" s="142">
        <v>0</v>
      </c>
      <c r="BJ22" s="142">
        <v>0</v>
      </c>
      <c r="BK22" s="142">
        <v>0</v>
      </c>
      <c r="BL22" s="142">
        <v>0</v>
      </c>
      <c r="BM22" s="142">
        <v>0</v>
      </c>
      <c r="BN22" s="142">
        <v>0</v>
      </c>
      <c r="BO22" s="142">
        <v>0</v>
      </c>
      <c r="BP22" s="142">
        <v>0</v>
      </c>
      <c r="BQ22" s="142">
        <v>0</v>
      </c>
      <c r="BR22" s="142">
        <v>0</v>
      </c>
      <c r="BS22" s="142">
        <v>0</v>
      </c>
      <c r="BT22" s="142">
        <v>0</v>
      </c>
      <c r="BU22" s="142">
        <v>0</v>
      </c>
      <c r="BV22" s="142">
        <v>0</v>
      </c>
      <c r="BW22" s="142">
        <v>0</v>
      </c>
      <c r="BX22" s="142">
        <v>0</v>
      </c>
      <c r="BY22" s="142">
        <v>0</v>
      </c>
      <c r="BZ22" s="142">
        <v>0</v>
      </c>
      <c r="CA22" s="142">
        <v>0</v>
      </c>
      <c r="CB22" s="142">
        <v>0</v>
      </c>
      <c r="CC22" s="142">
        <v>0</v>
      </c>
      <c r="CD22" s="142">
        <v>0</v>
      </c>
      <c r="CE22" s="142">
        <v>0</v>
      </c>
      <c r="CF22" s="142">
        <v>0</v>
      </c>
      <c r="CG22" s="142">
        <v>0</v>
      </c>
    </row>
    <row r="23" spans="1:85" customFormat="1" x14ac:dyDescent="0.15">
      <c r="A23" s="177" t="s">
        <v>213</v>
      </c>
      <c r="B23" s="142">
        <v>0.02</v>
      </c>
      <c r="C23" s="142">
        <v>0</v>
      </c>
      <c r="D23" s="142">
        <v>0</v>
      </c>
      <c r="E23" s="142">
        <v>0</v>
      </c>
      <c r="F23" s="142">
        <v>0</v>
      </c>
      <c r="G23" s="142">
        <v>0</v>
      </c>
      <c r="H23" s="142">
        <v>0</v>
      </c>
      <c r="I23" s="142">
        <v>0</v>
      </c>
      <c r="J23" s="142">
        <v>0</v>
      </c>
      <c r="K23" s="142">
        <v>1.6999284330129701E-2</v>
      </c>
      <c r="L23" s="142">
        <v>7.2018573590128893E-2</v>
      </c>
      <c r="M23" s="142">
        <v>3.8989772982546682E-2</v>
      </c>
      <c r="N23" s="142">
        <v>0</v>
      </c>
      <c r="O23" s="142">
        <v>4.0019077094050727E-3</v>
      </c>
      <c r="P23" s="142">
        <v>0</v>
      </c>
      <c r="Q23" s="142">
        <v>0</v>
      </c>
      <c r="R23" s="142">
        <v>0</v>
      </c>
      <c r="S23" s="142">
        <v>7.3987226845157443E-7</v>
      </c>
      <c r="T23" s="142">
        <v>6.2991439463376921E-4</v>
      </c>
      <c r="U23" s="142">
        <v>0</v>
      </c>
      <c r="V23" s="142">
        <v>0</v>
      </c>
      <c r="W23" s="142">
        <v>0</v>
      </c>
      <c r="X23" s="142">
        <v>2.000616389909731E-3</v>
      </c>
      <c r="Y23" s="142">
        <v>1.8003168557666146E-2</v>
      </c>
      <c r="Z23" s="142">
        <v>0</v>
      </c>
      <c r="AA23" s="142">
        <v>0</v>
      </c>
      <c r="AB23" s="142">
        <v>0</v>
      </c>
      <c r="AC23" s="142">
        <v>0</v>
      </c>
      <c r="AD23" s="142">
        <v>3.9989242893661613E-3</v>
      </c>
      <c r="AE23" s="142">
        <v>0</v>
      </c>
      <c r="AF23" s="142">
        <v>0</v>
      </c>
      <c r="AG23" s="142">
        <v>0</v>
      </c>
      <c r="AH23" s="142">
        <v>0</v>
      </c>
      <c r="AI23" s="142">
        <v>0</v>
      </c>
      <c r="AJ23" s="142">
        <v>0</v>
      </c>
      <c r="AK23" s="142">
        <v>0</v>
      </c>
      <c r="AL23" s="142">
        <v>0</v>
      </c>
      <c r="AM23" s="142">
        <v>0</v>
      </c>
      <c r="AN23" s="142">
        <v>0</v>
      </c>
      <c r="AO23" s="142">
        <v>0</v>
      </c>
      <c r="AP23" s="142">
        <v>0</v>
      </c>
      <c r="AQ23" s="142">
        <v>0</v>
      </c>
      <c r="AR23" s="142">
        <v>0</v>
      </c>
      <c r="AS23" s="142">
        <v>0</v>
      </c>
      <c r="AT23" s="142">
        <v>0</v>
      </c>
      <c r="AU23" s="142">
        <v>0</v>
      </c>
      <c r="AV23" s="142">
        <v>0</v>
      </c>
      <c r="AW23" s="142">
        <v>0</v>
      </c>
      <c r="AX23" s="142">
        <v>0</v>
      </c>
      <c r="AY23" s="142">
        <v>0</v>
      </c>
      <c r="AZ23" s="142">
        <v>0</v>
      </c>
      <c r="BA23" s="142">
        <v>0</v>
      </c>
      <c r="BB23" s="142">
        <v>0</v>
      </c>
      <c r="BC23" s="142">
        <v>0</v>
      </c>
      <c r="BD23" s="142">
        <v>0</v>
      </c>
      <c r="BE23" s="142">
        <v>0</v>
      </c>
      <c r="BF23" s="142">
        <v>0</v>
      </c>
      <c r="BG23" s="142">
        <v>0</v>
      </c>
      <c r="BH23" s="142">
        <v>0</v>
      </c>
      <c r="BI23" s="142">
        <v>0</v>
      </c>
      <c r="BJ23" s="142">
        <v>0</v>
      </c>
      <c r="BK23" s="142">
        <v>0</v>
      </c>
      <c r="BL23" s="142">
        <v>0</v>
      </c>
      <c r="BM23" s="142">
        <v>0</v>
      </c>
      <c r="BN23" s="142">
        <v>0</v>
      </c>
      <c r="BO23" s="142">
        <v>0</v>
      </c>
      <c r="BP23" s="142">
        <v>0</v>
      </c>
      <c r="BQ23" s="142">
        <v>0</v>
      </c>
      <c r="BR23" s="142">
        <v>0</v>
      </c>
      <c r="BS23" s="142">
        <v>0</v>
      </c>
      <c r="BT23" s="142">
        <v>0</v>
      </c>
      <c r="BU23" s="142">
        <v>0</v>
      </c>
      <c r="BV23" s="142">
        <v>0</v>
      </c>
      <c r="BW23" s="142">
        <v>0</v>
      </c>
      <c r="BX23" s="142">
        <v>0</v>
      </c>
      <c r="BY23" s="142">
        <v>0</v>
      </c>
      <c r="BZ23" s="142">
        <v>0</v>
      </c>
      <c r="CA23" s="142">
        <v>0</v>
      </c>
      <c r="CB23" s="142">
        <v>0</v>
      </c>
      <c r="CC23" s="142">
        <v>0</v>
      </c>
      <c r="CD23" s="142">
        <v>0</v>
      </c>
      <c r="CE23" s="142">
        <v>0</v>
      </c>
      <c r="CF23" s="142">
        <v>0</v>
      </c>
      <c r="CG23" s="142">
        <v>0</v>
      </c>
    </row>
    <row r="24" spans="1:85" customFormat="1" x14ac:dyDescent="0.15">
      <c r="A24" s="177" t="s">
        <v>214</v>
      </c>
      <c r="B24" s="142">
        <v>1E-3</v>
      </c>
      <c r="C24" s="142">
        <v>0</v>
      </c>
      <c r="D24" s="142">
        <v>8.3000000000000004E-2</v>
      </c>
      <c r="E24" s="142">
        <v>0</v>
      </c>
      <c r="F24" s="142">
        <v>0</v>
      </c>
      <c r="G24" s="142">
        <v>0</v>
      </c>
      <c r="H24" s="142">
        <v>0</v>
      </c>
      <c r="I24" s="142">
        <v>0</v>
      </c>
      <c r="J24" s="142">
        <v>0</v>
      </c>
      <c r="K24" s="142">
        <v>0</v>
      </c>
      <c r="L24" s="142">
        <v>0</v>
      </c>
      <c r="M24" s="142">
        <v>0</v>
      </c>
      <c r="N24" s="142">
        <v>0</v>
      </c>
      <c r="O24" s="142">
        <v>0</v>
      </c>
      <c r="P24" s="142">
        <v>0</v>
      </c>
      <c r="Q24" s="142">
        <v>0</v>
      </c>
      <c r="R24" s="142">
        <v>0</v>
      </c>
      <c r="S24" s="142">
        <v>0</v>
      </c>
      <c r="T24" s="142">
        <v>0</v>
      </c>
      <c r="U24" s="142">
        <v>0</v>
      </c>
      <c r="V24" s="142">
        <v>0</v>
      </c>
      <c r="W24" s="142">
        <v>0</v>
      </c>
      <c r="X24" s="142">
        <v>0</v>
      </c>
      <c r="Y24" s="142">
        <v>0</v>
      </c>
      <c r="Z24" s="142">
        <v>1.499644599226429E-2</v>
      </c>
      <c r="AA24" s="142">
        <v>0</v>
      </c>
      <c r="AB24" s="142">
        <v>0</v>
      </c>
      <c r="AC24" s="142">
        <v>0</v>
      </c>
      <c r="AD24" s="142">
        <v>0</v>
      </c>
      <c r="AE24" s="142">
        <v>0</v>
      </c>
      <c r="AF24" s="142">
        <v>0</v>
      </c>
      <c r="AG24" s="142">
        <v>0</v>
      </c>
      <c r="AH24" s="142">
        <v>0</v>
      </c>
      <c r="AI24" s="142">
        <v>0</v>
      </c>
      <c r="AJ24" s="142">
        <v>0</v>
      </c>
      <c r="AK24" s="142">
        <v>0</v>
      </c>
      <c r="AL24" s="142">
        <v>0</v>
      </c>
      <c r="AM24" s="142">
        <v>0</v>
      </c>
      <c r="AN24" s="142">
        <v>0</v>
      </c>
      <c r="AO24" s="142">
        <v>0</v>
      </c>
      <c r="AP24" s="142">
        <v>0</v>
      </c>
      <c r="AQ24" s="142">
        <v>0</v>
      </c>
      <c r="AR24" s="142">
        <v>0</v>
      </c>
      <c r="AS24" s="142">
        <v>0</v>
      </c>
      <c r="AT24" s="142">
        <v>0</v>
      </c>
      <c r="AU24" s="142">
        <v>0</v>
      </c>
      <c r="AV24" s="142">
        <v>0</v>
      </c>
      <c r="AW24" s="142">
        <v>0</v>
      </c>
      <c r="AX24" s="142">
        <v>0</v>
      </c>
      <c r="AY24" s="142">
        <v>0</v>
      </c>
      <c r="AZ24" s="142">
        <v>0</v>
      </c>
      <c r="BA24" s="142">
        <v>0</v>
      </c>
      <c r="BB24" s="142">
        <v>0</v>
      </c>
      <c r="BC24" s="142">
        <v>0</v>
      </c>
      <c r="BD24" s="142">
        <v>0</v>
      </c>
      <c r="BE24" s="142">
        <v>0</v>
      </c>
      <c r="BF24" s="142">
        <v>0</v>
      </c>
      <c r="BG24" s="142">
        <v>0</v>
      </c>
      <c r="BH24" s="142">
        <v>0</v>
      </c>
      <c r="BI24" s="142">
        <v>0</v>
      </c>
      <c r="BJ24" s="142">
        <v>0</v>
      </c>
      <c r="BK24" s="142">
        <v>0</v>
      </c>
      <c r="BL24" s="142">
        <v>0</v>
      </c>
      <c r="BM24" s="142">
        <v>0</v>
      </c>
      <c r="BN24" s="142">
        <v>0</v>
      </c>
      <c r="BO24" s="142">
        <v>0</v>
      </c>
      <c r="BP24" s="142">
        <v>0</v>
      </c>
      <c r="BQ24" s="142">
        <v>0</v>
      </c>
      <c r="BR24" s="142">
        <v>0</v>
      </c>
      <c r="BS24" s="142">
        <v>0</v>
      </c>
      <c r="BT24" s="142">
        <v>0</v>
      </c>
      <c r="BU24" s="142">
        <v>0</v>
      </c>
      <c r="BV24" s="142">
        <v>0</v>
      </c>
      <c r="BW24" s="142">
        <v>0</v>
      </c>
      <c r="BX24" s="142">
        <v>0</v>
      </c>
      <c r="BY24" s="142">
        <v>0</v>
      </c>
      <c r="BZ24" s="142">
        <v>0</v>
      </c>
      <c r="CA24" s="142">
        <v>0</v>
      </c>
      <c r="CB24" s="142">
        <v>0</v>
      </c>
      <c r="CC24" s="142">
        <v>0</v>
      </c>
      <c r="CD24" s="142">
        <v>0</v>
      </c>
      <c r="CE24" s="142">
        <v>0</v>
      </c>
      <c r="CF24" s="142">
        <v>0</v>
      </c>
      <c r="CG24" s="142">
        <v>0</v>
      </c>
    </row>
    <row r="25" spans="1:85" customFormat="1" x14ac:dyDescent="0.15">
      <c r="A25" s="177" t="s">
        <v>215</v>
      </c>
      <c r="B25" s="142">
        <v>0</v>
      </c>
      <c r="C25" s="142">
        <v>0</v>
      </c>
      <c r="D25" s="142">
        <v>0</v>
      </c>
      <c r="E25" s="142">
        <v>0</v>
      </c>
      <c r="F25" s="142">
        <v>0</v>
      </c>
      <c r="G25" s="142">
        <v>0</v>
      </c>
      <c r="H25" s="142">
        <v>0</v>
      </c>
      <c r="I25" s="142">
        <v>0</v>
      </c>
      <c r="J25" s="142">
        <v>0</v>
      </c>
      <c r="K25" s="142">
        <v>0</v>
      </c>
      <c r="L25" s="142">
        <v>0</v>
      </c>
      <c r="M25" s="142">
        <v>0</v>
      </c>
      <c r="N25" s="142">
        <v>0</v>
      </c>
      <c r="O25" s="142">
        <v>0</v>
      </c>
      <c r="P25" s="142">
        <v>0</v>
      </c>
      <c r="Q25" s="142">
        <v>0</v>
      </c>
      <c r="R25" s="142">
        <v>0</v>
      </c>
      <c r="S25" s="142">
        <v>0</v>
      </c>
      <c r="T25" s="142">
        <v>0</v>
      </c>
      <c r="U25" s="142">
        <v>0</v>
      </c>
      <c r="V25" s="142">
        <v>0</v>
      </c>
      <c r="W25" s="142">
        <v>0</v>
      </c>
      <c r="X25" s="142">
        <v>0</v>
      </c>
      <c r="Y25" s="142">
        <v>0</v>
      </c>
      <c r="Z25" s="142">
        <v>0</v>
      </c>
      <c r="AA25" s="142">
        <v>0</v>
      </c>
      <c r="AB25" s="142">
        <v>0</v>
      </c>
      <c r="AC25" s="142">
        <v>0</v>
      </c>
      <c r="AD25" s="142">
        <v>0</v>
      </c>
      <c r="AE25" s="142">
        <v>0</v>
      </c>
      <c r="AF25" s="142">
        <v>0</v>
      </c>
      <c r="AG25" s="142">
        <v>0</v>
      </c>
      <c r="AH25" s="142">
        <v>0</v>
      </c>
      <c r="AI25" s="142">
        <v>0</v>
      </c>
      <c r="AJ25" s="142">
        <v>0</v>
      </c>
      <c r="AK25" s="142">
        <v>0</v>
      </c>
      <c r="AL25" s="142">
        <v>0</v>
      </c>
      <c r="AM25" s="142">
        <v>0</v>
      </c>
      <c r="AN25" s="142">
        <v>0</v>
      </c>
      <c r="AO25" s="142">
        <v>0</v>
      </c>
      <c r="AP25" s="142">
        <v>0</v>
      </c>
      <c r="AQ25" s="142">
        <v>0</v>
      </c>
      <c r="AR25" s="142">
        <v>0</v>
      </c>
      <c r="AS25" s="142">
        <v>0</v>
      </c>
      <c r="AT25" s="142">
        <v>0</v>
      </c>
      <c r="AU25" s="142">
        <v>0</v>
      </c>
      <c r="AV25" s="142">
        <v>0</v>
      </c>
      <c r="AW25" s="142">
        <v>0</v>
      </c>
      <c r="AX25" s="142">
        <v>0</v>
      </c>
      <c r="AY25" s="142">
        <v>0</v>
      </c>
      <c r="AZ25" s="142">
        <v>0</v>
      </c>
      <c r="BA25" s="142">
        <v>0</v>
      </c>
      <c r="BB25" s="142">
        <v>0</v>
      </c>
      <c r="BC25" s="142">
        <v>0</v>
      </c>
      <c r="BD25" s="142">
        <v>0</v>
      </c>
      <c r="BE25" s="142">
        <v>0</v>
      </c>
      <c r="BF25" s="142">
        <v>0</v>
      </c>
      <c r="BG25" s="142">
        <v>0</v>
      </c>
      <c r="BH25" s="142">
        <v>0</v>
      </c>
      <c r="BI25" s="142">
        <v>0</v>
      </c>
      <c r="BJ25" s="142">
        <v>0</v>
      </c>
      <c r="BK25" s="142">
        <v>0</v>
      </c>
      <c r="BL25" s="142">
        <v>0</v>
      </c>
      <c r="BM25" s="142">
        <v>0</v>
      </c>
      <c r="BN25" s="142">
        <v>0</v>
      </c>
      <c r="BO25" s="142">
        <v>0</v>
      </c>
      <c r="BP25" s="142">
        <v>0</v>
      </c>
      <c r="BQ25" s="142">
        <v>0</v>
      </c>
      <c r="BR25" s="142">
        <v>0</v>
      </c>
      <c r="BS25" s="142">
        <v>0</v>
      </c>
      <c r="BT25" s="142">
        <v>0</v>
      </c>
      <c r="BU25" s="142">
        <v>0</v>
      </c>
      <c r="BV25" s="142">
        <v>0</v>
      </c>
      <c r="BW25" s="142">
        <v>0</v>
      </c>
      <c r="BX25" s="142">
        <v>0</v>
      </c>
      <c r="BY25" s="142">
        <v>0</v>
      </c>
      <c r="BZ25" s="142">
        <v>0</v>
      </c>
      <c r="CA25" s="142">
        <v>0</v>
      </c>
      <c r="CB25" s="142">
        <v>0</v>
      </c>
      <c r="CC25" s="142">
        <v>0</v>
      </c>
      <c r="CD25" s="142">
        <v>0</v>
      </c>
      <c r="CE25" s="142">
        <v>0</v>
      </c>
      <c r="CF25" s="142">
        <v>0</v>
      </c>
      <c r="CG25" s="142">
        <v>0</v>
      </c>
    </row>
    <row r="26" spans="1:85" customFormat="1" x14ac:dyDescent="0.15">
      <c r="A26" s="177" t="s">
        <v>216</v>
      </c>
      <c r="B26" s="142">
        <v>0.03</v>
      </c>
      <c r="C26" s="142">
        <v>0</v>
      </c>
      <c r="D26" s="142">
        <v>0</v>
      </c>
      <c r="E26" s="142">
        <v>0</v>
      </c>
      <c r="F26" s="142">
        <v>0</v>
      </c>
      <c r="G26" s="142">
        <v>0</v>
      </c>
      <c r="H26" s="142">
        <v>0</v>
      </c>
      <c r="I26" s="142">
        <v>0</v>
      </c>
      <c r="J26" s="142">
        <v>0</v>
      </c>
      <c r="K26" s="142">
        <v>1.0999536919495687E-2</v>
      </c>
      <c r="L26" s="142">
        <v>2.000515933059136E-3</v>
      </c>
      <c r="M26" s="142">
        <v>2.0994493144448213E-2</v>
      </c>
      <c r="N26" s="142">
        <v>0</v>
      </c>
      <c r="O26" s="142">
        <v>9.0042923461614126E-3</v>
      </c>
      <c r="P26" s="142">
        <v>0</v>
      </c>
      <c r="Q26" s="142">
        <v>0</v>
      </c>
      <c r="R26" s="142">
        <v>0</v>
      </c>
      <c r="S26" s="142">
        <v>0</v>
      </c>
      <c r="T26" s="142">
        <v>7.9989129477304032E-3</v>
      </c>
      <c r="U26" s="142">
        <v>0</v>
      </c>
      <c r="V26" s="142">
        <v>4.5991537557089507E-5</v>
      </c>
      <c r="W26" s="142">
        <v>0</v>
      </c>
      <c r="X26" s="142">
        <v>6.6020340867021127E-5</v>
      </c>
      <c r="Y26" s="142">
        <v>4.0007041239258107E-5</v>
      </c>
      <c r="Z26" s="142">
        <v>0</v>
      </c>
      <c r="AA26" s="142">
        <v>0</v>
      </c>
      <c r="AB26" s="142">
        <v>2.4010469236880419E-5</v>
      </c>
      <c r="AC26" s="142">
        <v>0</v>
      </c>
      <c r="AD26" s="142">
        <v>8.597687222137246E-4</v>
      </c>
      <c r="AE26" s="142">
        <v>0</v>
      </c>
      <c r="AF26" s="142">
        <v>0</v>
      </c>
      <c r="AG26" s="142">
        <v>0</v>
      </c>
      <c r="AH26" s="142">
        <v>0</v>
      </c>
      <c r="AI26" s="142">
        <v>0</v>
      </c>
      <c r="AJ26" s="142">
        <v>0</v>
      </c>
      <c r="AK26" s="142">
        <v>0</v>
      </c>
      <c r="AL26" s="142">
        <v>0</v>
      </c>
      <c r="AM26" s="142">
        <v>0</v>
      </c>
      <c r="AN26" s="142">
        <v>0</v>
      </c>
      <c r="AO26" s="142">
        <v>0</v>
      </c>
      <c r="AP26" s="142">
        <v>0</v>
      </c>
      <c r="AQ26" s="142">
        <v>0</v>
      </c>
      <c r="AR26" s="142">
        <v>0</v>
      </c>
      <c r="AS26" s="142">
        <v>0</v>
      </c>
      <c r="AT26" s="142">
        <v>0</v>
      </c>
      <c r="AU26" s="142">
        <v>0</v>
      </c>
      <c r="AV26" s="142">
        <v>0</v>
      </c>
      <c r="AW26" s="142">
        <v>0</v>
      </c>
      <c r="AX26" s="142">
        <v>0</v>
      </c>
      <c r="AY26" s="142">
        <v>0</v>
      </c>
      <c r="AZ26" s="142">
        <v>0</v>
      </c>
      <c r="BA26" s="142">
        <v>0</v>
      </c>
      <c r="BB26" s="142">
        <v>0</v>
      </c>
      <c r="BC26" s="142">
        <v>0</v>
      </c>
      <c r="BD26" s="142">
        <v>0</v>
      </c>
      <c r="BE26" s="142">
        <v>0</v>
      </c>
      <c r="BF26" s="142">
        <v>0</v>
      </c>
      <c r="BG26" s="142">
        <v>0</v>
      </c>
      <c r="BH26" s="142">
        <v>0</v>
      </c>
      <c r="BI26" s="142">
        <v>0</v>
      </c>
      <c r="BJ26" s="142">
        <v>0</v>
      </c>
      <c r="BK26" s="142">
        <v>0</v>
      </c>
      <c r="BL26" s="142">
        <v>0</v>
      </c>
      <c r="BM26" s="142">
        <v>0</v>
      </c>
      <c r="BN26" s="142">
        <v>0</v>
      </c>
      <c r="BO26" s="142">
        <v>0</v>
      </c>
      <c r="BP26" s="142">
        <v>0</v>
      </c>
      <c r="BQ26" s="142">
        <v>0</v>
      </c>
      <c r="BR26" s="142">
        <v>0</v>
      </c>
      <c r="BS26" s="142">
        <v>0</v>
      </c>
      <c r="BT26" s="142">
        <v>0</v>
      </c>
      <c r="BU26" s="142">
        <v>0</v>
      </c>
      <c r="BV26" s="142">
        <v>0</v>
      </c>
      <c r="BW26" s="142">
        <v>0</v>
      </c>
      <c r="BX26" s="142">
        <v>0</v>
      </c>
      <c r="BY26" s="142">
        <v>0</v>
      </c>
      <c r="BZ26" s="142">
        <v>0</v>
      </c>
      <c r="CA26" s="142">
        <v>0</v>
      </c>
      <c r="CB26" s="142">
        <v>0</v>
      </c>
      <c r="CC26" s="142">
        <v>0</v>
      </c>
      <c r="CD26" s="142">
        <v>0</v>
      </c>
      <c r="CE26" s="142">
        <v>0</v>
      </c>
      <c r="CF26" s="142">
        <v>0</v>
      </c>
      <c r="CG26" s="142">
        <v>0</v>
      </c>
    </row>
    <row r="27" spans="1:85" customFormat="1" x14ac:dyDescent="0.15">
      <c r="A27" s="177" t="s">
        <v>217</v>
      </c>
      <c r="B27" s="142">
        <v>0.02</v>
      </c>
      <c r="C27" s="142">
        <v>0</v>
      </c>
      <c r="D27" s="142">
        <v>8.2000000000000003E-2</v>
      </c>
      <c r="E27" s="142">
        <v>0</v>
      </c>
      <c r="F27" s="142">
        <v>0.39400000000000002</v>
      </c>
      <c r="G27" s="142">
        <v>7.7000000000000013E-2</v>
      </c>
      <c r="H27" s="142">
        <v>0.2839971600283997</v>
      </c>
      <c r="I27" s="142">
        <v>0.307</v>
      </c>
      <c r="J27" s="142">
        <v>0</v>
      </c>
      <c r="K27" s="142">
        <v>8.1996547945331497E-2</v>
      </c>
      <c r="L27" s="142">
        <v>2.8007223062827904E-2</v>
      </c>
      <c r="M27" s="142">
        <v>2.8992395294714198E-2</v>
      </c>
      <c r="N27" s="142">
        <v>3.5010853364543008E-2</v>
      </c>
      <c r="O27" s="142">
        <v>2.3010969329079166E-2</v>
      </c>
      <c r="P27" s="142">
        <v>0</v>
      </c>
      <c r="Q27" s="142">
        <v>5.2999999999999999E-2</v>
      </c>
      <c r="R27" s="142">
        <v>0</v>
      </c>
      <c r="S27" s="142">
        <v>8.9984465081948233E-3</v>
      </c>
      <c r="T27" s="142">
        <v>4.7993477686382416E-2</v>
      </c>
      <c r="U27" s="142">
        <v>2.1008077395677865E-2</v>
      </c>
      <c r="V27" s="142">
        <v>2.9994481015493159E-3</v>
      </c>
      <c r="W27" s="142">
        <v>1.0000508625868711E-2</v>
      </c>
      <c r="X27" s="142">
        <v>6.6020340867021132E-2</v>
      </c>
      <c r="Y27" s="142">
        <v>0.21003696650610504</v>
      </c>
      <c r="Z27" s="142">
        <v>6.9983414630566693E-3</v>
      </c>
      <c r="AA27" s="142">
        <v>0</v>
      </c>
      <c r="AB27" s="142">
        <v>2.8012214109693821E-2</v>
      </c>
      <c r="AC27" s="142">
        <v>0</v>
      </c>
      <c r="AD27" s="142">
        <v>4.3988167183027768E-2</v>
      </c>
      <c r="AE27" s="142">
        <v>5.100680940905611E-4</v>
      </c>
      <c r="AF27" s="142">
        <v>3.001428680051705E-3</v>
      </c>
      <c r="AG27" s="142">
        <v>0.27999999999999997</v>
      </c>
      <c r="AH27" s="142">
        <v>0</v>
      </c>
      <c r="AI27" s="142">
        <v>7.1997840064798064E-4</v>
      </c>
      <c r="AJ27" s="142">
        <v>1.1000748050867457E-2</v>
      </c>
      <c r="AK27" s="142">
        <v>5.9989849717427806E-4</v>
      </c>
      <c r="AL27" s="142">
        <v>7.0021006301890568E-4</v>
      </c>
      <c r="AM27" s="142">
        <v>0</v>
      </c>
      <c r="AN27" s="142">
        <v>0</v>
      </c>
      <c r="AO27" s="142">
        <v>0</v>
      </c>
      <c r="AP27" s="142">
        <v>0</v>
      </c>
      <c r="AQ27" s="142">
        <v>0</v>
      </c>
      <c r="AR27" s="142">
        <v>0</v>
      </c>
      <c r="AS27" s="142">
        <v>0</v>
      </c>
      <c r="AT27" s="142">
        <v>0</v>
      </c>
      <c r="AU27" s="142">
        <v>0</v>
      </c>
      <c r="AV27" s="142">
        <v>0</v>
      </c>
      <c r="AW27" s="142">
        <v>0</v>
      </c>
      <c r="AX27" s="142">
        <v>0</v>
      </c>
      <c r="AY27" s="142">
        <v>0</v>
      </c>
      <c r="AZ27" s="142">
        <v>0</v>
      </c>
      <c r="BA27" s="142">
        <v>0</v>
      </c>
      <c r="BB27" s="142">
        <v>0</v>
      </c>
      <c r="BC27" s="142">
        <v>0</v>
      </c>
      <c r="BD27" s="142">
        <v>0</v>
      </c>
      <c r="BE27" s="142">
        <v>0</v>
      </c>
      <c r="BF27" s="142">
        <v>0</v>
      </c>
      <c r="BG27" s="142">
        <v>0</v>
      </c>
      <c r="BH27" s="142">
        <v>0</v>
      </c>
      <c r="BI27" s="142">
        <v>0</v>
      </c>
      <c r="BJ27" s="142">
        <v>0</v>
      </c>
      <c r="BK27" s="142">
        <v>0</v>
      </c>
      <c r="BL27" s="142">
        <v>0</v>
      </c>
      <c r="BM27" s="142">
        <v>0</v>
      </c>
      <c r="BN27" s="142">
        <v>0</v>
      </c>
      <c r="BO27" s="142">
        <v>0</v>
      </c>
      <c r="BP27" s="142">
        <v>0</v>
      </c>
      <c r="BQ27" s="142">
        <v>0</v>
      </c>
      <c r="BR27" s="142">
        <v>0</v>
      </c>
      <c r="BS27" s="142">
        <v>0</v>
      </c>
      <c r="BT27" s="142">
        <v>0</v>
      </c>
      <c r="BU27" s="142">
        <v>0</v>
      </c>
      <c r="BV27" s="142">
        <v>0</v>
      </c>
      <c r="BW27" s="142">
        <v>0</v>
      </c>
      <c r="BX27" s="142">
        <v>0</v>
      </c>
      <c r="BY27" s="142">
        <v>0</v>
      </c>
      <c r="BZ27" s="142">
        <v>0</v>
      </c>
      <c r="CA27" s="142">
        <v>0</v>
      </c>
      <c r="CB27" s="142">
        <v>0</v>
      </c>
      <c r="CC27" s="142">
        <v>0</v>
      </c>
      <c r="CD27" s="142">
        <v>0</v>
      </c>
      <c r="CE27" s="142">
        <v>0</v>
      </c>
      <c r="CF27" s="142">
        <v>0</v>
      </c>
      <c r="CG27" s="142">
        <v>0</v>
      </c>
    </row>
    <row r="28" spans="1:85" customFormat="1" x14ac:dyDescent="0.15">
      <c r="A28" s="177" t="s">
        <v>218</v>
      </c>
      <c r="B28" s="142">
        <v>1E-3</v>
      </c>
      <c r="C28" s="142">
        <v>0</v>
      </c>
      <c r="D28" s="142">
        <v>4.1000000000000002E-2</v>
      </c>
      <c r="E28" s="142">
        <v>0</v>
      </c>
      <c r="F28" s="142">
        <v>0.17899999999999999</v>
      </c>
      <c r="G28" s="142">
        <v>9.3000000000000013E-2</v>
      </c>
      <c r="H28" s="142">
        <v>6.7999320006799938E-2</v>
      </c>
      <c r="I28" s="142">
        <v>0.53400000000000003</v>
      </c>
      <c r="J28" s="142">
        <v>0.05</v>
      </c>
      <c r="K28" s="142">
        <v>5.0997852990389093E-2</v>
      </c>
      <c r="L28" s="142">
        <v>2.8007223062827904E-2</v>
      </c>
      <c r="M28" s="142">
        <v>4.8987150670379162E-2</v>
      </c>
      <c r="N28" s="142">
        <v>0.11903690143944622</v>
      </c>
      <c r="O28" s="142">
        <v>6.6031477205183695E-2</v>
      </c>
      <c r="P28" s="142">
        <v>0</v>
      </c>
      <c r="Q28" s="142">
        <v>7.0000000000000007E-2</v>
      </c>
      <c r="R28" s="142">
        <v>0</v>
      </c>
      <c r="S28" s="142">
        <v>5.0991196879770662E-2</v>
      </c>
      <c r="T28" s="142">
        <v>4.1994292975584616E-2</v>
      </c>
      <c r="U28" s="142">
        <v>2.901115449879324E-2</v>
      </c>
      <c r="V28" s="142">
        <v>2.9994481015493159E-3</v>
      </c>
      <c r="W28" s="142">
        <v>1.2000610351042454E-2</v>
      </c>
      <c r="X28" s="142">
        <v>4.8014793357833548E-2</v>
      </c>
      <c r="Y28" s="142">
        <v>0.21003696650610504</v>
      </c>
      <c r="Z28" s="142">
        <v>0.1079744111443029</v>
      </c>
      <c r="AA28" s="142">
        <v>5.0013453619023519E-2</v>
      </c>
      <c r="AB28" s="142">
        <v>0</v>
      </c>
      <c r="AC28" s="142">
        <v>0</v>
      </c>
      <c r="AD28" s="142">
        <v>0.11496907331927714</v>
      </c>
      <c r="AE28" s="142">
        <v>4.0005340712985184E-4</v>
      </c>
      <c r="AF28" s="142">
        <v>1.0004762266839017E-2</v>
      </c>
      <c r="AG28" s="142">
        <v>0</v>
      </c>
      <c r="AH28" s="142">
        <v>0</v>
      </c>
      <c r="AI28" s="142">
        <v>0</v>
      </c>
      <c r="AJ28" s="142">
        <v>3.0002040138729434E-3</v>
      </c>
      <c r="AK28" s="142">
        <v>0</v>
      </c>
      <c r="AL28" s="142">
        <v>0</v>
      </c>
      <c r="AM28" s="142">
        <v>0</v>
      </c>
      <c r="AN28" s="142">
        <v>0</v>
      </c>
      <c r="AO28" s="142">
        <v>0</v>
      </c>
      <c r="AP28" s="142">
        <v>0</v>
      </c>
      <c r="AQ28" s="142">
        <v>0</v>
      </c>
      <c r="AR28" s="142">
        <v>0</v>
      </c>
      <c r="AS28" s="142">
        <v>0</v>
      </c>
      <c r="AT28" s="142">
        <v>0</v>
      </c>
      <c r="AU28" s="142">
        <v>0</v>
      </c>
      <c r="AV28" s="142">
        <v>0</v>
      </c>
      <c r="AW28" s="142">
        <v>0</v>
      </c>
      <c r="AX28" s="142">
        <v>0</v>
      </c>
      <c r="AY28" s="142">
        <v>0</v>
      </c>
      <c r="AZ28" s="142">
        <v>0</v>
      </c>
      <c r="BA28" s="142">
        <v>0</v>
      </c>
      <c r="BB28" s="142">
        <v>0</v>
      </c>
      <c r="BC28" s="142">
        <v>0</v>
      </c>
      <c r="BD28" s="142">
        <v>0</v>
      </c>
      <c r="BE28" s="142">
        <v>0</v>
      </c>
      <c r="BF28" s="142">
        <v>0</v>
      </c>
      <c r="BG28" s="142">
        <v>0</v>
      </c>
      <c r="BH28" s="142">
        <v>0</v>
      </c>
      <c r="BI28" s="142">
        <v>0</v>
      </c>
      <c r="BJ28" s="142">
        <v>0</v>
      </c>
      <c r="BK28" s="142">
        <v>0</v>
      </c>
      <c r="BL28" s="142">
        <v>0</v>
      </c>
      <c r="BM28" s="142">
        <v>0</v>
      </c>
      <c r="BN28" s="142">
        <v>0</v>
      </c>
      <c r="BO28" s="142">
        <v>0</v>
      </c>
      <c r="BP28" s="142">
        <v>0</v>
      </c>
      <c r="BQ28" s="142">
        <v>0</v>
      </c>
      <c r="BR28" s="142">
        <v>0</v>
      </c>
      <c r="BS28" s="142">
        <v>0</v>
      </c>
      <c r="BT28" s="142">
        <v>0</v>
      </c>
      <c r="BU28" s="142">
        <v>0</v>
      </c>
      <c r="BV28" s="142">
        <v>0</v>
      </c>
      <c r="BW28" s="142">
        <v>0</v>
      </c>
      <c r="BX28" s="142">
        <v>0</v>
      </c>
      <c r="BY28" s="142">
        <v>0</v>
      </c>
      <c r="BZ28" s="142">
        <v>0</v>
      </c>
      <c r="CA28" s="142">
        <v>0</v>
      </c>
      <c r="CB28" s="142">
        <v>0</v>
      </c>
      <c r="CC28" s="142">
        <v>0</v>
      </c>
      <c r="CD28" s="142">
        <v>0</v>
      </c>
      <c r="CE28" s="142">
        <v>0</v>
      </c>
      <c r="CF28" s="142">
        <v>0</v>
      </c>
      <c r="CG28" s="142">
        <v>0</v>
      </c>
    </row>
    <row r="29" spans="1:85" customFormat="1" x14ac:dyDescent="0.15">
      <c r="A29" s="177" t="s">
        <v>219</v>
      </c>
      <c r="B29" s="142">
        <v>0</v>
      </c>
      <c r="C29" s="142">
        <v>0</v>
      </c>
      <c r="D29" s="142">
        <v>4.1000000000000002E-2</v>
      </c>
      <c r="E29" s="142">
        <v>0</v>
      </c>
      <c r="F29" s="142">
        <v>0</v>
      </c>
      <c r="G29" s="142">
        <v>0</v>
      </c>
      <c r="H29" s="142">
        <v>0</v>
      </c>
      <c r="I29" s="142">
        <v>0</v>
      </c>
      <c r="J29" s="142">
        <v>0</v>
      </c>
      <c r="K29" s="142">
        <v>1.1999494821268024E-2</v>
      </c>
      <c r="L29" s="142">
        <v>2.2005675263650496E-2</v>
      </c>
      <c r="M29" s="142">
        <v>5.9984266126994895E-3</v>
      </c>
      <c r="N29" s="142">
        <v>2.0006201922596004E-3</v>
      </c>
      <c r="O29" s="142">
        <v>4.0019077094050727E-3</v>
      </c>
      <c r="P29" s="142">
        <v>0</v>
      </c>
      <c r="Q29" s="142">
        <v>0</v>
      </c>
      <c r="R29" s="142">
        <v>0</v>
      </c>
      <c r="S29" s="142">
        <v>0</v>
      </c>
      <c r="T29" s="142">
        <v>6.9990488292641026E-3</v>
      </c>
      <c r="U29" s="142">
        <v>0</v>
      </c>
      <c r="V29" s="142">
        <v>1.4997240507746577E-4</v>
      </c>
      <c r="W29" s="142">
        <v>0</v>
      </c>
      <c r="X29" s="142">
        <v>1.3004006534413252E-2</v>
      </c>
      <c r="Y29" s="142">
        <v>5.4009505672998441E-2</v>
      </c>
      <c r="Z29" s="142">
        <v>1.7995735190717149E-2</v>
      </c>
      <c r="AA29" s="142">
        <v>7.0018835066632925E-3</v>
      </c>
      <c r="AB29" s="142">
        <v>8.0034897456268059E-3</v>
      </c>
      <c r="AC29" s="142">
        <v>0</v>
      </c>
      <c r="AD29" s="142">
        <v>2.3993545736196966E-2</v>
      </c>
      <c r="AE29" s="142">
        <v>0</v>
      </c>
      <c r="AF29" s="142">
        <v>0</v>
      </c>
      <c r="AG29" s="142">
        <v>0</v>
      </c>
      <c r="AH29" s="142">
        <v>0</v>
      </c>
      <c r="AI29" s="142">
        <v>0</v>
      </c>
      <c r="AJ29" s="142">
        <v>5.9004012272834548E-2</v>
      </c>
      <c r="AK29" s="142">
        <v>0</v>
      </c>
      <c r="AL29" s="142">
        <v>0</v>
      </c>
      <c r="AM29" s="142">
        <v>0</v>
      </c>
      <c r="AN29" s="142">
        <v>0</v>
      </c>
      <c r="AO29" s="142">
        <v>0</v>
      </c>
      <c r="AP29" s="142">
        <v>0</v>
      </c>
      <c r="AQ29" s="142">
        <v>0</v>
      </c>
      <c r="AR29" s="142">
        <v>0</v>
      </c>
      <c r="AS29" s="142">
        <v>0</v>
      </c>
      <c r="AT29" s="142">
        <v>0</v>
      </c>
      <c r="AU29" s="142">
        <v>0</v>
      </c>
      <c r="AV29" s="142">
        <v>0</v>
      </c>
      <c r="AW29" s="142">
        <v>0</v>
      </c>
      <c r="AX29" s="142">
        <v>0</v>
      </c>
      <c r="AY29" s="142">
        <v>0</v>
      </c>
      <c r="AZ29" s="142">
        <v>0</v>
      </c>
      <c r="BA29" s="142">
        <v>0</v>
      </c>
      <c r="BB29" s="142">
        <v>0</v>
      </c>
      <c r="BC29" s="142">
        <v>0</v>
      </c>
      <c r="BD29" s="142">
        <v>0</v>
      </c>
      <c r="BE29" s="142">
        <v>0</v>
      </c>
      <c r="BF29" s="142">
        <v>0</v>
      </c>
      <c r="BG29" s="142">
        <v>0</v>
      </c>
      <c r="BH29" s="142">
        <v>0</v>
      </c>
      <c r="BI29" s="142">
        <v>0</v>
      </c>
      <c r="BJ29" s="142">
        <v>0</v>
      </c>
      <c r="BK29" s="142">
        <v>0</v>
      </c>
      <c r="BL29" s="142">
        <v>0</v>
      </c>
      <c r="BM29" s="142">
        <v>0</v>
      </c>
      <c r="BN29" s="142">
        <v>0</v>
      </c>
      <c r="BO29" s="142">
        <v>0</v>
      </c>
      <c r="BP29" s="142">
        <v>0</v>
      </c>
      <c r="BQ29" s="142">
        <v>0</v>
      </c>
      <c r="BR29" s="142">
        <v>0</v>
      </c>
      <c r="BS29" s="142">
        <v>0</v>
      </c>
      <c r="BT29" s="142">
        <v>0</v>
      </c>
      <c r="BU29" s="142">
        <v>0</v>
      </c>
      <c r="BV29" s="142">
        <v>0</v>
      </c>
      <c r="BW29" s="142">
        <v>0</v>
      </c>
      <c r="BX29" s="142">
        <v>0</v>
      </c>
      <c r="BY29" s="142">
        <v>0</v>
      </c>
      <c r="BZ29" s="142">
        <v>0</v>
      </c>
      <c r="CA29" s="142">
        <v>0</v>
      </c>
      <c r="CB29" s="142">
        <v>0</v>
      </c>
      <c r="CC29" s="142">
        <v>0</v>
      </c>
      <c r="CD29" s="142">
        <v>0</v>
      </c>
      <c r="CE29" s="142">
        <v>0</v>
      </c>
      <c r="CF29" s="142">
        <v>0</v>
      </c>
      <c r="CG29" s="142">
        <v>0</v>
      </c>
    </row>
    <row r="30" spans="1:85" customFormat="1" x14ac:dyDescent="0.15">
      <c r="A30" s="177" t="s">
        <v>220</v>
      </c>
      <c r="B30" s="142">
        <v>0.02</v>
      </c>
      <c r="C30" s="142">
        <v>0</v>
      </c>
      <c r="D30" s="142">
        <v>0</v>
      </c>
      <c r="E30" s="142">
        <v>0</v>
      </c>
      <c r="F30" s="142">
        <v>0.4</v>
      </c>
      <c r="G30" s="142">
        <v>0</v>
      </c>
      <c r="H30" s="142">
        <v>0</v>
      </c>
      <c r="I30" s="142">
        <v>0</v>
      </c>
      <c r="J30" s="142">
        <v>0</v>
      </c>
      <c r="K30" s="142">
        <v>4.999789508861676E-3</v>
      </c>
      <c r="L30" s="142">
        <v>0</v>
      </c>
      <c r="M30" s="142">
        <v>1.3996328762965476E-2</v>
      </c>
      <c r="N30" s="142">
        <v>0</v>
      </c>
      <c r="O30" s="142">
        <v>8.0038154188101455E-3</v>
      </c>
      <c r="P30" s="142">
        <v>0</v>
      </c>
      <c r="Q30" s="142">
        <v>0</v>
      </c>
      <c r="R30" s="142">
        <v>0</v>
      </c>
      <c r="S30" s="142">
        <v>0</v>
      </c>
      <c r="T30" s="142">
        <v>1.9997282369326008E-3</v>
      </c>
      <c r="U30" s="142">
        <v>0</v>
      </c>
      <c r="V30" s="142">
        <v>1.9996320676995439E-5</v>
      </c>
      <c r="W30" s="142">
        <v>1.700086466397681E-4</v>
      </c>
      <c r="X30" s="142">
        <v>6.0018491697291934E-3</v>
      </c>
      <c r="Y30" s="142">
        <v>3.4005985053369388E-2</v>
      </c>
      <c r="Z30" s="142">
        <v>7.4982229961321459E-4</v>
      </c>
      <c r="AA30" s="142">
        <v>6.3016951559969627E-4</v>
      </c>
      <c r="AB30" s="142">
        <v>5.0021810910167537E-3</v>
      </c>
      <c r="AC30" s="142">
        <v>0</v>
      </c>
      <c r="AD30" s="142">
        <v>0</v>
      </c>
      <c r="AE30" s="142">
        <v>0</v>
      </c>
      <c r="AF30" s="142">
        <v>0</v>
      </c>
      <c r="AG30" s="142">
        <v>0</v>
      </c>
      <c r="AH30" s="142">
        <v>0</v>
      </c>
      <c r="AI30" s="142">
        <v>0</v>
      </c>
      <c r="AJ30" s="142">
        <v>0</v>
      </c>
      <c r="AK30" s="142">
        <v>0</v>
      </c>
      <c r="AL30" s="142">
        <v>0</v>
      </c>
      <c r="AM30" s="142">
        <v>0</v>
      </c>
      <c r="AN30" s="142">
        <v>0</v>
      </c>
      <c r="AO30" s="142">
        <v>0</v>
      </c>
      <c r="AP30" s="142">
        <v>0</v>
      </c>
      <c r="AQ30" s="142">
        <v>0</v>
      </c>
      <c r="AR30" s="142">
        <v>0</v>
      </c>
      <c r="AS30" s="142">
        <v>0</v>
      </c>
      <c r="AT30" s="142">
        <v>0</v>
      </c>
      <c r="AU30" s="142">
        <v>0</v>
      </c>
      <c r="AV30" s="142">
        <v>0</v>
      </c>
      <c r="AW30" s="142">
        <v>0</v>
      </c>
      <c r="AX30" s="142">
        <v>0</v>
      </c>
      <c r="AY30" s="142">
        <v>0</v>
      </c>
      <c r="AZ30" s="142">
        <v>0</v>
      </c>
      <c r="BA30" s="142">
        <v>0</v>
      </c>
      <c r="BB30" s="142">
        <v>0</v>
      </c>
      <c r="BC30" s="142">
        <v>0</v>
      </c>
      <c r="BD30" s="142">
        <v>0</v>
      </c>
      <c r="BE30" s="142">
        <v>0</v>
      </c>
      <c r="BF30" s="142">
        <v>0</v>
      </c>
      <c r="BG30" s="142">
        <v>0</v>
      </c>
      <c r="BH30" s="142">
        <v>0</v>
      </c>
      <c r="BI30" s="142">
        <v>0</v>
      </c>
      <c r="BJ30" s="142">
        <v>0</v>
      </c>
      <c r="BK30" s="142">
        <v>0</v>
      </c>
      <c r="BL30" s="142">
        <v>0</v>
      </c>
      <c r="BM30" s="142">
        <v>0</v>
      </c>
      <c r="BN30" s="142">
        <v>0</v>
      </c>
      <c r="BO30" s="142">
        <v>0</v>
      </c>
      <c r="BP30" s="142">
        <v>0</v>
      </c>
      <c r="BQ30" s="142">
        <v>0</v>
      </c>
      <c r="BR30" s="142">
        <v>0</v>
      </c>
      <c r="BS30" s="142">
        <v>0</v>
      </c>
      <c r="BT30" s="142">
        <v>0</v>
      </c>
      <c r="BU30" s="142">
        <v>0</v>
      </c>
      <c r="BV30" s="142">
        <v>0</v>
      </c>
      <c r="BW30" s="142">
        <v>0</v>
      </c>
      <c r="BX30" s="142">
        <v>0</v>
      </c>
      <c r="BY30" s="142">
        <v>0</v>
      </c>
      <c r="BZ30" s="142">
        <v>0</v>
      </c>
      <c r="CA30" s="142">
        <v>0</v>
      </c>
      <c r="CB30" s="142">
        <v>0</v>
      </c>
      <c r="CC30" s="142">
        <v>0</v>
      </c>
      <c r="CD30" s="142">
        <v>0</v>
      </c>
      <c r="CE30" s="142">
        <v>0</v>
      </c>
      <c r="CF30" s="142">
        <v>0</v>
      </c>
      <c r="CG30" s="142">
        <v>0</v>
      </c>
    </row>
    <row r="31" spans="1:85" customFormat="1" x14ac:dyDescent="0.15">
      <c r="A31" s="177" t="s">
        <v>221</v>
      </c>
      <c r="B31" s="142">
        <v>0</v>
      </c>
      <c r="C31" s="142">
        <v>0</v>
      </c>
      <c r="D31" s="142">
        <v>0</v>
      </c>
      <c r="E31" s="142">
        <v>0.01</v>
      </c>
      <c r="F31" s="142">
        <v>0</v>
      </c>
      <c r="G31" s="142">
        <v>0</v>
      </c>
      <c r="H31" s="142">
        <v>0</v>
      </c>
      <c r="I31" s="142">
        <v>0</v>
      </c>
      <c r="J31" s="142">
        <v>0</v>
      </c>
      <c r="K31" s="142">
        <v>1.4999368526585028E-2</v>
      </c>
      <c r="L31" s="142">
        <v>4.1010576627712292E-2</v>
      </c>
      <c r="M31" s="142">
        <v>6.9981643814827381E-3</v>
      </c>
      <c r="N31" s="142">
        <v>0</v>
      </c>
      <c r="O31" s="142">
        <v>1.0004769273512681E-2</v>
      </c>
      <c r="P31" s="142">
        <v>0</v>
      </c>
      <c r="Q31" s="142">
        <v>0</v>
      </c>
      <c r="R31" s="142">
        <v>0.30000000000000004</v>
      </c>
      <c r="S31" s="142">
        <v>2.8994994304183324E-2</v>
      </c>
      <c r="T31" s="142">
        <v>1.5997825895460806E-2</v>
      </c>
      <c r="U31" s="142">
        <v>0.109041925529947</v>
      </c>
      <c r="V31" s="142">
        <v>0</v>
      </c>
      <c r="W31" s="142">
        <v>0</v>
      </c>
      <c r="X31" s="142">
        <v>3.1009554043600829E-2</v>
      </c>
      <c r="Y31" s="142">
        <v>2.4004224743554861E-2</v>
      </c>
      <c r="Z31" s="142">
        <v>1.9995261323019057E-3</v>
      </c>
      <c r="AA31" s="142">
        <v>4.0010762895218814E-3</v>
      </c>
      <c r="AB31" s="142">
        <v>4.5019629819150789E-5</v>
      </c>
      <c r="AC31" s="142">
        <v>0</v>
      </c>
      <c r="AD31" s="142">
        <v>1.6995428229806184E-2</v>
      </c>
      <c r="AE31" s="142">
        <v>0</v>
      </c>
      <c r="AF31" s="142">
        <v>0</v>
      </c>
      <c r="AG31" s="142">
        <v>0</v>
      </c>
      <c r="AH31" s="142">
        <v>0</v>
      </c>
      <c r="AI31" s="142">
        <v>0</v>
      </c>
      <c r="AJ31" s="142">
        <v>3.0002040138729434E-6</v>
      </c>
      <c r="AK31" s="142">
        <v>0</v>
      </c>
      <c r="AL31" s="142">
        <v>0</v>
      </c>
      <c r="AM31" s="142">
        <v>0</v>
      </c>
      <c r="AN31" s="142">
        <v>0</v>
      </c>
      <c r="AO31" s="142">
        <v>0</v>
      </c>
      <c r="AP31" s="142">
        <v>0</v>
      </c>
      <c r="AQ31" s="142">
        <v>0</v>
      </c>
      <c r="AR31" s="142">
        <v>0</v>
      </c>
      <c r="AS31" s="142">
        <v>0</v>
      </c>
      <c r="AT31" s="142">
        <v>0</v>
      </c>
      <c r="AU31" s="142">
        <v>0</v>
      </c>
      <c r="AV31" s="142">
        <v>0</v>
      </c>
      <c r="AW31" s="142">
        <v>0</v>
      </c>
      <c r="AX31" s="142">
        <v>0</v>
      </c>
      <c r="AY31" s="142">
        <v>0</v>
      </c>
      <c r="AZ31" s="142">
        <v>0</v>
      </c>
      <c r="BA31" s="142">
        <v>0</v>
      </c>
      <c r="BB31" s="142">
        <v>0</v>
      </c>
      <c r="BC31" s="142">
        <v>0</v>
      </c>
      <c r="BD31" s="142">
        <v>0</v>
      </c>
      <c r="BE31" s="142">
        <v>0</v>
      </c>
      <c r="BF31" s="142">
        <v>0</v>
      </c>
      <c r="BG31" s="142">
        <v>0</v>
      </c>
      <c r="BH31" s="142">
        <v>0</v>
      </c>
      <c r="BI31" s="142">
        <v>0</v>
      </c>
      <c r="BJ31" s="142">
        <v>0</v>
      </c>
      <c r="BK31" s="142">
        <v>0</v>
      </c>
      <c r="BL31" s="142">
        <v>0</v>
      </c>
      <c r="BM31" s="142">
        <v>0</v>
      </c>
      <c r="BN31" s="142">
        <v>0</v>
      </c>
      <c r="BO31" s="142">
        <v>0</v>
      </c>
      <c r="BP31" s="142">
        <v>0</v>
      </c>
      <c r="BQ31" s="142">
        <v>0</v>
      </c>
      <c r="BR31" s="142">
        <v>0</v>
      </c>
      <c r="BS31" s="142">
        <v>0</v>
      </c>
      <c r="BT31" s="142">
        <v>0</v>
      </c>
      <c r="BU31" s="142">
        <v>0</v>
      </c>
      <c r="BV31" s="142">
        <v>0</v>
      </c>
      <c r="BW31" s="142">
        <v>0</v>
      </c>
      <c r="BX31" s="142">
        <v>0</v>
      </c>
      <c r="BY31" s="142">
        <v>0</v>
      </c>
      <c r="BZ31" s="142">
        <v>0</v>
      </c>
      <c r="CA31" s="142">
        <v>0</v>
      </c>
      <c r="CB31" s="142">
        <v>0</v>
      </c>
      <c r="CC31" s="142">
        <v>0</v>
      </c>
      <c r="CD31" s="142">
        <v>0</v>
      </c>
      <c r="CE31" s="142">
        <v>0</v>
      </c>
      <c r="CF31" s="142">
        <v>0</v>
      </c>
      <c r="CG31" s="142">
        <v>0</v>
      </c>
    </row>
    <row r="32" spans="1:85" customFormat="1" x14ac:dyDescent="0.15">
      <c r="A32" s="177" t="s">
        <v>222</v>
      </c>
      <c r="B32" s="142">
        <v>0.20799999999999999</v>
      </c>
      <c r="C32" s="142">
        <v>0</v>
      </c>
      <c r="D32" s="142">
        <v>0</v>
      </c>
      <c r="E32" s="142">
        <v>0.01</v>
      </c>
      <c r="F32" s="142">
        <v>1.4E-2</v>
      </c>
      <c r="G32" s="142">
        <v>0.36000000000000004</v>
      </c>
      <c r="H32" s="142">
        <v>0.32799672003279967</v>
      </c>
      <c r="I32" s="142">
        <v>0.159</v>
      </c>
      <c r="J32" s="142">
        <v>0.95</v>
      </c>
      <c r="K32" s="142">
        <v>0.41598248713729141</v>
      </c>
      <c r="L32" s="142">
        <v>0.36009286795064449</v>
      </c>
      <c r="M32" s="142">
        <v>0.51886390199850585</v>
      </c>
      <c r="N32" s="142">
        <v>0.36411287499124723</v>
      </c>
      <c r="O32" s="142">
        <v>0.55026231004319748</v>
      </c>
      <c r="P32" s="142">
        <v>3.2984530255310257E-2</v>
      </c>
      <c r="Q32" s="142">
        <v>0.85399999999999998</v>
      </c>
      <c r="R32" s="142">
        <v>0.6140000000000001</v>
      </c>
      <c r="S32" s="142">
        <v>0.79686242967014165</v>
      </c>
      <c r="T32" s="142">
        <v>0.63891317169996598</v>
      </c>
      <c r="U32" s="142">
        <v>0.57222001287274937</v>
      </c>
      <c r="V32" s="142">
        <v>0.21696007934540051</v>
      </c>
      <c r="W32" s="142">
        <v>0.77903962195517262</v>
      </c>
      <c r="X32" s="142">
        <v>0.15804869480286876</v>
      </c>
      <c r="Y32" s="142">
        <v>0.13002288402758885</v>
      </c>
      <c r="Z32" s="142">
        <v>4.9988153307547641E-2</v>
      </c>
      <c r="AA32" s="142">
        <v>5.0013453619023519E-2</v>
      </c>
      <c r="AB32" s="142">
        <v>5.0021810910167538E-2</v>
      </c>
      <c r="AC32" s="142">
        <v>5.0018857109130156E-2</v>
      </c>
      <c r="AD32" s="142">
        <v>0.71880664101356739</v>
      </c>
      <c r="AE32" s="142">
        <v>0.30004005534738887</v>
      </c>
      <c r="AF32" s="142">
        <v>0</v>
      </c>
      <c r="AG32" s="142">
        <v>0.50199999999999989</v>
      </c>
      <c r="AH32" s="142">
        <v>0</v>
      </c>
      <c r="AI32" s="142">
        <v>0.17699469015929523</v>
      </c>
      <c r="AJ32" s="142">
        <v>2.7001836124856488E-2</v>
      </c>
      <c r="AK32" s="142">
        <v>3.9993233144951876E-3</v>
      </c>
      <c r="AL32" s="142">
        <v>0.32309692907872367</v>
      </c>
      <c r="AM32" s="142">
        <v>0</v>
      </c>
      <c r="AN32" s="142">
        <v>0</v>
      </c>
      <c r="AO32" s="142">
        <v>0.11700000000000001</v>
      </c>
      <c r="AP32" s="142">
        <v>0</v>
      </c>
      <c r="AQ32" s="142">
        <v>0</v>
      </c>
      <c r="AR32" s="142">
        <v>0</v>
      </c>
      <c r="AS32" s="142">
        <v>0</v>
      </c>
      <c r="AT32" s="142">
        <v>0</v>
      </c>
      <c r="AU32" s="142">
        <v>0</v>
      </c>
      <c r="AV32" s="142">
        <v>0</v>
      </c>
      <c r="AW32" s="142">
        <v>0</v>
      </c>
      <c r="AX32" s="142">
        <v>0</v>
      </c>
      <c r="AY32" s="142">
        <v>0</v>
      </c>
      <c r="AZ32" s="142">
        <v>0</v>
      </c>
      <c r="BA32" s="142">
        <v>0</v>
      </c>
      <c r="BB32" s="142">
        <v>0</v>
      </c>
      <c r="BC32" s="142">
        <v>0</v>
      </c>
      <c r="BD32" s="142">
        <v>0</v>
      </c>
      <c r="BE32" s="142">
        <v>0</v>
      </c>
      <c r="BF32" s="142">
        <v>0</v>
      </c>
      <c r="BG32" s="142">
        <v>0</v>
      </c>
      <c r="BH32" s="142">
        <v>0</v>
      </c>
      <c r="BI32" s="142">
        <v>0</v>
      </c>
      <c r="BJ32" s="142">
        <v>0</v>
      </c>
      <c r="BK32" s="142">
        <v>0</v>
      </c>
      <c r="BL32" s="142">
        <v>0</v>
      </c>
      <c r="BM32" s="142">
        <v>0</v>
      </c>
      <c r="BN32" s="142">
        <v>0</v>
      </c>
      <c r="BO32" s="142">
        <v>0</v>
      </c>
      <c r="BP32" s="142">
        <v>0</v>
      </c>
      <c r="BQ32" s="142">
        <v>0</v>
      </c>
      <c r="BR32" s="142">
        <v>0</v>
      </c>
      <c r="BS32" s="142">
        <v>0</v>
      </c>
      <c r="BT32" s="142">
        <v>0</v>
      </c>
      <c r="BU32" s="142">
        <v>0</v>
      </c>
      <c r="BV32" s="142">
        <v>0</v>
      </c>
      <c r="BW32" s="142">
        <v>0</v>
      </c>
      <c r="BX32" s="142">
        <v>0</v>
      </c>
      <c r="BY32" s="142">
        <v>0</v>
      </c>
      <c r="BZ32" s="142">
        <v>0</v>
      </c>
      <c r="CA32" s="142">
        <v>0</v>
      </c>
      <c r="CB32" s="142">
        <v>0</v>
      </c>
      <c r="CC32" s="142">
        <v>0</v>
      </c>
      <c r="CD32" s="142">
        <v>0</v>
      </c>
      <c r="CE32" s="142">
        <v>0</v>
      </c>
      <c r="CF32" s="142">
        <v>0</v>
      </c>
      <c r="CG32" s="142">
        <v>0</v>
      </c>
    </row>
    <row r="33" spans="1:85" customFormat="1" x14ac:dyDescent="0.15">
      <c r="A33" s="177" t="s">
        <v>223</v>
      </c>
      <c r="B33" s="142">
        <v>0</v>
      </c>
      <c r="C33" s="142">
        <v>0</v>
      </c>
      <c r="D33" s="142">
        <v>8.2000000000000003E-2</v>
      </c>
      <c r="E33" s="142">
        <v>0</v>
      </c>
      <c r="F33" s="142">
        <v>0</v>
      </c>
      <c r="G33" s="142">
        <v>0</v>
      </c>
      <c r="H33" s="142">
        <v>0</v>
      </c>
      <c r="I33" s="142">
        <v>0</v>
      </c>
      <c r="J33" s="142">
        <v>0</v>
      </c>
      <c r="K33" s="142">
        <v>6.9997053124063466E-3</v>
      </c>
      <c r="L33" s="142">
        <v>2.6006707129768766E-2</v>
      </c>
      <c r="M33" s="142">
        <v>1.5995804300531973E-2</v>
      </c>
      <c r="N33" s="142">
        <v>1.6004961538076803E-2</v>
      </c>
      <c r="O33" s="142">
        <v>8.0038154188101455E-3</v>
      </c>
      <c r="P33" s="142">
        <v>0</v>
      </c>
      <c r="Q33" s="142">
        <v>0</v>
      </c>
      <c r="R33" s="142">
        <v>0</v>
      </c>
      <c r="S33" s="142">
        <v>2.2996029965386772E-2</v>
      </c>
      <c r="T33" s="142">
        <v>9.9986411846630045E-3</v>
      </c>
      <c r="U33" s="142">
        <v>1.1004231016783642E-2</v>
      </c>
      <c r="V33" s="142">
        <v>5.7989329963286772E-4</v>
      </c>
      <c r="W33" s="142">
        <v>0</v>
      </c>
      <c r="X33" s="142">
        <v>4.001232779819462E-3</v>
      </c>
      <c r="Y33" s="142">
        <v>0</v>
      </c>
      <c r="Z33" s="142">
        <v>0</v>
      </c>
      <c r="AA33" s="142">
        <v>0</v>
      </c>
      <c r="AB33" s="142">
        <v>0</v>
      </c>
      <c r="AC33" s="142">
        <v>0</v>
      </c>
      <c r="AD33" s="142">
        <v>2.3993545736196968E-4</v>
      </c>
      <c r="AE33" s="142">
        <v>0</v>
      </c>
      <c r="AF33" s="142">
        <v>0</v>
      </c>
      <c r="AG33" s="142">
        <v>0</v>
      </c>
      <c r="AH33" s="142">
        <v>0</v>
      </c>
      <c r="AI33" s="142">
        <v>0</v>
      </c>
      <c r="AJ33" s="142">
        <v>0</v>
      </c>
      <c r="AK33" s="142">
        <v>0</v>
      </c>
      <c r="AL33" s="142">
        <v>0</v>
      </c>
      <c r="AM33" s="142">
        <v>0</v>
      </c>
      <c r="AN33" s="142">
        <v>0</v>
      </c>
      <c r="AO33" s="142">
        <v>0</v>
      </c>
      <c r="AP33" s="142">
        <v>0</v>
      </c>
      <c r="AQ33" s="142">
        <v>0</v>
      </c>
      <c r="AR33" s="142">
        <v>0</v>
      </c>
      <c r="AS33" s="142">
        <v>0</v>
      </c>
      <c r="AT33" s="142">
        <v>0</v>
      </c>
      <c r="AU33" s="142">
        <v>0</v>
      </c>
      <c r="AV33" s="142">
        <v>0</v>
      </c>
      <c r="AW33" s="142">
        <v>0</v>
      </c>
      <c r="AX33" s="142">
        <v>0</v>
      </c>
      <c r="AY33" s="142">
        <v>0</v>
      </c>
      <c r="AZ33" s="142">
        <v>0</v>
      </c>
      <c r="BA33" s="142">
        <v>0</v>
      </c>
      <c r="BB33" s="142">
        <v>0</v>
      </c>
      <c r="BC33" s="142">
        <v>0</v>
      </c>
      <c r="BD33" s="142">
        <v>0</v>
      </c>
      <c r="BE33" s="142">
        <v>0</v>
      </c>
      <c r="BF33" s="142">
        <v>0</v>
      </c>
      <c r="BG33" s="142">
        <v>0</v>
      </c>
      <c r="BH33" s="142">
        <v>0</v>
      </c>
      <c r="BI33" s="142">
        <v>0</v>
      </c>
      <c r="BJ33" s="142">
        <v>0</v>
      </c>
      <c r="BK33" s="142">
        <v>0</v>
      </c>
      <c r="BL33" s="142">
        <v>0</v>
      </c>
      <c r="BM33" s="142">
        <v>0</v>
      </c>
      <c r="BN33" s="142">
        <v>0</v>
      </c>
      <c r="BO33" s="142">
        <v>0</v>
      </c>
      <c r="BP33" s="142">
        <v>0</v>
      </c>
      <c r="BQ33" s="142">
        <v>0</v>
      </c>
      <c r="BR33" s="142">
        <v>0</v>
      </c>
      <c r="BS33" s="142">
        <v>0</v>
      </c>
      <c r="BT33" s="142">
        <v>0</v>
      </c>
      <c r="BU33" s="142">
        <v>0</v>
      </c>
      <c r="BV33" s="142">
        <v>0</v>
      </c>
      <c r="BW33" s="142">
        <v>0</v>
      </c>
      <c r="BX33" s="142">
        <v>0</v>
      </c>
      <c r="BY33" s="142">
        <v>0</v>
      </c>
      <c r="BZ33" s="142">
        <v>0</v>
      </c>
      <c r="CA33" s="142">
        <v>0</v>
      </c>
      <c r="CB33" s="142">
        <v>0</v>
      </c>
      <c r="CC33" s="142">
        <v>0</v>
      </c>
      <c r="CD33" s="142">
        <v>0</v>
      </c>
      <c r="CE33" s="142">
        <v>0</v>
      </c>
      <c r="CF33" s="142">
        <v>0</v>
      </c>
      <c r="CG33" s="142">
        <v>0</v>
      </c>
    </row>
    <row r="34" spans="1:85" customFormat="1" x14ac:dyDescent="0.15">
      <c r="A34" s="177" t="s">
        <v>224</v>
      </c>
      <c r="B34" s="142">
        <v>0</v>
      </c>
      <c r="C34" s="142">
        <v>0</v>
      </c>
      <c r="D34" s="142">
        <v>8.2000000000000003E-2</v>
      </c>
      <c r="E34" s="142">
        <v>0</v>
      </c>
      <c r="F34" s="142">
        <v>0</v>
      </c>
      <c r="G34" s="142">
        <v>0</v>
      </c>
      <c r="H34" s="142">
        <v>0</v>
      </c>
      <c r="I34" s="142">
        <v>0</v>
      </c>
      <c r="J34" s="142">
        <v>0</v>
      </c>
      <c r="K34" s="142">
        <v>0.19999158035446707</v>
      </c>
      <c r="L34" s="142">
        <v>9.6024764786838537E-2</v>
      </c>
      <c r="M34" s="142">
        <v>4.2988724057679673E-2</v>
      </c>
      <c r="N34" s="142">
        <v>0.15104682451559981</v>
      </c>
      <c r="O34" s="142">
        <v>2.3010969329079166E-2</v>
      </c>
      <c r="P34" s="142">
        <v>0</v>
      </c>
      <c r="Q34" s="142">
        <v>0</v>
      </c>
      <c r="R34" s="142">
        <v>0</v>
      </c>
      <c r="S34" s="142">
        <v>3.9993095591976995E-2</v>
      </c>
      <c r="T34" s="142">
        <v>8.2988721832702936E-2</v>
      </c>
      <c r="U34" s="142">
        <v>0</v>
      </c>
      <c r="V34" s="142">
        <v>9.9981603384977189E-4</v>
      </c>
      <c r="W34" s="142">
        <v>0</v>
      </c>
      <c r="X34" s="142">
        <v>2.000616389909731E-3</v>
      </c>
      <c r="Y34" s="142">
        <v>0</v>
      </c>
      <c r="Z34" s="142">
        <v>0</v>
      </c>
      <c r="AA34" s="142">
        <v>1.0002690723804704E-3</v>
      </c>
      <c r="AB34" s="142">
        <v>1.0004362182033507E-3</v>
      </c>
      <c r="AC34" s="142">
        <v>0</v>
      </c>
      <c r="AD34" s="142">
        <v>1.0997041795756942E-2</v>
      </c>
      <c r="AE34" s="142">
        <v>0</v>
      </c>
      <c r="AF34" s="142">
        <v>0</v>
      </c>
      <c r="AG34" s="142">
        <v>0</v>
      </c>
      <c r="AH34" s="142">
        <v>0</v>
      </c>
      <c r="AI34" s="142">
        <v>0</v>
      </c>
      <c r="AJ34" s="142">
        <v>2.0001360092486288E-3</v>
      </c>
      <c r="AK34" s="142">
        <v>0</v>
      </c>
      <c r="AL34" s="142">
        <v>0</v>
      </c>
      <c r="AM34" s="142">
        <v>0</v>
      </c>
      <c r="AN34" s="142">
        <v>0</v>
      </c>
      <c r="AO34" s="142">
        <v>0</v>
      </c>
      <c r="AP34" s="142">
        <v>0</v>
      </c>
      <c r="AQ34" s="142">
        <v>0</v>
      </c>
      <c r="AR34" s="142">
        <v>0</v>
      </c>
      <c r="AS34" s="142">
        <v>0</v>
      </c>
      <c r="AT34" s="142">
        <v>0</v>
      </c>
      <c r="AU34" s="142">
        <v>0</v>
      </c>
      <c r="AV34" s="142">
        <v>0</v>
      </c>
      <c r="AW34" s="142">
        <v>0</v>
      </c>
      <c r="AX34" s="142">
        <v>0</v>
      </c>
      <c r="AY34" s="142">
        <v>0</v>
      </c>
      <c r="AZ34" s="142">
        <v>0</v>
      </c>
      <c r="BA34" s="142">
        <v>0</v>
      </c>
      <c r="BB34" s="142">
        <v>0</v>
      </c>
      <c r="BC34" s="142">
        <v>0</v>
      </c>
      <c r="BD34" s="142">
        <v>0</v>
      </c>
      <c r="BE34" s="142">
        <v>0</v>
      </c>
      <c r="BF34" s="142">
        <v>0</v>
      </c>
      <c r="BG34" s="142">
        <v>0</v>
      </c>
      <c r="BH34" s="142">
        <v>0</v>
      </c>
      <c r="BI34" s="142">
        <v>0</v>
      </c>
      <c r="BJ34" s="142">
        <v>0</v>
      </c>
      <c r="BK34" s="142">
        <v>0</v>
      </c>
      <c r="BL34" s="142">
        <v>0</v>
      </c>
      <c r="BM34" s="142">
        <v>0</v>
      </c>
      <c r="BN34" s="142">
        <v>0</v>
      </c>
      <c r="BO34" s="142">
        <v>0</v>
      </c>
      <c r="BP34" s="142">
        <v>0</v>
      </c>
      <c r="BQ34" s="142">
        <v>0</v>
      </c>
      <c r="BR34" s="142">
        <v>0</v>
      </c>
      <c r="BS34" s="142">
        <v>0</v>
      </c>
      <c r="BT34" s="142">
        <v>0</v>
      </c>
      <c r="BU34" s="142">
        <v>0</v>
      </c>
      <c r="BV34" s="142">
        <v>0</v>
      </c>
      <c r="BW34" s="142">
        <v>0</v>
      </c>
      <c r="BX34" s="142">
        <v>0</v>
      </c>
      <c r="BY34" s="142">
        <v>0</v>
      </c>
      <c r="BZ34" s="142">
        <v>0</v>
      </c>
      <c r="CA34" s="142">
        <v>0</v>
      </c>
      <c r="CB34" s="142">
        <v>0</v>
      </c>
      <c r="CC34" s="142">
        <v>0</v>
      </c>
      <c r="CD34" s="142">
        <v>0</v>
      </c>
      <c r="CE34" s="142">
        <v>0</v>
      </c>
      <c r="CF34" s="142">
        <v>0</v>
      </c>
      <c r="CG34" s="142">
        <v>0</v>
      </c>
    </row>
    <row r="35" spans="1:85" customFormat="1" x14ac:dyDescent="0.15">
      <c r="A35" s="177" t="s">
        <v>225</v>
      </c>
      <c r="B35" s="142">
        <v>0</v>
      </c>
      <c r="C35" s="142">
        <v>0</v>
      </c>
      <c r="D35" s="142">
        <v>4.1000000000000002E-2</v>
      </c>
      <c r="E35" s="142">
        <v>0</v>
      </c>
      <c r="F35" s="142">
        <v>0</v>
      </c>
      <c r="G35" s="142">
        <v>0</v>
      </c>
      <c r="H35" s="142">
        <v>0</v>
      </c>
      <c r="I35" s="142">
        <v>0</v>
      </c>
      <c r="J35" s="142">
        <v>0</v>
      </c>
      <c r="K35" s="142">
        <v>0</v>
      </c>
      <c r="L35" s="142">
        <v>0</v>
      </c>
      <c r="M35" s="142">
        <v>0</v>
      </c>
      <c r="N35" s="142">
        <v>0</v>
      </c>
      <c r="O35" s="142">
        <v>0</v>
      </c>
      <c r="P35" s="142">
        <v>0</v>
      </c>
      <c r="Q35" s="142">
        <v>0</v>
      </c>
      <c r="R35" s="142">
        <v>0</v>
      </c>
      <c r="S35" s="142">
        <v>0</v>
      </c>
      <c r="T35" s="142">
        <v>0</v>
      </c>
      <c r="U35" s="142">
        <v>0</v>
      </c>
      <c r="V35" s="142">
        <v>0</v>
      </c>
      <c r="W35" s="142">
        <v>0</v>
      </c>
      <c r="X35" s="142">
        <v>0</v>
      </c>
      <c r="Y35" s="142">
        <v>0</v>
      </c>
      <c r="Z35" s="142">
        <v>0</v>
      </c>
      <c r="AA35" s="142">
        <v>0</v>
      </c>
      <c r="AB35" s="142">
        <v>0</v>
      </c>
      <c r="AC35" s="142">
        <v>0</v>
      </c>
      <c r="AD35" s="142">
        <v>0</v>
      </c>
      <c r="AE35" s="142">
        <v>0</v>
      </c>
      <c r="AF35" s="142">
        <v>0</v>
      </c>
      <c r="AG35" s="142">
        <v>0</v>
      </c>
      <c r="AH35" s="142">
        <v>0</v>
      </c>
      <c r="AI35" s="142">
        <v>0</v>
      </c>
      <c r="AJ35" s="142">
        <v>0</v>
      </c>
      <c r="AK35" s="142">
        <v>0</v>
      </c>
      <c r="AL35" s="142">
        <v>0</v>
      </c>
      <c r="AM35" s="142">
        <v>0</v>
      </c>
      <c r="AN35" s="142">
        <v>0</v>
      </c>
      <c r="AO35" s="142">
        <v>0</v>
      </c>
      <c r="AP35" s="142">
        <v>0</v>
      </c>
      <c r="AQ35" s="142">
        <v>0</v>
      </c>
      <c r="AR35" s="142">
        <v>0</v>
      </c>
      <c r="AS35" s="142">
        <v>0</v>
      </c>
      <c r="AT35" s="142">
        <v>0</v>
      </c>
      <c r="AU35" s="142">
        <v>0</v>
      </c>
      <c r="AV35" s="142">
        <v>0</v>
      </c>
      <c r="AW35" s="142">
        <v>0</v>
      </c>
      <c r="AX35" s="142">
        <v>0</v>
      </c>
      <c r="AY35" s="142">
        <v>0</v>
      </c>
      <c r="AZ35" s="142">
        <v>0</v>
      </c>
      <c r="BA35" s="142">
        <v>0</v>
      </c>
      <c r="BB35" s="142">
        <v>0</v>
      </c>
      <c r="BC35" s="142">
        <v>0</v>
      </c>
      <c r="BD35" s="142">
        <v>0</v>
      </c>
      <c r="BE35" s="142">
        <v>0</v>
      </c>
      <c r="BF35" s="142">
        <v>0</v>
      </c>
      <c r="BG35" s="142">
        <v>0</v>
      </c>
      <c r="BH35" s="142">
        <v>0</v>
      </c>
      <c r="BI35" s="142">
        <v>0</v>
      </c>
      <c r="BJ35" s="142">
        <v>0</v>
      </c>
      <c r="BK35" s="142">
        <v>0</v>
      </c>
      <c r="BL35" s="142">
        <v>0</v>
      </c>
      <c r="BM35" s="142">
        <v>0</v>
      </c>
      <c r="BN35" s="142">
        <v>0</v>
      </c>
      <c r="BO35" s="142">
        <v>0</v>
      </c>
      <c r="BP35" s="142">
        <v>0</v>
      </c>
      <c r="BQ35" s="142">
        <v>0</v>
      </c>
      <c r="BR35" s="142">
        <v>0</v>
      </c>
      <c r="BS35" s="142">
        <v>0</v>
      </c>
      <c r="BT35" s="142">
        <v>0</v>
      </c>
      <c r="BU35" s="142">
        <v>0</v>
      </c>
      <c r="BV35" s="142">
        <v>0</v>
      </c>
      <c r="BW35" s="142">
        <v>0</v>
      </c>
      <c r="BX35" s="142">
        <v>0</v>
      </c>
      <c r="BY35" s="142">
        <v>0</v>
      </c>
      <c r="BZ35" s="142">
        <v>0</v>
      </c>
      <c r="CA35" s="142">
        <v>0</v>
      </c>
      <c r="CB35" s="142">
        <v>0</v>
      </c>
      <c r="CC35" s="142">
        <v>0</v>
      </c>
      <c r="CD35" s="142">
        <v>0</v>
      </c>
      <c r="CE35" s="142">
        <v>0</v>
      </c>
      <c r="CF35" s="142">
        <v>0</v>
      </c>
      <c r="CG35" s="142">
        <v>0</v>
      </c>
    </row>
    <row r="36" spans="1:85" customFormat="1" x14ac:dyDescent="0.15">
      <c r="A36" s="177" t="s">
        <v>226</v>
      </c>
      <c r="B36" s="142">
        <v>0</v>
      </c>
      <c r="C36" s="142">
        <v>0</v>
      </c>
      <c r="D36" s="142">
        <v>0</v>
      </c>
      <c r="E36" s="142">
        <v>0</v>
      </c>
      <c r="F36" s="142">
        <v>0</v>
      </c>
      <c r="G36" s="142">
        <v>0</v>
      </c>
      <c r="H36" s="142">
        <v>0</v>
      </c>
      <c r="I36" s="142">
        <v>0</v>
      </c>
      <c r="J36" s="142">
        <v>0</v>
      </c>
      <c r="K36" s="142">
        <v>0</v>
      </c>
      <c r="L36" s="142">
        <v>0</v>
      </c>
      <c r="M36" s="142">
        <v>0</v>
      </c>
      <c r="N36" s="142">
        <v>0</v>
      </c>
      <c r="O36" s="142">
        <v>0</v>
      </c>
      <c r="P36" s="142">
        <v>0</v>
      </c>
      <c r="Q36" s="142">
        <v>0</v>
      </c>
      <c r="R36" s="142">
        <v>0</v>
      </c>
      <c r="S36" s="142">
        <v>0</v>
      </c>
      <c r="T36" s="142">
        <v>0</v>
      </c>
      <c r="U36" s="142">
        <v>0</v>
      </c>
      <c r="V36" s="142">
        <v>0</v>
      </c>
      <c r="W36" s="142">
        <v>0</v>
      </c>
      <c r="X36" s="142">
        <v>9.2028353935847629E-2</v>
      </c>
      <c r="Y36" s="142">
        <v>0</v>
      </c>
      <c r="Z36" s="142">
        <v>0</v>
      </c>
      <c r="AA36" s="142">
        <v>0</v>
      </c>
      <c r="AB36" s="142">
        <v>0</v>
      </c>
      <c r="AC36" s="142">
        <v>0</v>
      </c>
      <c r="AD36" s="142">
        <v>0</v>
      </c>
      <c r="AE36" s="142">
        <v>0</v>
      </c>
      <c r="AF36" s="142">
        <v>0</v>
      </c>
      <c r="AG36" s="142">
        <v>0</v>
      </c>
      <c r="AH36" s="142">
        <v>0</v>
      </c>
      <c r="AI36" s="142">
        <v>0</v>
      </c>
      <c r="AJ36" s="142">
        <v>0</v>
      </c>
      <c r="AK36" s="142">
        <v>0</v>
      </c>
      <c r="AL36" s="142">
        <v>0</v>
      </c>
      <c r="AM36" s="142">
        <v>0</v>
      </c>
      <c r="AN36" s="142">
        <v>0</v>
      </c>
      <c r="AO36" s="142">
        <v>0</v>
      </c>
      <c r="AP36" s="142">
        <v>0</v>
      </c>
      <c r="AQ36" s="142">
        <v>0</v>
      </c>
      <c r="AR36" s="142">
        <v>0</v>
      </c>
      <c r="AS36" s="142">
        <v>0</v>
      </c>
      <c r="AT36" s="142">
        <v>0</v>
      </c>
      <c r="AU36" s="142">
        <v>0</v>
      </c>
      <c r="AV36" s="142">
        <v>0</v>
      </c>
      <c r="AW36" s="142">
        <v>0</v>
      </c>
      <c r="AX36" s="142">
        <v>0</v>
      </c>
      <c r="AY36" s="142">
        <v>0</v>
      </c>
      <c r="AZ36" s="142">
        <v>0</v>
      </c>
      <c r="BA36" s="142">
        <v>0</v>
      </c>
      <c r="BB36" s="142">
        <v>0</v>
      </c>
      <c r="BC36" s="142">
        <v>0</v>
      </c>
      <c r="BD36" s="142">
        <v>0</v>
      </c>
      <c r="BE36" s="142">
        <v>0</v>
      </c>
      <c r="BF36" s="142">
        <v>0</v>
      </c>
      <c r="BG36" s="142">
        <v>0</v>
      </c>
      <c r="BH36" s="142">
        <v>0</v>
      </c>
      <c r="BI36" s="142">
        <v>0</v>
      </c>
      <c r="BJ36" s="142">
        <v>0</v>
      </c>
      <c r="BK36" s="142">
        <v>0</v>
      </c>
      <c r="BL36" s="142">
        <v>0</v>
      </c>
      <c r="BM36" s="142">
        <v>0</v>
      </c>
      <c r="BN36" s="142">
        <v>0</v>
      </c>
      <c r="BO36" s="142">
        <v>0</v>
      </c>
      <c r="BP36" s="142">
        <v>0</v>
      </c>
      <c r="BQ36" s="142">
        <v>0</v>
      </c>
      <c r="BR36" s="142">
        <v>0</v>
      </c>
      <c r="BS36" s="142">
        <v>0</v>
      </c>
      <c r="BT36" s="142">
        <v>0</v>
      </c>
      <c r="BU36" s="142">
        <v>0</v>
      </c>
      <c r="BV36" s="142">
        <v>0</v>
      </c>
      <c r="BW36" s="142">
        <v>0</v>
      </c>
      <c r="BX36" s="142">
        <v>0</v>
      </c>
      <c r="BY36" s="142">
        <v>0</v>
      </c>
      <c r="BZ36" s="142">
        <v>0</v>
      </c>
      <c r="CA36" s="142">
        <v>0</v>
      </c>
      <c r="CB36" s="142">
        <v>0</v>
      </c>
      <c r="CC36" s="142">
        <v>0</v>
      </c>
      <c r="CD36" s="142">
        <v>0</v>
      </c>
      <c r="CE36" s="142">
        <v>0</v>
      </c>
      <c r="CF36" s="142">
        <v>0</v>
      </c>
      <c r="CG36" s="142">
        <v>0</v>
      </c>
    </row>
    <row r="37" spans="1:85" customFormat="1" x14ac:dyDescent="0.15">
      <c r="A37" s="177" t="s">
        <v>227</v>
      </c>
      <c r="B37" s="142">
        <v>0</v>
      </c>
      <c r="C37" s="142">
        <v>0</v>
      </c>
      <c r="D37" s="142">
        <v>0</v>
      </c>
      <c r="E37" s="142">
        <v>0</v>
      </c>
      <c r="F37" s="142">
        <v>0</v>
      </c>
      <c r="G37" s="142">
        <v>0</v>
      </c>
      <c r="H37" s="142">
        <v>0</v>
      </c>
      <c r="I37" s="142">
        <v>0</v>
      </c>
      <c r="J37" s="142">
        <v>0</v>
      </c>
      <c r="K37" s="142">
        <v>0</v>
      </c>
      <c r="L37" s="142">
        <v>0</v>
      </c>
      <c r="M37" s="142">
        <v>0</v>
      </c>
      <c r="N37" s="142">
        <v>0</v>
      </c>
      <c r="O37" s="142">
        <v>0</v>
      </c>
      <c r="P37" s="142">
        <v>0</v>
      </c>
      <c r="Q37" s="142">
        <v>0</v>
      </c>
      <c r="R37" s="142">
        <v>0</v>
      </c>
      <c r="S37" s="142">
        <v>0</v>
      </c>
      <c r="T37" s="142">
        <v>0</v>
      </c>
      <c r="U37" s="142">
        <v>0</v>
      </c>
      <c r="V37" s="142">
        <v>0</v>
      </c>
      <c r="W37" s="142">
        <v>0</v>
      </c>
      <c r="X37" s="142">
        <v>0</v>
      </c>
      <c r="Y37" s="142">
        <v>0</v>
      </c>
      <c r="Z37" s="142">
        <v>0</v>
      </c>
      <c r="AA37" s="142">
        <v>0</v>
      </c>
      <c r="AB37" s="142">
        <v>0</v>
      </c>
      <c r="AC37" s="142">
        <v>0</v>
      </c>
      <c r="AD37" s="142">
        <v>0</v>
      </c>
      <c r="AE37" s="142">
        <v>0</v>
      </c>
      <c r="AF37" s="142">
        <v>0</v>
      </c>
      <c r="AG37" s="142">
        <v>0</v>
      </c>
      <c r="AH37" s="142">
        <v>0</v>
      </c>
      <c r="AI37" s="142">
        <v>0</v>
      </c>
      <c r="AJ37" s="142">
        <v>0</v>
      </c>
      <c r="AK37" s="142">
        <v>0</v>
      </c>
      <c r="AL37" s="142">
        <v>0</v>
      </c>
      <c r="AM37" s="142">
        <v>0</v>
      </c>
      <c r="AN37" s="142">
        <v>0</v>
      </c>
      <c r="AO37" s="142">
        <v>0</v>
      </c>
      <c r="AP37" s="142">
        <v>0</v>
      </c>
      <c r="AQ37" s="142">
        <v>0</v>
      </c>
      <c r="AR37" s="142">
        <v>0</v>
      </c>
      <c r="AS37" s="142">
        <v>0</v>
      </c>
      <c r="AT37" s="142">
        <v>0</v>
      </c>
      <c r="AU37" s="142">
        <v>0</v>
      </c>
      <c r="AV37" s="142">
        <v>0</v>
      </c>
      <c r="AW37" s="142">
        <v>0</v>
      </c>
      <c r="AX37" s="142">
        <v>0</v>
      </c>
      <c r="AY37" s="142">
        <v>0</v>
      </c>
      <c r="AZ37" s="142">
        <v>0</v>
      </c>
      <c r="BA37" s="142">
        <v>0</v>
      </c>
      <c r="BB37" s="142">
        <v>0</v>
      </c>
      <c r="BC37" s="142">
        <v>0</v>
      </c>
      <c r="BD37" s="142">
        <v>0</v>
      </c>
      <c r="BE37" s="142">
        <v>0</v>
      </c>
      <c r="BF37" s="142">
        <v>0</v>
      </c>
      <c r="BG37" s="142">
        <v>0</v>
      </c>
      <c r="BH37" s="142">
        <v>0</v>
      </c>
      <c r="BI37" s="142">
        <v>0</v>
      </c>
      <c r="BJ37" s="142">
        <v>0</v>
      </c>
      <c r="BK37" s="142">
        <v>0</v>
      </c>
      <c r="BL37" s="142">
        <v>0</v>
      </c>
      <c r="BM37" s="142">
        <v>0</v>
      </c>
      <c r="BN37" s="142">
        <v>0</v>
      </c>
      <c r="BO37" s="142">
        <v>0</v>
      </c>
      <c r="BP37" s="142">
        <v>0</v>
      </c>
      <c r="BQ37" s="142">
        <v>0</v>
      </c>
      <c r="BR37" s="142">
        <v>0</v>
      </c>
      <c r="BS37" s="142">
        <v>0</v>
      </c>
      <c r="BT37" s="142">
        <v>0</v>
      </c>
      <c r="BU37" s="142">
        <v>0</v>
      </c>
      <c r="BV37" s="142">
        <v>0</v>
      </c>
      <c r="BW37" s="142">
        <v>0</v>
      </c>
      <c r="BX37" s="142">
        <v>0</v>
      </c>
      <c r="BY37" s="142">
        <v>0</v>
      </c>
      <c r="BZ37" s="142">
        <v>0</v>
      </c>
      <c r="CA37" s="142">
        <v>0</v>
      </c>
      <c r="CB37" s="142">
        <v>0</v>
      </c>
      <c r="CC37" s="142">
        <v>0</v>
      </c>
      <c r="CD37" s="142">
        <v>0</v>
      </c>
      <c r="CE37" s="142">
        <v>0</v>
      </c>
      <c r="CF37" s="142">
        <v>0</v>
      </c>
      <c r="CG37" s="142">
        <v>0</v>
      </c>
    </row>
    <row r="38" spans="1:85" customFormat="1" x14ac:dyDescent="0.15">
      <c r="A38" s="177" t="s">
        <v>228</v>
      </c>
      <c r="B38" s="142">
        <v>0</v>
      </c>
      <c r="C38" s="142">
        <v>0</v>
      </c>
      <c r="D38" s="142">
        <v>0</v>
      </c>
      <c r="E38" s="142">
        <v>0</v>
      </c>
      <c r="F38" s="142">
        <v>0</v>
      </c>
      <c r="G38" s="142">
        <v>0</v>
      </c>
      <c r="H38" s="142">
        <v>0</v>
      </c>
      <c r="I38" s="142">
        <v>0</v>
      </c>
      <c r="J38" s="142">
        <v>0</v>
      </c>
      <c r="K38" s="142">
        <v>0</v>
      </c>
      <c r="L38" s="142">
        <v>0</v>
      </c>
      <c r="M38" s="142">
        <v>0</v>
      </c>
      <c r="N38" s="142">
        <v>0</v>
      </c>
      <c r="O38" s="142">
        <v>0</v>
      </c>
      <c r="P38" s="142">
        <v>0</v>
      </c>
      <c r="Q38" s="142">
        <v>0</v>
      </c>
      <c r="R38" s="142">
        <v>0</v>
      </c>
      <c r="S38" s="142">
        <v>0</v>
      </c>
      <c r="T38" s="142">
        <v>0</v>
      </c>
      <c r="U38" s="142">
        <v>0</v>
      </c>
      <c r="V38" s="142">
        <v>0</v>
      </c>
      <c r="W38" s="142">
        <v>0</v>
      </c>
      <c r="X38" s="142">
        <v>0</v>
      </c>
      <c r="Y38" s="142">
        <v>0</v>
      </c>
      <c r="Z38" s="142">
        <v>0</v>
      </c>
      <c r="AA38" s="142">
        <v>0</v>
      </c>
      <c r="AB38" s="142">
        <v>0</v>
      </c>
      <c r="AC38" s="142">
        <v>0</v>
      </c>
      <c r="AD38" s="142">
        <v>0</v>
      </c>
      <c r="AE38" s="142">
        <v>0</v>
      </c>
      <c r="AF38" s="142">
        <v>0</v>
      </c>
      <c r="AG38" s="142">
        <v>0</v>
      </c>
      <c r="AH38" s="142">
        <v>0</v>
      </c>
      <c r="AI38" s="142">
        <v>0</v>
      </c>
      <c r="AJ38" s="142">
        <v>0</v>
      </c>
      <c r="AK38" s="142">
        <v>0</v>
      </c>
      <c r="AL38" s="142">
        <v>0</v>
      </c>
      <c r="AM38" s="142">
        <v>0</v>
      </c>
      <c r="AN38" s="142">
        <v>0</v>
      </c>
      <c r="AO38" s="142">
        <v>0</v>
      </c>
      <c r="AP38" s="142">
        <v>0</v>
      </c>
      <c r="AQ38" s="142">
        <v>0</v>
      </c>
      <c r="AR38" s="142">
        <v>0</v>
      </c>
      <c r="AS38" s="142">
        <v>0</v>
      </c>
      <c r="AT38" s="142">
        <v>0</v>
      </c>
      <c r="AU38" s="142">
        <v>0</v>
      </c>
      <c r="AV38" s="142">
        <v>0</v>
      </c>
      <c r="AW38" s="142">
        <v>0</v>
      </c>
      <c r="AX38" s="142">
        <v>0</v>
      </c>
      <c r="AY38" s="142">
        <v>0</v>
      </c>
      <c r="AZ38" s="142">
        <v>0</v>
      </c>
      <c r="BA38" s="142">
        <v>0</v>
      </c>
      <c r="BB38" s="142">
        <v>0</v>
      </c>
      <c r="BC38" s="142">
        <v>0</v>
      </c>
      <c r="BD38" s="142">
        <v>0</v>
      </c>
      <c r="BE38" s="142">
        <v>0</v>
      </c>
      <c r="BF38" s="142">
        <v>0</v>
      </c>
      <c r="BG38" s="142">
        <v>0</v>
      </c>
      <c r="BH38" s="142">
        <v>0</v>
      </c>
      <c r="BI38" s="142">
        <v>0</v>
      </c>
      <c r="BJ38" s="142">
        <v>0</v>
      </c>
      <c r="BK38" s="142">
        <v>0</v>
      </c>
      <c r="BL38" s="142">
        <v>0</v>
      </c>
      <c r="BM38" s="142">
        <v>0</v>
      </c>
      <c r="BN38" s="142">
        <v>0</v>
      </c>
      <c r="BO38" s="142">
        <v>0</v>
      </c>
      <c r="BP38" s="142">
        <v>0</v>
      </c>
      <c r="BQ38" s="142">
        <v>0</v>
      </c>
      <c r="BR38" s="142">
        <v>0</v>
      </c>
      <c r="BS38" s="142">
        <v>0</v>
      </c>
      <c r="BT38" s="142">
        <v>0</v>
      </c>
      <c r="BU38" s="142">
        <v>0</v>
      </c>
      <c r="BV38" s="142">
        <v>0</v>
      </c>
      <c r="BW38" s="142">
        <v>0</v>
      </c>
      <c r="BX38" s="142">
        <v>0</v>
      </c>
      <c r="BY38" s="142">
        <v>0</v>
      </c>
      <c r="BZ38" s="142">
        <v>0</v>
      </c>
      <c r="CA38" s="142">
        <v>0</v>
      </c>
      <c r="CB38" s="142">
        <v>0</v>
      </c>
      <c r="CC38" s="142">
        <v>0</v>
      </c>
      <c r="CD38" s="142">
        <v>0</v>
      </c>
      <c r="CE38" s="142">
        <v>0</v>
      </c>
      <c r="CF38" s="142">
        <v>0</v>
      </c>
      <c r="CG38" s="142">
        <v>0</v>
      </c>
    </row>
    <row r="39" spans="1:85" x14ac:dyDescent="0.15">
      <c r="A39" s="177" t="s">
        <v>229</v>
      </c>
      <c r="B39" s="142">
        <v>0</v>
      </c>
      <c r="C39" s="142">
        <v>0</v>
      </c>
      <c r="D39" s="142">
        <v>0</v>
      </c>
      <c r="E39" s="142">
        <v>0</v>
      </c>
      <c r="F39" s="142">
        <v>0</v>
      </c>
      <c r="G39" s="142">
        <v>0</v>
      </c>
      <c r="H39" s="142">
        <v>0</v>
      </c>
      <c r="I39" s="142">
        <v>0</v>
      </c>
      <c r="J39" s="142">
        <v>0</v>
      </c>
      <c r="K39" s="142">
        <v>0</v>
      </c>
      <c r="L39" s="142">
        <v>0</v>
      </c>
      <c r="M39" s="142">
        <v>0</v>
      </c>
      <c r="N39" s="142">
        <v>0</v>
      </c>
      <c r="O39" s="142">
        <v>0</v>
      </c>
      <c r="P39" s="142">
        <v>0</v>
      </c>
      <c r="Q39" s="142">
        <v>0</v>
      </c>
      <c r="R39" s="142">
        <v>0</v>
      </c>
      <c r="S39" s="142">
        <v>0</v>
      </c>
      <c r="T39" s="142">
        <v>0</v>
      </c>
      <c r="U39" s="142">
        <v>0</v>
      </c>
      <c r="V39" s="142">
        <v>0</v>
      </c>
      <c r="W39" s="142">
        <v>0</v>
      </c>
      <c r="X39" s="142">
        <v>0</v>
      </c>
      <c r="Y39" s="142">
        <v>0</v>
      </c>
      <c r="Z39" s="142">
        <v>0</v>
      </c>
      <c r="AA39" s="142">
        <v>0</v>
      </c>
      <c r="AB39" s="142">
        <v>0</v>
      </c>
      <c r="AC39" s="142">
        <v>0</v>
      </c>
      <c r="AD39" s="142">
        <v>0</v>
      </c>
      <c r="AE39" s="142">
        <v>0</v>
      </c>
      <c r="AF39" s="142">
        <v>0</v>
      </c>
      <c r="AG39" s="142">
        <v>0</v>
      </c>
      <c r="AH39" s="142">
        <v>0</v>
      </c>
      <c r="AI39" s="142">
        <v>0</v>
      </c>
      <c r="AJ39" s="142">
        <v>0</v>
      </c>
      <c r="AK39" s="142">
        <v>0</v>
      </c>
      <c r="AL39" s="142">
        <v>0</v>
      </c>
      <c r="AM39" s="142">
        <v>0</v>
      </c>
      <c r="AN39" s="142">
        <v>0</v>
      </c>
      <c r="AO39" s="142">
        <v>0</v>
      </c>
      <c r="AP39" s="142">
        <v>0</v>
      </c>
      <c r="AQ39" s="142">
        <v>0</v>
      </c>
      <c r="AR39" s="142">
        <v>0</v>
      </c>
      <c r="AS39" s="142">
        <v>0</v>
      </c>
      <c r="AT39" s="142">
        <v>0</v>
      </c>
      <c r="AU39" s="142">
        <v>0</v>
      </c>
      <c r="AV39" s="142">
        <v>0</v>
      </c>
      <c r="AW39" s="142">
        <v>0</v>
      </c>
      <c r="AX39" s="142">
        <v>0</v>
      </c>
      <c r="AY39" s="142">
        <v>0</v>
      </c>
      <c r="AZ39" s="142">
        <v>0</v>
      </c>
      <c r="BA39" s="142">
        <v>0</v>
      </c>
      <c r="BB39" s="142">
        <v>0</v>
      </c>
      <c r="BC39" s="142">
        <v>0</v>
      </c>
      <c r="BD39" s="142">
        <v>0</v>
      </c>
      <c r="BE39" s="142">
        <v>0</v>
      </c>
      <c r="BF39" s="142">
        <v>0</v>
      </c>
      <c r="BG39" s="142">
        <v>0</v>
      </c>
      <c r="BH39" s="142">
        <v>0</v>
      </c>
      <c r="BI39" s="142">
        <v>0</v>
      </c>
      <c r="BJ39" s="142">
        <v>0</v>
      </c>
      <c r="BK39" s="142">
        <v>0</v>
      </c>
      <c r="BL39" s="142">
        <v>0</v>
      </c>
      <c r="BM39" s="142">
        <v>0</v>
      </c>
      <c r="BN39" s="142">
        <v>0</v>
      </c>
      <c r="BO39" s="142">
        <v>0</v>
      </c>
      <c r="BP39" s="142">
        <v>0</v>
      </c>
      <c r="BQ39" s="142">
        <v>0</v>
      </c>
      <c r="BR39" s="142">
        <v>0</v>
      </c>
      <c r="BS39" s="142">
        <v>0</v>
      </c>
      <c r="BT39" s="142">
        <v>0</v>
      </c>
      <c r="BU39" s="142">
        <v>0</v>
      </c>
      <c r="BV39" s="142">
        <v>0</v>
      </c>
      <c r="BW39" s="142">
        <v>0</v>
      </c>
      <c r="BX39" s="142">
        <v>0</v>
      </c>
      <c r="BY39" s="142">
        <v>0</v>
      </c>
      <c r="BZ39" s="142">
        <v>0</v>
      </c>
      <c r="CA39" s="142">
        <v>0</v>
      </c>
      <c r="CB39" s="142">
        <v>0</v>
      </c>
      <c r="CC39" s="142">
        <v>0</v>
      </c>
      <c r="CD39" s="142">
        <v>0</v>
      </c>
      <c r="CE39" s="142">
        <v>0</v>
      </c>
      <c r="CF39" s="142">
        <v>0</v>
      </c>
      <c r="CG39" s="142">
        <v>0</v>
      </c>
    </row>
    <row r="40" spans="1:85" x14ac:dyDescent="0.15">
      <c r="A40" s="177" t="s">
        <v>230</v>
      </c>
      <c r="B40" s="142">
        <v>1E-3</v>
      </c>
      <c r="C40" s="142">
        <v>0</v>
      </c>
      <c r="D40" s="142">
        <v>0</v>
      </c>
      <c r="E40" s="142">
        <v>0</v>
      </c>
      <c r="F40" s="142">
        <v>0</v>
      </c>
      <c r="G40" s="142">
        <v>0</v>
      </c>
      <c r="H40" s="142">
        <v>0</v>
      </c>
      <c r="I40" s="142">
        <v>0</v>
      </c>
      <c r="J40" s="142">
        <v>0</v>
      </c>
      <c r="K40" s="142">
        <v>1.4999368526585028E-5</v>
      </c>
      <c r="L40" s="142">
        <v>9.5024506820308968E-2</v>
      </c>
      <c r="M40" s="142">
        <v>1.9994755375664964E-2</v>
      </c>
      <c r="N40" s="142">
        <v>0</v>
      </c>
      <c r="O40" s="142">
        <v>7.0033384914588766E-3</v>
      </c>
      <c r="P40" s="142">
        <v>0.80662169442531451</v>
      </c>
      <c r="Q40" s="142">
        <v>0</v>
      </c>
      <c r="R40" s="142">
        <v>0</v>
      </c>
      <c r="S40" s="142">
        <v>0</v>
      </c>
      <c r="T40" s="142">
        <v>2.9995923553989009E-4</v>
      </c>
      <c r="U40" s="142">
        <v>1.5005769568341332E-5</v>
      </c>
      <c r="V40" s="142">
        <v>1.1997792406197263E-4</v>
      </c>
      <c r="W40" s="142">
        <v>3.5001780190540488E-5</v>
      </c>
      <c r="X40" s="142">
        <v>1.4004314729368118E-2</v>
      </c>
      <c r="Y40" s="142">
        <v>6.0010561858887153E-3</v>
      </c>
      <c r="Z40" s="142">
        <v>1.9995261323019057E-3</v>
      </c>
      <c r="AA40" s="142">
        <v>7.8020987645676678E-4</v>
      </c>
      <c r="AB40" s="142">
        <v>2.0008724364067015E-3</v>
      </c>
      <c r="AC40" s="142">
        <v>0</v>
      </c>
      <c r="AD40" s="142">
        <v>5.4985208978784713E-6</v>
      </c>
      <c r="AE40" s="142">
        <v>1.0001335178246296E-2</v>
      </c>
      <c r="AF40" s="142">
        <v>0</v>
      </c>
      <c r="AG40" s="142">
        <v>0</v>
      </c>
      <c r="AH40" s="142">
        <v>0</v>
      </c>
      <c r="AI40" s="142">
        <v>8.2997510074697772E-2</v>
      </c>
      <c r="AJ40" s="142">
        <v>2.0001360092486288E-3</v>
      </c>
      <c r="AK40" s="142">
        <v>0</v>
      </c>
      <c r="AL40" s="142">
        <v>0</v>
      </c>
      <c r="AM40" s="142">
        <v>0</v>
      </c>
      <c r="AN40" s="142">
        <v>0</v>
      </c>
      <c r="AO40" s="142">
        <v>0</v>
      </c>
      <c r="AP40" s="142">
        <v>0</v>
      </c>
      <c r="AQ40" s="142">
        <v>0</v>
      </c>
      <c r="AR40" s="142">
        <v>0</v>
      </c>
      <c r="AS40" s="142">
        <v>0</v>
      </c>
      <c r="AT40" s="142">
        <v>0</v>
      </c>
      <c r="AU40" s="142">
        <v>0</v>
      </c>
      <c r="AV40" s="142">
        <v>0</v>
      </c>
      <c r="AW40" s="142">
        <v>0</v>
      </c>
      <c r="AX40" s="142">
        <v>0</v>
      </c>
      <c r="AY40" s="142">
        <v>0</v>
      </c>
      <c r="AZ40" s="142">
        <v>0</v>
      </c>
      <c r="BA40" s="142">
        <v>0</v>
      </c>
      <c r="BB40" s="142">
        <v>0</v>
      </c>
      <c r="BC40" s="142">
        <v>0</v>
      </c>
      <c r="BD40" s="142">
        <v>0</v>
      </c>
      <c r="BE40" s="142">
        <v>0</v>
      </c>
      <c r="BF40" s="142">
        <v>0</v>
      </c>
      <c r="BG40" s="142">
        <v>0</v>
      </c>
      <c r="BH40" s="142">
        <v>0</v>
      </c>
      <c r="BI40" s="142">
        <v>0</v>
      </c>
      <c r="BJ40" s="142">
        <v>0</v>
      </c>
      <c r="BK40" s="142">
        <v>0</v>
      </c>
      <c r="BL40" s="142">
        <v>0</v>
      </c>
      <c r="BM40" s="142">
        <v>0</v>
      </c>
      <c r="BN40" s="142">
        <v>0</v>
      </c>
      <c r="BO40" s="142">
        <v>0</v>
      </c>
      <c r="BP40" s="142">
        <v>0</v>
      </c>
      <c r="BQ40" s="142">
        <v>0</v>
      </c>
      <c r="BR40" s="142">
        <v>0</v>
      </c>
      <c r="BS40" s="142">
        <v>0</v>
      </c>
      <c r="BT40" s="142">
        <v>0</v>
      </c>
      <c r="BU40" s="142">
        <v>0</v>
      </c>
      <c r="BV40" s="142">
        <v>0</v>
      </c>
      <c r="BW40" s="142">
        <v>0</v>
      </c>
      <c r="BX40" s="142">
        <v>0</v>
      </c>
      <c r="BY40" s="142">
        <v>0</v>
      </c>
      <c r="BZ40" s="142">
        <v>0</v>
      </c>
      <c r="CA40" s="142">
        <v>0</v>
      </c>
      <c r="CB40" s="142">
        <v>0</v>
      </c>
      <c r="CC40" s="142">
        <v>0</v>
      </c>
      <c r="CD40" s="142">
        <v>0</v>
      </c>
      <c r="CE40" s="142">
        <v>0</v>
      </c>
      <c r="CF40" s="142">
        <v>0</v>
      </c>
      <c r="CG40" s="142">
        <v>0</v>
      </c>
    </row>
    <row r="41" spans="1:85" x14ac:dyDescent="0.15">
      <c r="A41" s="177" t="s">
        <v>231</v>
      </c>
      <c r="B41" s="142">
        <v>0.40100000000000002</v>
      </c>
      <c r="C41" s="142">
        <v>0</v>
      </c>
      <c r="D41" s="142">
        <v>0</v>
      </c>
      <c r="E41" s="142">
        <v>0</v>
      </c>
      <c r="F41" s="142">
        <v>0</v>
      </c>
      <c r="G41" s="142">
        <v>0</v>
      </c>
      <c r="H41" s="142">
        <v>0</v>
      </c>
      <c r="I41" s="142">
        <v>0</v>
      </c>
      <c r="J41" s="142">
        <v>0</v>
      </c>
      <c r="K41" s="142">
        <v>9.9995790177233521E-3</v>
      </c>
      <c r="L41" s="142">
        <v>0.11302915021784118</v>
      </c>
      <c r="M41" s="142">
        <v>7.3980594889960366E-2</v>
      </c>
      <c r="N41" s="142">
        <v>6.0018605767788009E-2</v>
      </c>
      <c r="O41" s="142">
        <v>4.1019554021401998E-2</v>
      </c>
      <c r="P41" s="142">
        <v>0.15792593273754607</v>
      </c>
      <c r="Q41" s="142">
        <v>0</v>
      </c>
      <c r="R41" s="142">
        <v>8.6000000000000007E-2</v>
      </c>
      <c r="S41" s="142">
        <v>2.2996029965386772E-2</v>
      </c>
      <c r="T41" s="142">
        <v>1.0998505303129303E-2</v>
      </c>
      <c r="U41" s="142">
        <v>1.000384637889422E-2</v>
      </c>
      <c r="V41" s="142">
        <v>1.9996320676995438E-3</v>
      </c>
      <c r="W41" s="142">
        <v>2.0001017251737425E-3</v>
      </c>
      <c r="X41" s="142">
        <v>8.002465559638924E-3</v>
      </c>
      <c r="Y41" s="142">
        <v>1.8003168557666146E-2</v>
      </c>
      <c r="Z41" s="142">
        <v>2.8993128918377631E-2</v>
      </c>
      <c r="AA41" s="142">
        <v>8.0021525790437628E-3</v>
      </c>
      <c r="AB41" s="142">
        <v>2.2009596800473714E-2</v>
      </c>
      <c r="AC41" s="142">
        <v>0</v>
      </c>
      <c r="AD41" s="142">
        <v>2.799247002556313E-2</v>
      </c>
      <c r="AE41" s="142">
        <v>0.10001335178246297</v>
      </c>
      <c r="AF41" s="142">
        <v>0</v>
      </c>
      <c r="AG41" s="142">
        <v>0</v>
      </c>
      <c r="AH41" s="142">
        <v>0</v>
      </c>
      <c r="AI41" s="142">
        <v>8.3997480075597736E-2</v>
      </c>
      <c r="AJ41" s="142">
        <v>1.0000680046243144E-3</v>
      </c>
      <c r="AK41" s="142">
        <v>0</v>
      </c>
      <c r="AL41" s="142">
        <v>2.0006001800540163E-3</v>
      </c>
      <c r="AM41" s="142">
        <v>0</v>
      </c>
      <c r="AN41" s="142">
        <v>0</v>
      </c>
      <c r="AO41" s="142">
        <v>0</v>
      </c>
      <c r="AP41" s="142">
        <v>0.11797050737315669</v>
      </c>
      <c r="AQ41" s="142">
        <v>0</v>
      </c>
      <c r="AR41" s="142">
        <v>0</v>
      </c>
      <c r="AS41" s="142">
        <v>0</v>
      </c>
      <c r="AT41" s="142">
        <v>0</v>
      </c>
      <c r="AU41" s="142">
        <v>0</v>
      </c>
      <c r="AV41" s="142">
        <v>0</v>
      </c>
      <c r="AW41" s="142">
        <v>0</v>
      </c>
      <c r="AX41" s="142">
        <v>0</v>
      </c>
      <c r="AY41" s="142">
        <v>0</v>
      </c>
      <c r="AZ41" s="142">
        <v>0</v>
      </c>
      <c r="BA41" s="142">
        <v>0</v>
      </c>
      <c r="BB41" s="142">
        <v>0</v>
      </c>
      <c r="BC41" s="142">
        <v>0</v>
      </c>
      <c r="BD41" s="142">
        <v>0</v>
      </c>
      <c r="BE41" s="142">
        <v>0</v>
      </c>
      <c r="BF41" s="142">
        <v>0</v>
      </c>
      <c r="BG41" s="142">
        <v>0</v>
      </c>
      <c r="BH41" s="142">
        <v>0</v>
      </c>
      <c r="BI41" s="142">
        <v>0</v>
      </c>
      <c r="BJ41" s="142">
        <v>0</v>
      </c>
      <c r="BK41" s="142">
        <v>0</v>
      </c>
      <c r="BL41" s="142">
        <v>0</v>
      </c>
      <c r="BM41" s="142">
        <v>0</v>
      </c>
      <c r="BN41" s="142">
        <v>0</v>
      </c>
      <c r="BO41" s="142">
        <v>0</v>
      </c>
      <c r="BP41" s="142">
        <v>0</v>
      </c>
      <c r="BQ41" s="142">
        <v>0</v>
      </c>
      <c r="BR41" s="142">
        <v>0</v>
      </c>
      <c r="BS41" s="142">
        <v>0</v>
      </c>
      <c r="BT41" s="142">
        <v>0</v>
      </c>
      <c r="BU41" s="142">
        <v>0</v>
      </c>
      <c r="BV41" s="142">
        <v>0</v>
      </c>
      <c r="BW41" s="142">
        <v>0</v>
      </c>
      <c r="BX41" s="142">
        <v>0</v>
      </c>
      <c r="BY41" s="142">
        <v>0</v>
      </c>
      <c r="BZ41" s="142">
        <v>0</v>
      </c>
      <c r="CA41" s="142">
        <v>0</v>
      </c>
      <c r="CB41" s="142">
        <v>0</v>
      </c>
      <c r="CC41" s="142">
        <v>0</v>
      </c>
      <c r="CD41" s="142">
        <v>0</v>
      </c>
      <c r="CE41" s="142">
        <v>0</v>
      </c>
      <c r="CF41" s="142">
        <v>0</v>
      </c>
      <c r="CG41" s="142">
        <v>0</v>
      </c>
    </row>
    <row r="42" spans="1:85" x14ac:dyDescent="0.15">
      <c r="A42" s="177" t="s">
        <v>232</v>
      </c>
      <c r="B42" s="142">
        <v>0</v>
      </c>
      <c r="C42" s="142">
        <v>0</v>
      </c>
      <c r="D42" s="142">
        <v>0</v>
      </c>
      <c r="E42" s="142">
        <v>0</v>
      </c>
      <c r="F42" s="142">
        <v>0</v>
      </c>
      <c r="G42" s="142">
        <v>0</v>
      </c>
      <c r="H42" s="142">
        <v>0</v>
      </c>
      <c r="I42" s="142">
        <v>0</v>
      </c>
      <c r="J42" s="142">
        <v>0</v>
      </c>
      <c r="K42" s="142">
        <v>1.1999494821268024E-2</v>
      </c>
      <c r="L42" s="142">
        <v>9.6024764786838536E-4</v>
      </c>
      <c r="M42" s="142">
        <v>1.5995804300531973E-2</v>
      </c>
      <c r="N42" s="142">
        <v>6.0018605767788013E-3</v>
      </c>
      <c r="O42" s="142">
        <v>4.0019077094050726E-2</v>
      </c>
      <c r="P42" s="142">
        <v>0</v>
      </c>
      <c r="Q42" s="142">
        <v>0</v>
      </c>
      <c r="R42" s="142">
        <v>0</v>
      </c>
      <c r="S42" s="142">
        <v>9.9982738979942495E-4</v>
      </c>
      <c r="T42" s="142">
        <v>2.999592355398901E-3</v>
      </c>
      <c r="U42" s="142">
        <v>0.13905346466662968</v>
      </c>
      <c r="V42" s="142">
        <v>1.2997608440047034E-2</v>
      </c>
      <c r="W42" s="142">
        <v>4.0002034503474849E-3</v>
      </c>
      <c r="X42" s="142">
        <v>2.4007396678916774E-2</v>
      </c>
      <c r="Y42" s="142">
        <v>1.4002464433740336E-2</v>
      </c>
      <c r="Z42" s="142">
        <v>5.9985783969057167E-3</v>
      </c>
      <c r="AA42" s="142">
        <v>1.0002690723804704E-2</v>
      </c>
      <c r="AB42" s="142">
        <v>1.0004362182033507E-2</v>
      </c>
      <c r="AC42" s="142">
        <v>9.9037337076077702E-4</v>
      </c>
      <c r="AD42" s="142">
        <v>1.9994621446830806E-3</v>
      </c>
      <c r="AE42" s="142">
        <v>5.0006675891231481E-3</v>
      </c>
      <c r="AF42" s="142">
        <v>0</v>
      </c>
      <c r="AG42" s="142">
        <v>0</v>
      </c>
      <c r="AH42" s="142">
        <v>0</v>
      </c>
      <c r="AI42" s="142">
        <v>0</v>
      </c>
      <c r="AJ42" s="142">
        <v>0.18801278486937112</v>
      </c>
      <c r="AK42" s="142">
        <v>6.4989003860546804E-2</v>
      </c>
      <c r="AL42" s="142">
        <v>0.28508552565769729</v>
      </c>
      <c r="AM42" s="142">
        <v>0</v>
      </c>
      <c r="AN42" s="142">
        <v>0</v>
      </c>
      <c r="AO42" s="142">
        <v>0.05</v>
      </c>
      <c r="AP42" s="142">
        <v>0</v>
      </c>
      <c r="AQ42" s="142">
        <v>0</v>
      </c>
      <c r="AR42" s="142">
        <v>0</v>
      </c>
      <c r="AS42" s="142">
        <v>3.0000000000000001E-3</v>
      </c>
      <c r="AT42" s="142">
        <v>0</v>
      </c>
      <c r="AU42" s="142">
        <v>0</v>
      </c>
      <c r="AV42" s="142">
        <v>0</v>
      </c>
      <c r="AW42" s="142">
        <v>0</v>
      </c>
      <c r="AX42" s="142">
        <v>0</v>
      </c>
      <c r="AY42" s="142">
        <v>0</v>
      </c>
      <c r="AZ42" s="142">
        <v>0</v>
      </c>
      <c r="BA42" s="142">
        <v>0</v>
      </c>
      <c r="BB42" s="142">
        <v>0</v>
      </c>
      <c r="BC42" s="142">
        <v>0</v>
      </c>
      <c r="BD42" s="142">
        <v>0</v>
      </c>
      <c r="BE42" s="142">
        <v>0</v>
      </c>
      <c r="BF42" s="142">
        <v>0</v>
      </c>
      <c r="BG42" s="142">
        <v>0</v>
      </c>
      <c r="BH42" s="142">
        <v>0</v>
      </c>
      <c r="BI42" s="142">
        <v>0</v>
      </c>
      <c r="BJ42" s="142">
        <v>0</v>
      </c>
      <c r="BK42" s="142">
        <v>0</v>
      </c>
      <c r="BL42" s="142">
        <v>0</v>
      </c>
      <c r="BM42" s="142">
        <v>0</v>
      </c>
      <c r="BN42" s="142">
        <v>0</v>
      </c>
      <c r="BO42" s="142">
        <v>0</v>
      </c>
      <c r="BP42" s="142">
        <v>0</v>
      </c>
      <c r="BQ42" s="142">
        <v>0</v>
      </c>
      <c r="BR42" s="142">
        <v>0</v>
      </c>
      <c r="BS42" s="142">
        <v>0</v>
      </c>
      <c r="BT42" s="142">
        <v>0</v>
      </c>
      <c r="BU42" s="142">
        <v>0</v>
      </c>
      <c r="BV42" s="142">
        <v>0</v>
      </c>
      <c r="BW42" s="142">
        <v>0</v>
      </c>
      <c r="BX42" s="142">
        <v>0</v>
      </c>
      <c r="BY42" s="142">
        <v>0</v>
      </c>
      <c r="BZ42" s="142">
        <v>0</v>
      </c>
      <c r="CA42" s="142">
        <v>0</v>
      </c>
      <c r="CB42" s="142">
        <v>0</v>
      </c>
      <c r="CC42" s="142">
        <v>0</v>
      </c>
      <c r="CD42" s="142">
        <v>0</v>
      </c>
      <c r="CE42" s="142">
        <v>0</v>
      </c>
      <c r="CF42" s="142">
        <v>0</v>
      </c>
      <c r="CG42" s="142">
        <v>0</v>
      </c>
    </row>
    <row r="43" spans="1:85" x14ac:dyDescent="0.15">
      <c r="A43" s="177" t="s">
        <v>233</v>
      </c>
      <c r="B43" s="142">
        <v>0</v>
      </c>
      <c r="C43" s="142">
        <v>0</v>
      </c>
      <c r="D43" s="142">
        <v>0</v>
      </c>
      <c r="E43" s="142">
        <v>0</v>
      </c>
      <c r="F43" s="142">
        <v>0</v>
      </c>
      <c r="G43" s="142">
        <v>0</v>
      </c>
      <c r="H43" s="142">
        <v>0</v>
      </c>
      <c r="I43" s="142">
        <v>0</v>
      </c>
      <c r="J43" s="142">
        <v>0</v>
      </c>
      <c r="K43" s="142">
        <v>0</v>
      </c>
      <c r="L43" s="142">
        <v>0</v>
      </c>
      <c r="M43" s="142">
        <v>0</v>
      </c>
      <c r="N43" s="142">
        <v>0</v>
      </c>
      <c r="O43" s="142">
        <v>0</v>
      </c>
      <c r="P43" s="142">
        <v>0</v>
      </c>
      <c r="Q43" s="142">
        <v>0</v>
      </c>
      <c r="R43" s="142">
        <v>0</v>
      </c>
      <c r="S43" s="142">
        <v>0</v>
      </c>
      <c r="T43" s="142">
        <v>0</v>
      </c>
      <c r="U43" s="142">
        <v>0</v>
      </c>
      <c r="V43" s="142">
        <v>0</v>
      </c>
      <c r="W43" s="142">
        <v>0</v>
      </c>
      <c r="X43" s="142">
        <v>0</v>
      </c>
      <c r="Y43" s="142">
        <v>0</v>
      </c>
      <c r="Z43" s="142">
        <v>0</v>
      </c>
      <c r="AA43" s="142">
        <v>1.0002690723804704E-4</v>
      </c>
      <c r="AB43" s="142">
        <v>4.0017448728134027E-6</v>
      </c>
      <c r="AC43" s="142">
        <v>0</v>
      </c>
      <c r="AD43" s="142">
        <v>0</v>
      </c>
      <c r="AE43" s="142">
        <v>0</v>
      </c>
      <c r="AF43" s="142">
        <v>0</v>
      </c>
      <c r="AG43" s="142">
        <v>0</v>
      </c>
      <c r="AH43" s="142">
        <v>0</v>
      </c>
      <c r="AI43" s="142">
        <v>0</v>
      </c>
      <c r="AJ43" s="142">
        <v>1.0000680046243145E-4</v>
      </c>
      <c r="AK43" s="142">
        <v>0</v>
      </c>
      <c r="AL43" s="142">
        <v>0</v>
      </c>
      <c r="AM43" s="142">
        <v>0</v>
      </c>
      <c r="AN43" s="142">
        <v>2.9997000299970002E-3</v>
      </c>
      <c r="AO43" s="142">
        <v>0</v>
      </c>
      <c r="AP43" s="142">
        <v>1.9995001249687575E-3</v>
      </c>
      <c r="AQ43" s="142">
        <v>0</v>
      </c>
      <c r="AR43" s="142">
        <v>0</v>
      </c>
      <c r="AS43" s="142">
        <v>0</v>
      </c>
      <c r="AT43" s="142">
        <v>0</v>
      </c>
      <c r="AU43" s="142">
        <v>0</v>
      </c>
      <c r="AV43" s="142">
        <v>0</v>
      </c>
      <c r="AW43" s="142">
        <v>0</v>
      </c>
      <c r="AX43" s="142">
        <v>0</v>
      </c>
      <c r="AY43" s="142">
        <v>0</v>
      </c>
      <c r="AZ43" s="142">
        <v>0</v>
      </c>
      <c r="BA43" s="142">
        <v>0</v>
      </c>
      <c r="BB43" s="142">
        <v>0</v>
      </c>
      <c r="BC43" s="142">
        <v>0</v>
      </c>
      <c r="BD43" s="142">
        <v>0</v>
      </c>
      <c r="BE43" s="142">
        <v>0</v>
      </c>
      <c r="BF43" s="142">
        <v>0</v>
      </c>
      <c r="BG43" s="142">
        <v>0</v>
      </c>
      <c r="BH43" s="142">
        <v>0</v>
      </c>
      <c r="BI43" s="142">
        <v>0</v>
      </c>
      <c r="BJ43" s="142">
        <v>0</v>
      </c>
      <c r="BK43" s="142">
        <v>0</v>
      </c>
      <c r="BL43" s="142">
        <v>0</v>
      </c>
      <c r="BM43" s="142">
        <v>0</v>
      </c>
      <c r="BN43" s="142">
        <v>0</v>
      </c>
      <c r="BO43" s="142">
        <v>0</v>
      </c>
      <c r="BP43" s="142">
        <v>0</v>
      </c>
      <c r="BQ43" s="142">
        <v>0</v>
      </c>
      <c r="BR43" s="142">
        <v>0</v>
      </c>
      <c r="BS43" s="142">
        <v>0</v>
      </c>
      <c r="BT43" s="142">
        <v>0</v>
      </c>
      <c r="BU43" s="142">
        <v>0</v>
      </c>
      <c r="BV43" s="142">
        <v>0</v>
      </c>
      <c r="BW43" s="142">
        <v>0</v>
      </c>
      <c r="BX43" s="142">
        <v>0</v>
      </c>
      <c r="BY43" s="142">
        <v>0</v>
      </c>
      <c r="BZ43" s="142">
        <v>0</v>
      </c>
      <c r="CA43" s="142">
        <v>0</v>
      </c>
      <c r="CB43" s="142">
        <v>0</v>
      </c>
      <c r="CC43" s="142">
        <v>0</v>
      </c>
      <c r="CD43" s="142">
        <v>0</v>
      </c>
      <c r="CE43" s="142">
        <v>0</v>
      </c>
      <c r="CF43" s="142">
        <v>0</v>
      </c>
      <c r="CG43" s="142">
        <v>0</v>
      </c>
    </row>
    <row r="44" spans="1:85" x14ac:dyDescent="0.15">
      <c r="A44" s="177" t="s">
        <v>234</v>
      </c>
      <c r="B44" s="142">
        <v>0</v>
      </c>
      <c r="C44" s="142">
        <v>0</v>
      </c>
      <c r="D44" s="142">
        <v>0</v>
      </c>
      <c r="E44" s="142">
        <v>0</v>
      </c>
      <c r="F44" s="142">
        <v>0</v>
      </c>
      <c r="G44" s="142">
        <v>0</v>
      </c>
      <c r="H44" s="142">
        <v>0</v>
      </c>
      <c r="I44" s="142">
        <v>0</v>
      </c>
      <c r="J44" s="142">
        <v>0</v>
      </c>
      <c r="K44" s="142">
        <v>0</v>
      </c>
      <c r="L44" s="142">
        <v>0</v>
      </c>
      <c r="M44" s="142">
        <v>0</v>
      </c>
      <c r="N44" s="142">
        <v>0</v>
      </c>
      <c r="O44" s="142">
        <v>0</v>
      </c>
      <c r="P44" s="142">
        <v>0</v>
      </c>
      <c r="Q44" s="142">
        <v>1E-3</v>
      </c>
      <c r="R44" s="142">
        <v>0</v>
      </c>
      <c r="S44" s="142">
        <v>0</v>
      </c>
      <c r="T44" s="142">
        <v>9.9986411846630045E-3</v>
      </c>
      <c r="U44" s="142">
        <v>0</v>
      </c>
      <c r="V44" s="142">
        <v>0</v>
      </c>
      <c r="W44" s="142">
        <v>0</v>
      </c>
      <c r="X44" s="142">
        <v>1.0003081949548655E-3</v>
      </c>
      <c r="Y44" s="142">
        <v>0</v>
      </c>
      <c r="Z44" s="142">
        <v>0</v>
      </c>
      <c r="AA44" s="142">
        <v>1.0002690723804704E-4</v>
      </c>
      <c r="AB44" s="142">
        <v>4.0017448728134027E-6</v>
      </c>
      <c r="AC44" s="142">
        <v>0</v>
      </c>
      <c r="AD44" s="142">
        <v>9.9973107234154032E-4</v>
      </c>
      <c r="AE44" s="142">
        <v>0</v>
      </c>
      <c r="AF44" s="142">
        <v>0</v>
      </c>
      <c r="AG44" s="142">
        <v>0</v>
      </c>
      <c r="AH44" s="142">
        <v>0</v>
      </c>
      <c r="AI44" s="142">
        <v>0</v>
      </c>
      <c r="AJ44" s="142">
        <v>4.000272018497258E-4</v>
      </c>
      <c r="AK44" s="142">
        <v>0</v>
      </c>
      <c r="AL44" s="142">
        <v>0</v>
      </c>
      <c r="AM44" s="142">
        <v>0</v>
      </c>
      <c r="AN44" s="142">
        <v>2.9997000299970002E-3</v>
      </c>
      <c r="AO44" s="142">
        <v>0</v>
      </c>
      <c r="AP44" s="142">
        <v>1.9995001249687575E-3</v>
      </c>
      <c r="AQ44" s="142">
        <v>0</v>
      </c>
      <c r="AR44" s="142">
        <v>0</v>
      </c>
      <c r="AS44" s="142">
        <v>0</v>
      </c>
      <c r="AT44" s="142">
        <v>0</v>
      </c>
      <c r="AU44" s="142">
        <v>0</v>
      </c>
      <c r="AV44" s="142">
        <v>0</v>
      </c>
      <c r="AW44" s="142">
        <v>0</v>
      </c>
      <c r="AX44" s="142">
        <v>0</v>
      </c>
      <c r="AY44" s="142">
        <v>0</v>
      </c>
      <c r="AZ44" s="142">
        <v>0</v>
      </c>
      <c r="BA44" s="142">
        <v>0</v>
      </c>
      <c r="BB44" s="142">
        <v>0</v>
      </c>
      <c r="BC44" s="142">
        <v>0</v>
      </c>
      <c r="BD44" s="142">
        <v>0</v>
      </c>
      <c r="BE44" s="142">
        <v>0</v>
      </c>
      <c r="BF44" s="142">
        <v>0</v>
      </c>
      <c r="BG44" s="142">
        <v>0</v>
      </c>
      <c r="BH44" s="142">
        <v>0</v>
      </c>
      <c r="BI44" s="142">
        <v>0</v>
      </c>
      <c r="BJ44" s="142">
        <v>0</v>
      </c>
      <c r="BK44" s="142">
        <v>0</v>
      </c>
      <c r="BL44" s="142">
        <v>0</v>
      </c>
      <c r="BM44" s="142">
        <v>0</v>
      </c>
      <c r="BN44" s="142">
        <v>0</v>
      </c>
      <c r="BO44" s="142">
        <v>0</v>
      </c>
      <c r="BP44" s="142">
        <v>0</v>
      </c>
      <c r="BQ44" s="142">
        <v>0</v>
      </c>
      <c r="BR44" s="142">
        <v>0</v>
      </c>
      <c r="BS44" s="142">
        <v>0</v>
      </c>
      <c r="BT44" s="142">
        <v>0</v>
      </c>
      <c r="BU44" s="142">
        <v>0</v>
      </c>
      <c r="BV44" s="142">
        <v>0</v>
      </c>
      <c r="BW44" s="142">
        <v>0</v>
      </c>
      <c r="BX44" s="142">
        <v>0</v>
      </c>
      <c r="BY44" s="142">
        <v>0</v>
      </c>
      <c r="BZ44" s="142">
        <v>0</v>
      </c>
      <c r="CA44" s="142">
        <v>0</v>
      </c>
      <c r="CB44" s="142">
        <v>0</v>
      </c>
      <c r="CC44" s="142">
        <v>0</v>
      </c>
      <c r="CD44" s="142">
        <v>0</v>
      </c>
      <c r="CE44" s="142">
        <v>0</v>
      </c>
      <c r="CF44" s="142">
        <v>0</v>
      </c>
      <c r="CG44" s="142">
        <v>0</v>
      </c>
    </row>
    <row r="45" spans="1:85" x14ac:dyDescent="0.15">
      <c r="A45" s="177" t="s">
        <v>235</v>
      </c>
      <c r="B45" s="142">
        <v>1E-3</v>
      </c>
      <c r="C45" s="142">
        <v>0</v>
      </c>
      <c r="D45" s="142">
        <v>0</v>
      </c>
      <c r="E45" s="142">
        <v>0</v>
      </c>
      <c r="F45" s="142">
        <v>0</v>
      </c>
      <c r="G45" s="142">
        <v>0</v>
      </c>
      <c r="H45" s="142">
        <v>0</v>
      </c>
      <c r="I45" s="142">
        <v>0</v>
      </c>
      <c r="J45" s="142">
        <v>0</v>
      </c>
      <c r="K45" s="142">
        <v>0</v>
      </c>
      <c r="L45" s="142">
        <v>3.3008512895475744E-4</v>
      </c>
      <c r="M45" s="142">
        <v>1.3996328762965474E-4</v>
      </c>
      <c r="N45" s="142">
        <v>4.601426442197081E-4</v>
      </c>
      <c r="O45" s="142">
        <v>3.0014307820538043E-3</v>
      </c>
      <c r="P45" s="142">
        <v>0</v>
      </c>
      <c r="Q45" s="142">
        <v>4.0000000000000001E-3</v>
      </c>
      <c r="R45" s="142">
        <v>0</v>
      </c>
      <c r="S45" s="142">
        <v>9.9982738979942495E-4</v>
      </c>
      <c r="T45" s="142">
        <v>1.9997282369326009E-2</v>
      </c>
      <c r="U45" s="142">
        <v>0</v>
      </c>
      <c r="V45" s="142">
        <v>1.0997976372347491E-5</v>
      </c>
      <c r="W45" s="142">
        <v>0</v>
      </c>
      <c r="X45" s="142">
        <v>8.002465559638924E-3</v>
      </c>
      <c r="Y45" s="142">
        <v>0</v>
      </c>
      <c r="Z45" s="142">
        <v>0</v>
      </c>
      <c r="AA45" s="142">
        <v>5.1013722691403988E-4</v>
      </c>
      <c r="AB45" s="142">
        <v>1.0004362182033507E-5</v>
      </c>
      <c r="AC45" s="142">
        <v>0</v>
      </c>
      <c r="AD45" s="142">
        <v>2.9991932170246208E-3</v>
      </c>
      <c r="AE45" s="142">
        <v>2.0002670356492592E-3</v>
      </c>
      <c r="AF45" s="142">
        <v>0</v>
      </c>
      <c r="AG45" s="142">
        <v>0</v>
      </c>
      <c r="AH45" s="142">
        <v>0</v>
      </c>
      <c r="AI45" s="142">
        <v>0</v>
      </c>
      <c r="AJ45" s="142">
        <v>5.000340023121572E-4</v>
      </c>
      <c r="AK45" s="142">
        <v>0</v>
      </c>
      <c r="AL45" s="142">
        <v>0</v>
      </c>
      <c r="AM45" s="142">
        <v>0</v>
      </c>
      <c r="AN45" s="142">
        <v>9.9990000999900016E-3</v>
      </c>
      <c r="AO45" s="142">
        <v>0</v>
      </c>
      <c r="AP45" s="142">
        <v>3.9990002499375151E-3</v>
      </c>
      <c r="AQ45" s="142">
        <v>0</v>
      </c>
      <c r="AR45" s="142">
        <v>0</v>
      </c>
      <c r="AS45" s="142">
        <v>0</v>
      </c>
      <c r="AT45" s="142">
        <v>0</v>
      </c>
      <c r="AU45" s="142">
        <v>0</v>
      </c>
      <c r="AV45" s="142">
        <v>0</v>
      </c>
      <c r="AW45" s="142">
        <v>0</v>
      </c>
      <c r="AX45" s="142">
        <v>0</v>
      </c>
      <c r="AY45" s="142">
        <v>0</v>
      </c>
      <c r="AZ45" s="142">
        <v>0</v>
      </c>
      <c r="BA45" s="142">
        <v>3.0000000000000001E-3</v>
      </c>
      <c r="BB45" s="142">
        <v>2.9988004798080776E-3</v>
      </c>
      <c r="BC45" s="142">
        <v>0</v>
      </c>
      <c r="BD45" s="142">
        <v>0</v>
      </c>
      <c r="BE45" s="142">
        <v>0</v>
      </c>
      <c r="BF45" s="142">
        <v>0</v>
      </c>
      <c r="BG45" s="142">
        <v>0</v>
      </c>
      <c r="BH45" s="142">
        <v>0</v>
      </c>
      <c r="BI45" s="142">
        <v>0</v>
      </c>
      <c r="BJ45" s="142">
        <v>0</v>
      </c>
      <c r="BK45" s="142">
        <v>0</v>
      </c>
      <c r="BL45" s="142">
        <v>0</v>
      </c>
      <c r="BM45" s="142">
        <v>0</v>
      </c>
      <c r="BN45" s="142">
        <v>0</v>
      </c>
      <c r="BO45" s="142">
        <v>0</v>
      </c>
      <c r="BP45" s="142">
        <v>0</v>
      </c>
      <c r="BQ45" s="142">
        <v>0</v>
      </c>
      <c r="BR45" s="142">
        <v>0</v>
      </c>
      <c r="BS45" s="142">
        <v>0</v>
      </c>
      <c r="BT45" s="142">
        <v>0</v>
      </c>
      <c r="BU45" s="142">
        <v>0</v>
      </c>
      <c r="BV45" s="142">
        <v>0</v>
      </c>
      <c r="BW45" s="142">
        <v>0</v>
      </c>
      <c r="BX45" s="142">
        <v>0</v>
      </c>
      <c r="BY45" s="142">
        <v>0</v>
      </c>
      <c r="BZ45" s="142">
        <v>0</v>
      </c>
      <c r="CA45" s="142">
        <v>0</v>
      </c>
      <c r="CB45" s="142">
        <v>0</v>
      </c>
      <c r="CC45" s="142">
        <v>0</v>
      </c>
      <c r="CD45" s="142">
        <v>0</v>
      </c>
      <c r="CE45" s="142">
        <v>0</v>
      </c>
      <c r="CF45" s="142">
        <v>0</v>
      </c>
      <c r="CG45" s="142">
        <v>0</v>
      </c>
    </row>
    <row r="46" spans="1:85" x14ac:dyDescent="0.15">
      <c r="A46" s="177" t="s">
        <v>236</v>
      </c>
      <c r="B46" s="142">
        <v>0</v>
      </c>
      <c r="C46" s="142">
        <v>0</v>
      </c>
      <c r="D46" s="142">
        <v>0</v>
      </c>
      <c r="E46" s="142">
        <v>0</v>
      </c>
      <c r="F46" s="142">
        <v>0</v>
      </c>
      <c r="G46" s="142">
        <v>0</v>
      </c>
      <c r="H46" s="142">
        <v>0</v>
      </c>
      <c r="I46" s="142">
        <v>0</v>
      </c>
      <c r="J46" s="142">
        <v>0</v>
      </c>
      <c r="K46" s="142">
        <v>0</v>
      </c>
      <c r="L46" s="142">
        <v>0</v>
      </c>
      <c r="M46" s="142">
        <v>0</v>
      </c>
      <c r="N46" s="142">
        <v>0</v>
      </c>
      <c r="O46" s="142">
        <v>0</v>
      </c>
      <c r="P46" s="142">
        <v>0</v>
      </c>
      <c r="Q46" s="142">
        <v>0</v>
      </c>
      <c r="R46" s="142">
        <v>0</v>
      </c>
      <c r="S46" s="142">
        <v>0</v>
      </c>
      <c r="T46" s="142">
        <v>0</v>
      </c>
      <c r="U46" s="142">
        <v>0</v>
      </c>
      <c r="V46" s="142">
        <v>0</v>
      </c>
      <c r="W46" s="142">
        <v>0</v>
      </c>
      <c r="X46" s="142">
        <v>0</v>
      </c>
      <c r="Y46" s="142">
        <v>0</v>
      </c>
      <c r="Z46" s="142">
        <v>0</v>
      </c>
      <c r="AA46" s="142">
        <v>0</v>
      </c>
      <c r="AB46" s="142">
        <v>0</v>
      </c>
      <c r="AC46" s="142">
        <v>0</v>
      </c>
      <c r="AD46" s="142">
        <v>0</v>
      </c>
      <c r="AE46" s="142">
        <v>0</v>
      </c>
      <c r="AF46" s="142">
        <v>0</v>
      </c>
      <c r="AG46" s="142">
        <v>0</v>
      </c>
      <c r="AH46" s="142">
        <v>0</v>
      </c>
      <c r="AI46" s="142">
        <v>0</v>
      </c>
      <c r="AJ46" s="142">
        <v>0</v>
      </c>
      <c r="AK46" s="142">
        <v>0</v>
      </c>
      <c r="AL46" s="142">
        <v>0</v>
      </c>
      <c r="AM46" s="142">
        <v>0</v>
      </c>
      <c r="AN46" s="142">
        <v>0</v>
      </c>
      <c r="AO46" s="142">
        <v>0</v>
      </c>
      <c r="AP46" s="142">
        <v>1.9995001249687575E-3</v>
      </c>
      <c r="AQ46" s="142">
        <v>0</v>
      </c>
      <c r="AR46" s="142">
        <v>0</v>
      </c>
      <c r="AS46" s="142">
        <v>0</v>
      </c>
      <c r="AT46" s="142">
        <v>0</v>
      </c>
      <c r="AU46" s="142">
        <v>0</v>
      </c>
      <c r="AV46" s="142">
        <v>0</v>
      </c>
      <c r="AW46" s="142">
        <v>0</v>
      </c>
      <c r="AX46" s="142">
        <v>0</v>
      </c>
      <c r="AY46" s="142">
        <v>0</v>
      </c>
      <c r="AZ46" s="142">
        <v>0</v>
      </c>
      <c r="BA46" s="142">
        <v>0</v>
      </c>
      <c r="BB46" s="142">
        <v>0</v>
      </c>
      <c r="BC46" s="142">
        <v>0</v>
      </c>
      <c r="BD46" s="142">
        <v>0</v>
      </c>
      <c r="BE46" s="142">
        <v>0</v>
      </c>
      <c r="BF46" s="142">
        <v>0</v>
      </c>
      <c r="BG46" s="142">
        <v>0</v>
      </c>
      <c r="BH46" s="142">
        <v>0</v>
      </c>
      <c r="BI46" s="142">
        <v>0</v>
      </c>
      <c r="BJ46" s="142">
        <v>0</v>
      </c>
      <c r="BK46" s="142">
        <v>0</v>
      </c>
      <c r="BL46" s="142">
        <v>0</v>
      </c>
      <c r="BM46" s="142">
        <v>0</v>
      </c>
      <c r="BN46" s="142">
        <v>0</v>
      </c>
      <c r="BO46" s="142">
        <v>0</v>
      </c>
      <c r="BP46" s="142">
        <v>0</v>
      </c>
      <c r="BQ46" s="142">
        <v>0</v>
      </c>
      <c r="BR46" s="142">
        <v>0</v>
      </c>
      <c r="BS46" s="142">
        <v>0</v>
      </c>
      <c r="BT46" s="142">
        <v>0</v>
      </c>
      <c r="BU46" s="142">
        <v>0</v>
      </c>
      <c r="BV46" s="142">
        <v>0</v>
      </c>
      <c r="BW46" s="142">
        <v>0</v>
      </c>
      <c r="BX46" s="142">
        <v>0</v>
      </c>
      <c r="BY46" s="142">
        <v>0</v>
      </c>
      <c r="BZ46" s="142">
        <v>0</v>
      </c>
      <c r="CA46" s="142">
        <v>0</v>
      </c>
      <c r="CB46" s="142">
        <v>0</v>
      </c>
      <c r="CC46" s="142">
        <v>0</v>
      </c>
      <c r="CD46" s="142">
        <v>0</v>
      </c>
      <c r="CE46" s="142">
        <v>0</v>
      </c>
      <c r="CF46" s="142">
        <v>0</v>
      </c>
      <c r="CG46" s="142">
        <v>0</v>
      </c>
    </row>
    <row r="47" spans="1:85" x14ac:dyDescent="0.15">
      <c r="A47" s="177" t="s">
        <v>237</v>
      </c>
      <c r="B47" s="142">
        <v>0</v>
      </c>
      <c r="C47" s="142">
        <v>0</v>
      </c>
      <c r="D47" s="142">
        <v>0</v>
      </c>
      <c r="E47" s="142">
        <v>0</v>
      </c>
      <c r="F47" s="142">
        <v>0</v>
      </c>
      <c r="G47" s="142">
        <v>0</v>
      </c>
      <c r="H47" s="142">
        <v>0</v>
      </c>
      <c r="I47" s="142">
        <v>0</v>
      </c>
      <c r="J47" s="142">
        <v>0</v>
      </c>
      <c r="K47" s="142">
        <v>0</v>
      </c>
      <c r="L47" s="142">
        <v>0</v>
      </c>
      <c r="M47" s="142">
        <v>0</v>
      </c>
      <c r="N47" s="142">
        <v>0</v>
      </c>
      <c r="O47" s="142">
        <v>0</v>
      </c>
      <c r="P47" s="142">
        <v>0</v>
      </c>
      <c r="Q47" s="142">
        <v>0</v>
      </c>
      <c r="R47" s="142">
        <v>0</v>
      </c>
      <c r="S47" s="142">
        <v>0</v>
      </c>
      <c r="T47" s="142">
        <v>0</v>
      </c>
      <c r="U47" s="142">
        <v>0</v>
      </c>
      <c r="V47" s="142">
        <v>0</v>
      </c>
      <c r="W47" s="142">
        <v>0</v>
      </c>
      <c r="X47" s="142">
        <v>0</v>
      </c>
      <c r="Y47" s="142">
        <v>0</v>
      </c>
      <c r="Z47" s="142">
        <v>0</v>
      </c>
      <c r="AA47" s="142">
        <v>0</v>
      </c>
      <c r="AB47" s="142">
        <v>0</v>
      </c>
      <c r="AC47" s="142">
        <v>0</v>
      </c>
      <c r="AD47" s="142">
        <v>0</v>
      </c>
      <c r="AE47" s="142">
        <v>0</v>
      </c>
      <c r="AF47" s="142">
        <v>0</v>
      </c>
      <c r="AG47" s="142">
        <v>0</v>
      </c>
      <c r="AH47" s="142">
        <v>0</v>
      </c>
      <c r="AI47" s="142">
        <v>0</v>
      </c>
      <c r="AJ47" s="142">
        <v>0</v>
      </c>
      <c r="AK47" s="142">
        <v>0</v>
      </c>
      <c r="AL47" s="142">
        <v>0</v>
      </c>
      <c r="AM47" s="142">
        <v>0</v>
      </c>
      <c r="AN47" s="142">
        <v>1.4998500149985002E-2</v>
      </c>
      <c r="AO47" s="142">
        <v>0</v>
      </c>
      <c r="AP47" s="142">
        <v>1.1997000749812546E-4</v>
      </c>
      <c r="AQ47" s="142">
        <v>0</v>
      </c>
      <c r="AR47" s="142">
        <v>0</v>
      </c>
      <c r="AS47" s="142">
        <v>0</v>
      </c>
      <c r="AT47" s="142">
        <v>0</v>
      </c>
      <c r="AU47" s="142">
        <v>0</v>
      </c>
      <c r="AV47" s="142">
        <v>0</v>
      </c>
      <c r="AW47" s="142">
        <v>0</v>
      </c>
      <c r="AX47" s="142">
        <v>0</v>
      </c>
      <c r="AY47" s="142">
        <v>0</v>
      </c>
      <c r="AZ47" s="142">
        <v>0</v>
      </c>
      <c r="BA47" s="142">
        <v>0</v>
      </c>
      <c r="BB47" s="142">
        <v>0</v>
      </c>
      <c r="BC47" s="142">
        <v>0</v>
      </c>
      <c r="BD47" s="142">
        <v>0</v>
      </c>
      <c r="BE47" s="142">
        <v>0</v>
      </c>
      <c r="BF47" s="142">
        <v>0</v>
      </c>
      <c r="BG47" s="142">
        <v>0</v>
      </c>
      <c r="BH47" s="142">
        <v>0</v>
      </c>
      <c r="BI47" s="142">
        <v>0</v>
      </c>
      <c r="BJ47" s="142">
        <v>0</v>
      </c>
      <c r="BK47" s="142">
        <v>0</v>
      </c>
      <c r="BL47" s="142">
        <v>0</v>
      </c>
      <c r="BM47" s="142">
        <v>0</v>
      </c>
      <c r="BN47" s="142">
        <v>0</v>
      </c>
      <c r="BO47" s="142">
        <v>0</v>
      </c>
      <c r="BP47" s="142">
        <v>0</v>
      </c>
      <c r="BQ47" s="142">
        <v>0</v>
      </c>
      <c r="BR47" s="142">
        <v>0</v>
      </c>
      <c r="BS47" s="142">
        <v>0</v>
      </c>
      <c r="BT47" s="142">
        <v>0</v>
      </c>
      <c r="BU47" s="142">
        <v>0</v>
      </c>
      <c r="BV47" s="142">
        <v>0</v>
      </c>
      <c r="BW47" s="142">
        <v>0</v>
      </c>
      <c r="BX47" s="142">
        <v>0</v>
      </c>
      <c r="BY47" s="142">
        <v>0</v>
      </c>
      <c r="BZ47" s="142">
        <v>0</v>
      </c>
      <c r="CA47" s="142">
        <v>0</v>
      </c>
      <c r="CB47" s="142">
        <v>0</v>
      </c>
      <c r="CC47" s="142">
        <v>0</v>
      </c>
      <c r="CD47" s="142">
        <v>0</v>
      </c>
      <c r="CE47" s="142">
        <v>0</v>
      </c>
      <c r="CF47" s="142">
        <v>0</v>
      </c>
      <c r="CG47" s="142">
        <v>0</v>
      </c>
    </row>
    <row r="48" spans="1:85" x14ac:dyDescent="0.15">
      <c r="A48" s="177" t="s">
        <v>238</v>
      </c>
      <c r="B48" s="142">
        <v>1E-3</v>
      </c>
      <c r="C48" s="142">
        <v>0</v>
      </c>
      <c r="D48" s="142">
        <v>0</v>
      </c>
      <c r="E48" s="142">
        <v>0</v>
      </c>
      <c r="F48" s="142">
        <v>0</v>
      </c>
      <c r="G48" s="142">
        <v>0</v>
      </c>
      <c r="H48" s="142">
        <v>0</v>
      </c>
      <c r="I48" s="142">
        <v>0</v>
      </c>
      <c r="J48" s="142">
        <v>0</v>
      </c>
      <c r="K48" s="142">
        <v>1.1999494821268023E-4</v>
      </c>
      <c r="L48" s="142">
        <v>2.000515933059136E-3</v>
      </c>
      <c r="M48" s="142">
        <v>4.998688843916241E-3</v>
      </c>
      <c r="N48" s="142">
        <v>1.9005891826466201E-2</v>
      </c>
      <c r="O48" s="142">
        <v>4.0019077094050727E-3</v>
      </c>
      <c r="P48" s="142">
        <v>0</v>
      </c>
      <c r="Q48" s="142">
        <v>0</v>
      </c>
      <c r="R48" s="142">
        <v>0</v>
      </c>
      <c r="S48" s="142">
        <v>8.6984982912549961E-4</v>
      </c>
      <c r="T48" s="142">
        <v>7.9989129477304032E-3</v>
      </c>
      <c r="U48" s="142">
        <v>0</v>
      </c>
      <c r="V48" s="142">
        <v>2.4995400846244297E-4</v>
      </c>
      <c r="W48" s="142">
        <v>1.1000559488455583E-4</v>
      </c>
      <c r="X48" s="142">
        <v>4.001232779819462E-3</v>
      </c>
      <c r="Y48" s="142">
        <v>0</v>
      </c>
      <c r="Z48" s="142">
        <v>3.9990522646038114E-3</v>
      </c>
      <c r="AA48" s="142">
        <v>1.0002690723804704E-4</v>
      </c>
      <c r="AB48" s="142">
        <v>1.7007415709456965E-4</v>
      </c>
      <c r="AC48" s="142">
        <v>0</v>
      </c>
      <c r="AD48" s="142">
        <v>0</v>
      </c>
      <c r="AE48" s="142">
        <v>0</v>
      </c>
      <c r="AF48" s="142">
        <v>0</v>
      </c>
      <c r="AG48" s="142">
        <v>0</v>
      </c>
      <c r="AH48" s="142">
        <v>0</v>
      </c>
      <c r="AI48" s="142">
        <v>5.999820005399838E-3</v>
      </c>
      <c r="AJ48" s="142">
        <v>8.0005440369945151E-3</v>
      </c>
      <c r="AK48" s="142">
        <v>0</v>
      </c>
      <c r="AL48" s="142">
        <v>0</v>
      </c>
      <c r="AM48" s="142">
        <v>0</v>
      </c>
      <c r="AN48" s="142">
        <v>0</v>
      </c>
      <c r="AO48" s="142">
        <v>0</v>
      </c>
      <c r="AP48" s="142">
        <v>9.9975006248437877E-4</v>
      </c>
      <c r="AQ48" s="142">
        <v>0</v>
      </c>
      <c r="AR48" s="142">
        <v>0</v>
      </c>
      <c r="AS48" s="142">
        <v>0</v>
      </c>
      <c r="AT48" s="142">
        <v>0</v>
      </c>
      <c r="AU48" s="142">
        <v>0</v>
      </c>
      <c r="AV48" s="142">
        <v>0</v>
      </c>
      <c r="AW48" s="142">
        <v>0</v>
      </c>
      <c r="AX48" s="142">
        <v>0</v>
      </c>
      <c r="AY48" s="142">
        <v>0</v>
      </c>
      <c r="AZ48" s="142">
        <v>0</v>
      </c>
      <c r="BA48" s="142">
        <v>0</v>
      </c>
      <c r="BB48" s="142">
        <v>0</v>
      </c>
      <c r="BC48" s="142">
        <v>0</v>
      </c>
      <c r="BD48" s="142">
        <v>0</v>
      </c>
      <c r="BE48" s="142">
        <v>0</v>
      </c>
      <c r="BF48" s="142">
        <v>0</v>
      </c>
      <c r="BG48" s="142">
        <v>0</v>
      </c>
      <c r="BH48" s="142">
        <v>0</v>
      </c>
      <c r="BI48" s="142">
        <v>0</v>
      </c>
      <c r="BJ48" s="142">
        <v>0</v>
      </c>
      <c r="BK48" s="142">
        <v>0</v>
      </c>
      <c r="BL48" s="142">
        <v>0</v>
      </c>
      <c r="BM48" s="142">
        <v>0</v>
      </c>
      <c r="BN48" s="142">
        <v>0</v>
      </c>
      <c r="BO48" s="142">
        <v>0</v>
      </c>
      <c r="BP48" s="142">
        <v>0</v>
      </c>
      <c r="BQ48" s="142">
        <v>0</v>
      </c>
      <c r="BR48" s="142">
        <v>0</v>
      </c>
      <c r="BS48" s="142">
        <v>0</v>
      </c>
      <c r="BT48" s="142">
        <v>0</v>
      </c>
      <c r="BU48" s="142">
        <v>0</v>
      </c>
      <c r="BV48" s="142">
        <v>0</v>
      </c>
      <c r="BW48" s="142">
        <v>0</v>
      </c>
      <c r="BX48" s="142">
        <v>0</v>
      </c>
      <c r="BY48" s="142">
        <v>0</v>
      </c>
      <c r="BZ48" s="142">
        <v>0</v>
      </c>
      <c r="CA48" s="142">
        <v>0</v>
      </c>
      <c r="CB48" s="142">
        <v>0</v>
      </c>
      <c r="CC48" s="142">
        <v>0</v>
      </c>
      <c r="CD48" s="142">
        <v>0</v>
      </c>
      <c r="CE48" s="142">
        <v>0</v>
      </c>
      <c r="CF48" s="142">
        <v>0</v>
      </c>
      <c r="CG48" s="142">
        <v>0</v>
      </c>
    </row>
    <row r="49" spans="1:85" x14ac:dyDescent="0.15">
      <c r="A49" s="177" t="s">
        <v>239</v>
      </c>
      <c r="B49" s="142">
        <v>0</v>
      </c>
      <c r="C49" s="142">
        <v>0</v>
      </c>
      <c r="D49" s="142">
        <v>0</v>
      </c>
      <c r="E49" s="142">
        <v>0</v>
      </c>
      <c r="F49" s="142">
        <v>0</v>
      </c>
      <c r="G49" s="142">
        <v>0</v>
      </c>
      <c r="H49" s="142">
        <v>0</v>
      </c>
      <c r="I49" s="142">
        <v>0</v>
      </c>
      <c r="J49" s="142">
        <v>0</v>
      </c>
      <c r="K49" s="142">
        <v>5.4997684597478445E-4</v>
      </c>
      <c r="L49" s="142">
        <v>3.0007738995887043E-3</v>
      </c>
      <c r="M49" s="142">
        <v>3.0991870832280694E-4</v>
      </c>
      <c r="N49" s="142">
        <v>5.0015504806490011E-3</v>
      </c>
      <c r="O49" s="142">
        <v>1.1005246200863949E-2</v>
      </c>
      <c r="P49" s="142">
        <v>0</v>
      </c>
      <c r="Q49" s="142">
        <v>0</v>
      </c>
      <c r="R49" s="142">
        <v>0</v>
      </c>
      <c r="S49" s="142">
        <v>1.1997928677593099E-4</v>
      </c>
      <c r="T49" s="142">
        <v>2.999592355398901E-3</v>
      </c>
      <c r="U49" s="142">
        <v>0</v>
      </c>
      <c r="V49" s="142">
        <v>8.8983627012629695E-5</v>
      </c>
      <c r="W49" s="142">
        <v>1.700086466397681E-4</v>
      </c>
      <c r="X49" s="142">
        <v>2.000616389909731E-3</v>
      </c>
      <c r="Y49" s="142">
        <v>2.2003872681591958E-4</v>
      </c>
      <c r="Z49" s="142">
        <v>3.4991707315283345E-4</v>
      </c>
      <c r="AA49" s="142">
        <v>1.0002690723804704E-3</v>
      </c>
      <c r="AB49" s="142">
        <v>5.802530065579434E-4</v>
      </c>
      <c r="AC49" s="142">
        <v>0</v>
      </c>
      <c r="AD49" s="142">
        <v>0</v>
      </c>
      <c r="AE49" s="142">
        <v>6.4008545140776304E-4</v>
      </c>
      <c r="AF49" s="142">
        <v>3.2015239253884852E-2</v>
      </c>
      <c r="AG49" s="142">
        <v>0</v>
      </c>
      <c r="AH49" s="142">
        <v>0</v>
      </c>
      <c r="AI49" s="142">
        <v>2.9999100026999188E-2</v>
      </c>
      <c r="AJ49" s="142">
        <v>8.0005440369945151E-3</v>
      </c>
      <c r="AK49" s="142">
        <v>0</v>
      </c>
      <c r="AL49" s="142">
        <v>1.3003901170351106E-2</v>
      </c>
      <c r="AM49" s="142">
        <v>0</v>
      </c>
      <c r="AN49" s="142">
        <v>1.1998800119988001E-2</v>
      </c>
      <c r="AO49" s="142">
        <v>0</v>
      </c>
      <c r="AP49" s="142">
        <v>2.3994001499625092E-2</v>
      </c>
      <c r="AQ49" s="142">
        <v>0</v>
      </c>
      <c r="AR49" s="142">
        <v>0</v>
      </c>
      <c r="AS49" s="142">
        <v>0</v>
      </c>
      <c r="AT49" s="142">
        <v>0</v>
      </c>
      <c r="AU49" s="142">
        <v>0</v>
      </c>
      <c r="AV49" s="142">
        <v>0</v>
      </c>
      <c r="AW49" s="142">
        <v>0</v>
      </c>
      <c r="AX49" s="142">
        <v>0</v>
      </c>
      <c r="AY49" s="142">
        <v>0</v>
      </c>
      <c r="AZ49" s="142">
        <v>0</v>
      </c>
      <c r="BA49" s="142">
        <v>3.0000000000000001E-3</v>
      </c>
      <c r="BB49" s="142">
        <v>2.9988004798080776E-3</v>
      </c>
      <c r="BC49" s="142">
        <v>0</v>
      </c>
      <c r="BD49" s="142">
        <v>2.9994301082794271E-3</v>
      </c>
      <c r="BE49" s="142">
        <v>0</v>
      </c>
      <c r="BF49" s="142">
        <v>0</v>
      </c>
      <c r="BG49" s="142">
        <v>0</v>
      </c>
      <c r="BH49" s="142">
        <v>0</v>
      </c>
      <c r="BI49" s="142">
        <v>0</v>
      </c>
      <c r="BJ49" s="142">
        <v>0</v>
      </c>
      <c r="BK49" s="142">
        <v>0</v>
      </c>
      <c r="BL49" s="142">
        <v>0</v>
      </c>
      <c r="BM49" s="142">
        <v>0</v>
      </c>
      <c r="BN49" s="142">
        <v>0</v>
      </c>
      <c r="BO49" s="142">
        <v>0</v>
      </c>
      <c r="BP49" s="142">
        <v>0</v>
      </c>
      <c r="BQ49" s="142">
        <v>0</v>
      </c>
      <c r="BR49" s="142">
        <v>0</v>
      </c>
      <c r="BS49" s="142">
        <v>0</v>
      </c>
      <c r="BT49" s="142">
        <v>0</v>
      </c>
      <c r="BU49" s="142">
        <v>0</v>
      </c>
      <c r="BV49" s="142">
        <v>0</v>
      </c>
      <c r="BW49" s="142">
        <v>0</v>
      </c>
      <c r="BX49" s="142">
        <v>0</v>
      </c>
      <c r="BY49" s="142">
        <v>0</v>
      </c>
      <c r="BZ49" s="142">
        <v>0</v>
      </c>
      <c r="CA49" s="142">
        <v>0</v>
      </c>
      <c r="CB49" s="142">
        <v>0</v>
      </c>
      <c r="CC49" s="142">
        <v>0</v>
      </c>
      <c r="CD49" s="142">
        <v>0</v>
      </c>
      <c r="CE49" s="142">
        <v>0</v>
      </c>
      <c r="CF49" s="142">
        <v>0</v>
      </c>
      <c r="CG49" s="142">
        <v>0</v>
      </c>
    </row>
    <row r="50" spans="1:85" x14ac:dyDescent="0.15">
      <c r="A50" s="177" t="s">
        <v>240</v>
      </c>
      <c r="B50" s="142">
        <v>0</v>
      </c>
      <c r="C50" s="142">
        <v>0</v>
      </c>
      <c r="D50" s="142">
        <v>8.9999999999999993E-3</v>
      </c>
      <c r="E50" s="142">
        <v>0</v>
      </c>
      <c r="F50" s="142">
        <v>0</v>
      </c>
      <c r="G50" s="142">
        <v>0</v>
      </c>
      <c r="H50" s="142">
        <v>0</v>
      </c>
      <c r="I50" s="142">
        <v>0</v>
      </c>
      <c r="J50" s="142">
        <v>0</v>
      </c>
      <c r="K50" s="142">
        <v>5.0997852990389102E-6</v>
      </c>
      <c r="L50" s="142">
        <v>2.0005159330591362E-4</v>
      </c>
      <c r="M50" s="142">
        <v>2.5993181988364452E-5</v>
      </c>
      <c r="N50" s="142">
        <v>1.0003100961298002E-3</v>
      </c>
      <c r="O50" s="142">
        <v>7.5035769551345108E-4</v>
      </c>
      <c r="P50" s="142">
        <v>0</v>
      </c>
      <c r="Q50" s="142">
        <v>0</v>
      </c>
      <c r="R50" s="142">
        <v>0</v>
      </c>
      <c r="S50" s="142">
        <v>0</v>
      </c>
      <c r="T50" s="142">
        <v>2.999592355398901E-3</v>
      </c>
      <c r="U50" s="142">
        <v>1.2004615654673065E-2</v>
      </c>
      <c r="V50" s="142">
        <v>1.0997976372347491E-2</v>
      </c>
      <c r="W50" s="142">
        <v>1.9000966389150553E-2</v>
      </c>
      <c r="X50" s="142">
        <v>2.000616389909731E-3</v>
      </c>
      <c r="Y50" s="142">
        <v>1.8003168557666146E-2</v>
      </c>
      <c r="Z50" s="142">
        <v>8.5979623688981932E-2</v>
      </c>
      <c r="AA50" s="142">
        <v>1.0002690723804704E-2</v>
      </c>
      <c r="AB50" s="142">
        <v>7.3031843928844598E-2</v>
      </c>
      <c r="AC50" s="142">
        <v>1.7006411417104253E-2</v>
      </c>
      <c r="AD50" s="142">
        <v>9.9973107234154032E-4</v>
      </c>
      <c r="AE50" s="142">
        <v>6.0008011069477779E-3</v>
      </c>
      <c r="AF50" s="142">
        <v>8.0038098134712129E-3</v>
      </c>
      <c r="AG50" s="142">
        <v>0</v>
      </c>
      <c r="AH50" s="142">
        <v>0</v>
      </c>
      <c r="AI50" s="142">
        <v>0</v>
      </c>
      <c r="AJ50" s="142">
        <v>6.1004148282083177E-2</v>
      </c>
      <c r="AK50" s="142">
        <v>0</v>
      </c>
      <c r="AL50" s="142">
        <v>2.0006001800540164E-2</v>
      </c>
      <c r="AM50" s="142">
        <v>0</v>
      </c>
      <c r="AN50" s="142">
        <v>1.1998800119988001E-2</v>
      </c>
      <c r="AO50" s="142">
        <v>0</v>
      </c>
      <c r="AP50" s="142">
        <v>1.1997000749812546E-2</v>
      </c>
      <c r="AQ50" s="142">
        <v>0</v>
      </c>
      <c r="AR50" s="142">
        <v>0</v>
      </c>
      <c r="AS50" s="142">
        <v>0</v>
      </c>
      <c r="AT50" s="142">
        <v>0</v>
      </c>
      <c r="AU50" s="142">
        <v>0</v>
      </c>
      <c r="AV50" s="142">
        <v>0</v>
      </c>
      <c r="AW50" s="142">
        <v>0</v>
      </c>
      <c r="AX50" s="142">
        <v>0</v>
      </c>
      <c r="AY50" s="142">
        <v>0</v>
      </c>
      <c r="AZ50" s="142">
        <v>0</v>
      </c>
      <c r="BA50" s="142">
        <v>3.0000000000000001E-3</v>
      </c>
      <c r="BB50" s="142">
        <v>2.9988004798080776E-3</v>
      </c>
      <c r="BC50" s="142">
        <v>0</v>
      </c>
      <c r="BD50" s="142">
        <v>2.9994301082794271E-3</v>
      </c>
      <c r="BE50" s="142">
        <v>0</v>
      </c>
      <c r="BF50" s="142">
        <v>0</v>
      </c>
      <c r="BG50" s="142">
        <v>0</v>
      </c>
      <c r="BH50" s="142">
        <v>0</v>
      </c>
      <c r="BI50" s="142">
        <v>0</v>
      </c>
      <c r="BJ50" s="142">
        <v>0</v>
      </c>
      <c r="BK50" s="142">
        <v>0</v>
      </c>
      <c r="BL50" s="142">
        <v>0</v>
      </c>
      <c r="BM50" s="142">
        <v>0</v>
      </c>
      <c r="BN50" s="142">
        <v>0</v>
      </c>
      <c r="BO50" s="142">
        <v>0</v>
      </c>
      <c r="BP50" s="142">
        <v>0</v>
      </c>
      <c r="BQ50" s="142">
        <v>0</v>
      </c>
      <c r="BR50" s="142">
        <v>0</v>
      </c>
      <c r="BS50" s="142">
        <v>0</v>
      </c>
      <c r="BT50" s="142">
        <v>0</v>
      </c>
      <c r="BU50" s="142">
        <v>0</v>
      </c>
      <c r="BV50" s="142">
        <v>0</v>
      </c>
      <c r="BW50" s="142">
        <v>0</v>
      </c>
      <c r="BX50" s="142">
        <v>0</v>
      </c>
      <c r="BY50" s="142">
        <v>0</v>
      </c>
      <c r="BZ50" s="142">
        <v>0</v>
      </c>
      <c r="CA50" s="142">
        <v>0</v>
      </c>
      <c r="CB50" s="142">
        <v>0</v>
      </c>
      <c r="CC50" s="142">
        <v>0</v>
      </c>
      <c r="CD50" s="142">
        <v>0</v>
      </c>
      <c r="CE50" s="142">
        <v>0</v>
      </c>
      <c r="CF50" s="142">
        <v>0</v>
      </c>
      <c r="CG50" s="142">
        <v>0</v>
      </c>
    </row>
    <row r="51" spans="1:85" x14ac:dyDescent="0.15">
      <c r="A51" s="177" t="s">
        <v>241</v>
      </c>
      <c r="B51" s="142">
        <v>0</v>
      </c>
      <c r="C51" s="142">
        <v>0</v>
      </c>
      <c r="D51" s="142">
        <v>8.9999999999999993E-3</v>
      </c>
      <c r="E51" s="142">
        <v>0</v>
      </c>
      <c r="F51" s="142">
        <v>0</v>
      </c>
      <c r="G51" s="142">
        <v>0</v>
      </c>
      <c r="H51" s="142">
        <v>0</v>
      </c>
      <c r="I51" s="142">
        <v>0</v>
      </c>
      <c r="J51" s="142">
        <v>0</v>
      </c>
      <c r="K51" s="142">
        <v>5.9997474106340105E-4</v>
      </c>
      <c r="L51" s="142">
        <v>1.000257966529568E-3</v>
      </c>
      <c r="M51" s="142">
        <v>1.9994755375664966E-3</v>
      </c>
      <c r="N51" s="142">
        <v>2.0006201922596004E-3</v>
      </c>
      <c r="O51" s="142">
        <v>2.8013353965835507E-2</v>
      </c>
      <c r="P51" s="142">
        <v>4.3979373673747014E-4</v>
      </c>
      <c r="Q51" s="142">
        <v>0</v>
      </c>
      <c r="R51" s="142">
        <v>0</v>
      </c>
      <c r="S51" s="142">
        <v>5.9989643387965497E-3</v>
      </c>
      <c r="T51" s="142">
        <v>4.5993749449449818E-2</v>
      </c>
      <c r="U51" s="142">
        <v>6.0023078273365327E-3</v>
      </c>
      <c r="V51" s="142">
        <v>4.9990801692488592E-3</v>
      </c>
      <c r="W51" s="142">
        <v>1.1000559488455582E-2</v>
      </c>
      <c r="X51" s="142">
        <v>6.0018491697291926E-2</v>
      </c>
      <c r="Y51" s="142">
        <v>5.0008801549072633E-3</v>
      </c>
      <c r="Z51" s="142">
        <v>2.599383971992477E-2</v>
      </c>
      <c r="AA51" s="142">
        <v>1.9005112375228936E-2</v>
      </c>
      <c r="AB51" s="142">
        <v>2.8012214109693821E-2</v>
      </c>
      <c r="AC51" s="142">
        <v>1.1004148564008633E-2</v>
      </c>
      <c r="AD51" s="142">
        <v>5.9983864340492415E-3</v>
      </c>
      <c r="AE51" s="142">
        <v>5.0006675891231481E-3</v>
      </c>
      <c r="AF51" s="142">
        <v>0.40919477671371574</v>
      </c>
      <c r="AG51" s="142">
        <v>0</v>
      </c>
      <c r="AH51" s="142">
        <v>0</v>
      </c>
      <c r="AI51" s="142">
        <v>0.20499385018449445</v>
      </c>
      <c r="AJ51" s="142">
        <v>0.2220150970265978</v>
      </c>
      <c r="AK51" s="142">
        <v>6.3989173031923002E-2</v>
      </c>
      <c r="AL51" s="142">
        <v>1.100330099029709E-2</v>
      </c>
      <c r="AM51" s="142">
        <v>0</v>
      </c>
      <c r="AN51" s="142">
        <v>1.1998800119988001E-2</v>
      </c>
      <c r="AO51" s="142">
        <v>0</v>
      </c>
      <c r="AP51" s="142">
        <v>1.1997000749812546E-2</v>
      </c>
      <c r="AQ51" s="142">
        <v>0.13700000000000001</v>
      </c>
      <c r="AR51" s="142">
        <v>0.1</v>
      </c>
      <c r="AS51" s="142">
        <v>0</v>
      </c>
      <c r="AT51" s="142">
        <v>0</v>
      </c>
      <c r="AU51" s="142">
        <v>0</v>
      </c>
      <c r="AV51" s="142">
        <v>6.9999999999999999E-4</v>
      </c>
      <c r="AW51" s="142">
        <v>3.5017508754377181E-4</v>
      </c>
      <c r="AX51" s="142">
        <v>0</v>
      </c>
      <c r="AY51" s="142">
        <v>3.4987754285999899E-4</v>
      </c>
      <c r="AZ51" s="142">
        <v>0</v>
      </c>
      <c r="BA51" s="142">
        <v>3.0000000000000001E-3</v>
      </c>
      <c r="BB51" s="142">
        <v>2.9988004798080776E-3</v>
      </c>
      <c r="BC51" s="142">
        <v>0</v>
      </c>
      <c r="BD51" s="142">
        <v>2.9994301082794271E-3</v>
      </c>
      <c r="BE51" s="142">
        <v>0</v>
      </c>
      <c r="BF51" s="142">
        <v>0</v>
      </c>
      <c r="BG51" s="142">
        <v>0</v>
      </c>
      <c r="BH51" s="142">
        <v>0</v>
      </c>
      <c r="BI51" s="142">
        <v>0</v>
      </c>
      <c r="BJ51" s="142">
        <v>0</v>
      </c>
      <c r="BK51" s="142">
        <v>0</v>
      </c>
      <c r="BL51" s="142">
        <v>0</v>
      </c>
      <c r="BM51" s="142">
        <v>0</v>
      </c>
      <c r="BN51" s="142">
        <v>0</v>
      </c>
      <c r="BO51" s="142">
        <v>0</v>
      </c>
      <c r="BP51" s="142">
        <v>0</v>
      </c>
      <c r="BQ51" s="142">
        <v>0</v>
      </c>
      <c r="BR51" s="142">
        <v>0</v>
      </c>
      <c r="BS51" s="142">
        <v>0</v>
      </c>
      <c r="BT51" s="142">
        <v>0</v>
      </c>
      <c r="BU51" s="142">
        <v>0</v>
      </c>
      <c r="BV51" s="142">
        <v>0</v>
      </c>
      <c r="BW51" s="142">
        <v>0</v>
      </c>
      <c r="BX51" s="142">
        <v>0</v>
      </c>
      <c r="BY51" s="142">
        <v>0</v>
      </c>
      <c r="BZ51" s="142">
        <v>0</v>
      </c>
      <c r="CA51" s="142">
        <v>0</v>
      </c>
      <c r="CB51" s="142">
        <v>0</v>
      </c>
      <c r="CC51" s="142">
        <v>0</v>
      </c>
      <c r="CD51" s="142">
        <v>0</v>
      </c>
      <c r="CE51" s="142">
        <v>0</v>
      </c>
      <c r="CF51" s="142">
        <v>0</v>
      </c>
      <c r="CG51" s="142">
        <v>0</v>
      </c>
    </row>
    <row r="52" spans="1:85" x14ac:dyDescent="0.15">
      <c r="A52" s="177" t="s">
        <v>242</v>
      </c>
      <c r="B52" s="142">
        <v>0</v>
      </c>
      <c r="C52" s="142">
        <v>0</v>
      </c>
      <c r="D52" s="142">
        <v>4.1000000000000002E-2</v>
      </c>
      <c r="E52" s="142">
        <v>0</v>
      </c>
      <c r="F52" s="142">
        <v>0</v>
      </c>
      <c r="G52" s="142">
        <v>0</v>
      </c>
      <c r="H52" s="142">
        <v>0</v>
      </c>
      <c r="I52" s="142">
        <v>0</v>
      </c>
      <c r="J52" s="142">
        <v>0</v>
      </c>
      <c r="K52" s="142">
        <v>0</v>
      </c>
      <c r="L52" s="142">
        <v>0</v>
      </c>
      <c r="M52" s="142">
        <v>6.2983479433344639E-6</v>
      </c>
      <c r="N52" s="142">
        <v>0</v>
      </c>
      <c r="O52" s="142">
        <v>2.1010015474376629E-5</v>
      </c>
      <c r="P52" s="142">
        <v>0</v>
      </c>
      <c r="Q52" s="142">
        <v>0</v>
      </c>
      <c r="R52" s="142">
        <v>0</v>
      </c>
      <c r="S52" s="142">
        <v>1.1997928677593099E-5</v>
      </c>
      <c r="T52" s="142">
        <v>3.6994972383253112E-5</v>
      </c>
      <c r="U52" s="142">
        <v>0</v>
      </c>
      <c r="V52" s="142">
        <v>5.5989697895587225E-4</v>
      </c>
      <c r="W52" s="142">
        <v>5.4002746579691043E-5</v>
      </c>
      <c r="X52" s="142">
        <v>0</v>
      </c>
      <c r="Y52" s="142">
        <v>2.0003520619629052E-3</v>
      </c>
      <c r="Z52" s="142">
        <v>9.9976306615095285E-5</v>
      </c>
      <c r="AA52" s="142">
        <v>0</v>
      </c>
      <c r="AB52" s="142">
        <v>5.0021810910167541E-5</v>
      </c>
      <c r="AC52" s="142">
        <v>0</v>
      </c>
      <c r="AD52" s="142">
        <v>0</v>
      </c>
      <c r="AE52" s="142">
        <v>1.1001468696070926E-5</v>
      </c>
      <c r="AF52" s="142">
        <v>0</v>
      </c>
      <c r="AG52" s="142">
        <v>0</v>
      </c>
      <c r="AH52" s="142">
        <v>0</v>
      </c>
      <c r="AI52" s="142">
        <v>0</v>
      </c>
      <c r="AJ52" s="142">
        <v>1.0000680046243145E-4</v>
      </c>
      <c r="AK52" s="142">
        <v>0</v>
      </c>
      <c r="AL52" s="142">
        <v>0</v>
      </c>
      <c r="AM52" s="142">
        <v>0</v>
      </c>
      <c r="AN52" s="142">
        <v>9.9990000999900015E-5</v>
      </c>
      <c r="AO52" s="142">
        <v>0</v>
      </c>
      <c r="AP52" s="142">
        <v>9.9975006248437898E-6</v>
      </c>
      <c r="AQ52" s="142">
        <v>0</v>
      </c>
      <c r="AR52" s="142">
        <v>0</v>
      </c>
      <c r="AS52" s="142">
        <v>0</v>
      </c>
      <c r="AT52" s="142">
        <v>0</v>
      </c>
      <c r="AU52" s="142">
        <v>0</v>
      </c>
      <c r="AV52" s="142">
        <v>0</v>
      </c>
      <c r="AW52" s="142">
        <v>0</v>
      </c>
      <c r="AX52" s="142">
        <v>0</v>
      </c>
      <c r="AY52" s="142">
        <v>0</v>
      </c>
      <c r="AZ52" s="142">
        <v>0</v>
      </c>
      <c r="BA52" s="142">
        <v>0</v>
      </c>
      <c r="BB52" s="142">
        <v>0</v>
      </c>
      <c r="BC52" s="142">
        <v>0</v>
      </c>
      <c r="BD52" s="142">
        <v>0</v>
      </c>
      <c r="BE52" s="142">
        <v>0</v>
      </c>
      <c r="BF52" s="142">
        <v>0</v>
      </c>
      <c r="BG52" s="142">
        <v>0</v>
      </c>
      <c r="BH52" s="142">
        <v>0</v>
      </c>
      <c r="BI52" s="142">
        <v>0</v>
      </c>
      <c r="BJ52" s="142">
        <v>0</v>
      </c>
      <c r="BK52" s="142">
        <v>0</v>
      </c>
      <c r="BL52" s="142">
        <v>0</v>
      </c>
      <c r="BM52" s="142">
        <v>0</v>
      </c>
      <c r="BN52" s="142">
        <v>0</v>
      </c>
      <c r="BO52" s="142">
        <v>0</v>
      </c>
      <c r="BP52" s="142">
        <v>0</v>
      </c>
      <c r="BQ52" s="142">
        <v>0</v>
      </c>
      <c r="BR52" s="142">
        <v>0</v>
      </c>
      <c r="BS52" s="142">
        <v>0</v>
      </c>
      <c r="BT52" s="142">
        <v>0</v>
      </c>
      <c r="BU52" s="142">
        <v>0</v>
      </c>
      <c r="BV52" s="142">
        <v>0</v>
      </c>
      <c r="BW52" s="142">
        <v>0</v>
      </c>
      <c r="BX52" s="142">
        <v>0</v>
      </c>
      <c r="BY52" s="142">
        <v>0</v>
      </c>
      <c r="BZ52" s="142">
        <v>0</v>
      </c>
      <c r="CA52" s="142">
        <v>0</v>
      </c>
      <c r="CB52" s="142">
        <v>0</v>
      </c>
      <c r="CC52" s="142">
        <v>0</v>
      </c>
      <c r="CD52" s="142">
        <v>0</v>
      </c>
      <c r="CE52" s="142">
        <v>0</v>
      </c>
      <c r="CF52" s="142">
        <v>0</v>
      </c>
      <c r="CG52" s="142">
        <v>0</v>
      </c>
    </row>
    <row r="53" spans="1:85" x14ac:dyDescent="0.15">
      <c r="A53" s="177" t="s">
        <v>243</v>
      </c>
      <c r="B53" s="142">
        <v>1E-3</v>
      </c>
      <c r="C53" s="142">
        <v>0</v>
      </c>
      <c r="D53" s="142">
        <v>8.9999999999999993E-3</v>
      </c>
      <c r="E53" s="142">
        <v>0</v>
      </c>
      <c r="F53" s="142">
        <v>0</v>
      </c>
      <c r="G53" s="142">
        <v>0</v>
      </c>
      <c r="H53" s="142">
        <v>0</v>
      </c>
      <c r="I53" s="142">
        <v>0</v>
      </c>
      <c r="J53" s="142">
        <v>0</v>
      </c>
      <c r="K53" s="142">
        <v>0</v>
      </c>
      <c r="L53" s="142">
        <v>0</v>
      </c>
      <c r="M53" s="142">
        <v>0</v>
      </c>
      <c r="N53" s="142">
        <v>0</v>
      </c>
      <c r="O53" s="142">
        <v>0</v>
      </c>
      <c r="P53" s="142">
        <v>0</v>
      </c>
      <c r="Q53" s="142">
        <v>0</v>
      </c>
      <c r="R53" s="142">
        <v>0</v>
      </c>
      <c r="S53" s="142">
        <v>0</v>
      </c>
      <c r="T53" s="142">
        <v>0</v>
      </c>
      <c r="U53" s="142">
        <v>0</v>
      </c>
      <c r="V53" s="142">
        <v>0</v>
      </c>
      <c r="W53" s="142">
        <v>0</v>
      </c>
      <c r="X53" s="142">
        <v>0</v>
      </c>
      <c r="Y53" s="142">
        <v>0</v>
      </c>
      <c r="Z53" s="142">
        <v>0</v>
      </c>
      <c r="AA53" s="142">
        <v>0</v>
      </c>
      <c r="AB53" s="142">
        <v>0</v>
      </c>
      <c r="AC53" s="142">
        <v>0</v>
      </c>
      <c r="AD53" s="142">
        <v>0</v>
      </c>
      <c r="AE53" s="142">
        <v>0</v>
      </c>
      <c r="AF53" s="142">
        <v>0</v>
      </c>
      <c r="AG53" s="142">
        <v>0</v>
      </c>
      <c r="AH53" s="142">
        <v>0</v>
      </c>
      <c r="AI53" s="142">
        <v>0</v>
      </c>
      <c r="AJ53" s="142">
        <v>0</v>
      </c>
      <c r="AK53" s="142">
        <v>0</v>
      </c>
      <c r="AL53" s="142">
        <v>0</v>
      </c>
      <c r="AM53" s="142">
        <v>0</v>
      </c>
      <c r="AN53" s="142">
        <v>4.6995300469953004E-2</v>
      </c>
      <c r="AO53" s="142">
        <v>0</v>
      </c>
      <c r="AP53" s="142">
        <v>3.4991252186953259E-2</v>
      </c>
      <c r="AQ53" s="142">
        <v>0</v>
      </c>
      <c r="AR53" s="142">
        <v>0</v>
      </c>
      <c r="AS53" s="142">
        <v>0</v>
      </c>
      <c r="AT53" s="142">
        <v>0</v>
      </c>
      <c r="AU53" s="142">
        <v>0</v>
      </c>
      <c r="AV53" s="142">
        <v>0</v>
      </c>
      <c r="AW53" s="142">
        <v>0</v>
      </c>
      <c r="AX53" s="142">
        <v>0</v>
      </c>
      <c r="AY53" s="142">
        <v>0</v>
      </c>
      <c r="AZ53" s="142">
        <v>0</v>
      </c>
      <c r="BA53" s="142">
        <v>2E-3</v>
      </c>
      <c r="BB53" s="142">
        <v>1.9992003198720516E-3</v>
      </c>
      <c r="BC53" s="142">
        <v>0</v>
      </c>
      <c r="BD53" s="142">
        <v>1.9996200721862849E-3</v>
      </c>
      <c r="BE53" s="142">
        <v>0</v>
      </c>
      <c r="BF53" s="142">
        <v>0</v>
      </c>
      <c r="BG53" s="142">
        <v>0</v>
      </c>
      <c r="BH53" s="142">
        <v>0</v>
      </c>
      <c r="BI53" s="142">
        <v>0</v>
      </c>
      <c r="BJ53" s="142">
        <v>0</v>
      </c>
      <c r="BK53" s="142">
        <v>0</v>
      </c>
      <c r="BL53" s="142">
        <v>0</v>
      </c>
      <c r="BM53" s="142">
        <v>0</v>
      </c>
      <c r="BN53" s="142">
        <v>0</v>
      </c>
      <c r="BO53" s="142">
        <v>0</v>
      </c>
      <c r="BP53" s="142">
        <v>0</v>
      </c>
      <c r="BQ53" s="142">
        <v>0</v>
      </c>
      <c r="BR53" s="142">
        <v>0</v>
      </c>
      <c r="BS53" s="142">
        <v>0</v>
      </c>
      <c r="BT53" s="142">
        <v>0</v>
      </c>
      <c r="BU53" s="142">
        <v>0</v>
      </c>
      <c r="BV53" s="142">
        <v>0</v>
      </c>
      <c r="BW53" s="142">
        <v>0</v>
      </c>
      <c r="BX53" s="142">
        <v>0</v>
      </c>
      <c r="BY53" s="142">
        <v>0</v>
      </c>
      <c r="BZ53" s="142">
        <v>0</v>
      </c>
      <c r="CA53" s="142">
        <v>0</v>
      </c>
      <c r="CB53" s="142">
        <v>0</v>
      </c>
      <c r="CC53" s="142">
        <v>0</v>
      </c>
      <c r="CD53" s="142">
        <v>0</v>
      </c>
      <c r="CE53" s="142">
        <v>0</v>
      </c>
      <c r="CF53" s="142">
        <v>0</v>
      </c>
      <c r="CG53" s="142">
        <v>0</v>
      </c>
    </row>
    <row r="54" spans="1:85" x14ac:dyDescent="0.15">
      <c r="A54" s="177" t="s">
        <v>244</v>
      </c>
      <c r="B54" s="142">
        <v>1E-3</v>
      </c>
      <c r="C54" s="142">
        <v>0</v>
      </c>
      <c r="D54" s="142">
        <v>8.9999999999999993E-3</v>
      </c>
      <c r="E54" s="142">
        <v>0</v>
      </c>
      <c r="F54" s="142">
        <v>0</v>
      </c>
      <c r="G54" s="142">
        <v>0</v>
      </c>
      <c r="H54" s="142">
        <v>0</v>
      </c>
      <c r="I54" s="142">
        <v>0</v>
      </c>
      <c r="J54" s="142">
        <v>0</v>
      </c>
      <c r="K54" s="142">
        <v>0</v>
      </c>
      <c r="L54" s="142">
        <v>0</v>
      </c>
      <c r="M54" s="142">
        <v>0</v>
      </c>
      <c r="N54" s="142">
        <v>0</v>
      </c>
      <c r="O54" s="142">
        <v>0</v>
      </c>
      <c r="P54" s="142">
        <v>0</v>
      </c>
      <c r="Q54" s="142">
        <v>0</v>
      </c>
      <c r="R54" s="142">
        <v>0</v>
      </c>
      <c r="S54" s="142">
        <v>0</v>
      </c>
      <c r="T54" s="142">
        <v>0</v>
      </c>
      <c r="U54" s="142">
        <v>0</v>
      </c>
      <c r="V54" s="142">
        <v>0</v>
      </c>
      <c r="W54" s="142">
        <v>0</v>
      </c>
      <c r="X54" s="142">
        <v>0</v>
      </c>
      <c r="Y54" s="142">
        <v>0</v>
      </c>
      <c r="Z54" s="142">
        <v>0</v>
      </c>
      <c r="AA54" s="142">
        <v>0</v>
      </c>
      <c r="AB54" s="142">
        <v>0</v>
      </c>
      <c r="AC54" s="142">
        <v>0</v>
      </c>
      <c r="AD54" s="142">
        <v>0</v>
      </c>
      <c r="AE54" s="142">
        <v>0</v>
      </c>
      <c r="AF54" s="142">
        <v>0</v>
      </c>
      <c r="AG54" s="142">
        <v>0</v>
      </c>
      <c r="AH54" s="142">
        <v>0</v>
      </c>
      <c r="AI54" s="142">
        <v>0</v>
      </c>
      <c r="AJ54" s="142">
        <v>0</v>
      </c>
      <c r="AK54" s="142">
        <v>0</v>
      </c>
      <c r="AL54" s="142">
        <v>0</v>
      </c>
      <c r="AM54" s="142">
        <v>0</v>
      </c>
      <c r="AN54" s="142">
        <v>4.6995300469953004E-2</v>
      </c>
      <c r="AO54" s="142">
        <v>0</v>
      </c>
      <c r="AP54" s="142">
        <v>2.3994001499625092E-2</v>
      </c>
      <c r="AQ54" s="142">
        <v>0</v>
      </c>
      <c r="AR54" s="142">
        <v>0</v>
      </c>
      <c r="AS54" s="142">
        <v>0</v>
      </c>
      <c r="AT54" s="142">
        <v>0</v>
      </c>
      <c r="AU54" s="142">
        <v>0</v>
      </c>
      <c r="AV54" s="142">
        <v>0</v>
      </c>
      <c r="AW54" s="142">
        <v>0</v>
      </c>
      <c r="AX54" s="142">
        <v>0</v>
      </c>
      <c r="AY54" s="142">
        <v>0</v>
      </c>
      <c r="AZ54" s="142">
        <v>5.000000000000001E-2</v>
      </c>
      <c r="BA54" s="142">
        <v>2E-3</v>
      </c>
      <c r="BB54" s="142">
        <v>1.9992003198720516E-3</v>
      </c>
      <c r="BC54" s="142">
        <v>0</v>
      </c>
      <c r="BD54" s="142">
        <v>1.9996200721862849E-3</v>
      </c>
      <c r="BE54" s="142">
        <v>0</v>
      </c>
      <c r="BF54" s="142">
        <v>0</v>
      </c>
      <c r="BG54" s="142">
        <v>0</v>
      </c>
      <c r="BH54" s="142">
        <v>0</v>
      </c>
      <c r="BI54" s="142">
        <v>0</v>
      </c>
      <c r="BJ54" s="142">
        <v>0</v>
      </c>
      <c r="BK54" s="142">
        <v>0</v>
      </c>
      <c r="BL54" s="142">
        <v>0</v>
      </c>
      <c r="BM54" s="142">
        <v>0</v>
      </c>
      <c r="BN54" s="142">
        <v>0</v>
      </c>
      <c r="BO54" s="142">
        <v>0</v>
      </c>
      <c r="BP54" s="142">
        <v>0</v>
      </c>
      <c r="BQ54" s="142">
        <v>0</v>
      </c>
      <c r="BR54" s="142">
        <v>0</v>
      </c>
      <c r="BS54" s="142">
        <v>0</v>
      </c>
      <c r="BT54" s="142">
        <v>0</v>
      </c>
      <c r="BU54" s="142">
        <v>0</v>
      </c>
      <c r="BV54" s="142">
        <v>0</v>
      </c>
      <c r="BW54" s="142">
        <v>0</v>
      </c>
      <c r="BX54" s="142">
        <v>0</v>
      </c>
      <c r="BY54" s="142">
        <v>0</v>
      </c>
      <c r="BZ54" s="142">
        <v>0</v>
      </c>
      <c r="CA54" s="142">
        <v>0</v>
      </c>
      <c r="CB54" s="142">
        <v>0</v>
      </c>
      <c r="CC54" s="142">
        <v>0</v>
      </c>
      <c r="CD54" s="142">
        <v>0</v>
      </c>
      <c r="CE54" s="142">
        <v>0</v>
      </c>
      <c r="CF54" s="142">
        <v>0</v>
      </c>
      <c r="CG54" s="142">
        <v>0</v>
      </c>
    </row>
    <row r="55" spans="1:85" x14ac:dyDescent="0.15">
      <c r="A55" s="177" t="s">
        <v>245</v>
      </c>
      <c r="B55" s="142">
        <v>1E-3</v>
      </c>
      <c r="C55" s="142">
        <v>0</v>
      </c>
      <c r="D55" s="142">
        <v>0</v>
      </c>
      <c r="E55" s="142">
        <v>0</v>
      </c>
      <c r="F55" s="142">
        <v>0</v>
      </c>
      <c r="G55" s="142">
        <v>0</v>
      </c>
      <c r="H55" s="142">
        <v>0</v>
      </c>
      <c r="I55" s="142">
        <v>0</v>
      </c>
      <c r="J55" s="142">
        <v>0</v>
      </c>
      <c r="K55" s="142">
        <v>0</v>
      </c>
      <c r="L55" s="142">
        <v>0</v>
      </c>
      <c r="M55" s="142">
        <v>0</v>
      </c>
      <c r="N55" s="142">
        <v>7.0021706729086015E-3</v>
      </c>
      <c r="O55" s="142">
        <v>4.4020984803455799E-4</v>
      </c>
      <c r="P55" s="142">
        <v>0</v>
      </c>
      <c r="Q55" s="142">
        <v>0</v>
      </c>
      <c r="R55" s="142">
        <v>0</v>
      </c>
      <c r="S55" s="142">
        <v>5.699016121856721E-4</v>
      </c>
      <c r="T55" s="142">
        <v>4.8993341804848712E-4</v>
      </c>
      <c r="U55" s="142">
        <v>0</v>
      </c>
      <c r="V55" s="142">
        <v>0</v>
      </c>
      <c r="W55" s="142">
        <v>0</v>
      </c>
      <c r="X55" s="142">
        <v>0.14604499646341035</v>
      </c>
      <c r="Y55" s="142">
        <v>0</v>
      </c>
      <c r="Z55" s="142">
        <v>2.1994787455320962E-4</v>
      </c>
      <c r="AA55" s="142">
        <v>0</v>
      </c>
      <c r="AB55" s="142">
        <v>0</v>
      </c>
      <c r="AC55" s="142">
        <v>0</v>
      </c>
      <c r="AD55" s="142">
        <v>0</v>
      </c>
      <c r="AE55" s="142">
        <v>0</v>
      </c>
      <c r="AF55" s="142">
        <v>0</v>
      </c>
      <c r="AG55" s="142">
        <v>0</v>
      </c>
      <c r="AH55" s="142">
        <v>0</v>
      </c>
      <c r="AI55" s="142">
        <v>0</v>
      </c>
      <c r="AJ55" s="142">
        <v>0</v>
      </c>
      <c r="AK55" s="142">
        <v>0</v>
      </c>
      <c r="AL55" s="142">
        <v>0</v>
      </c>
      <c r="AM55" s="142">
        <v>0</v>
      </c>
      <c r="AN55" s="142">
        <v>4.6995300469953004E-2</v>
      </c>
      <c r="AO55" s="142">
        <v>0</v>
      </c>
      <c r="AP55" s="142">
        <v>2.3994001499625092E-2</v>
      </c>
      <c r="AQ55" s="142">
        <v>0</v>
      </c>
      <c r="AR55" s="142">
        <v>0</v>
      </c>
      <c r="AS55" s="142">
        <v>0</v>
      </c>
      <c r="AT55" s="142">
        <v>0</v>
      </c>
      <c r="AU55" s="142">
        <v>0</v>
      </c>
      <c r="AV55" s="142">
        <v>0</v>
      </c>
      <c r="AW55" s="142">
        <v>0</v>
      </c>
      <c r="AX55" s="142">
        <v>0</v>
      </c>
      <c r="AY55" s="142">
        <v>0</v>
      </c>
      <c r="AZ55" s="142">
        <v>5.000000000000001E-2</v>
      </c>
      <c r="BA55" s="142">
        <v>2E-3</v>
      </c>
      <c r="BB55" s="142">
        <v>1.9992003198720516E-3</v>
      </c>
      <c r="BC55" s="142">
        <v>0</v>
      </c>
      <c r="BD55" s="142">
        <v>1.9996200721862849E-3</v>
      </c>
      <c r="BE55" s="142">
        <v>0</v>
      </c>
      <c r="BF55" s="142">
        <v>0</v>
      </c>
      <c r="BG55" s="142">
        <v>0</v>
      </c>
      <c r="BH55" s="142">
        <v>0</v>
      </c>
      <c r="BI55" s="142">
        <v>0</v>
      </c>
      <c r="BJ55" s="142">
        <v>0</v>
      </c>
      <c r="BK55" s="142">
        <v>0</v>
      </c>
      <c r="BL55" s="142">
        <v>0</v>
      </c>
      <c r="BM55" s="142">
        <v>0</v>
      </c>
      <c r="BN55" s="142">
        <v>0</v>
      </c>
      <c r="BO55" s="142">
        <v>0</v>
      </c>
      <c r="BP55" s="142">
        <v>0</v>
      </c>
      <c r="BQ55" s="142">
        <v>0</v>
      </c>
      <c r="BR55" s="142">
        <v>0</v>
      </c>
      <c r="BS55" s="142">
        <v>0</v>
      </c>
      <c r="BT55" s="142">
        <v>0</v>
      </c>
      <c r="BU55" s="142">
        <v>0</v>
      </c>
      <c r="BV55" s="142">
        <v>0</v>
      </c>
      <c r="BW55" s="142">
        <v>0</v>
      </c>
      <c r="BX55" s="142">
        <v>0</v>
      </c>
      <c r="BY55" s="142">
        <v>0</v>
      </c>
      <c r="BZ55" s="142">
        <v>0</v>
      </c>
      <c r="CA55" s="142">
        <v>0</v>
      </c>
      <c r="CB55" s="142">
        <v>0</v>
      </c>
      <c r="CC55" s="142">
        <v>0</v>
      </c>
      <c r="CD55" s="142">
        <v>0</v>
      </c>
      <c r="CE55" s="142">
        <v>0</v>
      </c>
      <c r="CF55" s="142">
        <v>0</v>
      </c>
      <c r="CG55" s="142">
        <v>0</v>
      </c>
    </row>
    <row r="56" spans="1:85" x14ac:dyDescent="0.15">
      <c r="A56" s="177" t="s">
        <v>246</v>
      </c>
      <c r="B56" s="142">
        <v>1E-3</v>
      </c>
      <c r="C56" s="142">
        <v>0</v>
      </c>
      <c r="D56" s="142">
        <v>8.9999999999999993E-3</v>
      </c>
      <c r="E56" s="142">
        <v>0</v>
      </c>
      <c r="F56" s="142">
        <v>0</v>
      </c>
      <c r="G56" s="142">
        <v>0</v>
      </c>
      <c r="H56" s="142">
        <v>0</v>
      </c>
      <c r="I56" s="142">
        <v>0</v>
      </c>
      <c r="J56" s="142">
        <v>0</v>
      </c>
      <c r="K56" s="142">
        <v>7.9996632141786823E-3</v>
      </c>
      <c r="L56" s="142">
        <v>3.7009544761594015E-2</v>
      </c>
      <c r="M56" s="142">
        <v>1.2996590994182227E-2</v>
      </c>
      <c r="N56" s="142">
        <v>4.2013024037451607E-2</v>
      </c>
      <c r="O56" s="142">
        <v>4.3020507876104529E-2</v>
      </c>
      <c r="P56" s="142">
        <v>1.9990624397157731E-3</v>
      </c>
      <c r="Q56" s="142">
        <v>0</v>
      </c>
      <c r="R56" s="142">
        <v>0</v>
      </c>
      <c r="S56" s="142">
        <v>9.9982738979942495E-4</v>
      </c>
      <c r="T56" s="142">
        <v>1.9997282369326009E-2</v>
      </c>
      <c r="U56" s="142">
        <v>3.7014231601908615E-2</v>
      </c>
      <c r="V56" s="142">
        <v>0.47991169624789048</v>
      </c>
      <c r="W56" s="142">
        <v>3.9001983640887972E-2</v>
      </c>
      <c r="X56" s="142">
        <v>0.23307180942448369</v>
      </c>
      <c r="Y56" s="142">
        <v>0.16802957320488404</v>
      </c>
      <c r="Z56" s="142">
        <v>9.2977965152038614E-2</v>
      </c>
      <c r="AA56" s="142">
        <v>0.23406296293703008</v>
      </c>
      <c r="AB56" s="142">
        <v>0.16107023113073948</v>
      </c>
      <c r="AC56" s="142">
        <v>2.3008674270199869E-2</v>
      </c>
      <c r="AD56" s="142">
        <v>8.9975796510738618E-3</v>
      </c>
      <c r="AE56" s="142">
        <v>9.1012150122041294E-2</v>
      </c>
      <c r="AF56" s="142">
        <v>1.0004762266839016E-3</v>
      </c>
      <c r="AG56" s="142">
        <v>0</v>
      </c>
      <c r="AH56" s="142">
        <v>0</v>
      </c>
      <c r="AI56" s="142">
        <v>0.18499445016649502</v>
      </c>
      <c r="AJ56" s="142">
        <v>0.32802230551677514</v>
      </c>
      <c r="AK56" s="142">
        <v>0.80786330952802787</v>
      </c>
      <c r="AL56" s="142">
        <v>0.20006001800540166</v>
      </c>
      <c r="AM56" s="142">
        <v>0</v>
      </c>
      <c r="AN56" s="142">
        <v>0.34796520347965204</v>
      </c>
      <c r="AO56" s="142">
        <v>0</v>
      </c>
      <c r="AP56" s="142">
        <v>5.9985003749062731E-2</v>
      </c>
      <c r="AQ56" s="142">
        <v>0</v>
      </c>
      <c r="AR56" s="142">
        <v>0</v>
      </c>
      <c r="AS56" s="142">
        <v>0</v>
      </c>
      <c r="AT56" s="142">
        <v>0</v>
      </c>
      <c r="AU56" s="142">
        <v>0</v>
      </c>
      <c r="AV56" s="142">
        <v>0</v>
      </c>
      <c r="AW56" s="142">
        <v>0</v>
      </c>
      <c r="AX56" s="142">
        <v>0</v>
      </c>
      <c r="AY56" s="142">
        <v>0</v>
      </c>
      <c r="AZ56" s="142">
        <v>0.15000000000000002</v>
      </c>
      <c r="BA56" s="142">
        <v>2E-3</v>
      </c>
      <c r="BB56" s="142">
        <v>1.9992003198720516E-3</v>
      </c>
      <c r="BC56" s="142">
        <v>0</v>
      </c>
      <c r="BD56" s="142">
        <v>1.9996200721862849E-3</v>
      </c>
      <c r="BE56" s="142">
        <v>0</v>
      </c>
      <c r="BF56" s="142">
        <v>0</v>
      </c>
      <c r="BG56" s="142">
        <v>0</v>
      </c>
      <c r="BH56" s="142">
        <v>0</v>
      </c>
      <c r="BI56" s="142">
        <v>0</v>
      </c>
      <c r="BJ56" s="142">
        <v>0</v>
      </c>
      <c r="BK56" s="142">
        <v>0</v>
      </c>
      <c r="BL56" s="142">
        <v>0</v>
      </c>
      <c r="BM56" s="142">
        <v>0</v>
      </c>
      <c r="BN56" s="142">
        <v>0</v>
      </c>
      <c r="BO56" s="142">
        <v>0</v>
      </c>
      <c r="BP56" s="142">
        <v>0</v>
      </c>
      <c r="BQ56" s="142">
        <v>0</v>
      </c>
      <c r="BR56" s="142">
        <v>0</v>
      </c>
      <c r="BS56" s="142">
        <v>0</v>
      </c>
      <c r="BT56" s="142">
        <v>0</v>
      </c>
      <c r="BU56" s="142">
        <v>0</v>
      </c>
      <c r="BV56" s="142">
        <v>0</v>
      </c>
      <c r="BW56" s="142">
        <v>0</v>
      </c>
      <c r="BX56" s="142">
        <v>0</v>
      </c>
      <c r="BY56" s="142">
        <v>0</v>
      </c>
      <c r="BZ56" s="142">
        <v>0</v>
      </c>
      <c r="CA56" s="142">
        <v>0</v>
      </c>
      <c r="CB56" s="142">
        <v>0</v>
      </c>
      <c r="CC56" s="142">
        <v>0</v>
      </c>
      <c r="CD56" s="142">
        <v>0</v>
      </c>
      <c r="CE56" s="142">
        <v>0</v>
      </c>
      <c r="CF56" s="142">
        <v>0</v>
      </c>
      <c r="CG56" s="142">
        <v>0</v>
      </c>
    </row>
    <row r="57" spans="1:85" x14ac:dyDescent="0.15">
      <c r="A57" s="177" t="s">
        <v>247</v>
      </c>
      <c r="B57" s="142">
        <v>1E-3</v>
      </c>
      <c r="C57" s="142">
        <v>0</v>
      </c>
      <c r="D57" s="142">
        <v>2.5000000000000001E-2</v>
      </c>
      <c r="E57" s="142">
        <v>0</v>
      </c>
      <c r="F57" s="142">
        <v>0</v>
      </c>
      <c r="G57" s="142">
        <v>0</v>
      </c>
      <c r="H57" s="142">
        <v>0</v>
      </c>
      <c r="I57" s="142">
        <v>0</v>
      </c>
      <c r="J57" s="142">
        <v>0</v>
      </c>
      <c r="K57" s="142">
        <v>0</v>
      </c>
      <c r="L57" s="142">
        <v>0</v>
      </c>
      <c r="M57" s="142">
        <v>0</v>
      </c>
      <c r="N57" s="142">
        <v>0</v>
      </c>
      <c r="O57" s="142">
        <v>0</v>
      </c>
      <c r="P57" s="142">
        <v>0</v>
      </c>
      <c r="Q57" s="142">
        <v>0</v>
      </c>
      <c r="R57" s="142">
        <v>0</v>
      </c>
      <c r="S57" s="142">
        <v>0</v>
      </c>
      <c r="T57" s="142">
        <v>0</v>
      </c>
      <c r="U57" s="142">
        <v>0</v>
      </c>
      <c r="V57" s="142">
        <v>0</v>
      </c>
      <c r="W57" s="142">
        <v>0</v>
      </c>
      <c r="X57" s="142">
        <v>0</v>
      </c>
      <c r="Y57" s="142">
        <v>0</v>
      </c>
      <c r="Z57" s="142">
        <v>0</v>
      </c>
      <c r="AA57" s="142">
        <v>0</v>
      </c>
      <c r="AB57" s="142">
        <v>0</v>
      </c>
      <c r="AC57" s="142">
        <v>0</v>
      </c>
      <c r="AD57" s="142">
        <v>0</v>
      </c>
      <c r="AE57" s="142">
        <v>0</v>
      </c>
      <c r="AF57" s="142">
        <v>0</v>
      </c>
      <c r="AG57" s="142">
        <v>0</v>
      </c>
      <c r="AH57" s="142">
        <v>0</v>
      </c>
      <c r="AI57" s="142">
        <v>0</v>
      </c>
      <c r="AJ57" s="142">
        <v>0</v>
      </c>
      <c r="AK57" s="142">
        <v>0</v>
      </c>
      <c r="AL57" s="142">
        <v>0</v>
      </c>
      <c r="AM57" s="142">
        <v>0</v>
      </c>
      <c r="AN57" s="142">
        <v>6.9993000699930009E-3</v>
      </c>
      <c r="AO57" s="142">
        <v>0</v>
      </c>
      <c r="AP57" s="142">
        <v>0</v>
      </c>
      <c r="AQ57" s="142">
        <v>0</v>
      </c>
      <c r="AR57" s="142">
        <v>0</v>
      </c>
      <c r="AS57" s="142">
        <v>0</v>
      </c>
      <c r="AT57" s="142">
        <v>0</v>
      </c>
      <c r="AU57" s="142">
        <v>0</v>
      </c>
      <c r="AV57" s="142">
        <v>0</v>
      </c>
      <c r="AW57" s="142">
        <v>0</v>
      </c>
      <c r="AX57" s="142">
        <v>0</v>
      </c>
      <c r="AY57" s="142">
        <v>0</v>
      </c>
      <c r="AZ57" s="142">
        <v>0</v>
      </c>
      <c r="BA57" s="142">
        <v>2E-3</v>
      </c>
      <c r="BB57" s="142">
        <v>1.9992003198720516E-3</v>
      </c>
      <c r="BC57" s="142">
        <v>0</v>
      </c>
      <c r="BD57" s="142">
        <v>7.8984992851358245E-4</v>
      </c>
      <c r="BE57" s="142">
        <v>0</v>
      </c>
      <c r="BF57" s="142">
        <v>0</v>
      </c>
      <c r="BG57" s="142">
        <v>0</v>
      </c>
      <c r="BH57" s="142">
        <v>0</v>
      </c>
      <c r="BI57" s="142">
        <v>0</v>
      </c>
      <c r="BJ57" s="142">
        <v>0</v>
      </c>
      <c r="BK57" s="142">
        <v>0</v>
      </c>
      <c r="BL57" s="142">
        <v>0</v>
      </c>
      <c r="BM57" s="142">
        <v>0</v>
      </c>
      <c r="BN57" s="142">
        <v>0</v>
      </c>
      <c r="BO57" s="142">
        <v>0</v>
      </c>
      <c r="BP57" s="142">
        <v>0</v>
      </c>
      <c r="BQ57" s="142">
        <v>0</v>
      </c>
      <c r="BR57" s="142">
        <v>0</v>
      </c>
      <c r="BS57" s="142">
        <v>0</v>
      </c>
      <c r="BT57" s="142">
        <v>0</v>
      </c>
      <c r="BU57" s="142">
        <v>0</v>
      </c>
      <c r="BV57" s="142">
        <v>0</v>
      </c>
      <c r="BW57" s="142">
        <v>0</v>
      </c>
      <c r="BX57" s="142">
        <v>0</v>
      </c>
      <c r="BY57" s="142">
        <v>0</v>
      </c>
      <c r="BZ57" s="142">
        <v>0</v>
      </c>
      <c r="CA57" s="142">
        <v>0</v>
      </c>
      <c r="CB57" s="142">
        <v>0</v>
      </c>
      <c r="CC57" s="142">
        <v>0</v>
      </c>
      <c r="CD57" s="142">
        <v>0</v>
      </c>
      <c r="CE57" s="142">
        <v>0</v>
      </c>
      <c r="CF57" s="142">
        <v>0</v>
      </c>
      <c r="CG57" s="142">
        <v>0</v>
      </c>
    </row>
    <row r="58" spans="1:85" x14ac:dyDescent="0.15">
      <c r="A58" s="177" t="s">
        <v>248</v>
      </c>
      <c r="B58" s="142">
        <v>0</v>
      </c>
      <c r="C58" s="142">
        <v>0</v>
      </c>
      <c r="D58" s="142">
        <v>0</v>
      </c>
      <c r="E58" s="142">
        <v>0</v>
      </c>
      <c r="F58" s="142">
        <v>0</v>
      </c>
      <c r="G58" s="142">
        <v>0</v>
      </c>
      <c r="H58" s="142">
        <v>0</v>
      </c>
      <c r="I58" s="142">
        <v>0</v>
      </c>
      <c r="J58" s="142">
        <v>0</v>
      </c>
      <c r="K58" s="142">
        <v>0</v>
      </c>
      <c r="L58" s="142">
        <v>3.0007738995887043E-3</v>
      </c>
      <c r="M58" s="142">
        <v>0</v>
      </c>
      <c r="N58" s="142">
        <v>0</v>
      </c>
      <c r="O58" s="142">
        <v>5.9028138713724817E-5</v>
      </c>
      <c r="P58" s="142">
        <v>0</v>
      </c>
      <c r="Q58" s="142">
        <v>0</v>
      </c>
      <c r="R58" s="142">
        <v>0</v>
      </c>
      <c r="S58" s="142">
        <v>0</v>
      </c>
      <c r="T58" s="142">
        <v>2.5996467080123808E-5</v>
      </c>
      <c r="U58" s="142">
        <v>0</v>
      </c>
      <c r="V58" s="142">
        <v>1.0997976372347491E-2</v>
      </c>
      <c r="W58" s="142">
        <v>3.5001780190540492E-4</v>
      </c>
      <c r="X58" s="142">
        <v>0</v>
      </c>
      <c r="Y58" s="142">
        <v>3.8006689177295201E-4</v>
      </c>
      <c r="Z58" s="142">
        <v>2.4994076653773821E-4</v>
      </c>
      <c r="AA58" s="142">
        <v>1.0002690723804704E-3</v>
      </c>
      <c r="AB58" s="142">
        <v>2.0008724364067015E-3</v>
      </c>
      <c r="AC58" s="142">
        <v>0</v>
      </c>
      <c r="AD58" s="142">
        <v>0</v>
      </c>
      <c r="AE58" s="142">
        <v>0</v>
      </c>
      <c r="AF58" s="142">
        <v>0</v>
      </c>
      <c r="AG58" s="142">
        <v>0</v>
      </c>
      <c r="AH58" s="142">
        <v>0</v>
      </c>
      <c r="AI58" s="142">
        <v>0</v>
      </c>
      <c r="AJ58" s="142">
        <v>2.0001360092486288E-3</v>
      </c>
      <c r="AK58" s="142">
        <v>3.9993233144951876E-3</v>
      </c>
      <c r="AL58" s="142">
        <v>0</v>
      </c>
      <c r="AM58" s="142">
        <v>0</v>
      </c>
      <c r="AN58" s="142">
        <v>0</v>
      </c>
      <c r="AO58" s="142">
        <v>0</v>
      </c>
      <c r="AP58" s="142">
        <v>1.1997000749812546E-4</v>
      </c>
      <c r="AQ58" s="142">
        <v>0</v>
      </c>
      <c r="AR58" s="142">
        <v>0</v>
      </c>
      <c r="AS58" s="142">
        <v>0</v>
      </c>
      <c r="AT58" s="142">
        <v>0</v>
      </c>
      <c r="AU58" s="142">
        <v>0</v>
      </c>
      <c r="AV58" s="142">
        <v>0</v>
      </c>
      <c r="AW58" s="142">
        <v>0</v>
      </c>
      <c r="AX58" s="142">
        <v>0</v>
      </c>
      <c r="AY58" s="142">
        <v>0</v>
      </c>
      <c r="AZ58" s="142">
        <v>0</v>
      </c>
      <c r="BA58" s="142">
        <v>0</v>
      </c>
      <c r="BB58" s="142">
        <v>0</v>
      </c>
      <c r="BC58" s="142">
        <v>0</v>
      </c>
      <c r="BD58" s="142">
        <v>0</v>
      </c>
      <c r="BE58" s="142">
        <v>0</v>
      </c>
      <c r="BF58" s="142">
        <v>0</v>
      </c>
      <c r="BG58" s="142">
        <v>0</v>
      </c>
      <c r="BH58" s="142">
        <v>0</v>
      </c>
      <c r="BI58" s="142">
        <v>0</v>
      </c>
      <c r="BJ58" s="142">
        <v>9.999999999999998E-4</v>
      </c>
      <c r="BK58" s="142">
        <v>0</v>
      </c>
      <c r="BL58" s="142">
        <v>0</v>
      </c>
      <c r="BM58" s="142">
        <v>0</v>
      </c>
      <c r="BN58" s="142">
        <v>0</v>
      </c>
      <c r="BO58" s="142">
        <v>0</v>
      </c>
      <c r="BP58" s="142">
        <v>0</v>
      </c>
      <c r="BQ58" s="142">
        <v>0</v>
      </c>
      <c r="BR58" s="142">
        <v>0</v>
      </c>
      <c r="BS58" s="142">
        <v>0</v>
      </c>
      <c r="BT58" s="142">
        <v>0</v>
      </c>
      <c r="BU58" s="142">
        <v>0</v>
      </c>
      <c r="BV58" s="142">
        <v>0</v>
      </c>
      <c r="BW58" s="142">
        <v>0</v>
      </c>
      <c r="BX58" s="142">
        <v>0</v>
      </c>
      <c r="BY58" s="142">
        <v>0</v>
      </c>
      <c r="BZ58" s="142">
        <v>0</v>
      </c>
      <c r="CA58" s="142">
        <v>0</v>
      </c>
      <c r="CB58" s="142">
        <v>0</v>
      </c>
      <c r="CC58" s="142">
        <v>0</v>
      </c>
      <c r="CD58" s="142">
        <v>0</v>
      </c>
      <c r="CE58" s="142">
        <v>0</v>
      </c>
      <c r="CF58" s="142">
        <v>0</v>
      </c>
      <c r="CG58" s="142">
        <v>0</v>
      </c>
    </row>
    <row r="59" spans="1:85" x14ac:dyDescent="0.15">
      <c r="A59" s="177" t="s">
        <v>249</v>
      </c>
      <c r="B59" s="142">
        <v>0</v>
      </c>
      <c r="C59" s="142">
        <v>0</v>
      </c>
      <c r="D59" s="142">
        <v>0</v>
      </c>
      <c r="E59" s="142">
        <v>0</v>
      </c>
      <c r="F59" s="142">
        <v>0</v>
      </c>
      <c r="G59" s="142">
        <v>0</v>
      </c>
      <c r="H59" s="142">
        <v>0</v>
      </c>
      <c r="I59" s="142">
        <v>0</v>
      </c>
      <c r="J59" s="142">
        <v>0</v>
      </c>
      <c r="K59" s="142">
        <v>0</v>
      </c>
      <c r="L59" s="142">
        <v>0</v>
      </c>
      <c r="M59" s="142">
        <v>0</v>
      </c>
      <c r="N59" s="142">
        <v>0</v>
      </c>
      <c r="O59" s="142">
        <v>0</v>
      </c>
      <c r="P59" s="142">
        <v>0</v>
      </c>
      <c r="Q59" s="142">
        <v>0</v>
      </c>
      <c r="R59" s="142">
        <v>0</v>
      </c>
      <c r="S59" s="142">
        <v>0</v>
      </c>
      <c r="T59" s="142">
        <v>0</v>
      </c>
      <c r="U59" s="142">
        <v>0</v>
      </c>
      <c r="V59" s="142">
        <v>0</v>
      </c>
      <c r="W59" s="142">
        <v>0</v>
      </c>
      <c r="X59" s="142">
        <v>0</v>
      </c>
      <c r="Y59" s="142">
        <v>0</v>
      </c>
      <c r="Z59" s="142">
        <v>0</v>
      </c>
      <c r="AA59" s="142">
        <v>0</v>
      </c>
      <c r="AB59" s="142">
        <v>0</v>
      </c>
      <c r="AC59" s="142">
        <v>0</v>
      </c>
      <c r="AD59" s="142">
        <v>0</v>
      </c>
      <c r="AE59" s="142">
        <v>0</v>
      </c>
      <c r="AF59" s="142">
        <v>0</v>
      </c>
      <c r="AG59" s="142">
        <v>0</v>
      </c>
      <c r="AH59" s="142">
        <v>0</v>
      </c>
      <c r="AI59" s="142">
        <v>0</v>
      </c>
      <c r="AJ59" s="142">
        <v>0</v>
      </c>
      <c r="AK59" s="142">
        <v>0</v>
      </c>
      <c r="AL59" s="142">
        <v>0</v>
      </c>
      <c r="AM59" s="142">
        <v>0</v>
      </c>
      <c r="AN59" s="142">
        <v>1.1998800119988001E-2</v>
      </c>
      <c r="AO59" s="142">
        <v>0</v>
      </c>
      <c r="AP59" s="142">
        <v>3.9990002499375151E-3</v>
      </c>
      <c r="AQ59" s="142">
        <v>0</v>
      </c>
      <c r="AR59" s="142">
        <v>0</v>
      </c>
      <c r="AS59" s="142">
        <v>0</v>
      </c>
      <c r="AT59" s="142">
        <v>0</v>
      </c>
      <c r="AU59" s="142">
        <v>0</v>
      </c>
      <c r="AV59" s="142">
        <v>0</v>
      </c>
      <c r="AW59" s="142">
        <v>0</v>
      </c>
      <c r="AX59" s="142">
        <v>0</v>
      </c>
      <c r="AY59" s="142">
        <v>0</v>
      </c>
      <c r="AZ59" s="142">
        <v>2.0000000000000004E-2</v>
      </c>
      <c r="BA59" s="142">
        <v>1.6E-2</v>
      </c>
      <c r="BB59" s="142">
        <v>1.5993602558976413E-2</v>
      </c>
      <c r="BC59" s="142">
        <v>0</v>
      </c>
      <c r="BD59" s="142">
        <v>1.5996960577490279E-2</v>
      </c>
      <c r="BE59" s="142">
        <v>2.1999999999999999E-2</v>
      </c>
      <c r="BF59" s="142">
        <v>0</v>
      </c>
      <c r="BG59" s="142">
        <v>0</v>
      </c>
      <c r="BH59" s="142">
        <v>0</v>
      </c>
      <c r="BI59" s="142">
        <v>0</v>
      </c>
      <c r="BJ59" s="142">
        <v>0</v>
      </c>
      <c r="BK59" s="142">
        <v>0</v>
      </c>
      <c r="BL59" s="142">
        <v>0</v>
      </c>
      <c r="BM59" s="142">
        <v>0</v>
      </c>
      <c r="BN59" s="142">
        <v>0</v>
      </c>
      <c r="BO59" s="142">
        <v>0</v>
      </c>
      <c r="BP59" s="142">
        <v>0</v>
      </c>
      <c r="BQ59" s="142">
        <v>0</v>
      </c>
      <c r="BR59" s="142">
        <v>0</v>
      </c>
      <c r="BS59" s="142">
        <v>0</v>
      </c>
      <c r="BT59" s="142">
        <v>0</v>
      </c>
      <c r="BU59" s="142">
        <v>0</v>
      </c>
      <c r="BV59" s="142">
        <v>0</v>
      </c>
      <c r="BW59" s="142">
        <v>0</v>
      </c>
      <c r="BX59" s="142">
        <v>0</v>
      </c>
      <c r="BY59" s="142">
        <v>0</v>
      </c>
      <c r="BZ59" s="142">
        <v>0</v>
      </c>
      <c r="CA59" s="142">
        <v>0</v>
      </c>
      <c r="CB59" s="142">
        <v>0</v>
      </c>
      <c r="CC59" s="142">
        <v>0</v>
      </c>
      <c r="CD59" s="142">
        <v>0</v>
      </c>
      <c r="CE59" s="142">
        <v>0</v>
      </c>
      <c r="CF59" s="142">
        <v>0</v>
      </c>
      <c r="CG59" s="142">
        <v>0</v>
      </c>
    </row>
    <row r="60" spans="1:85" x14ac:dyDescent="0.15">
      <c r="A60" s="177" t="s">
        <v>250</v>
      </c>
      <c r="B60" s="142">
        <v>0</v>
      </c>
      <c r="C60" s="142">
        <v>0</v>
      </c>
      <c r="D60" s="142">
        <v>0</v>
      </c>
      <c r="E60" s="142">
        <v>0</v>
      </c>
      <c r="F60" s="142">
        <v>0</v>
      </c>
      <c r="G60" s="142">
        <v>0</v>
      </c>
      <c r="H60" s="142">
        <v>0</v>
      </c>
      <c r="I60" s="142">
        <v>0</v>
      </c>
      <c r="J60" s="142">
        <v>0</v>
      </c>
      <c r="K60" s="142">
        <v>0</v>
      </c>
      <c r="L60" s="142">
        <v>0</v>
      </c>
      <c r="M60" s="142">
        <v>0</v>
      </c>
      <c r="N60" s="142">
        <v>0</v>
      </c>
      <c r="O60" s="142">
        <v>2.20104924017279E-4</v>
      </c>
      <c r="P60" s="142">
        <v>0</v>
      </c>
      <c r="Q60" s="142">
        <v>0</v>
      </c>
      <c r="R60" s="142">
        <v>0</v>
      </c>
      <c r="S60" s="142">
        <v>0</v>
      </c>
      <c r="T60" s="142">
        <v>0</v>
      </c>
      <c r="U60" s="142">
        <v>0</v>
      </c>
      <c r="V60" s="142">
        <v>9.7981971317277643E-6</v>
      </c>
      <c r="W60" s="142">
        <v>0</v>
      </c>
      <c r="X60" s="142">
        <v>1.9005855704142446E-4</v>
      </c>
      <c r="Y60" s="142">
        <v>0</v>
      </c>
      <c r="Z60" s="142">
        <v>8.9978675953585746E-3</v>
      </c>
      <c r="AA60" s="142">
        <v>1.0002690723804704E-4</v>
      </c>
      <c r="AB60" s="142">
        <v>7.7033588801658E-4</v>
      </c>
      <c r="AC60" s="142">
        <v>0</v>
      </c>
      <c r="AD60" s="142">
        <v>1.9994621446830804E-6</v>
      </c>
      <c r="AE60" s="142">
        <v>2.8003738499089627E-6</v>
      </c>
      <c r="AF60" s="142">
        <v>0</v>
      </c>
      <c r="AG60" s="142">
        <v>0</v>
      </c>
      <c r="AH60" s="142">
        <v>0</v>
      </c>
      <c r="AI60" s="142">
        <v>0</v>
      </c>
      <c r="AJ60" s="142">
        <v>4.2002856194221203E-5</v>
      </c>
      <c r="AK60" s="142">
        <v>0</v>
      </c>
      <c r="AL60" s="142">
        <v>0</v>
      </c>
      <c r="AM60" s="142">
        <v>0</v>
      </c>
      <c r="AN60" s="142">
        <v>0</v>
      </c>
      <c r="AO60" s="142">
        <v>0</v>
      </c>
      <c r="AP60" s="142">
        <v>9.9975006248437877E-4</v>
      </c>
      <c r="AQ60" s="142">
        <v>0</v>
      </c>
      <c r="AR60" s="142">
        <v>0</v>
      </c>
      <c r="AS60" s="142">
        <v>0</v>
      </c>
      <c r="AT60" s="142">
        <v>0</v>
      </c>
      <c r="AU60" s="142">
        <v>0</v>
      </c>
      <c r="AV60" s="142">
        <v>0</v>
      </c>
      <c r="AW60" s="142">
        <v>0</v>
      </c>
      <c r="AX60" s="142">
        <v>0</v>
      </c>
      <c r="AY60" s="142">
        <v>0</v>
      </c>
      <c r="AZ60" s="142">
        <v>4.0000000000000008E-2</v>
      </c>
      <c r="BA60" s="142">
        <v>1.6E-2</v>
      </c>
      <c r="BB60" s="142">
        <v>1.5993602558976413E-2</v>
      </c>
      <c r="BC60" s="142">
        <v>0</v>
      </c>
      <c r="BD60" s="142">
        <v>1.9996200721862849E-3</v>
      </c>
      <c r="BE60" s="142">
        <v>1.0999999999999999E-2</v>
      </c>
      <c r="BF60" s="142">
        <v>0</v>
      </c>
      <c r="BG60" s="142">
        <v>0</v>
      </c>
      <c r="BH60" s="142">
        <v>0</v>
      </c>
      <c r="BI60" s="142">
        <v>0</v>
      </c>
      <c r="BJ60" s="142">
        <v>0</v>
      </c>
      <c r="BK60" s="142">
        <v>0</v>
      </c>
      <c r="BL60" s="142">
        <v>0</v>
      </c>
      <c r="BM60" s="142">
        <v>0</v>
      </c>
      <c r="BN60" s="142">
        <v>0</v>
      </c>
      <c r="BO60" s="142">
        <v>0</v>
      </c>
      <c r="BP60" s="142">
        <v>0</v>
      </c>
      <c r="BQ60" s="142">
        <v>0</v>
      </c>
      <c r="BR60" s="142">
        <v>0</v>
      </c>
      <c r="BS60" s="142">
        <v>0</v>
      </c>
      <c r="BT60" s="142">
        <v>0</v>
      </c>
      <c r="BU60" s="142">
        <v>0</v>
      </c>
      <c r="BV60" s="142">
        <v>0</v>
      </c>
      <c r="BW60" s="142">
        <v>0</v>
      </c>
      <c r="BX60" s="142">
        <v>0</v>
      </c>
      <c r="BY60" s="142">
        <v>0</v>
      </c>
      <c r="BZ60" s="142">
        <v>0</v>
      </c>
      <c r="CA60" s="142">
        <v>0</v>
      </c>
      <c r="CB60" s="142">
        <v>0</v>
      </c>
      <c r="CC60" s="142">
        <v>0</v>
      </c>
      <c r="CD60" s="142">
        <v>0</v>
      </c>
      <c r="CE60" s="142">
        <v>0</v>
      </c>
      <c r="CF60" s="142">
        <v>0</v>
      </c>
      <c r="CG60" s="142">
        <v>0</v>
      </c>
    </row>
    <row r="61" spans="1:85" x14ac:dyDescent="0.15">
      <c r="A61" s="177" t="s">
        <v>251</v>
      </c>
      <c r="B61" s="142">
        <v>0</v>
      </c>
      <c r="C61" s="142">
        <v>0</v>
      </c>
      <c r="D61" s="142">
        <v>0</v>
      </c>
      <c r="E61" s="142">
        <v>0</v>
      </c>
      <c r="F61" s="142">
        <v>0</v>
      </c>
      <c r="G61" s="142">
        <v>0</v>
      </c>
      <c r="H61" s="142">
        <v>0</v>
      </c>
      <c r="I61" s="142">
        <v>0</v>
      </c>
      <c r="J61" s="142">
        <v>0</v>
      </c>
      <c r="K61" s="142">
        <v>0</v>
      </c>
      <c r="L61" s="142">
        <v>0</v>
      </c>
      <c r="M61" s="142">
        <v>0</v>
      </c>
      <c r="N61" s="142">
        <v>0</v>
      </c>
      <c r="O61" s="142">
        <v>4.0019077094050726E-4</v>
      </c>
      <c r="P61" s="142">
        <v>0</v>
      </c>
      <c r="Q61" s="142">
        <v>0</v>
      </c>
      <c r="R61" s="142">
        <v>0</v>
      </c>
      <c r="S61" s="142">
        <v>0</v>
      </c>
      <c r="T61" s="142">
        <v>4.799347768638242E-4</v>
      </c>
      <c r="U61" s="142">
        <v>2.0007692757788442E-4</v>
      </c>
      <c r="V61" s="142">
        <v>6.5987858234084945E-6</v>
      </c>
      <c r="W61" s="142">
        <v>0</v>
      </c>
      <c r="X61" s="142">
        <v>1.1003390144503522E-4</v>
      </c>
      <c r="Y61" s="142">
        <v>0</v>
      </c>
      <c r="Z61" s="142">
        <v>3.9990522646038114E-3</v>
      </c>
      <c r="AA61" s="142">
        <v>6.3016951559969627E-4</v>
      </c>
      <c r="AB61" s="142">
        <v>2.0008724364067015E-3</v>
      </c>
      <c r="AC61" s="142">
        <v>5.3019988535677959E-5</v>
      </c>
      <c r="AD61" s="142">
        <v>6.5982250774541664E-6</v>
      </c>
      <c r="AE61" s="142">
        <v>6.6008812176425555E-6</v>
      </c>
      <c r="AF61" s="142">
        <v>0</v>
      </c>
      <c r="AG61" s="142">
        <v>0</v>
      </c>
      <c r="AH61" s="142">
        <v>0</v>
      </c>
      <c r="AI61" s="142">
        <v>0</v>
      </c>
      <c r="AJ61" s="142">
        <v>1.3000884060116087E-5</v>
      </c>
      <c r="AK61" s="142">
        <v>0</v>
      </c>
      <c r="AL61" s="142">
        <v>0</v>
      </c>
      <c r="AM61" s="142">
        <v>0</v>
      </c>
      <c r="AN61" s="142">
        <v>0</v>
      </c>
      <c r="AO61" s="142">
        <v>0</v>
      </c>
      <c r="AP61" s="142">
        <v>1.9995001249687575E-3</v>
      </c>
      <c r="AQ61" s="142">
        <v>0</v>
      </c>
      <c r="AR61" s="142">
        <v>0</v>
      </c>
      <c r="AS61" s="142">
        <v>7.3999999999999996E-2</v>
      </c>
      <c r="AT61" s="142">
        <v>2.9991002699190239E-4</v>
      </c>
      <c r="AU61" s="142">
        <v>0.17</v>
      </c>
      <c r="AV61" s="142">
        <v>0.17399999999999999</v>
      </c>
      <c r="AW61" s="142">
        <v>0.12406203101550774</v>
      </c>
      <c r="AX61" s="142">
        <v>0.05</v>
      </c>
      <c r="AY61" s="142">
        <v>4.9982506122856998E-2</v>
      </c>
      <c r="AZ61" s="142">
        <v>1.0000000000000002E-2</v>
      </c>
      <c r="BA61" s="142">
        <v>1.6E-2</v>
      </c>
      <c r="BB61" s="142">
        <v>1.5993602558976413E-2</v>
      </c>
      <c r="BC61" s="142">
        <v>2.3E-2</v>
      </c>
      <c r="BD61" s="142">
        <v>1.5996960577490279E-2</v>
      </c>
      <c r="BE61" s="142">
        <v>0</v>
      </c>
      <c r="BF61" s="142">
        <v>0</v>
      </c>
      <c r="BG61" s="142">
        <v>0</v>
      </c>
      <c r="BH61" s="142">
        <v>0</v>
      </c>
      <c r="BI61" s="142">
        <v>0</v>
      </c>
      <c r="BJ61" s="142">
        <v>1.1999999999999997E-2</v>
      </c>
      <c r="BK61" s="142">
        <v>0</v>
      </c>
      <c r="BL61" s="142">
        <v>0</v>
      </c>
      <c r="BM61" s="142">
        <v>0</v>
      </c>
      <c r="BN61" s="142">
        <v>0</v>
      </c>
      <c r="BO61" s="142">
        <v>0</v>
      </c>
      <c r="BP61" s="142">
        <v>0</v>
      </c>
      <c r="BQ61" s="142">
        <v>0</v>
      </c>
      <c r="BR61" s="142">
        <v>0</v>
      </c>
      <c r="BS61" s="142">
        <v>0</v>
      </c>
      <c r="BT61" s="142">
        <v>0</v>
      </c>
      <c r="BU61" s="142">
        <v>0</v>
      </c>
      <c r="BV61" s="142">
        <v>0</v>
      </c>
      <c r="BW61" s="142">
        <v>0</v>
      </c>
      <c r="BX61" s="142">
        <v>0</v>
      </c>
      <c r="BY61" s="142">
        <v>0</v>
      </c>
      <c r="BZ61" s="142">
        <v>0</v>
      </c>
      <c r="CA61" s="142">
        <v>0</v>
      </c>
      <c r="CB61" s="142">
        <v>0</v>
      </c>
      <c r="CC61" s="142">
        <v>0</v>
      </c>
      <c r="CD61" s="142">
        <v>0</v>
      </c>
      <c r="CE61" s="142">
        <v>0</v>
      </c>
      <c r="CF61" s="142">
        <v>0</v>
      </c>
      <c r="CG61" s="142">
        <v>0</v>
      </c>
    </row>
    <row r="62" spans="1:85" x14ac:dyDescent="0.15">
      <c r="A62" s="177" t="s">
        <v>252</v>
      </c>
      <c r="B62" s="142">
        <v>0</v>
      </c>
      <c r="C62" s="142">
        <v>0</v>
      </c>
      <c r="D62" s="142">
        <v>0</v>
      </c>
      <c r="E62" s="142">
        <v>0</v>
      </c>
      <c r="F62" s="142">
        <v>0</v>
      </c>
      <c r="G62" s="142">
        <v>0</v>
      </c>
      <c r="H62" s="142">
        <v>0</v>
      </c>
      <c r="I62" s="142">
        <v>0</v>
      </c>
      <c r="J62" s="142">
        <v>0</v>
      </c>
      <c r="K62" s="142">
        <v>0</v>
      </c>
      <c r="L62" s="142">
        <v>0</v>
      </c>
      <c r="M62" s="142">
        <v>0</v>
      </c>
      <c r="N62" s="142">
        <v>0</v>
      </c>
      <c r="O62" s="142">
        <v>0</v>
      </c>
      <c r="P62" s="142">
        <v>0</v>
      </c>
      <c r="Q62" s="142">
        <v>0</v>
      </c>
      <c r="R62" s="142">
        <v>0</v>
      </c>
      <c r="S62" s="142">
        <v>0</v>
      </c>
      <c r="T62" s="142">
        <v>0</v>
      </c>
      <c r="U62" s="142">
        <v>0</v>
      </c>
      <c r="V62" s="142">
        <v>1.8996504643145667E-6</v>
      </c>
      <c r="W62" s="142">
        <v>0</v>
      </c>
      <c r="X62" s="142">
        <v>0</v>
      </c>
      <c r="Y62" s="142">
        <v>0</v>
      </c>
      <c r="Z62" s="142">
        <v>0</v>
      </c>
      <c r="AA62" s="142">
        <v>0</v>
      </c>
      <c r="AB62" s="142">
        <v>6.6028790401421153E-6</v>
      </c>
      <c r="AC62" s="142">
        <v>0</v>
      </c>
      <c r="AD62" s="142">
        <v>0</v>
      </c>
      <c r="AE62" s="142">
        <v>0</v>
      </c>
      <c r="AF62" s="142">
        <v>0</v>
      </c>
      <c r="AG62" s="142">
        <v>0</v>
      </c>
      <c r="AH62" s="142">
        <v>0</v>
      </c>
      <c r="AI62" s="142">
        <v>0</v>
      </c>
      <c r="AJ62" s="142">
        <v>0</v>
      </c>
      <c r="AK62" s="142">
        <v>0</v>
      </c>
      <c r="AL62" s="142">
        <v>0</v>
      </c>
      <c r="AM62" s="142">
        <v>0</v>
      </c>
      <c r="AN62" s="142">
        <v>0</v>
      </c>
      <c r="AO62" s="142">
        <v>0</v>
      </c>
      <c r="AP62" s="142">
        <v>9.9975006248437877E-4</v>
      </c>
      <c r="AQ62" s="142">
        <v>0</v>
      </c>
      <c r="AR62" s="142">
        <v>0</v>
      </c>
      <c r="AS62" s="142">
        <v>0</v>
      </c>
      <c r="AT62" s="142">
        <v>0</v>
      </c>
      <c r="AU62" s="142">
        <v>0</v>
      </c>
      <c r="AV62" s="142">
        <v>0</v>
      </c>
      <c r="AW62" s="142">
        <v>0</v>
      </c>
      <c r="AX62" s="142">
        <v>0</v>
      </c>
      <c r="AY62" s="142">
        <v>0</v>
      </c>
      <c r="AZ62" s="142">
        <v>1.0000000000000002E-2</v>
      </c>
      <c r="BA62" s="142">
        <v>0</v>
      </c>
      <c r="BB62" s="142">
        <v>0</v>
      </c>
      <c r="BC62" s="142">
        <v>0</v>
      </c>
      <c r="BD62" s="142">
        <v>0</v>
      </c>
      <c r="BE62" s="142">
        <v>0</v>
      </c>
      <c r="BF62" s="142">
        <v>0</v>
      </c>
      <c r="BG62" s="142">
        <v>0</v>
      </c>
      <c r="BH62" s="142">
        <v>0</v>
      </c>
      <c r="BI62" s="142">
        <v>0</v>
      </c>
      <c r="BJ62" s="142">
        <v>0</v>
      </c>
      <c r="BK62" s="142">
        <v>0</v>
      </c>
      <c r="BL62" s="142">
        <v>0</v>
      </c>
      <c r="BM62" s="142">
        <v>0</v>
      </c>
      <c r="BN62" s="142">
        <v>0</v>
      </c>
      <c r="BO62" s="142">
        <v>0</v>
      </c>
      <c r="BP62" s="142">
        <v>0</v>
      </c>
      <c r="BQ62" s="142">
        <v>0</v>
      </c>
      <c r="BR62" s="142">
        <v>0</v>
      </c>
      <c r="BS62" s="142">
        <v>0</v>
      </c>
      <c r="BT62" s="142">
        <v>0</v>
      </c>
      <c r="BU62" s="142">
        <v>0</v>
      </c>
      <c r="BV62" s="142">
        <v>0</v>
      </c>
      <c r="BW62" s="142">
        <v>0</v>
      </c>
      <c r="BX62" s="142">
        <v>0</v>
      </c>
      <c r="BY62" s="142">
        <v>0</v>
      </c>
      <c r="BZ62" s="142">
        <v>0</v>
      </c>
      <c r="CA62" s="142">
        <v>0</v>
      </c>
      <c r="CB62" s="142">
        <v>0</v>
      </c>
      <c r="CC62" s="142">
        <v>0</v>
      </c>
      <c r="CD62" s="142">
        <v>0</v>
      </c>
      <c r="CE62" s="142">
        <v>0</v>
      </c>
      <c r="CF62" s="142">
        <v>0</v>
      </c>
      <c r="CG62" s="142">
        <v>0</v>
      </c>
    </row>
    <row r="63" spans="1:85" x14ac:dyDescent="0.15">
      <c r="A63" s="177" t="s">
        <v>253</v>
      </c>
      <c r="B63" s="142">
        <v>0</v>
      </c>
      <c r="C63" s="142">
        <v>0</v>
      </c>
      <c r="D63" s="142">
        <v>0</v>
      </c>
      <c r="E63" s="142">
        <v>0.31</v>
      </c>
      <c r="F63" s="142">
        <v>0</v>
      </c>
      <c r="G63" s="142">
        <v>0</v>
      </c>
      <c r="H63" s="142">
        <v>0</v>
      </c>
      <c r="I63" s="142">
        <v>0</v>
      </c>
      <c r="J63" s="142">
        <v>0</v>
      </c>
      <c r="K63" s="142">
        <v>0</v>
      </c>
      <c r="L63" s="142">
        <v>8.9022959021131543E-6</v>
      </c>
      <c r="M63" s="142">
        <v>0</v>
      </c>
      <c r="N63" s="142">
        <v>0</v>
      </c>
      <c r="O63" s="142">
        <v>2.3010969329079166E-6</v>
      </c>
      <c r="P63" s="142">
        <v>0</v>
      </c>
      <c r="Q63" s="142">
        <v>0</v>
      </c>
      <c r="R63" s="142">
        <v>0</v>
      </c>
      <c r="S63" s="142">
        <v>0</v>
      </c>
      <c r="T63" s="142">
        <v>2.0997146487792307E-5</v>
      </c>
      <c r="U63" s="142">
        <v>5.1019616532360519E-7</v>
      </c>
      <c r="V63" s="142">
        <v>8.0985098741831517E-4</v>
      </c>
      <c r="W63" s="142">
        <v>1.0000508625868712E-5</v>
      </c>
      <c r="X63" s="142">
        <v>6.1018799892246795E-4</v>
      </c>
      <c r="Y63" s="142">
        <v>2.1003696650610502E-5</v>
      </c>
      <c r="Z63" s="142">
        <v>4.3989574910641925E-4</v>
      </c>
      <c r="AA63" s="142">
        <v>2.8007534026653166E-4</v>
      </c>
      <c r="AB63" s="142">
        <v>2.2009596800473717E-4</v>
      </c>
      <c r="AC63" s="142">
        <v>0</v>
      </c>
      <c r="AD63" s="142">
        <v>4.8986822544735469E-6</v>
      </c>
      <c r="AE63" s="142">
        <v>3.1004139052563521E-5</v>
      </c>
      <c r="AF63" s="142">
        <v>0</v>
      </c>
      <c r="AG63" s="142">
        <v>0</v>
      </c>
      <c r="AH63" s="142">
        <v>0</v>
      </c>
      <c r="AI63" s="142">
        <v>0</v>
      </c>
      <c r="AJ63" s="142">
        <v>3.7002516171099633E-4</v>
      </c>
      <c r="AK63" s="142">
        <v>0</v>
      </c>
      <c r="AL63" s="142">
        <v>0</v>
      </c>
      <c r="AM63" s="142">
        <v>0</v>
      </c>
      <c r="AN63" s="142">
        <v>0.13498650134986503</v>
      </c>
      <c r="AO63" s="142">
        <v>0</v>
      </c>
      <c r="AP63" s="142">
        <v>0</v>
      </c>
      <c r="AQ63" s="142">
        <v>2E-3</v>
      </c>
      <c r="AR63" s="142">
        <v>0</v>
      </c>
      <c r="AS63" s="142">
        <v>0</v>
      </c>
      <c r="AT63" s="142">
        <v>2.9991002699190243E-2</v>
      </c>
      <c r="AU63" s="142">
        <v>0.03</v>
      </c>
      <c r="AV63" s="142">
        <v>0</v>
      </c>
      <c r="AW63" s="142">
        <v>0</v>
      </c>
      <c r="AX63" s="142">
        <v>0</v>
      </c>
      <c r="AY63" s="142">
        <v>0</v>
      </c>
      <c r="AZ63" s="142">
        <v>0.13000000000000003</v>
      </c>
      <c r="BA63" s="142">
        <v>0.24199999999999999</v>
      </c>
      <c r="BB63" s="142">
        <v>0.24890043982407042</v>
      </c>
      <c r="BC63" s="142">
        <v>0</v>
      </c>
      <c r="BD63" s="142">
        <v>7.8984992851358252E-2</v>
      </c>
      <c r="BE63" s="142">
        <v>0.39900000000000002</v>
      </c>
      <c r="BF63" s="142">
        <v>0</v>
      </c>
      <c r="BG63" s="142">
        <v>0</v>
      </c>
      <c r="BH63" s="142">
        <v>1.0999999999999999E-2</v>
      </c>
      <c r="BI63" s="142">
        <v>0</v>
      </c>
      <c r="BJ63" s="142">
        <v>0.27899999999999997</v>
      </c>
      <c r="BK63" s="142">
        <v>0</v>
      </c>
      <c r="BL63" s="142">
        <v>0</v>
      </c>
      <c r="BM63" s="142">
        <v>0</v>
      </c>
      <c r="BN63" s="142">
        <v>0</v>
      </c>
      <c r="BO63" s="142">
        <v>0</v>
      </c>
      <c r="BP63" s="142">
        <v>0</v>
      </c>
      <c r="BQ63" s="142">
        <v>0</v>
      </c>
      <c r="BR63" s="142">
        <v>0</v>
      </c>
      <c r="BS63" s="142">
        <v>0</v>
      </c>
      <c r="BT63" s="142">
        <v>0</v>
      </c>
      <c r="BU63" s="142">
        <v>0</v>
      </c>
      <c r="BV63" s="142">
        <v>0</v>
      </c>
      <c r="BW63" s="142">
        <v>0</v>
      </c>
      <c r="BX63" s="142">
        <v>0</v>
      </c>
      <c r="BY63" s="142">
        <v>0</v>
      </c>
      <c r="BZ63" s="142">
        <v>0</v>
      </c>
      <c r="CA63" s="142">
        <v>0</v>
      </c>
      <c r="CB63" s="142">
        <v>0</v>
      </c>
      <c r="CC63" s="142">
        <v>0</v>
      </c>
      <c r="CD63" s="142">
        <v>0</v>
      </c>
      <c r="CE63" s="142">
        <v>0</v>
      </c>
      <c r="CF63" s="142">
        <v>0</v>
      </c>
      <c r="CG63" s="142">
        <v>0</v>
      </c>
    </row>
    <row r="64" spans="1:85" x14ac:dyDescent="0.15">
      <c r="A64" s="177" t="s">
        <v>254</v>
      </c>
      <c r="B64" s="142">
        <v>1E-3</v>
      </c>
      <c r="C64" s="142">
        <v>0</v>
      </c>
      <c r="D64" s="142">
        <v>0</v>
      </c>
      <c r="E64" s="142">
        <v>0.1</v>
      </c>
      <c r="F64" s="142">
        <v>0</v>
      </c>
      <c r="G64" s="142">
        <v>0</v>
      </c>
      <c r="H64" s="142">
        <v>0</v>
      </c>
      <c r="I64" s="142">
        <v>0</v>
      </c>
      <c r="J64" s="142">
        <v>0</v>
      </c>
      <c r="K64" s="142">
        <v>4.6998021383299753E-4</v>
      </c>
      <c r="L64" s="142">
        <v>1.000257966529568E-3</v>
      </c>
      <c r="M64" s="142">
        <v>1.7995279838098468E-4</v>
      </c>
      <c r="N64" s="142">
        <v>8.3025737978773418E-4</v>
      </c>
      <c r="O64" s="142">
        <v>5.202480022226594E-4</v>
      </c>
      <c r="P64" s="142">
        <v>0</v>
      </c>
      <c r="Q64" s="142">
        <v>1.7999999999999999E-2</v>
      </c>
      <c r="R64" s="142">
        <v>0</v>
      </c>
      <c r="S64" s="142">
        <v>0</v>
      </c>
      <c r="T64" s="142">
        <v>9.998641184663004E-4</v>
      </c>
      <c r="U64" s="142">
        <v>1.1004231016783642E-2</v>
      </c>
      <c r="V64" s="142">
        <v>7.9985282707981751E-3</v>
      </c>
      <c r="W64" s="142">
        <v>3.0001525877606135E-3</v>
      </c>
      <c r="X64" s="142">
        <v>3.3010170433510566E-2</v>
      </c>
      <c r="Y64" s="142">
        <v>2.0003520619629052E-3</v>
      </c>
      <c r="Z64" s="142">
        <v>0.11897180487196338</v>
      </c>
      <c r="AA64" s="142">
        <v>0.14904009178469008</v>
      </c>
      <c r="AB64" s="142">
        <v>8.0034897456268059E-3</v>
      </c>
      <c r="AC64" s="142">
        <v>4.0015085687304126E-3</v>
      </c>
      <c r="AD64" s="142">
        <v>7.997848578732323E-4</v>
      </c>
      <c r="AE64" s="142">
        <v>2.0002670356492592E-3</v>
      </c>
      <c r="AF64" s="142">
        <v>2.0009524533678034E-4</v>
      </c>
      <c r="AG64" s="142">
        <v>0</v>
      </c>
      <c r="AH64" s="142">
        <v>0</v>
      </c>
      <c r="AI64" s="142">
        <v>0</v>
      </c>
      <c r="AJ64" s="142">
        <v>1.0000680046243144E-3</v>
      </c>
      <c r="AK64" s="142">
        <v>2.9994924858713907E-3</v>
      </c>
      <c r="AL64" s="142">
        <v>5.9017705311593477E-2</v>
      </c>
      <c r="AM64" s="142">
        <v>0</v>
      </c>
      <c r="AN64" s="142">
        <v>0.12298770122987701</v>
      </c>
      <c r="AO64" s="142">
        <v>0</v>
      </c>
      <c r="AP64" s="142">
        <v>0.15196200949762559</v>
      </c>
      <c r="AQ64" s="142">
        <v>0.17</v>
      </c>
      <c r="AR64" s="142">
        <v>0.17</v>
      </c>
      <c r="AS64" s="142">
        <v>0.15</v>
      </c>
      <c r="AT64" s="142">
        <v>0.19994001799460165</v>
      </c>
      <c r="AU64" s="142">
        <v>0.2</v>
      </c>
      <c r="AV64" s="142">
        <v>0.2</v>
      </c>
      <c r="AW64" s="142">
        <v>0.20010005002501249</v>
      </c>
      <c r="AX64" s="142">
        <v>0.15</v>
      </c>
      <c r="AY64" s="142">
        <v>0.14994751836857098</v>
      </c>
      <c r="AZ64" s="142">
        <v>0.24000000000000002</v>
      </c>
      <c r="BA64" s="142">
        <v>0.2</v>
      </c>
      <c r="BB64" s="142">
        <v>0.19992003198720518</v>
      </c>
      <c r="BC64" s="142">
        <v>0.372</v>
      </c>
      <c r="BD64" s="142">
        <v>0.24195402873454044</v>
      </c>
      <c r="BE64" s="142">
        <v>0.35199999999999998</v>
      </c>
      <c r="BF64" s="142">
        <v>0</v>
      </c>
      <c r="BG64" s="142">
        <v>0</v>
      </c>
      <c r="BH64" s="142">
        <v>0</v>
      </c>
      <c r="BI64" s="142">
        <v>0</v>
      </c>
      <c r="BJ64" s="142">
        <v>0</v>
      </c>
      <c r="BK64" s="142">
        <v>0</v>
      </c>
      <c r="BL64" s="142">
        <v>0</v>
      </c>
      <c r="BM64" s="142">
        <v>0</v>
      </c>
      <c r="BN64" s="142">
        <v>0</v>
      </c>
      <c r="BO64" s="142">
        <v>0</v>
      </c>
      <c r="BP64" s="142">
        <v>0</v>
      </c>
      <c r="BQ64" s="142">
        <v>0</v>
      </c>
      <c r="BR64" s="142">
        <v>0</v>
      </c>
      <c r="BS64" s="142">
        <v>0</v>
      </c>
      <c r="BT64" s="142">
        <v>0</v>
      </c>
      <c r="BU64" s="142">
        <v>0</v>
      </c>
      <c r="BV64" s="142">
        <v>0</v>
      </c>
      <c r="BW64" s="142">
        <v>0</v>
      </c>
      <c r="BX64" s="142">
        <v>0</v>
      </c>
      <c r="BY64" s="142">
        <v>0</v>
      </c>
      <c r="BZ64" s="142">
        <v>0</v>
      </c>
      <c r="CA64" s="142">
        <v>0</v>
      </c>
      <c r="CB64" s="142">
        <v>0</v>
      </c>
      <c r="CC64" s="142">
        <v>0</v>
      </c>
      <c r="CD64" s="142">
        <v>0</v>
      </c>
      <c r="CE64" s="142">
        <v>0</v>
      </c>
      <c r="CF64" s="142">
        <v>0</v>
      </c>
      <c r="CG64" s="142">
        <v>0</v>
      </c>
    </row>
    <row r="65" spans="1:85" x14ac:dyDescent="0.15">
      <c r="A65" s="177" t="s">
        <v>255</v>
      </c>
      <c r="B65" s="142">
        <v>0</v>
      </c>
      <c r="C65" s="142">
        <v>0</v>
      </c>
      <c r="D65" s="142">
        <v>0</v>
      </c>
      <c r="E65" s="142">
        <v>0</v>
      </c>
      <c r="F65" s="142">
        <v>0</v>
      </c>
      <c r="G65" s="142">
        <v>0</v>
      </c>
      <c r="H65" s="142">
        <v>0</v>
      </c>
      <c r="I65" s="142">
        <v>0</v>
      </c>
      <c r="J65" s="142">
        <v>0</v>
      </c>
      <c r="K65" s="142">
        <v>4.0998273972665746E-4</v>
      </c>
      <c r="L65" s="142">
        <v>7.2018573590128899E-5</v>
      </c>
      <c r="M65" s="142">
        <v>1.699554206931522E-4</v>
      </c>
      <c r="N65" s="142">
        <v>2.0006201922596005E-4</v>
      </c>
      <c r="O65" s="142">
        <v>1.0004769273512682E-3</v>
      </c>
      <c r="P65" s="142">
        <v>2.8986405375878712E-5</v>
      </c>
      <c r="Q65" s="142">
        <v>0</v>
      </c>
      <c r="R65" s="142">
        <v>0</v>
      </c>
      <c r="S65" s="142">
        <v>3.1994476473581597E-4</v>
      </c>
      <c r="T65" s="142">
        <v>3.9994564738652016E-3</v>
      </c>
      <c r="U65" s="142">
        <v>2.8010769860903817E-4</v>
      </c>
      <c r="V65" s="142">
        <v>6.9987122369484034E-3</v>
      </c>
      <c r="W65" s="142">
        <v>6.0003051755212269E-3</v>
      </c>
      <c r="X65" s="142">
        <v>2.1006472094052177E-2</v>
      </c>
      <c r="Y65" s="142">
        <v>3.0005280929443576E-3</v>
      </c>
      <c r="Z65" s="142">
        <v>0.12397062020271814</v>
      </c>
      <c r="AA65" s="142">
        <v>0.11703148146851504</v>
      </c>
      <c r="AB65" s="142">
        <v>7.8034025019861356E-2</v>
      </c>
      <c r="AC65" s="142">
        <v>2.9010937123295489E-2</v>
      </c>
      <c r="AD65" s="142">
        <v>2.5993007880880043E-4</v>
      </c>
      <c r="AE65" s="142">
        <v>6.1008144587302401E-2</v>
      </c>
      <c r="AF65" s="142">
        <v>0.20909953137693543</v>
      </c>
      <c r="AG65" s="142">
        <v>6.9999999999999993E-2</v>
      </c>
      <c r="AH65" s="142">
        <v>1</v>
      </c>
      <c r="AI65" s="142">
        <v>0.2149935501934942</v>
      </c>
      <c r="AJ65" s="142">
        <v>2.2001496101734914E-2</v>
      </c>
      <c r="AK65" s="142">
        <v>1.1997969943485563E-2</v>
      </c>
      <c r="AL65" s="142">
        <v>0</v>
      </c>
      <c r="AM65" s="142">
        <v>0</v>
      </c>
      <c r="AN65" s="142">
        <v>2.7997200279972004E-2</v>
      </c>
      <c r="AO65" s="142">
        <v>0.04</v>
      </c>
      <c r="AP65" s="142">
        <v>3.9990002499375156E-2</v>
      </c>
      <c r="AQ65" s="142">
        <v>0.12</v>
      </c>
      <c r="AR65" s="142">
        <v>0.2</v>
      </c>
      <c r="AS65" s="142">
        <v>0.2</v>
      </c>
      <c r="AT65" s="142">
        <v>0.19994001799460165</v>
      </c>
      <c r="AU65" s="142">
        <v>0.2</v>
      </c>
      <c r="AV65" s="142">
        <v>0.2</v>
      </c>
      <c r="AW65" s="142">
        <v>0.20010005002501249</v>
      </c>
      <c r="AX65" s="142">
        <v>0.2</v>
      </c>
      <c r="AY65" s="142">
        <v>0.19993002449142799</v>
      </c>
      <c r="AZ65" s="142">
        <v>0</v>
      </c>
      <c r="BA65" s="142">
        <v>0.11600000000000001</v>
      </c>
      <c r="BB65" s="142">
        <v>0.10995601759296285</v>
      </c>
      <c r="BC65" s="142">
        <v>0.24199999999999999</v>
      </c>
      <c r="BD65" s="142">
        <v>1.5996960577490279E-2</v>
      </c>
      <c r="BE65" s="142">
        <v>0</v>
      </c>
      <c r="BF65" s="142">
        <v>0</v>
      </c>
      <c r="BG65" s="142">
        <v>0</v>
      </c>
      <c r="BH65" s="142">
        <v>0</v>
      </c>
      <c r="BI65" s="142">
        <v>0</v>
      </c>
      <c r="BJ65" s="142">
        <v>1.1999999999999997E-2</v>
      </c>
      <c r="BK65" s="142">
        <v>1.9990804230054175E-2</v>
      </c>
      <c r="BL65" s="142">
        <v>0</v>
      </c>
      <c r="BM65" s="142">
        <v>9.997500624843789E-3</v>
      </c>
      <c r="BN65" s="142">
        <v>0.01</v>
      </c>
      <c r="BO65" s="142">
        <v>0</v>
      </c>
      <c r="BP65" s="142">
        <v>0</v>
      </c>
      <c r="BQ65" s="142">
        <v>0</v>
      </c>
      <c r="BR65" s="142">
        <v>0</v>
      </c>
      <c r="BS65" s="142">
        <v>0</v>
      </c>
      <c r="BT65" s="142">
        <v>0</v>
      </c>
      <c r="BU65" s="142">
        <v>0</v>
      </c>
      <c r="BV65" s="142">
        <v>0</v>
      </c>
      <c r="BW65" s="142">
        <v>0</v>
      </c>
      <c r="BX65" s="142">
        <v>0</v>
      </c>
      <c r="BY65" s="142">
        <v>0</v>
      </c>
      <c r="BZ65" s="142">
        <v>0</v>
      </c>
      <c r="CA65" s="142">
        <v>0</v>
      </c>
      <c r="CB65" s="142">
        <v>0</v>
      </c>
      <c r="CC65" s="142">
        <v>0</v>
      </c>
      <c r="CD65" s="142">
        <v>0</v>
      </c>
      <c r="CE65" s="142">
        <v>0</v>
      </c>
      <c r="CF65" s="142">
        <v>0</v>
      </c>
      <c r="CG65" s="142">
        <v>0</v>
      </c>
    </row>
    <row r="66" spans="1:85" x14ac:dyDescent="0.15">
      <c r="A66" s="177" t="s">
        <v>256</v>
      </c>
      <c r="B66" s="142">
        <v>0</v>
      </c>
      <c r="C66" s="142">
        <v>0</v>
      </c>
      <c r="D66" s="142">
        <v>0</v>
      </c>
      <c r="E66" s="142">
        <v>0</v>
      </c>
      <c r="F66" s="142">
        <v>0</v>
      </c>
      <c r="G66" s="142">
        <v>0</v>
      </c>
      <c r="H66" s="142">
        <v>0</v>
      </c>
      <c r="I66" s="142">
        <v>0</v>
      </c>
      <c r="J66" s="142">
        <v>0</v>
      </c>
      <c r="K66" s="142">
        <v>0</v>
      </c>
      <c r="L66" s="142">
        <v>0</v>
      </c>
      <c r="M66" s="142">
        <v>0</v>
      </c>
      <c r="N66" s="142">
        <v>0</v>
      </c>
      <c r="O66" s="142">
        <v>0</v>
      </c>
      <c r="P66" s="142">
        <v>0</v>
      </c>
      <c r="Q66" s="142">
        <v>0</v>
      </c>
      <c r="R66" s="142">
        <v>0</v>
      </c>
      <c r="S66" s="142">
        <v>5.1991024269570083E-4</v>
      </c>
      <c r="T66" s="142">
        <v>6.4991167700309519E-5</v>
      </c>
      <c r="U66" s="142">
        <v>1.0003846378894221E-3</v>
      </c>
      <c r="V66" s="142">
        <v>4.0992457387840651E-2</v>
      </c>
      <c r="W66" s="142">
        <v>2.0001017251737425E-3</v>
      </c>
      <c r="X66" s="142">
        <v>2.5007704873871638E-4</v>
      </c>
      <c r="Y66" s="142">
        <v>7.0012322168701693E-2</v>
      </c>
      <c r="Z66" s="142">
        <v>0.12597014633502004</v>
      </c>
      <c r="AA66" s="142">
        <v>0.11903201961327596</v>
      </c>
      <c r="AB66" s="142">
        <v>0.10204449425674177</v>
      </c>
      <c r="AC66" s="142">
        <v>0.35113237690609361</v>
      </c>
      <c r="AD66" s="142">
        <v>9.9973107234154028E-3</v>
      </c>
      <c r="AE66" s="142">
        <v>0</v>
      </c>
      <c r="AF66" s="142">
        <v>5.0023811334195083E-3</v>
      </c>
      <c r="AG66" s="142">
        <v>6.9999999999999993E-2</v>
      </c>
      <c r="AH66" s="142">
        <v>0</v>
      </c>
      <c r="AI66" s="142">
        <v>1.2999610011699648E-2</v>
      </c>
      <c r="AJ66" s="142">
        <v>1.2000816055491774E-2</v>
      </c>
      <c r="AK66" s="142">
        <v>5.3990864745685036E-4</v>
      </c>
      <c r="AL66" s="142">
        <v>3.0009002700810247E-3</v>
      </c>
      <c r="AM66" s="142">
        <v>0</v>
      </c>
      <c r="AN66" s="142">
        <v>7.0992900709929002E-2</v>
      </c>
      <c r="AO66" s="142">
        <v>0.04</v>
      </c>
      <c r="AP66" s="142">
        <v>8.8977755561109706E-2</v>
      </c>
      <c r="AQ66" s="142">
        <v>0.21</v>
      </c>
      <c r="AR66" s="142">
        <v>0.31</v>
      </c>
      <c r="AS66" s="142">
        <v>0.4</v>
      </c>
      <c r="AT66" s="142">
        <v>0.41687493751874438</v>
      </c>
      <c r="AU66" s="142">
        <v>0.28899999999999998</v>
      </c>
      <c r="AV66" s="142">
        <v>0.316</v>
      </c>
      <c r="AW66" s="142">
        <v>0.31415707853926961</v>
      </c>
      <c r="AX66" s="142">
        <v>0.32</v>
      </c>
      <c r="AY66" s="142">
        <v>0.31988803918628478</v>
      </c>
      <c r="AZ66" s="142">
        <v>2.0000000000000004E-2</v>
      </c>
      <c r="BA66" s="142">
        <v>0.125</v>
      </c>
      <c r="BB66" s="142">
        <v>0.12495001999200323</v>
      </c>
      <c r="BC66" s="142">
        <v>0.26400000000000001</v>
      </c>
      <c r="BD66" s="142">
        <v>0.27294813985342792</v>
      </c>
      <c r="BE66" s="142">
        <v>8.7999999999999995E-2</v>
      </c>
      <c r="BF66" s="142">
        <v>0</v>
      </c>
      <c r="BG66" s="142">
        <v>0.19999999999999996</v>
      </c>
      <c r="BH66" s="142">
        <v>0</v>
      </c>
      <c r="BI66" s="142">
        <v>0</v>
      </c>
      <c r="BJ66" s="142">
        <v>1.1999999999999997E-2</v>
      </c>
      <c r="BK66" s="142">
        <v>9.9954021150270873E-4</v>
      </c>
      <c r="BL66" s="142">
        <v>0</v>
      </c>
      <c r="BM66" s="142">
        <v>3.9990002499375156E-2</v>
      </c>
      <c r="BN66" s="142">
        <v>0.01</v>
      </c>
      <c r="BO66" s="142">
        <v>0</v>
      </c>
      <c r="BP66" s="142">
        <v>0</v>
      </c>
      <c r="BQ66" s="142">
        <v>0</v>
      </c>
      <c r="BR66" s="142">
        <v>0</v>
      </c>
      <c r="BS66" s="142">
        <v>0</v>
      </c>
      <c r="BT66" s="142">
        <v>0</v>
      </c>
      <c r="BU66" s="142">
        <v>0</v>
      </c>
      <c r="BV66" s="142">
        <v>0</v>
      </c>
      <c r="BW66" s="142">
        <v>0</v>
      </c>
      <c r="BX66" s="142">
        <v>0</v>
      </c>
      <c r="BY66" s="142">
        <v>0</v>
      </c>
      <c r="BZ66" s="142">
        <v>0</v>
      </c>
      <c r="CA66" s="142">
        <v>0</v>
      </c>
      <c r="CB66" s="142">
        <v>0</v>
      </c>
      <c r="CC66" s="142">
        <v>0</v>
      </c>
      <c r="CD66" s="142">
        <v>0</v>
      </c>
      <c r="CE66" s="142">
        <v>0</v>
      </c>
      <c r="CF66" s="142">
        <v>0</v>
      </c>
      <c r="CG66" s="142">
        <v>0</v>
      </c>
    </row>
    <row r="67" spans="1:85" x14ac:dyDescent="0.15">
      <c r="A67" s="177" t="s">
        <v>257</v>
      </c>
      <c r="B67" s="142">
        <v>0</v>
      </c>
      <c r="C67" s="142">
        <v>0</v>
      </c>
      <c r="D67" s="142">
        <v>0</v>
      </c>
      <c r="E67" s="142">
        <v>0</v>
      </c>
      <c r="F67" s="142">
        <v>0</v>
      </c>
      <c r="G67" s="142">
        <v>0</v>
      </c>
      <c r="H67" s="142">
        <v>0</v>
      </c>
      <c r="I67" s="142">
        <v>0</v>
      </c>
      <c r="J67" s="142">
        <v>0</v>
      </c>
      <c r="K67" s="142">
        <v>5.1997810892161426E-5</v>
      </c>
      <c r="L67" s="142">
        <v>1.7004385431002657E-4</v>
      </c>
      <c r="M67" s="142">
        <v>1.1996853225398978E-4</v>
      </c>
      <c r="N67" s="142">
        <v>2.0006201922596005E-4</v>
      </c>
      <c r="O67" s="142">
        <v>1.7008107764971558E-4</v>
      </c>
      <c r="P67" s="142">
        <v>0</v>
      </c>
      <c r="Q67" s="142">
        <v>0</v>
      </c>
      <c r="R67" s="142">
        <v>0</v>
      </c>
      <c r="S67" s="142">
        <v>8.7984810302349395E-6</v>
      </c>
      <c r="T67" s="142">
        <v>4.5993749449449819E-4</v>
      </c>
      <c r="U67" s="142">
        <v>0</v>
      </c>
      <c r="V67" s="142">
        <v>9.9981603384977189E-4</v>
      </c>
      <c r="W67" s="142">
        <v>1.4000712076216197E-5</v>
      </c>
      <c r="X67" s="142">
        <v>1.0003081949548655E-3</v>
      </c>
      <c r="Y67" s="142">
        <v>9.7017075005200899E-5</v>
      </c>
      <c r="Z67" s="142">
        <v>8.4979860622830999E-2</v>
      </c>
      <c r="AA67" s="142">
        <v>7.0018835066632923E-2</v>
      </c>
      <c r="AB67" s="142">
        <v>7.6033152583454664E-4</v>
      </c>
      <c r="AC67" s="142">
        <v>2.2008297128017266E-4</v>
      </c>
      <c r="AD67" s="142">
        <v>6.7981712919224738E-5</v>
      </c>
      <c r="AE67" s="142">
        <v>2.6003471463440365E-4</v>
      </c>
      <c r="AF67" s="142">
        <v>1.700809585362633E-4</v>
      </c>
      <c r="AG67" s="142">
        <v>5.9999999999999984E-2</v>
      </c>
      <c r="AH67" s="142">
        <v>0</v>
      </c>
      <c r="AI67" s="142">
        <v>0</v>
      </c>
      <c r="AJ67" s="142">
        <v>3.9002652180348261E-4</v>
      </c>
      <c r="AK67" s="142">
        <v>1.9996616572475938E-3</v>
      </c>
      <c r="AL67" s="142">
        <v>7.602280684205262E-2</v>
      </c>
      <c r="AM67" s="142">
        <v>0</v>
      </c>
      <c r="AN67" s="142">
        <v>2.3997600239976002E-2</v>
      </c>
      <c r="AO67" s="142">
        <v>0</v>
      </c>
      <c r="AP67" s="142">
        <v>3.4991252186953259E-2</v>
      </c>
      <c r="AQ67" s="142">
        <v>0.1</v>
      </c>
      <c r="AR67" s="142">
        <v>0.1</v>
      </c>
      <c r="AS67" s="142">
        <v>0.1</v>
      </c>
      <c r="AT67" s="142">
        <v>9.9970008997300824E-2</v>
      </c>
      <c r="AU67" s="142">
        <v>0.1</v>
      </c>
      <c r="AV67" s="142">
        <v>0.1</v>
      </c>
      <c r="AW67" s="142">
        <v>0.10005002501250625</v>
      </c>
      <c r="AX67" s="142">
        <v>0.1</v>
      </c>
      <c r="AY67" s="142">
        <v>9.9965012245713997E-2</v>
      </c>
      <c r="AZ67" s="142">
        <v>0.10000000000000002</v>
      </c>
      <c r="BA67" s="142">
        <v>0</v>
      </c>
      <c r="BB67" s="142">
        <v>0</v>
      </c>
      <c r="BC67" s="142">
        <v>0.01</v>
      </c>
      <c r="BD67" s="142">
        <v>0</v>
      </c>
      <c r="BE67" s="142">
        <v>7.6999999999999999E-2</v>
      </c>
      <c r="BF67" s="142">
        <v>0</v>
      </c>
      <c r="BG67" s="142">
        <v>0</v>
      </c>
      <c r="BH67" s="142">
        <v>0</v>
      </c>
      <c r="BI67" s="142">
        <v>0</v>
      </c>
      <c r="BJ67" s="142">
        <v>6.0999999999999985E-2</v>
      </c>
      <c r="BK67" s="142">
        <v>0</v>
      </c>
      <c r="BL67" s="142">
        <v>0</v>
      </c>
      <c r="BM67" s="142">
        <v>0</v>
      </c>
      <c r="BN67" s="142">
        <v>0</v>
      </c>
      <c r="BO67" s="142">
        <v>0</v>
      </c>
      <c r="BP67" s="142">
        <v>0</v>
      </c>
      <c r="BQ67" s="142">
        <v>0</v>
      </c>
      <c r="BR67" s="142">
        <v>0</v>
      </c>
      <c r="BS67" s="142">
        <v>0</v>
      </c>
      <c r="BT67" s="142">
        <v>0</v>
      </c>
      <c r="BU67" s="142">
        <v>0</v>
      </c>
      <c r="BV67" s="142">
        <v>0</v>
      </c>
      <c r="BW67" s="142">
        <v>0</v>
      </c>
      <c r="BX67" s="142">
        <v>0</v>
      </c>
      <c r="BY67" s="142">
        <v>0</v>
      </c>
      <c r="BZ67" s="142">
        <v>0</v>
      </c>
      <c r="CA67" s="142">
        <v>0</v>
      </c>
      <c r="CB67" s="142">
        <v>0</v>
      </c>
      <c r="CC67" s="142">
        <v>0</v>
      </c>
      <c r="CD67" s="142">
        <v>0</v>
      </c>
      <c r="CE67" s="142">
        <v>0</v>
      </c>
      <c r="CF67" s="142">
        <v>0</v>
      </c>
      <c r="CG67" s="142">
        <v>0</v>
      </c>
    </row>
    <row r="68" spans="1:85" x14ac:dyDescent="0.15">
      <c r="A68" s="177" t="s">
        <v>258</v>
      </c>
      <c r="B68" s="142">
        <v>0</v>
      </c>
      <c r="C68" s="142">
        <v>0</v>
      </c>
      <c r="D68" s="142">
        <v>0</v>
      </c>
      <c r="E68" s="142">
        <v>0</v>
      </c>
      <c r="F68" s="142">
        <v>0</v>
      </c>
      <c r="G68" s="142">
        <v>0</v>
      </c>
      <c r="H68" s="142">
        <v>0</v>
      </c>
      <c r="I68" s="142">
        <v>0</v>
      </c>
      <c r="J68" s="142">
        <v>0</v>
      </c>
      <c r="K68" s="142">
        <v>0</v>
      </c>
      <c r="L68" s="142">
        <v>0</v>
      </c>
      <c r="M68" s="142">
        <v>0</v>
      </c>
      <c r="N68" s="142">
        <v>0</v>
      </c>
      <c r="O68" s="142">
        <v>0</v>
      </c>
      <c r="P68" s="142">
        <v>0</v>
      </c>
      <c r="Q68" s="142">
        <v>0</v>
      </c>
      <c r="R68" s="142">
        <v>0</v>
      </c>
      <c r="S68" s="142">
        <v>0</v>
      </c>
      <c r="T68" s="142">
        <v>0</v>
      </c>
      <c r="U68" s="142">
        <v>0</v>
      </c>
      <c r="V68" s="142">
        <v>0</v>
      </c>
      <c r="W68" s="142">
        <v>0</v>
      </c>
      <c r="X68" s="142">
        <v>0</v>
      </c>
      <c r="Y68" s="142">
        <v>0</v>
      </c>
      <c r="Z68" s="142">
        <v>0</v>
      </c>
      <c r="AA68" s="142">
        <v>0</v>
      </c>
      <c r="AB68" s="142">
        <v>0</v>
      </c>
      <c r="AC68" s="142">
        <v>0</v>
      </c>
      <c r="AD68" s="142">
        <v>0</v>
      </c>
      <c r="AE68" s="142">
        <v>0</v>
      </c>
      <c r="AF68" s="142">
        <v>0</v>
      </c>
      <c r="AG68" s="142">
        <v>0</v>
      </c>
      <c r="AH68" s="142">
        <v>0</v>
      </c>
      <c r="AI68" s="142">
        <v>0</v>
      </c>
      <c r="AJ68" s="142">
        <v>0</v>
      </c>
      <c r="AK68" s="142">
        <v>0</v>
      </c>
      <c r="AL68" s="142">
        <v>0</v>
      </c>
      <c r="AM68" s="142">
        <v>0</v>
      </c>
      <c r="AN68" s="142">
        <v>1.5998400159984001E-2</v>
      </c>
      <c r="AO68" s="142">
        <v>0</v>
      </c>
      <c r="AP68" s="142">
        <v>0</v>
      </c>
      <c r="AQ68" s="142">
        <v>0.01</v>
      </c>
      <c r="AR68" s="142">
        <v>5.1999999999999998E-2</v>
      </c>
      <c r="AS68" s="142">
        <v>0</v>
      </c>
      <c r="AT68" s="142">
        <v>9.9970008997300806E-4</v>
      </c>
      <c r="AU68" s="142">
        <v>1E-3</v>
      </c>
      <c r="AV68" s="142">
        <v>2.9999999999999997E-4</v>
      </c>
      <c r="AW68" s="142">
        <v>1.5007503751875934E-4</v>
      </c>
      <c r="AX68" s="142">
        <v>0.01</v>
      </c>
      <c r="AY68" s="142">
        <v>9.9965012245713993E-3</v>
      </c>
      <c r="AZ68" s="142">
        <v>0</v>
      </c>
      <c r="BA68" s="142">
        <v>2.4E-2</v>
      </c>
      <c r="BB68" s="142">
        <v>2.3990403838464621E-2</v>
      </c>
      <c r="BC68" s="142">
        <v>0</v>
      </c>
      <c r="BD68" s="142">
        <v>1.5996960577490279E-2</v>
      </c>
      <c r="BE68" s="142">
        <v>0</v>
      </c>
      <c r="BF68" s="142">
        <v>1.2999999999999999E-2</v>
      </c>
      <c r="BG68" s="142">
        <v>0.39999999999999991</v>
      </c>
      <c r="BH68" s="142">
        <v>0</v>
      </c>
      <c r="BI68" s="142">
        <v>0</v>
      </c>
      <c r="BJ68" s="142">
        <v>0</v>
      </c>
      <c r="BK68" s="142">
        <v>2.5988045499070422E-2</v>
      </c>
      <c r="BL68" s="142">
        <v>0.01</v>
      </c>
      <c r="BM68" s="142">
        <v>6.9982504373906518E-2</v>
      </c>
      <c r="BN68" s="142">
        <v>0.1</v>
      </c>
      <c r="BO68" s="142">
        <v>0.1</v>
      </c>
      <c r="BP68" s="142">
        <v>0</v>
      </c>
      <c r="BQ68" s="142">
        <v>0</v>
      </c>
      <c r="BR68" s="142">
        <v>0</v>
      </c>
      <c r="BS68" s="142">
        <v>0</v>
      </c>
      <c r="BT68" s="142">
        <v>0</v>
      </c>
      <c r="BU68" s="142">
        <v>0</v>
      </c>
      <c r="BV68" s="142">
        <v>0</v>
      </c>
      <c r="BW68" s="142">
        <v>0</v>
      </c>
      <c r="BX68" s="142">
        <v>0</v>
      </c>
      <c r="BY68" s="142">
        <v>0</v>
      </c>
      <c r="BZ68" s="142">
        <v>0</v>
      </c>
      <c r="CA68" s="142">
        <v>0</v>
      </c>
      <c r="CB68" s="142">
        <v>0</v>
      </c>
      <c r="CC68" s="142">
        <v>0</v>
      </c>
      <c r="CD68" s="142">
        <v>0</v>
      </c>
      <c r="CE68" s="142">
        <v>0</v>
      </c>
      <c r="CF68" s="142">
        <v>0</v>
      </c>
      <c r="CG68" s="142">
        <v>0</v>
      </c>
    </row>
    <row r="69" spans="1:85" x14ac:dyDescent="0.15">
      <c r="A69" s="177" t="s">
        <v>259</v>
      </c>
      <c r="B69" s="142">
        <v>0</v>
      </c>
      <c r="C69" s="142">
        <v>0</v>
      </c>
      <c r="D69" s="142">
        <v>0</v>
      </c>
      <c r="E69" s="142">
        <v>0</v>
      </c>
      <c r="F69" s="142">
        <v>0</v>
      </c>
      <c r="G69" s="142">
        <v>0</v>
      </c>
      <c r="H69" s="142">
        <v>0</v>
      </c>
      <c r="I69" s="142">
        <v>0</v>
      </c>
      <c r="J69" s="142">
        <v>0</v>
      </c>
      <c r="K69" s="142">
        <v>0</v>
      </c>
      <c r="L69" s="142">
        <v>0</v>
      </c>
      <c r="M69" s="142">
        <v>0</v>
      </c>
      <c r="N69" s="142">
        <v>0</v>
      </c>
      <c r="O69" s="142">
        <v>0</v>
      </c>
      <c r="P69" s="142">
        <v>0</v>
      </c>
      <c r="Q69" s="142">
        <v>0</v>
      </c>
      <c r="R69" s="142">
        <v>0</v>
      </c>
      <c r="S69" s="142">
        <v>0</v>
      </c>
      <c r="T69" s="142">
        <v>1.3998097658528204E-6</v>
      </c>
      <c r="U69" s="142">
        <v>0</v>
      </c>
      <c r="V69" s="142">
        <v>4.699135359093928E-6</v>
      </c>
      <c r="W69" s="142">
        <v>0</v>
      </c>
      <c r="X69" s="142">
        <v>0</v>
      </c>
      <c r="Y69" s="142">
        <v>0</v>
      </c>
      <c r="Z69" s="142">
        <v>3.1992418116830487E-5</v>
      </c>
      <c r="AA69" s="142">
        <v>1.4003767013326583E-4</v>
      </c>
      <c r="AB69" s="142">
        <v>9.2040132074708278E-8</v>
      </c>
      <c r="AC69" s="142">
        <v>0</v>
      </c>
      <c r="AD69" s="142">
        <v>0</v>
      </c>
      <c r="AE69" s="142">
        <v>0</v>
      </c>
      <c r="AF69" s="142">
        <v>0</v>
      </c>
      <c r="AG69" s="142">
        <v>0</v>
      </c>
      <c r="AH69" s="142">
        <v>0</v>
      </c>
      <c r="AI69" s="142">
        <v>0</v>
      </c>
      <c r="AJ69" s="142">
        <v>0</v>
      </c>
      <c r="AK69" s="142">
        <v>0</v>
      </c>
      <c r="AL69" s="142">
        <v>0</v>
      </c>
      <c r="AM69" s="142">
        <v>0</v>
      </c>
      <c r="AN69" s="142">
        <v>0</v>
      </c>
      <c r="AO69" s="142">
        <v>0</v>
      </c>
      <c r="AP69" s="142">
        <v>0</v>
      </c>
      <c r="AQ69" s="142">
        <v>0.05</v>
      </c>
      <c r="AR69" s="142">
        <v>0.05</v>
      </c>
      <c r="AS69" s="142">
        <v>5.5E-2</v>
      </c>
      <c r="AT69" s="142">
        <v>9.997000899730081E-3</v>
      </c>
      <c r="AU69" s="142">
        <v>0.01</v>
      </c>
      <c r="AV69" s="142">
        <v>8.9999999999999993E-3</v>
      </c>
      <c r="AW69" s="142">
        <v>2.7013506753376684E-2</v>
      </c>
      <c r="AX69" s="142">
        <v>0.03</v>
      </c>
      <c r="AY69" s="142">
        <v>2.9989503673714196E-2</v>
      </c>
      <c r="AZ69" s="142">
        <v>0</v>
      </c>
      <c r="BA69" s="142">
        <v>0</v>
      </c>
      <c r="BB69" s="142">
        <v>0</v>
      </c>
      <c r="BC69" s="142">
        <v>0</v>
      </c>
      <c r="BD69" s="142">
        <v>0</v>
      </c>
      <c r="BE69" s="142">
        <v>0</v>
      </c>
      <c r="BF69" s="142">
        <v>1.2999999999999999E-2</v>
      </c>
      <c r="BG69" s="142">
        <v>4.9999999999999989E-2</v>
      </c>
      <c r="BH69" s="142">
        <v>0</v>
      </c>
      <c r="BI69" s="142">
        <v>0</v>
      </c>
      <c r="BJ69" s="142">
        <v>0</v>
      </c>
      <c r="BK69" s="142">
        <v>0</v>
      </c>
      <c r="BL69" s="142">
        <v>0</v>
      </c>
      <c r="BM69" s="142">
        <v>0</v>
      </c>
      <c r="BN69" s="142">
        <v>0</v>
      </c>
      <c r="BO69" s="142">
        <v>0.15</v>
      </c>
      <c r="BP69" s="142">
        <v>0</v>
      </c>
      <c r="BQ69" s="142">
        <v>0</v>
      </c>
      <c r="BR69" s="142">
        <v>0</v>
      </c>
      <c r="BS69" s="142">
        <v>0</v>
      </c>
      <c r="BT69" s="142">
        <v>0</v>
      </c>
      <c r="BU69" s="142">
        <v>0</v>
      </c>
      <c r="BV69" s="142">
        <v>0</v>
      </c>
      <c r="BW69" s="142">
        <v>0</v>
      </c>
      <c r="BX69" s="142">
        <v>0</v>
      </c>
      <c r="BY69" s="142">
        <v>0</v>
      </c>
      <c r="BZ69" s="142">
        <v>0</v>
      </c>
      <c r="CA69" s="142">
        <v>0</v>
      </c>
      <c r="CB69" s="142">
        <v>0</v>
      </c>
      <c r="CC69" s="142">
        <v>0</v>
      </c>
      <c r="CD69" s="142">
        <v>0</v>
      </c>
      <c r="CE69" s="142">
        <v>0</v>
      </c>
      <c r="CF69" s="142">
        <v>0</v>
      </c>
      <c r="CG69" s="142">
        <v>0</v>
      </c>
    </row>
    <row r="70" spans="1:85" x14ac:dyDescent="0.15">
      <c r="A70" s="177" t="s">
        <v>260</v>
      </c>
      <c r="B70" s="142">
        <v>0</v>
      </c>
      <c r="C70" s="142">
        <v>0</v>
      </c>
      <c r="D70" s="142">
        <v>0</v>
      </c>
      <c r="E70" s="142">
        <v>0.12</v>
      </c>
      <c r="F70" s="142">
        <v>0</v>
      </c>
      <c r="G70" s="142">
        <v>0</v>
      </c>
      <c r="H70" s="142">
        <v>0</v>
      </c>
      <c r="I70" s="142">
        <v>0</v>
      </c>
      <c r="J70" s="142">
        <v>0</v>
      </c>
      <c r="K70" s="142">
        <v>0</v>
      </c>
      <c r="L70" s="142">
        <v>1.2003095598354816E-6</v>
      </c>
      <c r="M70" s="142">
        <v>0</v>
      </c>
      <c r="N70" s="142">
        <v>0</v>
      </c>
      <c r="O70" s="142">
        <v>0</v>
      </c>
      <c r="P70" s="142">
        <v>0</v>
      </c>
      <c r="Q70" s="142">
        <v>0</v>
      </c>
      <c r="R70" s="142">
        <v>0</v>
      </c>
      <c r="S70" s="142">
        <v>0</v>
      </c>
      <c r="T70" s="142">
        <v>0</v>
      </c>
      <c r="U70" s="142">
        <v>0</v>
      </c>
      <c r="V70" s="142">
        <v>0</v>
      </c>
      <c r="W70" s="142">
        <v>0</v>
      </c>
      <c r="X70" s="142">
        <v>0</v>
      </c>
      <c r="Y70" s="142">
        <v>0</v>
      </c>
      <c r="Z70" s="142">
        <v>0</v>
      </c>
      <c r="AA70" s="142">
        <v>0</v>
      </c>
      <c r="AB70" s="142">
        <v>0</v>
      </c>
      <c r="AC70" s="142">
        <v>0</v>
      </c>
      <c r="AD70" s="142">
        <v>0</v>
      </c>
      <c r="AE70" s="142">
        <v>0</v>
      </c>
      <c r="AF70" s="142">
        <v>0</v>
      </c>
      <c r="AG70" s="142">
        <v>0</v>
      </c>
      <c r="AH70" s="142">
        <v>0</v>
      </c>
      <c r="AI70" s="142">
        <v>0</v>
      </c>
      <c r="AJ70" s="142">
        <v>0</v>
      </c>
      <c r="AK70" s="142">
        <v>0</v>
      </c>
      <c r="AL70" s="142">
        <v>0</v>
      </c>
      <c r="AM70" s="142">
        <v>0</v>
      </c>
      <c r="AN70" s="142">
        <v>0</v>
      </c>
      <c r="AO70" s="142">
        <v>0.01</v>
      </c>
      <c r="AP70" s="142">
        <v>0</v>
      </c>
      <c r="AQ70" s="142">
        <v>0</v>
      </c>
      <c r="AR70" s="142">
        <v>0</v>
      </c>
      <c r="AS70" s="142">
        <v>0</v>
      </c>
      <c r="AT70" s="142">
        <v>0</v>
      </c>
      <c r="AU70" s="142">
        <v>0</v>
      </c>
      <c r="AV70" s="142">
        <v>0</v>
      </c>
      <c r="AW70" s="142">
        <v>0</v>
      </c>
      <c r="AX70" s="142">
        <v>0</v>
      </c>
      <c r="AY70" s="142">
        <v>0</v>
      </c>
      <c r="AZ70" s="142">
        <v>0</v>
      </c>
      <c r="BA70" s="142">
        <v>0</v>
      </c>
      <c r="BB70" s="142">
        <v>0</v>
      </c>
      <c r="BC70" s="142">
        <v>0</v>
      </c>
      <c r="BD70" s="142">
        <v>0</v>
      </c>
      <c r="BE70" s="142">
        <v>0</v>
      </c>
      <c r="BF70" s="142">
        <v>0</v>
      </c>
      <c r="BG70" s="142">
        <v>0</v>
      </c>
      <c r="BH70" s="142">
        <v>0</v>
      </c>
      <c r="BI70" s="142">
        <v>0</v>
      </c>
      <c r="BJ70" s="142">
        <v>0</v>
      </c>
      <c r="BK70" s="142">
        <v>6.9967814805189602E-3</v>
      </c>
      <c r="BL70" s="142">
        <v>0</v>
      </c>
      <c r="BM70" s="142">
        <v>0</v>
      </c>
      <c r="BN70" s="142">
        <v>0</v>
      </c>
      <c r="BO70" s="142">
        <v>0</v>
      </c>
      <c r="BP70" s="142">
        <v>0</v>
      </c>
      <c r="BQ70" s="142">
        <v>0</v>
      </c>
      <c r="BR70" s="142">
        <v>0</v>
      </c>
      <c r="BS70" s="142">
        <v>0</v>
      </c>
      <c r="BT70" s="142">
        <v>0</v>
      </c>
      <c r="BU70" s="142">
        <v>0</v>
      </c>
      <c r="BV70" s="142">
        <v>0</v>
      </c>
      <c r="BW70" s="142">
        <v>0</v>
      </c>
      <c r="BX70" s="142">
        <v>0</v>
      </c>
      <c r="BY70" s="142">
        <v>0</v>
      </c>
      <c r="BZ70" s="142">
        <v>0</v>
      </c>
      <c r="CA70" s="142">
        <v>0</v>
      </c>
      <c r="CB70" s="142">
        <v>0</v>
      </c>
      <c r="CC70" s="142">
        <v>0</v>
      </c>
      <c r="CD70" s="142">
        <v>0</v>
      </c>
      <c r="CE70" s="142">
        <v>0</v>
      </c>
      <c r="CF70" s="142">
        <v>0</v>
      </c>
      <c r="CG70" s="142">
        <v>0</v>
      </c>
    </row>
    <row r="71" spans="1:85" x14ac:dyDescent="0.15">
      <c r="A71" s="177" t="s">
        <v>261</v>
      </c>
      <c r="B71" s="142">
        <v>0</v>
      </c>
      <c r="C71" s="142">
        <v>0</v>
      </c>
      <c r="D71" s="142">
        <v>0</v>
      </c>
      <c r="E71" s="142">
        <v>0.05</v>
      </c>
      <c r="F71" s="142">
        <v>0</v>
      </c>
      <c r="G71" s="142">
        <v>0</v>
      </c>
      <c r="H71" s="142">
        <v>0</v>
      </c>
      <c r="I71" s="142">
        <v>0</v>
      </c>
      <c r="J71" s="142">
        <v>0</v>
      </c>
      <c r="K71" s="142">
        <v>0</v>
      </c>
      <c r="L71" s="142">
        <v>0</v>
      </c>
      <c r="M71" s="142">
        <v>0</v>
      </c>
      <c r="N71" s="142">
        <v>0</v>
      </c>
      <c r="O71" s="142">
        <v>0</v>
      </c>
      <c r="P71" s="142">
        <v>0</v>
      </c>
      <c r="Q71" s="142">
        <v>0</v>
      </c>
      <c r="R71" s="142">
        <v>0</v>
      </c>
      <c r="S71" s="142">
        <v>0</v>
      </c>
      <c r="T71" s="142">
        <v>0</v>
      </c>
      <c r="U71" s="142">
        <v>0</v>
      </c>
      <c r="V71" s="142">
        <v>0</v>
      </c>
      <c r="W71" s="142">
        <v>0</v>
      </c>
      <c r="X71" s="142">
        <v>0</v>
      </c>
      <c r="Y71" s="142">
        <v>0</v>
      </c>
      <c r="Z71" s="142">
        <v>0</v>
      </c>
      <c r="AA71" s="142">
        <v>0</v>
      </c>
      <c r="AB71" s="142">
        <v>2.8012214109693824E-7</v>
      </c>
      <c r="AC71" s="142">
        <v>0</v>
      </c>
      <c r="AD71" s="142">
        <v>0</v>
      </c>
      <c r="AE71" s="142">
        <v>0</v>
      </c>
      <c r="AF71" s="142">
        <v>0</v>
      </c>
      <c r="AG71" s="142">
        <v>0</v>
      </c>
      <c r="AH71" s="142">
        <v>0</v>
      </c>
      <c r="AI71" s="142">
        <v>0</v>
      </c>
      <c r="AJ71" s="142">
        <v>0</v>
      </c>
      <c r="AK71" s="142">
        <v>0</v>
      </c>
      <c r="AL71" s="142">
        <v>0</v>
      </c>
      <c r="AM71" s="142">
        <v>0.1</v>
      </c>
      <c r="AN71" s="142">
        <v>0</v>
      </c>
      <c r="AO71" s="142">
        <v>0.01</v>
      </c>
      <c r="AP71" s="142">
        <v>0</v>
      </c>
      <c r="AQ71" s="142">
        <v>0</v>
      </c>
      <c r="AR71" s="142">
        <v>0</v>
      </c>
      <c r="AS71" s="142">
        <v>0</v>
      </c>
      <c r="AT71" s="142">
        <v>0</v>
      </c>
      <c r="AU71" s="142">
        <v>0</v>
      </c>
      <c r="AV71" s="142">
        <v>0</v>
      </c>
      <c r="AW71" s="142">
        <v>0</v>
      </c>
      <c r="AX71" s="142">
        <v>0</v>
      </c>
      <c r="AY71" s="142">
        <v>0</v>
      </c>
      <c r="AZ71" s="142">
        <v>0</v>
      </c>
      <c r="BA71" s="142">
        <v>0</v>
      </c>
      <c r="BB71" s="142">
        <v>0</v>
      </c>
      <c r="BC71" s="142">
        <v>0</v>
      </c>
      <c r="BD71" s="142">
        <v>0</v>
      </c>
      <c r="BE71" s="142">
        <v>0</v>
      </c>
      <c r="BF71" s="142">
        <v>0</v>
      </c>
      <c r="BG71" s="142">
        <v>0</v>
      </c>
      <c r="BH71" s="142">
        <v>0</v>
      </c>
      <c r="BI71" s="142">
        <v>0</v>
      </c>
      <c r="BJ71" s="142">
        <v>0</v>
      </c>
      <c r="BK71" s="142">
        <v>6.9967814805189602E-3</v>
      </c>
      <c r="BL71" s="142">
        <v>0</v>
      </c>
      <c r="BM71" s="142">
        <v>0</v>
      </c>
      <c r="BN71" s="142">
        <v>0</v>
      </c>
      <c r="BO71" s="142">
        <v>0</v>
      </c>
      <c r="BP71" s="142">
        <v>0</v>
      </c>
      <c r="BQ71" s="142">
        <v>0</v>
      </c>
      <c r="BR71" s="142">
        <v>0.19999999999999996</v>
      </c>
      <c r="BS71" s="142">
        <v>0</v>
      </c>
      <c r="BT71" s="142">
        <v>0</v>
      </c>
      <c r="BU71" s="142">
        <v>0</v>
      </c>
      <c r="BV71" s="142">
        <v>0</v>
      </c>
      <c r="BW71" s="142">
        <v>0</v>
      </c>
      <c r="BX71" s="142">
        <v>0</v>
      </c>
      <c r="BY71" s="142">
        <v>0</v>
      </c>
      <c r="BZ71" s="142">
        <v>0</v>
      </c>
      <c r="CA71" s="142">
        <v>0</v>
      </c>
      <c r="CB71" s="142">
        <v>0</v>
      </c>
      <c r="CC71" s="142">
        <v>0</v>
      </c>
      <c r="CD71" s="142">
        <v>0</v>
      </c>
      <c r="CE71" s="142">
        <v>0</v>
      </c>
      <c r="CF71" s="142">
        <v>0</v>
      </c>
      <c r="CG71" s="142">
        <v>0</v>
      </c>
    </row>
    <row r="72" spans="1:85" x14ac:dyDescent="0.15">
      <c r="A72" s="177" t="s">
        <v>262</v>
      </c>
      <c r="B72" s="142">
        <v>0</v>
      </c>
      <c r="C72" s="142">
        <v>0</v>
      </c>
      <c r="D72" s="142">
        <v>0</v>
      </c>
      <c r="E72" s="142">
        <v>0</v>
      </c>
      <c r="F72" s="142">
        <v>0</v>
      </c>
      <c r="G72" s="142">
        <v>0</v>
      </c>
      <c r="H72" s="142">
        <v>0</v>
      </c>
      <c r="I72" s="142">
        <v>0</v>
      </c>
      <c r="J72" s="142">
        <v>0</v>
      </c>
      <c r="K72" s="142">
        <v>0</v>
      </c>
      <c r="L72" s="142">
        <v>0</v>
      </c>
      <c r="M72" s="142">
        <v>0</v>
      </c>
      <c r="N72" s="142">
        <v>0</v>
      </c>
      <c r="O72" s="142">
        <v>0</v>
      </c>
      <c r="P72" s="142">
        <v>0</v>
      </c>
      <c r="Q72" s="142">
        <v>0</v>
      </c>
      <c r="R72" s="142">
        <v>0</v>
      </c>
      <c r="S72" s="142">
        <v>3.4993958642979872E-4</v>
      </c>
      <c r="T72" s="142">
        <v>3.9994564738652016E-3</v>
      </c>
      <c r="U72" s="142">
        <v>4.1015770153466309E-2</v>
      </c>
      <c r="V72" s="142">
        <v>0.18396615022835802</v>
      </c>
      <c r="W72" s="142">
        <v>0.11200569660972957</v>
      </c>
      <c r="X72" s="142">
        <v>8.3025580181253836E-4</v>
      </c>
      <c r="Y72" s="142">
        <v>1.0001760309814527E-2</v>
      </c>
      <c r="Z72" s="142">
        <v>8.1980571424378132E-2</v>
      </c>
      <c r="AA72" s="142">
        <v>3.0008072171414109E-2</v>
      </c>
      <c r="AB72" s="142">
        <v>5.0021810910167538E-2</v>
      </c>
      <c r="AC72" s="142">
        <v>0.28910899409077223</v>
      </c>
      <c r="AD72" s="142">
        <v>1.9994621446830806E-3</v>
      </c>
      <c r="AE72" s="142">
        <v>7.8010414390321109E-2</v>
      </c>
      <c r="AF72" s="142">
        <v>0.21310143628367106</v>
      </c>
      <c r="AG72" s="142">
        <v>0</v>
      </c>
      <c r="AH72" s="142">
        <v>0</v>
      </c>
      <c r="AI72" s="142">
        <v>6.0998170054898351E-4</v>
      </c>
      <c r="AJ72" s="142">
        <v>3.9002652180348263E-2</v>
      </c>
      <c r="AK72" s="142">
        <v>3.6993740659080482E-2</v>
      </c>
      <c r="AL72" s="142">
        <v>7.002100630189057E-3</v>
      </c>
      <c r="AM72" s="142">
        <v>0.8</v>
      </c>
      <c r="AN72" s="142">
        <v>0</v>
      </c>
      <c r="AO72" s="142">
        <v>0.52300000000000002</v>
      </c>
      <c r="AP72" s="142">
        <v>0</v>
      </c>
      <c r="AQ72" s="142">
        <v>0</v>
      </c>
      <c r="AR72" s="142">
        <v>0</v>
      </c>
      <c r="AS72" s="142">
        <v>0</v>
      </c>
      <c r="AT72" s="142">
        <v>0</v>
      </c>
      <c r="AU72" s="142">
        <v>0</v>
      </c>
      <c r="AV72" s="142">
        <v>0</v>
      </c>
      <c r="AW72" s="142">
        <v>0</v>
      </c>
      <c r="AX72" s="142">
        <v>0</v>
      </c>
      <c r="AY72" s="142">
        <v>0</v>
      </c>
      <c r="AZ72" s="142">
        <v>0</v>
      </c>
      <c r="BA72" s="142">
        <v>0</v>
      </c>
      <c r="BB72" s="142">
        <v>0</v>
      </c>
      <c r="BC72" s="142">
        <v>0</v>
      </c>
      <c r="BD72" s="142">
        <v>0</v>
      </c>
      <c r="BE72" s="142">
        <v>0</v>
      </c>
      <c r="BF72" s="142">
        <v>0</v>
      </c>
      <c r="BG72" s="142">
        <v>0</v>
      </c>
      <c r="BH72" s="142">
        <v>0</v>
      </c>
      <c r="BI72" s="142">
        <v>1.0999999999999999E-2</v>
      </c>
      <c r="BJ72" s="142">
        <v>0</v>
      </c>
      <c r="BK72" s="142">
        <v>2.9986206345081257E-3</v>
      </c>
      <c r="BL72" s="142">
        <v>0</v>
      </c>
      <c r="BM72" s="142">
        <v>0</v>
      </c>
      <c r="BN72" s="142">
        <v>0</v>
      </c>
      <c r="BO72" s="142">
        <v>0</v>
      </c>
      <c r="BP72" s="142">
        <v>0</v>
      </c>
      <c r="BQ72" s="142">
        <v>0.77</v>
      </c>
      <c r="BR72" s="142">
        <v>0.33999999999999997</v>
      </c>
      <c r="BS72" s="142">
        <v>0.34899999999999998</v>
      </c>
      <c r="BT72" s="142">
        <v>0.01</v>
      </c>
      <c r="BU72" s="142">
        <v>0.49999999999999989</v>
      </c>
      <c r="BV72" s="142">
        <v>0</v>
      </c>
      <c r="BW72" s="142">
        <v>0</v>
      </c>
      <c r="BX72" s="142">
        <v>0</v>
      </c>
      <c r="BY72" s="142">
        <v>0</v>
      </c>
      <c r="BZ72" s="142">
        <v>0</v>
      </c>
      <c r="CA72" s="142">
        <v>0</v>
      </c>
      <c r="CB72" s="142">
        <v>0</v>
      </c>
      <c r="CC72" s="142">
        <v>0</v>
      </c>
      <c r="CD72" s="142">
        <v>0</v>
      </c>
      <c r="CE72" s="142">
        <v>0</v>
      </c>
      <c r="CF72" s="142">
        <v>0</v>
      </c>
      <c r="CG72" s="142">
        <v>0</v>
      </c>
    </row>
    <row r="73" spans="1:85" x14ac:dyDescent="0.15">
      <c r="A73" s="177" t="s">
        <v>263</v>
      </c>
      <c r="B73" s="142">
        <v>0</v>
      </c>
      <c r="C73" s="142">
        <v>0</v>
      </c>
      <c r="D73" s="142">
        <v>0</v>
      </c>
      <c r="E73" s="142">
        <v>0</v>
      </c>
      <c r="F73" s="142">
        <v>0</v>
      </c>
      <c r="G73" s="142">
        <v>0</v>
      </c>
      <c r="H73" s="142">
        <v>0</v>
      </c>
      <c r="I73" s="142">
        <v>0</v>
      </c>
      <c r="J73" s="142">
        <v>0</v>
      </c>
      <c r="K73" s="142">
        <v>0</v>
      </c>
      <c r="L73" s="142">
        <v>0</v>
      </c>
      <c r="M73" s="142">
        <v>0</v>
      </c>
      <c r="N73" s="142">
        <v>0</v>
      </c>
      <c r="O73" s="142">
        <v>0</v>
      </c>
      <c r="P73" s="142">
        <v>0</v>
      </c>
      <c r="Q73" s="142">
        <v>0</v>
      </c>
      <c r="R73" s="142">
        <v>0</v>
      </c>
      <c r="S73" s="142">
        <v>0</v>
      </c>
      <c r="T73" s="142">
        <v>0</v>
      </c>
      <c r="U73" s="142">
        <v>0</v>
      </c>
      <c r="V73" s="142">
        <v>0</v>
      </c>
      <c r="W73" s="142">
        <v>0</v>
      </c>
      <c r="X73" s="142">
        <v>0</v>
      </c>
      <c r="Y73" s="142">
        <v>0</v>
      </c>
      <c r="Z73" s="142">
        <v>0</v>
      </c>
      <c r="AA73" s="142">
        <v>0</v>
      </c>
      <c r="AB73" s="142">
        <v>0.36115747477140958</v>
      </c>
      <c r="AC73" s="142">
        <v>0.2050773141474336</v>
      </c>
      <c r="AD73" s="142">
        <v>0</v>
      </c>
      <c r="AE73" s="142">
        <v>0.22102950743924316</v>
      </c>
      <c r="AF73" s="142">
        <v>0</v>
      </c>
      <c r="AG73" s="142">
        <v>0</v>
      </c>
      <c r="AH73" s="142">
        <v>0</v>
      </c>
      <c r="AI73" s="142">
        <v>0</v>
      </c>
      <c r="AJ73" s="142">
        <v>0</v>
      </c>
      <c r="AK73" s="142">
        <v>0</v>
      </c>
      <c r="AL73" s="142">
        <v>0</v>
      </c>
      <c r="AM73" s="142">
        <v>0.1</v>
      </c>
      <c r="AN73" s="142">
        <v>0</v>
      </c>
      <c r="AO73" s="142">
        <v>0.01</v>
      </c>
      <c r="AP73" s="142">
        <v>0</v>
      </c>
      <c r="AQ73" s="142">
        <v>0</v>
      </c>
      <c r="AR73" s="142">
        <v>0</v>
      </c>
      <c r="AS73" s="142">
        <v>0</v>
      </c>
      <c r="AT73" s="142">
        <v>0</v>
      </c>
      <c r="AU73" s="142">
        <v>0</v>
      </c>
      <c r="AV73" s="142">
        <v>0</v>
      </c>
      <c r="AW73" s="142">
        <v>0</v>
      </c>
      <c r="AX73" s="142">
        <v>0</v>
      </c>
      <c r="AY73" s="142">
        <v>0</v>
      </c>
      <c r="AZ73" s="142">
        <v>0</v>
      </c>
      <c r="BA73" s="142">
        <v>0</v>
      </c>
      <c r="BB73" s="142">
        <v>0</v>
      </c>
      <c r="BC73" s="142">
        <v>0</v>
      </c>
      <c r="BD73" s="142">
        <v>0</v>
      </c>
      <c r="BE73" s="142">
        <v>0</v>
      </c>
      <c r="BF73" s="142">
        <v>0</v>
      </c>
      <c r="BG73" s="142">
        <v>0</v>
      </c>
      <c r="BH73" s="142">
        <v>0</v>
      </c>
      <c r="BI73" s="142">
        <v>0</v>
      </c>
      <c r="BJ73" s="142">
        <v>0</v>
      </c>
      <c r="BK73" s="142">
        <v>1.2994022749535211E-4</v>
      </c>
      <c r="BL73" s="142">
        <v>0</v>
      </c>
      <c r="BM73" s="142">
        <v>0</v>
      </c>
      <c r="BN73" s="142">
        <v>0</v>
      </c>
      <c r="BO73" s="142">
        <v>0</v>
      </c>
      <c r="BP73" s="142">
        <v>0</v>
      </c>
      <c r="BQ73" s="142">
        <v>0</v>
      </c>
      <c r="BR73" s="142">
        <v>9.9999999999999985E-3</v>
      </c>
      <c r="BS73" s="142">
        <v>1.2E-2</v>
      </c>
      <c r="BT73" s="142">
        <v>0</v>
      </c>
      <c r="BU73" s="142">
        <v>0</v>
      </c>
      <c r="BV73" s="142">
        <v>0</v>
      </c>
      <c r="BW73" s="142">
        <v>0</v>
      </c>
      <c r="BX73" s="142">
        <v>0</v>
      </c>
      <c r="BY73" s="142">
        <v>0</v>
      </c>
      <c r="BZ73" s="142">
        <v>0</v>
      </c>
      <c r="CA73" s="142">
        <v>0</v>
      </c>
      <c r="CB73" s="142">
        <v>0</v>
      </c>
      <c r="CC73" s="142">
        <v>0</v>
      </c>
      <c r="CD73" s="142">
        <v>0</v>
      </c>
      <c r="CE73" s="142">
        <v>0</v>
      </c>
      <c r="CF73" s="142">
        <v>0</v>
      </c>
      <c r="CG73" s="142">
        <v>0</v>
      </c>
    </row>
    <row r="74" spans="1:85" x14ac:dyDescent="0.15">
      <c r="A74" s="177" t="s">
        <v>264</v>
      </c>
      <c r="B74" s="142">
        <v>0</v>
      </c>
      <c r="C74" s="142">
        <v>0</v>
      </c>
      <c r="D74" s="142">
        <v>0</v>
      </c>
      <c r="E74" s="142">
        <v>0</v>
      </c>
      <c r="F74" s="142">
        <v>0</v>
      </c>
      <c r="G74" s="142">
        <v>0</v>
      </c>
      <c r="H74" s="142">
        <v>0</v>
      </c>
      <c r="I74" s="142">
        <v>0</v>
      </c>
      <c r="J74" s="142">
        <v>0</v>
      </c>
      <c r="K74" s="142">
        <v>0</v>
      </c>
      <c r="L74" s="142">
        <v>0</v>
      </c>
      <c r="M74" s="142">
        <v>0</v>
      </c>
      <c r="N74" s="142">
        <v>0</v>
      </c>
      <c r="O74" s="142">
        <v>0</v>
      </c>
      <c r="P74" s="142">
        <v>0</v>
      </c>
      <c r="Q74" s="142">
        <v>0</v>
      </c>
      <c r="R74" s="142">
        <v>0</v>
      </c>
      <c r="S74" s="142">
        <v>1.0998101287793674E-6</v>
      </c>
      <c r="T74" s="142">
        <v>3.4995244146320513E-6</v>
      </c>
      <c r="U74" s="142">
        <v>0</v>
      </c>
      <c r="V74" s="142">
        <v>1.9996320676995438E-3</v>
      </c>
      <c r="W74" s="142">
        <v>1.4000712076216197E-7</v>
      </c>
      <c r="X74" s="142">
        <v>1.9005855704142445E-6</v>
      </c>
      <c r="Y74" s="142">
        <v>1.200211237177743E-5</v>
      </c>
      <c r="Z74" s="142">
        <v>0</v>
      </c>
      <c r="AA74" s="142">
        <v>2.9007803099033637E-4</v>
      </c>
      <c r="AB74" s="142">
        <v>1.0004362182033507E-3</v>
      </c>
      <c r="AC74" s="142">
        <v>9.6036205649529898E-4</v>
      </c>
      <c r="AD74" s="142">
        <v>0</v>
      </c>
      <c r="AE74" s="142">
        <v>5.1006809409056112E-6</v>
      </c>
      <c r="AF74" s="142">
        <v>1.0004762266839016E-3</v>
      </c>
      <c r="AG74" s="142">
        <v>0</v>
      </c>
      <c r="AH74" s="142">
        <v>0</v>
      </c>
      <c r="AI74" s="142">
        <v>0</v>
      </c>
      <c r="AJ74" s="142">
        <v>0</v>
      </c>
      <c r="AK74" s="142">
        <v>0</v>
      </c>
      <c r="AL74" s="142">
        <v>0</v>
      </c>
      <c r="AM74" s="142">
        <v>0</v>
      </c>
      <c r="AN74" s="142">
        <v>0</v>
      </c>
      <c r="AO74" s="142">
        <v>0</v>
      </c>
      <c r="AP74" s="142">
        <v>0</v>
      </c>
      <c r="AQ74" s="142">
        <v>8.7999999999999995E-2</v>
      </c>
      <c r="AR74" s="142">
        <v>0</v>
      </c>
      <c r="AS74" s="142">
        <v>0</v>
      </c>
      <c r="AT74" s="142">
        <v>0</v>
      </c>
      <c r="AU74" s="142">
        <v>0</v>
      </c>
      <c r="AV74" s="142">
        <v>0</v>
      </c>
      <c r="AW74" s="142">
        <v>0</v>
      </c>
      <c r="AX74" s="142">
        <v>0</v>
      </c>
      <c r="AY74" s="142">
        <v>0</v>
      </c>
      <c r="AZ74" s="142">
        <v>7.0000000000000021E-2</v>
      </c>
      <c r="BA74" s="142">
        <v>0</v>
      </c>
      <c r="BB74" s="142">
        <v>0</v>
      </c>
      <c r="BC74" s="142">
        <v>0</v>
      </c>
      <c r="BD74" s="142">
        <v>0</v>
      </c>
      <c r="BE74" s="142">
        <v>0</v>
      </c>
      <c r="BF74" s="142">
        <v>0</v>
      </c>
      <c r="BG74" s="142">
        <v>0</v>
      </c>
      <c r="BH74" s="142">
        <v>0</v>
      </c>
      <c r="BI74" s="142">
        <v>0</v>
      </c>
      <c r="BJ74" s="142">
        <v>0</v>
      </c>
      <c r="BK74" s="142">
        <v>0</v>
      </c>
      <c r="BL74" s="142">
        <v>0</v>
      </c>
      <c r="BM74" s="142">
        <v>0</v>
      </c>
      <c r="BN74" s="142">
        <v>0</v>
      </c>
      <c r="BO74" s="142">
        <v>0</v>
      </c>
      <c r="BP74" s="142">
        <v>0</v>
      </c>
      <c r="BQ74" s="142">
        <v>0</v>
      </c>
      <c r="BR74" s="142">
        <v>0</v>
      </c>
      <c r="BS74" s="142">
        <v>0</v>
      </c>
      <c r="BT74" s="142">
        <v>0</v>
      </c>
      <c r="BU74" s="142">
        <v>0</v>
      </c>
      <c r="BV74" s="142">
        <v>0</v>
      </c>
      <c r="BW74" s="142">
        <v>0</v>
      </c>
      <c r="BX74" s="142">
        <v>0</v>
      </c>
      <c r="BY74" s="142">
        <v>0</v>
      </c>
      <c r="BZ74" s="142">
        <v>0</v>
      </c>
      <c r="CA74" s="142">
        <v>0</v>
      </c>
      <c r="CB74" s="142">
        <v>0</v>
      </c>
      <c r="CC74" s="142">
        <v>0</v>
      </c>
      <c r="CD74" s="142">
        <v>0</v>
      </c>
      <c r="CE74" s="142">
        <v>0</v>
      </c>
      <c r="CF74" s="142">
        <v>0</v>
      </c>
      <c r="CG74" s="142">
        <v>0</v>
      </c>
    </row>
    <row r="75" spans="1:85" x14ac:dyDescent="0.15">
      <c r="A75" s="177" t="s">
        <v>265</v>
      </c>
      <c r="B75" s="142">
        <v>0</v>
      </c>
      <c r="C75" s="142">
        <v>0</v>
      </c>
      <c r="D75" s="142">
        <v>0</v>
      </c>
      <c r="E75" s="142">
        <v>0</v>
      </c>
      <c r="F75" s="142">
        <v>0</v>
      </c>
      <c r="G75" s="142">
        <v>0</v>
      </c>
      <c r="H75" s="142">
        <v>0</v>
      </c>
      <c r="I75" s="142">
        <v>0</v>
      </c>
      <c r="J75" s="142">
        <v>0</v>
      </c>
      <c r="K75" s="142">
        <v>0</v>
      </c>
      <c r="L75" s="142">
        <v>0</v>
      </c>
      <c r="M75" s="142">
        <v>0</v>
      </c>
      <c r="N75" s="142">
        <v>0</v>
      </c>
      <c r="O75" s="142">
        <v>0</v>
      </c>
      <c r="P75" s="142">
        <v>0</v>
      </c>
      <c r="Q75" s="142">
        <v>0</v>
      </c>
      <c r="R75" s="142">
        <v>0</v>
      </c>
      <c r="S75" s="142">
        <v>0</v>
      </c>
      <c r="T75" s="142">
        <v>0</v>
      </c>
      <c r="U75" s="142">
        <v>0</v>
      </c>
      <c r="V75" s="142">
        <v>0</v>
      </c>
      <c r="W75" s="142">
        <v>0</v>
      </c>
      <c r="X75" s="142">
        <v>0</v>
      </c>
      <c r="Y75" s="142">
        <v>0</v>
      </c>
      <c r="Z75" s="142">
        <v>0</v>
      </c>
      <c r="AA75" s="142">
        <v>0.10002690723804704</v>
      </c>
      <c r="AB75" s="142">
        <v>0</v>
      </c>
      <c r="AC75" s="142">
        <v>0</v>
      </c>
      <c r="AD75" s="142">
        <v>0</v>
      </c>
      <c r="AE75" s="142">
        <v>4.8006408855582224E-2</v>
      </c>
      <c r="AF75" s="142">
        <v>0</v>
      </c>
      <c r="AG75" s="142">
        <v>0</v>
      </c>
      <c r="AH75" s="142">
        <v>0</v>
      </c>
      <c r="AI75" s="142">
        <v>0</v>
      </c>
      <c r="AJ75" s="142">
        <v>0</v>
      </c>
      <c r="AK75" s="142">
        <v>0</v>
      </c>
      <c r="AL75" s="142">
        <v>0</v>
      </c>
      <c r="AM75" s="142">
        <v>0</v>
      </c>
      <c r="AN75" s="142">
        <v>0</v>
      </c>
      <c r="AO75" s="142">
        <v>0</v>
      </c>
      <c r="AP75" s="142">
        <v>0.13096725818545363</v>
      </c>
      <c r="AQ75" s="142">
        <v>0</v>
      </c>
      <c r="AR75" s="142">
        <v>0</v>
      </c>
      <c r="AS75" s="142">
        <v>0</v>
      </c>
      <c r="AT75" s="142">
        <v>0</v>
      </c>
      <c r="AU75" s="142">
        <v>0</v>
      </c>
      <c r="AV75" s="142">
        <v>0</v>
      </c>
      <c r="AW75" s="142">
        <v>0</v>
      </c>
      <c r="AX75" s="142">
        <v>0.01</v>
      </c>
      <c r="AY75" s="142">
        <v>9.9965012245713993E-3</v>
      </c>
      <c r="AZ75" s="142">
        <v>0</v>
      </c>
      <c r="BA75" s="142">
        <v>7.9000000000000001E-2</v>
      </c>
      <c r="BB75" s="142">
        <v>7.8968412634946042E-2</v>
      </c>
      <c r="BC75" s="142">
        <v>0</v>
      </c>
      <c r="BD75" s="142">
        <v>7.8984992851358252E-2</v>
      </c>
      <c r="BE75" s="142">
        <v>0</v>
      </c>
      <c r="BF75" s="142">
        <v>0.08</v>
      </c>
      <c r="BG75" s="142">
        <v>1.9999999999999997E-2</v>
      </c>
      <c r="BH75" s="142">
        <v>0</v>
      </c>
      <c r="BI75" s="142">
        <v>0.11</v>
      </c>
      <c r="BJ75" s="142">
        <v>0</v>
      </c>
      <c r="BK75" s="142">
        <v>0.34084321212242369</v>
      </c>
      <c r="BL75" s="142">
        <v>0.1</v>
      </c>
      <c r="BM75" s="142">
        <v>0.27993001749562607</v>
      </c>
      <c r="BN75" s="142">
        <v>0.15</v>
      </c>
      <c r="BO75" s="142">
        <v>0.2</v>
      </c>
      <c r="BP75" s="142">
        <v>0.36</v>
      </c>
      <c r="BQ75" s="142">
        <v>0.23</v>
      </c>
      <c r="BR75" s="142">
        <v>4.9999999999999989E-2</v>
      </c>
      <c r="BS75" s="142">
        <v>5.8000000000000003E-2</v>
      </c>
      <c r="BT75" s="142">
        <v>0.05</v>
      </c>
      <c r="BU75" s="142">
        <v>5.9999999999999984E-2</v>
      </c>
      <c r="BV75" s="142">
        <v>0</v>
      </c>
      <c r="BW75" s="142">
        <v>0</v>
      </c>
      <c r="BX75" s="142">
        <v>0</v>
      </c>
      <c r="BY75" s="142">
        <v>0</v>
      </c>
      <c r="BZ75" s="142">
        <v>0</v>
      </c>
      <c r="CA75" s="142">
        <v>0</v>
      </c>
      <c r="CB75" s="142">
        <v>0</v>
      </c>
      <c r="CC75" s="142">
        <v>0</v>
      </c>
      <c r="CD75" s="142">
        <v>0</v>
      </c>
      <c r="CE75" s="142">
        <v>0</v>
      </c>
      <c r="CF75" s="142">
        <v>0</v>
      </c>
      <c r="CG75" s="142">
        <v>0</v>
      </c>
    </row>
    <row r="76" spans="1:85" x14ac:dyDescent="0.15">
      <c r="A76" s="177" t="s">
        <v>266</v>
      </c>
      <c r="B76" s="142">
        <v>0</v>
      </c>
      <c r="C76" s="142">
        <v>0</v>
      </c>
      <c r="D76" s="142">
        <v>0</v>
      </c>
      <c r="E76" s="142">
        <v>0</v>
      </c>
      <c r="F76" s="142">
        <v>0</v>
      </c>
      <c r="G76" s="142">
        <v>0</v>
      </c>
      <c r="H76" s="142">
        <v>0</v>
      </c>
      <c r="I76" s="142">
        <v>0</v>
      </c>
      <c r="J76" s="142">
        <v>0</v>
      </c>
      <c r="K76" s="142">
        <v>0</v>
      </c>
      <c r="L76" s="142">
        <v>0</v>
      </c>
      <c r="M76" s="142">
        <v>0</v>
      </c>
      <c r="N76" s="142">
        <v>0</v>
      </c>
      <c r="O76" s="142">
        <v>0</v>
      </c>
      <c r="P76" s="142">
        <v>0</v>
      </c>
      <c r="Q76" s="142">
        <v>0</v>
      </c>
      <c r="R76" s="142">
        <v>0</v>
      </c>
      <c r="S76" s="142">
        <v>0</v>
      </c>
      <c r="T76" s="142">
        <v>0</v>
      </c>
      <c r="U76" s="142">
        <v>0</v>
      </c>
      <c r="V76" s="142">
        <v>0</v>
      </c>
      <c r="W76" s="142">
        <v>0</v>
      </c>
      <c r="X76" s="142">
        <v>0</v>
      </c>
      <c r="Y76" s="142">
        <v>0</v>
      </c>
      <c r="Z76" s="142">
        <v>0</v>
      </c>
      <c r="AA76" s="142">
        <v>0</v>
      </c>
      <c r="AB76" s="142">
        <v>0</v>
      </c>
      <c r="AC76" s="142">
        <v>0</v>
      </c>
      <c r="AD76" s="142">
        <v>0</v>
      </c>
      <c r="AE76" s="142">
        <v>0</v>
      </c>
      <c r="AF76" s="142">
        <v>0.10705095625517748</v>
      </c>
      <c r="AG76" s="142">
        <v>0</v>
      </c>
      <c r="AH76" s="142">
        <v>0</v>
      </c>
      <c r="AI76" s="142">
        <v>0</v>
      </c>
      <c r="AJ76" s="142">
        <v>0</v>
      </c>
      <c r="AK76" s="142">
        <v>0</v>
      </c>
      <c r="AL76" s="142">
        <v>0</v>
      </c>
      <c r="AM76" s="142">
        <v>0</v>
      </c>
      <c r="AN76" s="142">
        <v>0</v>
      </c>
      <c r="AO76" s="142">
        <v>0</v>
      </c>
      <c r="AP76" s="142">
        <v>0</v>
      </c>
      <c r="AQ76" s="142">
        <v>0</v>
      </c>
      <c r="AR76" s="142">
        <v>0</v>
      </c>
      <c r="AS76" s="142">
        <v>0</v>
      </c>
      <c r="AT76" s="142">
        <v>0</v>
      </c>
      <c r="AU76" s="142">
        <v>0</v>
      </c>
      <c r="AV76" s="142">
        <v>0</v>
      </c>
      <c r="AW76" s="142">
        <v>0</v>
      </c>
      <c r="AX76" s="142">
        <v>0.01</v>
      </c>
      <c r="AY76" s="142">
        <v>9.9965012245713993E-3</v>
      </c>
      <c r="AZ76" s="142">
        <v>0</v>
      </c>
      <c r="BA76" s="142">
        <v>0</v>
      </c>
      <c r="BB76" s="142">
        <v>0</v>
      </c>
      <c r="BC76" s="142">
        <v>0</v>
      </c>
      <c r="BD76" s="142">
        <v>0</v>
      </c>
      <c r="BE76" s="142">
        <v>0</v>
      </c>
      <c r="BF76" s="142">
        <v>0</v>
      </c>
      <c r="BG76" s="142">
        <v>0</v>
      </c>
      <c r="BH76" s="142">
        <v>0</v>
      </c>
      <c r="BI76" s="142">
        <v>5.5E-2</v>
      </c>
      <c r="BJ76" s="142">
        <v>0</v>
      </c>
      <c r="BK76" s="142">
        <v>0.27587309837474761</v>
      </c>
      <c r="BL76" s="142">
        <v>0.23</v>
      </c>
      <c r="BM76" s="142">
        <v>9.9975006248437887E-2</v>
      </c>
      <c r="BN76" s="142">
        <v>0.22</v>
      </c>
      <c r="BO76" s="142">
        <v>0</v>
      </c>
      <c r="BP76" s="142">
        <v>0</v>
      </c>
      <c r="BQ76" s="142">
        <v>0</v>
      </c>
      <c r="BR76" s="142">
        <v>0.29999999999999993</v>
      </c>
      <c r="BS76" s="142">
        <v>0.34899999999999998</v>
      </c>
      <c r="BT76" s="142">
        <v>0.69</v>
      </c>
      <c r="BU76" s="142">
        <v>0.24999999999999994</v>
      </c>
      <c r="BV76" s="142">
        <v>0</v>
      </c>
      <c r="BW76" s="142">
        <v>4.9995000499950008E-3</v>
      </c>
      <c r="BX76" s="142">
        <v>0</v>
      </c>
      <c r="BY76" s="142">
        <v>0</v>
      </c>
      <c r="BZ76" s="142">
        <v>0</v>
      </c>
      <c r="CA76" s="142">
        <v>0</v>
      </c>
      <c r="CB76" s="142">
        <v>0</v>
      </c>
      <c r="CC76" s="142">
        <v>0</v>
      </c>
      <c r="CD76" s="142">
        <v>0</v>
      </c>
      <c r="CE76" s="142">
        <v>0</v>
      </c>
      <c r="CF76" s="142">
        <v>0</v>
      </c>
      <c r="CG76" s="142">
        <v>0</v>
      </c>
    </row>
    <row r="77" spans="1:85" x14ac:dyDescent="0.15">
      <c r="A77" s="177" t="s">
        <v>267</v>
      </c>
      <c r="B77" s="142">
        <v>0</v>
      </c>
      <c r="C77" s="142">
        <v>0</v>
      </c>
      <c r="D77" s="142">
        <v>0</v>
      </c>
      <c r="E77" s="142">
        <v>0.1</v>
      </c>
      <c r="F77" s="142">
        <v>0</v>
      </c>
      <c r="G77" s="142">
        <v>0</v>
      </c>
      <c r="H77" s="142">
        <v>0</v>
      </c>
      <c r="I77" s="142">
        <v>0</v>
      </c>
      <c r="J77" s="142">
        <v>0</v>
      </c>
      <c r="K77" s="142">
        <v>0</v>
      </c>
      <c r="L77" s="142">
        <v>0</v>
      </c>
      <c r="M77" s="142">
        <v>0</v>
      </c>
      <c r="N77" s="142">
        <v>0</v>
      </c>
      <c r="O77" s="142">
        <v>0</v>
      </c>
      <c r="P77" s="142">
        <v>0</v>
      </c>
      <c r="Q77" s="142">
        <v>0</v>
      </c>
      <c r="R77" s="142">
        <v>0</v>
      </c>
      <c r="S77" s="142">
        <v>0</v>
      </c>
      <c r="T77" s="142">
        <v>0</v>
      </c>
      <c r="U77" s="142">
        <v>0</v>
      </c>
      <c r="V77" s="142">
        <v>0</v>
      </c>
      <c r="W77" s="142">
        <v>0</v>
      </c>
      <c r="X77" s="142">
        <v>0</v>
      </c>
      <c r="Y77" s="142">
        <v>0</v>
      </c>
      <c r="Z77" s="142">
        <v>0</v>
      </c>
      <c r="AA77" s="142">
        <v>0</v>
      </c>
      <c r="AB77" s="142">
        <v>0</v>
      </c>
      <c r="AC77" s="142">
        <v>0</v>
      </c>
      <c r="AD77" s="142">
        <v>0</v>
      </c>
      <c r="AE77" s="142">
        <v>0</v>
      </c>
      <c r="AF77" s="142">
        <v>0</v>
      </c>
      <c r="AG77" s="142">
        <v>0</v>
      </c>
      <c r="AH77" s="142">
        <v>0</v>
      </c>
      <c r="AI77" s="142">
        <v>0</v>
      </c>
      <c r="AJ77" s="142">
        <v>0</v>
      </c>
      <c r="AK77" s="142">
        <v>0</v>
      </c>
      <c r="AL77" s="142">
        <v>0</v>
      </c>
      <c r="AM77" s="142">
        <v>0</v>
      </c>
      <c r="AN77" s="142">
        <v>0</v>
      </c>
      <c r="AO77" s="142">
        <v>0</v>
      </c>
      <c r="AP77" s="142">
        <v>0.21294676330917267</v>
      </c>
      <c r="AQ77" s="142">
        <v>0.113</v>
      </c>
      <c r="AR77" s="142">
        <v>0</v>
      </c>
      <c r="AS77" s="142">
        <v>0</v>
      </c>
      <c r="AT77" s="142">
        <v>0</v>
      </c>
      <c r="AU77" s="142">
        <v>0</v>
      </c>
      <c r="AV77" s="142">
        <v>0</v>
      </c>
      <c r="AW77" s="142">
        <v>0</v>
      </c>
      <c r="AX77" s="142">
        <v>0.05</v>
      </c>
      <c r="AY77" s="142">
        <v>8.8968860898685456E-2</v>
      </c>
      <c r="AZ77" s="142">
        <v>8.0000000000000016E-2</v>
      </c>
      <c r="BA77" s="142">
        <v>6.3E-2</v>
      </c>
      <c r="BB77" s="142">
        <v>6.2974810075969626E-2</v>
      </c>
      <c r="BC77" s="142">
        <v>0</v>
      </c>
      <c r="BD77" s="142">
        <v>6.2988032273867969E-2</v>
      </c>
      <c r="BE77" s="142">
        <v>0</v>
      </c>
      <c r="BF77" s="142">
        <v>9.2999999999999999E-2</v>
      </c>
      <c r="BG77" s="142">
        <v>0</v>
      </c>
      <c r="BH77" s="142">
        <v>0.32800000000000001</v>
      </c>
      <c r="BI77" s="142">
        <v>0</v>
      </c>
      <c r="BJ77" s="142">
        <v>0.36599999999999994</v>
      </c>
      <c r="BK77" s="142">
        <v>5.1976090998140843E-2</v>
      </c>
      <c r="BL77" s="142">
        <v>0.12</v>
      </c>
      <c r="BM77" s="142">
        <v>0.33791552111972006</v>
      </c>
      <c r="BN77" s="142">
        <v>0.16800000000000001</v>
      </c>
      <c r="BO77" s="142">
        <v>0.3</v>
      </c>
      <c r="BP77" s="142">
        <v>0.2</v>
      </c>
      <c r="BQ77" s="142">
        <v>0</v>
      </c>
      <c r="BR77" s="142">
        <v>0</v>
      </c>
      <c r="BS77" s="142">
        <v>0</v>
      </c>
      <c r="BT77" s="142">
        <v>0.05</v>
      </c>
      <c r="BU77" s="142">
        <v>6.9999999999999993E-2</v>
      </c>
      <c r="BV77" s="142">
        <v>0.5</v>
      </c>
      <c r="BW77" s="142">
        <v>4.9995000499950008E-3</v>
      </c>
      <c r="BX77" s="142">
        <v>0</v>
      </c>
      <c r="BY77" s="142">
        <v>0</v>
      </c>
      <c r="BZ77" s="142">
        <v>0</v>
      </c>
      <c r="CA77" s="142">
        <v>0</v>
      </c>
      <c r="CB77" s="142">
        <v>0</v>
      </c>
      <c r="CC77" s="142">
        <v>0</v>
      </c>
      <c r="CD77" s="142">
        <v>0</v>
      </c>
      <c r="CE77" s="142">
        <v>0</v>
      </c>
      <c r="CF77" s="142">
        <v>0</v>
      </c>
      <c r="CG77" s="142">
        <v>0</v>
      </c>
    </row>
    <row r="78" spans="1:85" x14ac:dyDescent="0.15">
      <c r="A78" s="177" t="s">
        <v>268</v>
      </c>
      <c r="B78" s="142">
        <v>0</v>
      </c>
      <c r="C78" s="142">
        <v>1</v>
      </c>
      <c r="D78" s="142">
        <v>0</v>
      </c>
      <c r="E78" s="142">
        <v>0.15</v>
      </c>
      <c r="F78" s="142">
        <v>0</v>
      </c>
      <c r="G78" s="142">
        <v>0</v>
      </c>
      <c r="H78" s="142">
        <v>0</v>
      </c>
      <c r="I78" s="142">
        <v>0</v>
      </c>
      <c r="J78" s="142">
        <v>0</v>
      </c>
      <c r="K78" s="142">
        <v>0</v>
      </c>
      <c r="L78" s="142">
        <v>0</v>
      </c>
      <c r="M78" s="142">
        <v>0</v>
      </c>
      <c r="N78" s="142">
        <v>0</v>
      </c>
      <c r="O78" s="142">
        <v>0</v>
      </c>
      <c r="P78" s="142">
        <v>0</v>
      </c>
      <c r="Q78" s="142">
        <v>0</v>
      </c>
      <c r="R78" s="142">
        <v>0</v>
      </c>
      <c r="S78" s="142">
        <v>1.4997410846991373E-4</v>
      </c>
      <c r="T78" s="142">
        <v>9.998641184663004E-4</v>
      </c>
      <c r="U78" s="142">
        <v>0</v>
      </c>
      <c r="V78" s="142">
        <v>1.2997608440047033E-4</v>
      </c>
      <c r="W78" s="142">
        <v>0</v>
      </c>
      <c r="X78" s="142">
        <v>1.4004314729368117E-5</v>
      </c>
      <c r="Y78" s="142">
        <v>0</v>
      </c>
      <c r="Z78" s="142">
        <v>1.5996209058415243E-6</v>
      </c>
      <c r="AA78" s="142">
        <v>2.0005381447609407E-3</v>
      </c>
      <c r="AB78" s="142">
        <v>0</v>
      </c>
      <c r="AC78" s="142">
        <v>5.9022251388773581E-4</v>
      </c>
      <c r="AD78" s="142">
        <v>0</v>
      </c>
      <c r="AE78" s="142">
        <v>0</v>
      </c>
      <c r="AF78" s="142">
        <v>2.401142944041364E-5</v>
      </c>
      <c r="AG78" s="142">
        <v>0</v>
      </c>
      <c r="AH78" s="142">
        <v>0</v>
      </c>
      <c r="AI78" s="142">
        <v>0</v>
      </c>
      <c r="AJ78" s="142">
        <v>0</v>
      </c>
      <c r="AK78" s="142">
        <v>7.1987819660913369E-6</v>
      </c>
      <c r="AL78" s="142">
        <v>0</v>
      </c>
      <c r="AM78" s="142">
        <v>0</v>
      </c>
      <c r="AN78" s="142">
        <v>0</v>
      </c>
      <c r="AO78" s="142">
        <v>0</v>
      </c>
      <c r="AP78" s="142">
        <v>0</v>
      </c>
      <c r="AQ78" s="142">
        <v>0</v>
      </c>
      <c r="AR78" s="142">
        <v>0</v>
      </c>
      <c r="AS78" s="142">
        <v>0</v>
      </c>
      <c r="AT78" s="142">
        <v>4.1987403778866346E-2</v>
      </c>
      <c r="AU78" s="142">
        <v>0</v>
      </c>
      <c r="AV78" s="142">
        <v>0</v>
      </c>
      <c r="AW78" s="142">
        <v>0</v>
      </c>
      <c r="AX78" s="142">
        <v>0</v>
      </c>
      <c r="AY78" s="142">
        <v>0</v>
      </c>
      <c r="AZ78" s="142">
        <v>0</v>
      </c>
      <c r="BA78" s="142">
        <v>0</v>
      </c>
      <c r="BB78" s="142">
        <v>0</v>
      </c>
      <c r="BC78" s="142">
        <v>0</v>
      </c>
      <c r="BD78" s="142">
        <v>0</v>
      </c>
      <c r="BE78" s="142">
        <v>0</v>
      </c>
      <c r="BF78" s="142">
        <v>0</v>
      </c>
      <c r="BG78" s="142">
        <v>0</v>
      </c>
      <c r="BH78" s="142">
        <v>0</v>
      </c>
      <c r="BI78" s="142">
        <v>0</v>
      </c>
      <c r="BJ78" s="142">
        <v>0</v>
      </c>
      <c r="BK78" s="142">
        <v>0</v>
      </c>
      <c r="BL78" s="142">
        <v>0</v>
      </c>
      <c r="BM78" s="142">
        <v>9.9975006248437877E-4</v>
      </c>
      <c r="BN78" s="142">
        <v>0</v>
      </c>
      <c r="BO78" s="142">
        <v>0</v>
      </c>
      <c r="BP78" s="142">
        <v>0</v>
      </c>
      <c r="BQ78" s="142">
        <v>0</v>
      </c>
      <c r="BR78" s="142">
        <v>0</v>
      </c>
      <c r="BS78" s="142">
        <v>0</v>
      </c>
      <c r="BT78" s="142">
        <v>0</v>
      </c>
      <c r="BU78" s="142">
        <v>0</v>
      </c>
      <c r="BV78" s="142">
        <v>0.5</v>
      </c>
      <c r="BW78" s="142">
        <v>0</v>
      </c>
      <c r="BX78" s="142">
        <v>0</v>
      </c>
      <c r="BY78" s="142">
        <v>0</v>
      </c>
      <c r="BZ78" s="142">
        <v>0</v>
      </c>
      <c r="CA78" s="142">
        <v>0</v>
      </c>
      <c r="CB78" s="142">
        <v>0</v>
      </c>
      <c r="CC78" s="142">
        <v>0</v>
      </c>
      <c r="CD78" s="142">
        <v>0</v>
      </c>
      <c r="CE78" s="142">
        <v>0</v>
      </c>
      <c r="CF78" s="142">
        <v>0</v>
      </c>
      <c r="CG78" s="142">
        <v>0</v>
      </c>
    </row>
    <row r="79" spans="1:85" x14ac:dyDescent="0.15">
      <c r="A79" s="177" t="s">
        <v>269</v>
      </c>
      <c r="B79" s="142">
        <v>0</v>
      </c>
      <c r="C79" s="142">
        <v>0</v>
      </c>
      <c r="D79" s="142">
        <v>0</v>
      </c>
      <c r="E79" s="142">
        <v>0.15</v>
      </c>
      <c r="F79" s="142">
        <v>0</v>
      </c>
      <c r="G79" s="142">
        <v>0</v>
      </c>
      <c r="H79" s="142">
        <v>0</v>
      </c>
      <c r="I79" s="142">
        <v>0</v>
      </c>
      <c r="J79" s="142">
        <v>0</v>
      </c>
      <c r="K79" s="142">
        <v>0</v>
      </c>
      <c r="L79" s="142">
        <v>0</v>
      </c>
      <c r="M79" s="142">
        <v>0</v>
      </c>
      <c r="N79" s="142">
        <v>0</v>
      </c>
      <c r="O79" s="142">
        <v>0</v>
      </c>
      <c r="P79" s="142">
        <v>0</v>
      </c>
      <c r="Q79" s="142">
        <v>0</v>
      </c>
      <c r="R79" s="142">
        <v>0</v>
      </c>
      <c r="S79" s="142">
        <v>0</v>
      </c>
      <c r="T79" s="142">
        <v>0</v>
      </c>
      <c r="U79" s="142">
        <v>0</v>
      </c>
      <c r="V79" s="142">
        <v>0</v>
      </c>
      <c r="W79" s="142">
        <v>0</v>
      </c>
      <c r="X79" s="142">
        <v>0</v>
      </c>
      <c r="Y79" s="142">
        <v>0</v>
      </c>
      <c r="Z79" s="142">
        <v>0</v>
      </c>
      <c r="AA79" s="142">
        <v>0</v>
      </c>
      <c r="AB79" s="142">
        <v>0</v>
      </c>
      <c r="AC79" s="142">
        <v>0</v>
      </c>
      <c r="AD79" s="142">
        <v>0</v>
      </c>
      <c r="AE79" s="142">
        <v>0</v>
      </c>
      <c r="AF79" s="142">
        <v>0</v>
      </c>
      <c r="AG79" s="142">
        <v>0</v>
      </c>
      <c r="AH79" s="142">
        <v>0</v>
      </c>
      <c r="AI79" s="142">
        <v>0</v>
      </c>
      <c r="AJ79" s="142">
        <v>0</v>
      </c>
      <c r="AK79" s="142">
        <v>0</v>
      </c>
      <c r="AL79" s="142">
        <v>0</v>
      </c>
      <c r="AM79" s="142">
        <v>0</v>
      </c>
      <c r="AN79" s="142">
        <v>0</v>
      </c>
      <c r="AO79" s="142">
        <v>0</v>
      </c>
      <c r="AP79" s="142">
        <v>1.1997000749812546E-2</v>
      </c>
      <c r="AQ79" s="142">
        <v>0</v>
      </c>
      <c r="AR79" s="142">
        <v>0</v>
      </c>
      <c r="AS79" s="142">
        <v>0</v>
      </c>
      <c r="AT79" s="142">
        <v>0</v>
      </c>
      <c r="AU79" s="142">
        <v>0</v>
      </c>
      <c r="AV79" s="142">
        <v>0</v>
      </c>
      <c r="AW79" s="142">
        <v>0</v>
      </c>
      <c r="AX79" s="142">
        <v>0</v>
      </c>
      <c r="AY79" s="142">
        <v>0</v>
      </c>
      <c r="AZ79" s="142">
        <v>3.0000000000000002E-2</v>
      </c>
      <c r="BA79" s="142">
        <v>0</v>
      </c>
      <c r="BB79" s="142">
        <v>0</v>
      </c>
      <c r="BC79" s="142">
        <v>0</v>
      </c>
      <c r="BD79" s="142">
        <v>0</v>
      </c>
      <c r="BE79" s="142">
        <v>0</v>
      </c>
      <c r="BF79" s="142">
        <v>0</v>
      </c>
      <c r="BG79" s="142">
        <v>0</v>
      </c>
      <c r="BH79" s="142">
        <v>0.3</v>
      </c>
      <c r="BI79" s="142">
        <v>0</v>
      </c>
      <c r="BJ79" s="142">
        <v>1.1999999999999997E-2</v>
      </c>
      <c r="BK79" s="142">
        <v>0</v>
      </c>
      <c r="BL79" s="142">
        <v>0</v>
      </c>
      <c r="BM79" s="142">
        <v>6.8982754311422145E-2</v>
      </c>
      <c r="BN79" s="142">
        <v>0</v>
      </c>
      <c r="BO79" s="142">
        <v>0.05</v>
      </c>
      <c r="BP79" s="142">
        <v>0</v>
      </c>
      <c r="BQ79" s="142">
        <v>0</v>
      </c>
      <c r="BR79" s="142">
        <v>0</v>
      </c>
      <c r="BS79" s="142">
        <v>0</v>
      </c>
      <c r="BT79" s="142">
        <v>0</v>
      </c>
      <c r="BU79" s="142">
        <v>0</v>
      </c>
      <c r="BV79" s="142">
        <v>0</v>
      </c>
      <c r="BW79" s="142">
        <v>0</v>
      </c>
      <c r="BX79" s="142">
        <v>0</v>
      </c>
      <c r="BY79" s="142">
        <v>0</v>
      </c>
      <c r="BZ79" s="142">
        <v>0</v>
      </c>
      <c r="CA79" s="142">
        <v>0</v>
      </c>
      <c r="CB79" s="142">
        <v>0</v>
      </c>
      <c r="CC79" s="142">
        <v>0</v>
      </c>
      <c r="CD79" s="142">
        <v>0</v>
      </c>
      <c r="CE79" s="142">
        <v>0</v>
      </c>
      <c r="CF79" s="142">
        <v>0</v>
      </c>
      <c r="CG79" s="142">
        <v>0</v>
      </c>
    </row>
    <row r="80" spans="1:85" x14ac:dyDescent="0.15">
      <c r="A80" s="177" t="s">
        <v>270</v>
      </c>
      <c r="B80" s="142">
        <v>0</v>
      </c>
      <c r="C80" s="142">
        <v>0</v>
      </c>
      <c r="D80" s="142">
        <v>0</v>
      </c>
      <c r="E80" s="142">
        <v>0</v>
      </c>
      <c r="F80" s="142">
        <v>0</v>
      </c>
      <c r="G80" s="142">
        <v>0</v>
      </c>
      <c r="H80" s="142">
        <v>0</v>
      </c>
      <c r="I80" s="142">
        <v>0</v>
      </c>
      <c r="J80" s="142">
        <v>0</v>
      </c>
      <c r="K80" s="142">
        <v>0</v>
      </c>
      <c r="L80" s="142">
        <v>0</v>
      </c>
      <c r="M80" s="142">
        <v>0</v>
      </c>
      <c r="N80" s="142">
        <v>0</v>
      </c>
      <c r="O80" s="142">
        <v>0</v>
      </c>
      <c r="P80" s="142">
        <v>0</v>
      </c>
      <c r="Q80" s="142">
        <v>0</v>
      </c>
      <c r="R80" s="142">
        <v>0</v>
      </c>
      <c r="S80" s="142">
        <v>0</v>
      </c>
      <c r="T80" s="142">
        <v>6.8990624174174718E-4</v>
      </c>
      <c r="U80" s="142">
        <v>0</v>
      </c>
      <c r="V80" s="142">
        <v>1.9996320676995438E-3</v>
      </c>
      <c r="W80" s="142">
        <v>0</v>
      </c>
      <c r="X80" s="142">
        <v>1.0003081949548656E-4</v>
      </c>
      <c r="Y80" s="142">
        <v>0</v>
      </c>
      <c r="Z80" s="142">
        <v>3.5991470381434299E-6</v>
      </c>
      <c r="AA80" s="142">
        <v>2.0005381447609407E-3</v>
      </c>
      <c r="AB80" s="142">
        <v>2.0008724364067015E-3</v>
      </c>
      <c r="AC80" s="142">
        <v>1.600603427492165E-2</v>
      </c>
      <c r="AD80" s="142">
        <v>2.1994083591513885E-5</v>
      </c>
      <c r="AE80" s="142">
        <v>0</v>
      </c>
      <c r="AF80" s="142">
        <v>5.8027621147666302E-4</v>
      </c>
      <c r="AG80" s="142">
        <v>1.7999999999999995E-2</v>
      </c>
      <c r="AH80" s="142">
        <v>0</v>
      </c>
      <c r="AI80" s="142">
        <v>6.9997900062998108E-4</v>
      </c>
      <c r="AJ80" s="142">
        <v>1.4000952064740401E-5</v>
      </c>
      <c r="AK80" s="142">
        <v>2.1996278229723529E-5</v>
      </c>
      <c r="AL80" s="142">
        <v>0</v>
      </c>
      <c r="AM80" s="142">
        <v>0</v>
      </c>
      <c r="AN80" s="142">
        <v>0</v>
      </c>
      <c r="AO80" s="142">
        <v>0</v>
      </c>
      <c r="AP80" s="142">
        <v>0</v>
      </c>
      <c r="AQ80" s="142">
        <v>0</v>
      </c>
      <c r="AR80" s="142">
        <v>0</v>
      </c>
      <c r="AS80" s="142">
        <v>0</v>
      </c>
      <c r="AT80" s="142">
        <v>0</v>
      </c>
      <c r="AU80" s="142">
        <v>0</v>
      </c>
      <c r="AV80" s="142">
        <v>0</v>
      </c>
      <c r="AW80" s="142">
        <v>0</v>
      </c>
      <c r="AX80" s="142">
        <v>0</v>
      </c>
      <c r="AY80" s="142">
        <v>0</v>
      </c>
      <c r="AZ80" s="142">
        <v>0</v>
      </c>
      <c r="BA80" s="142">
        <v>0</v>
      </c>
      <c r="BB80" s="142">
        <v>0</v>
      </c>
      <c r="BC80" s="142">
        <v>0</v>
      </c>
      <c r="BD80" s="142">
        <v>0</v>
      </c>
      <c r="BE80" s="142">
        <v>0</v>
      </c>
      <c r="BF80" s="142">
        <v>0</v>
      </c>
      <c r="BG80" s="142">
        <v>0</v>
      </c>
      <c r="BH80" s="142">
        <v>0</v>
      </c>
      <c r="BI80" s="142">
        <v>0</v>
      </c>
      <c r="BJ80" s="142">
        <v>0</v>
      </c>
      <c r="BK80" s="142">
        <v>0</v>
      </c>
      <c r="BL80" s="142">
        <v>0</v>
      </c>
      <c r="BM80" s="142">
        <v>0</v>
      </c>
      <c r="BN80" s="142">
        <v>0</v>
      </c>
      <c r="BO80" s="142">
        <v>0</v>
      </c>
      <c r="BP80" s="142">
        <v>0</v>
      </c>
      <c r="BQ80" s="142">
        <v>0</v>
      </c>
      <c r="BR80" s="142">
        <v>0</v>
      </c>
      <c r="BS80" s="142">
        <v>0</v>
      </c>
      <c r="BT80" s="142">
        <v>0</v>
      </c>
      <c r="BU80" s="142">
        <v>0</v>
      </c>
      <c r="BV80" s="142">
        <v>0</v>
      </c>
      <c r="BW80" s="142">
        <v>0</v>
      </c>
      <c r="BX80" s="142">
        <v>0</v>
      </c>
      <c r="BY80" s="142">
        <v>0</v>
      </c>
      <c r="BZ80" s="142">
        <v>0</v>
      </c>
      <c r="CA80" s="142">
        <v>0</v>
      </c>
      <c r="CB80" s="142">
        <v>0</v>
      </c>
      <c r="CC80" s="142">
        <v>0</v>
      </c>
      <c r="CD80" s="142">
        <v>0</v>
      </c>
      <c r="CE80" s="142">
        <v>0</v>
      </c>
      <c r="CF80" s="142">
        <v>0</v>
      </c>
      <c r="CG80" s="142">
        <v>0</v>
      </c>
    </row>
    <row r="81" spans="1:85" x14ac:dyDescent="0.15">
      <c r="A81" s="177" t="s">
        <v>271</v>
      </c>
      <c r="B81" s="142">
        <v>5.0000000000000001E-3</v>
      </c>
      <c r="C81" s="142">
        <v>0</v>
      </c>
      <c r="D81" s="142">
        <v>0</v>
      </c>
      <c r="E81" s="142">
        <v>0</v>
      </c>
      <c r="F81" s="142">
        <v>0</v>
      </c>
      <c r="G81" s="142">
        <v>0</v>
      </c>
      <c r="H81" s="142">
        <v>0</v>
      </c>
      <c r="I81" s="142">
        <v>0</v>
      </c>
      <c r="J81" s="142">
        <v>0</v>
      </c>
      <c r="K81" s="142">
        <v>0</v>
      </c>
      <c r="L81" s="142">
        <v>0</v>
      </c>
      <c r="M81" s="142">
        <v>0</v>
      </c>
      <c r="N81" s="142">
        <v>0</v>
      </c>
      <c r="O81" s="142">
        <v>0</v>
      </c>
      <c r="P81" s="142">
        <v>0</v>
      </c>
      <c r="Q81" s="142">
        <v>0</v>
      </c>
      <c r="R81" s="142">
        <v>0</v>
      </c>
      <c r="S81" s="142">
        <v>0</v>
      </c>
      <c r="T81" s="142">
        <v>0</v>
      </c>
      <c r="U81" s="142">
        <v>0</v>
      </c>
      <c r="V81" s="142">
        <v>0</v>
      </c>
      <c r="W81" s="142">
        <v>0</v>
      </c>
      <c r="X81" s="142">
        <v>0</v>
      </c>
      <c r="Y81" s="142">
        <v>0</v>
      </c>
      <c r="Z81" s="142">
        <v>0</v>
      </c>
      <c r="AA81" s="142">
        <v>0</v>
      </c>
      <c r="AB81" s="142">
        <v>0</v>
      </c>
      <c r="AC81" s="142">
        <v>0</v>
      </c>
      <c r="AD81" s="142">
        <v>0</v>
      </c>
      <c r="AE81" s="142">
        <v>0</v>
      </c>
      <c r="AF81" s="142">
        <v>0</v>
      </c>
      <c r="AG81" s="142">
        <v>0</v>
      </c>
      <c r="AH81" s="142">
        <v>0</v>
      </c>
      <c r="AI81" s="142">
        <v>0</v>
      </c>
      <c r="AJ81" s="142">
        <v>0</v>
      </c>
      <c r="AK81" s="142">
        <v>0</v>
      </c>
      <c r="AL81" s="142">
        <v>0</v>
      </c>
      <c r="AM81" s="142">
        <v>0</v>
      </c>
      <c r="AN81" s="142">
        <v>7.9992000799920006E-3</v>
      </c>
      <c r="AO81" s="142">
        <v>0</v>
      </c>
      <c r="AP81" s="142">
        <v>0</v>
      </c>
      <c r="AQ81" s="142">
        <v>0</v>
      </c>
      <c r="AR81" s="142">
        <v>1.7999999999999999E-2</v>
      </c>
      <c r="AS81" s="142">
        <v>1.7999999999999999E-2</v>
      </c>
      <c r="AT81" s="142">
        <v>0</v>
      </c>
      <c r="AU81" s="142">
        <v>0</v>
      </c>
      <c r="AV81" s="142">
        <v>0</v>
      </c>
      <c r="AW81" s="142">
        <v>3.0015007503751872E-3</v>
      </c>
      <c r="AX81" s="142">
        <v>3.0000000000000001E-3</v>
      </c>
      <c r="AY81" s="142">
        <v>9.9965012245713985E-4</v>
      </c>
      <c r="AZ81" s="142">
        <v>0</v>
      </c>
      <c r="BA81" s="142">
        <v>2E-3</v>
      </c>
      <c r="BB81" s="142">
        <v>3.9984006397441034E-4</v>
      </c>
      <c r="BC81" s="142">
        <v>3.0000000000000001E-3</v>
      </c>
      <c r="BD81" s="142">
        <v>3.9992401443725696E-4</v>
      </c>
      <c r="BE81" s="142">
        <v>1.4E-2</v>
      </c>
      <c r="BF81" s="142">
        <v>0</v>
      </c>
      <c r="BG81" s="142">
        <v>0</v>
      </c>
      <c r="BH81" s="142">
        <v>3.0000000000000001E-3</v>
      </c>
      <c r="BI81" s="142">
        <v>0</v>
      </c>
      <c r="BJ81" s="142">
        <v>0.12199999999999997</v>
      </c>
      <c r="BK81" s="142">
        <v>3.2984826979589384E-4</v>
      </c>
      <c r="BL81" s="142">
        <v>0</v>
      </c>
      <c r="BM81" s="142">
        <v>2.4993751562109469E-4</v>
      </c>
      <c r="BN81" s="142">
        <v>0</v>
      </c>
      <c r="BO81" s="142">
        <v>0</v>
      </c>
      <c r="BP81" s="142">
        <v>0</v>
      </c>
      <c r="BQ81" s="142">
        <v>0</v>
      </c>
      <c r="BR81" s="142">
        <v>0</v>
      </c>
      <c r="BS81" s="142">
        <v>0</v>
      </c>
      <c r="BT81" s="142">
        <v>0</v>
      </c>
      <c r="BU81" s="142">
        <v>0</v>
      </c>
      <c r="BV81" s="142">
        <v>0</v>
      </c>
      <c r="BW81" s="142">
        <v>9.9990000999900015E-5</v>
      </c>
      <c r="BX81" s="142">
        <v>0</v>
      </c>
      <c r="BY81" s="142">
        <v>0</v>
      </c>
      <c r="BZ81" s="142">
        <v>0</v>
      </c>
      <c r="CA81" s="142">
        <v>0</v>
      </c>
      <c r="CB81" s="142">
        <v>0</v>
      </c>
      <c r="CC81" s="142">
        <v>0</v>
      </c>
      <c r="CD81" s="142">
        <v>0</v>
      </c>
      <c r="CE81" s="142">
        <v>0</v>
      </c>
      <c r="CF81" s="142">
        <v>0</v>
      </c>
      <c r="CG81" s="142">
        <v>0</v>
      </c>
    </row>
    <row r="82" spans="1:85" x14ac:dyDescent="0.15">
      <c r="A82" s="177" t="s">
        <v>272</v>
      </c>
      <c r="B82" s="142">
        <v>0</v>
      </c>
      <c r="C82" s="142">
        <v>0</v>
      </c>
      <c r="D82" s="142">
        <v>0</v>
      </c>
      <c r="E82" s="142">
        <v>0</v>
      </c>
      <c r="F82" s="142">
        <v>0</v>
      </c>
      <c r="G82" s="142">
        <v>0</v>
      </c>
      <c r="H82" s="142">
        <v>0</v>
      </c>
      <c r="I82" s="142">
        <v>0</v>
      </c>
      <c r="J82" s="142">
        <v>0</v>
      </c>
      <c r="K82" s="142">
        <v>0</v>
      </c>
      <c r="L82" s="142">
        <v>0</v>
      </c>
      <c r="M82" s="142">
        <v>0</v>
      </c>
      <c r="N82" s="142">
        <v>0</v>
      </c>
      <c r="O82" s="142">
        <v>0</v>
      </c>
      <c r="P82" s="142">
        <v>0</v>
      </c>
      <c r="Q82" s="142">
        <v>0</v>
      </c>
      <c r="R82" s="142">
        <v>0</v>
      </c>
      <c r="S82" s="142">
        <v>0</v>
      </c>
      <c r="T82" s="142">
        <v>0</v>
      </c>
      <c r="U82" s="142">
        <v>0</v>
      </c>
      <c r="V82" s="142">
        <v>0</v>
      </c>
      <c r="W82" s="142">
        <v>0</v>
      </c>
      <c r="X82" s="142">
        <v>0</v>
      </c>
      <c r="Y82" s="142">
        <v>0</v>
      </c>
      <c r="Z82" s="142">
        <v>0</v>
      </c>
      <c r="AA82" s="142">
        <v>0</v>
      </c>
      <c r="AB82" s="142">
        <v>0</v>
      </c>
      <c r="AC82" s="142">
        <v>0</v>
      </c>
      <c r="AD82" s="142">
        <v>0</v>
      </c>
      <c r="AE82" s="142">
        <v>0</v>
      </c>
      <c r="AF82" s="142">
        <v>0</v>
      </c>
      <c r="AG82" s="142">
        <v>0</v>
      </c>
      <c r="AH82" s="142">
        <v>0</v>
      </c>
      <c r="AI82" s="142">
        <v>0</v>
      </c>
      <c r="AJ82" s="142">
        <v>0</v>
      </c>
      <c r="AK82" s="142">
        <v>0</v>
      </c>
      <c r="AL82" s="142">
        <v>0</v>
      </c>
      <c r="AM82" s="142">
        <v>0</v>
      </c>
      <c r="AN82" s="142">
        <v>0</v>
      </c>
      <c r="AO82" s="142">
        <v>0</v>
      </c>
      <c r="AP82" s="142">
        <v>0</v>
      </c>
      <c r="AQ82" s="142">
        <v>0</v>
      </c>
      <c r="AR82" s="142">
        <v>0</v>
      </c>
      <c r="AS82" s="142">
        <v>0</v>
      </c>
      <c r="AT82" s="142">
        <v>0</v>
      </c>
      <c r="AU82" s="142">
        <v>0</v>
      </c>
      <c r="AV82" s="142">
        <v>0</v>
      </c>
      <c r="AW82" s="142">
        <v>0</v>
      </c>
      <c r="AX82" s="142">
        <v>5.0000000000000001E-3</v>
      </c>
      <c r="AY82" s="142">
        <v>0</v>
      </c>
      <c r="AZ82" s="142">
        <v>0</v>
      </c>
      <c r="BA82" s="142">
        <v>6.0000000000000001E-3</v>
      </c>
      <c r="BB82" s="142">
        <v>5.9976009596161553E-3</v>
      </c>
      <c r="BC82" s="142">
        <v>0</v>
      </c>
      <c r="BD82" s="142">
        <v>3.9992401443725697E-3</v>
      </c>
      <c r="BE82" s="142">
        <v>0</v>
      </c>
      <c r="BF82" s="142">
        <v>0</v>
      </c>
      <c r="BG82" s="142">
        <v>0</v>
      </c>
      <c r="BH82" s="142">
        <v>3.2000000000000001E-2</v>
      </c>
      <c r="BI82" s="142">
        <v>0</v>
      </c>
      <c r="BJ82" s="142">
        <v>1.1999999999999997E-2</v>
      </c>
      <c r="BK82" s="142">
        <v>0</v>
      </c>
      <c r="BL82" s="142">
        <v>0</v>
      </c>
      <c r="BM82" s="142">
        <v>9.9975006248437877E-4</v>
      </c>
      <c r="BN82" s="142">
        <v>1E-3</v>
      </c>
      <c r="BO82" s="142">
        <v>0</v>
      </c>
      <c r="BP82" s="142">
        <v>0</v>
      </c>
      <c r="BQ82" s="142">
        <v>0</v>
      </c>
      <c r="BR82" s="142">
        <v>0</v>
      </c>
      <c r="BS82" s="142">
        <v>0</v>
      </c>
      <c r="BT82" s="142">
        <v>0</v>
      </c>
      <c r="BU82" s="142">
        <v>0</v>
      </c>
      <c r="BV82" s="142">
        <v>0</v>
      </c>
      <c r="BW82" s="142">
        <v>0</v>
      </c>
      <c r="BX82" s="142">
        <v>0</v>
      </c>
      <c r="BY82" s="142">
        <v>0</v>
      </c>
      <c r="BZ82" s="142">
        <v>0</v>
      </c>
      <c r="CA82" s="142">
        <v>0</v>
      </c>
      <c r="CB82" s="142">
        <v>0</v>
      </c>
      <c r="CC82" s="142">
        <v>0</v>
      </c>
      <c r="CD82" s="142">
        <v>0</v>
      </c>
      <c r="CE82" s="142">
        <v>0</v>
      </c>
      <c r="CF82" s="142">
        <v>0</v>
      </c>
      <c r="CG82" s="142">
        <v>0</v>
      </c>
    </row>
    <row r="83" spans="1:85" x14ac:dyDescent="0.15">
      <c r="A83" s="177" t="s">
        <v>273</v>
      </c>
      <c r="B83" s="142">
        <v>0</v>
      </c>
      <c r="C83" s="142">
        <v>0</v>
      </c>
      <c r="D83" s="142">
        <v>0</v>
      </c>
      <c r="E83" s="142">
        <v>0</v>
      </c>
      <c r="F83" s="142">
        <v>0</v>
      </c>
      <c r="G83" s="142">
        <v>0</v>
      </c>
      <c r="H83" s="142">
        <v>0</v>
      </c>
      <c r="I83" s="142">
        <v>0</v>
      </c>
      <c r="J83" s="142">
        <v>0</v>
      </c>
      <c r="K83" s="142">
        <v>0</v>
      </c>
      <c r="L83" s="142">
        <v>0</v>
      </c>
      <c r="M83" s="142">
        <v>0</v>
      </c>
      <c r="N83" s="142">
        <v>0</v>
      </c>
      <c r="O83" s="142">
        <v>0</v>
      </c>
      <c r="P83" s="142">
        <v>0</v>
      </c>
      <c r="Q83" s="142">
        <v>0</v>
      </c>
      <c r="R83" s="142">
        <v>0</v>
      </c>
      <c r="S83" s="142">
        <v>2.4995684744985624E-4</v>
      </c>
      <c r="T83" s="142">
        <v>1.1998369421595605E-5</v>
      </c>
      <c r="U83" s="142">
        <v>0</v>
      </c>
      <c r="V83" s="142">
        <v>4.9990801692488596E-6</v>
      </c>
      <c r="W83" s="142">
        <v>0</v>
      </c>
      <c r="X83" s="142">
        <v>0</v>
      </c>
      <c r="Y83" s="142">
        <v>0</v>
      </c>
      <c r="Z83" s="142">
        <v>7.8981282225925261E-7</v>
      </c>
      <c r="AA83" s="142">
        <v>0</v>
      </c>
      <c r="AB83" s="142">
        <v>0</v>
      </c>
      <c r="AC83" s="142">
        <v>8.1030548516790844E-4</v>
      </c>
      <c r="AD83" s="142">
        <v>0</v>
      </c>
      <c r="AE83" s="142">
        <v>0</v>
      </c>
      <c r="AF83" s="142">
        <v>2.0009524533678034E-4</v>
      </c>
      <c r="AG83" s="142">
        <v>0</v>
      </c>
      <c r="AH83" s="142">
        <v>0</v>
      </c>
      <c r="AI83" s="142">
        <v>0</v>
      </c>
      <c r="AJ83" s="142">
        <v>0</v>
      </c>
      <c r="AK83" s="142">
        <v>0</v>
      </c>
      <c r="AL83" s="142">
        <v>0</v>
      </c>
      <c r="AM83" s="142">
        <v>0</v>
      </c>
      <c r="AN83" s="142">
        <v>0</v>
      </c>
      <c r="AO83" s="142">
        <v>0</v>
      </c>
      <c r="AP83" s="142">
        <v>0</v>
      </c>
      <c r="AQ83" s="142">
        <v>0</v>
      </c>
      <c r="AR83" s="142">
        <v>0</v>
      </c>
      <c r="AS83" s="142">
        <v>0</v>
      </c>
      <c r="AT83" s="142">
        <v>0</v>
      </c>
      <c r="AU83" s="142">
        <v>0</v>
      </c>
      <c r="AV83" s="142">
        <v>0</v>
      </c>
      <c r="AW83" s="142">
        <v>0</v>
      </c>
      <c r="AX83" s="142">
        <v>0.01</v>
      </c>
      <c r="AY83" s="142">
        <v>9.9965012245713993E-3</v>
      </c>
      <c r="AZ83" s="142">
        <v>0</v>
      </c>
      <c r="BA83" s="142">
        <v>0</v>
      </c>
      <c r="BB83" s="142">
        <v>0</v>
      </c>
      <c r="BC83" s="142">
        <v>0</v>
      </c>
      <c r="BD83" s="142">
        <v>0</v>
      </c>
      <c r="BE83" s="142">
        <v>0</v>
      </c>
      <c r="BF83" s="142">
        <v>0</v>
      </c>
      <c r="BG83" s="142">
        <v>0</v>
      </c>
      <c r="BH83" s="142">
        <v>0</v>
      </c>
      <c r="BI83" s="142">
        <v>0.27500000000000002</v>
      </c>
      <c r="BJ83" s="142">
        <v>0</v>
      </c>
      <c r="BK83" s="142">
        <v>0.13093976770685484</v>
      </c>
      <c r="BL83" s="142">
        <v>0.13</v>
      </c>
      <c r="BM83" s="142">
        <v>1.9995001249687578E-2</v>
      </c>
      <c r="BN83" s="142">
        <v>0.02</v>
      </c>
      <c r="BO83" s="142">
        <v>0</v>
      </c>
      <c r="BP83" s="142">
        <v>0</v>
      </c>
      <c r="BQ83" s="142">
        <v>0</v>
      </c>
      <c r="BR83" s="142">
        <v>9.9999999999999978E-2</v>
      </c>
      <c r="BS83" s="142">
        <v>0.23200000000000001</v>
      </c>
      <c r="BT83" s="142">
        <v>0.2</v>
      </c>
      <c r="BU83" s="142">
        <v>5.9999999999999984E-2</v>
      </c>
      <c r="BV83" s="142">
        <v>0</v>
      </c>
      <c r="BW83" s="142">
        <v>0.49995000499950004</v>
      </c>
      <c r="BX83" s="142">
        <v>0</v>
      </c>
      <c r="BY83" s="142">
        <v>0</v>
      </c>
      <c r="BZ83" s="142">
        <v>0</v>
      </c>
      <c r="CA83" s="142">
        <v>0</v>
      </c>
      <c r="CB83" s="142">
        <v>0</v>
      </c>
      <c r="CC83" s="142">
        <v>0</v>
      </c>
      <c r="CD83" s="142">
        <v>0</v>
      </c>
      <c r="CE83" s="142">
        <v>0</v>
      </c>
      <c r="CF83" s="142">
        <v>0</v>
      </c>
      <c r="CG83" s="142">
        <v>0</v>
      </c>
    </row>
    <row r="84" spans="1:85" x14ac:dyDescent="0.15">
      <c r="A84" s="177" t="s">
        <v>274</v>
      </c>
      <c r="B84" s="142">
        <v>0</v>
      </c>
      <c r="C84" s="142">
        <v>0</v>
      </c>
      <c r="D84" s="142">
        <v>0</v>
      </c>
      <c r="E84" s="142">
        <v>0</v>
      </c>
      <c r="F84" s="142">
        <v>0</v>
      </c>
      <c r="G84" s="142">
        <v>0</v>
      </c>
      <c r="H84" s="142">
        <v>0</v>
      </c>
      <c r="I84" s="142">
        <v>0</v>
      </c>
      <c r="J84" s="142">
        <v>0</v>
      </c>
      <c r="K84" s="142">
        <v>0</v>
      </c>
      <c r="L84" s="142">
        <v>0</v>
      </c>
      <c r="M84" s="142">
        <v>0</v>
      </c>
      <c r="N84" s="142">
        <v>3.0009302883894006E-3</v>
      </c>
      <c r="O84" s="142">
        <v>0</v>
      </c>
      <c r="P84" s="142">
        <v>0</v>
      </c>
      <c r="Q84" s="142">
        <v>0</v>
      </c>
      <c r="R84" s="142">
        <v>0</v>
      </c>
      <c r="S84" s="142">
        <v>0</v>
      </c>
      <c r="T84" s="142">
        <v>2.1997010606258609E-4</v>
      </c>
      <c r="U84" s="142">
        <v>0</v>
      </c>
      <c r="V84" s="142">
        <v>3.8992825320141106E-4</v>
      </c>
      <c r="W84" s="142">
        <v>0</v>
      </c>
      <c r="X84" s="142">
        <v>5.2016026137652999E-4</v>
      </c>
      <c r="Y84" s="142">
        <v>5.400950567299844E-5</v>
      </c>
      <c r="Z84" s="142">
        <v>8.8978912887434795E-5</v>
      </c>
      <c r="AA84" s="142">
        <v>7.1019104139013391E-5</v>
      </c>
      <c r="AB84" s="142">
        <v>1.9008288145863666E-4</v>
      </c>
      <c r="AC84" s="142">
        <v>0</v>
      </c>
      <c r="AD84" s="142">
        <v>0</v>
      </c>
      <c r="AE84" s="142">
        <v>6.8009079212074816E-2</v>
      </c>
      <c r="AF84" s="142">
        <v>3.5016667933936559E-4</v>
      </c>
      <c r="AG84" s="142">
        <v>0</v>
      </c>
      <c r="AH84" s="142">
        <v>0</v>
      </c>
      <c r="AI84" s="142">
        <v>0</v>
      </c>
      <c r="AJ84" s="142">
        <v>0</v>
      </c>
      <c r="AK84" s="142">
        <v>0</v>
      </c>
      <c r="AL84" s="142">
        <v>0</v>
      </c>
      <c r="AM84" s="142">
        <v>0</v>
      </c>
      <c r="AN84" s="142">
        <v>0</v>
      </c>
      <c r="AO84" s="142">
        <v>0</v>
      </c>
      <c r="AP84" s="142">
        <v>0</v>
      </c>
      <c r="AQ84" s="142">
        <v>0</v>
      </c>
      <c r="AR84" s="142">
        <v>0</v>
      </c>
      <c r="AS84" s="142">
        <v>0</v>
      </c>
      <c r="AT84" s="142">
        <v>0</v>
      </c>
      <c r="AU84" s="142">
        <v>0</v>
      </c>
      <c r="AV84" s="142">
        <v>0</v>
      </c>
      <c r="AW84" s="142">
        <v>2.4012006003001497E-2</v>
      </c>
      <c r="AX84" s="142">
        <v>4.4999999999999998E-2</v>
      </c>
      <c r="AY84" s="142">
        <v>1.199580146948568E-2</v>
      </c>
      <c r="AZ84" s="142">
        <v>0</v>
      </c>
      <c r="BA84" s="142">
        <v>6.3E-2</v>
      </c>
      <c r="BB84" s="142">
        <v>6.2974810075969626E-2</v>
      </c>
      <c r="BC84" s="142">
        <v>7.8E-2</v>
      </c>
      <c r="BD84" s="142">
        <v>0.17196732620802047</v>
      </c>
      <c r="BE84" s="142">
        <v>0</v>
      </c>
      <c r="BF84" s="142">
        <v>0.80100000000000005</v>
      </c>
      <c r="BG84" s="142">
        <v>0.32999999999999996</v>
      </c>
      <c r="BH84" s="142">
        <v>0.318</v>
      </c>
      <c r="BI84" s="142">
        <v>0.54900000000000004</v>
      </c>
      <c r="BJ84" s="142">
        <v>0.11099999999999997</v>
      </c>
      <c r="BK84" s="142">
        <v>0.13493792855286568</v>
      </c>
      <c r="BL84" s="142">
        <v>0.41</v>
      </c>
      <c r="BM84" s="142">
        <v>6.9982504373906518E-2</v>
      </c>
      <c r="BN84" s="142">
        <v>0.32100000000000001</v>
      </c>
      <c r="BO84" s="142">
        <v>0.2</v>
      </c>
      <c r="BP84" s="142">
        <v>0.44</v>
      </c>
      <c r="BQ84" s="142">
        <v>0</v>
      </c>
      <c r="BR84" s="142">
        <v>0</v>
      </c>
      <c r="BS84" s="142">
        <v>0</v>
      </c>
      <c r="BT84" s="142">
        <v>0</v>
      </c>
      <c r="BU84" s="142">
        <v>5.9999999999999984E-2</v>
      </c>
      <c r="BV84" s="142">
        <v>0</v>
      </c>
      <c r="BW84" s="142">
        <v>0.48995100489951005</v>
      </c>
      <c r="BX84" s="142">
        <v>0</v>
      </c>
      <c r="BY84" s="142">
        <v>0</v>
      </c>
      <c r="BZ84" s="142">
        <v>0</v>
      </c>
      <c r="CA84" s="142">
        <v>0</v>
      </c>
      <c r="CB84" s="142">
        <v>0</v>
      </c>
      <c r="CC84" s="142">
        <v>0</v>
      </c>
      <c r="CD84" s="142">
        <v>0</v>
      </c>
      <c r="CE84" s="142">
        <v>0</v>
      </c>
      <c r="CF84" s="142">
        <v>0</v>
      </c>
      <c r="CG84" s="142">
        <v>0</v>
      </c>
    </row>
    <row r="85" spans="1:85" x14ac:dyDescent="0.15">
      <c r="A85" s="177" t="s">
        <v>275</v>
      </c>
      <c r="B85" s="142">
        <v>0</v>
      </c>
      <c r="C85" s="142">
        <v>0</v>
      </c>
      <c r="D85" s="142">
        <v>0</v>
      </c>
      <c r="E85" s="142">
        <v>0</v>
      </c>
      <c r="F85" s="142">
        <v>0</v>
      </c>
      <c r="G85" s="142">
        <v>0</v>
      </c>
      <c r="H85" s="142">
        <v>0</v>
      </c>
      <c r="I85" s="142">
        <v>0</v>
      </c>
      <c r="J85" s="142">
        <v>0</v>
      </c>
      <c r="K85" s="142">
        <v>0</v>
      </c>
      <c r="L85" s="142">
        <v>0</v>
      </c>
      <c r="M85" s="142">
        <v>0</v>
      </c>
      <c r="N85" s="142">
        <v>0</v>
      </c>
      <c r="O85" s="142">
        <v>0</v>
      </c>
      <c r="P85" s="142">
        <v>0</v>
      </c>
      <c r="Q85" s="142">
        <v>0</v>
      </c>
      <c r="R85" s="142">
        <v>0</v>
      </c>
      <c r="S85" s="142">
        <v>0</v>
      </c>
      <c r="T85" s="142">
        <v>0</v>
      </c>
      <c r="U85" s="142">
        <v>0</v>
      </c>
      <c r="V85" s="142">
        <v>0</v>
      </c>
      <c r="W85" s="142">
        <v>0</v>
      </c>
      <c r="X85" s="142">
        <v>0</v>
      </c>
      <c r="Y85" s="142">
        <v>0</v>
      </c>
      <c r="Z85" s="142">
        <v>0</v>
      </c>
      <c r="AA85" s="142">
        <v>0</v>
      </c>
      <c r="AB85" s="142">
        <v>0</v>
      </c>
      <c r="AC85" s="142">
        <v>0</v>
      </c>
      <c r="AD85" s="142">
        <v>0</v>
      </c>
      <c r="AE85" s="142">
        <v>0</v>
      </c>
      <c r="AF85" s="142">
        <v>0</v>
      </c>
      <c r="AG85" s="142">
        <v>0</v>
      </c>
      <c r="AH85" s="142">
        <v>0</v>
      </c>
      <c r="AI85" s="142">
        <v>0</v>
      </c>
      <c r="AJ85" s="142">
        <v>0</v>
      </c>
      <c r="AK85" s="142">
        <v>0</v>
      </c>
      <c r="AL85" s="142">
        <v>0</v>
      </c>
      <c r="AM85" s="142">
        <v>0</v>
      </c>
      <c r="AN85" s="142">
        <v>0</v>
      </c>
      <c r="AO85" s="142">
        <v>0</v>
      </c>
      <c r="AP85" s="142">
        <v>0</v>
      </c>
      <c r="AQ85" s="142">
        <v>0</v>
      </c>
      <c r="AR85" s="142">
        <v>0</v>
      </c>
      <c r="AS85" s="142">
        <v>0</v>
      </c>
      <c r="AT85" s="142">
        <v>0</v>
      </c>
      <c r="AU85" s="142">
        <v>0</v>
      </c>
      <c r="AV85" s="142">
        <v>0</v>
      </c>
      <c r="AW85" s="142">
        <v>0</v>
      </c>
      <c r="AX85" s="142">
        <v>0</v>
      </c>
      <c r="AY85" s="142">
        <v>0</v>
      </c>
      <c r="AZ85" s="142">
        <v>0</v>
      </c>
      <c r="BA85" s="142">
        <v>0</v>
      </c>
      <c r="BB85" s="142">
        <v>0</v>
      </c>
      <c r="BC85" s="142">
        <v>0</v>
      </c>
      <c r="BD85" s="142">
        <v>0</v>
      </c>
      <c r="BE85" s="142">
        <v>0</v>
      </c>
      <c r="BF85" s="142">
        <v>0</v>
      </c>
      <c r="BG85" s="142">
        <v>0</v>
      </c>
      <c r="BH85" s="142">
        <v>0</v>
      </c>
      <c r="BI85" s="142">
        <v>0</v>
      </c>
      <c r="BJ85" s="142">
        <v>0</v>
      </c>
      <c r="BK85" s="142">
        <v>0</v>
      </c>
      <c r="BL85" s="142">
        <v>0</v>
      </c>
      <c r="BM85" s="142">
        <v>0</v>
      </c>
      <c r="BN85" s="142">
        <v>0</v>
      </c>
      <c r="BO85" s="142">
        <v>0</v>
      </c>
      <c r="BP85" s="142">
        <v>0</v>
      </c>
      <c r="BQ85" s="142">
        <v>0</v>
      </c>
      <c r="BR85" s="142">
        <v>0</v>
      </c>
      <c r="BS85" s="142">
        <v>0</v>
      </c>
      <c r="BT85" s="142">
        <v>0</v>
      </c>
      <c r="BU85" s="142">
        <v>0</v>
      </c>
      <c r="BV85" s="142">
        <v>0</v>
      </c>
      <c r="BW85" s="142">
        <v>0</v>
      </c>
      <c r="BX85" s="142">
        <v>0</v>
      </c>
      <c r="BY85" s="142">
        <v>0</v>
      </c>
      <c r="BZ85" s="142">
        <v>0</v>
      </c>
      <c r="CA85" s="142">
        <v>0</v>
      </c>
      <c r="CB85" s="142">
        <v>0</v>
      </c>
      <c r="CC85" s="142">
        <v>0</v>
      </c>
      <c r="CD85" s="142">
        <v>0</v>
      </c>
      <c r="CE85" s="142">
        <v>0</v>
      </c>
      <c r="CF85" s="142">
        <v>0</v>
      </c>
      <c r="CG85" s="142">
        <v>0</v>
      </c>
    </row>
    <row r="86" spans="1:85" x14ac:dyDescent="0.15">
      <c r="A86" s="177" t="s">
        <v>286</v>
      </c>
      <c r="B86" s="142">
        <v>1.4999999999999999E-2</v>
      </c>
      <c r="C86" s="142">
        <v>0</v>
      </c>
      <c r="D86" s="142">
        <v>0.26600000000000001</v>
      </c>
      <c r="E86" s="142">
        <v>0</v>
      </c>
      <c r="F86" s="142">
        <v>0</v>
      </c>
      <c r="G86" s="142">
        <v>0</v>
      </c>
      <c r="H86" s="142">
        <v>0</v>
      </c>
      <c r="I86" s="142">
        <v>0</v>
      </c>
      <c r="J86" s="142">
        <v>0</v>
      </c>
      <c r="K86" s="142">
        <v>0</v>
      </c>
      <c r="L86" s="142">
        <v>0</v>
      </c>
      <c r="M86" s="142">
        <v>0</v>
      </c>
      <c r="N86" s="142">
        <v>0</v>
      </c>
      <c r="O86" s="142">
        <v>8.8041969606911588E-2</v>
      </c>
      <c r="P86" s="142">
        <v>0</v>
      </c>
      <c r="Q86" s="142">
        <v>0</v>
      </c>
      <c r="R86" s="142">
        <v>0</v>
      </c>
      <c r="S86" s="142">
        <v>0</v>
      </c>
      <c r="T86" s="142">
        <v>0</v>
      </c>
      <c r="U86" s="142">
        <v>0</v>
      </c>
      <c r="V86" s="142">
        <v>0</v>
      </c>
      <c r="W86" s="142">
        <v>0</v>
      </c>
      <c r="X86" s="142">
        <v>0</v>
      </c>
      <c r="Y86" s="142">
        <v>0</v>
      </c>
      <c r="Z86" s="142">
        <v>0</v>
      </c>
      <c r="AA86" s="142">
        <v>0</v>
      </c>
      <c r="AB86" s="142">
        <v>0</v>
      </c>
      <c r="AC86" s="142">
        <v>0</v>
      </c>
      <c r="AD86" s="142">
        <v>0</v>
      </c>
      <c r="AE86" s="142">
        <v>0</v>
      </c>
      <c r="AF86" s="142">
        <v>0</v>
      </c>
      <c r="AG86" s="142">
        <v>0</v>
      </c>
      <c r="AH86" s="142">
        <v>0</v>
      </c>
      <c r="AI86" s="142">
        <v>0</v>
      </c>
      <c r="AJ86" s="142">
        <v>0</v>
      </c>
      <c r="AK86" s="142">
        <v>0</v>
      </c>
      <c r="AL86" s="142">
        <v>0</v>
      </c>
      <c r="AM86" s="142">
        <v>0</v>
      </c>
      <c r="AN86" s="142">
        <v>1.9998000199980003E-2</v>
      </c>
      <c r="AO86" s="142">
        <v>0.2</v>
      </c>
      <c r="AP86" s="142">
        <v>0</v>
      </c>
      <c r="AQ86" s="142">
        <v>0</v>
      </c>
      <c r="AR86" s="142">
        <v>0</v>
      </c>
      <c r="AS86" s="142">
        <v>0</v>
      </c>
      <c r="AT86" s="142">
        <v>0</v>
      </c>
      <c r="AU86" s="142">
        <v>0</v>
      </c>
      <c r="AV86" s="142">
        <v>0</v>
      </c>
      <c r="AW86" s="142">
        <v>7.003501750875437E-3</v>
      </c>
      <c r="AX86" s="142">
        <v>7.0000000000000001E-3</v>
      </c>
      <c r="AY86" s="142">
        <v>7.9972009796571188E-3</v>
      </c>
      <c r="AZ86" s="142">
        <v>0</v>
      </c>
      <c r="BA86" s="142">
        <v>0.01</v>
      </c>
      <c r="BB86" s="142">
        <v>1.0995601759296285E-2</v>
      </c>
      <c r="BC86" s="142">
        <v>8.0000000000000002E-3</v>
      </c>
      <c r="BD86" s="142">
        <v>3.9992401443725697E-3</v>
      </c>
      <c r="BE86" s="142">
        <v>3.6999999999999998E-2</v>
      </c>
      <c r="BF86" s="142">
        <v>0</v>
      </c>
      <c r="BG86" s="142">
        <v>0</v>
      </c>
      <c r="BH86" s="142">
        <v>8.0000000000000002E-3</v>
      </c>
      <c r="BI86" s="142">
        <v>0</v>
      </c>
      <c r="BJ86" s="142">
        <v>0</v>
      </c>
      <c r="BK86" s="142">
        <v>9.9954021150270873E-4</v>
      </c>
      <c r="BL86" s="142">
        <v>0</v>
      </c>
      <c r="BM86" s="142">
        <v>9.9975006248437877E-4</v>
      </c>
      <c r="BN86" s="142">
        <v>0</v>
      </c>
      <c r="BO86" s="142">
        <v>0</v>
      </c>
      <c r="BP86" s="142">
        <v>0</v>
      </c>
      <c r="BQ86" s="142">
        <v>0</v>
      </c>
      <c r="BR86" s="142">
        <v>0</v>
      </c>
      <c r="BS86" s="142">
        <v>0</v>
      </c>
      <c r="BT86" s="142">
        <v>0</v>
      </c>
      <c r="BU86" s="142">
        <v>0</v>
      </c>
      <c r="BV86" s="142">
        <v>0</v>
      </c>
      <c r="BW86" s="142">
        <v>0</v>
      </c>
      <c r="BX86" s="142">
        <v>0</v>
      </c>
      <c r="BY86" s="142">
        <v>0</v>
      </c>
      <c r="BZ86" s="142">
        <v>0</v>
      </c>
      <c r="CA86" s="142">
        <v>0</v>
      </c>
      <c r="CB86" s="142">
        <v>0</v>
      </c>
      <c r="CC86" s="142">
        <v>0</v>
      </c>
      <c r="CD86" s="142">
        <v>0</v>
      </c>
      <c r="CE86" s="142">
        <v>0</v>
      </c>
      <c r="CF86" s="142">
        <v>0</v>
      </c>
      <c r="CG86" s="142">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I185"/>
  <sheetViews>
    <sheetView workbookViewId="0">
      <pane xSplit="2" ySplit="1" topLeftCell="C2" activePane="bottomRight" state="frozen"/>
      <selection pane="topRight" activeCell="C1" sqref="C1"/>
      <selection pane="bottomLeft" activeCell="A2" sqref="A2"/>
      <selection pane="bottomRight" activeCell="A3" sqref="A3"/>
    </sheetView>
  </sheetViews>
  <sheetFormatPr baseColWidth="10" defaultColWidth="8.83203125" defaultRowHeight="13" x14ac:dyDescent="0.15"/>
  <cols>
    <col min="1" max="1" width="3.33203125" customWidth="1"/>
    <col min="2" max="2" width="32" customWidth="1"/>
    <col min="3" max="4" width="3.83203125" style="112" customWidth="1"/>
    <col min="5" max="6" width="3.83203125" style="111" bestFit="1" customWidth="1"/>
    <col min="7" max="7" width="2.33203125" style="112" customWidth="1"/>
    <col min="8" max="8" width="2.83203125" style="112" customWidth="1"/>
    <col min="9" max="9" width="2.33203125" customWidth="1"/>
  </cols>
  <sheetData>
    <row r="1" spans="1:9" ht="70" x14ac:dyDescent="0.15">
      <c r="A1" s="5" t="s">
        <v>20</v>
      </c>
      <c r="B1" s="1" t="s">
        <v>0</v>
      </c>
      <c r="C1" s="180" t="s">
        <v>271</v>
      </c>
      <c r="D1" s="180" t="s">
        <v>272</v>
      </c>
      <c r="E1" s="180" t="s">
        <v>273</v>
      </c>
      <c r="F1" s="180" t="s">
        <v>274</v>
      </c>
      <c r="G1" s="180" t="s">
        <v>275</v>
      </c>
      <c r="H1" s="180" t="s">
        <v>287</v>
      </c>
      <c r="I1" s="180" t="s">
        <v>288</v>
      </c>
    </row>
    <row r="2" spans="1:9" x14ac:dyDescent="0.15">
      <c r="A2">
        <v>1</v>
      </c>
      <c r="B2" s="179" t="s">
        <v>192</v>
      </c>
      <c r="C2" s="112">
        <v>0</v>
      </c>
      <c r="D2" s="112">
        <v>0</v>
      </c>
      <c r="E2" s="111">
        <v>0.4</v>
      </c>
      <c r="F2" s="111">
        <v>0.6</v>
      </c>
      <c r="G2" s="112">
        <v>0</v>
      </c>
      <c r="H2" s="112">
        <v>0</v>
      </c>
      <c r="I2">
        <v>1</v>
      </c>
    </row>
    <row r="3" spans="1:9" x14ac:dyDescent="0.15">
      <c r="A3">
        <v>2</v>
      </c>
      <c r="B3" s="179" t="s">
        <v>193</v>
      </c>
      <c r="C3" s="112">
        <v>0</v>
      </c>
      <c r="D3" s="112">
        <v>0</v>
      </c>
      <c r="E3" s="111">
        <v>0.2</v>
      </c>
      <c r="F3" s="111">
        <v>0.8</v>
      </c>
      <c r="G3" s="112">
        <v>0</v>
      </c>
      <c r="H3" s="112">
        <v>0</v>
      </c>
      <c r="I3">
        <v>1</v>
      </c>
    </row>
    <row r="4" spans="1:9" x14ac:dyDescent="0.15">
      <c r="A4">
        <v>3</v>
      </c>
      <c r="B4" s="179" t="s">
        <v>194</v>
      </c>
      <c r="C4" s="112">
        <v>0</v>
      </c>
      <c r="D4" s="112">
        <v>0</v>
      </c>
      <c r="E4" s="111">
        <v>0</v>
      </c>
      <c r="F4" s="111">
        <v>1</v>
      </c>
      <c r="G4" s="112">
        <v>0</v>
      </c>
      <c r="H4" s="112">
        <v>0</v>
      </c>
      <c r="I4">
        <v>1</v>
      </c>
    </row>
    <row r="5" spans="1:9" x14ac:dyDescent="0.15">
      <c r="A5">
        <v>4</v>
      </c>
      <c r="B5" s="179" t="s">
        <v>195</v>
      </c>
      <c r="C5" s="112">
        <v>0</v>
      </c>
      <c r="D5" s="112">
        <v>0</v>
      </c>
      <c r="E5" s="111">
        <v>0.6</v>
      </c>
      <c r="F5" s="111">
        <v>0.4</v>
      </c>
      <c r="G5" s="112">
        <v>0</v>
      </c>
      <c r="H5" s="112">
        <v>0</v>
      </c>
      <c r="I5">
        <v>1</v>
      </c>
    </row>
    <row r="6" spans="1:9" x14ac:dyDescent="0.15">
      <c r="A6">
        <v>5</v>
      </c>
      <c r="B6" s="179" t="s">
        <v>196</v>
      </c>
      <c r="C6" s="112">
        <v>0</v>
      </c>
      <c r="D6" s="112">
        <v>0</v>
      </c>
      <c r="E6" s="111">
        <v>0.8</v>
      </c>
      <c r="F6" s="111">
        <v>0.2</v>
      </c>
      <c r="G6" s="112">
        <v>0</v>
      </c>
      <c r="H6" s="112">
        <v>0</v>
      </c>
      <c r="I6">
        <v>1</v>
      </c>
    </row>
    <row r="7" spans="1:9" x14ac:dyDescent="0.15">
      <c r="A7">
        <v>6</v>
      </c>
      <c r="B7" s="179" t="s">
        <v>197</v>
      </c>
      <c r="C7" s="112">
        <v>0</v>
      </c>
      <c r="D7" s="112">
        <v>0</v>
      </c>
      <c r="E7" s="111">
        <v>0.9</v>
      </c>
      <c r="F7" s="111">
        <v>0.1</v>
      </c>
      <c r="G7" s="112">
        <v>0</v>
      </c>
      <c r="H7" s="112">
        <v>0</v>
      </c>
      <c r="I7">
        <v>1</v>
      </c>
    </row>
    <row r="8" spans="1:9" x14ac:dyDescent="0.15">
      <c r="A8">
        <v>7</v>
      </c>
      <c r="B8" s="179" t="s">
        <v>198</v>
      </c>
      <c r="C8" s="112">
        <v>0</v>
      </c>
      <c r="D8" s="112">
        <v>0</v>
      </c>
      <c r="E8" s="111">
        <v>0.8</v>
      </c>
      <c r="F8" s="111">
        <v>0.2</v>
      </c>
      <c r="G8" s="112">
        <v>0</v>
      </c>
      <c r="H8" s="112">
        <v>0</v>
      </c>
      <c r="I8">
        <v>1</v>
      </c>
    </row>
    <row r="9" spans="1:9" x14ac:dyDescent="0.15">
      <c r="A9">
        <v>8</v>
      </c>
      <c r="B9" s="179" t="s">
        <v>199</v>
      </c>
      <c r="C9" s="112">
        <v>0</v>
      </c>
      <c r="D9" s="112">
        <v>0</v>
      </c>
      <c r="E9" s="111">
        <v>0.9</v>
      </c>
      <c r="F9" s="111">
        <v>0.1</v>
      </c>
      <c r="G9" s="112">
        <v>0</v>
      </c>
      <c r="H9" s="112">
        <v>0</v>
      </c>
      <c r="I9">
        <v>1</v>
      </c>
    </row>
    <row r="10" spans="1:9" x14ac:dyDescent="0.15">
      <c r="A10">
        <v>9</v>
      </c>
      <c r="B10" s="179" t="s">
        <v>200</v>
      </c>
      <c r="C10" s="112">
        <v>0</v>
      </c>
      <c r="D10" s="112">
        <v>0</v>
      </c>
      <c r="E10" s="111">
        <v>0.9</v>
      </c>
      <c r="F10" s="111">
        <v>0.1</v>
      </c>
      <c r="G10" s="112">
        <v>0</v>
      </c>
      <c r="H10" s="112">
        <v>0</v>
      </c>
      <c r="I10">
        <v>1</v>
      </c>
    </row>
    <row r="11" spans="1:9" x14ac:dyDescent="0.15">
      <c r="A11">
        <v>10</v>
      </c>
      <c r="B11" s="179" t="s">
        <v>201</v>
      </c>
      <c r="C11" s="112">
        <v>0</v>
      </c>
      <c r="D11" s="112">
        <v>0</v>
      </c>
      <c r="E11" s="111">
        <v>0</v>
      </c>
      <c r="F11" s="111">
        <v>1</v>
      </c>
      <c r="G11" s="112">
        <v>0</v>
      </c>
      <c r="H11" s="112">
        <v>0</v>
      </c>
      <c r="I11">
        <v>1</v>
      </c>
    </row>
    <row r="12" spans="1:9" x14ac:dyDescent="0.15">
      <c r="A12">
        <v>11</v>
      </c>
      <c r="B12" s="179" t="s">
        <v>202</v>
      </c>
      <c r="C12" s="112">
        <v>0</v>
      </c>
      <c r="D12" s="112">
        <v>0</v>
      </c>
      <c r="E12" s="111">
        <v>0</v>
      </c>
      <c r="F12" s="111">
        <v>1</v>
      </c>
      <c r="G12" s="112">
        <v>0</v>
      </c>
      <c r="H12" s="112">
        <v>0</v>
      </c>
      <c r="I12">
        <v>1</v>
      </c>
    </row>
    <row r="13" spans="1:9" x14ac:dyDescent="0.15">
      <c r="A13">
        <v>12</v>
      </c>
      <c r="B13" s="179" t="s">
        <v>203</v>
      </c>
      <c r="C13" s="112">
        <v>0</v>
      </c>
      <c r="D13" s="112">
        <v>0</v>
      </c>
      <c r="E13" s="111">
        <v>0</v>
      </c>
      <c r="F13" s="111">
        <v>1</v>
      </c>
      <c r="G13" s="112">
        <v>0</v>
      </c>
      <c r="H13" s="112">
        <v>0</v>
      </c>
      <c r="I13">
        <v>1</v>
      </c>
    </row>
    <row r="14" spans="1:9" x14ac:dyDescent="0.15">
      <c r="A14">
        <v>13</v>
      </c>
      <c r="B14" s="179" t="s">
        <v>204</v>
      </c>
      <c r="C14" s="112">
        <v>0</v>
      </c>
      <c r="D14" s="112">
        <v>0</v>
      </c>
      <c r="E14" s="111">
        <v>0</v>
      </c>
      <c r="F14" s="111">
        <v>1</v>
      </c>
      <c r="G14" s="112">
        <v>0</v>
      </c>
      <c r="H14" s="112">
        <v>0</v>
      </c>
      <c r="I14">
        <v>1</v>
      </c>
    </row>
    <row r="15" spans="1:9" x14ac:dyDescent="0.15">
      <c r="A15">
        <v>14</v>
      </c>
      <c r="B15" s="179" t="s">
        <v>205</v>
      </c>
      <c r="C15" s="112">
        <v>0</v>
      </c>
      <c r="D15" s="112">
        <v>0</v>
      </c>
      <c r="E15" s="111">
        <v>0</v>
      </c>
      <c r="F15" s="111">
        <v>1</v>
      </c>
      <c r="G15" s="112">
        <v>0</v>
      </c>
      <c r="H15" s="112">
        <v>0</v>
      </c>
      <c r="I15">
        <v>1</v>
      </c>
    </row>
    <row r="16" spans="1:9" x14ac:dyDescent="0.15">
      <c r="A16">
        <v>15</v>
      </c>
      <c r="B16" s="179" t="s">
        <v>206</v>
      </c>
      <c r="C16" s="112">
        <v>0</v>
      </c>
      <c r="D16" s="112">
        <v>0</v>
      </c>
      <c r="E16" s="111">
        <v>0</v>
      </c>
      <c r="F16" s="111">
        <v>1</v>
      </c>
      <c r="G16" s="112">
        <v>0</v>
      </c>
      <c r="H16" s="112">
        <v>0</v>
      </c>
      <c r="I16">
        <v>1</v>
      </c>
    </row>
    <row r="17" spans="1:9" ht="15" customHeight="1" x14ac:dyDescent="0.15">
      <c r="A17">
        <v>16</v>
      </c>
      <c r="B17" s="179" t="s">
        <v>207</v>
      </c>
      <c r="C17" s="112">
        <v>0</v>
      </c>
      <c r="D17" s="112">
        <v>0</v>
      </c>
      <c r="E17" s="111">
        <v>0</v>
      </c>
      <c r="F17" s="111">
        <v>1</v>
      </c>
      <c r="G17" s="112">
        <v>0</v>
      </c>
      <c r="H17" s="112">
        <v>0</v>
      </c>
      <c r="I17">
        <v>1</v>
      </c>
    </row>
    <row r="18" spans="1:9" ht="15" customHeight="1" x14ac:dyDescent="0.15">
      <c r="A18">
        <v>17</v>
      </c>
      <c r="B18" s="179" t="s">
        <v>208</v>
      </c>
      <c r="C18" s="112">
        <v>0</v>
      </c>
      <c r="D18" s="112">
        <v>0</v>
      </c>
      <c r="E18" s="111">
        <v>0</v>
      </c>
      <c r="F18" s="111">
        <v>1</v>
      </c>
      <c r="G18" s="112">
        <v>0</v>
      </c>
      <c r="H18" s="112">
        <v>0</v>
      </c>
      <c r="I18">
        <v>1</v>
      </c>
    </row>
    <row r="19" spans="1:9" ht="15" customHeight="1" x14ac:dyDescent="0.15">
      <c r="A19">
        <v>18</v>
      </c>
      <c r="B19" s="179" t="s">
        <v>209</v>
      </c>
      <c r="C19" s="112">
        <v>0</v>
      </c>
      <c r="D19" s="112">
        <v>0</v>
      </c>
      <c r="E19" s="111">
        <v>0</v>
      </c>
      <c r="F19" s="111">
        <v>1</v>
      </c>
      <c r="G19" s="112">
        <v>0</v>
      </c>
      <c r="H19" s="112">
        <v>0</v>
      </c>
      <c r="I19">
        <v>1</v>
      </c>
    </row>
    <row r="20" spans="1:9" ht="15" customHeight="1" x14ac:dyDescent="0.15">
      <c r="A20">
        <v>19</v>
      </c>
      <c r="B20" s="179" t="s">
        <v>210</v>
      </c>
      <c r="C20" s="112">
        <v>0</v>
      </c>
      <c r="D20" s="112">
        <v>0</v>
      </c>
      <c r="E20" s="111">
        <v>0</v>
      </c>
      <c r="F20" s="111">
        <v>1</v>
      </c>
      <c r="G20" s="112">
        <v>0</v>
      </c>
      <c r="H20" s="112">
        <v>0</v>
      </c>
      <c r="I20">
        <v>1</v>
      </c>
    </row>
    <row r="21" spans="1:9" ht="15" customHeight="1" x14ac:dyDescent="0.15">
      <c r="A21">
        <v>20</v>
      </c>
      <c r="B21" s="179" t="s">
        <v>211</v>
      </c>
      <c r="C21" s="112">
        <v>0</v>
      </c>
      <c r="D21" s="112">
        <v>0</v>
      </c>
      <c r="E21" s="111">
        <v>0</v>
      </c>
      <c r="F21" s="111">
        <v>1</v>
      </c>
      <c r="G21" s="112">
        <v>0</v>
      </c>
      <c r="H21" s="112">
        <v>0</v>
      </c>
      <c r="I21">
        <v>1</v>
      </c>
    </row>
    <row r="22" spans="1:9" ht="15" customHeight="1" x14ac:dyDescent="0.15">
      <c r="A22">
        <v>21</v>
      </c>
      <c r="B22" s="179" t="s">
        <v>212</v>
      </c>
      <c r="C22" s="112">
        <v>0</v>
      </c>
      <c r="D22" s="112">
        <v>0</v>
      </c>
      <c r="E22" s="111">
        <v>0</v>
      </c>
      <c r="F22" s="111">
        <v>1</v>
      </c>
      <c r="G22" s="112">
        <v>0</v>
      </c>
      <c r="H22" s="112">
        <v>0</v>
      </c>
      <c r="I22">
        <v>1</v>
      </c>
    </row>
    <row r="23" spans="1:9" ht="15" customHeight="1" x14ac:dyDescent="0.15">
      <c r="A23">
        <v>22</v>
      </c>
      <c r="B23" s="179" t="s">
        <v>213</v>
      </c>
      <c r="C23" s="112">
        <v>0</v>
      </c>
      <c r="D23" s="112">
        <v>0</v>
      </c>
      <c r="E23" s="111">
        <v>0</v>
      </c>
      <c r="F23" s="111">
        <v>1</v>
      </c>
      <c r="G23" s="112">
        <v>0</v>
      </c>
      <c r="H23" s="112">
        <v>0</v>
      </c>
      <c r="I23">
        <v>1</v>
      </c>
    </row>
    <row r="24" spans="1:9" ht="15" customHeight="1" x14ac:dyDescent="0.15">
      <c r="A24">
        <v>23</v>
      </c>
      <c r="B24" s="179" t="s">
        <v>214</v>
      </c>
      <c r="C24" s="112">
        <v>0</v>
      </c>
      <c r="D24" s="112">
        <v>0</v>
      </c>
      <c r="E24" s="111">
        <v>0</v>
      </c>
      <c r="F24" s="111">
        <v>1</v>
      </c>
      <c r="G24" s="112">
        <v>0</v>
      </c>
      <c r="H24" s="112">
        <v>0</v>
      </c>
      <c r="I24">
        <v>1</v>
      </c>
    </row>
    <row r="25" spans="1:9" ht="15" customHeight="1" x14ac:dyDescent="0.15">
      <c r="A25">
        <v>24</v>
      </c>
      <c r="B25" s="179" t="s">
        <v>215</v>
      </c>
      <c r="C25" s="112">
        <v>0</v>
      </c>
      <c r="D25" s="112">
        <v>0</v>
      </c>
      <c r="E25" s="111">
        <v>0</v>
      </c>
      <c r="F25" s="111">
        <v>1</v>
      </c>
      <c r="G25" s="112">
        <v>0</v>
      </c>
      <c r="H25" s="112">
        <v>0</v>
      </c>
      <c r="I25">
        <v>1</v>
      </c>
    </row>
    <row r="26" spans="1:9" ht="15" customHeight="1" x14ac:dyDescent="0.15">
      <c r="A26">
        <v>25</v>
      </c>
      <c r="B26" s="179" t="s">
        <v>216</v>
      </c>
      <c r="C26" s="112">
        <v>0</v>
      </c>
      <c r="D26" s="112">
        <v>0</v>
      </c>
      <c r="E26" s="111">
        <v>0</v>
      </c>
      <c r="F26" s="111">
        <v>1</v>
      </c>
      <c r="G26" s="112">
        <v>0</v>
      </c>
      <c r="H26" s="112">
        <v>0</v>
      </c>
      <c r="I26">
        <v>1</v>
      </c>
    </row>
    <row r="27" spans="1:9" ht="15" customHeight="1" x14ac:dyDescent="0.15">
      <c r="A27">
        <v>26</v>
      </c>
      <c r="B27" s="179" t="s">
        <v>217</v>
      </c>
      <c r="C27" s="112">
        <v>0</v>
      </c>
      <c r="D27" s="112">
        <v>0</v>
      </c>
      <c r="E27" s="111">
        <v>0</v>
      </c>
      <c r="F27" s="111">
        <v>1</v>
      </c>
      <c r="G27" s="112">
        <v>0</v>
      </c>
      <c r="H27" s="112">
        <v>0</v>
      </c>
      <c r="I27">
        <v>1</v>
      </c>
    </row>
    <row r="28" spans="1:9" ht="15" customHeight="1" x14ac:dyDescent="0.15">
      <c r="A28">
        <v>27</v>
      </c>
      <c r="B28" s="179" t="s">
        <v>218</v>
      </c>
      <c r="C28" s="112">
        <v>0</v>
      </c>
      <c r="D28" s="112">
        <v>0</v>
      </c>
      <c r="E28" s="111">
        <v>0</v>
      </c>
      <c r="F28" s="111">
        <v>1</v>
      </c>
      <c r="G28" s="112">
        <v>0</v>
      </c>
      <c r="H28" s="112">
        <v>0</v>
      </c>
      <c r="I28">
        <v>1</v>
      </c>
    </row>
    <row r="29" spans="1:9" ht="15" customHeight="1" x14ac:dyDescent="0.15">
      <c r="A29">
        <v>28</v>
      </c>
      <c r="B29" s="179" t="s">
        <v>219</v>
      </c>
      <c r="C29" s="112">
        <v>0</v>
      </c>
      <c r="D29" s="112">
        <v>0</v>
      </c>
      <c r="E29" s="111">
        <v>0</v>
      </c>
      <c r="F29" s="111">
        <v>1</v>
      </c>
      <c r="G29" s="112">
        <v>0</v>
      </c>
      <c r="H29" s="112">
        <v>0</v>
      </c>
      <c r="I29">
        <v>1</v>
      </c>
    </row>
    <row r="30" spans="1:9" ht="15" customHeight="1" x14ac:dyDescent="0.15">
      <c r="A30">
        <v>29</v>
      </c>
      <c r="B30" s="179" t="s">
        <v>220</v>
      </c>
      <c r="C30" s="112">
        <v>0</v>
      </c>
      <c r="D30" s="112">
        <v>0</v>
      </c>
      <c r="E30" s="111">
        <v>0</v>
      </c>
      <c r="F30" s="111">
        <v>1</v>
      </c>
      <c r="G30" s="112">
        <v>0</v>
      </c>
      <c r="H30" s="112">
        <v>0</v>
      </c>
      <c r="I30">
        <v>1</v>
      </c>
    </row>
    <row r="31" spans="1:9" ht="15" customHeight="1" x14ac:dyDescent="0.15">
      <c r="A31">
        <v>30</v>
      </c>
      <c r="B31" s="179" t="s">
        <v>221</v>
      </c>
      <c r="C31" s="112">
        <v>0</v>
      </c>
      <c r="D31" s="112">
        <v>0</v>
      </c>
      <c r="E31" s="111">
        <v>0</v>
      </c>
      <c r="F31" s="111">
        <v>1</v>
      </c>
      <c r="G31" s="112">
        <v>0</v>
      </c>
      <c r="H31" s="112">
        <v>0</v>
      </c>
      <c r="I31">
        <v>1</v>
      </c>
    </row>
    <row r="32" spans="1:9" ht="15" customHeight="1" x14ac:dyDescent="0.15">
      <c r="A32">
        <v>31</v>
      </c>
      <c r="B32" s="179" t="s">
        <v>222</v>
      </c>
      <c r="C32" s="112">
        <v>0</v>
      </c>
      <c r="D32" s="112">
        <v>0</v>
      </c>
      <c r="E32" s="111">
        <v>0</v>
      </c>
      <c r="F32" s="111">
        <v>1</v>
      </c>
      <c r="G32" s="112">
        <v>0</v>
      </c>
      <c r="H32" s="112">
        <v>0</v>
      </c>
      <c r="I32">
        <v>1</v>
      </c>
    </row>
    <row r="33" spans="1:9" ht="15" customHeight="1" x14ac:dyDescent="0.15">
      <c r="A33">
        <v>32</v>
      </c>
      <c r="B33" s="179" t="s">
        <v>223</v>
      </c>
      <c r="C33" s="112">
        <v>0</v>
      </c>
      <c r="D33" s="112">
        <v>0</v>
      </c>
      <c r="E33" s="111">
        <v>0</v>
      </c>
      <c r="F33" s="111">
        <v>1</v>
      </c>
      <c r="G33" s="112">
        <v>0</v>
      </c>
      <c r="H33" s="112">
        <v>0</v>
      </c>
      <c r="I33">
        <v>1</v>
      </c>
    </row>
    <row r="34" spans="1:9" ht="15" customHeight="1" x14ac:dyDescent="0.15">
      <c r="A34">
        <v>33</v>
      </c>
      <c r="B34" s="179" t="s">
        <v>224</v>
      </c>
      <c r="C34" s="112">
        <v>0</v>
      </c>
      <c r="D34" s="112">
        <v>0</v>
      </c>
      <c r="E34" s="111">
        <v>0</v>
      </c>
      <c r="F34" s="111">
        <v>1</v>
      </c>
      <c r="G34" s="112">
        <v>0</v>
      </c>
      <c r="H34" s="112">
        <v>0</v>
      </c>
      <c r="I34">
        <v>1</v>
      </c>
    </row>
    <row r="35" spans="1:9" ht="15" customHeight="1" x14ac:dyDescent="0.15">
      <c r="A35">
        <v>34</v>
      </c>
      <c r="B35" s="179" t="s">
        <v>225</v>
      </c>
      <c r="C35" s="112">
        <v>0</v>
      </c>
      <c r="D35" s="112">
        <v>0</v>
      </c>
      <c r="E35" s="111">
        <v>0</v>
      </c>
      <c r="F35" s="111">
        <v>1</v>
      </c>
      <c r="G35" s="112">
        <v>0</v>
      </c>
      <c r="H35" s="112">
        <v>0</v>
      </c>
      <c r="I35">
        <v>1</v>
      </c>
    </row>
    <row r="36" spans="1:9" ht="15" customHeight="1" x14ac:dyDescent="0.15">
      <c r="A36">
        <v>35</v>
      </c>
      <c r="B36" s="179" t="s">
        <v>226</v>
      </c>
      <c r="C36" s="112">
        <v>0</v>
      </c>
      <c r="D36" s="112">
        <v>0</v>
      </c>
      <c r="E36" s="112">
        <v>0</v>
      </c>
      <c r="F36" s="112">
        <v>1</v>
      </c>
      <c r="G36" s="112">
        <v>0</v>
      </c>
      <c r="H36" s="112">
        <v>0</v>
      </c>
      <c r="I36">
        <v>1</v>
      </c>
    </row>
    <row r="37" spans="1:9" ht="15" customHeight="1" x14ac:dyDescent="0.15">
      <c r="A37">
        <v>36</v>
      </c>
      <c r="B37" s="179" t="s">
        <v>227</v>
      </c>
      <c r="C37" s="112">
        <v>0</v>
      </c>
      <c r="D37" s="112">
        <v>0</v>
      </c>
      <c r="E37" s="112">
        <v>0</v>
      </c>
      <c r="F37" s="112">
        <v>1</v>
      </c>
      <c r="G37" s="112">
        <v>0</v>
      </c>
      <c r="H37" s="112">
        <v>0</v>
      </c>
      <c r="I37">
        <v>1</v>
      </c>
    </row>
    <row r="38" spans="1:9" ht="15" customHeight="1" x14ac:dyDescent="0.15">
      <c r="A38">
        <v>37</v>
      </c>
      <c r="B38" s="179" t="s">
        <v>228</v>
      </c>
      <c r="C38" s="112">
        <v>0</v>
      </c>
      <c r="D38" s="112">
        <v>0</v>
      </c>
      <c r="E38" s="112">
        <v>0</v>
      </c>
      <c r="F38" s="112">
        <v>1</v>
      </c>
      <c r="G38" s="112">
        <v>0</v>
      </c>
      <c r="H38" s="112">
        <v>0</v>
      </c>
      <c r="I38">
        <v>1</v>
      </c>
    </row>
    <row r="39" spans="1:9" ht="15" customHeight="1" x14ac:dyDescent="0.15">
      <c r="A39">
        <v>38</v>
      </c>
      <c r="B39" s="179" t="s">
        <v>229</v>
      </c>
      <c r="C39" s="112">
        <v>0</v>
      </c>
      <c r="D39" s="112">
        <v>0</v>
      </c>
      <c r="E39" s="112">
        <v>0</v>
      </c>
      <c r="F39" s="112">
        <v>1</v>
      </c>
      <c r="G39" s="112">
        <v>0</v>
      </c>
      <c r="H39" s="112">
        <v>0</v>
      </c>
      <c r="I39">
        <v>1</v>
      </c>
    </row>
    <row r="40" spans="1:9" ht="15" customHeight="1" x14ac:dyDescent="0.15">
      <c r="A40">
        <v>39</v>
      </c>
      <c r="B40" s="179" t="s">
        <v>230</v>
      </c>
      <c r="C40" s="112">
        <v>0</v>
      </c>
      <c r="D40" s="112">
        <v>0</v>
      </c>
      <c r="E40" s="112">
        <v>0.2</v>
      </c>
      <c r="F40" s="112">
        <v>0.8</v>
      </c>
      <c r="G40" s="112">
        <v>0</v>
      </c>
      <c r="H40" s="112">
        <v>0</v>
      </c>
      <c r="I40">
        <v>1</v>
      </c>
    </row>
    <row r="41" spans="1:9" ht="15" customHeight="1" x14ac:dyDescent="0.15">
      <c r="A41">
        <v>40</v>
      </c>
      <c r="B41" s="179" t="s">
        <v>231</v>
      </c>
      <c r="C41" s="112">
        <v>0</v>
      </c>
      <c r="D41" s="112">
        <v>0</v>
      </c>
      <c r="E41" s="112">
        <v>0.7</v>
      </c>
      <c r="F41" s="112">
        <v>0.3</v>
      </c>
      <c r="G41" s="112">
        <v>0</v>
      </c>
      <c r="H41" s="112">
        <v>0</v>
      </c>
      <c r="I41">
        <v>1</v>
      </c>
    </row>
    <row r="42" spans="1:9" ht="15" customHeight="1" x14ac:dyDescent="0.15">
      <c r="A42">
        <v>41</v>
      </c>
      <c r="B42" s="179" t="s">
        <v>232</v>
      </c>
      <c r="C42" s="112">
        <v>0</v>
      </c>
      <c r="D42" s="112">
        <v>0</v>
      </c>
      <c r="E42" s="112">
        <v>0</v>
      </c>
      <c r="F42" s="112">
        <v>1</v>
      </c>
      <c r="G42" s="112">
        <v>0</v>
      </c>
      <c r="H42" s="112">
        <v>0</v>
      </c>
      <c r="I42">
        <v>1</v>
      </c>
    </row>
    <row r="43" spans="1:9" ht="15" customHeight="1" x14ac:dyDescent="0.15">
      <c r="A43">
        <v>42</v>
      </c>
      <c r="B43" s="179" t="s">
        <v>233</v>
      </c>
      <c r="C43" s="112">
        <v>0</v>
      </c>
      <c r="D43" s="112">
        <v>0</v>
      </c>
      <c r="E43" s="112">
        <v>0</v>
      </c>
      <c r="F43" s="112">
        <v>1</v>
      </c>
      <c r="G43" s="112">
        <v>0</v>
      </c>
      <c r="H43" s="112">
        <v>0</v>
      </c>
      <c r="I43">
        <v>1</v>
      </c>
    </row>
    <row r="44" spans="1:9" ht="15" customHeight="1" x14ac:dyDescent="0.15">
      <c r="A44">
        <v>43</v>
      </c>
      <c r="B44" s="179" t="s">
        <v>234</v>
      </c>
      <c r="C44" s="112">
        <v>0</v>
      </c>
      <c r="D44" s="112">
        <v>0</v>
      </c>
      <c r="E44" s="111">
        <v>0.1</v>
      </c>
      <c r="F44" s="111">
        <v>0.9</v>
      </c>
      <c r="G44" s="112">
        <v>0</v>
      </c>
      <c r="H44" s="112">
        <v>0</v>
      </c>
      <c r="I44">
        <v>1</v>
      </c>
    </row>
    <row r="45" spans="1:9" ht="15" customHeight="1" x14ac:dyDescent="0.15">
      <c r="A45">
        <v>44</v>
      </c>
      <c r="B45" s="179" t="s">
        <v>235</v>
      </c>
      <c r="C45" s="112">
        <v>0</v>
      </c>
      <c r="D45" s="112">
        <v>0</v>
      </c>
      <c r="E45" s="111">
        <v>0.1</v>
      </c>
      <c r="F45" s="111">
        <v>0.9</v>
      </c>
      <c r="G45" s="112">
        <v>0</v>
      </c>
      <c r="H45" s="112">
        <v>0</v>
      </c>
      <c r="I45">
        <v>1</v>
      </c>
    </row>
    <row r="46" spans="1:9" ht="15" customHeight="1" x14ac:dyDescent="0.15">
      <c r="A46">
        <v>45</v>
      </c>
      <c r="B46" s="179" t="s">
        <v>236</v>
      </c>
      <c r="C46" s="112">
        <v>0</v>
      </c>
      <c r="D46" s="112">
        <v>0</v>
      </c>
      <c r="E46" s="112">
        <v>0</v>
      </c>
      <c r="F46" s="112">
        <v>1</v>
      </c>
      <c r="G46" s="112">
        <v>0</v>
      </c>
      <c r="H46" s="112">
        <v>0</v>
      </c>
      <c r="I46">
        <v>1</v>
      </c>
    </row>
    <row r="47" spans="1:9" ht="15" customHeight="1" x14ac:dyDescent="0.15">
      <c r="A47">
        <v>46</v>
      </c>
      <c r="B47" s="179" t="s">
        <v>237</v>
      </c>
      <c r="C47" s="112">
        <v>0</v>
      </c>
      <c r="D47" s="112">
        <v>0</v>
      </c>
      <c r="E47" s="111">
        <v>0.1</v>
      </c>
      <c r="F47" s="111">
        <v>0.9</v>
      </c>
      <c r="G47" s="112">
        <v>0</v>
      </c>
      <c r="H47" s="112">
        <v>0</v>
      </c>
      <c r="I47">
        <v>1</v>
      </c>
    </row>
    <row r="48" spans="1:9" ht="15" customHeight="1" x14ac:dyDescent="0.15">
      <c r="A48">
        <v>47</v>
      </c>
      <c r="B48" s="179" t="s">
        <v>238</v>
      </c>
      <c r="C48" s="112">
        <v>0</v>
      </c>
      <c r="D48" s="112">
        <v>0</v>
      </c>
      <c r="E48" s="111">
        <v>0.1</v>
      </c>
      <c r="F48" s="111">
        <v>0.9</v>
      </c>
      <c r="G48" s="112">
        <v>0</v>
      </c>
      <c r="H48" s="112">
        <v>0</v>
      </c>
      <c r="I48">
        <v>1</v>
      </c>
    </row>
    <row r="49" spans="1:9" ht="15" customHeight="1" x14ac:dyDescent="0.15">
      <c r="A49">
        <v>48</v>
      </c>
      <c r="B49" s="179" t="s">
        <v>239</v>
      </c>
      <c r="C49" s="112">
        <v>0</v>
      </c>
      <c r="D49" s="112">
        <v>0</v>
      </c>
      <c r="E49" s="111">
        <v>0.1</v>
      </c>
      <c r="F49" s="111">
        <v>0.9</v>
      </c>
      <c r="G49" s="112">
        <v>0</v>
      </c>
      <c r="H49" s="112">
        <v>0</v>
      </c>
      <c r="I49">
        <v>1</v>
      </c>
    </row>
    <row r="50" spans="1:9" ht="15" customHeight="1" x14ac:dyDescent="0.15">
      <c r="A50">
        <v>49</v>
      </c>
      <c r="B50" s="179" t="s">
        <v>240</v>
      </c>
      <c r="C50" s="112">
        <v>0</v>
      </c>
      <c r="D50" s="112">
        <v>0</v>
      </c>
      <c r="E50" s="111">
        <v>0.1</v>
      </c>
      <c r="F50" s="111">
        <v>0.9</v>
      </c>
      <c r="G50" s="112">
        <v>0</v>
      </c>
      <c r="H50" s="112">
        <v>0</v>
      </c>
      <c r="I50">
        <v>1</v>
      </c>
    </row>
    <row r="51" spans="1:9" ht="15" customHeight="1" x14ac:dyDescent="0.15">
      <c r="A51">
        <v>50</v>
      </c>
      <c r="B51" s="179" t="s">
        <v>241</v>
      </c>
      <c r="C51" s="112">
        <v>0</v>
      </c>
      <c r="D51" s="112">
        <v>0</v>
      </c>
      <c r="E51" s="111">
        <v>0.1</v>
      </c>
      <c r="F51" s="111">
        <v>0.9</v>
      </c>
      <c r="G51" s="112">
        <v>0</v>
      </c>
      <c r="H51" s="112">
        <v>0</v>
      </c>
      <c r="I51">
        <v>1</v>
      </c>
    </row>
    <row r="52" spans="1:9" ht="15" customHeight="1" x14ac:dyDescent="0.15">
      <c r="A52">
        <v>51</v>
      </c>
      <c r="B52" s="179" t="s">
        <v>242</v>
      </c>
      <c r="C52" s="112">
        <v>0</v>
      </c>
      <c r="D52" s="112">
        <v>0</v>
      </c>
      <c r="E52" s="111">
        <v>0</v>
      </c>
      <c r="F52" s="111">
        <v>1</v>
      </c>
      <c r="G52" s="112">
        <v>0</v>
      </c>
      <c r="H52" s="112">
        <v>0</v>
      </c>
      <c r="I52">
        <v>1</v>
      </c>
    </row>
    <row r="53" spans="1:9" ht="15" customHeight="1" x14ac:dyDescent="0.15">
      <c r="A53">
        <v>52</v>
      </c>
      <c r="B53" s="179" t="s">
        <v>243</v>
      </c>
      <c r="C53" s="112">
        <v>0</v>
      </c>
      <c r="D53" s="112">
        <v>0</v>
      </c>
      <c r="E53" s="111">
        <v>0</v>
      </c>
      <c r="F53" s="111">
        <v>1</v>
      </c>
      <c r="G53" s="112">
        <v>0</v>
      </c>
      <c r="H53" s="112">
        <v>0</v>
      </c>
      <c r="I53">
        <v>1</v>
      </c>
    </row>
    <row r="54" spans="1:9" ht="15" customHeight="1" x14ac:dyDescent="0.15">
      <c r="A54">
        <v>53</v>
      </c>
      <c r="B54" s="179" t="s">
        <v>244</v>
      </c>
      <c r="C54" s="112">
        <v>0</v>
      </c>
      <c r="D54" s="112">
        <v>0</v>
      </c>
      <c r="E54" s="111">
        <v>0</v>
      </c>
      <c r="F54" s="111">
        <v>1</v>
      </c>
      <c r="G54" s="112">
        <v>0</v>
      </c>
      <c r="H54" s="112">
        <v>0</v>
      </c>
      <c r="I54">
        <v>1</v>
      </c>
    </row>
    <row r="55" spans="1:9" ht="15" customHeight="1" x14ac:dyDescent="0.15">
      <c r="A55">
        <v>54</v>
      </c>
      <c r="B55" s="179" t="s">
        <v>245</v>
      </c>
      <c r="C55" s="112">
        <v>0.1</v>
      </c>
      <c r="D55" s="112">
        <v>0</v>
      </c>
      <c r="E55" s="111">
        <v>0</v>
      </c>
      <c r="F55" s="111">
        <v>0.9</v>
      </c>
      <c r="G55" s="112">
        <v>0</v>
      </c>
      <c r="H55" s="112">
        <v>0</v>
      </c>
      <c r="I55">
        <v>1</v>
      </c>
    </row>
    <row r="56" spans="1:9" ht="15" customHeight="1" x14ac:dyDescent="0.15">
      <c r="A56">
        <v>55</v>
      </c>
      <c r="B56" s="179" t="s">
        <v>246</v>
      </c>
      <c r="C56" s="112">
        <v>0.1</v>
      </c>
      <c r="D56" s="112">
        <v>0</v>
      </c>
      <c r="E56" s="111">
        <v>0</v>
      </c>
      <c r="F56" s="111">
        <v>0.9</v>
      </c>
      <c r="G56" s="112">
        <v>0</v>
      </c>
      <c r="H56" s="112">
        <v>0</v>
      </c>
      <c r="I56">
        <v>1</v>
      </c>
    </row>
    <row r="57" spans="1:9" ht="15" customHeight="1" x14ac:dyDescent="0.15">
      <c r="A57">
        <v>56</v>
      </c>
      <c r="B57" s="179" t="s">
        <v>247</v>
      </c>
      <c r="C57" s="112">
        <v>0</v>
      </c>
      <c r="D57" s="112">
        <v>0</v>
      </c>
      <c r="E57" s="111">
        <v>0.1</v>
      </c>
      <c r="F57" s="111">
        <v>0.9</v>
      </c>
      <c r="G57" s="112">
        <v>0</v>
      </c>
      <c r="H57" s="112">
        <v>0</v>
      </c>
      <c r="I57">
        <v>1</v>
      </c>
    </row>
    <row r="58" spans="1:9" ht="15" customHeight="1" x14ac:dyDescent="0.15">
      <c r="A58">
        <v>57</v>
      </c>
      <c r="B58" s="179" t="s">
        <v>248</v>
      </c>
      <c r="C58" s="112">
        <v>0</v>
      </c>
      <c r="D58" s="112">
        <v>0</v>
      </c>
      <c r="E58" s="111">
        <v>0</v>
      </c>
      <c r="F58" s="111">
        <v>1</v>
      </c>
      <c r="G58" s="112">
        <v>0</v>
      </c>
      <c r="H58" s="112">
        <v>0</v>
      </c>
      <c r="I58">
        <v>1</v>
      </c>
    </row>
    <row r="59" spans="1:9" ht="15" customHeight="1" x14ac:dyDescent="0.15">
      <c r="A59">
        <v>58</v>
      </c>
      <c r="B59" s="179" t="s">
        <v>249</v>
      </c>
      <c r="C59" s="112">
        <v>0</v>
      </c>
      <c r="D59" s="112">
        <v>0</v>
      </c>
      <c r="E59" s="111">
        <v>0</v>
      </c>
      <c r="F59" s="111">
        <v>1</v>
      </c>
      <c r="G59" s="112">
        <v>0</v>
      </c>
      <c r="H59" s="112">
        <v>0</v>
      </c>
      <c r="I59">
        <v>1</v>
      </c>
    </row>
    <row r="60" spans="1:9" ht="15" customHeight="1" x14ac:dyDescent="0.15">
      <c r="A60">
        <v>59</v>
      </c>
      <c r="B60" s="179" t="s">
        <v>250</v>
      </c>
      <c r="C60" s="112">
        <v>0</v>
      </c>
      <c r="D60" s="112">
        <v>0</v>
      </c>
      <c r="E60" s="111">
        <v>0</v>
      </c>
      <c r="F60" s="111">
        <v>1</v>
      </c>
      <c r="G60" s="112">
        <v>0</v>
      </c>
      <c r="H60" s="112">
        <v>0</v>
      </c>
      <c r="I60">
        <v>1</v>
      </c>
    </row>
    <row r="61" spans="1:9" ht="15" customHeight="1" x14ac:dyDescent="0.15">
      <c r="A61">
        <v>60</v>
      </c>
      <c r="B61" s="179" t="s">
        <v>251</v>
      </c>
      <c r="C61" s="112">
        <v>0</v>
      </c>
      <c r="D61" s="112">
        <v>0</v>
      </c>
      <c r="E61" s="111">
        <v>0</v>
      </c>
      <c r="F61" s="111">
        <v>1</v>
      </c>
      <c r="G61" s="112">
        <v>0</v>
      </c>
      <c r="H61" s="112">
        <v>0</v>
      </c>
      <c r="I61">
        <v>1</v>
      </c>
    </row>
    <row r="62" spans="1:9" ht="15" customHeight="1" x14ac:dyDescent="0.15">
      <c r="A62">
        <v>61</v>
      </c>
      <c r="B62" s="179" t="s">
        <v>252</v>
      </c>
      <c r="C62" s="112">
        <v>0</v>
      </c>
      <c r="D62" s="112">
        <v>0</v>
      </c>
      <c r="E62" s="111">
        <v>0</v>
      </c>
      <c r="F62" s="111">
        <v>1</v>
      </c>
      <c r="G62" s="112">
        <v>0</v>
      </c>
      <c r="H62" s="112">
        <v>0</v>
      </c>
      <c r="I62">
        <v>1</v>
      </c>
    </row>
    <row r="63" spans="1:9" ht="15" customHeight="1" x14ac:dyDescent="0.15">
      <c r="A63">
        <v>62</v>
      </c>
      <c r="B63" s="179" t="s">
        <v>253</v>
      </c>
      <c r="C63" s="112">
        <v>0</v>
      </c>
      <c r="D63" s="112">
        <v>0</v>
      </c>
      <c r="E63" s="111">
        <v>0</v>
      </c>
      <c r="F63" s="111">
        <v>1</v>
      </c>
      <c r="G63" s="112">
        <v>0</v>
      </c>
      <c r="H63" s="112">
        <v>0</v>
      </c>
      <c r="I63">
        <v>1</v>
      </c>
    </row>
    <row r="64" spans="1:9" ht="15" customHeight="1" x14ac:dyDescent="0.15">
      <c r="A64">
        <v>63</v>
      </c>
      <c r="B64" s="179" t="s">
        <v>254</v>
      </c>
      <c r="C64" s="112">
        <v>0</v>
      </c>
      <c r="D64" s="112">
        <v>0</v>
      </c>
      <c r="E64" s="111">
        <v>0.1</v>
      </c>
      <c r="F64" s="111">
        <v>0.9</v>
      </c>
      <c r="G64" s="112">
        <v>0</v>
      </c>
      <c r="H64" s="112">
        <v>0</v>
      </c>
      <c r="I64">
        <v>1</v>
      </c>
    </row>
    <row r="65" spans="1:9" ht="15" customHeight="1" x14ac:dyDescent="0.15">
      <c r="A65">
        <v>64</v>
      </c>
      <c r="B65" s="179" t="s">
        <v>255</v>
      </c>
      <c r="C65" s="112">
        <v>0</v>
      </c>
      <c r="D65" s="112">
        <v>0</v>
      </c>
      <c r="E65" s="111">
        <v>0.2</v>
      </c>
      <c r="F65" s="111">
        <v>0.8</v>
      </c>
      <c r="G65" s="112">
        <v>0</v>
      </c>
      <c r="H65" s="112">
        <v>0</v>
      </c>
      <c r="I65">
        <v>1</v>
      </c>
    </row>
    <row r="66" spans="1:9" ht="15" customHeight="1" x14ac:dyDescent="0.15">
      <c r="A66">
        <v>65</v>
      </c>
      <c r="B66" s="179" t="s">
        <v>256</v>
      </c>
      <c r="C66" s="112">
        <v>0</v>
      </c>
      <c r="D66" s="112">
        <v>0</v>
      </c>
      <c r="E66" s="111">
        <v>0</v>
      </c>
      <c r="F66" s="111">
        <v>1</v>
      </c>
      <c r="G66" s="112">
        <v>0</v>
      </c>
      <c r="H66" s="112">
        <v>0</v>
      </c>
      <c r="I66">
        <v>1</v>
      </c>
    </row>
    <row r="67" spans="1:9" ht="15" customHeight="1" x14ac:dyDescent="0.15">
      <c r="A67">
        <v>66</v>
      </c>
      <c r="B67" s="179" t="s">
        <v>257</v>
      </c>
      <c r="C67" s="112">
        <v>0</v>
      </c>
      <c r="D67" s="112">
        <v>0</v>
      </c>
      <c r="E67" s="111">
        <v>0</v>
      </c>
      <c r="F67" s="111">
        <v>1</v>
      </c>
      <c r="G67" s="112">
        <v>0</v>
      </c>
      <c r="H67" s="112">
        <v>0</v>
      </c>
      <c r="I67">
        <v>1</v>
      </c>
    </row>
    <row r="68" spans="1:9" ht="15" customHeight="1" x14ac:dyDescent="0.15">
      <c r="A68">
        <v>67</v>
      </c>
      <c r="B68" s="179" t="s">
        <v>258</v>
      </c>
      <c r="C68" s="112">
        <v>0</v>
      </c>
      <c r="D68" s="112">
        <v>0</v>
      </c>
      <c r="E68" s="111">
        <v>0</v>
      </c>
      <c r="F68" s="111">
        <v>1</v>
      </c>
      <c r="G68" s="112">
        <v>0</v>
      </c>
      <c r="H68" s="112">
        <v>0</v>
      </c>
      <c r="I68">
        <v>1</v>
      </c>
    </row>
    <row r="69" spans="1:9" ht="15" customHeight="1" x14ac:dyDescent="0.15">
      <c r="A69">
        <v>68</v>
      </c>
      <c r="B69" s="179" t="s">
        <v>259</v>
      </c>
      <c r="C69" s="112">
        <v>0</v>
      </c>
      <c r="D69" s="112">
        <v>0</v>
      </c>
      <c r="E69" s="111">
        <v>0</v>
      </c>
      <c r="F69" s="111">
        <v>1</v>
      </c>
      <c r="G69" s="112">
        <v>0</v>
      </c>
      <c r="H69" s="112">
        <v>0</v>
      </c>
      <c r="I69">
        <v>1</v>
      </c>
    </row>
    <row r="70" spans="1:9" ht="15" customHeight="1" x14ac:dyDescent="0.15">
      <c r="A70">
        <v>69</v>
      </c>
      <c r="B70" s="179" t="s">
        <v>260</v>
      </c>
      <c r="C70" s="112">
        <v>0</v>
      </c>
      <c r="D70" s="112">
        <v>0</v>
      </c>
      <c r="E70" s="111">
        <v>0.7</v>
      </c>
      <c r="F70" s="111">
        <v>0.3</v>
      </c>
      <c r="G70" s="112">
        <v>0</v>
      </c>
      <c r="H70" s="112">
        <v>0</v>
      </c>
      <c r="I70">
        <v>1</v>
      </c>
    </row>
    <row r="71" spans="1:9" ht="15" customHeight="1" x14ac:dyDescent="0.15">
      <c r="A71">
        <v>70</v>
      </c>
      <c r="B71" s="179" t="s">
        <v>261</v>
      </c>
      <c r="C71" s="112">
        <v>0</v>
      </c>
      <c r="D71" s="112">
        <v>0</v>
      </c>
      <c r="E71" s="111">
        <v>0.8</v>
      </c>
      <c r="F71" s="111">
        <v>0.2</v>
      </c>
      <c r="G71" s="112">
        <v>0</v>
      </c>
      <c r="H71" s="112">
        <v>0</v>
      </c>
      <c r="I71">
        <v>1</v>
      </c>
    </row>
    <row r="72" spans="1:9" ht="15" customHeight="1" x14ac:dyDescent="0.15">
      <c r="A72">
        <v>71</v>
      </c>
      <c r="B72" s="179" t="s">
        <v>262</v>
      </c>
      <c r="C72" s="112">
        <v>0</v>
      </c>
      <c r="D72" s="112">
        <v>0</v>
      </c>
      <c r="E72" s="111">
        <v>0.3</v>
      </c>
      <c r="F72" s="111">
        <v>0.7</v>
      </c>
      <c r="G72" s="112">
        <v>0</v>
      </c>
      <c r="H72" s="112">
        <v>0</v>
      </c>
      <c r="I72">
        <v>1</v>
      </c>
    </row>
    <row r="73" spans="1:9" ht="15" customHeight="1" x14ac:dyDescent="0.15">
      <c r="A73">
        <v>72</v>
      </c>
      <c r="B73" s="179" t="s">
        <v>263</v>
      </c>
      <c r="C73" s="112">
        <v>0</v>
      </c>
      <c r="D73" s="112">
        <v>0</v>
      </c>
      <c r="E73" s="111">
        <v>0.8</v>
      </c>
      <c r="F73" s="111">
        <v>0.2</v>
      </c>
      <c r="G73" s="112">
        <v>0</v>
      </c>
      <c r="H73" s="112">
        <v>0</v>
      </c>
      <c r="I73">
        <v>1</v>
      </c>
    </row>
    <row r="74" spans="1:9" ht="15" customHeight="1" x14ac:dyDescent="0.15">
      <c r="A74">
        <v>73</v>
      </c>
      <c r="B74" s="179" t="s">
        <v>264</v>
      </c>
      <c r="C74" s="112">
        <v>0</v>
      </c>
      <c r="D74" s="112">
        <v>0</v>
      </c>
      <c r="E74" s="111">
        <v>0</v>
      </c>
      <c r="F74" s="111">
        <v>1</v>
      </c>
      <c r="G74" s="112">
        <v>0</v>
      </c>
      <c r="H74" s="112">
        <v>0</v>
      </c>
      <c r="I74">
        <v>1</v>
      </c>
    </row>
    <row r="75" spans="1:9" ht="15" customHeight="1" x14ac:dyDescent="0.15">
      <c r="A75">
        <v>74</v>
      </c>
      <c r="B75" s="179" t="s">
        <v>265</v>
      </c>
      <c r="C75" s="112">
        <v>0</v>
      </c>
      <c r="D75" s="112">
        <v>0</v>
      </c>
      <c r="E75" s="111">
        <v>0.8</v>
      </c>
      <c r="F75" s="111">
        <v>0.2</v>
      </c>
      <c r="G75" s="112">
        <v>0</v>
      </c>
      <c r="H75" s="112">
        <v>0</v>
      </c>
      <c r="I75">
        <v>1</v>
      </c>
    </row>
    <row r="76" spans="1:9" ht="15" customHeight="1" x14ac:dyDescent="0.15">
      <c r="A76">
        <v>75</v>
      </c>
      <c r="B76" s="179" t="s">
        <v>266</v>
      </c>
      <c r="C76" s="112">
        <v>0</v>
      </c>
      <c r="D76" s="112">
        <v>0</v>
      </c>
      <c r="E76" s="111">
        <v>0.8</v>
      </c>
      <c r="F76" s="111">
        <v>0.2</v>
      </c>
      <c r="G76" s="112">
        <v>0</v>
      </c>
      <c r="H76" s="112">
        <v>0</v>
      </c>
      <c r="I76">
        <v>1</v>
      </c>
    </row>
    <row r="77" spans="1:9" ht="15" customHeight="1" x14ac:dyDescent="0.15">
      <c r="A77">
        <v>76</v>
      </c>
      <c r="B77" s="179" t="s">
        <v>267</v>
      </c>
      <c r="C77" s="112">
        <v>0</v>
      </c>
      <c r="D77" s="112">
        <v>0</v>
      </c>
      <c r="E77" s="111">
        <v>0</v>
      </c>
      <c r="F77" s="111">
        <v>1</v>
      </c>
      <c r="G77" s="112">
        <v>0</v>
      </c>
      <c r="H77" s="112">
        <v>0</v>
      </c>
      <c r="I77">
        <v>1</v>
      </c>
    </row>
    <row r="78" spans="1:9" ht="15" customHeight="1" x14ac:dyDescent="0.15">
      <c r="A78">
        <v>77</v>
      </c>
      <c r="B78" s="179" t="s">
        <v>268</v>
      </c>
      <c r="C78" s="112">
        <v>0</v>
      </c>
      <c r="D78" s="112">
        <v>0.6</v>
      </c>
      <c r="E78" s="111">
        <v>0</v>
      </c>
      <c r="F78" s="111">
        <v>0.4</v>
      </c>
      <c r="G78" s="112">
        <v>0</v>
      </c>
      <c r="H78" s="112">
        <v>0</v>
      </c>
      <c r="I78">
        <v>1</v>
      </c>
    </row>
    <row r="79" spans="1:9" ht="15" customHeight="1" x14ac:dyDescent="0.15">
      <c r="A79">
        <v>78</v>
      </c>
      <c r="B79" s="179" t="s">
        <v>269</v>
      </c>
      <c r="C79" s="112">
        <v>0</v>
      </c>
      <c r="D79" s="112">
        <v>0.7</v>
      </c>
      <c r="E79" s="111">
        <v>0</v>
      </c>
      <c r="F79" s="111">
        <v>0.3</v>
      </c>
      <c r="G79" s="112">
        <v>0</v>
      </c>
      <c r="H79" s="112">
        <v>0</v>
      </c>
      <c r="I79">
        <v>1</v>
      </c>
    </row>
    <row r="80" spans="1:9" ht="15" customHeight="1" x14ac:dyDescent="0.15">
      <c r="A80">
        <v>79</v>
      </c>
      <c r="B80" s="179" t="s">
        <v>270</v>
      </c>
      <c r="C80" s="112">
        <v>0</v>
      </c>
      <c r="D80" s="112">
        <v>0</v>
      </c>
      <c r="E80" s="111">
        <v>0</v>
      </c>
      <c r="F80" s="111">
        <v>1</v>
      </c>
      <c r="G80" s="112">
        <v>0</v>
      </c>
      <c r="H80" s="112">
        <v>0</v>
      </c>
      <c r="I80">
        <v>1</v>
      </c>
    </row>
    <row r="81" spans="1:9" ht="15" customHeight="1" x14ac:dyDescent="0.15">
      <c r="A81">
        <v>80</v>
      </c>
      <c r="B81" s="179" t="s">
        <v>271</v>
      </c>
      <c r="C81" s="112">
        <v>0</v>
      </c>
      <c r="D81" s="112">
        <v>0</v>
      </c>
      <c r="E81" s="111">
        <v>0</v>
      </c>
      <c r="F81" s="111">
        <v>0</v>
      </c>
      <c r="G81" s="112">
        <v>0</v>
      </c>
      <c r="H81" s="112">
        <v>1</v>
      </c>
      <c r="I81">
        <v>1</v>
      </c>
    </row>
    <row r="82" spans="1:9" ht="15" customHeight="1" x14ac:dyDescent="0.15">
      <c r="A82">
        <v>81</v>
      </c>
      <c r="B82" s="179" t="s">
        <v>272</v>
      </c>
      <c r="C82" s="112">
        <v>0</v>
      </c>
      <c r="D82" s="112">
        <v>0</v>
      </c>
      <c r="E82" s="111">
        <v>0</v>
      </c>
      <c r="F82" s="111">
        <v>0</v>
      </c>
      <c r="G82" s="112">
        <v>0</v>
      </c>
      <c r="H82" s="112">
        <v>1</v>
      </c>
      <c r="I82">
        <v>1</v>
      </c>
    </row>
    <row r="83" spans="1:9" ht="15" customHeight="1" x14ac:dyDescent="0.15">
      <c r="A83">
        <v>82</v>
      </c>
      <c r="B83" s="179" t="s">
        <v>273</v>
      </c>
      <c r="C83" s="112">
        <v>0</v>
      </c>
      <c r="D83" s="112">
        <v>0</v>
      </c>
      <c r="E83" s="111">
        <v>0</v>
      </c>
      <c r="F83" s="111">
        <v>0</v>
      </c>
      <c r="G83" s="112">
        <v>1</v>
      </c>
      <c r="H83" s="112">
        <v>0</v>
      </c>
      <c r="I83">
        <v>1</v>
      </c>
    </row>
    <row r="84" spans="1:9" ht="15" customHeight="1" x14ac:dyDescent="0.15">
      <c r="A84">
        <v>83</v>
      </c>
      <c r="B84" s="179" t="s">
        <v>274</v>
      </c>
      <c r="C84" s="112">
        <v>0</v>
      </c>
      <c r="D84" s="112">
        <v>0</v>
      </c>
      <c r="E84" s="111">
        <v>0</v>
      </c>
      <c r="F84" s="111">
        <v>0</v>
      </c>
      <c r="G84" s="112">
        <v>0</v>
      </c>
      <c r="H84" s="112">
        <v>1</v>
      </c>
      <c r="I84">
        <v>1</v>
      </c>
    </row>
    <row r="85" spans="1:9" ht="15" customHeight="1" x14ac:dyDescent="0.15">
      <c r="A85">
        <v>84</v>
      </c>
      <c r="B85" s="179" t="s">
        <v>275</v>
      </c>
      <c r="C85" s="112">
        <v>0</v>
      </c>
      <c r="D85" s="112">
        <v>0</v>
      </c>
      <c r="E85" s="111">
        <v>0</v>
      </c>
      <c r="F85" s="111">
        <v>0</v>
      </c>
      <c r="G85" s="112">
        <v>0</v>
      </c>
      <c r="H85" s="112">
        <v>1</v>
      </c>
      <c r="I85">
        <v>1</v>
      </c>
    </row>
    <row r="86" spans="1:9" ht="15" customHeight="1" x14ac:dyDescent="0.15">
      <c r="A86">
        <v>85</v>
      </c>
      <c r="B86" s="179" t="s">
        <v>276</v>
      </c>
      <c r="C86" s="112">
        <v>0</v>
      </c>
      <c r="D86" s="112">
        <v>1</v>
      </c>
      <c r="E86" s="111">
        <v>0</v>
      </c>
      <c r="F86" s="111">
        <v>1</v>
      </c>
      <c r="G86" s="112">
        <v>0</v>
      </c>
      <c r="H86" s="112">
        <v>-1</v>
      </c>
      <c r="I86">
        <v>1</v>
      </c>
    </row>
    <row r="87" spans="1:9" ht="15" customHeight="1" x14ac:dyDescent="0.15">
      <c r="A87">
        <v>86</v>
      </c>
      <c r="B87" s="179" t="s">
        <v>277</v>
      </c>
      <c r="C87" s="112">
        <v>0</v>
      </c>
      <c r="D87" s="112">
        <v>1</v>
      </c>
      <c r="E87" s="111">
        <v>0</v>
      </c>
      <c r="F87" s="111">
        <v>1</v>
      </c>
      <c r="G87" s="112">
        <v>0</v>
      </c>
      <c r="H87" s="112">
        <v>-1</v>
      </c>
      <c r="I87">
        <v>1</v>
      </c>
    </row>
    <row r="88" spans="1:9" ht="15" customHeight="1" x14ac:dyDescent="0.15">
      <c r="A88">
        <v>87</v>
      </c>
      <c r="B88" s="179" t="s">
        <v>278</v>
      </c>
      <c r="C88" s="112">
        <v>0</v>
      </c>
      <c r="D88" s="112">
        <v>1</v>
      </c>
      <c r="E88" s="111">
        <v>0</v>
      </c>
      <c r="F88" s="111">
        <v>1</v>
      </c>
      <c r="G88" s="112">
        <v>0</v>
      </c>
      <c r="H88" s="112">
        <v>-1</v>
      </c>
      <c r="I88">
        <v>1</v>
      </c>
    </row>
    <row r="89" spans="1:9" ht="15" customHeight="1" x14ac:dyDescent="0.15">
      <c r="A89">
        <v>88</v>
      </c>
      <c r="B89" s="179" t="s">
        <v>279</v>
      </c>
      <c r="C89" s="112">
        <v>0</v>
      </c>
      <c r="D89" s="112">
        <v>1</v>
      </c>
      <c r="E89" s="111">
        <v>0</v>
      </c>
      <c r="F89" s="111">
        <v>1</v>
      </c>
      <c r="G89" s="112">
        <v>0</v>
      </c>
      <c r="H89" s="112">
        <v>-1</v>
      </c>
      <c r="I89">
        <v>1</v>
      </c>
    </row>
    <row r="90" spans="1:9" ht="15" customHeight="1" x14ac:dyDescent="0.15">
      <c r="A90">
        <v>89</v>
      </c>
      <c r="B90" s="179" t="s">
        <v>280</v>
      </c>
      <c r="C90" s="112">
        <v>0</v>
      </c>
      <c r="D90" s="112">
        <v>1</v>
      </c>
      <c r="E90" s="111">
        <v>0</v>
      </c>
      <c r="F90" s="111">
        <v>1</v>
      </c>
      <c r="G90" s="112">
        <v>0</v>
      </c>
      <c r="H90" s="112">
        <v>-1</v>
      </c>
      <c r="I90">
        <v>1</v>
      </c>
    </row>
    <row r="91" spans="1:9" ht="15" customHeight="1" x14ac:dyDescent="0.15">
      <c r="A91">
        <v>90</v>
      </c>
      <c r="B91" s="179" t="s">
        <v>281</v>
      </c>
      <c r="C91" s="112">
        <v>0</v>
      </c>
      <c r="D91" s="112">
        <v>1</v>
      </c>
      <c r="E91" s="111">
        <v>0</v>
      </c>
      <c r="F91" s="111">
        <v>1</v>
      </c>
      <c r="G91" s="112">
        <v>0</v>
      </c>
      <c r="H91" s="112">
        <v>-1</v>
      </c>
      <c r="I91">
        <v>1</v>
      </c>
    </row>
    <row r="92" spans="1:9" ht="15" customHeight="1" x14ac:dyDescent="0.15">
      <c r="A92">
        <v>91</v>
      </c>
      <c r="B92" s="179" t="s">
        <v>282</v>
      </c>
      <c r="C92" s="112">
        <v>0</v>
      </c>
      <c r="D92" s="112">
        <v>1</v>
      </c>
      <c r="E92" s="111">
        <v>0</v>
      </c>
      <c r="F92" s="111">
        <v>1</v>
      </c>
      <c r="G92" s="112">
        <v>0</v>
      </c>
      <c r="H92" s="112">
        <v>-1</v>
      </c>
      <c r="I92">
        <v>1</v>
      </c>
    </row>
    <row r="93" spans="1:9" ht="15" customHeight="1" x14ac:dyDescent="0.15">
      <c r="A93">
        <v>92</v>
      </c>
      <c r="B93" s="179" t="s">
        <v>283</v>
      </c>
      <c r="C93" s="112">
        <v>0</v>
      </c>
      <c r="D93" s="112">
        <v>1</v>
      </c>
      <c r="E93" s="111">
        <v>0</v>
      </c>
      <c r="F93" s="111">
        <v>1</v>
      </c>
      <c r="G93" s="112">
        <v>0</v>
      </c>
      <c r="H93" s="112">
        <v>-1</v>
      </c>
      <c r="I93">
        <v>1</v>
      </c>
    </row>
    <row r="94" spans="1:9" ht="15" customHeight="1" x14ac:dyDescent="0.15">
      <c r="A94">
        <v>93</v>
      </c>
      <c r="B94" s="179" t="s">
        <v>284</v>
      </c>
      <c r="C94" s="112">
        <v>0</v>
      </c>
      <c r="D94" s="112">
        <v>1</v>
      </c>
      <c r="E94" s="111">
        <v>0</v>
      </c>
      <c r="F94" s="111">
        <v>1</v>
      </c>
      <c r="G94" s="112">
        <v>0</v>
      </c>
      <c r="H94" s="112">
        <v>-1</v>
      </c>
      <c r="I94">
        <v>1</v>
      </c>
    </row>
    <row r="95" spans="1:9" ht="15" customHeight="1" x14ac:dyDescent="0.15">
      <c r="A95">
        <v>94</v>
      </c>
      <c r="B95" s="179" t="s">
        <v>285</v>
      </c>
      <c r="C95" s="112">
        <v>0</v>
      </c>
      <c r="D95" s="112">
        <v>1</v>
      </c>
      <c r="E95" s="111">
        <v>0</v>
      </c>
      <c r="F95" s="111">
        <v>1</v>
      </c>
      <c r="G95" s="112">
        <v>0</v>
      </c>
      <c r="H95" s="112">
        <v>-1</v>
      </c>
      <c r="I95">
        <v>1</v>
      </c>
    </row>
    <row r="96" spans="1:9"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M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31.33203125" bestFit="1" customWidth="1"/>
    <col min="3" max="3" width="7.83203125" bestFit="1" customWidth="1"/>
    <col min="4" max="4" width="6.83203125" bestFit="1" customWidth="1"/>
    <col min="5" max="5" width="8.5" bestFit="1" customWidth="1"/>
    <col min="6" max="6" width="8.83203125" customWidth="1"/>
    <col min="7" max="8" width="11.83203125" customWidth="1"/>
    <col min="9" max="9" width="9.5" customWidth="1"/>
    <col min="10" max="10" width="10.5" customWidth="1"/>
    <col min="11" max="11" width="8.5" customWidth="1"/>
    <col min="12" max="12" width="8.83203125" customWidth="1"/>
    <col min="13" max="13" width="12.5" customWidth="1"/>
  </cols>
  <sheetData>
    <row r="1" spans="1:13" s="113" customFormat="1" ht="112" x14ac:dyDescent="0.15">
      <c r="A1" s="5" t="s">
        <v>21</v>
      </c>
      <c r="B1" s="3" t="s">
        <v>0</v>
      </c>
      <c r="C1" s="182" t="s">
        <v>276</v>
      </c>
      <c r="D1" s="182" t="s">
        <v>277</v>
      </c>
      <c r="E1" s="182" t="s">
        <v>278</v>
      </c>
      <c r="F1" s="182" t="s">
        <v>279</v>
      </c>
      <c r="G1" s="182" t="s">
        <v>280</v>
      </c>
      <c r="H1" s="182" t="s">
        <v>281</v>
      </c>
      <c r="I1" s="182" t="s">
        <v>282</v>
      </c>
      <c r="J1" s="182" t="s">
        <v>283</v>
      </c>
      <c r="K1" s="182" t="s">
        <v>284</v>
      </c>
      <c r="L1" s="182" t="s">
        <v>285</v>
      </c>
      <c r="M1" s="182" t="s">
        <v>289</v>
      </c>
    </row>
    <row r="2" spans="1:13" ht="15" customHeight="1" x14ac:dyDescent="0.15">
      <c r="A2">
        <v>1</v>
      </c>
      <c r="B2" s="181" t="s">
        <v>192</v>
      </c>
      <c r="C2">
        <v>0</v>
      </c>
      <c r="D2">
        <v>0</v>
      </c>
      <c r="E2">
        <v>0</v>
      </c>
      <c r="F2">
        <v>0</v>
      </c>
      <c r="G2">
        <v>0</v>
      </c>
      <c r="H2">
        <v>0</v>
      </c>
      <c r="I2">
        <v>0</v>
      </c>
      <c r="J2">
        <v>0</v>
      </c>
      <c r="K2">
        <v>0</v>
      </c>
      <c r="L2">
        <v>0</v>
      </c>
      <c r="M2">
        <v>0</v>
      </c>
    </row>
    <row r="3" spans="1:13" ht="15" customHeight="1" x14ac:dyDescent="0.15">
      <c r="A3">
        <v>2</v>
      </c>
      <c r="B3" s="181" t="s">
        <v>193</v>
      </c>
      <c r="C3">
        <v>0</v>
      </c>
      <c r="D3">
        <v>0</v>
      </c>
      <c r="E3">
        <v>0</v>
      </c>
      <c r="F3">
        <v>0</v>
      </c>
      <c r="G3">
        <v>0</v>
      </c>
      <c r="H3">
        <v>0</v>
      </c>
      <c r="I3">
        <v>1.8E-5</v>
      </c>
      <c r="J3">
        <v>0</v>
      </c>
      <c r="K3">
        <v>0</v>
      </c>
      <c r="L3">
        <v>0</v>
      </c>
      <c r="M3">
        <v>1.8E-5</v>
      </c>
    </row>
    <row r="4" spans="1:13" ht="15" customHeight="1" x14ac:dyDescent="0.15">
      <c r="A4">
        <v>3</v>
      </c>
      <c r="B4" s="181" t="s">
        <v>194</v>
      </c>
      <c r="C4">
        <v>0</v>
      </c>
      <c r="D4">
        <v>0</v>
      </c>
      <c r="E4">
        <v>0</v>
      </c>
      <c r="F4">
        <v>0</v>
      </c>
      <c r="G4">
        <v>0</v>
      </c>
      <c r="H4">
        <v>0</v>
      </c>
      <c r="I4">
        <v>0</v>
      </c>
      <c r="J4">
        <v>0</v>
      </c>
      <c r="K4">
        <v>0</v>
      </c>
      <c r="L4">
        <v>0</v>
      </c>
      <c r="M4">
        <v>0</v>
      </c>
    </row>
    <row r="5" spans="1:13" ht="15" customHeight="1" x14ac:dyDescent="0.15">
      <c r="A5">
        <v>4</v>
      </c>
      <c r="B5" s="181" t="s">
        <v>195</v>
      </c>
      <c r="C5">
        <v>0</v>
      </c>
      <c r="D5">
        <v>0</v>
      </c>
      <c r="E5">
        <v>0</v>
      </c>
      <c r="F5">
        <v>0</v>
      </c>
      <c r="G5">
        <v>0</v>
      </c>
      <c r="H5">
        <v>0</v>
      </c>
      <c r="I5">
        <v>3.0000000000000001E-5</v>
      </c>
      <c r="J5">
        <v>0</v>
      </c>
      <c r="K5">
        <v>0</v>
      </c>
      <c r="L5">
        <v>0</v>
      </c>
      <c r="M5">
        <v>3.0000000000000001E-5</v>
      </c>
    </row>
    <row r="6" spans="1:13" ht="15" customHeight="1" x14ac:dyDescent="0.15">
      <c r="A6">
        <v>5</v>
      </c>
      <c r="B6" s="181" t="s">
        <v>196</v>
      </c>
      <c r="C6">
        <v>0</v>
      </c>
      <c r="D6">
        <v>0</v>
      </c>
      <c r="E6">
        <v>0</v>
      </c>
      <c r="F6">
        <v>0</v>
      </c>
      <c r="G6">
        <v>0</v>
      </c>
      <c r="H6">
        <v>0</v>
      </c>
      <c r="I6">
        <v>0</v>
      </c>
      <c r="J6">
        <v>0</v>
      </c>
      <c r="K6">
        <v>0</v>
      </c>
      <c r="L6">
        <v>0</v>
      </c>
      <c r="M6">
        <v>0</v>
      </c>
    </row>
    <row r="7" spans="1:13" ht="15" customHeight="1" x14ac:dyDescent="0.15">
      <c r="A7">
        <v>6</v>
      </c>
      <c r="B7" s="181" t="s">
        <v>197</v>
      </c>
      <c r="C7">
        <v>0</v>
      </c>
      <c r="D7">
        <v>0</v>
      </c>
      <c r="E7">
        <v>0</v>
      </c>
      <c r="F7">
        <v>0</v>
      </c>
      <c r="G7">
        <v>0</v>
      </c>
      <c r="H7">
        <v>0</v>
      </c>
      <c r="I7">
        <v>0</v>
      </c>
      <c r="J7">
        <v>0</v>
      </c>
      <c r="K7">
        <v>0</v>
      </c>
      <c r="L7">
        <v>0</v>
      </c>
      <c r="M7">
        <v>0</v>
      </c>
    </row>
    <row r="8" spans="1:13" ht="15" customHeight="1" x14ac:dyDescent="0.15">
      <c r="A8">
        <v>7</v>
      </c>
      <c r="B8" s="181" t="s">
        <v>198</v>
      </c>
      <c r="C8">
        <v>0</v>
      </c>
      <c r="D8">
        <v>0</v>
      </c>
      <c r="E8">
        <v>0</v>
      </c>
      <c r="F8">
        <v>0</v>
      </c>
      <c r="G8">
        <v>0</v>
      </c>
      <c r="H8">
        <v>0</v>
      </c>
      <c r="I8">
        <v>0</v>
      </c>
      <c r="J8">
        <v>0</v>
      </c>
      <c r="K8">
        <v>0</v>
      </c>
      <c r="L8">
        <v>0</v>
      </c>
      <c r="M8">
        <v>0</v>
      </c>
    </row>
    <row r="9" spans="1:13" ht="15" customHeight="1" x14ac:dyDescent="0.15">
      <c r="A9">
        <v>8</v>
      </c>
      <c r="B9" s="181" t="s">
        <v>199</v>
      </c>
      <c r="C9">
        <v>0</v>
      </c>
      <c r="D9">
        <v>0</v>
      </c>
      <c r="E9">
        <v>0</v>
      </c>
      <c r="F9">
        <v>0</v>
      </c>
      <c r="G9">
        <v>0</v>
      </c>
      <c r="H9">
        <v>0</v>
      </c>
      <c r="I9">
        <v>0</v>
      </c>
      <c r="J9">
        <v>0</v>
      </c>
      <c r="K9">
        <v>0</v>
      </c>
      <c r="L9">
        <v>0</v>
      </c>
      <c r="M9">
        <v>0</v>
      </c>
    </row>
    <row r="10" spans="1:13" ht="15" customHeight="1" x14ac:dyDescent="0.15">
      <c r="A10">
        <v>9</v>
      </c>
      <c r="B10" s="181" t="s">
        <v>200</v>
      </c>
      <c r="C10">
        <v>0</v>
      </c>
      <c r="D10">
        <v>0</v>
      </c>
      <c r="E10">
        <v>0</v>
      </c>
      <c r="F10">
        <v>0</v>
      </c>
      <c r="G10">
        <v>0</v>
      </c>
      <c r="H10">
        <v>0</v>
      </c>
      <c r="I10">
        <v>0</v>
      </c>
      <c r="J10">
        <v>0</v>
      </c>
      <c r="K10">
        <v>0</v>
      </c>
      <c r="L10">
        <v>0</v>
      </c>
      <c r="M10">
        <v>0</v>
      </c>
    </row>
    <row r="11" spans="1:13" ht="15" customHeight="1" x14ac:dyDescent="0.15">
      <c r="A11">
        <v>10</v>
      </c>
      <c r="B11" s="181" t="s">
        <v>201</v>
      </c>
      <c r="C11">
        <v>0</v>
      </c>
      <c r="D11">
        <v>0</v>
      </c>
      <c r="E11">
        <v>1.33E-6</v>
      </c>
      <c r="F11">
        <v>1.3699999999999999E-5</v>
      </c>
      <c r="G11">
        <v>0</v>
      </c>
      <c r="H11">
        <v>1.8360000000000001E-6</v>
      </c>
      <c r="I11">
        <v>0</v>
      </c>
      <c r="J11">
        <v>0</v>
      </c>
      <c r="K11">
        <v>1.35E-6</v>
      </c>
      <c r="L11">
        <v>0</v>
      </c>
      <c r="M11">
        <v>1.8216E-5</v>
      </c>
    </row>
    <row r="12" spans="1:13" ht="15" customHeight="1" x14ac:dyDescent="0.15">
      <c r="A12">
        <v>11</v>
      </c>
      <c r="B12" s="181" t="s">
        <v>202</v>
      </c>
      <c r="C12">
        <v>0</v>
      </c>
      <c r="D12">
        <v>0</v>
      </c>
      <c r="E12">
        <v>8.9999999999999999E-8</v>
      </c>
      <c r="F12">
        <v>8.9999999999999996E-7</v>
      </c>
      <c r="G12">
        <v>0</v>
      </c>
      <c r="H12">
        <v>0</v>
      </c>
      <c r="I12">
        <v>0</v>
      </c>
      <c r="J12">
        <v>2.3799999999999999E-7</v>
      </c>
      <c r="K12">
        <v>8.9999999999999999E-8</v>
      </c>
      <c r="L12">
        <v>0</v>
      </c>
      <c r="M12">
        <v>1.3179999999999999E-6</v>
      </c>
    </row>
    <row r="13" spans="1:13" ht="15" customHeight="1" x14ac:dyDescent="0.15">
      <c r="A13">
        <v>12</v>
      </c>
      <c r="B13" s="181" t="s">
        <v>203</v>
      </c>
      <c r="C13">
        <v>0</v>
      </c>
      <c r="D13">
        <v>0</v>
      </c>
      <c r="E13">
        <v>2E-8</v>
      </c>
      <c r="F13">
        <v>1.9999999999999999E-7</v>
      </c>
      <c r="G13">
        <v>0</v>
      </c>
      <c r="H13">
        <v>3.4715999999999998E-5</v>
      </c>
      <c r="I13">
        <v>0</v>
      </c>
      <c r="J13">
        <v>2.3799999999999999E-7</v>
      </c>
      <c r="K13">
        <v>2E-8</v>
      </c>
      <c r="L13">
        <v>0</v>
      </c>
      <c r="M13">
        <v>3.5194000000000002E-5</v>
      </c>
    </row>
    <row r="14" spans="1:13" ht="15" customHeight="1" x14ac:dyDescent="0.15">
      <c r="A14">
        <v>13</v>
      </c>
      <c r="B14" s="181" t="s">
        <v>204</v>
      </c>
      <c r="C14">
        <v>0</v>
      </c>
      <c r="D14">
        <v>0</v>
      </c>
      <c r="E14">
        <v>3.2400000000000001E-5</v>
      </c>
      <c r="F14">
        <v>3.3500000000000001E-4</v>
      </c>
      <c r="G14">
        <v>0</v>
      </c>
      <c r="H14">
        <v>0</v>
      </c>
      <c r="I14">
        <v>1.2860000000000001E-5</v>
      </c>
      <c r="J14">
        <v>2.3799999999999999E-7</v>
      </c>
      <c r="K14">
        <v>3.29E-5</v>
      </c>
      <c r="L14">
        <v>0</v>
      </c>
      <c r="M14">
        <v>4.1339800000000004E-4</v>
      </c>
    </row>
    <row r="15" spans="1:13" ht="15" customHeight="1" x14ac:dyDescent="0.15">
      <c r="A15">
        <v>14</v>
      </c>
      <c r="B15" s="181" t="s">
        <v>205</v>
      </c>
      <c r="C15">
        <v>0</v>
      </c>
      <c r="D15">
        <v>0</v>
      </c>
      <c r="E15">
        <v>3.5200000000000002E-5</v>
      </c>
      <c r="F15">
        <v>3.8099999999999999E-4</v>
      </c>
      <c r="G15">
        <v>0</v>
      </c>
      <c r="H15">
        <v>0</v>
      </c>
      <c r="I15">
        <v>0</v>
      </c>
      <c r="J15">
        <v>2.3799999999999999E-7</v>
      </c>
      <c r="K15">
        <v>3.6600000000000002E-5</v>
      </c>
      <c r="L15">
        <v>6.0000000000000002E-6</v>
      </c>
      <c r="M15">
        <v>4.5903799999999999E-4</v>
      </c>
    </row>
    <row r="16" spans="1:13" ht="15" customHeight="1" x14ac:dyDescent="0.15">
      <c r="A16">
        <v>15</v>
      </c>
      <c r="B16" s="181" t="s">
        <v>206</v>
      </c>
      <c r="C16">
        <v>0</v>
      </c>
      <c r="D16">
        <v>0</v>
      </c>
      <c r="E16">
        <v>2E-8</v>
      </c>
      <c r="F16">
        <v>1.9999999999999999E-7</v>
      </c>
      <c r="G16">
        <v>0</v>
      </c>
      <c r="H16">
        <v>0</v>
      </c>
      <c r="I16">
        <v>0</v>
      </c>
      <c r="J16">
        <v>2.3799999999999999E-7</v>
      </c>
      <c r="K16">
        <v>2E-8</v>
      </c>
      <c r="L16">
        <v>0</v>
      </c>
      <c r="M16">
        <v>4.7800000000000002E-7</v>
      </c>
    </row>
    <row r="17" spans="1:13" ht="15" customHeight="1" x14ac:dyDescent="0.15">
      <c r="A17">
        <v>16</v>
      </c>
      <c r="B17" s="181" t="s">
        <v>207</v>
      </c>
      <c r="C17">
        <v>0</v>
      </c>
      <c r="D17">
        <v>0</v>
      </c>
      <c r="E17">
        <v>0</v>
      </c>
      <c r="F17">
        <v>0</v>
      </c>
      <c r="G17">
        <v>0</v>
      </c>
      <c r="H17">
        <v>0</v>
      </c>
      <c r="I17">
        <v>0</v>
      </c>
      <c r="J17">
        <v>0</v>
      </c>
      <c r="K17">
        <v>0</v>
      </c>
      <c r="L17">
        <v>0</v>
      </c>
      <c r="M17">
        <v>0</v>
      </c>
    </row>
    <row r="18" spans="1:13" ht="15" customHeight="1" x14ac:dyDescent="0.15">
      <c r="A18">
        <v>17</v>
      </c>
      <c r="B18" s="181" t="s">
        <v>208</v>
      </c>
      <c r="C18">
        <v>0</v>
      </c>
      <c r="D18">
        <v>0</v>
      </c>
      <c r="E18">
        <v>0</v>
      </c>
      <c r="F18">
        <v>0</v>
      </c>
      <c r="G18">
        <v>0</v>
      </c>
      <c r="H18">
        <v>0</v>
      </c>
      <c r="I18">
        <v>0</v>
      </c>
      <c r="J18">
        <v>8.0000000000000005E-9</v>
      </c>
      <c r="K18">
        <v>0</v>
      </c>
      <c r="L18">
        <v>0</v>
      </c>
      <c r="M18">
        <v>8.0000000000000005E-9</v>
      </c>
    </row>
    <row r="19" spans="1:13" ht="15" customHeight="1" x14ac:dyDescent="0.15">
      <c r="A19">
        <v>18</v>
      </c>
      <c r="B19" s="181" t="s">
        <v>209</v>
      </c>
      <c r="C19">
        <v>0</v>
      </c>
      <c r="D19">
        <v>0</v>
      </c>
      <c r="E19">
        <v>7.7999999999999999E-4</v>
      </c>
      <c r="F19">
        <v>2.12E-5</v>
      </c>
      <c r="G19">
        <v>0</v>
      </c>
      <c r="H19">
        <v>8.3634999999999995E-5</v>
      </c>
      <c r="I19">
        <v>1.147E-5</v>
      </c>
      <c r="J19">
        <v>1.0429E-5</v>
      </c>
      <c r="K19">
        <v>0</v>
      </c>
      <c r="L19">
        <v>1.9999999999999999E-6</v>
      </c>
      <c r="M19">
        <v>9.0873399999999991E-4</v>
      </c>
    </row>
    <row r="20" spans="1:13" ht="15" customHeight="1" x14ac:dyDescent="0.15">
      <c r="A20">
        <v>19</v>
      </c>
      <c r="B20" s="181" t="s">
        <v>210</v>
      </c>
      <c r="C20">
        <v>0</v>
      </c>
      <c r="D20">
        <v>0</v>
      </c>
      <c r="E20">
        <v>9.0000000000000006E-5</v>
      </c>
      <c r="F20">
        <v>1.8500000000000001E-3</v>
      </c>
      <c r="G20">
        <v>0</v>
      </c>
      <c r="H20">
        <v>3.2006899999999997E-4</v>
      </c>
      <c r="I20">
        <v>6.2310000000000005E-5</v>
      </c>
      <c r="J20">
        <v>8.9073999999999995E-5</v>
      </c>
      <c r="K20">
        <v>0</v>
      </c>
      <c r="L20">
        <v>0</v>
      </c>
      <c r="M20">
        <v>2.411453E-3</v>
      </c>
    </row>
    <row r="21" spans="1:13" ht="15" customHeight="1" x14ac:dyDescent="0.15">
      <c r="A21">
        <v>20</v>
      </c>
      <c r="B21" s="181" t="s">
        <v>211</v>
      </c>
      <c r="C21">
        <v>0</v>
      </c>
      <c r="D21">
        <v>0</v>
      </c>
      <c r="E21">
        <v>0</v>
      </c>
      <c r="F21">
        <v>0</v>
      </c>
      <c r="G21">
        <v>0</v>
      </c>
      <c r="H21">
        <v>2.3000000000000001E-8</v>
      </c>
      <c r="I21">
        <v>0</v>
      </c>
      <c r="J21">
        <v>6.02E-6</v>
      </c>
      <c r="K21">
        <v>0</v>
      </c>
      <c r="L21">
        <v>0</v>
      </c>
      <c r="M21">
        <v>6.0429999999999996E-6</v>
      </c>
    </row>
    <row r="22" spans="1:13" ht="15" customHeight="1" x14ac:dyDescent="0.15">
      <c r="A22">
        <v>21</v>
      </c>
      <c r="B22" s="181" t="s">
        <v>212</v>
      </c>
      <c r="C22">
        <v>0</v>
      </c>
      <c r="D22">
        <v>0</v>
      </c>
      <c r="E22">
        <v>6.1099999999999999E-6</v>
      </c>
      <c r="F22">
        <v>5.6999999999999996E-6</v>
      </c>
      <c r="G22">
        <v>0</v>
      </c>
      <c r="H22">
        <v>2.3643999999999999E-5</v>
      </c>
      <c r="I22">
        <v>6.3650000000000002E-5</v>
      </c>
      <c r="J22">
        <v>7.9529999999999999E-6</v>
      </c>
      <c r="K22">
        <v>0</v>
      </c>
      <c r="L22">
        <v>1.9999999999999999E-6</v>
      </c>
      <c r="M22">
        <v>1.09057E-4</v>
      </c>
    </row>
    <row r="23" spans="1:13" ht="15" customHeight="1" x14ac:dyDescent="0.15">
      <c r="A23">
        <v>22</v>
      </c>
      <c r="B23" s="181" t="s">
        <v>213</v>
      </c>
      <c r="C23">
        <v>0</v>
      </c>
      <c r="D23">
        <v>0</v>
      </c>
      <c r="E23">
        <v>0</v>
      </c>
      <c r="F23">
        <v>6.3100000000000002E-5</v>
      </c>
      <c r="G23">
        <v>0</v>
      </c>
      <c r="H23">
        <v>6.5320999999999993E-5</v>
      </c>
      <c r="I23">
        <v>0</v>
      </c>
      <c r="J23">
        <v>1.844E-6</v>
      </c>
      <c r="K23">
        <v>0</v>
      </c>
      <c r="L23">
        <v>0</v>
      </c>
      <c r="M23">
        <v>1.3026499999999999E-4</v>
      </c>
    </row>
    <row r="24" spans="1:13" ht="15" customHeight="1" x14ac:dyDescent="0.15">
      <c r="A24">
        <v>23</v>
      </c>
      <c r="B24" s="181" t="s">
        <v>214</v>
      </c>
      <c r="C24">
        <v>0</v>
      </c>
      <c r="D24">
        <v>0</v>
      </c>
      <c r="E24">
        <v>6.8399999999999997E-6</v>
      </c>
      <c r="F24">
        <v>0</v>
      </c>
      <c r="G24">
        <v>0</v>
      </c>
      <c r="H24">
        <v>2.1550700000000001E-4</v>
      </c>
      <c r="I24">
        <v>3.994E-5</v>
      </c>
      <c r="J24">
        <v>9.6970000000000005E-6</v>
      </c>
      <c r="K24">
        <v>0</v>
      </c>
      <c r="L24">
        <v>0</v>
      </c>
      <c r="M24">
        <v>2.7198400000000007E-4</v>
      </c>
    </row>
    <row r="25" spans="1:13" ht="15" customHeight="1" x14ac:dyDescent="0.15">
      <c r="A25">
        <v>24</v>
      </c>
      <c r="B25" s="181" t="s">
        <v>215</v>
      </c>
      <c r="C25">
        <v>0</v>
      </c>
      <c r="D25">
        <v>0</v>
      </c>
      <c r="E25">
        <v>1.6099999999999998E-5</v>
      </c>
      <c r="F25">
        <v>0</v>
      </c>
      <c r="G25">
        <v>0</v>
      </c>
      <c r="H25">
        <v>4.7538099999999998E-4</v>
      </c>
      <c r="I25">
        <v>3.7849999999999998E-5</v>
      </c>
      <c r="J25">
        <v>1.5634E-5</v>
      </c>
      <c r="K25">
        <v>8.0499999999999992E-6</v>
      </c>
      <c r="L25">
        <v>3.8900000000000002E-4</v>
      </c>
      <c r="M25">
        <v>9.4201500000000004E-4</v>
      </c>
    </row>
    <row r="26" spans="1:13" ht="15" customHeight="1" x14ac:dyDescent="0.15">
      <c r="A26">
        <v>25</v>
      </c>
      <c r="B26" s="181" t="s">
        <v>216</v>
      </c>
      <c r="C26">
        <v>0</v>
      </c>
      <c r="D26">
        <v>0</v>
      </c>
      <c r="E26">
        <v>1.42E-5</v>
      </c>
      <c r="F26">
        <v>5.4400000000000001E-5</v>
      </c>
      <c r="G26">
        <v>0</v>
      </c>
      <c r="H26">
        <v>7.6694999999999997E-5</v>
      </c>
      <c r="I26">
        <v>1.9300000000000002E-6</v>
      </c>
      <c r="J26">
        <v>1.1946E-5</v>
      </c>
      <c r="K26">
        <v>0</v>
      </c>
      <c r="L26">
        <v>1.5999999999999999E-5</v>
      </c>
      <c r="M26">
        <v>1.7517100000000001E-4</v>
      </c>
    </row>
    <row r="27" spans="1:13" ht="15" customHeight="1" x14ac:dyDescent="0.15">
      <c r="A27">
        <v>26</v>
      </c>
      <c r="B27" s="181" t="s">
        <v>217</v>
      </c>
      <c r="C27">
        <v>0</v>
      </c>
      <c r="D27">
        <v>0</v>
      </c>
      <c r="E27">
        <v>4.2799999999999997E-6</v>
      </c>
      <c r="F27">
        <v>5.0399999999999999E-5</v>
      </c>
      <c r="G27">
        <v>0</v>
      </c>
      <c r="H27">
        <v>3.4499000000000003E-5</v>
      </c>
      <c r="I27">
        <v>1.6889999999999999E-5</v>
      </c>
      <c r="J27">
        <v>6.6830000000000002E-6</v>
      </c>
      <c r="K27">
        <v>0</v>
      </c>
      <c r="L27">
        <v>0</v>
      </c>
      <c r="M27">
        <v>1.1275199999999999E-4</v>
      </c>
    </row>
    <row r="28" spans="1:13" ht="15" customHeight="1" x14ac:dyDescent="0.15">
      <c r="A28">
        <v>27</v>
      </c>
      <c r="B28" s="181" t="s">
        <v>218</v>
      </c>
      <c r="C28">
        <v>0</v>
      </c>
      <c r="D28">
        <v>0</v>
      </c>
      <c r="E28">
        <v>2.2299999999999998E-6</v>
      </c>
      <c r="F28">
        <v>0</v>
      </c>
      <c r="G28">
        <v>0</v>
      </c>
      <c r="H28">
        <v>4.2653E-5</v>
      </c>
      <c r="I28">
        <v>2E-8</v>
      </c>
      <c r="J28">
        <v>1.4999999999999999E-8</v>
      </c>
      <c r="K28">
        <v>0</v>
      </c>
      <c r="L28">
        <v>0</v>
      </c>
      <c r="M28">
        <v>4.4917999999999999E-5</v>
      </c>
    </row>
    <row r="29" spans="1:13" ht="15" customHeight="1" x14ac:dyDescent="0.15">
      <c r="A29">
        <v>28</v>
      </c>
      <c r="B29" s="181" t="s">
        <v>219</v>
      </c>
      <c r="C29">
        <v>0</v>
      </c>
      <c r="D29">
        <v>0</v>
      </c>
      <c r="E29">
        <v>0</v>
      </c>
      <c r="F29">
        <v>0</v>
      </c>
      <c r="G29">
        <v>0</v>
      </c>
      <c r="H29">
        <v>0</v>
      </c>
      <c r="I29">
        <v>0</v>
      </c>
      <c r="J29">
        <v>0</v>
      </c>
      <c r="K29">
        <v>0</v>
      </c>
      <c r="L29">
        <v>0</v>
      </c>
      <c r="M29">
        <v>0</v>
      </c>
    </row>
    <row r="30" spans="1:13" ht="15" customHeight="1" x14ac:dyDescent="0.15">
      <c r="A30">
        <v>29</v>
      </c>
      <c r="B30" s="181" t="s">
        <v>220</v>
      </c>
      <c r="C30">
        <v>0</v>
      </c>
      <c r="D30">
        <v>0</v>
      </c>
      <c r="E30">
        <v>0</v>
      </c>
      <c r="F30">
        <v>0</v>
      </c>
      <c r="G30">
        <v>0</v>
      </c>
      <c r="H30">
        <v>4.0000000000000001E-8</v>
      </c>
      <c r="I30">
        <v>0</v>
      </c>
      <c r="J30">
        <v>0</v>
      </c>
      <c r="K30">
        <v>0</v>
      </c>
      <c r="L30">
        <v>0</v>
      </c>
      <c r="M30">
        <v>4.0000000000000001E-8</v>
      </c>
    </row>
    <row r="31" spans="1:13" ht="15" customHeight="1" x14ac:dyDescent="0.15">
      <c r="A31">
        <v>30</v>
      </c>
      <c r="B31" s="181" t="s">
        <v>221</v>
      </c>
      <c r="C31">
        <v>0</v>
      </c>
      <c r="D31">
        <v>0</v>
      </c>
      <c r="E31">
        <v>4.9999999999999998E-8</v>
      </c>
      <c r="F31">
        <v>1.03E-5</v>
      </c>
      <c r="G31">
        <v>0</v>
      </c>
      <c r="H31">
        <v>3.5999999999999998E-8</v>
      </c>
      <c r="I31">
        <v>0</v>
      </c>
      <c r="J31">
        <v>5.2200000000000004E-7</v>
      </c>
      <c r="K31">
        <v>0</v>
      </c>
      <c r="L31">
        <v>0</v>
      </c>
      <c r="M31">
        <v>1.0907999999999998E-5</v>
      </c>
    </row>
    <row r="32" spans="1:13" ht="15" customHeight="1" x14ac:dyDescent="0.15">
      <c r="A32">
        <v>31</v>
      </c>
      <c r="B32" s="181" t="s">
        <v>222</v>
      </c>
      <c r="C32">
        <v>0</v>
      </c>
      <c r="D32">
        <v>0</v>
      </c>
      <c r="E32">
        <v>0</v>
      </c>
      <c r="F32">
        <v>0</v>
      </c>
      <c r="G32">
        <v>0</v>
      </c>
      <c r="H32">
        <v>2.6600000000000003E-7</v>
      </c>
      <c r="I32">
        <v>7.0000000000000005E-8</v>
      </c>
      <c r="J32">
        <v>8.4499999999999996E-7</v>
      </c>
      <c r="K32">
        <v>0</v>
      </c>
      <c r="L32">
        <v>0</v>
      </c>
      <c r="M32">
        <v>1.181E-6</v>
      </c>
    </row>
    <row r="33" spans="1:13" ht="15" customHeight="1" x14ac:dyDescent="0.15">
      <c r="A33">
        <v>32</v>
      </c>
      <c r="B33" s="181" t="s">
        <v>223</v>
      </c>
      <c r="C33">
        <v>0</v>
      </c>
      <c r="D33">
        <v>0</v>
      </c>
      <c r="E33">
        <v>0</v>
      </c>
      <c r="F33">
        <v>0</v>
      </c>
      <c r="G33">
        <v>0</v>
      </c>
      <c r="H33">
        <v>1.01E-7</v>
      </c>
      <c r="I33">
        <v>4.9999999999999998E-7</v>
      </c>
      <c r="J33">
        <v>1.6199999999999999E-7</v>
      </c>
      <c r="K33">
        <v>0</v>
      </c>
      <c r="L33">
        <v>0</v>
      </c>
      <c r="M33">
        <v>7.6299999999999994E-7</v>
      </c>
    </row>
    <row r="34" spans="1:13" ht="15" customHeight="1" x14ac:dyDescent="0.15">
      <c r="A34">
        <v>33</v>
      </c>
      <c r="B34" s="181" t="s">
        <v>224</v>
      </c>
      <c r="C34">
        <v>0</v>
      </c>
      <c r="D34">
        <v>0</v>
      </c>
      <c r="E34">
        <v>0</v>
      </c>
      <c r="F34">
        <v>0</v>
      </c>
      <c r="G34">
        <v>0</v>
      </c>
      <c r="H34">
        <v>0</v>
      </c>
      <c r="I34">
        <v>1.6220000000000001E-5</v>
      </c>
      <c r="J34">
        <v>4.08E-7</v>
      </c>
      <c r="K34">
        <v>0</v>
      </c>
      <c r="L34">
        <v>0</v>
      </c>
      <c r="M34">
        <v>1.6628000000000001E-5</v>
      </c>
    </row>
    <row r="35" spans="1:13" ht="15" customHeight="1" x14ac:dyDescent="0.15">
      <c r="A35">
        <v>34</v>
      </c>
      <c r="B35" s="181" t="s">
        <v>225</v>
      </c>
      <c r="C35">
        <v>0</v>
      </c>
      <c r="D35">
        <v>0</v>
      </c>
      <c r="E35">
        <v>0</v>
      </c>
      <c r="F35">
        <v>0</v>
      </c>
      <c r="G35">
        <v>0</v>
      </c>
      <c r="H35">
        <v>0</v>
      </c>
      <c r="I35">
        <v>0</v>
      </c>
      <c r="J35">
        <v>5.0000000000000001E-9</v>
      </c>
      <c r="K35">
        <v>0</v>
      </c>
      <c r="L35">
        <v>0</v>
      </c>
      <c r="M35">
        <v>5.0000000000000001E-9</v>
      </c>
    </row>
    <row r="36" spans="1:13" ht="15" customHeight="1" x14ac:dyDescent="0.15">
      <c r="A36">
        <v>35</v>
      </c>
      <c r="B36" s="181" t="s">
        <v>226</v>
      </c>
      <c r="C36">
        <v>0</v>
      </c>
      <c r="D36">
        <v>0</v>
      </c>
      <c r="E36">
        <v>0</v>
      </c>
      <c r="F36">
        <v>0</v>
      </c>
      <c r="G36">
        <v>0</v>
      </c>
      <c r="H36">
        <v>0</v>
      </c>
      <c r="I36">
        <v>0</v>
      </c>
      <c r="J36">
        <v>0</v>
      </c>
      <c r="K36">
        <v>0</v>
      </c>
      <c r="L36">
        <v>0</v>
      </c>
      <c r="M36">
        <v>0</v>
      </c>
    </row>
    <row r="37" spans="1:13" ht="15" customHeight="1" x14ac:dyDescent="0.15">
      <c r="A37">
        <v>36</v>
      </c>
      <c r="B37" s="181" t="s">
        <v>227</v>
      </c>
      <c r="C37">
        <v>0</v>
      </c>
      <c r="D37">
        <v>0</v>
      </c>
      <c r="E37">
        <v>0</v>
      </c>
      <c r="F37">
        <v>0</v>
      </c>
      <c r="G37">
        <v>0</v>
      </c>
      <c r="H37">
        <v>0</v>
      </c>
      <c r="I37">
        <v>0</v>
      </c>
      <c r="J37">
        <v>0</v>
      </c>
      <c r="K37">
        <v>0</v>
      </c>
      <c r="L37">
        <v>0</v>
      </c>
      <c r="M37">
        <v>0</v>
      </c>
    </row>
    <row r="38" spans="1:13" ht="15" customHeight="1" x14ac:dyDescent="0.15">
      <c r="A38">
        <v>37</v>
      </c>
      <c r="B38" s="181" t="s">
        <v>228</v>
      </c>
      <c r="C38">
        <v>0</v>
      </c>
      <c r="D38">
        <v>0</v>
      </c>
      <c r="E38">
        <v>0</v>
      </c>
      <c r="F38">
        <v>0</v>
      </c>
      <c r="G38">
        <v>0</v>
      </c>
      <c r="H38">
        <v>0</v>
      </c>
      <c r="I38">
        <v>0</v>
      </c>
      <c r="J38">
        <v>0</v>
      </c>
      <c r="K38">
        <v>0</v>
      </c>
      <c r="L38">
        <v>0</v>
      </c>
      <c r="M38">
        <v>0</v>
      </c>
    </row>
    <row r="39" spans="1:13" ht="15" customHeight="1" x14ac:dyDescent="0.15">
      <c r="A39">
        <v>38</v>
      </c>
      <c r="B39" s="181" t="s">
        <v>229</v>
      </c>
      <c r="C39">
        <v>0</v>
      </c>
      <c r="D39">
        <v>0</v>
      </c>
      <c r="E39">
        <v>0</v>
      </c>
      <c r="F39">
        <v>0</v>
      </c>
      <c r="G39">
        <v>0</v>
      </c>
      <c r="H39">
        <v>0</v>
      </c>
      <c r="I39">
        <v>0</v>
      </c>
      <c r="J39">
        <v>0</v>
      </c>
      <c r="K39">
        <v>0</v>
      </c>
      <c r="L39">
        <v>0</v>
      </c>
      <c r="M39">
        <v>0</v>
      </c>
    </row>
    <row r="40" spans="1:13" ht="15" customHeight="1" x14ac:dyDescent="0.15">
      <c r="A40">
        <v>39</v>
      </c>
      <c r="B40" s="181" t="s">
        <v>230</v>
      </c>
      <c r="C40">
        <v>0</v>
      </c>
      <c r="D40">
        <v>0</v>
      </c>
      <c r="E40">
        <v>0</v>
      </c>
      <c r="F40">
        <v>0</v>
      </c>
      <c r="G40">
        <v>0</v>
      </c>
      <c r="H40">
        <v>0</v>
      </c>
      <c r="I40">
        <v>0</v>
      </c>
      <c r="J40">
        <v>0</v>
      </c>
      <c r="K40">
        <v>0</v>
      </c>
      <c r="L40">
        <v>0</v>
      </c>
      <c r="M40">
        <v>0</v>
      </c>
    </row>
    <row r="41" spans="1:13" ht="15" customHeight="1" x14ac:dyDescent="0.15">
      <c r="A41">
        <v>40</v>
      </c>
      <c r="B41" s="181" t="s">
        <v>231</v>
      </c>
      <c r="C41">
        <v>0</v>
      </c>
      <c r="D41">
        <v>0</v>
      </c>
      <c r="E41">
        <v>0</v>
      </c>
      <c r="F41">
        <v>0</v>
      </c>
      <c r="G41">
        <v>0</v>
      </c>
      <c r="H41">
        <v>0</v>
      </c>
      <c r="I41">
        <v>0</v>
      </c>
      <c r="J41">
        <v>0</v>
      </c>
      <c r="K41">
        <v>0</v>
      </c>
      <c r="L41">
        <v>0</v>
      </c>
      <c r="M41">
        <v>0</v>
      </c>
    </row>
    <row r="42" spans="1:13" ht="15" customHeight="1" x14ac:dyDescent="0.15">
      <c r="A42">
        <v>41</v>
      </c>
      <c r="B42" s="181" t="s">
        <v>232</v>
      </c>
      <c r="C42">
        <v>0</v>
      </c>
      <c r="D42">
        <v>0</v>
      </c>
      <c r="E42">
        <v>0</v>
      </c>
      <c r="F42">
        <v>0</v>
      </c>
      <c r="G42">
        <v>0</v>
      </c>
      <c r="H42">
        <v>0</v>
      </c>
      <c r="I42">
        <v>0</v>
      </c>
      <c r="J42">
        <v>0</v>
      </c>
      <c r="K42">
        <v>0</v>
      </c>
      <c r="L42">
        <v>0</v>
      </c>
      <c r="M42">
        <v>0</v>
      </c>
    </row>
    <row r="43" spans="1:13" ht="15" customHeight="1" x14ac:dyDescent="0.15">
      <c r="A43">
        <v>42</v>
      </c>
      <c r="B43" s="181" t="s">
        <v>233</v>
      </c>
      <c r="C43">
        <v>0</v>
      </c>
      <c r="D43">
        <v>0</v>
      </c>
      <c r="E43">
        <v>0</v>
      </c>
      <c r="F43">
        <v>0</v>
      </c>
      <c r="G43">
        <v>0</v>
      </c>
      <c r="H43">
        <v>0</v>
      </c>
      <c r="I43">
        <v>2.8999999999999998E-7</v>
      </c>
      <c r="J43">
        <v>0</v>
      </c>
      <c r="K43">
        <v>0</v>
      </c>
      <c r="L43">
        <v>0</v>
      </c>
      <c r="M43">
        <v>2.8999999999999998E-7</v>
      </c>
    </row>
    <row r="44" spans="1:13" ht="15" customHeight="1" x14ac:dyDescent="0.15">
      <c r="A44">
        <v>43</v>
      </c>
      <c r="B44" s="181" t="s">
        <v>234</v>
      </c>
      <c r="C44">
        <v>0</v>
      </c>
      <c r="D44">
        <v>0</v>
      </c>
      <c r="E44">
        <v>0</v>
      </c>
      <c r="F44">
        <v>0</v>
      </c>
      <c r="G44">
        <v>0</v>
      </c>
      <c r="H44">
        <v>0</v>
      </c>
      <c r="I44">
        <v>0</v>
      </c>
      <c r="J44">
        <v>0</v>
      </c>
      <c r="K44">
        <v>0</v>
      </c>
      <c r="L44">
        <v>0</v>
      </c>
      <c r="M44">
        <v>0</v>
      </c>
    </row>
    <row r="45" spans="1:13" ht="15" customHeight="1" x14ac:dyDescent="0.15">
      <c r="A45">
        <v>44</v>
      </c>
      <c r="B45" s="181" t="s">
        <v>235</v>
      </c>
      <c r="C45">
        <v>2.7200000000000002E-3</v>
      </c>
      <c r="D45">
        <v>0</v>
      </c>
      <c r="E45">
        <v>0</v>
      </c>
      <c r="F45">
        <v>0</v>
      </c>
      <c r="G45">
        <v>0</v>
      </c>
      <c r="H45">
        <v>0</v>
      </c>
      <c r="I45">
        <v>0</v>
      </c>
      <c r="J45">
        <v>0</v>
      </c>
      <c r="K45">
        <v>0</v>
      </c>
      <c r="L45">
        <v>0</v>
      </c>
      <c r="M45">
        <v>2.7200000000000002E-3</v>
      </c>
    </row>
    <row r="46" spans="1:13" ht="15" customHeight="1" x14ac:dyDescent="0.15">
      <c r="A46">
        <v>45</v>
      </c>
      <c r="B46" s="181" t="s">
        <v>236</v>
      </c>
      <c r="C46">
        <v>0</v>
      </c>
      <c r="D46">
        <v>0</v>
      </c>
      <c r="E46">
        <v>0</v>
      </c>
      <c r="F46">
        <v>0</v>
      </c>
      <c r="G46">
        <v>0</v>
      </c>
      <c r="H46">
        <v>0</v>
      </c>
      <c r="I46">
        <v>0</v>
      </c>
      <c r="J46">
        <v>0</v>
      </c>
      <c r="K46">
        <v>0</v>
      </c>
      <c r="L46">
        <v>0</v>
      </c>
      <c r="M46">
        <v>0</v>
      </c>
    </row>
    <row r="47" spans="1:13" ht="15" customHeight="1" x14ac:dyDescent="0.15">
      <c r="A47">
        <v>46</v>
      </c>
      <c r="B47" s="181" t="s">
        <v>237</v>
      </c>
      <c r="C47">
        <v>0</v>
      </c>
      <c r="D47">
        <v>0</v>
      </c>
      <c r="E47">
        <v>0</v>
      </c>
      <c r="F47">
        <v>0</v>
      </c>
      <c r="G47">
        <v>0</v>
      </c>
      <c r="H47">
        <v>0</v>
      </c>
      <c r="I47">
        <v>0</v>
      </c>
      <c r="J47">
        <v>0</v>
      </c>
      <c r="K47">
        <v>0</v>
      </c>
      <c r="L47">
        <v>0</v>
      </c>
      <c r="M47">
        <v>0</v>
      </c>
    </row>
    <row r="48" spans="1:13" ht="15" customHeight="1" x14ac:dyDescent="0.15">
      <c r="A48">
        <v>47</v>
      </c>
      <c r="B48" s="181" t="s">
        <v>238</v>
      </c>
      <c r="C48">
        <v>0</v>
      </c>
      <c r="D48">
        <v>8.2000000000000007E-3</v>
      </c>
      <c r="E48">
        <v>0</v>
      </c>
      <c r="F48">
        <v>0</v>
      </c>
      <c r="G48">
        <v>0</v>
      </c>
      <c r="H48">
        <v>0</v>
      </c>
      <c r="I48">
        <v>0</v>
      </c>
      <c r="J48">
        <v>0</v>
      </c>
      <c r="K48">
        <v>0</v>
      </c>
      <c r="L48">
        <v>0</v>
      </c>
      <c r="M48">
        <v>8.2000000000000007E-3</v>
      </c>
    </row>
    <row r="49" spans="1:13" ht="15" customHeight="1" x14ac:dyDescent="0.15">
      <c r="A49">
        <v>48</v>
      </c>
      <c r="B49" s="181" t="s">
        <v>239</v>
      </c>
      <c r="C49">
        <v>0</v>
      </c>
      <c r="D49">
        <v>1.5E-3</v>
      </c>
      <c r="E49">
        <v>0</v>
      </c>
      <c r="F49">
        <v>0</v>
      </c>
      <c r="G49">
        <v>0</v>
      </c>
      <c r="H49">
        <v>0</v>
      </c>
      <c r="I49">
        <v>0</v>
      </c>
      <c r="J49">
        <v>0</v>
      </c>
      <c r="K49">
        <v>0</v>
      </c>
      <c r="L49">
        <v>0</v>
      </c>
      <c r="M49">
        <v>1.5E-3</v>
      </c>
    </row>
    <row r="50" spans="1:13" x14ac:dyDescent="0.15">
      <c r="A50">
        <v>49</v>
      </c>
      <c r="B50" s="181" t="s">
        <v>240</v>
      </c>
      <c r="C50">
        <v>0</v>
      </c>
      <c r="D50">
        <v>0</v>
      </c>
      <c r="E50">
        <v>0</v>
      </c>
      <c r="F50">
        <v>0</v>
      </c>
      <c r="G50">
        <v>0</v>
      </c>
      <c r="H50">
        <v>0</v>
      </c>
      <c r="I50">
        <v>0</v>
      </c>
      <c r="J50">
        <v>0</v>
      </c>
      <c r="K50">
        <v>0</v>
      </c>
      <c r="L50">
        <v>0</v>
      </c>
      <c r="M50">
        <v>0</v>
      </c>
    </row>
    <row r="51" spans="1:13" x14ac:dyDescent="0.15">
      <c r="A51">
        <v>50</v>
      </c>
      <c r="B51" s="181" t="s">
        <v>241</v>
      </c>
      <c r="C51">
        <v>0</v>
      </c>
      <c r="D51">
        <v>0</v>
      </c>
      <c r="E51">
        <v>0</v>
      </c>
      <c r="F51">
        <v>0</v>
      </c>
      <c r="G51">
        <v>0</v>
      </c>
      <c r="H51">
        <v>0</v>
      </c>
      <c r="I51">
        <v>0</v>
      </c>
      <c r="J51">
        <v>0</v>
      </c>
      <c r="K51">
        <v>0</v>
      </c>
      <c r="L51">
        <v>0</v>
      </c>
      <c r="M51">
        <v>0</v>
      </c>
    </row>
    <row r="52" spans="1:13" x14ac:dyDescent="0.15">
      <c r="A52">
        <v>51</v>
      </c>
      <c r="B52" s="181" t="s">
        <v>242</v>
      </c>
      <c r="C52">
        <v>0</v>
      </c>
      <c r="D52">
        <v>0</v>
      </c>
      <c r="E52">
        <v>0</v>
      </c>
      <c r="F52">
        <v>0</v>
      </c>
      <c r="G52">
        <v>0</v>
      </c>
      <c r="H52">
        <v>0</v>
      </c>
      <c r="I52">
        <v>3.7299999999999999E-6</v>
      </c>
      <c r="J52">
        <v>0</v>
      </c>
      <c r="K52">
        <v>0</v>
      </c>
      <c r="L52">
        <v>0</v>
      </c>
      <c r="M52">
        <v>3.7299999999999999E-6</v>
      </c>
    </row>
    <row r="53" spans="1:13" x14ac:dyDescent="0.15">
      <c r="A53">
        <v>52</v>
      </c>
      <c r="B53" s="181" t="s">
        <v>243</v>
      </c>
      <c r="C53">
        <v>0</v>
      </c>
      <c r="D53">
        <v>0</v>
      </c>
      <c r="E53">
        <v>0</v>
      </c>
      <c r="F53">
        <v>0</v>
      </c>
      <c r="G53">
        <v>0</v>
      </c>
      <c r="H53">
        <v>0</v>
      </c>
      <c r="I53">
        <v>0</v>
      </c>
      <c r="J53">
        <v>0</v>
      </c>
      <c r="K53">
        <v>0</v>
      </c>
      <c r="L53">
        <v>0</v>
      </c>
      <c r="M53">
        <v>0</v>
      </c>
    </row>
    <row r="54" spans="1:13" x14ac:dyDescent="0.15">
      <c r="A54">
        <v>53</v>
      </c>
      <c r="B54" s="181" t="s">
        <v>244</v>
      </c>
      <c r="C54">
        <v>0</v>
      </c>
      <c r="D54">
        <v>0</v>
      </c>
      <c r="E54">
        <v>0</v>
      </c>
      <c r="F54">
        <v>0</v>
      </c>
      <c r="G54">
        <v>1.64828E-4</v>
      </c>
      <c r="H54">
        <v>1.96715E-4</v>
      </c>
      <c r="I54">
        <v>1.9000000000000001E-7</v>
      </c>
      <c r="J54">
        <v>0</v>
      </c>
      <c r="K54">
        <v>0</v>
      </c>
      <c r="L54">
        <v>0</v>
      </c>
      <c r="M54">
        <v>3.6173299999999999E-4</v>
      </c>
    </row>
    <row r="55" spans="1:13" x14ac:dyDescent="0.15">
      <c r="A55">
        <v>54</v>
      </c>
      <c r="B55" s="181" t="s">
        <v>245</v>
      </c>
      <c r="C55">
        <v>0</v>
      </c>
      <c r="D55">
        <v>0</v>
      </c>
      <c r="E55">
        <v>0</v>
      </c>
      <c r="F55">
        <v>0</v>
      </c>
      <c r="G55">
        <v>1.11091E-7</v>
      </c>
      <c r="H55">
        <v>0</v>
      </c>
      <c r="I55">
        <v>2E-8</v>
      </c>
      <c r="J55">
        <v>0</v>
      </c>
      <c r="K55">
        <v>0</v>
      </c>
      <c r="L55">
        <v>0</v>
      </c>
      <c r="M55">
        <v>1.3109099999999999E-7</v>
      </c>
    </row>
    <row r="56" spans="1:13" x14ac:dyDescent="0.15">
      <c r="A56">
        <v>55</v>
      </c>
      <c r="B56" s="181" t="s">
        <v>246</v>
      </c>
      <c r="C56">
        <v>0</v>
      </c>
      <c r="D56">
        <v>0</v>
      </c>
      <c r="E56">
        <v>0</v>
      </c>
      <c r="F56">
        <v>0</v>
      </c>
      <c r="G56">
        <v>1.19026E-7</v>
      </c>
      <c r="H56">
        <v>0</v>
      </c>
      <c r="I56">
        <v>1.13E-6</v>
      </c>
      <c r="J56">
        <v>0</v>
      </c>
      <c r="K56">
        <v>0</v>
      </c>
      <c r="L56">
        <v>0</v>
      </c>
      <c r="M56">
        <v>1.2490259999999999E-6</v>
      </c>
    </row>
    <row r="57" spans="1:13" x14ac:dyDescent="0.15">
      <c r="A57">
        <v>56</v>
      </c>
      <c r="B57" s="181" t="s">
        <v>247</v>
      </c>
      <c r="C57">
        <v>0</v>
      </c>
      <c r="D57">
        <v>0</v>
      </c>
      <c r="E57">
        <v>0</v>
      </c>
      <c r="F57">
        <v>0</v>
      </c>
      <c r="G57">
        <v>0</v>
      </c>
      <c r="H57">
        <v>0</v>
      </c>
      <c r="I57">
        <v>0</v>
      </c>
      <c r="J57">
        <v>0</v>
      </c>
      <c r="K57">
        <v>0</v>
      </c>
      <c r="L57">
        <v>0</v>
      </c>
      <c r="M57">
        <v>0</v>
      </c>
    </row>
    <row r="58" spans="1:13" x14ac:dyDescent="0.15">
      <c r="A58">
        <v>57</v>
      </c>
      <c r="B58" s="181" t="s">
        <v>248</v>
      </c>
      <c r="C58">
        <v>0</v>
      </c>
      <c r="D58">
        <v>0</v>
      </c>
      <c r="E58">
        <v>0</v>
      </c>
      <c r="F58">
        <v>0</v>
      </c>
      <c r="G58">
        <v>0</v>
      </c>
      <c r="H58">
        <v>0</v>
      </c>
      <c r="I58">
        <v>0</v>
      </c>
      <c r="J58">
        <v>0</v>
      </c>
      <c r="K58">
        <v>0</v>
      </c>
      <c r="L58">
        <v>0</v>
      </c>
      <c r="M58">
        <v>0</v>
      </c>
    </row>
    <row r="59" spans="1:13" x14ac:dyDescent="0.15">
      <c r="A59">
        <v>58</v>
      </c>
      <c r="B59" s="181" t="s">
        <v>249</v>
      </c>
      <c r="C59">
        <v>0</v>
      </c>
      <c r="D59">
        <v>0</v>
      </c>
      <c r="E59">
        <v>0</v>
      </c>
      <c r="F59">
        <v>0</v>
      </c>
      <c r="G59">
        <v>0</v>
      </c>
      <c r="H59">
        <v>0</v>
      </c>
      <c r="I59">
        <v>0</v>
      </c>
      <c r="J59">
        <v>0</v>
      </c>
      <c r="K59">
        <v>0</v>
      </c>
      <c r="L59">
        <v>0</v>
      </c>
      <c r="M59">
        <v>0</v>
      </c>
    </row>
    <row r="60" spans="1:13" x14ac:dyDescent="0.15">
      <c r="A60">
        <v>59</v>
      </c>
      <c r="B60" s="181" t="s">
        <v>250</v>
      </c>
      <c r="C60">
        <v>0</v>
      </c>
      <c r="D60">
        <v>0</v>
      </c>
      <c r="E60">
        <v>0</v>
      </c>
      <c r="F60">
        <v>0</v>
      </c>
      <c r="G60">
        <v>0</v>
      </c>
      <c r="H60">
        <v>0</v>
      </c>
      <c r="I60">
        <v>0</v>
      </c>
      <c r="J60">
        <v>0</v>
      </c>
      <c r="K60">
        <v>0</v>
      </c>
      <c r="L60">
        <v>0</v>
      </c>
      <c r="M60">
        <v>0</v>
      </c>
    </row>
    <row r="61" spans="1:13" x14ac:dyDescent="0.15">
      <c r="A61">
        <v>60</v>
      </c>
      <c r="B61" s="181" t="s">
        <v>251</v>
      </c>
      <c r="C61">
        <v>0</v>
      </c>
      <c r="D61">
        <v>0</v>
      </c>
      <c r="E61">
        <v>0</v>
      </c>
      <c r="F61">
        <v>0</v>
      </c>
      <c r="G61">
        <v>0</v>
      </c>
      <c r="H61">
        <v>0</v>
      </c>
      <c r="I61">
        <v>0</v>
      </c>
      <c r="J61">
        <v>0</v>
      </c>
      <c r="K61">
        <v>0</v>
      </c>
      <c r="L61">
        <v>0</v>
      </c>
      <c r="M61">
        <v>0</v>
      </c>
    </row>
    <row r="62" spans="1:13" x14ac:dyDescent="0.15">
      <c r="A62">
        <v>61</v>
      </c>
      <c r="B62" s="181" t="s">
        <v>252</v>
      </c>
      <c r="C62">
        <v>0</v>
      </c>
      <c r="D62">
        <v>0</v>
      </c>
      <c r="E62">
        <v>0</v>
      </c>
      <c r="F62">
        <v>0</v>
      </c>
      <c r="G62">
        <v>0</v>
      </c>
      <c r="H62">
        <v>0</v>
      </c>
      <c r="I62">
        <v>0</v>
      </c>
      <c r="J62">
        <v>0</v>
      </c>
      <c r="K62">
        <v>0</v>
      </c>
      <c r="L62">
        <v>0</v>
      </c>
      <c r="M62">
        <v>0</v>
      </c>
    </row>
    <row r="63" spans="1:13" x14ac:dyDescent="0.15">
      <c r="A63">
        <v>62</v>
      </c>
      <c r="B63" s="181" t="s">
        <v>253</v>
      </c>
      <c r="C63">
        <v>0</v>
      </c>
      <c r="D63">
        <v>0</v>
      </c>
      <c r="E63">
        <v>0</v>
      </c>
      <c r="F63">
        <v>0</v>
      </c>
      <c r="G63">
        <v>0</v>
      </c>
      <c r="H63">
        <v>0</v>
      </c>
      <c r="I63">
        <v>0</v>
      </c>
      <c r="J63">
        <v>0</v>
      </c>
      <c r="K63">
        <v>0</v>
      </c>
      <c r="L63">
        <v>0</v>
      </c>
      <c r="M63">
        <v>0</v>
      </c>
    </row>
    <row r="64" spans="1:13" x14ac:dyDescent="0.15">
      <c r="A64">
        <v>63</v>
      </c>
      <c r="B64" s="181" t="s">
        <v>254</v>
      </c>
      <c r="C64">
        <v>0</v>
      </c>
      <c r="D64">
        <v>0</v>
      </c>
      <c r="E64">
        <v>0</v>
      </c>
      <c r="F64">
        <v>0</v>
      </c>
      <c r="G64">
        <v>0</v>
      </c>
      <c r="H64">
        <v>0</v>
      </c>
      <c r="I64">
        <v>3.3000000000000002E-7</v>
      </c>
      <c r="J64">
        <v>0</v>
      </c>
      <c r="K64">
        <v>0</v>
      </c>
      <c r="L64">
        <v>0</v>
      </c>
      <c r="M64">
        <v>3.3000000000000002E-7</v>
      </c>
    </row>
    <row r="65" spans="1:13" x14ac:dyDescent="0.15">
      <c r="A65">
        <v>64</v>
      </c>
      <c r="B65" s="181" t="s">
        <v>255</v>
      </c>
      <c r="C65">
        <v>0</v>
      </c>
      <c r="D65">
        <v>0</v>
      </c>
      <c r="E65">
        <v>0</v>
      </c>
      <c r="F65">
        <v>0</v>
      </c>
      <c r="G65">
        <v>0</v>
      </c>
      <c r="H65">
        <v>0</v>
      </c>
      <c r="I65">
        <v>0</v>
      </c>
      <c r="J65">
        <v>0</v>
      </c>
      <c r="K65">
        <v>0</v>
      </c>
      <c r="L65">
        <v>0</v>
      </c>
      <c r="M65">
        <v>0</v>
      </c>
    </row>
    <row r="66" spans="1:13" x14ac:dyDescent="0.15">
      <c r="A66">
        <v>65</v>
      </c>
      <c r="B66" s="181" t="s">
        <v>256</v>
      </c>
      <c r="C66">
        <v>0</v>
      </c>
      <c r="D66">
        <v>0</v>
      </c>
      <c r="E66">
        <v>0</v>
      </c>
      <c r="F66">
        <v>0</v>
      </c>
      <c r="G66">
        <v>0</v>
      </c>
      <c r="H66">
        <v>0</v>
      </c>
      <c r="I66">
        <v>0</v>
      </c>
      <c r="J66">
        <v>0</v>
      </c>
      <c r="K66">
        <v>0</v>
      </c>
      <c r="L66">
        <v>0</v>
      </c>
      <c r="M66">
        <v>0</v>
      </c>
    </row>
    <row r="67" spans="1:13" x14ac:dyDescent="0.15">
      <c r="A67">
        <v>66</v>
      </c>
      <c r="B67" s="181" t="s">
        <v>257</v>
      </c>
      <c r="C67">
        <v>0</v>
      </c>
      <c r="D67">
        <v>0</v>
      </c>
      <c r="E67">
        <v>0</v>
      </c>
      <c r="F67">
        <v>0</v>
      </c>
      <c r="G67">
        <v>0</v>
      </c>
      <c r="H67">
        <v>0</v>
      </c>
      <c r="I67">
        <v>0</v>
      </c>
      <c r="J67">
        <v>0</v>
      </c>
      <c r="K67">
        <v>0</v>
      </c>
      <c r="L67">
        <v>0</v>
      </c>
      <c r="M67">
        <v>0</v>
      </c>
    </row>
    <row r="68" spans="1:13" x14ac:dyDescent="0.15">
      <c r="A68">
        <v>67</v>
      </c>
      <c r="B68" s="181" t="s">
        <v>258</v>
      </c>
      <c r="C68">
        <v>0</v>
      </c>
      <c r="D68">
        <v>0</v>
      </c>
      <c r="E68">
        <v>0</v>
      </c>
      <c r="F68">
        <v>0</v>
      </c>
      <c r="G68">
        <v>0</v>
      </c>
      <c r="H68">
        <v>0</v>
      </c>
      <c r="I68">
        <v>0</v>
      </c>
      <c r="J68">
        <v>0</v>
      </c>
      <c r="K68">
        <v>0</v>
      </c>
      <c r="L68">
        <v>0</v>
      </c>
      <c r="M68">
        <v>0</v>
      </c>
    </row>
    <row r="69" spans="1:13" x14ac:dyDescent="0.15">
      <c r="A69">
        <v>68</v>
      </c>
      <c r="B69" s="181" t="s">
        <v>259</v>
      </c>
      <c r="C69">
        <v>0</v>
      </c>
      <c r="D69">
        <v>0</v>
      </c>
      <c r="E69">
        <v>0</v>
      </c>
      <c r="F69">
        <v>0</v>
      </c>
      <c r="G69">
        <v>0</v>
      </c>
      <c r="H69">
        <v>0</v>
      </c>
      <c r="I69">
        <v>0</v>
      </c>
      <c r="J69">
        <v>0</v>
      </c>
      <c r="K69">
        <v>0</v>
      </c>
      <c r="L69">
        <v>0</v>
      </c>
      <c r="M69">
        <v>0</v>
      </c>
    </row>
    <row r="70" spans="1:13" x14ac:dyDescent="0.15">
      <c r="A70">
        <v>69</v>
      </c>
      <c r="B70" s="181" t="s">
        <v>260</v>
      </c>
      <c r="C70">
        <v>0</v>
      </c>
      <c r="D70">
        <v>0</v>
      </c>
      <c r="E70">
        <v>0</v>
      </c>
      <c r="F70">
        <v>0</v>
      </c>
      <c r="G70">
        <v>0</v>
      </c>
      <c r="H70">
        <v>0</v>
      </c>
      <c r="I70">
        <v>0</v>
      </c>
      <c r="J70">
        <v>0</v>
      </c>
      <c r="K70">
        <v>0</v>
      </c>
      <c r="L70">
        <v>0</v>
      </c>
      <c r="M70">
        <v>0</v>
      </c>
    </row>
    <row r="71" spans="1:13" x14ac:dyDescent="0.15">
      <c r="A71">
        <v>70</v>
      </c>
      <c r="B71" s="181" t="s">
        <v>261</v>
      </c>
      <c r="C71">
        <v>0</v>
      </c>
      <c r="D71">
        <v>0</v>
      </c>
      <c r="E71">
        <v>0</v>
      </c>
      <c r="F71">
        <v>0</v>
      </c>
      <c r="G71">
        <v>0</v>
      </c>
      <c r="H71">
        <v>0</v>
      </c>
      <c r="I71">
        <v>0</v>
      </c>
      <c r="J71">
        <v>0</v>
      </c>
      <c r="K71">
        <v>0</v>
      </c>
      <c r="L71">
        <v>0</v>
      </c>
      <c r="M71">
        <v>0</v>
      </c>
    </row>
    <row r="72" spans="1:13" x14ac:dyDescent="0.15">
      <c r="A72">
        <v>71</v>
      </c>
      <c r="B72" s="181" t="s">
        <v>262</v>
      </c>
      <c r="C72">
        <v>0</v>
      </c>
      <c r="D72">
        <v>0</v>
      </c>
      <c r="E72">
        <v>0</v>
      </c>
      <c r="F72">
        <v>0</v>
      </c>
      <c r="G72">
        <v>0</v>
      </c>
      <c r="H72">
        <v>0</v>
      </c>
      <c r="I72">
        <v>0</v>
      </c>
      <c r="J72">
        <v>0</v>
      </c>
      <c r="K72">
        <v>0</v>
      </c>
      <c r="L72">
        <v>0</v>
      </c>
      <c r="M72">
        <v>0</v>
      </c>
    </row>
    <row r="73" spans="1:13" x14ac:dyDescent="0.15">
      <c r="A73">
        <v>72</v>
      </c>
      <c r="B73" s="181" t="s">
        <v>263</v>
      </c>
      <c r="C73">
        <v>0</v>
      </c>
      <c r="D73">
        <v>0</v>
      </c>
      <c r="E73">
        <v>0</v>
      </c>
      <c r="F73">
        <v>0</v>
      </c>
      <c r="G73">
        <v>0</v>
      </c>
      <c r="H73">
        <v>0</v>
      </c>
      <c r="I73">
        <v>0</v>
      </c>
      <c r="J73">
        <v>0</v>
      </c>
      <c r="K73">
        <v>0</v>
      </c>
      <c r="L73">
        <v>0</v>
      </c>
      <c r="M73">
        <v>0</v>
      </c>
    </row>
    <row r="74" spans="1:13" x14ac:dyDescent="0.15">
      <c r="A74">
        <v>73</v>
      </c>
      <c r="B74" s="181" t="s">
        <v>264</v>
      </c>
      <c r="C74">
        <v>0</v>
      </c>
      <c r="D74">
        <v>0</v>
      </c>
      <c r="E74">
        <v>0</v>
      </c>
      <c r="F74">
        <v>0</v>
      </c>
      <c r="G74">
        <v>0</v>
      </c>
      <c r="H74">
        <v>0</v>
      </c>
      <c r="I74">
        <v>0</v>
      </c>
      <c r="J74">
        <v>0</v>
      </c>
      <c r="K74">
        <v>0</v>
      </c>
      <c r="L74">
        <v>0</v>
      </c>
      <c r="M74">
        <v>0</v>
      </c>
    </row>
    <row r="75" spans="1:13" x14ac:dyDescent="0.15">
      <c r="A75">
        <v>74</v>
      </c>
      <c r="B75" s="181" t="s">
        <v>265</v>
      </c>
      <c r="C75">
        <v>0</v>
      </c>
      <c r="D75">
        <v>0</v>
      </c>
      <c r="E75">
        <v>0</v>
      </c>
      <c r="F75">
        <v>0</v>
      </c>
      <c r="G75">
        <v>0</v>
      </c>
      <c r="H75">
        <v>0</v>
      </c>
      <c r="I75">
        <v>0</v>
      </c>
      <c r="J75">
        <v>0</v>
      </c>
      <c r="K75">
        <v>0</v>
      </c>
      <c r="L75">
        <v>0</v>
      </c>
      <c r="M75">
        <v>0</v>
      </c>
    </row>
    <row r="76" spans="1:13" x14ac:dyDescent="0.15">
      <c r="A76">
        <v>75</v>
      </c>
      <c r="B76" s="181" t="s">
        <v>266</v>
      </c>
      <c r="C76">
        <v>0</v>
      </c>
      <c r="D76">
        <v>0</v>
      </c>
      <c r="E76">
        <v>0</v>
      </c>
      <c r="F76">
        <v>0</v>
      </c>
      <c r="G76">
        <v>0</v>
      </c>
      <c r="H76">
        <v>0</v>
      </c>
      <c r="I76">
        <v>0</v>
      </c>
      <c r="J76">
        <v>0</v>
      </c>
      <c r="K76">
        <v>0</v>
      </c>
      <c r="L76">
        <v>0</v>
      </c>
      <c r="M76">
        <v>0</v>
      </c>
    </row>
    <row r="77" spans="1:13" x14ac:dyDescent="0.15">
      <c r="A77">
        <v>76</v>
      </c>
      <c r="B77" s="181" t="s">
        <v>267</v>
      </c>
      <c r="C77">
        <v>0</v>
      </c>
      <c r="D77">
        <v>0</v>
      </c>
      <c r="E77">
        <v>0</v>
      </c>
      <c r="F77">
        <v>0</v>
      </c>
      <c r="G77">
        <v>0</v>
      </c>
      <c r="H77">
        <v>0</v>
      </c>
      <c r="I77">
        <v>0</v>
      </c>
      <c r="J77">
        <v>0</v>
      </c>
      <c r="K77">
        <v>0</v>
      </c>
      <c r="L77">
        <v>0</v>
      </c>
      <c r="M77">
        <v>0</v>
      </c>
    </row>
    <row r="78" spans="1:13" x14ac:dyDescent="0.15">
      <c r="A78">
        <v>77</v>
      </c>
      <c r="B78" s="181" t="s">
        <v>268</v>
      </c>
      <c r="C78">
        <v>0</v>
      </c>
      <c r="D78">
        <v>0</v>
      </c>
      <c r="E78">
        <v>0</v>
      </c>
      <c r="F78">
        <v>0</v>
      </c>
      <c r="G78">
        <v>0</v>
      </c>
      <c r="H78">
        <v>0</v>
      </c>
      <c r="I78">
        <v>0</v>
      </c>
      <c r="J78">
        <v>0</v>
      </c>
      <c r="K78">
        <v>0</v>
      </c>
      <c r="L78">
        <v>0</v>
      </c>
      <c r="M78">
        <v>0</v>
      </c>
    </row>
    <row r="79" spans="1:13" x14ac:dyDescent="0.15">
      <c r="A79">
        <v>78</v>
      </c>
      <c r="B79" s="181" t="s">
        <v>269</v>
      </c>
      <c r="C79">
        <v>0</v>
      </c>
      <c r="D79">
        <v>0</v>
      </c>
      <c r="E79">
        <v>0</v>
      </c>
      <c r="F79">
        <v>0</v>
      </c>
      <c r="G79">
        <v>0</v>
      </c>
      <c r="H79">
        <v>0</v>
      </c>
      <c r="I79">
        <v>0</v>
      </c>
      <c r="J79">
        <v>0</v>
      </c>
      <c r="K79">
        <v>0</v>
      </c>
      <c r="L79">
        <v>0</v>
      </c>
      <c r="M79">
        <v>0</v>
      </c>
    </row>
    <row r="80" spans="1:13" x14ac:dyDescent="0.15">
      <c r="A80">
        <v>79</v>
      </c>
      <c r="B80" s="181" t="s">
        <v>270</v>
      </c>
      <c r="C80">
        <v>0</v>
      </c>
      <c r="D80">
        <v>0</v>
      </c>
      <c r="E80">
        <v>0</v>
      </c>
      <c r="F80">
        <v>0</v>
      </c>
      <c r="G80">
        <v>0</v>
      </c>
      <c r="H80">
        <v>0</v>
      </c>
      <c r="I80">
        <v>0</v>
      </c>
      <c r="J80">
        <v>0</v>
      </c>
      <c r="K80">
        <v>0</v>
      </c>
      <c r="L80">
        <v>0</v>
      </c>
      <c r="M80">
        <v>0</v>
      </c>
    </row>
    <row r="81" spans="1:13" x14ac:dyDescent="0.15">
      <c r="A81">
        <v>80</v>
      </c>
      <c r="B81" s="181" t="s">
        <v>271</v>
      </c>
      <c r="C81">
        <v>0</v>
      </c>
      <c r="D81">
        <v>0</v>
      </c>
      <c r="E81">
        <v>0</v>
      </c>
      <c r="F81">
        <v>0</v>
      </c>
      <c r="G81">
        <v>0</v>
      </c>
      <c r="H81">
        <v>0</v>
      </c>
      <c r="I81">
        <v>0</v>
      </c>
      <c r="J81">
        <v>0</v>
      </c>
      <c r="K81">
        <v>0</v>
      </c>
      <c r="L81">
        <v>0</v>
      </c>
      <c r="M81">
        <v>0</v>
      </c>
    </row>
    <row r="82" spans="1:13" ht="15" customHeight="1" x14ac:dyDescent="0.15">
      <c r="A82">
        <v>81</v>
      </c>
      <c r="B82" s="181" t="s">
        <v>272</v>
      </c>
      <c r="C82">
        <v>0</v>
      </c>
      <c r="D82">
        <v>0</v>
      </c>
      <c r="E82">
        <v>0</v>
      </c>
      <c r="F82">
        <v>0</v>
      </c>
      <c r="G82">
        <v>0</v>
      </c>
      <c r="H82">
        <v>0</v>
      </c>
      <c r="I82">
        <v>0</v>
      </c>
      <c r="J82">
        <v>0</v>
      </c>
      <c r="K82">
        <v>0</v>
      </c>
      <c r="L82">
        <v>0</v>
      </c>
      <c r="M82">
        <v>0</v>
      </c>
    </row>
    <row r="83" spans="1:13" ht="15" customHeight="1" x14ac:dyDescent="0.15">
      <c r="A83">
        <v>82</v>
      </c>
      <c r="B83" s="181" t="s">
        <v>273</v>
      </c>
      <c r="C83">
        <v>0</v>
      </c>
      <c r="D83">
        <v>0</v>
      </c>
      <c r="E83">
        <v>0</v>
      </c>
      <c r="F83">
        <v>0</v>
      </c>
      <c r="G83">
        <v>0</v>
      </c>
      <c r="H83">
        <v>0</v>
      </c>
      <c r="I83">
        <v>0</v>
      </c>
      <c r="J83">
        <v>0</v>
      </c>
      <c r="K83">
        <v>0</v>
      </c>
      <c r="L83">
        <v>0</v>
      </c>
      <c r="M83">
        <v>0</v>
      </c>
    </row>
    <row r="84" spans="1:13" ht="15" customHeight="1" x14ac:dyDescent="0.15">
      <c r="A84">
        <v>83</v>
      </c>
      <c r="B84" s="181" t="s">
        <v>274</v>
      </c>
      <c r="C84">
        <v>0</v>
      </c>
      <c r="D84">
        <v>0</v>
      </c>
      <c r="E84">
        <v>0</v>
      </c>
      <c r="F84">
        <v>0</v>
      </c>
      <c r="G84">
        <v>0</v>
      </c>
      <c r="H84">
        <v>0</v>
      </c>
      <c r="I84">
        <v>0</v>
      </c>
      <c r="J84">
        <v>0</v>
      </c>
      <c r="K84">
        <v>0</v>
      </c>
      <c r="L84">
        <v>0</v>
      </c>
      <c r="M84">
        <v>0</v>
      </c>
    </row>
    <row r="85" spans="1:13" ht="15" customHeight="1" x14ac:dyDescent="0.15">
      <c r="A85">
        <v>84</v>
      </c>
      <c r="B85" s="181" t="s">
        <v>275</v>
      </c>
      <c r="C85">
        <v>0</v>
      </c>
      <c r="D85">
        <v>0</v>
      </c>
      <c r="E85">
        <v>0</v>
      </c>
      <c r="F85">
        <v>0</v>
      </c>
      <c r="G85">
        <v>0</v>
      </c>
      <c r="H85">
        <v>0</v>
      </c>
      <c r="I85">
        <v>0</v>
      </c>
      <c r="J85">
        <v>0</v>
      </c>
      <c r="K85">
        <v>0</v>
      </c>
      <c r="L85">
        <v>0</v>
      </c>
      <c r="M85">
        <v>0</v>
      </c>
    </row>
    <row r="86" spans="1:13" ht="15" customHeight="1" x14ac:dyDescent="0.15"/>
    <row r="87" spans="1:13" ht="15" customHeight="1" x14ac:dyDescent="0.15"/>
    <row r="88" spans="1:13" ht="15" customHeight="1" x14ac:dyDescent="0.15"/>
    <row r="89" spans="1:13" ht="15" customHeight="1" x14ac:dyDescent="0.15"/>
    <row r="90" spans="1:13" ht="15" customHeight="1" x14ac:dyDescent="0.15"/>
    <row r="91" spans="1:13" ht="15" customHeight="1" x14ac:dyDescent="0.15"/>
    <row r="92" spans="1:13" ht="15" customHeight="1" x14ac:dyDescent="0.15"/>
    <row r="93" spans="1:13" ht="15" customHeight="1" x14ac:dyDescent="0.15"/>
    <row r="94" spans="1:13" ht="15" customHeight="1" x14ac:dyDescent="0.15"/>
    <row r="95" spans="1:13" ht="15" customHeight="1" x14ac:dyDescent="0.15"/>
    <row r="96" spans="1:13"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M85"/>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31.33203125" bestFit="1" customWidth="1"/>
    <col min="3" max="4" width="10.83203125" bestFit="1" customWidth="1"/>
    <col min="5" max="5" width="2.33203125" bestFit="1" customWidth="1"/>
    <col min="6" max="6" width="11.83203125" customWidth="1"/>
    <col min="7" max="7" width="11.5" customWidth="1"/>
    <col min="8" max="8" width="11.83203125" customWidth="1"/>
    <col min="9" max="9" width="2.33203125" customWidth="1"/>
    <col min="10" max="10" width="8.5" customWidth="1"/>
    <col min="11" max="11" width="11.5" customWidth="1"/>
    <col min="12" max="12" width="11.83203125" customWidth="1"/>
    <col min="13" max="13" width="15.83203125" customWidth="1"/>
  </cols>
  <sheetData>
    <row r="1" spans="1:13" s="113" customFormat="1" ht="112" x14ac:dyDescent="0.15">
      <c r="A1" s="5" t="s">
        <v>22</v>
      </c>
      <c r="B1" s="3" t="s">
        <v>0</v>
      </c>
      <c r="C1" s="184" t="s">
        <v>276</v>
      </c>
      <c r="D1" s="184" t="s">
        <v>277</v>
      </c>
      <c r="E1" s="184" t="s">
        <v>278</v>
      </c>
      <c r="F1" s="184" t="s">
        <v>279</v>
      </c>
      <c r="G1" s="184" t="s">
        <v>280</v>
      </c>
      <c r="H1" s="184" t="s">
        <v>281</v>
      </c>
      <c r="I1" s="184" t="s">
        <v>282</v>
      </c>
      <c r="J1" s="184" t="s">
        <v>283</v>
      </c>
      <c r="K1" s="184" t="s">
        <v>284</v>
      </c>
      <c r="L1" s="184" t="s">
        <v>285</v>
      </c>
      <c r="M1" s="184" t="s">
        <v>289</v>
      </c>
    </row>
    <row r="2" spans="1:13" x14ac:dyDescent="0.15">
      <c r="A2">
        <v>1</v>
      </c>
      <c r="B2" s="183" t="s">
        <v>192</v>
      </c>
      <c r="C2">
        <v>0</v>
      </c>
      <c r="D2">
        <v>0</v>
      </c>
      <c r="E2">
        <v>0</v>
      </c>
      <c r="F2">
        <v>3.35565E-7</v>
      </c>
      <c r="G2">
        <v>0</v>
      </c>
      <c r="H2">
        <v>0</v>
      </c>
      <c r="I2">
        <v>0</v>
      </c>
      <c r="J2">
        <v>0</v>
      </c>
      <c r="K2">
        <v>0</v>
      </c>
      <c r="L2">
        <v>0</v>
      </c>
      <c r="M2">
        <v>3.35565E-7</v>
      </c>
    </row>
    <row r="3" spans="1:13" x14ac:dyDescent="0.15">
      <c r="A3">
        <v>2</v>
      </c>
      <c r="B3" s="183" t="s">
        <v>193</v>
      </c>
      <c r="C3">
        <v>0</v>
      </c>
      <c r="D3">
        <v>0</v>
      </c>
      <c r="E3">
        <v>0</v>
      </c>
      <c r="F3">
        <v>0</v>
      </c>
      <c r="G3">
        <v>0</v>
      </c>
      <c r="H3">
        <v>0</v>
      </c>
      <c r="I3">
        <v>0</v>
      </c>
      <c r="J3">
        <v>0</v>
      </c>
      <c r="K3">
        <v>0</v>
      </c>
      <c r="L3">
        <v>0</v>
      </c>
      <c r="M3">
        <v>0</v>
      </c>
    </row>
    <row r="4" spans="1:13" x14ac:dyDescent="0.15">
      <c r="A4">
        <v>3</v>
      </c>
      <c r="B4" s="183" t="s">
        <v>194</v>
      </c>
      <c r="C4">
        <v>0</v>
      </c>
      <c r="D4">
        <v>0</v>
      </c>
      <c r="E4">
        <v>0</v>
      </c>
      <c r="F4">
        <v>0</v>
      </c>
      <c r="G4">
        <v>0</v>
      </c>
      <c r="H4">
        <v>0</v>
      </c>
      <c r="I4">
        <v>0</v>
      </c>
      <c r="J4">
        <v>0</v>
      </c>
      <c r="K4">
        <v>0</v>
      </c>
      <c r="L4">
        <v>0</v>
      </c>
      <c r="M4">
        <v>0</v>
      </c>
    </row>
    <row r="5" spans="1:13" x14ac:dyDescent="0.15">
      <c r="A5">
        <v>4</v>
      </c>
      <c r="B5" s="183" t="s">
        <v>195</v>
      </c>
      <c r="C5">
        <v>0</v>
      </c>
      <c r="D5">
        <v>0</v>
      </c>
      <c r="E5">
        <v>0</v>
      </c>
      <c r="F5">
        <v>0</v>
      </c>
      <c r="G5">
        <v>0</v>
      </c>
      <c r="H5">
        <v>0</v>
      </c>
      <c r="I5">
        <v>0</v>
      </c>
      <c r="J5">
        <v>0</v>
      </c>
      <c r="K5">
        <v>0</v>
      </c>
      <c r="L5">
        <v>0</v>
      </c>
      <c r="M5">
        <v>0</v>
      </c>
    </row>
    <row r="6" spans="1:13" x14ac:dyDescent="0.15">
      <c r="A6">
        <v>5</v>
      </c>
      <c r="B6" s="183" t="s">
        <v>196</v>
      </c>
      <c r="C6">
        <v>2.5972000000000001E-5</v>
      </c>
      <c r="D6">
        <v>3.3022000000000003E-5</v>
      </c>
      <c r="E6">
        <v>0</v>
      </c>
      <c r="F6">
        <v>0</v>
      </c>
      <c r="G6">
        <v>0</v>
      </c>
      <c r="H6">
        <v>0</v>
      </c>
      <c r="I6">
        <v>0</v>
      </c>
      <c r="J6">
        <v>0</v>
      </c>
      <c r="K6">
        <v>0</v>
      </c>
      <c r="L6">
        <v>6.0000000000000002E-6</v>
      </c>
      <c r="M6">
        <v>6.4994000000000008E-5</v>
      </c>
    </row>
    <row r="7" spans="1:13" x14ac:dyDescent="0.15">
      <c r="A7">
        <v>6</v>
      </c>
      <c r="B7" s="183" t="s">
        <v>197</v>
      </c>
      <c r="C7">
        <v>0</v>
      </c>
      <c r="D7">
        <v>0</v>
      </c>
      <c r="E7">
        <v>0</v>
      </c>
      <c r="F7">
        <v>0</v>
      </c>
      <c r="G7">
        <v>0</v>
      </c>
      <c r="H7">
        <v>0</v>
      </c>
      <c r="I7">
        <v>0</v>
      </c>
      <c r="J7">
        <v>0</v>
      </c>
      <c r="K7">
        <v>0</v>
      </c>
      <c r="L7">
        <v>0</v>
      </c>
      <c r="M7">
        <v>0</v>
      </c>
    </row>
    <row r="8" spans="1:13" x14ac:dyDescent="0.15">
      <c r="A8">
        <v>7</v>
      </c>
      <c r="B8" s="183" t="s">
        <v>198</v>
      </c>
      <c r="C8">
        <v>0</v>
      </c>
      <c r="D8">
        <v>0</v>
      </c>
      <c r="E8">
        <v>0</v>
      </c>
      <c r="F8">
        <v>0</v>
      </c>
      <c r="G8">
        <v>0</v>
      </c>
      <c r="H8">
        <v>0</v>
      </c>
      <c r="I8">
        <v>0</v>
      </c>
      <c r="J8">
        <v>0</v>
      </c>
      <c r="K8">
        <v>0</v>
      </c>
      <c r="L8">
        <v>0</v>
      </c>
      <c r="M8">
        <v>0</v>
      </c>
    </row>
    <row r="9" spans="1:13" x14ac:dyDescent="0.15">
      <c r="A9">
        <v>8</v>
      </c>
      <c r="B9" s="183" t="s">
        <v>199</v>
      </c>
      <c r="C9">
        <v>0</v>
      </c>
      <c r="D9">
        <v>0</v>
      </c>
      <c r="E9">
        <v>0</v>
      </c>
      <c r="F9">
        <v>0</v>
      </c>
      <c r="G9">
        <v>0</v>
      </c>
      <c r="H9">
        <v>0</v>
      </c>
      <c r="I9">
        <v>0</v>
      </c>
      <c r="J9">
        <v>0</v>
      </c>
      <c r="K9">
        <v>0</v>
      </c>
      <c r="L9">
        <v>0</v>
      </c>
      <c r="M9">
        <v>0</v>
      </c>
    </row>
    <row r="10" spans="1:13" x14ac:dyDescent="0.15">
      <c r="A10">
        <v>9</v>
      </c>
      <c r="B10" s="183" t="s">
        <v>200</v>
      </c>
      <c r="C10">
        <v>0</v>
      </c>
      <c r="D10">
        <v>0</v>
      </c>
      <c r="E10">
        <v>0</v>
      </c>
      <c r="F10">
        <v>0</v>
      </c>
      <c r="G10">
        <v>0</v>
      </c>
      <c r="H10">
        <v>0</v>
      </c>
      <c r="I10">
        <v>0</v>
      </c>
      <c r="J10">
        <v>0</v>
      </c>
      <c r="K10">
        <v>0</v>
      </c>
      <c r="L10">
        <v>0</v>
      </c>
      <c r="M10">
        <v>0</v>
      </c>
    </row>
    <row r="11" spans="1:13" x14ac:dyDescent="0.15">
      <c r="A11">
        <v>10</v>
      </c>
      <c r="B11" s="183" t="s">
        <v>201</v>
      </c>
      <c r="C11">
        <v>1.5483999999999999E-5</v>
      </c>
      <c r="D11">
        <v>7.7514999999999995E-4</v>
      </c>
      <c r="E11">
        <v>0</v>
      </c>
      <c r="F11">
        <v>0</v>
      </c>
      <c r="G11">
        <v>0</v>
      </c>
      <c r="H11">
        <v>4.6500000000000004E-6</v>
      </c>
      <c r="I11">
        <v>0</v>
      </c>
      <c r="J11">
        <v>0</v>
      </c>
      <c r="K11">
        <v>0</v>
      </c>
      <c r="L11">
        <v>3.5769200000000001E-6</v>
      </c>
      <c r="M11">
        <v>7.9886091999999999E-4</v>
      </c>
    </row>
    <row r="12" spans="1:13" x14ac:dyDescent="0.15">
      <c r="A12">
        <v>11</v>
      </c>
      <c r="B12" s="183" t="s">
        <v>202</v>
      </c>
      <c r="C12">
        <v>0</v>
      </c>
      <c r="D12">
        <v>0</v>
      </c>
      <c r="E12">
        <v>0</v>
      </c>
      <c r="F12">
        <v>0</v>
      </c>
      <c r="G12">
        <v>0</v>
      </c>
      <c r="H12">
        <v>0</v>
      </c>
      <c r="I12">
        <v>0</v>
      </c>
      <c r="J12">
        <v>0</v>
      </c>
      <c r="K12">
        <v>0</v>
      </c>
      <c r="L12">
        <v>0</v>
      </c>
      <c r="M12">
        <v>0</v>
      </c>
    </row>
    <row r="13" spans="1:13" x14ac:dyDescent="0.15">
      <c r="A13">
        <v>12</v>
      </c>
      <c r="B13" s="183" t="s">
        <v>203</v>
      </c>
      <c r="C13">
        <v>0</v>
      </c>
      <c r="D13">
        <v>0</v>
      </c>
      <c r="E13">
        <v>0</v>
      </c>
      <c r="F13">
        <v>0</v>
      </c>
      <c r="G13">
        <v>0</v>
      </c>
      <c r="H13">
        <v>1.1193599999999999E-4</v>
      </c>
      <c r="I13">
        <v>0</v>
      </c>
      <c r="J13">
        <v>0</v>
      </c>
      <c r="K13">
        <v>0</v>
      </c>
      <c r="L13">
        <v>0</v>
      </c>
      <c r="M13">
        <v>1.1193599999999999E-4</v>
      </c>
    </row>
    <row r="14" spans="1:13" x14ac:dyDescent="0.15">
      <c r="A14">
        <v>13</v>
      </c>
      <c r="B14" s="183" t="s">
        <v>204</v>
      </c>
      <c r="C14">
        <v>3.5712999999999999E-4</v>
      </c>
      <c r="D14">
        <v>2.0642E-5</v>
      </c>
      <c r="E14">
        <v>0</v>
      </c>
      <c r="F14">
        <v>0</v>
      </c>
      <c r="G14">
        <v>0</v>
      </c>
      <c r="H14">
        <v>0</v>
      </c>
      <c r="I14">
        <v>0</v>
      </c>
      <c r="J14">
        <v>0</v>
      </c>
      <c r="K14">
        <v>0</v>
      </c>
      <c r="L14">
        <v>8.2384600000000004E-5</v>
      </c>
      <c r="M14">
        <v>4.6015660000000002E-4</v>
      </c>
    </row>
    <row r="15" spans="1:13" x14ac:dyDescent="0.15">
      <c r="A15">
        <v>14</v>
      </c>
      <c r="B15" s="183" t="s">
        <v>205</v>
      </c>
      <c r="C15">
        <v>1.3316000000000001E-4</v>
      </c>
      <c r="D15">
        <v>4.4202999999999999E-4</v>
      </c>
      <c r="E15">
        <v>0</v>
      </c>
      <c r="F15">
        <v>0</v>
      </c>
      <c r="G15">
        <v>0</v>
      </c>
      <c r="H15">
        <v>0</v>
      </c>
      <c r="I15">
        <v>0</v>
      </c>
      <c r="J15">
        <v>0</v>
      </c>
      <c r="K15">
        <v>0</v>
      </c>
      <c r="L15">
        <v>3.0692299999999998E-5</v>
      </c>
      <c r="M15">
        <v>6.0588229999999996E-4</v>
      </c>
    </row>
    <row r="16" spans="1:13" x14ac:dyDescent="0.15">
      <c r="A16">
        <v>15</v>
      </c>
      <c r="B16" s="183" t="s">
        <v>206</v>
      </c>
      <c r="C16">
        <v>8.0301000000000002E-5</v>
      </c>
      <c r="D16">
        <v>1.2488000000000001E-4</v>
      </c>
      <c r="E16">
        <v>0</v>
      </c>
      <c r="F16">
        <v>0</v>
      </c>
      <c r="G16">
        <v>0</v>
      </c>
      <c r="H16">
        <v>0</v>
      </c>
      <c r="I16">
        <v>0</v>
      </c>
      <c r="J16">
        <v>0</v>
      </c>
      <c r="K16">
        <v>0</v>
      </c>
      <c r="L16">
        <v>1.8530799999999999E-5</v>
      </c>
      <c r="M16">
        <v>2.2371180000000003E-4</v>
      </c>
    </row>
    <row r="17" spans="1:13" x14ac:dyDescent="0.15">
      <c r="A17">
        <v>16</v>
      </c>
      <c r="B17" s="183" t="s">
        <v>207</v>
      </c>
      <c r="C17">
        <v>4.5374E-4</v>
      </c>
      <c r="D17">
        <v>1.0966000000000001E-3</v>
      </c>
      <c r="E17">
        <v>0</v>
      </c>
      <c r="F17">
        <v>5.3471900000000001E-4</v>
      </c>
      <c r="G17">
        <v>0</v>
      </c>
      <c r="H17">
        <v>0</v>
      </c>
      <c r="I17">
        <v>0</v>
      </c>
      <c r="J17">
        <v>0</v>
      </c>
      <c r="K17">
        <v>5.3471899999999999E-5</v>
      </c>
      <c r="L17">
        <v>1.04769E-4</v>
      </c>
      <c r="M17">
        <v>2.2432999000000006E-3</v>
      </c>
    </row>
    <row r="18" spans="1:13" x14ac:dyDescent="0.15">
      <c r="A18">
        <v>17</v>
      </c>
      <c r="B18" s="183" t="s">
        <v>208</v>
      </c>
      <c r="C18">
        <v>0</v>
      </c>
      <c r="D18">
        <v>0</v>
      </c>
      <c r="E18">
        <v>0</v>
      </c>
      <c r="F18">
        <v>5.7585199999999999E-5</v>
      </c>
      <c r="G18">
        <v>0</v>
      </c>
      <c r="H18">
        <v>2.8200000000000001E-7</v>
      </c>
      <c r="I18">
        <v>0</v>
      </c>
      <c r="J18">
        <v>0</v>
      </c>
      <c r="K18">
        <v>5.7585199999999997E-6</v>
      </c>
      <c r="L18">
        <v>0</v>
      </c>
      <c r="M18">
        <v>6.3625719999999998E-5</v>
      </c>
    </row>
    <row r="19" spans="1:13" x14ac:dyDescent="0.15">
      <c r="A19">
        <v>18</v>
      </c>
      <c r="B19" s="183" t="s">
        <v>209</v>
      </c>
      <c r="C19">
        <v>5.4975999999999997E-5</v>
      </c>
      <c r="D19">
        <v>7.3453000000000003E-5</v>
      </c>
      <c r="E19">
        <v>0</v>
      </c>
      <c r="F19">
        <v>1.266599E-3</v>
      </c>
      <c r="G19">
        <v>0</v>
      </c>
      <c r="H19">
        <v>4.1081000000000002E-5</v>
      </c>
      <c r="I19">
        <v>0</v>
      </c>
      <c r="J19">
        <v>1.68E-6</v>
      </c>
      <c r="K19">
        <v>1.2666000000000001E-4</v>
      </c>
      <c r="L19">
        <v>1.26923E-5</v>
      </c>
      <c r="M19">
        <v>1.5771413000000001E-3</v>
      </c>
    </row>
    <row r="20" spans="1:13" x14ac:dyDescent="0.15">
      <c r="A20">
        <v>19</v>
      </c>
      <c r="B20" s="183" t="s">
        <v>210</v>
      </c>
      <c r="C20">
        <v>1.8851999999999999E-4</v>
      </c>
      <c r="D20">
        <v>2.4315000000000001E-3</v>
      </c>
      <c r="E20">
        <v>0</v>
      </c>
      <c r="F20">
        <v>4.3380799999999999E-4</v>
      </c>
      <c r="G20">
        <v>0</v>
      </c>
      <c r="H20">
        <v>1.7176999999999999E-4</v>
      </c>
      <c r="I20">
        <v>0</v>
      </c>
      <c r="J20">
        <v>5.04E-6</v>
      </c>
      <c r="K20">
        <v>4.3380800000000003E-5</v>
      </c>
      <c r="L20">
        <v>4.3615400000000003E-5</v>
      </c>
      <c r="M20">
        <v>3.3176341999999999E-3</v>
      </c>
    </row>
    <row r="21" spans="1:13" x14ac:dyDescent="0.15">
      <c r="A21">
        <v>20</v>
      </c>
      <c r="B21" s="183" t="s">
        <v>211</v>
      </c>
      <c r="C21">
        <v>7.9079999999999995E-6</v>
      </c>
      <c r="D21">
        <v>1.0878999999999999E-4</v>
      </c>
      <c r="E21">
        <v>0</v>
      </c>
      <c r="F21">
        <v>3.0986299999999998E-5</v>
      </c>
      <c r="G21">
        <v>0</v>
      </c>
      <c r="H21">
        <v>1.4499999999999999E-7</v>
      </c>
      <c r="I21">
        <v>0</v>
      </c>
      <c r="J21">
        <v>5.6300000000000003E-6</v>
      </c>
      <c r="K21">
        <v>3.0986299999999998E-6</v>
      </c>
      <c r="L21">
        <v>1.82538E-6</v>
      </c>
      <c r="M21">
        <v>1.5838330999999999E-4</v>
      </c>
    </row>
    <row r="22" spans="1:13" x14ac:dyDescent="0.15">
      <c r="A22">
        <v>21</v>
      </c>
      <c r="B22" s="183" t="s">
        <v>212</v>
      </c>
      <c r="C22">
        <v>1.9128999999999999E-5</v>
      </c>
      <c r="D22">
        <v>1.7694E-3</v>
      </c>
      <c r="E22">
        <v>0</v>
      </c>
      <c r="F22">
        <v>5.4842999999999999E-7</v>
      </c>
      <c r="G22">
        <v>0</v>
      </c>
      <c r="H22">
        <v>6.5307000000000003E-5</v>
      </c>
      <c r="I22">
        <v>0</v>
      </c>
      <c r="J22">
        <v>2.4399999999999999E-6</v>
      </c>
      <c r="K22">
        <v>5.4842999999999997E-8</v>
      </c>
      <c r="L22">
        <v>4.4076900000000003E-6</v>
      </c>
      <c r="M22">
        <v>1.861286963E-3</v>
      </c>
    </row>
    <row r="23" spans="1:13" x14ac:dyDescent="0.15">
      <c r="A23">
        <v>22</v>
      </c>
      <c r="B23" s="183" t="s">
        <v>213</v>
      </c>
      <c r="C23">
        <v>6.5976000000000007E-5</v>
      </c>
      <c r="D23">
        <v>1.9588000000000001E-3</v>
      </c>
      <c r="E23">
        <v>0</v>
      </c>
      <c r="F23">
        <v>0</v>
      </c>
      <c r="G23">
        <v>0</v>
      </c>
      <c r="H23">
        <v>1.3045E-5</v>
      </c>
      <c r="I23">
        <v>0</v>
      </c>
      <c r="J23">
        <v>3.5999999999999999E-7</v>
      </c>
      <c r="K23">
        <v>0</v>
      </c>
      <c r="L23">
        <v>1.52308E-5</v>
      </c>
      <c r="M23">
        <v>2.0534118000000005E-3</v>
      </c>
    </row>
    <row r="24" spans="1:13" x14ac:dyDescent="0.15">
      <c r="A24">
        <v>23</v>
      </c>
      <c r="B24" s="183" t="s">
        <v>214</v>
      </c>
      <c r="C24">
        <v>8.2315000000000007E-6</v>
      </c>
      <c r="D24">
        <v>1.6343999999999999E-4</v>
      </c>
      <c r="E24">
        <v>0</v>
      </c>
      <c r="F24">
        <v>1.89208E-5</v>
      </c>
      <c r="G24">
        <v>0</v>
      </c>
      <c r="H24">
        <v>8.4337000000000002E-5</v>
      </c>
      <c r="I24">
        <v>0</v>
      </c>
      <c r="J24">
        <v>1.0300000000000001E-6</v>
      </c>
      <c r="K24">
        <v>1.8920799999999999E-6</v>
      </c>
      <c r="L24">
        <v>1.8992299999999999E-6</v>
      </c>
      <c r="M24">
        <v>2.7975060999999994E-4</v>
      </c>
    </row>
    <row r="25" spans="1:13" x14ac:dyDescent="0.15">
      <c r="A25">
        <v>24</v>
      </c>
      <c r="B25" s="183" t="s">
        <v>215</v>
      </c>
      <c r="C25">
        <v>3.6685000000000001E-6</v>
      </c>
      <c r="D25">
        <v>4.9173000000000001E-4</v>
      </c>
      <c r="E25">
        <v>0</v>
      </c>
      <c r="F25">
        <v>0</v>
      </c>
      <c r="G25">
        <v>0</v>
      </c>
      <c r="H25">
        <v>3.6860999999999998E-5</v>
      </c>
      <c r="I25">
        <v>0</v>
      </c>
      <c r="J25">
        <v>7.9999999999999996E-7</v>
      </c>
      <c r="K25">
        <v>0</v>
      </c>
      <c r="L25">
        <v>8.4692299999999999E-7</v>
      </c>
      <c r="M25">
        <v>5.3390642300000005E-4</v>
      </c>
    </row>
    <row r="26" spans="1:13" x14ac:dyDescent="0.15">
      <c r="A26">
        <v>25</v>
      </c>
      <c r="B26" s="183" t="s">
        <v>216</v>
      </c>
      <c r="C26">
        <v>1.8133000000000001E-5</v>
      </c>
      <c r="D26">
        <v>4.5494000000000003E-3</v>
      </c>
      <c r="E26">
        <v>0</v>
      </c>
      <c r="F26">
        <v>0</v>
      </c>
      <c r="G26">
        <v>0</v>
      </c>
      <c r="H26">
        <v>7.1849999999999998E-6</v>
      </c>
      <c r="I26">
        <v>0</v>
      </c>
      <c r="J26">
        <v>1.3599999999999999E-6</v>
      </c>
      <c r="K26">
        <v>0</v>
      </c>
      <c r="L26">
        <v>4.1769200000000003E-6</v>
      </c>
      <c r="M26">
        <v>4.5802549199999995E-3</v>
      </c>
    </row>
    <row r="27" spans="1:13" x14ac:dyDescent="0.15">
      <c r="A27">
        <v>26</v>
      </c>
      <c r="B27" s="183" t="s">
        <v>217</v>
      </c>
      <c r="C27">
        <v>1.9718000000000001E-3</v>
      </c>
      <c r="D27">
        <v>1.8023999999999998E-2</v>
      </c>
      <c r="E27">
        <v>0</v>
      </c>
      <c r="F27">
        <v>0</v>
      </c>
      <c r="G27">
        <v>0</v>
      </c>
      <c r="H27">
        <v>2.279E-5</v>
      </c>
      <c r="I27">
        <v>0</v>
      </c>
      <c r="J27">
        <v>1.2100000000000001E-6</v>
      </c>
      <c r="K27">
        <v>0</v>
      </c>
      <c r="L27">
        <v>4.5461500000000001E-4</v>
      </c>
      <c r="M27">
        <v>2.0474414999999999E-2</v>
      </c>
    </row>
    <row r="28" spans="1:13" x14ac:dyDescent="0.15">
      <c r="A28">
        <v>27</v>
      </c>
      <c r="B28" s="183" t="s">
        <v>218</v>
      </c>
      <c r="C28">
        <v>3.7733999999999999E-4</v>
      </c>
      <c r="D28">
        <v>2.8285999999999999E-2</v>
      </c>
      <c r="E28">
        <v>0</v>
      </c>
      <c r="F28">
        <v>3.4825300000000001E-6</v>
      </c>
      <c r="G28">
        <v>0</v>
      </c>
      <c r="H28">
        <v>3.8739999999999997E-6</v>
      </c>
      <c r="I28">
        <v>0</v>
      </c>
      <c r="J28">
        <v>0</v>
      </c>
      <c r="K28">
        <v>3.4825299999999999E-7</v>
      </c>
      <c r="L28">
        <v>8.7000000000000001E-5</v>
      </c>
      <c r="M28">
        <v>2.8758044783000002E-2</v>
      </c>
    </row>
    <row r="29" spans="1:13" x14ac:dyDescent="0.15">
      <c r="A29">
        <v>28</v>
      </c>
      <c r="B29" s="183" t="s">
        <v>219</v>
      </c>
      <c r="C29">
        <v>2.6200999999999999E-5</v>
      </c>
      <c r="D29">
        <v>1.9654999999999998E-3</v>
      </c>
      <c r="E29">
        <v>0</v>
      </c>
      <c r="F29">
        <v>0</v>
      </c>
      <c r="G29">
        <v>0</v>
      </c>
      <c r="H29">
        <v>0</v>
      </c>
      <c r="I29">
        <v>0</v>
      </c>
      <c r="J29">
        <v>0</v>
      </c>
      <c r="K29">
        <v>0</v>
      </c>
      <c r="L29">
        <v>6.0461499999999997E-6</v>
      </c>
      <c r="M29">
        <v>1.9977471499999996E-3</v>
      </c>
    </row>
    <row r="30" spans="1:13" x14ac:dyDescent="0.15">
      <c r="A30">
        <v>29</v>
      </c>
      <c r="B30" s="183" t="s">
        <v>220</v>
      </c>
      <c r="C30">
        <v>4.1650000000000003E-5</v>
      </c>
      <c r="D30">
        <v>1.1748E-2</v>
      </c>
      <c r="E30">
        <v>0</v>
      </c>
      <c r="F30">
        <v>2.74215E-7</v>
      </c>
      <c r="G30">
        <v>0</v>
      </c>
      <c r="H30">
        <v>5.5000000000000003E-8</v>
      </c>
      <c r="I30">
        <v>0</v>
      </c>
      <c r="J30">
        <v>0</v>
      </c>
      <c r="K30">
        <v>2.7421499999999998E-8</v>
      </c>
      <c r="L30">
        <v>9.6230799999999997E-6</v>
      </c>
      <c r="M30">
        <v>1.1799629716500001E-2</v>
      </c>
    </row>
    <row r="31" spans="1:13" x14ac:dyDescent="0.15">
      <c r="A31">
        <v>30</v>
      </c>
      <c r="B31" s="183" t="s">
        <v>221</v>
      </c>
      <c r="C31">
        <v>6.8854000000000002E-5</v>
      </c>
      <c r="D31">
        <v>2.4223000000000001E-3</v>
      </c>
      <c r="E31">
        <v>0</v>
      </c>
      <c r="F31">
        <v>4.8919999999999999E-5</v>
      </c>
      <c r="G31">
        <v>0</v>
      </c>
      <c r="H31">
        <v>6.8299999999999996E-7</v>
      </c>
      <c r="I31">
        <v>0</v>
      </c>
      <c r="J31">
        <v>0</v>
      </c>
      <c r="K31">
        <v>4.8919999999999999E-6</v>
      </c>
      <c r="L31">
        <v>1.59E-5</v>
      </c>
      <c r="M31">
        <v>2.5615490000000002E-3</v>
      </c>
    </row>
    <row r="32" spans="1:13" x14ac:dyDescent="0.15">
      <c r="A32">
        <v>31</v>
      </c>
      <c r="B32" s="183" t="s">
        <v>222</v>
      </c>
      <c r="C32">
        <v>3.4188000000000003E-4</v>
      </c>
      <c r="D32">
        <v>1.6245999999999999E-3</v>
      </c>
      <c r="E32">
        <v>0</v>
      </c>
      <c r="F32">
        <v>0</v>
      </c>
      <c r="G32">
        <v>0</v>
      </c>
      <c r="H32">
        <v>2.5100000000000001E-7</v>
      </c>
      <c r="I32">
        <v>0</v>
      </c>
      <c r="J32">
        <v>0</v>
      </c>
      <c r="K32">
        <v>0</v>
      </c>
      <c r="L32">
        <v>7.8923099999999997E-5</v>
      </c>
      <c r="M32">
        <v>2.0456541000000001E-3</v>
      </c>
    </row>
    <row r="33" spans="1:13" x14ac:dyDescent="0.15">
      <c r="A33">
        <v>32</v>
      </c>
      <c r="B33" s="183" t="s">
        <v>223</v>
      </c>
      <c r="C33">
        <v>1.7391999999999999E-5</v>
      </c>
      <c r="D33">
        <v>4.393E-4</v>
      </c>
      <c r="E33">
        <v>0</v>
      </c>
      <c r="F33">
        <v>0</v>
      </c>
      <c r="G33">
        <v>0</v>
      </c>
      <c r="H33">
        <v>5.6899999999999997E-7</v>
      </c>
      <c r="I33">
        <v>0</v>
      </c>
      <c r="J33">
        <v>0</v>
      </c>
      <c r="K33">
        <v>0</v>
      </c>
      <c r="L33">
        <v>4.01538E-6</v>
      </c>
      <c r="M33">
        <v>4.6127637999999999E-4</v>
      </c>
    </row>
    <row r="34" spans="1:13" x14ac:dyDescent="0.15">
      <c r="A34">
        <v>33</v>
      </c>
      <c r="B34" s="183" t="s">
        <v>224</v>
      </c>
      <c r="C34">
        <v>4.1841999999999997E-5</v>
      </c>
      <c r="D34">
        <v>3.8060999999999998E-4</v>
      </c>
      <c r="E34">
        <v>0</v>
      </c>
      <c r="F34">
        <v>1.3710800000000001E-7</v>
      </c>
      <c r="G34">
        <v>0</v>
      </c>
      <c r="H34">
        <v>3.2000000000000002E-8</v>
      </c>
      <c r="I34">
        <v>0</v>
      </c>
      <c r="J34">
        <v>0</v>
      </c>
      <c r="K34">
        <v>1.37108E-8</v>
      </c>
      <c r="L34">
        <v>9.6461500000000008E-6</v>
      </c>
      <c r="M34">
        <v>4.3228096879999997E-4</v>
      </c>
    </row>
    <row r="35" spans="1:13" x14ac:dyDescent="0.15">
      <c r="A35">
        <v>34</v>
      </c>
      <c r="B35" s="183" t="s">
        <v>225</v>
      </c>
      <c r="C35">
        <v>1.7512000000000001E-6</v>
      </c>
      <c r="D35">
        <v>1.2078E-3</v>
      </c>
      <c r="E35">
        <v>0</v>
      </c>
      <c r="F35">
        <v>0</v>
      </c>
      <c r="G35">
        <v>0</v>
      </c>
      <c r="H35">
        <v>4.9200000000000003E-6</v>
      </c>
      <c r="I35">
        <v>0</v>
      </c>
      <c r="J35">
        <v>0</v>
      </c>
      <c r="K35">
        <v>0</v>
      </c>
      <c r="L35">
        <v>4.03846E-7</v>
      </c>
      <c r="M35">
        <v>1.2148750460000001E-3</v>
      </c>
    </row>
    <row r="36" spans="1:13" x14ac:dyDescent="0.15">
      <c r="A36">
        <v>35</v>
      </c>
      <c r="B36" s="183" t="s">
        <v>226</v>
      </c>
      <c r="C36">
        <v>1.6589999999999999E-4</v>
      </c>
      <c r="D36">
        <v>8.6315999999999997E-4</v>
      </c>
      <c r="E36">
        <v>0</v>
      </c>
      <c r="F36">
        <v>0</v>
      </c>
      <c r="G36">
        <v>0</v>
      </c>
      <c r="H36">
        <v>0</v>
      </c>
      <c r="I36">
        <v>0</v>
      </c>
      <c r="J36">
        <v>0</v>
      </c>
      <c r="K36">
        <v>0</v>
      </c>
      <c r="L36">
        <v>3.8307699999999999E-5</v>
      </c>
      <c r="M36">
        <v>1.0673677000000001E-3</v>
      </c>
    </row>
    <row r="37" spans="1:13" x14ac:dyDescent="0.15">
      <c r="A37">
        <v>36</v>
      </c>
      <c r="B37" s="183" t="s">
        <v>227</v>
      </c>
      <c r="C37">
        <v>0</v>
      </c>
      <c r="D37">
        <v>1.2065000000000001E-3</v>
      </c>
      <c r="E37">
        <v>0</v>
      </c>
      <c r="F37">
        <v>0</v>
      </c>
      <c r="G37">
        <v>0</v>
      </c>
      <c r="H37">
        <v>0</v>
      </c>
      <c r="I37">
        <v>0</v>
      </c>
      <c r="J37">
        <v>0</v>
      </c>
      <c r="K37">
        <v>0</v>
      </c>
      <c r="L37">
        <v>0</v>
      </c>
      <c r="M37">
        <v>1.2065000000000001E-3</v>
      </c>
    </row>
    <row r="38" spans="1:13" x14ac:dyDescent="0.15">
      <c r="A38">
        <v>37</v>
      </c>
      <c r="B38" s="183" t="s">
        <v>228</v>
      </c>
      <c r="C38">
        <v>2.1580999999999999E-5</v>
      </c>
      <c r="D38">
        <v>1.8956999999999999E-4</v>
      </c>
      <c r="E38">
        <v>0</v>
      </c>
      <c r="F38">
        <v>0</v>
      </c>
      <c r="G38">
        <v>0</v>
      </c>
      <c r="H38">
        <v>0</v>
      </c>
      <c r="I38">
        <v>0</v>
      </c>
      <c r="J38">
        <v>0</v>
      </c>
      <c r="K38">
        <v>0</v>
      </c>
      <c r="L38">
        <v>4.9846200000000002E-6</v>
      </c>
      <c r="M38">
        <v>2.1613561999999999E-4</v>
      </c>
    </row>
    <row r="39" spans="1:13" x14ac:dyDescent="0.15">
      <c r="A39">
        <v>38</v>
      </c>
      <c r="B39" s="183" t="s">
        <v>229</v>
      </c>
      <c r="C39">
        <v>0</v>
      </c>
      <c r="D39">
        <v>0</v>
      </c>
      <c r="E39">
        <v>0</v>
      </c>
      <c r="F39">
        <v>0</v>
      </c>
      <c r="G39">
        <v>0</v>
      </c>
      <c r="H39">
        <v>0</v>
      </c>
      <c r="I39">
        <v>0</v>
      </c>
      <c r="J39">
        <v>0</v>
      </c>
      <c r="K39">
        <v>0</v>
      </c>
      <c r="L39">
        <v>0</v>
      </c>
      <c r="M39">
        <v>0</v>
      </c>
    </row>
    <row r="40" spans="1:13" x14ac:dyDescent="0.15">
      <c r="A40">
        <v>39</v>
      </c>
      <c r="B40" s="183" t="s">
        <v>230</v>
      </c>
      <c r="C40">
        <v>1.93E-4</v>
      </c>
      <c r="D40">
        <v>7.2404999999999995E-5</v>
      </c>
      <c r="E40">
        <v>0</v>
      </c>
      <c r="F40">
        <v>0</v>
      </c>
      <c r="G40">
        <v>0</v>
      </c>
      <c r="H40">
        <v>0</v>
      </c>
      <c r="I40">
        <v>0</v>
      </c>
      <c r="J40">
        <v>0</v>
      </c>
      <c r="K40">
        <v>0</v>
      </c>
      <c r="L40">
        <v>4.4538500000000001E-5</v>
      </c>
      <c r="M40">
        <v>3.0994350000000003E-4</v>
      </c>
    </row>
    <row r="41" spans="1:13" x14ac:dyDescent="0.15">
      <c r="A41">
        <v>40</v>
      </c>
      <c r="B41" s="183" t="s">
        <v>231</v>
      </c>
      <c r="C41">
        <v>6.8306999999999997E-6</v>
      </c>
      <c r="D41">
        <v>5.1851000000000002E-4</v>
      </c>
      <c r="E41">
        <v>0</v>
      </c>
      <c r="F41">
        <v>0</v>
      </c>
      <c r="G41">
        <v>0</v>
      </c>
      <c r="H41">
        <v>0</v>
      </c>
      <c r="I41">
        <v>0</v>
      </c>
      <c r="J41">
        <v>0</v>
      </c>
      <c r="K41">
        <v>0</v>
      </c>
      <c r="L41">
        <v>1.5761499999999999E-6</v>
      </c>
      <c r="M41">
        <v>5.2691685000000007E-4</v>
      </c>
    </row>
    <row r="42" spans="1:13" x14ac:dyDescent="0.15">
      <c r="A42">
        <v>41</v>
      </c>
      <c r="B42" s="183" t="s">
        <v>232</v>
      </c>
      <c r="C42">
        <v>1.3726E-6</v>
      </c>
      <c r="D42">
        <v>1.1456E-4</v>
      </c>
      <c r="E42">
        <v>0</v>
      </c>
      <c r="F42">
        <v>0</v>
      </c>
      <c r="G42">
        <v>0</v>
      </c>
      <c r="H42">
        <v>0</v>
      </c>
      <c r="I42">
        <v>0</v>
      </c>
      <c r="J42">
        <v>0</v>
      </c>
      <c r="K42">
        <v>0</v>
      </c>
      <c r="L42">
        <v>3.1615399999999999E-7</v>
      </c>
      <c r="M42">
        <v>1.16248754E-4</v>
      </c>
    </row>
    <row r="43" spans="1:13" x14ac:dyDescent="0.15">
      <c r="A43">
        <v>42</v>
      </c>
      <c r="B43" s="183" t="s">
        <v>233</v>
      </c>
      <c r="C43">
        <v>0</v>
      </c>
      <c r="D43">
        <v>0</v>
      </c>
      <c r="E43">
        <v>0</v>
      </c>
      <c r="F43">
        <v>0</v>
      </c>
      <c r="G43">
        <v>0</v>
      </c>
      <c r="H43">
        <v>0</v>
      </c>
      <c r="I43">
        <v>0</v>
      </c>
      <c r="J43">
        <v>0</v>
      </c>
      <c r="K43">
        <v>0</v>
      </c>
      <c r="L43">
        <v>0</v>
      </c>
      <c r="M43">
        <v>0</v>
      </c>
    </row>
    <row r="44" spans="1:13" x14ac:dyDescent="0.15">
      <c r="A44">
        <v>43</v>
      </c>
      <c r="B44" s="183" t="s">
        <v>234</v>
      </c>
      <c r="C44">
        <v>0</v>
      </c>
      <c r="D44">
        <v>0</v>
      </c>
      <c r="E44">
        <v>0</v>
      </c>
      <c r="F44">
        <v>0</v>
      </c>
      <c r="G44">
        <v>0</v>
      </c>
      <c r="H44">
        <v>0</v>
      </c>
      <c r="I44">
        <v>0</v>
      </c>
      <c r="J44">
        <v>0</v>
      </c>
      <c r="K44">
        <v>0</v>
      </c>
      <c r="L44">
        <v>0</v>
      </c>
      <c r="M44">
        <v>0</v>
      </c>
    </row>
    <row r="45" spans="1:13" x14ac:dyDescent="0.15">
      <c r="A45">
        <v>44</v>
      </c>
      <c r="B45" s="183" t="s">
        <v>235</v>
      </c>
      <c r="C45">
        <v>0</v>
      </c>
      <c r="D45">
        <v>1.5228E-4</v>
      </c>
      <c r="E45">
        <v>0</v>
      </c>
      <c r="F45">
        <v>0</v>
      </c>
      <c r="G45">
        <v>0</v>
      </c>
      <c r="H45">
        <v>0</v>
      </c>
      <c r="I45">
        <v>0</v>
      </c>
      <c r="J45">
        <v>0</v>
      </c>
      <c r="K45">
        <v>0</v>
      </c>
      <c r="L45">
        <v>0</v>
      </c>
      <c r="M45">
        <v>1.5228E-4</v>
      </c>
    </row>
    <row r="46" spans="1:13" x14ac:dyDescent="0.15">
      <c r="A46">
        <v>45</v>
      </c>
      <c r="B46" s="183" t="s">
        <v>236</v>
      </c>
      <c r="C46">
        <v>0</v>
      </c>
      <c r="D46">
        <v>0</v>
      </c>
      <c r="E46">
        <v>0</v>
      </c>
      <c r="F46">
        <v>0</v>
      </c>
      <c r="G46">
        <v>0</v>
      </c>
      <c r="H46">
        <v>0</v>
      </c>
      <c r="I46">
        <v>0</v>
      </c>
      <c r="J46">
        <v>0</v>
      </c>
      <c r="K46">
        <v>0</v>
      </c>
      <c r="L46">
        <v>0</v>
      </c>
      <c r="M46">
        <v>0</v>
      </c>
    </row>
    <row r="47" spans="1:13" x14ac:dyDescent="0.15">
      <c r="A47">
        <v>46</v>
      </c>
      <c r="B47" s="183" t="s">
        <v>237</v>
      </c>
      <c r="C47">
        <v>0</v>
      </c>
      <c r="D47">
        <v>0</v>
      </c>
      <c r="E47">
        <v>0</v>
      </c>
      <c r="F47">
        <v>0</v>
      </c>
      <c r="G47">
        <v>0</v>
      </c>
      <c r="H47">
        <v>0</v>
      </c>
      <c r="I47">
        <v>0</v>
      </c>
      <c r="J47">
        <v>0</v>
      </c>
      <c r="K47">
        <v>0</v>
      </c>
      <c r="L47">
        <v>0</v>
      </c>
      <c r="M47">
        <v>0</v>
      </c>
    </row>
    <row r="48" spans="1:13" x14ac:dyDescent="0.15">
      <c r="A48">
        <v>47</v>
      </c>
      <c r="B48" s="183" t="s">
        <v>238</v>
      </c>
      <c r="C48">
        <v>0</v>
      </c>
      <c r="D48">
        <v>2.1313999999999999E-3</v>
      </c>
      <c r="E48">
        <v>0</v>
      </c>
      <c r="F48">
        <v>0</v>
      </c>
      <c r="G48">
        <v>0</v>
      </c>
      <c r="H48">
        <v>0</v>
      </c>
      <c r="I48">
        <v>0</v>
      </c>
      <c r="J48">
        <v>0</v>
      </c>
      <c r="K48">
        <v>0</v>
      </c>
      <c r="L48">
        <v>0</v>
      </c>
      <c r="M48">
        <v>2.1313999999999999E-3</v>
      </c>
    </row>
    <row r="49" spans="1:13" x14ac:dyDescent="0.15">
      <c r="A49">
        <v>48</v>
      </c>
      <c r="B49" s="183" t="s">
        <v>239</v>
      </c>
      <c r="C49">
        <v>0</v>
      </c>
      <c r="D49">
        <v>9.0512999999999998E-4</v>
      </c>
      <c r="E49">
        <v>0</v>
      </c>
      <c r="F49">
        <v>0</v>
      </c>
      <c r="G49">
        <v>0</v>
      </c>
      <c r="H49">
        <v>0</v>
      </c>
      <c r="I49">
        <v>0</v>
      </c>
      <c r="J49">
        <v>0</v>
      </c>
      <c r="K49">
        <v>0</v>
      </c>
      <c r="L49">
        <v>0</v>
      </c>
      <c r="M49">
        <v>9.0512999999999998E-4</v>
      </c>
    </row>
    <row r="50" spans="1:13" x14ac:dyDescent="0.15">
      <c r="A50">
        <v>49</v>
      </c>
      <c r="B50" s="183" t="s">
        <v>240</v>
      </c>
      <c r="C50">
        <v>0</v>
      </c>
      <c r="D50">
        <v>0</v>
      </c>
      <c r="E50">
        <v>0</v>
      </c>
      <c r="F50">
        <v>0</v>
      </c>
      <c r="G50">
        <v>0</v>
      </c>
      <c r="H50">
        <v>0</v>
      </c>
      <c r="I50">
        <v>0</v>
      </c>
      <c r="J50">
        <v>0</v>
      </c>
      <c r="K50">
        <v>0</v>
      </c>
      <c r="L50">
        <v>0</v>
      </c>
      <c r="M50">
        <v>0</v>
      </c>
    </row>
    <row r="51" spans="1:13" x14ac:dyDescent="0.15">
      <c r="A51">
        <v>50</v>
      </c>
      <c r="B51" s="183" t="s">
        <v>241</v>
      </c>
      <c r="C51">
        <v>1.4293E-7</v>
      </c>
      <c r="D51">
        <v>5.0721999999999996E-4</v>
      </c>
      <c r="E51">
        <v>0</v>
      </c>
      <c r="F51">
        <v>0</v>
      </c>
      <c r="G51">
        <v>0</v>
      </c>
      <c r="H51">
        <v>0</v>
      </c>
      <c r="I51">
        <v>0</v>
      </c>
      <c r="J51">
        <v>0</v>
      </c>
      <c r="K51">
        <v>0</v>
      </c>
      <c r="L51">
        <v>3.2999999999999998E-8</v>
      </c>
      <c r="M51">
        <v>5.0739592999999997E-4</v>
      </c>
    </row>
    <row r="52" spans="1:13" x14ac:dyDescent="0.15">
      <c r="A52">
        <v>51</v>
      </c>
      <c r="B52" s="183" t="s">
        <v>242</v>
      </c>
      <c r="C52">
        <v>0</v>
      </c>
      <c r="D52">
        <v>1.1626E-5</v>
      </c>
      <c r="E52">
        <v>0</v>
      </c>
      <c r="F52">
        <v>0</v>
      </c>
      <c r="G52">
        <v>0</v>
      </c>
      <c r="H52">
        <v>0</v>
      </c>
      <c r="I52">
        <v>0</v>
      </c>
      <c r="J52">
        <v>0</v>
      </c>
      <c r="K52">
        <v>0</v>
      </c>
      <c r="L52">
        <v>0</v>
      </c>
      <c r="M52">
        <v>1.1626E-5</v>
      </c>
    </row>
    <row r="53" spans="1:13" x14ac:dyDescent="0.15">
      <c r="A53">
        <v>52</v>
      </c>
      <c r="B53" s="183" t="s">
        <v>243</v>
      </c>
      <c r="C53">
        <v>5.1502999999999996E-6</v>
      </c>
      <c r="D53">
        <v>1.3538999999999999E-3</v>
      </c>
      <c r="E53">
        <v>0</v>
      </c>
      <c r="F53">
        <v>0</v>
      </c>
      <c r="G53">
        <v>0</v>
      </c>
      <c r="H53">
        <v>0</v>
      </c>
      <c r="I53">
        <v>0</v>
      </c>
      <c r="J53">
        <v>0</v>
      </c>
      <c r="K53">
        <v>0</v>
      </c>
      <c r="L53">
        <v>1.1884600000000001E-6</v>
      </c>
      <c r="M53">
        <v>1.3602387599999999E-3</v>
      </c>
    </row>
    <row r="54" spans="1:13" x14ac:dyDescent="0.15">
      <c r="A54">
        <v>53</v>
      </c>
      <c r="B54" s="183" t="s">
        <v>244</v>
      </c>
      <c r="C54">
        <v>0</v>
      </c>
      <c r="D54">
        <v>0</v>
      </c>
      <c r="E54">
        <v>0</v>
      </c>
      <c r="F54">
        <v>0</v>
      </c>
      <c r="G54">
        <v>0</v>
      </c>
      <c r="H54">
        <v>6.0584000000000001E-5</v>
      </c>
      <c r="I54">
        <v>0</v>
      </c>
      <c r="J54">
        <v>0</v>
      </c>
      <c r="K54">
        <v>0</v>
      </c>
      <c r="L54">
        <v>0</v>
      </c>
      <c r="M54">
        <v>6.0584000000000001E-5</v>
      </c>
    </row>
    <row r="55" spans="1:13" x14ac:dyDescent="0.15">
      <c r="A55">
        <v>54</v>
      </c>
      <c r="B55" s="183" t="s">
        <v>245</v>
      </c>
      <c r="C55">
        <v>7.0910000000000005E-4</v>
      </c>
      <c r="D55">
        <v>1.7522599999999999E-2</v>
      </c>
      <c r="E55">
        <v>0</v>
      </c>
      <c r="F55">
        <v>0</v>
      </c>
      <c r="G55">
        <v>1.16564E-8</v>
      </c>
      <c r="H55">
        <v>0</v>
      </c>
      <c r="I55">
        <v>0</v>
      </c>
      <c r="J55">
        <v>0</v>
      </c>
      <c r="K55">
        <v>0</v>
      </c>
      <c r="L55">
        <v>1.6361500000000001E-4</v>
      </c>
      <c r="M55">
        <v>1.83953266564E-2</v>
      </c>
    </row>
    <row r="56" spans="1:13" x14ac:dyDescent="0.15">
      <c r="A56">
        <v>55</v>
      </c>
      <c r="B56" s="183" t="s">
        <v>246</v>
      </c>
      <c r="C56">
        <v>1.3352E-5</v>
      </c>
      <c r="D56">
        <v>4.7684000000000002E-4</v>
      </c>
      <c r="E56">
        <v>0</v>
      </c>
      <c r="F56">
        <v>0</v>
      </c>
      <c r="G56">
        <v>1.6085900000000001E-6</v>
      </c>
      <c r="H56">
        <v>0</v>
      </c>
      <c r="I56">
        <v>0</v>
      </c>
      <c r="J56">
        <v>0</v>
      </c>
      <c r="K56">
        <v>0</v>
      </c>
      <c r="L56">
        <v>3.0923099999999999E-6</v>
      </c>
      <c r="M56">
        <v>4.948928999999999E-4</v>
      </c>
    </row>
    <row r="57" spans="1:13" x14ac:dyDescent="0.15">
      <c r="A57">
        <v>56</v>
      </c>
      <c r="B57" s="183" t="s">
        <v>247</v>
      </c>
      <c r="C57">
        <v>1.2876000000000001E-8</v>
      </c>
      <c r="D57">
        <v>4.0116E-5</v>
      </c>
      <c r="E57">
        <v>0</v>
      </c>
      <c r="F57">
        <v>0</v>
      </c>
      <c r="G57">
        <v>0</v>
      </c>
      <c r="H57">
        <v>0</v>
      </c>
      <c r="I57">
        <v>0</v>
      </c>
      <c r="J57">
        <v>0</v>
      </c>
      <c r="K57">
        <v>0</v>
      </c>
      <c r="L57">
        <v>2.9769200000000001E-9</v>
      </c>
      <c r="M57">
        <v>4.0131852920000001E-5</v>
      </c>
    </row>
    <row r="58" spans="1:13" x14ac:dyDescent="0.15">
      <c r="A58">
        <v>57</v>
      </c>
      <c r="B58" s="183" t="s">
        <v>248</v>
      </c>
      <c r="C58">
        <v>1.5E-6</v>
      </c>
      <c r="D58">
        <v>4.6662E-4</v>
      </c>
      <c r="E58">
        <v>0</v>
      </c>
      <c r="F58">
        <v>0</v>
      </c>
      <c r="G58">
        <v>0</v>
      </c>
      <c r="H58">
        <v>0</v>
      </c>
      <c r="I58">
        <v>0</v>
      </c>
      <c r="J58">
        <v>0</v>
      </c>
      <c r="K58">
        <v>0</v>
      </c>
      <c r="L58">
        <v>3.4615400000000002E-7</v>
      </c>
      <c r="M58">
        <v>4.6846615399999999E-4</v>
      </c>
    </row>
    <row r="59" spans="1:13" x14ac:dyDescent="0.15">
      <c r="A59">
        <v>58</v>
      </c>
      <c r="B59" s="183" t="s">
        <v>249</v>
      </c>
      <c r="C59">
        <v>6.2698999999999998E-8</v>
      </c>
      <c r="D59">
        <v>3.9462999999999998E-3</v>
      </c>
      <c r="E59">
        <v>0</v>
      </c>
      <c r="F59">
        <v>0</v>
      </c>
      <c r="G59">
        <v>0</v>
      </c>
      <c r="H59">
        <v>0</v>
      </c>
      <c r="I59">
        <v>0</v>
      </c>
      <c r="J59">
        <v>0</v>
      </c>
      <c r="K59">
        <v>0</v>
      </c>
      <c r="L59">
        <v>1.44692E-8</v>
      </c>
      <c r="M59">
        <v>3.9463771681999991E-3</v>
      </c>
    </row>
    <row r="60" spans="1:13" x14ac:dyDescent="0.15">
      <c r="A60">
        <v>59</v>
      </c>
      <c r="B60" s="183" t="s">
        <v>250</v>
      </c>
      <c r="C60">
        <v>5.2000000000000002E-6</v>
      </c>
      <c r="D60">
        <v>1.0346999999999999E-3</v>
      </c>
      <c r="E60">
        <v>0</v>
      </c>
      <c r="F60">
        <v>0</v>
      </c>
      <c r="G60">
        <v>0</v>
      </c>
      <c r="H60">
        <v>0</v>
      </c>
      <c r="I60">
        <v>0</v>
      </c>
      <c r="J60">
        <v>0</v>
      </c>
      <c r="K60">
        <v>0</v>
      </c>
      <c r="L60">
        <v>1.1999999999999999E-6</v>
      </c>
      <c r="M60">
        <v>1.0410999999999999E-3</v>
      </c>
    </row>
    <row r="61" spans="1:13" x14ac:dyDescent="0.15">
      <c r="A61">
        <v>60</v>
      </c>
      <c r="B61" s="183" t="s">
        <v>251</v>
      </c>
      <c r="C61">
        <v>3.9131000000000001E-8</v>
      </c>
      <c r="D61">
        <v>4.1056000000000001E-6</v>
      </c>
      <c r="E61">
        <v>0</v>
      </c>
      <c r="F61">
        <v>0</v>
      </c>
      <c r="G61">
        <v>0</v>
      </c>
      <c r="H61">
        <v>0</v>
      </c>
      <c r="I61">
        <v>0</v>
      </c>
      <c r="J61">
        <v>0</v>
      </c>
      <c r="K61">
        <v>0</v>
      </c>
      <c r="L61">
        <v>9.0230799999999998E-9</v>
      </c>
      <c r="M61">
        <v>4.1537540800000002E-6</v>
      </c>
    </row>
    <row r="62" spans="1:13" x14ac:dyDescent="0.15">
      <c r="A62">
        <v>61</v>
      </c>
      <c r="B62" s="183" t="s">
        <v>252</v>
      </c>
      <c r="C62">
        <v>6.9008000000000005E-8</v>
      </c>
      <c r="D62">
        <v>1.0268E-4</v>
      </c>
      <c r="E62">
        <v>0</v>
      </c>
      <c r="F62">
        <v>0</v>
      </c>
      <c r="G62">
        <v>0</v>
      </c>
      <c r="H62">
        <v>0</v>
      </c>
      <c r="I62">
        <v>0</v>
      </c>
      <c r="J62">
        <v>0</v>
      </c>
      <c r="K62">
        <v>0</v>
      </c>
      <c r="L62">
        <v>1.5923099999999999E-8</v>
      </c>
      <c r="M62">
        <v>1.0276493109999999E-4</v>
      </c>
    </row>
    <row r="63" spans="1:13" x14ac:dyDescent="0.15">
      <c r="A63">
        <v>62</v>
      </c>
      <c r="B63" s="183" t="s">
        <v>253</v>
      </c>
      <c r="C63">
        <v>5.5405999999999999E-6</v>
      </c>
      <c r="D63">
        <v>2.5615999999999998E-3</v>
      </c>
      <c r="E63">
        <v>0</v>
      </c>
      <c r="F63">
        <v>0</v>
      </c>
      <c r="G63">
        <v>0</v>
      </c>
      <c r="H63">
        <v>0</v>
      </c>
      <c r="I63">
        <v>0</v>
      </c>
      <c r="J63">
        <v>0</v>
      </c>
      <c r="K63">
        <v>0</v>
      </c>
      <c r="L63">
        <v>1.2784600000000001E-6</v>
      </c>
      <c r="M63">
        <v>2.5684190599999995E-3</v>
      </c>
    </row>
    <row r="64" spans="1:13" x14ac:dyDescent="0.15">
      <c r="A64">
        <v>63</v>
      </c>
      <c r="B64" s="183" t="s">
        <v>254</v>
      </c>
      <c r="C64">
        <v>1.6678999999999999E-6</v>
      </c>
      <c r="D64">
        <v>3.8983000000000003E-4</v>
      </c>
      <c r="E64">
        <v>0</v>
      </c>
      <c r="F64">
        <v>0</v>
      </c>
      <c r="G64">
        <v>0</v>
      </c>
      <c r="H64">
        <v>0</v>
      </c>
      <c r="I64">
        <v>0</v>
      </c>
      <c r="J64">
        <v>0</v>
      </c>
      <c r="K64">
        <v>0</v>
      </c>
      <c r="L64">
        <v>3.8538500000000001E-7</v>
      </c>
      <c r="M64">
        <v>3.9188328500000004E-4</v>
      </c>
    </row>
    <row r="65" spans="1:13" x14ac:dyDescent="0.15">
      <c r="A65">
        <v>64</v>
      </c>
      <c r="B65" s="183" t="s">
        <v>255</v>
      </c>
      <c r="C65">
        <v>1.4214E-5</v>
      </c>
      <c r="D65">
        <v>9.5953E-4</v>
      </c>
      <c r="E65">
        <v>0</v>
      </c>
      <c r="F65">
        <v>0</v>
      </c>
      <c r="G65">
        <v>0</v>
      </c>
      <c r="H65">
        <v>0</v>
      </c>
      <c r="I65">
        <v>0</v>
      </c>
      <c r="J65">
        <v>0</v>
      </c>
      <c r="K65">
        <v>0</v>
      </c>
      <c r="L65">
        <v>3.27692E-6</v>
      </c>
      <c r="M65">
        <v>9.7702092000000011E-4</v>
      </c>
    </row>
    <row r="66" spans="1:13" x14ac:dyDescent="0.15">
      <c r="A66">
        <v>65</v>
      </c>
      <c r="B66" s="183" t="s">
        <v>256</v>
      </c>
      <c r="C66">
        <v>0</v>
      </c>
      <c r="D66">
        <v>6.0093999999999998E-7</v>
      </c>
      <c r="E66">
        <v>0</v>
      </c>
      <c r="F66">
        <v>0</v>
      </c>
      <c r="G66">
        <v>0</v>
      </c>
      <c r="H66">
        <v>0</v>
      </c>
      <c r="I66">
        <v>0</v>
      </c>
      <c r="J66">
        <v>0</v>
      </c>
      <c r="K66">
        <v>0</v>
      </c>
      <c r="L66">
        <v>0</v>
      </c>
      <c r="M66">
        <v>6.0093999999999998E-7</v>
      </c>
    </row>
    <row r="67" spans="1:13" x14ac:dyDescent="0.15">
      <c r="A67">
        <v>66</v>
      </c>
      <c r="B67" s="183" t="s">
        <v>257</v>
      </c>
      <c r="C67">
        <v>9.9999999999999995E-8</v>
      </c>
      <c r="D67">
        <v>3.6282999999999997E-7</v>
      </c>
      <c r="E67">
        <v>0</v>
      </c>
      <c r="F67">
        <v>0</v>
      </c>
      <c r="G67">
        <v>0</v>
      </c>
      <c r="H67">
        <v>0</v>
      </c>
      <c r="I67">
        <v>0</v>
      </c>
      <c r="J67">
        <v>0</v>
      </c>
      <c r="K67">
        <v>0</v>
      </c>
      <c r="L67">
        <v>2.30769E-8</v>
      </c>
      <c r="M67">
        <v>4.8590690000000002E-7</v>
      </c>
    </row>
    <row r="68" spans="1:13" x14ac:dyDescent="0.15">
      <c r="A68">
        <v>67</v>
      </c>
      <c r="B68" s="183" t="s">
        <v>258</v>
      </c>
      <c r="C68">
        <v>0</v>
      </c>
      <c r="D68">
        <v>0</v>
      </c>
      <c r="E68">
        <v>0</v>
      </c>
      <c r="F68">
        <v>0</v>
      </c>
      <c r="G68">
        <v>0</v>
      </c>
      <c r="H68">
        <v>0</v>
      </c>
      <c r="I68">
        <v>0</v>
      </c>
      <c r="J68">
        <v>0</v>
      </c>
      <c r="K68">
        <v>0</v>
      </c>
      <c r="L68">
        <v>0</v>
      </c>
      <c r="M68">
        <v>0</v>
      </c>
    </row>
    <row r="69" spans="1:13" x14ac:dyDescent="0.15">
      <c r="A69">
        <v>68</v>
      </c>
      <c r="B69" s="183" t="s">
        <v>259</v>
      </c>
      <c r="C69">
        <v>0</v>
      </c>
      <c r="D69">
        <v>0</v>
      </c>
      <c r="E69">
        <v>0</v>
      </c>
      <c r="F69">
        <v>0</v>
      </c>
      <c r="G69">
        <v>0</v>
      </c>
      <c r="H69">
        <v>0</v>
      </c>
      <c r="I69">
        <v>0</v>
      </c>
      <c r="J69">
        <v>0</v>
      </c>
      <c r="K69">
        <v>0</v>
      </c>
      <c r="L69">
        <v>0</v>
      </c>
      <c r="M69">
        <v>0</v>
      </c>
    </row>
    <row r="70" spans="1:13" x14ac:dyDescent="0.15">
      <c r="A70">
        <v>69</v>
      </c>
      <c r="B70" s="183" t="s">
        <v>260</v>
      </c>
      <c r="C70">
        <v>8.7474000000000001E-7</v>
      </c>
      <c r="D70">
        <v>1.3691E-3</v>
      </c>
      <c r="E70">
        <v>0</v>
      </c>
      <c r="F70">
        <v>0</v>
      </c>
      <c r="G70">
        <v>0</v>
      </c>
      <c r="H70">
        <v>0</v>
      </c>
      <c r="I70">
        <v>0</v>
      </c>
      <c r="J70">
        <v>0</v>
      </c>
      <c r="K70">
        <v>0</v>
      </c>
      <c r="L70">
        <v>2.01923E-7</v>
      </c>
      <c r="M70">
        <v>1.370176663E-3</v>
      </c>
    </row>
    <row r="71" spans="1:13" x14ac:dyDescent="0.15">
      <c r="A71">
        <v>70</v>
      </c>
      <c r="B71" s="183" t="s">
        <v>261</v>
      </c>
      <c r="C71">
        <v>3.8999999999999999E-6</v>
      </c>
      <c r="D71">
        <v>8.9249999999999996E-4</v>
      </c>
      <c r="E71">
        <v>0</v>
      </c>
      <c r="F71">
        <v>0</v>
      </c>
      <c r="G71">
        <v>0</v>
      </c>
      <c r="H71">
        <v>0</v>
      </c>
      <c r="I71">
        <v>0</v>
      </c>
      <c r="J71">
        <v>0</v>
      </c>
      <c r="K71">
        <v>0</v>
      </c>
      <c r="L71">
        <v>8.9999999999999996E-7</v>
      </c>
      <c r="M71">
        <v>8.9729999999999996E-4</v>
      </c>
    </row>
    <row r="72" spans="1:13" x14ac:dyDescent="0.15">
      <c r="A72">
        <v>71</v>
      </c>
      <c r="B72" s="183" t="s">
        <v>262</v>
      </c>
      <c r="C72">
        <v>0</v>
      </c>
      <c r="D72">
        <v>0</v>
      </c>
      <c r="E72">
        <v>0</v>
      </c>
      <c r="F72">
        <v>0</v>
      </c>
      <c r="G72">
        <v>0</v>
      </c>
      <c r="H72">
        <v>0</v>
      </c>
      <c r="I72">
        <v>0</v>
      </c>
      <c r="J72">
        <v>0</v>
      </c>
      <c r="K72">
        <v>0</v>
      </c>
      <c r="L72">
        <v>0</v>
      </c>
      <c r="M72">
        <v>0</v>
      </c>
    </row>
    <row r="73" spans="1:13" x14ac:dyDescent="0.15">
      <c r="A73">
        <v>72</v>
      </c>
      <c r="B73" s="183" t="s">
        <v>263</v>
      </c>
      <c r="C73">
        <v>0</v>
      </c>
      <c r="D73">
        <v>0</v>
      </c>
      <c r="E73">
        <v>0</v>
      </c>
      <c r="F73">
        <v>0</v>
      </c>
      <c r="G73">
        <v>0</v>
      </c>
      <c r="H73">
        <v>0</v>
      </c>
      <c r="I73">
        <v>0</v>
      </c>
      <c r="J73">
        <v>0</v>
      </c>
      <c r="K73">
        <v>0</v>
      </c>
      <c r="L73">
        <v>0</v>
      </c>
      <c r="M73">
        <v>0</v>
      </c>
    </row>
    <row r="74" spans="1:13" x14ac:dyDescent="0.15">
      <c r="A74">
        <v>73</v>
      </c>
      <c r="B74" s="183" t="s">
        <v>264</v>
      </c>
      <c r="C74">
        <v>0</v>
      </c>
      <c r="D74">
        <v>0</v>
      </c>
      <c r="E74">
        <v>0</v>
      </c>
      <c r="F74">
        <v>0</v>
      </c>
      <c r="G74">
        <v>0</v>
      </c>
      <c r="H74">
        <v>0</v>
      </c>
      <c r="I74">
        <v>0</v>
      </c>
      <c r="J74">
        <v>0</v>
      </c>
      <c r="K74">
        <v>0</v>
      </c>
      <c r="L74">
        <v>0</v>
      </c>
      <c r="M74">
        <v>0</v>
      </c>
    </row>
    <row r="75" spans="1:13" x14ac:dyDescent="0.15">
      <c r="A75">
        <v>74</v>
      </c>
      <c r="B75" s="183" t="s">
        <v>265</v>
      </c>
      <c r="C75">
        <v>0</v>
      </c>
      <c r="D75">
        <v>0</v>
      </c>
      <c r="E75">
        <v>0</v>
      </c>
      <c r="F75">
        <v>0</v>
      </c>
      <c r="G75">
        <v>0</v>
      </c>
      <c r="H75">
        <v>0</v>
      </c>
      <c r="I75">
        <v>0</v>
      </c>
      <c r="J75">
        <v>0</v>
      </c>
      <c r="K75">
        <v>0</v>
      </c>
      <c r="L75">
        <v>0</v>
      </c>
      <c r="M75">
        <v>0</v>
      </c>
    </row>
    <row r="76" spans="1:13" x14ac:dyDescent="0.15">
      <c r="A76">
        <v>75</v>
      </c>
      <c r="B76" s="183" t="s">
        <v>266</v>
      </c>
      <c r="C76">
        <v>0</v>
      </c>
      <c r="D76">
        <v>0</v>
      </c>
      <c r="E76">
        <v>0</v>
      </c>
      <c r="F76">
        <v>0</v>
      </c>
      <c r="G76">
        <v>0</v>
      </c>
      <c r="H76">
        <v>0</v>
      </c>
      <c r="I76">
        <v>0</v>
      </c>
      <c r="J76">
        <v>0</v>
      </c>
      <c r="K76">
        <v>0</v>
      </c>
      <c r="L76">
        <v>0</v>
      </c>
      <c r="M76">
        <v>0</v>
      </c>
    </row>
    <row r="77" spans="1:13" x14ac:dyDescent="0.15">
      <c r="A77">
        <v>76</v>
      </c>
      <c r="B77" s="183" t="s">
        <v>267</v>
      </c>
      <c r="C77">
        <v>0</v>
      </c>
      <c r="D77">
        <v>0</v>
      </c>
      <c r="E77">
        <v>0</v>
      </c>
      <c r="F77">
        <v>0</v>
      </c>
      <c r="G77">
        <v>0</v>
      </c>
      <c r="H77">
        <v>0</v>
      </c>
      <c r="I77">
        <v>0</v>
      </c>
      <c r="J77">
        <v>0</v>
      </c>
      <c r="K77">
        <v>0</v>
      </c>
      <c r="L77">
        <v>0</v>
      </c>
      <c r="M77">
        <v>0</v>
      </c>
    </row>
    <row r="78" spans="1:13" x14ac:dyDescent="0.15">
      <c r="A78">
        <v>77</v>
      </c>
      <c r="B78" s="183" t="s">
        <v>268</v>
      </c>
      <c r="C78">
        <v>0</v>
      </c>
      <c r="D78">
        <v>0</v>
      </c>
      <c r="E78">
        <v>0</v>
      </c>
      <c r="F78">
        <v>0</v>
      </c>
      <c r="G78">
        <v>0</v>
      </c>
      <c r="H78">
        <v>0</v>
      </c>
      <c r="I78">
        <v>0</v>
      </c>
      <c r="J78">
        <v>0</v>
      </c>
      <c r="K78">
        <v>0</v>
      </c>
      <c r="L78">
        <v>0</v>
      </c>
      <c r="M78">
        <v>0</v>
      </c>
    </row>
    <row r="79" spans="1:13" x14ac:dyDescent="0.15">
      <c r="A79">
        <v>78</v>
      </c>
      <c r="B79" s="183" t="s">
        <v>269</v>
      </c>
      <c r="C79">
        <v>0</v>
      </c>
      <c r="D79">
        <v>6.1714999999999999E-7</v>
      </c>
      <c r="E79">
        <v>0</v>
      </c>
      <c r="F79">
        <v>0</v>
      </c>
      <c r="G79">
        <v>0</v>
      </c>
      <c r="H79">
        <v>0</v>
      </c>
      <c r="I79">
        <v>0</v>
      </c>
      <c r="J79">
        <v>0</v>
      </c>
      <c r="K79">
        <v>0</v>
      </c>
      <c r="L79">
        <v>0</v>
      </c>
      <c r="M79">
        <v>6.1714999999999999E-7</v>
      </c>
    </row>
    <row r="80" spans="1:13" x14ac:dyDescent="0.15">
      <c r="A80">
        <v>79</v>
      </c>
      <c r="B80" s="183" t="s">
        <v>270</v>
      </c>
      <c r="C80">
        <v>0</v>
      </c>
      <c r="D80">
        <v>0</v>
      </c>
      <c r="E80">
        <v>0</v>
      </c>
      <c r="F80">
        <v>0</v>
      </c>
      <c r="G80">
        <v>0</v>
      </c>
      <c r="H80">
        <v>0</v>
      </c>
      <c r="I80">
        <v>0</v>
      </c>
      <c r="J80">
        <v>0</v>
      </c>
      <c r="K80">
        <v>0</v>
      </c>
      <c r="L80">
        <v>0</v>
      </c>
      <c r="M80">
        <v>0</v>
      </c>
    </row>
    <row r="81" spans="1:13" x14ac:dyDescent="0.15">
      <c r="A81">
        <v>80</v>
      </c>
      <c r="B81" s="183" t="s">
        <v>271</v>
      </c>
      <c r="C81">
        <v>0</v>
      </c>
      <c r="D81">
        <v>0</v>
      </c>
      <c r="E81">
        <v>0</v>
      </c>
      <c r="F81">
        <v>0</v>
      </c>
      <c r="G81">
        <v>0</v>
      </c>
      <c r="H81">
        <v>0</v>
      </c>
      <c r="I81">
        <v>0</v>
      </c>
      <c r="J81">
        <v>0</v>
      </c>
      <c r="K81">
        <v>0</v>
      </c>
      <c r="L81">
        <v>0</v>
      </c>
      <c r="M81">
        <v>0</v>
      </c>
    </row>
    <row r="82" spans="1:13" x14ac:dyDescent="0.15">
      <c r="A82">
        <v>81</v>
      </c>
      <c r="B82" s="183" t="s">
        <v>272</v>
      </c>
      <c r="C82">
        <v>0</v>
      </c>
      <c r="D82">
        <v>0</v>
      </c>
      <c r="E82">
        <v>0</v>
      </c>
      <c r="F82">
        <v>0</v>
      </c>
      <c r="G82">
        <v>0</v>
      </c>
      <c r="H82">
        <v>0</v>
      </c>
      <c r="I82">
        <v>0</v>
      </c>
      <c r="J82">
        <v>0</v>
      </c>
      <c r="K82">
        <v>0</v>
      </c>
      <c r="L82">
        <v>0</v>
      </c>
      <c r="M82">
        <v>0</v>
      </c>
    </row>
    <row r="83" spans="1:13" x14ac:dyDescent="0.15">
      <c r="A83">
        <v>82</v>
      </c>
      <c r="B83" s="183" t="s">
        <v>273</v>
      </c>
      <c r="C83">
        <v>0</v>
      </c>
      <c r="D83">
        <v>0</v>
      </c>
      <c r="E83">
        <v>0</v>
      </c>
      <c r="F83">
        <v>0</v>
      </c>
      <c r="G83">
        <v>0</v>
      </c>
      <c r="H83">
        <v>0</v>
      </c>
      <c r="I83">
        <v>0</v>
      </c>
      <c r="J83">
        <v>0</v>
      </c>
      <c r="K83">
        <v>0</v>
      </c>
      <c r="L83">
        <v>0</v>
      </c>
      <c r="M83">
        <v>0</v>
      </c>
    </row>
    <row r="84" spans="1:13" x14ac:dyDescent="0.15">
      <c r="A84">
        <v>83</v>
      </c>
      <c r="B84" s="183" t="s">
        <v>274</v>
      </c>
      <c r="C84">
        <v>0</v>
      </c>
      <c r="D84">
        <v>0</v>
      </c>
      <c r="E84">
        <v>0</v>
      </c>
      <c r="F84">
        <v>0</v>
      </c>
      <c r="G84">
        <v>0</v>
      </c>
      <c r="H84">
        <v>0</v>
      </c>
      <c r="I84">
        <v>0</v>
      </c>
      <c r="J84">
        <v>0</v>
      </c>
      <c r="K84">
        <v>0</v>
      </c>
      <c r="L84">
        <v>0</v>
      </c>
      <c r="M84">
        <v>0</v>
      </c>
    </row>
    <row r="85" spans="1:13" x14ac:dyDescent="0.15">
      <c r="A85">
        <v>84</v>
      </c>
      <c r="B85" s="183" t="s">
        <v>275</v>
      </c>
      <c r="C85">
        <v>0</v>
      </c>
      <c r="D85">
        <v>0</v>
      </c>
      <c r="E85">
        <v>0</v>
      </c>
      <c r="F85">
        <v>0</v>
      </c>
      <c r="G85">
        <v>0</v>
      </c>
      <c r="H85">
        <v>0</v>
      </c>
      <c r="I85">
        <v>0</v>
      </c>
      <c r="J85">
        <v>0</v>
      </c>
      <c r="K85">
        <v>0</v>
      </c>
      <c r="L85">
        <v>0</v>
      </c>
      <c r="M85">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31.33203125" bestFit="1" customWidth="1"/>
    <col min="6" max="6" width="4.83203125" bestFit="1" customWidth="1"/>
    <col min="7" max="9" width="3.83203125" bestFit="1" customWidth="1"/>
    <col min="10" max="11" width="4.83203125" style="112"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4" customFormat="1" ht="14" thickBot="1" x14ac:dyDescent="0.2">
      <c r="D1" s="115" t="s">
        <v>8</v>
      </c>
      <c r="E1" s="115" t="s">
        <v>0</v>
      </c>
      <c r="F1" s="116" t="s">
        <v>99</v>
      </c>
      <c r="G1" s="117" t="s">
        <v>84</v>
      </c>
      <c r="H1" s="117" t="s">
        <v>85</v>
      </c>
      <c r="I1" s="117" t="s">
        <v>86</v>
      </c>
      <c r="J1" s="117" t="s">
        <v>87</v>
      </c>
      <c r="K1" s="117" t="s">
        <v>88</v>
      </c>
      <c r="L1" s="118" t="s">
        <v>89</v>
      </c>
      <c r="M1" s="118" t="s">
        <v>93</v>
      </c>
      <c r="N1" s="118" t="s">
        <v>92</v>
      </c>
      <c r="O1" s="118" t="s">
        <v>90</v>
      </c>
      <c r="P1" s="118" t="s">
        <v>91</v>
      </c>
      <c r="Q1" s="119" t="s">
        <v>94</v>
      </c>
      <c r="R1" s="119" t="s">
        <v>95</v>
      </c>
      <c r="S1" s="119" t="s">
        <v>96</v>
      </c>
      <c r="T1" s="119" t="s">
        <v>97</v>
      </c>
      <c r="U1" s="119" t="s">
        <v>98</v>
      </c>
      <c r="V1" s="117" t="s">
        <v>100</v>
      </c>
      <c r="W1" s="117" t="s">
        <v>101</v>
      </c>
      <c r="X1" s="117" t="s">
        <v>102</v>
      </c>
      <c r="Y1" s="117" t="s">
        <v>134</v>
      </c>
      <c r="Z1" s="118" t="s">
        <v>103</v>
      </c>
      <c r="AA1" s="118" t="s">
        <v>104</v>
      </c>
      <c r="AB1" s="118" t="s">
        <v>105</v>
      </c>
      <c r="AC1" s="120" t="s">
        <v>135</v>
      </c>
      <c r="AD1" s="119" t="s">
        <v>106</v>
      </c>
      <c r="AE1" s="119" t="s">
        <v>107</v>
      </c>
      <c r="AF1" s="119" t="s">
        <v>108</v>
      </c>
      <c r="AG1" s="119" t="s">
        <v>136</v>
      </c>
      <c r="AH1" s="117" t="s">
        <v>109</v>
      </c>
      <c r="AI1" s="117" t="s">
        <v>111</v>
      </c>
      <c r="AJ1" s="117" t="s">
        <v>110</v>
      </c>
      <c r="AK1" s="118" t="s">
        <v>115</v>
      </c>
      <c r="AL1" s="118" t="s">
        <v>116</v>
      </c>
      <c r="AM1" s="118" t="s">
        <v>117</v>
      </c>
      <c r="AN1" s="119" t="s">
        <v>112</v>
      </c>
      <c r="AO1" s="119" t="s">
        <v>113</v>
      </c>
      <c r="AP1" s="119" t="s">
        <v>114</v>
      </c>
    </row>
    <row r="2" spans="1:42" x14ac:dyDescent="0.15">
      <c r="A2" s="121" t="s">
        <v>74</v>
      </c>
      <c r="B2" s="122">
        <v>1</v>
      </c>
      <c r="D2">
        <v>1</v>
      </c>
      <c r="E2" s="185" t="s">
        <v>192</v>
      </c>
      <c r="F2">
        <v>0.98</v>
      </c>
      <c r="G2">
        <v>0.8</v>
      </c>
      <c r="H2">
        <v>0.8</v>
      </c>
      <c r="I2">
        <v>0.8</v>
      </c>
      <c r="J2" s="112">
        <v>0.25</v>
      </c>
      <c r="K2" s="112">
        <v>0.05</v>
      </c>
    </row>
    <row r="3" spans="1:42" x14ac:dyDescent="0.15">
      <c r="A3" s="121" t="s">
        <v>75</v>
      </c>
      <c r="B3" s="123">
        <v>1</v>
      </c>
      <c r="D3">
        <v>2</v>
      </c>
      <c r="E3" s="185" t="s">
        <v>193</v>
      </c>
      <c r="F3">
        <v>0.98</v>
      </c>
      <c r="G3">
        <v>0.8</v>
      </c>
      <c r="H3">
        <v>0.8</v>
      </c>
      <c r="I3">
        <v>0.8</v>
      </c>
      <c r="J3" s="112">
        <v>0.25</v>
      </c>
      <c r="K3" s="112">
        <v>0.05</v>
      </c>
    </row>
    <row r="4" spans="1:42" x14ac:dyDescent="0.15">
      <c r="A4" s="121" t="s">
        <v>76</v>
      </c>
      <c r="B4" s="123">
        <v>1</v>
      </c>
      <c r="D4">
        <v>3</v>
      </c>
      <c r="E4" s="185" t="s">
        <v>194</v>
      </c>
      <c r="F4">
        <v>0.98</v>
      </c>
      <c r="G4">
        <v>0.8</v>
      </c>
      <c r="H4">
        <v>0.8</v>
      </c>
      <c r="I4">
        <v>0.8</v>
      </c>
      <c r="J4" s="112">
        <v>0.25</v>
      </c>
      <c r="K4" s="112">
        <v>0.05</v>
      </c>
    </row>
    <row r="5" spans="1:42" x14ac:dyDescent="0.15">
      <c r="A5" s="121" t="s">
        <v>77</v>
      </c>
      <c r="B5" s="123">
        <v>1</v>
      </c>
      <c r="D5">
        <v>4</v>
      </c>
      <c r="E5" s="185" t="s">
        <v>195</v>
      </c>
      <c r="F5">
        <v>0.98</v>
      </c>
      <c r="G5">
        <v>0.8</v>
      </c>
      <c r="H5">
        <v>0.8</v>
      </c>
      <c r="I5">
        <v>0.8</v>
      </c>
      <c r="J5" s="112">
        <v>0.25</v>
      </c>
      <c r="K5" s="112">
        <v>0.05</v>
      </c>
    </row>
    <row r="6" spans="1:42" x14ac:dyDescent="0.15">
      <c r="A6" s="121" t="s">
        <v>78</v>
      </c>
      <c r="B6" s="123">
        <v>1</v>
      </c>
      <c r="D6">
        <v>5</v>
      </c>
      <c r="E6" s="185" t="s">
        <v>196</v>
      </c>
      <c r="F6">
        <v>0.98</v>
      </c>
      <c r="G6">
        <v>0.8</v>
      </c>
      <c r="H6">
        <v>0.8</v>
      </c>
      <c r="I6">
        <v>0.8</v>
      </c>
      <c r="J6" s="112">
        <v>0.25</v>
      </c>
      <c r="K6" s="112">
        <v>0.05</v>
      </c>
    </row>
    <row r="7" spans="1:42" x14ac:dyDescent="0.15">
      <c r="A7" s="121" t="s">
        <v>79</v>
      </c>
      <c r="B7" s="123">
        <v>1</v>
      </c>
      <c r="D7">
        <v>6</v>
      </c>
      <c r="E7" s="185" t="s">
        <v>197</v>
      </c>
      <c r="F7">
        <v>0.98</v>
      </c>
      <c r="G7">
        <v>0.8</v>
      </c>
      <c r="H7">
        <v>0.8</v>
      </c>
      <c r="I7">
        <v>0.8</v>
      </c>
      <c r="J7" s="112">
        <v>0.25</v>
      </c>
      <c r="K7" s="112">
        <v>0.05</v>
      </c>
    </row>
    <row r="8" spans="1:42" x14ac:dyDescent="0.15">
      <c r="A8" s="121" t="s">
        <v>80</v>
      </c>
      <c r="B8" s="123">
        <v>1</v>
      </c>
      <c r="D8">
        <v>7</v>
      </c>
      <c r="E8" s="185" t="s">
        <v>198</v>
      </c>
      <c r="F8">
        <v>0.98</v>
      </c>
      <c r="G8">
        <v>0.8</v>
      </c>
      <c r="H8">
        <v>0.8</v>
      </c>
      <c r="I8">
        <v>0.8</v>
      </c>
      <c r="J8" s="112">
        <v>0.25</v>
      </c>
      <c r="K8" s="112">
        <v>0.05</v>
      </c>
    </row>
    <row r="9" spans="1:42" x14ac:dyDescent="0.15">
      <c r="A9" s="121" t="s">
        <v>81</v>
      </c>
      <c r="B9" s="123">
        <v>0.1</v>
      </c>
      <c r="C9" s="61" t="s">
        <v>150</v>
      </c>
      <c r="D9">
        <v>8</v>
      </c>
      <c r="E9" s="185" t="s">
        <v>199</v>
      </c>
      <c r="F9">
        <v>0.98</v>
      </c>
      <c r="G9">
        <v>0.8</v>
      </c>
      <c r="H9">
        <v>0.8</v>
      </c>
      <c r="I9">
        <v>0.8</v>
      </c>
      <c r="J9" s="112">
        <v>0.25</v>
      </c>
      <c r="K9" s="112">
        <v>0.05</v>
      </c>
    </row>
    <row r="10" spans="1:42" ht="14" thickBot="1" x14ac:dyDescent="0.2">
      <c r="A10" s="121" t="s">
        <v>149</v>
      </c>
      <c r="B10" s="124">
        <f>1/3</f>
        <v>0.33333333333333331</v>
      </c>
      <c r="C10" s="61" t="s">
        <v>150</v>
      </c>
      <c r="D10">
        <v>9</v>
      </c>
      <c r="E10" s="185" t="s">
        <v>200</v>
      </c>
      <c r="F10">
        <v>0.98</v>
      </c>
      <c r="G10">
        <v>0.8</v>
      </c>
      <c r="H10">
        <v>0.8</v>
      </c>
      <c r="I10">
        <v>0.8</v>
      </c>
      <c r="J10" s="112">
        <v>0.25</v>
      </c>
      <c r="K10" s="112">
        <v>0.05</v>
      </c>
    </row>
    <row r="11" spans="1:42" x14ac:dyDescent="0.15">
      <c r="D11">
        <v>10</v>
      </c>
      <c r="E11" s="185" t="s">
        <v>201</v>
      </c>
      <c r="F11">
        <v>0.98</v>
      </c>
      <c r="G11">
        <v>0.8</v>
      </c>
      <c r="H11">
        <v>0.8</v>
      </c>
      <c r="I11">
        <v>0.8</v>
      </c>
      <c r="J11" s="112">
        <v>0.25</v>
      </c>
      <c r="K11" s="112">
        <v>0.05</v>
      </c>
    </row>
    <row r="12" spans="1:42" x14ac:dyDescent="0.15">
      <c r="D12">
        <v>11</v>
      </c>
      <c r="E12" s="185" t="s">
        <v>202</v>
      </c>
      <c r="F12">
        <v>0.98</v>
      </c>
      <c r="G12">
        <v>0.8</v>
      </c>
      <c r="H12">
        <v>0.8</v>
      </c>
      <c r="I12">
        <v>0.8</v>
      </c>
      <c r="J12" s="112">
        <v>0.25</v>
      </c>
      <c r="K12" s="112">
        <v>0.05</v>
      </c>
    </row>
    <row r="13" spans="1:42" x14ac:dyDescent="0.15">
      <c r="D13">
        <v>12</v>
      </c>
      <c r="E13" s="185" t="s">
        <v>203</v>
      </c>
      <c r="F13">
        <v>0.98</v>
      </c>
      <c r="G13">
        <v>0.8</v>
      </c>
      <c r="H13">
        <v>0.8</v>
      </c>
      <c r="I13">
        <v>0.8</v>
      </c>
      <c r="J13" s="112">
        <v>0.25</v>
      </c>
      <c r="K13" s="112">
        <v>0.05</v>
      </c>
    </row>
    <row r="14" spans="1:42" x14ac:dyDescent="0.15">
      <c r="D14">
        <v>13</v>
      </c>
      <c r="E14" s="185" t="s">
        <v>204</v>
      </c>
      <c r="F14">
        <v>0.98</v>
      </c>
      <c r="G14">
        <v>0.8</v>
      </c>
      <c r="H14">
        <v>0.8</v>
      </c>
      <c r="I14">
        <v>0.8</v>
      </c>
      <c r="J14" s="112">
        <v>0.25</v>
      </c>
      <c r="K14" s="112">
        <v>0.05</v>
      </c>
    </row>
    <row r="15" spans="1:42" x14ac:dyDescent="0.15">
      <c r="D15">
        <v>14</v>
      </c>
      <c r="E15" s="185" t="s">
        <v>205</v>
      </c>
      <c r="F15">
        <v>0.98</v>
      </c>
      <c r="G15">
        <v>0.8</v>
      </c>
      <c r="H15">
        <v>0.8</v>
      </c>
      <c r="I15">
        <v>0.8</v>
      </c>
      <c r="J15" s="112">
        <v>0.25</v>
      </c>
      <c r="K15" s="112">
        <v>0.05</v>
      </c>
    </row>
    <row r="16" spans="1:42" x14ac:dyDescent="0.15">
      <c r="D16">
        <v>15</v>
      </c>
      <c r="E16" s="185" t="s">
        <v>206</v>
      </c>
      <c r="F16">
        <v>0.98</v>
      </c>
      <c r="G16">
        <v>0.8</v>
      </c>
      <c r="H16">
        <v>0.8</v>
      </c>
      <c r="I16">
        <v>0.8</v>
      </c>
      <c r="J16" s="112">
        <v>0.25</v>
      </c>
      <c r="K16" s="112">
        <v>0.05</v>
      </c>
    </row>
    <row r="17" spans="4:33" ht="15" customHeight="1" x14ac:dyDescent="0.15">
      <c r="D17">
        <v>16</v>
      </c>
      <c r="E17" s="185" t="s">
        <v>207</v>
      </c>
      <c r="F17">
        <v>0.98</v>
      </c>
      <c r="G17">
        <v>0.8</v>
      </c>
      <c r="H17">
        <v>0.8</v>
      </c>
      <c r="I17">
        <v>0.8</v>
      </c>
      <c r="J17" s="112">
        <v>0.25</v>
      </c>
      <c r="K17" s="112">
        <v>0.05</v>
      </c>
    </row>
    <row r="18" spans="4:33" ht="15" customHeight="1" x14ac:dyDescent="0.15">
      <c r="D18">
        <v>17</v>
      </c>
      <c r="E18" s="185" t="s">
        <v>208</v>
      </c>
      <c r="F18">
        <v>0.98</v>
      </c>
      <c r="G18">
        <v>0.8</v>
      </c>
      <c r="H18">
        <v>0.8</v>
      </c>
      <c r="I18">
        <v>0.8</v>
      </c>
      <c r="J18" s="112">
        <v>0.25</v>
      </c>
      <c r="K18" s="112">
        <v>0.05</v>
      </c>
    </row>
    <row r="19" spans="4:33" ht="15" customHeight="1" x14ac:dyDescent="0.15">
      <c r="D19">
        <v>18</v>
      </c>
      <c r="E19" s="185" t="s">
        <v>209</v>
      </c>
      <c r="F19">
        <v>0.98</v>
      </c>
      <c r="G19">
        <v>0.8</v>
      </c>
      <c r="H19">
        <v>0.8</v>
      </c>
      <c r="I19">
        <v>0.8</v>
      </c>
      <c r="J19" s="112">
        <v>0.25</v>
      </c>
      <c r="K19" s="112">
        <v>0.05</v>
      </c>
    </row>
    <row r="20" spans="4:33" ht="15" customHeight="1" x14ac:dyDescent="0.15">
      <c r="D20">
        <v>19</v>
      </c>
      <c r="E20" s="185" t="s">
        <v>210</v>
      </c>
      <c r="F20">
        <v>0.98</v>
      </c>
      <c r="G20">
        <v>0.8</v>
      </c>
      <c r="H20">
        <v>0.8</v>
      </c>
      <c r="I20">
        <v>0.8</v>
      </c>
      <c r="J20" s="112">
        <v>0.25</v>
      </c>
      <c r="K20" s="112">
        <v>0.05</v>
      </c>
    </row>
    <row r="21" spans="4:33" ht="15" customHeight="1" x14ac:dyDescent="0.15">
      <c r="D21">
        <v>20</v>
      </c>
      <c r="E21" s="185" t="s">
        <v>211</v>
      </c>
      <c r="F21">
        <v>0.98</v>
      </c>
      <c r="G21">
        <v>0.8</v>
      </c>
      <c r="H21">
        <v>0.8</v>
      </c>
      <c r="I21">
        <v>0.8</v>
      </c>
      <c r="J21" s="112">
        <v>0.25</v>
      </c>
      <c r="K21" s="112">
        <v>0.05</v>
      </c>
    </row>
    <row r="22" spans="4:33" ht="15" customHeight="1" x14ac:dyDescent="0.15">
      <c r="D22">
        <v>21</v>
      </c>
      <c r="E22" s="185" t="s">
        <v>212</v>
      </c>
      <c r="F22">
        <v>0.98</v>
      </c>
      <c r="G22">
        <v>0.8</v>
      </c>
      <c r="H22">
        <v>0.8</v>
      </c>
      <c r="I22">
        <v>0.8</v>
      </c>
      <c r="J22" s="112">
        <v>0.25</v>
      </c>
      <c r="K22" s="112">
        <v>0.05</v>
      </c>
    </row>
    <row r="23" spans="4:33" ht="15" customHeight="1" x14ac:dyDescent="0.15">
      <c r="D23">
        <v>22</v>
      </c>
      <c r="E23" s="185" t="s">
        <v>213</v>
      </c>
      <c r="F23">
        <v>0.98</v>
      </c>
      <c r="G23">
        <v>0.8</v>
      </c>
      <c r="H23">
        <v>0.8</v>
      </c>
      <c r="I23">
        <v>0.8</v>
      </c>
      <c r="J23" s="112">
        <v>0.25</v>
      </c>
      <c r="K23" s="112">
        <v>0.05</v>
      </c>
    </row>
    <row r="24" spans="4:33" ht="15" customHeight="1" x14ac:dyDescent="0.15">
      <c r="D24">
        <v>23</v>
      </c>
      <c r="E24" s="185" t="s">
        <v>214</v>
      </c>
      <c r="F24">
        <v>0.98</v>
      </c>
      <c r="G24">
        <v>0.8</v>
      </c>
      <c r="H24">
        <v>0.8</v>
      </c>
      <c r="I24">
        <v>0.8</v>
      </c>
      <c r="J24" s="112">
        <v>0.25</v>
      </c>
      <c r="K24" s="112">
        <v>0.05</v>
      </c>
    </row>
    <row r="25" spans="4:33" ht="15" customHeight="1" x14ac:dyDescent="0.15">
      <c r="D25">
        <v>24</v>
      </c>
      <c r="E25" s="185" t="s">
        <v>215</v>
      </c>
      <c r="F25">
        <v>0.98</v>
      </c>
      <c r="G25">
        <v>0.8</v>
      </c>
      <c r="H25">
        <v>0.8</v>
      </c>
      <c r="I25">
        <v>0.8</v>
      </c>
      <c r="J25" s="112">
        <v>0.25</v>
      </c>
      <c r="K25" s="112">
        <v>0.05</v>
      </c>
    </row>
    <row r="26" spans="4:33" ht="15" customHeight="1" x14ac:dyDescent="0.15">
      <c r="D26">
        <v>25</v>
      </c>
      <c r="E26" s="185" t="s">
        <v>216</v>
      </c>
      <c r="F26">
        <v>0.98</v>
      </c>
      <c r="G26">
        <v>0.8</v>
      </c>
      <c r="H26">
        <v>0.8</v>
      </c>
      <c r="I26">
        <v>0.8</v>
      </c>
      <c r="J26" s="112">
        <v>0.25</v>
      </c>
      <c r="K26" s="112">
        <v>0.05</v>
      </c>
    </row>
    <row r="27" spans="4:33" ht="15" customHeight="1" x14ac:dyDescent="0.15">
      <c r="D27">
        <v>26</v>
      </c>
      <c r="E27" s="185" t="s">
        <v>217</v>
      </c>
      <c r="F27">
        <v>0.98</v>
      </c>
      <c r="G27">
        <v>0.8</v>
      </c>
      <c r="H27">
        <v>0.8</v>
      </c>
      <c r="I27">
        <v>0.8</v>
      </c>
      <c r="J27" s="112">
        <v>0.25</v>
      </c>
      <c r="K27" s="112">
        <v>0.05</v>
      </c>
    </row>
    <row r="28" spans="4:33" ht="15" customHeight="1" x14ac:dyDescent="0.15">
      <c r="D28">
        <v>27</v>
      </c>
      <c r="E28" s="185" t="s">
        <v>218</v>
      </c>
      <c r="F28">
        <v>0.98</v>
      </c>
      <c r="G28">
        <v>0.8</v>
      </c>
      <c r="H28">
        <v>0.8</v>
      </c>
      <c r="I28">
        <v>0.8</v>
      </c>
      <c r="J28" s="112">
        <v>0.25</v>
      </c>
      <c r="K28" s="112">
        <v>0.05</v>
      </c>
    </row>
    <row r="29" spans="4:33" ht="15" customHeight="1" x14ac:dyDescent="0.15">
      <c r="D29">
        <v>28</v>
      </c>
      <c r="E29" s="185" t="s">
        <v>219</v>
      </c>
      <c r="F29">
        <v>0.98</v>
      </c>
      <c r="G29">
        <v>0.8</v>
      </c>
      <c r="H29">
        <v>0.8</v>
      </c>
      <c r="I29">
        <v>0.8</v>
      </c>
      <c r="J29" s="112">
        <v>0.25</v>
      </c>
      <c r="K29" s="112">
        <v>0.05</v>
      </c>
      <c r="Y29"/>
      <c r="AC29"/>
      <c r="AG29"/>
    </row>
    <row r="30" spans="4:33" ht="15" customHeight="1" x14ac:dyDescent="0.15">
      <c r="D30">
        <v>29</v>
      </c>
      <c r="E30" s="185" t="s">
        <v>220</v>
      </c>
      <c r="F30">
        <v>0.98</v>
      </c>
      <c r="G30">
        <v>0.8</v>
      </c>
      <c r="H30">
        <v>0.8</v>
      </c>
      <c r="I30">
        <v>0.8</v>
      </c>
      <c r="J30" s="112">
        <v>0.25</v>
      </c>
      <c r="K30" s="112">
        <v>0.05</v>
      </c>
      <c r="Y30"/>
      <c r="AC30"/>
      <c r="AG30"/>
    </row>
    <row r="31" spans="4:33" ht="15" customHeight="1" x14ac:dyDescent="0.15">
      <c r="D31">
        <v>30</v>
      </c>
      <c r="E31" s="185" t="s">
        <v>221</v>
      </c>
      <c r="F31">
        <v>0.98</v>
      </c>
      <c r="G31">
        <v>0.8</v>
      </c>
      <c r="H31">
        <v>0.8</v>
      </c>
      <c r="I31">
        <v>0.8</v>
      </c>
      <c r="J31" s="112">
        <v>0.25</v>
      </c>
      <c r="K31" s="112">
        <v>0.05</v>
      </c>
      <c r="Y31"/>
      <c r="AC31"/>
      <c r="AG31"/>
    </row>
    <row r="32" spans="4:33" ht="15" customHeight="1" x14ac:dyDescent="0.15">
      <c r="D32">
        <v>31</v>
      </c>
      <c r="E32" s="185" t="s">
        <v>222</v>
      </c>
      <c r="F32">
        <v>0.98</v>
      </c>
      <c r="G32">
        <v>0.8</v>
      </c>
      <c r="H32">
        <v>0.8</v>
      </c>
      <c r="I32">
        <v>0.8</v>
      </c>
      <c r="J32" s="112">
        <v>0.25</v>
      </c>
      <c r="K32" s="112">
        <v>0.05</v>
      </c>
      <c r="Y32"/>
      <c r="AC32"/>
      <c r="AG32"/>
    </row>
    <row r="33" spans="4:33" ht="15" customHeight="1" x14ac:dyDescent="0.15">
      <c r="D33">
        <v>32</v>
      </c>
      <c r="E33" s="185" t="s">
        <v>223</v>
      </c>
      <c r="F33">
        <v>0.98</v>
      </c>
      <c r="G33">
        <v>0.8</v>
      </c>
      <c r="H33">
        <v>0.8</v>
      </c>
      <c r="I33">
        <v>0.8</v>
      </c>
      <c r="J33" s="112">
        <v>0.25</v>
      </c>
      <c r="K33" s="112">
        <v>0.05</v>
      </c>
      <c r="Y33"/>
      <c r="AC33"/>
      <c r="AG33"/>
    </row>
    <row r="34" spans="4:33" ht="15" customHeight="1" x14ac:dyDescent="0.15">
      <c r="D34">
        <v>33</v>
      </c>
      <c r="E34" s="185" t="s">
        <v>224</v>
      </c>
      <c r="F34">
        <v>0.98</v>
      </c>
      <c r="G34">
        <v>0.8</v>
      </c>
      <c r="H34">
        <v>0.8</v>
      </c>
      <c r="I34">
        <v>0.8</v>
      </c>
      <c r="J34" s="112">
        <v>0.25</v>
      </c>
      <c r="K34" s="112">
        <v>0.05</v>
      </c>
      <c r="Y34"/>
      <c r="AC34"/>
      <c r="AG34"/>
    </row>
    <row r="35" spans="4:33" ht="15" customHeight="1" x14ac:dyDescent="0.15">
      <c r="D35">
        <v>34</v>
      </c>
      <c r="E35" s="185" t="s">
        <v>225</v>
      </c>
      <c r="F35">
        <v>0.98</v>
      </c>
      <c r="G35">
        <v>0.8</v>
      </c>
      <c r="H35">
        <v>0.8</v>
      </c>
      <c r="I35">
        <v>0.8</v>
      </c>
      <c r="J35" s="112">
        <v>0.25</v>
      </c>
      <c r="K35" s="112">
        <v>0.05</v>
      </c>
      <c r="Y35"/>
      <c r="AC35"/>
      <c r="AG35"/>
    </row>
    <row r="36" spans="4:33" ht="15" customHeight="1" x14ac:dyDescent="0.15">
      <c r="D36">
        <v>35</v>
      </c>
      <c r="E36" s="185" t="s">
        <v>226</v>
      </c>
      <c r="F36">
        <v>0.98</v>
      </c>
      <c r="G36">
        <v>0.8</v>
      </c>
      <c r="H36">
        <v>0.8</v>
      </c>
      <c r="I36">
        <v>0.8</v>
      </c>
      <c r="J36" s="112">
        <v>0.25</v>
      </c>
      <c r="K36" s="112">
        <v>0.05</v>
      </c>
      <c r="Y36"/>
      <c r="AC36"/>
      <c r="AG36"/>
    </row>
    <row r="37" spans="4:33" ht="15" customHeight="1" x14ac:dyDescent="0.15">
      <c r="D37">
        <v>36</v>
      </c>
      <c r="E37" s="185" t="s">
        <v>227</v>
      </c>
      <c r="F37">
        <v>0.98</v>
      </c>
      <c r="G37">
        <v>0.8</v>
      </c>
      <c r="H37">
        <v>0.8</v>
      </c>
      <c r="I37">
        <v>0.8</v>
      </c>
      <c r="J37" s="112">
        <v>0.25</v>
      </c>
      <c r="K37" s="112">
        <v>0.05</v>
      </c>
      <c r="Y37"/>
      <c r="AC37"/>
      <c r="AG37"/>
    </row>
    <row r="38" spans="4:33" ht="15" customHeight="1" x14ac:dyDescent="0.15">
      <c r="D38">
        <v>37</v>
      </c>
      <c r="E38" s="185" t="s">
        <v>228</v>
      </c>
      <c r="F38">
        <v>0.98</v>
      </c>
      <c r="G38">
        <v>0.8</v>
      </c>
      <c r="H38">
        <v>0.8</v>
      </c>
      <c r="I38">
        <v>0.8</v>
      </c>
      <c r="J38" s="112">
        <v>0.25</v>
      </c>
      <c r="K38" s="112">
        <v>0.05</v>
      </c>
      <c r="Y38"/>
      <c r="AC38"/>
      <c r="AG38"/>
    </row>
    <row r="39" spans="4:33" ht="15" customHeight="1" x14ac:dyDescent="0.15">
      <c r="D39">
        <v>38</v>
      </c>
      <c r="E39" s="185" t="s">
        <v>229</v>
      </c>
      <c r="F39">
        <v>0.98</v>
      </c>
      <c r="G39">
        <v>0.8</v>
      </c>
      <c r="H39">
        <v>0.8</v>
      </c>
      <c r="I39">
        <v>0.8</v>
      </c>
      <c r="J39" s="112">
        <v>0.25</v>
      </c>
      <c r="K39" s="112">
        <v>0.05</v>
      </c>
    </row>
    <row r="40" spans="4:33" ht="15" customHeight="1" x14ac:dyDescent="0.15">
      <c r="D40">
        <v>39</v>
      </c>
      <c r="E40" s="185" t="s">
        <v>230</v>
      </c>
      <c r="F40">
        <v>0.98</v>
      </c>
      <c r="G40">
        <v>0.8</v>
      </c>
      <c r="H40">
        <v>0.8</v>
      </c>
      <c r="I40">
        <v>0.8</v>
      </c>
      <c r="J40" s="112">
        <v>0.25</v>
      </c>
      <c r="K40" s="112">
        <v>0.05</v>
      </c>
      <c r="Y40"/>
      <c r="AC40"/>
      <c r="AG40"/>
    </row>
    <row r="41" spans="4:33" ht="15" customHeight="1" x14ac:dyDescent="0.15">
      <c r="D41">
        <v>40</v>
      </c>
      <c r="E41" s="185" t="s">
        <v>231</v>
      </c>
      <c r="F41">
        <v>0.98</v>
      </c>
      <c r="G41">
        <v>0.8</v>
      </c>
      <c r="H41">
        <v>0.8</v>
      </c>
      <c r="I41">
        <v>0.8</v>
      </c>
      <c r="J41" s="112">
        <v>0.25</v>
      </c>
      <c r="K41" s="112">
        <v>0.05</v>
      </c>
      <c r="Y41"/>
      <c r="AC41"/>
      <c r="AG41"/>
    </row>
    <row r="42" spans="4:33" ht="15" customHeight="1" x14ac:dyDescent="0.15">
      <c r="D42">
        <v>41</v>
      </c>
      <c r="E42" s="185" t="s">
        <v>232</v>
      </c>
      <c r="F42">
        <v>0.98</v>
      </c>
      <c r="G42">
        <v>0.8</v>
      </c>
      <c r="H42">
        <v>0.8</v>
      </c>
      <c r="I42">
        <v>0.8</v>
      </c>
      <c r="J42" s="112">
        <v>0.25</v>
      </c>
      <c r="K42" s="112">
        <v>0.05</v>
      </c>
      <c r="Y42"/>
      <c r="AC42"/>
      <c r="AG42"/>
    </row>
    <row r="43" spans="4:33" ht="15" customHeight="1" x14ac:dyDescent="0.15">
      <c r="D43">
        <v>42</v>
      </c>
      <c r="E43" s="185" t="s">
        <v>233</v>
      </c>
      <c r="F43">
        <v>0.98</v>
      </c>
      <c r="G43">
        <v>0.8</v>
      </c>
      <c r="H43">
        <v>0.8</v>
      </c>
      <c r="I43">
        <v>0.8</v>
      </c>
      <c r="J43" s="112">
        <v>0.25</v>
      </c>
      <c r="K43" s="112">
        <v>0.05</v>
      </c>
      <c r="Y43"/>
      <c r="AC43"/>
      <c r="AG43"/>
    </row>
    <row r="44" spans="4:33" ht="15" customHeight="1" x14ac:dyDescent="0.15">
      <c r="D44">
        <v>43</v>
      </c>
      <c r="E44" s="185" t="s">
        <v>234</v>
      </c>
      <c r="F44">
        <v>0.98</v>
      </c>
      <c r="G44">
        <v>0.8</v>
      </c>
      <c r="H44">
        <v>0.8</v>
      </c>
      <c r="I44">
        <v>0.8</v>
      </c>
      <c r="J44" s="112">
        <v>0.25</v>
      </c>
      <c r="K44" s="112">
        <v>0.05</v>
      </c>
      <c r="Y44"/>
      <c r="AC44"/>
      <c r="AG44"/>
    </row>
    <row r="45" spans="4:33" ht="15" customHeight="1" x14ac:dyDescent="0.15">
      <c r="D45">
        <v>44</v>
      </c>
      <c r="E45" s="185" t="s">
        <v>235</v>
      </c>
      <c r="F45">
        <v>0.98</v>
      </c>
      <c r="G45">
        <v>0.8</v>
      </c>
      <c r="H45">
        <v>0.8</v>
      </c>
      <c r="I45">
        <v>0.8</v>
      </c>
      <c r="J45" s="112">
        <v>0.25</v>
      </c>
      <c r="K45" s="112">
        <v>0.05</v>
      </c>
      <c r="Y45"/>
      <c r="AC45"/>
      <c r="AG45"/>
    </row>
    <row r="46" spans="4:33" ht="15" customHeight="1" x14ac:dyDescent="0.15">
      <c r="D46">
        <v>45</v>
      </c>
      <c r="E46" s="185" t="s">
        <v>236</v>
      </c>
      <c r="F46">
        <v>0.98</v>
      </c>
      <c r="G46">
        <v>0.8</v>
      </c>
      <c r="H46">
        <v>0.8</v>
      </c>
      <c r="I46">
        <v>0.8</v>
      </c>
      <c r="J46" s="112">
        <v>0.25</v>
      </c>
      <c r="K46" s="112">
        <v>0.05</v>
      </c>
      <c r="Y46"/>
      <c r="AC46"/>
      <c r="AG46"/>
    </row>
    <row r="47" spans="4:33" ht="15" customHeight="1" x14ac:dyDescent="0.15">
      <c r="D47">
        <v>46</v>
      </c>
      <c r="E47" s="185" t="s">
        <v>237</v>
      </c>
      <c r="F47">
        <v>0.98</v>
      </c>
      <c r="G47">
        <v>0.8</v>
      </c>
      <c r="H47">
        <v>0.8</v>
      </c>
      <c r="I47">
        <v>0.8</v>
      </c>
      <c r="J47" s="112">
        <v>0.25</v>
      </c>
      <c r="K47" s="112">
        <v>0.05</v>
      </c>
      <c r="Y47"/>
      <c r="AC47"/>
      <c r="AG47"/>
    </row>
    <row r="48" spans="4:33" ht="15" customHeight="1" x14ac:dyDescent="0.15">
      <c r="D48">
        <v>47</v>
      </c>
      <c r="E48" s="185" t="s">
        <v>238</v>
      </c>
      <c r="F48">
        <v>0.98</v>
      </c>
      <c r="G48">
        <v>0.8</v>
      </c>
      <c r="H48">
        <v>0.8</v>
      </c>
      <c r="I48">
        <v>0.8</v>
      </c>
      <c r="J48" s="112">
        <v>0.25</v>
      </c>
      <c r="K48" s="112">
        <v>0.05</v>
      </c>
      <c r="Y48"/>
      <c r="AC48"/>
      <c r="AG48"/>
    </row>
    <row r="49" spans="4:33" ht="15" customHeight="1" x14ac:dyDescent="0.15">
      <c r="D49">
        <v>48</v>
      </c>
      <c r="E49" s="185" t="s">
        <v>239</v>
      </c>
      <c r="F49">
        <v>0.98</v>
      </c>
      <c r="G49">
        <v>0.8</v>
      </c>
      <c r="H49">
        <v>0.8</v>
      </c>
      <c r="I49">
        <v>0.8</v>
      </c>
      <c r="J49" s="112">
        <v>0.25</v>
      </c>
      <c r="K49" s="112">
        <v>0.05</v>
      </c>
      <c r="Y49"/>
      <c r="AC49"/>
      <c r="AG49"/>
    </row>
    <row r="50" spans="4:33" ht="15" customHeight="1" x14ac:dyDescent="0.15">
      <c r="D50">
        <v>49</v>
      </c>
      <c r="E50" s="185" t="s">
        <v>240</v>
      </c>
      <c r="F50">
        <v>0.98</v>
      </c>
      <c r="G50">
        <v>0.8</v>
      </c>
      <c r="H50">
        <v>0.8</v>
      </c>
      <c r="I50">
        <v>0.8</v>
      </c>
      <c r="J50" s="112">
        <v>0.25</v>
      </c>
      <c r="K50" s="112">
        <v>0.05</v>
      </c>
      <c r="Y50"/>
      <c r="AC50"/>
      <c r="AG50"/>
    </row>
    <row r="51" spans="4:33" ht="15" customHeight="1" x14ac:dyDescent="0.15">
      <c r="D51">
        <v>50</v>
      </c>
      <c r="E51" s="185" t="s">
        <v>241</v>
      </c>
      <c r="F51">
        <v>0.98</v>
      </c>
      <c r="G51">
        <v>0.8</v>
      </c>
      <c r="H51">
        <v>0.8</v>
      </c>
      <c r="I51">
        <v>0.8</v>
      </c>
      <c r="J51" s="112">
        <v>0.25</v>
      </c>
      <c r="K51" s="112">
        <v>0.05</v>
      </c>
      <c r="Y51"/>
      <c r="AC51"/>
      <c r="AG51"/>
    </row>
    <row r="52" spans="4:33" ht="15" customHeight="1" x14ac:dyDescent="0.15">
      <c r="D52">
        <v>51</v>
      </c>
      <c r="E52" s="185" t="s">
        <v>242</v>
      </c>
      <c r="F52">
        <v>0.98</v>
      </c>
      <c r="G52">
        <v>0.8</v>
      </c>
      <c r="H52">
        <v>0.8</v>
      </c>
      <c r="I52">
        <v>0.8</v>
      </c>
      <c r="J52" s="112">
        <v>0.25</v>
      </c>
      <c r="K52" s="112">
        <v>0.05</v>
      </c>
      <c r="Y52"/>
      <c r="AC52"/>
      <c r="AG52"/>
    </row>
    <row r="53" spans="4:33" ht="15" customHeight="1" x14ac:dyDescent="0.15">
      <c r="D53">
        <v>52</v>
      </c>
      <c r="E53" s="185" t="s">
        <v>243</v>
      </c>
      <c r="F53">
        <v>0.98</v>
      </c>
      <c r="G53">
        <v>0.8</v>
      </c>
      <c r="H53">
        <v>0.8</v>
      </c>
      <c r="I53">
        <v>0.8</v>
      </c>
      <c r="J53" s="112">
        <v>0.25</v>
      </c>
      <c r="K53" s="112">
        <v>0.05</v>
      </c>
      <c r="Y53"/>
      <c r="AC53"/>
      <c r="AG53"/>
    </row>
    <row r="54" spans="4:33" ht="15" customHeight="1" x14ac:dyDescent="0.15">
      <c r="D54">
        <v>53</v>
      </c>
      <c r="E54" s="185" t="s">
        <v>244</v>
      </c>
      <c r="F54">
        <v>0.98</v>
      </c>
      <c r="G54">
        <v>0.8</v>
      </c>
      <c r="H54">
        <v>0.8</v>
      </c>
      <c r="I54">
        <v>0.8</v>
      </c>
      <c r="J54" s="112">
        <v>0.25</v>
      </c>
      <c r="K54" s="112">
        <v>0.05</v>
      </c>
      <c r="Y54"/>
      <c r="AC54"/>
      <c r="AG54"/>
    </row>
    <row r="55" spans="4:33" ht="15" customHeight="1" x14ac:dyDescent="0.15">
      <c r="D55">
        <v>54</v>
      </c>
      <c r="E55" s="185" t="s">
        <v>245</v>
      </c>
      <c r="F55">
        <v>0.98</v>
      </c>
      <c r="G55">
        <v>0.8</v>
      </c>
      <c r="H55">
        <v>0.8</v>
      </c>
      <c r="I55">
        <v>0.8</v>
      </c>
      <c r="J55" s="112">
        <v>0.25</v>
      </c>
      <c r="K55" s="112">
        <v>0.05</v>
      </c>
      <c r="Y55"/>
      <c r="AC55"/>
      <c r="AG55"/>
    </row>
    <row r="56" spans="4:33" ht="15" customHeight="1" x14ac:dyDescent="0.15">
      <c r="D56">
        <v>55</v>
      </c>
      <c r="E56" s="185" t="s">
        <v>246</v>
      </c>
      <c r="F56">
        <v>0.98</v>
      </c>
      <c r="G56">
        <v>0.8</v>
      </c>
      <c r="H56">
        <v>0.8</v>
      </c>
      <c r="I56">
        <v>0.8</v>
      </c>
      <c r="J56" s="112">
        <v>0.25</v>
      </c>
      <c r="K56" s="112">
        <v>0.05</v>
      </c>
      <c r="Y56"/>
      <c r="AC56"/>
      <c r="AG56"/>
    </row>
    <row r="57" spans="4:33" ht="15" customHeight="1" x14ac:dyDescent="0.15">
      <c r="D57">
        <v>56</v>
      </c>
      <c r="E57" s="185" t="s">
        <v>247</v>
      </c>
      <c r="F57">
        <v>0.98</v>
      </c>
      <c r="G57">
        <v>0.8</v>
      </c>
      <c r="H57">
        <v>0.8</v>
      </c>
      <c r="I57">
        <v>0.8</v>
      </c>
      <c r="J57" s="112">
        <v>0.25</v>
      </c>
      <c r="K57" s="112">
        <v>0.05</v>
      </c>
      <c r="Y57"/>
      <c r="AC57"/>
      <c r="AG57"/>
    </row>
    <row r="58" spans="4:33" ht="15" customHeight="1" x14ac:dyDescent="0.15">
      <c r="D58">
        <v>57</v>
      </c>
      <c r="E58" s="185" t="s">
        <v>248</v>
      </c>
      <c r="F58">
        <v>0.98</v>
      </c>
      <c r="G58">
        <v>0.8</v>
      </c>
      <c r="H58">
        <v>0.8</v>
      </c>
      <c r="I58">
        <v>0.8</v>
      </c>
      <c r="J58" s="112">
        <v>0.25</v>
      </c>
      <c r="K58" s="112">
        <v>0.05</v>
      </c>
      <c r="Y58"/>
      <c r="AC58"/>
      <c r="AG58"/>
    </row>
    <row r="59" spans="4:33" ht="15" customHeight="1" x14ac:dyDescent="0.15">
      <c r="D59">
        <v>58</v>
      </c>
      <c r="E59" s="185" t="s">
        <v>249</v>
      </c>
      <c r="F59">
        <v>0.98</v>
      </c>
      <c r="G59">
        <v>0.8</v>
      </c>
      <c r="H59">
        <v>0.8</v>
      </c>
      <c r="I59">
        <v>0.8</v>
      </c>
      <c r="J59" s="112">
        <v>0.25</v>
      </c>
      <c r="K59" s="112">
        <v>0.05</v>
      </c>
      <c r="Y59"/>
      <c r="AC59"/>
      <c r="AG59"/>
    </row>
    <row r="60" spans="4:33" ht="15" customHeight="1" x14ac:dyDescent="0.15">
      <c r="D60">
        <v>59</v>
      </c>
      <c r="E60" s="185" t="s">
        <v>250</v>
      </c>
      <c r="F60">
        <v>0.98</v>
      </c>
      <c r="G60">
        <v>0.8</v>
      </c>
      <c r="H60">
        <v>0.8</v>
      </c>
      <c r="I60">
        <v>0.8</v>
      </c>
      <c r="J60" s="112">
        <v>0.25</v>
      </c>
      <c r="K60" s="112">
        <v>0.05</v>
      </c>
      <c r="Y60"/>
      <c r="AC60"/>
      <c r="AG60"/>
    </row>
    <row r="61" spans="4:33" ht="15" customHeight="1" x14ac:dyDescent="0.15">
      <c r="D61">
        <v>60</v>
      </c>
      <c r="E61" s="185" t="s">
        <v>251</v>
      </c>
      <c r="F61">
        <v>0.98</v>
      </c>
      <c r="G61">
        <v>0.8</v>
      </c>
      <c r="H61">
        <v>0.8</v>
      </c>
      <c r="I61">
        <v>0.8</v>
      </c>
      <c r="J61" s="112">
        <v>0.25</v>
      </c>
      <c r="K61" s="112">
        <v>0.05</v>
      </c>
      <c r="Y61"/>
      <c r="AC61"/>
      <c r="AG61"/>
    </row>
    <row r="62" spans="4:33" ht="15" customHeight="1" x14ac:dyDescent="0.15">
      <c r="D62">
        <v>61</v>
      </c>
      <c r="E62" s="185" t="s">
        <v>252</v>
      </c>
      <c r="F62">
        <v>0.98</v>
      </c>
      <c r="G62">
        <v>0.8</v>
      </c>
      <c r="H62">
        <v>0.8</v>
      </c>
      <c r="I62">
        <v>0.8</v>
      </c>
      <c r="J62" s="112">
        <v>0.25</v>
      </c>
      <c r="K62" s="112">
        <v>0.05</v>
      </c>
      <c r="Y62"/>
      <c r="AC62"/>
      <c r="AG62"/>
    </row>
    <row r="63" spans="4:33" ht="15" customHeight="1" x14ac:dyDescent="0.15">
      <c r="D63">
        <v>62</v>
      </c>
      <c r="E63" s="185" t="s">
        <v>253</v>
      </c>
      <c r="F63">
        <v>0.98</v>
      </c>
      <c r="G63">
        <v>0.8</v>
      </c>
      <c r="H63">
        <v>0.8</v>
      </c>
      <c r="I63">
        <v>0.8</v>
      </c>
      <c r="J63" s="112">
        <v>0.25</v>
      </c>
      <c r="K63" s="112">
        <v>0.05</v>
      </c>
      <c r="Y63"/>
      <c r="AC63"/>
      <c r="AG63"/>
    </row>
    <row r="64" spans="4:33" ht="15" customHeight="1" x14ac:dyDescent="0.15">
      <c r="D64">
        <v>63</v>
      </c>
      <c r="E64" s="185" t="s">
        <v>254</v>
      </c>
      <c r="F64">
        <v>0.98</v>
      </c>
      <c r="G64">
        <v>0.8</v>
      </c>
      <c r="H64">
        <v>0.8</v>
      </c>
      <c r="I64">
        <v>0.8</v>
      </c>
      <c r="J64" s="112">
        <v>0.25</v>
      </c>
      <c r="K64" s="112">
        <v>0.05</v>
      </c>
      <c r="Y64"/>
      <c r="AC64"/>
      <c r="AG64"/>
    </row>
    <row r="65" spans="4:33" ht="15" customHeight="1" x14ac:dyDescent="0.15">
      <c r="D65">
        <v>64</v>
      </c>
      <c r="E65" s="185" t="s">
        <v>255</v>
      </c>
      <c r="F65">
        <v>0.98</v>
      </c>
      <c r="G65">
        <v>0.8</v>
      </c>
      <c r="H65">
        <v>0.8</v>
      </c>
      <c r="I65">
        <v>0.8</v>
      </c>
      <c r="J65" s="112">
        <v>0.25</v>
      </c>
      <c r="K65" s="112">
        <v>0.05</v>
      </c>
      <c r="Y65"/>
      <c r="AC65"/>
      <c r="AG65"/>
    </row>
    <row r="66" spans="4:33" ht="15" customHeight="1" x14ac:dyDescent="0.15">
      <c r="D66">
        <v>65</v>
      </c>
      <c r="E66" s="185" t="s">
        <v>256</v>
      </c>
      <c r="F66">
        <v>0.98</v>
      </c>
      <c r="G66">
        <v>0.8</v>
      </c>
      <c r="H66">
        <v>0.8</v>
      </c>
      <c r="I66">
        <v>0.8</v>
      </c>
      <c r="J66" s="112">
        <v>0.25</v>
      </c>
      <c r="K66" s="112">
        <v>0.05</v>
      </c>
      <c r="Y66"/>
      <c r="AC66"/>
      <c r="AG66"/>
    </row>
    <row r="67" spans="4:33" ht="15" customHeight="1" x14ac:dyDescent="0.15">
      <c r="D67">
        <v>66</v>
      </c>
      <c r="E67" s="185" t="s">
        <v>257</v>
      </c>
      <c r="F67">
        <v>0.98</v>
      </c>
      <c r="G67">
        <v>0.8</v>
      </c>
      <c r="H67">
        <v>0.8</v>
      </c>
      <c r="I67">
        <v>0.8</v>
      </c>
      <c r="J67" s="112">
        <v>0.25</v>
      </c>
      <c r="K67" s="112">
        <v>0.05</v>
      </c>
      <c r="Y67"/>
      <c r="AC67"/>
      <c r="AG67"/>
    </row>
    <row r="68" spans="4:33" ht="15" customHeight="1" x14ac:dyDescent="0.15">
      <c r="D68">
        <v>67</v>
      </c>
      <c r="E68" s="185" t="s">
        <v>258</v>
      </c>
      <c r="F68">
        <v>0.98</v>
      </c>
      <c r="G68">
        <v>0.8</v>
      </c>
      <c r="H68">
        <v>0.8</v>
      </c>
      <c r="I68">
        <v>0.8</v>
      </c>
      <c r="J68" s="112">
        <v>0.25</v>
      </c>
      <c r="K68" s="112">
        <v>0.05</v>
      </c>
      <c r="Y68"/>
      <c r="AC68"/>
      <c r="AG68"/>
    </row>
    <row r="69" spans="4:33" ht="15" customHeight="1" x14ac:dyDescent="0.15">
      <c r="D69">
        <v>68</v>
      </c>
      <c r="E69" s="185" t="s">
        <v>259</v>
      </c>
      <c r="F69">
        <v>0.98</v>
      </c>
      <c r="G69">
        <v>0.8</v>
      </c>
      <c r="H69">
        <v>0.8</v>
      </c>
      <c r="I69">
        <v>0.8</v>
      </c>
      <c r="J69" s="112">
        <v>0.25</v>
      </c>
      <c r="K69" s="112">
        <v>0.05</v>
      </c>
      <c r="Y69"/>
      <c r="AC69"/>
      <c r="AG69"/>
    </row>
    <row r="70" spans="4:33" ht="15" customHeight="1" x14ac:dyDescent="0.15">
      <c r="D70">
        <v>69</v>
      </c>
      <c r="E70" s="185" t="s">
        <v>260</v>
      </c>
      <c r="F70">
        <v>0.98</v>
      </c>
      <c r="G70">
        <v>0.8</v>
      </c>
      <c r="H70">
        <v>0.8</v>
      </c>
      <c r="I70">
        <v>0.8</v>
      </c>
      <c r="J70" s="112">
        <v>0.25</v>
      </c>
      <c r="K70" s="112">
        <v>0.05</v>
      </c>
      <c r="Y70"/>
      <c r="AC70"/>
      <c r="AG70"/>
    </row>
    <row r="71" spans="4:33" ht="15" customHeight="1" x14ac:dyDescent="0.15">
      <c r="D71">
        <v>70</v>
      </c>
      <c r="E71" s="185" t="s">
        <v>261</v>
      </c>
      <c r="F71">
        <v>0.98</v>
      </c>
      <c r="G71">
        <v>0.8</v>
      </c>
      <c r="H71">
        <v>0.8</v>
      </c>
      <c r="I71">
        <v>0.8</v>
      </c>
      <c r="J71" s="112">
        <v>0.25</v>
      </c>
      <c r="K71" s="112">
        <v>0.05</v>
      </c>
      <c r="Y71"/>
      <c r="AC71"/>
      <c r="AG71"/>
    </row>
    <row r="72" spans="4:33" ht="15" customHeight="1" x14ac:dyDescent="0.15">
      <c r="D72">
        <v>71</v>
      </c>
      <c r="E72" s="185" t="s">
        <v>262</v>
      </c>
      <c r="F72">
        <v>0.98</v>
      </c>
      <c r="G72">
        <v>0.8</v>
      </c>
      <c r="H72">
        <v>0.8</v>
      </c>
      <c r="I72">
        <v>0.8</v>
      </c>
      <c r="J72" s="112">
        <v>0.25</v>
      </c>
      <c r="K72" s="112">
        <v>0.05</v>
      </c>
      <c r="Y72"/>
      <c r="AC72"/>
      <c r="AG72"/>
    </row>
    <row r="73" spans="4:33" ht="15" customHeight="1" x14ac:dyDescent="0.15">
      <c r="D73">
        <v>72</v>
      </c>
      <c r="E73" s="185" t="s">
        <v>263</v>
      </c>
      <c r="F73">
        <v>0.98</v>
      </c>
      <c r="G73">
        <v>0.8</v>
      </c>
      <c r="H73">
        <v>0.8</v>
      </c>
      <c r="I73">
        <v>0.8</v>
      </c>
      <c r="J73" s="112">
        <v>0.25</v>
      </c>
      <c r="K73" s="112">
        <v>0.05</v>
      </c>
      <c r="Y73"/>
      <c r="AC73"/>
      <c r="AG73"/>
    </row>
    <row r="74" spans="4:33" ht="15" customHeight="1" x14ac:dyDescent="0.15">
      <c r="D74">
        <v>73</v>
      </c>
      <c r="E74" s="185" t="s">
        <v>264</v>
      </c>
      <c r="F74">
        <v>0.98</v>
      </c>
      <c r="G74">
        <v>0.8</v>
      </c>
      <c r="H74">
        <v>0.8</v>
      </c>
      <c r="I74">
        <v>0.8</v>
      </c>
      <c r="J74" s="112">
        <v>0.25</v>
      </c>
      <c r="K74" s="112">
        <v>0.05</v>
      </c>
      <c r="Y74"/>
      <c r="AC74"/>
      <c r="AG74"/>
    </row>
    <row r="75" spans="4:33" ht="15" customHeight="1" x14ac:dyDescent="0.15">
      <c r="D75">
        <v>74</v>
      </c>
      <c r="E75" s="185" t="s">
        <v>265</v>
      </c>
      <c r="F75">
        <v>0.98</v>
      </c>
      <c r="G75">
        <v>0.8</v>
      </c>
      <c r="H75">
        <v>0.8</v>
      </c>
      <c r="I75">
        <v>0.8</v>
      </c>
      <c r="J75" s="112">
        <v>0.25</v>
      </c>
      <c r="K75" s="112">
        <v>0.05</v>
      </c>
      <c r="Y75"/>
      <c r="AC75"/>
      <c r="AG75"/>
    </row>
    <row r="76" spans="4:33" ht="15" customHeight="1" x14ac:dyDescent="0.15">
      <c r="D76">
        <v>75</v>
      </c>
      <c r="E76" s="185" t="s">
        <v>266</v>
      </c>
      <c r="F76">
        <v>0.98</v>
      </c>
      <c r="G76">
        <v>0.8</v>
      </c>
      <c r="H76">
        <v>0.8</v>
      </c>
      <c r="I76">
        <v>0</v>
      </c>
      <c r="J76" s="112">
        <v>0</v>
      </c>
      <c r="K76" s="112">
        <v>0</v>
      </c>
    </row>
    <row r="77" spans="4:33" ht="15" customHeight="1" x14ac:dyDescent="0.15">
      <c r="D77">
        <v>76</v>
      </c>
      <c r="E77" s="185" t="s">
        <v>267</v>
      </c>
      <c r="F77">
        <v>0.98</v>
      </c>
      <c r="G77">
        <v>0.8</v>
      </c>
      <c r="H77">
        <v>0.8</v>
      </c>
      <c r="I77">
        <v>0</v>
      </c>
      <c r="J77" s="112">
        <v>0</v>
      </c>
      <c r="K77" s="112">
        <v>0</v>
      </c>
    </row>
    <row r="78" spans="4:33" ht="15" customHeight="1" x14ac:dyDescent="0.15">
      <c r="D78">
        <v>77</v>
      </c>
      <c r="E78" s="185" t="s">
        <v>268</v>
      </c>
      <c r="F78">
        <v>0.98</v>
      </c>
      <c r="G78">
        <v>0.8</v>
      </c>
      <c r="H78">
        <v>0.8</v>
      </c>
      <c r="I78">
        <v>0</v>
      </c>
      <c r="J78" s="112">
        <v>0</v>
      </c>
      <c r="K78" s="112">
        <v>0</v>
      </c>
    </row>
    <row r="79" spans="4:33" ht="15" customHeight="1" x14ac:dyDescent="0.15">
      <c r="D79">
        <v>78</v>
      </c>
      <c r="E79" s="185" t="s">
        <v>269</v>
      </c>
      <c r="F79">
        <v>0.98</v>
      </c>
      <c r="G79">
        <v>0.8</v>
      </c>
      <c r="H79">
        <v>0.8</v>
      </c>
      <c r="I79">
        <v>0</v>
      </c>
      <c r="J79" s="112">
        <v>0</v>
      </c>
      <c r="K79" s="112">
        <v>0</v>
      </c>
    </row>
    <row r="80" spans="4:33" ht="15" customHeight="1" x14ac:dyDescent="0.15">
      <c r="D80">
        <v>79</v>
      </c>
      <c r="E80" s="185" t="s">
        <v>270</v>
      </c>
      <c r="F80">
        <v>0.98</v>
      </c>
      <c r="G80">
        <v>0.8</v>
      </c>
      <c r="H80">
        <v>0.8</v>
      </c>
      <c r="I80">
        <v>0</v>
      </c>
      <c r="J80" s="112">
        <v>0</v>
      </c>
      <c r="K80" s="112">
        <v>0</v>
      </c>
    </row>
    <row r="81" spans="4:33" ht="15" customHeight="1" x14ac:dyDescent="0.15">
      <c r="D81">
        <v>80</v>
      </c>
      <c r="E81" s="185" t="s">
        <v>271</v>
      </c>
      <c r="F81">
        <v>0.98</v>
      </c>
      <c r="G81">
        <v>0.8</v>
      </c>
      <c r="H81">
        <v>0</v>
      </c>
      <c r="I81">
        <v>0</v>
      </c>
      <c r="J81" s="112">
        <v>0</v>
      </c>
      <c r="K81" s="112">
        <v>0</v>
      </c>
    </row>
    <row r="82" spans="4:33" ht="15" customHeight="1" x14ac:dyDescent="0.15">
      <c r="D82">
        <v>81</v>
      </c>
      <c r="E82" s="185" t="s">
        <v>272</v>
      </c>
      <c r="F82">
        <v>0.98</v>
      </c>
      <c r="G82">
        <v>0.8</v>
      </c>
      <c r="H82">
        <v>0</v>
      </c>
      <c r="I82">
        <v>0</v>
      </c>
      <c r="J82" s="112">
        <v>0</v>
      </c>
      <c r="K82" s="112">
        <v>0</v>
      </c>
    </row>
    <row r="83" spans="4:33" ht="15" customHeight="1" x14ac:dyDescent="0.15">
      <c r="D83">
        <v>82</v>
      </c>
      <c r="E83" s="185" t="s">
        <v>273</v>
      </c>
      <c r="F83">
        <v>0.98</v>
      </c>
      <c r="G83">
        <v>0.8</v>
      </c>
      <c r="H83">
        <v>0</v>
      </c>
      <c r="I83">
        <v>0</v>
      </c>
      <c r="J83" s="112">
        <v>0</v>
      </c>
      <c r="K83" s="112">
        <v>0</v>
      </c>
      <c r="Y83"/>
      <c r="AC83"/>
      <c r="AG83"/>
    </row>
    <row r="84" spans="4:33" ht="15" customHeight="1" x14ac:dyDescent="0.15">
      <c r="D84">
        <v>83</v>
      </c>
      <c r="E84" s="185" t="s">
        <v>274</v>
      </c>
      <c r="F84">
        <v>0.98</v>
      </c>
      <c r="G84">
        <v>0.8</v>
      </c>
      <c r="H84">
        <v>0</v>
      </c>
      <c r="I84">
        <v>0</v>
      </c>
      <c r="J84" s="112">
        <v>0</v>
      </c>
      <c r="K84" s="112">
        <v>0</v>
      </c>
      <c r="Y84"/>
      <c r="AC84"/>
      <c r="AG84"/>
    </row>
    <row r="85" spans="4:33" ht="15" customHeight="1" x14ac:dyDescent="0.15">
      <c r="D85">
        <v>84</v>
      </c>
      <c r="E85" s="185" t="s">
        <v>275</v>
      </c>
      <c r="F85">
        <v>0.98</v>
      </c>
      <c r="G85">
        <v>0.8</v>
      </c>
      <c r="H85">
        <v>0</v>
      </c>
      <c r="I85">
        <v>0</v>
      </c>
      <c r="J85" s="112">
        <v>0</v>
      </c>
      <c r="K85" s="112">
        <v>0</v>
      </c>
      <c r="Y85"/>
      <c r="AC85"/>
      <c r="AG85"/>
    </row>
    <row r="86" spans="4:33" ht="15" customHeight="1" x14ac:dyDescent="0.15">
      <c r="J86"/>
      <c r="K86"/>
      <c r="Y86"/>
      <c r="AC86"/>
      <c r="AG86"/>
    </row>
    <row r="87" spans="4:33" ht="15" customHeight="1" x14ac:dyDescent="0.15">
      <c r="J87"/>
      <c r="K87"/>
      <c r="Y87"/>
      <c r="AC87"/>
      <c r="AG87"/>
    </row>
    <row r="88" spans="4:33" ht="15" customHeight="1" x14ac:dyDescent="0.15">
      <c r="J88"/>
      <c r="K88"/>
      <c r="Y88"/>
      <c r="AC88"/>
      <c r="AG88"/>
    </row>
    <row r="89" spans="4:33" ht="15" customHeight="1" x14ac:dyDescent="0.15">
      <c r="J89"/>
      <c r="K89"/>
      <c r="Y89"/>
      <c r="AC89"/>
      <c r="AG89"/>
    </row>
    <row r="90" spans="4:33" ht="15" customHeight="1" x14ac:dyDescent="0.15">
      <c r="J90"/>
      <c r="K90"/>
      <c r="Y90"/>
      <c r="AC90"/>
      <c r="AG90"/>
    </row>
    <row r="91" spans="4:33" ht="15" customHeight="1" x14ac:dyDescent="0.15">
      <c r="J91"/>
      <c r="K91"/>
      <c r="Y91"/>
      <c r="AC91"/>
      <c r="AG91"/>
    </row>
    <row r="92" spans="4:33" ht="15" customHeight="1" x14ac:dyDescent="0.15">
      <c r="J92"/>
      <c r="K92"/>
      <c r="Y92"/>
      <c r="AC92"/>
      <c r="AG92"/>
    </row>
    <row r="93" spans="4:33" ht="15" customHeight="1" x14ac:dyDescent="0.15">
      <c r="J93"/>
      <c r="K93"/>
      <c r="Y93"/>
      <c r="AC93"/>
      <c r="AG93"/>
    </row>
    <row r="94" spans="4:33" ht="15" customHeight="1" x14ac:dyDescent="0.15">
      <c r="J94"/>
      <c r="K94"/>
      <c r="Y94"/>
      <c r="AC94"/>
      <c r="AG94"/>
    </row>
    <row r="95" spans="4:33" ht="15" customHeight="1" x14ac:dyDescent="0.15">
      <c r="J95"/>
      <c r="K95"/>
      <c r="Y95"/>
      <c r="AC95"/>
      <c r="AG95"/>
    </row>
    <row r="96" spans="4: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CG86"/>
  <sheetViews>
    <sheetView workbookViewId="0">
      <selection activeCell="A3" sqref="A3"/>
    </sheetView>
  </sheetViews>
  <sheetFormatPr baseColWidth="10" defaultRowHeight="13" x14ac:dyDescent="0.15"/>
  <cols>
    <col min="1" max="1" width="31.33203125" style="110" bestFit="1" customWidth="1"/>
    <col min="2" max="75" width="3.83203125" style="110" customWidth="1"/>
    <col min="76" max="85" width="2.33203125" style="110" customWidth="1"/>
    <col min="86" max="16384" width="10.83203125" style="110"/>
  </cols>
  <sheetData>
    <row r="1" spans="1:85" x14ac:dyDescent="0.15">
      <c r="A1" s="63" t="s">
        <v>118</v>
      </c>
      <c r="B1" s="187" t="s">
        <v>192</v>
      </c>
      <c r="C1" s="187" t="s">
        <v>193</v>
      </c>
      <c r="D1" s="187" t="s">
        <v>194</v>
      </c>
      <c r="E1" s="187" t="s">
        <v>195</v>
      </c>
      <c r="F1" s="187" t="s">
        <v>196</v>
      </c>
      <c r="G1" s="187" t="s">
        <v>197</v>
      </c>
      <c r="H1" s="187" t="s">
        <v>198</v>
      </c>
      <c r="I1" s="187" t="s">
        <v>199</v>
      </c>
      <c r="J1" s="187" t="s">
        <v>200</v>
      </c>
      <c r="K1" s="187" t="s">
        <v>201</v>
      </c>
      <c r="L1" s="187" t="s">
        <v>202</v>
      </c>
      <c r="M1" s="187" t="s">
        <v>203</v>
      </c>
      <c r="N1" s="187" t="s">
        <v>204</v>
      </c>
      <c r="O1" s="187" t="s">
        <v>205</v>
      </c>
      <c r="P1" s="187" t="s">
        <v>206</v>
      </c>
      <c r="Q1" s="187" t="s">
        <v>207</v>
      </c>
      <c r="R1" s="187" t="s">
        <v>208</v>
      </c>
      <c r="S1" s="187" t="s">
        <v>209</v>
      </c>
      <c r="T1" s="187" t="s">
        <v>210</v>
      </c>
      <c r="U1" s="187" t="s">
        <v>211</v>
      </c>
      <c r="V1" s="187" t="s">
        <v>212</v>
      </c>
      <c r="W1" s="187" t="s">
        <v>213</v>
      </c>
      <c r="X1" s="187" t="s">
        <v>214</v>
      </c>
      <c r="Y1" s="187" t="s">
        <v>215</v>
      </c>
      <c r="Z1" s="187" t="s">
        <v>216</v>
      </c>
      <c r="AA1" s="187" t="s">
        <v>217</v>
      </c>
      <c r="AB1" s="187" t="s">
        <v>218</v>
      </c>
      <c r="AC1" s="187" t="s">
        <v>219</v>
      </c>
      <c r="AD1" s="187" t="s">
        <v>220</v>
      </c>
      <c r="AE1" s="187" t="s">
        <v>221</v>
      </c>
      <c r="AF1" s="187" t="s">
        <v>222</v>
      </c>
      <c r="AG1" s="187" t="s">
        <v>223</v>
      </c>
      <c r="AH1" s="187" t="s">
        <v>224</v>
      </c>
      <c r="AI1" s="187" t="s">
        <v>225</v>
      </c>
      <c r="AJ1" s="187" t="s">
        <v>226</v>
      </c>
      <c r="AK1" s="187" t="s">
        <v>227</v>
      </c>
      <c r="AL1" s="187" t="s">
        <v>228</v>
      </c>
      <c r="AM1" s="187" t="s">
        <v>229</v>
      </c>
      <c r="AN1" s="187" t="s">
        <v>230</v>
      </c>
      <c r="AO1" s="187" t="s">
        <v>231</v>
      </c>
      <c r="AP1" s="187" t="s">
        <v>232</v>
      </c>
      <c r="AQ1" s="187" t="s">
        <v>233</v>
      </c>
      <c r="AR1" s="187" t="s">
        <v>234</v>
      </c>
      <c r="AS1" s="187" t="s">
        <v>235</v>
      </c>
      <c r="AT1" s="187" t="s">
        <v>236</v>
      </c>
      <c r="AU1" s="187" t="s">
        <v>237</v>
      </c>
      <c r="AV1" s="187" t="s">
        <v>238</v>
      </c>
      <c r="AW1" s="187" t="s">
        <v>239</v>
      </c>
      <c r="AX1" s="187" t="s">
        <v>240</v>
      </c>
      <c r="AY1" s="187" t="s">
        <v>241</v>
      </c>
      <c r="AZ1" s="187" t="s">
        <v>242</v>
      </c>
      <c r="BA1" s="187" t="s">
        <v>243</v>
      </c>
      <c r="BB1" s="187" t="s">
        <v>244</v>
      </c>
      <c r="BC1" s="187" t="s">
        <v>245</v>
      </c>
      <c r="BD1" s="187" t="s">
        <v>246</v>
      </c>
      <c r="BE1" s="187" t="s">
        <v>247</v>
      </c>
      <c r="BF1" s="187" t="s">
        <v>248</v>
      </c>
      <c r="BG1" s="187" t="s">
        <v>249</v>
      </c>
      <c r="BH1" s="187" t="s">
        <v>250</v>
      </c>
      <c r="BI1" s="187" t="s">
        <v>251</v>
      </c>
      <c r="BJ1" s="187" t="s">
        <v>252</v>
      </c>
      <c r="BK1" s="187" t="s">
        <v>253</v>
      </c>
      <c r="BL1" s="187" t="s">
        <v>254</v>
      </c>
      <c r="BM1" s="187" t="s">
        <v>255</v>
      </c>
      <c r="BN1" s="187" t="s">
        <v>256</v>
      </c>
      <c r="BO1" s="187" t="s">
        <v>257</v>
      </c>
      <c r="BP1" s="187" t="s">
        <v>258</v>
      </c>
      <c r="BQ1" s="187" t="s">
        <v>259</v>
      </c>
      <c r="BR1" s="187" t="s">
        <v>260</v>
      </c>
      <c r="BS1" s="187" t="s">
        <v>261</v>
      </c>
      <c r="BT1" s="187" t="s">
        <v>262</v>
      </c>
      <c r="BU1" s="187" t="s">
        <v>263</v>
      </c>
      <c r="BV1" s="187" t="s">
        <v>264</v>
      </c>
      <c r="BW1" s="187" t="s">
        <v>265</v>
      </c>
      <c r="BX1" s="187" t="s">
        <v>266</v>
      </c>
      <c r="BY1" s="187" t="s">
        <v>267</v>
      </c>
      <c r="BZ1" s="187" t="s">
        <v>268</v>
      </c>
      <c r="CA1" s="187" t="s">
        <v>269</v>
      </c>
      <c r="CB1" s="187" t="s">
        <v>270</v>
      </c>
      <c r="CC1" s="187" t="s">
        <v>271</v>
      </c>
      <c r="CD1" s="187" t="s">
        <v>272</v>
      </c>
      <c r="CE1" s="187" t="s">
        <v>273</v>
      </c>
      <c r="CF1" s="187" t="s">
        <v>274</v>
      </c>
      <c r="CG1" s="187" t="s">
        <v>275</v>
      </c>
    </row>
    <row r="2" spans="1:85" customFormat="1" x14ac:dyDescent="0.15">
      <c r="A2" s="186" t="s">
        <v>192</v>
      </c>
      <c r="B2" s="110">
        <v>0</v>
      </c>
      <c r="C2" s="110">
        <v>0</v>
      </c>
      <c r="D2" s="110">
        <v>0</v>
      </c>
      <c r="E2" s="110">
        <v>0</v>
      </c>
      <c r="F2" s="110">
        <v>0</v>
      </c>
      <c r="G2" s="110">
        <v>0</v>
      </c>
      <c r="H2" s="110">
        <v>0</v>
      </c>
      <c r="I2" s="110">
        <v>0</v>
      </c>
      <c r="J2" s="110">
        <v>0</v>
      </c>
      <c r="K2" s="110">
        <v>0</v>
      </c>
      <c r="L2" s="110">
        <v>0</v>
      </c>
      <c r="M2" s="110">
        <v>0</v>
      </c>
      <c r="N2" s="110">
        <v>0</v>
      </c>
      <c r="O2" s="110">
        <v>0</v>
      </c>
      <c r="P2" s="110">
        <v>0</v>
      </c>
      <c r="Q2" s="110">
        <v>0</v>
      </c>
      <c r="R2" s="110">
        <v>0</v>
      </c>
      <c r="S2" s="110">
        <v>0</v>
      </c>
      <c r="T2" s="110">
        <v>0</v>
      </c>
      <c r="U2" s="110">
        <v>0</v>
      </c>
      <c r="V2" s="110">
        <v>0</v>
      </c>
      <c r="W2" s="110">
        <v>0</v>
      </c>
      <c r="X2" s="110">
        <v>0</v>
      </c>
      <c r="Y2" s="110">
        <v>0</v>
      </c>
      <c r="Z2" s="110">
        <v>0</v>
      </c>
      <c r="AA2" s="110">
        <v>0</v>
      </c>
      <c r="AB2" s="110">
        <v>0</v>
      </c>
      <c r="AC2" s="110">
        <v>0</v>
      </c>
      <c r="AD2" s="110">
        <v>0</v>
      </c>
      <c r="AE2" s="110">
        <v>0</v>
      </c>
      <c r="AF2" s="110">
        <v>0</v>
      </c>
      <c r="AG2" s="110">
        <v>0</v>
      </c>
      <c r="AH2" s="110">
        <v>0</v>
      </c>
      <c r="AI2" s="110">
        <v>0</v>
      </c>
      <c r="AJ2" s="110">
        <v>0</v>
      </c>
      <c r="AK2" s="110">
        <v>0</v>
      </c>
      <c r="AL2" s="110">
        <v>0</v>
      </c>
      <c r="AM2" s="110">
        <v>0</v>
      </c>
      <c r="AN2" s="110">
        <v>0</v>
      </c>
      <c r="AO2" s="110">
        <v>0</v>
      </c>
      <c r="AP2" s="110">
        <v>0</v>
      </c>
      <c r="AQ2" s="110">
        <v>0</v>
      </c>
      <c r="AR2" s="110">
        <v>0</v>
      </c>
      <c r="AS2" s="110">
        <v>0</v>
      </c>
      <c r="AT2" s="110">
        <v>0</v>
      </c>
      <c r="AU2" s="110">
        <v>0</v>
      </c>
      <c r="AV2" s="110">
        <v>0</v>
      </c>
      <c r="AW2" s="110">
        <v>0</v>
      </c>
      <c r="AX2" s="110">
        <v>0</v>
      </c>
      <c r="AY2" s="110">
        <v>0</v>
      </c>
      <c r="AZ2" s="110">
        <v>0</v>
      </c>
      <c r="BA2" s="110">
        <v>0</v>
      </c>
      <c r="BB2" s="110">
        <v>0</v>
      </c>
      <c r="BC2" s="110">
        <v>0</v>
      </c>
      <c r="BD2" s="110">
        <v>0</v>
      </c>
      <c r="BE2" s="110">
        <v>0</v>
      </c>
      <c r="BF2" s="110">
        <v>0</v>
      </c>
      <c r="BG2" s="110">
        <v>0</v>
      </c>
      <c r="BH2" s="110">
        <v>0</v>
      </c>
      <c r="BI2" s="110">
        <v>0</v>
      </c>
      <c r="BJ2" s="110">
        <v>0</v>
      </c>
      <c r="BK2" s="110">
        <v>0</v>
      </c>
      <c r="BL2" s="110">
        <v>0</v>
      </c>
      <c r="BM2" s="110">
        <v>0</v>
      </c>
      <c r="BN2" s="110">
        <v>0</v>
      </c>
      <c r="BO2" s="110">
        <v>0</v>
      </c>
      <c r="BP2" s="110">
        <v>0</v>
      </c>
      <c r="BQ2" s="110">
        <v>0</v>
      </c>
      <c r="BR2" s="110">
        <v>0</v>
      </c>
      <c r="BS2" s="110">
        <v>0</v>
      </c>
      <c r="BT2" s="110">
        <v>0</v>
      </c>
      <c r="BU2" s="110">
        <v>0</v>
      </c>
      <c r="BV2" s="110">
        <v>0</v>
      </c>
      <c r="BW2" s="110">
        <v>0</v>
      </c>
      <c r="BX2" s="110">
        <v>0</v>
      </c>
      <c r="BY2" s="110">
        <v>0</v>
      </c>
      <c r="BZ2" s="110">
        <v>0</v>
      </c>
      <c r="CA2" s="110">
        <v>0</v>
      </c>
      <c r="CB2" s="110">
        <v>0</v>
      </c>
      <c r="CC2" s="110">
        <v>0</v>
      </c>
      <c r="CD2" s="110">
        <v>0</v>
      </c>
      <c r="CE2" s="110">
        <v>0</v>
      </c>
      <c r="CF2" s="110">
        <v>0</v>
      </c>
      <c r="CG2" s="110">
        <v>0</v>
      </c>
    </row>
    <row r="3" spans="1:85" customFormat="1" x14ac:dyDescent="0.15">
      <c r="A3" s="186" t="s">
        <v>193</v>
      </c>
      <c r="B3" s="110">
        <v>0</v>
      </c>
      <c r="C3" s="110">
        <v>0</v>
      </c>
      <c r="D3" s="110">
        <v>0</v>
      </c>
      <c r="E3" s="110">
        <v>0</v>
      </c>
      <c r="F3" s="110">
        <v>0</v>
      </c>
      <c r="G3" s="110">
        <v>0</v>
      </c>
      <c r="H3" s="110">
        <v>0</v>
      </c>
      <c r="I3" s="110">
        <v>0</v>
      </c>
      <c r="J3" s="110">
        <v>0</v>
      </c>
      <c r="K3" s="110">
        <v>0</v>
      </c>
      <c r="L3" s="110">
        <v>0</v>
      </c>
      <c r="M3" s="110">
        <v>0</v>
      </c>
      <c r="N3" s="110">
        <v>0</v>
      </c>
      <c r="O3" s="110">
        <v>0</v>
      </c>
      <c r="P3" s="110">
        <v>0</v>
      </c>
      <c r="Q3" s="110">
        <v>0</v>
      </c>
      <c r="R3" s="110">
        <v>0</v>
      </c>
      <c r="S3" s="110">
        <v>0</v>
      </c>
      <c r="T3" s="110">
        <v>0</v>
      </c>
      <c r="U3" s="110">
        <v>0</v>
      </c>
      <c r="V3" s="110">
        <v>0</v>
      </c>
      <c r="W3" s="110">
        <v>0</v>
      </c>
      <c r="X3" s="110">
        <v>0</v>
      </c>
      <c r="Y3" s="110">
        <v>0</v>
      </c>
      <c r="Z3" s="110">
        <v>0</v>
      </c>
      <c r="AA3" s="110">
        <v>0</v>
      </c>
      <c r="AB3" s="110">
        <v>0</v>
      </c>
      <c r="AC3" s="110">
        <v>0</v>
      </c>
      <c r="AD3" s="110">
        <v>0</v>
      </c>
      <c r="AE3" s="110">
        <v>0</v>
      </c>
      <c r="AF3" s="110">
        <v>0</v>
      </c>
      <c r="AG3" s="110">
        <v>0</v>
      </c>
      <c r="AH3" s="110">
        <v>0</v>
      </c>
      <c r="AI3" s="110">
        <v>0</v>
      </c>
      <c r="AJ3" s="110">
        <v>0</v>
      </c>
      <c r="AK3" s="110">
        <v>0</v>
      </c>
      <c r="AL3" s="110">
        <v>0</v>
      </c>
      <c r="AM3" s="110">
        <v>0</v>
      </c>
      <c r="AN3" s="110">
        <v>0</v>
      </c>
      <c r="AO3" s="110">
        <v>0</v>
      </c>
      <c r="AP3" s="110">
        <v>0</v>
      </c>
      <c r="AQ3" s="110">
        <v>0</v>
      </c>
      <c r="AR3" s="110">
        <v>0</v>
      </c>
      <c r="AS3" s="110">
        <v>0</v>
      </c>
      <c r="AT3" s="110">
        <v>0</v>
      </c>
      <c r="AU3" s="110">
        <v>0</v>
      </c>
      <c r="AV3" s="110">
        <v>0</v>
      </c>
      <c r="AW3" s="110">
        <v>0</v>
      </c>
      <c r="AX3" s="110">
        <v>0</v>
      </c>
      <c r="AY3" s="110">
        <v>0</v>
      </c>
      <c r="AZ3" s="110">
        <v>0</v>
      </c>
      <c r="BA3" s="110">
        <v>0</v>
      </c>
      <c r="BB3" s="110">
        <v>0</v>
      </c>
      <c r="BC3" s="110">
        <v>0</v>
      </c>
      <c r="BD3" s="110">
        <v>0</v>
      </c>
      <c r="BE3" s="110">
        <v>0</v>
      </c>
      <c r="BF3" s="110">
        <v>0</v>
      </c>
      <c r="BG3" s="110">
        <v>0</v>
      </c>
      <c r="BH3" s="110">
        <v>0</v>
      </c>
      <c r="BI3" s="110">
        <v>0</v>
      </c>
      <c r="BJ3" s="110">
        <v>0</v>
      </c>
      <c r="BK3" s="110">
        <v>0</v>
      </c>
      <c r="BL3" s="110">
        <v>0</v>
      </c>
      <c r="BM3" s="110">
        <v>0</v>
      </c>
      <c r="BN3" s="110">
        <v>0</v>
      </c>
      <c r="BO3" s="110">
        <v>0</v>
      </c>
      <c r="BP3" s="110">
        <v>0</v>
      </c>
      <c r="BQ3" s="110">
        <v>0</v>
      </c>
      <c r="BR3" s="110">
        <v>0</v>
      </c>
      <c r="BS3" s="110">
        <v>0</v>
      </c>
      <c r="BT3" s="110">
        <v>0</v>
      </c>
      <c r="BU3" s="110">
        <v>0</v>
      </c>
      <c r="BV3" s="110">
        <v>0</v>
      </c>
      <c r="BW3" s="110">
        <v>0</v>
      </c>
      <c r="BX3" s="110">
        <v>0</v>
      </c>
      <c r="BY3" s="110">
        <v>0</v>
      </c>
      <c r="BZ3" s="110">
        <v>0</v>
      </c>
      <c r="CA3" s="110">
        <v>0</v>
      </c>
      <c r="CB3" s="110">
        <v>0</v>
      </c>
      <c r="CC3" s="110">
        <v>0</v>
      </c>
      <c r="CD3" s="110">
        <v>0</v>
      </c>
      <c r="CE3" s="110">
        <v>0</v>
      </c>
      <c r="CF3" s="110">
        <v>0</v>
      </c>
      <c r="CG3" s="110">
        <v>0</v>
      </c>
    </row>
    <row r="4" spans="1:85" customFormat="1" x14ac:dyDescent="0.15">
      <c r="A4" s="186" t="s">
        <v>194</v>
      </c>
      <c r="B4" s="110">
        <v>0</v>
      </c>
      <c r="C4" s="110">
        <v>0</v>
      </c>
      <c r="D4" s="110">
        <v>0</v>
      </c>
      <c r="E4" s="110">
        <v>0</v>
      </c>
      <c r="F4" s="110">
        <v>0</v>
      </c>
      <c r="G4" s="110">
        <v>0</v>
      </c>
      <c r="H4" s="110">
        <v>0</v>
      </c>
      <c r="I4" s="110">
        <v>0</v>
      </c>
      <c r="J4" s="110">
        <v>0</v>
      </c>
      <c r="K4" s="110">
        <v>0</v>
      </c>
      <c r="L4" s="110">
        <v>0</v>
      </c>
      <c r="M4" s="110">
        <v>0</v>
      </c>
      <c r="N4" s="110">
        <v>0</v>
      </c>
      <c r="O4" s="110">
        <v>0</v>
      </c>
      <c r="P4" s="110">
        <v>0</v>
      </c>
      <c r="Q4" s="110">
        <v>0</v>
      </c>
      <c r="R4" s="110">
        <v>0</v>
      </c>
      <c r="S4" s="110">
        <v>0</v>
      </c>
      <c r="T4" s="110">
        <v>0</v>
      </c>
      <c r="U4" s="110">
        <v>0</v>
      </c>
      <c r="V4" s="110">
        <v>0</v>
      </c>
      <c r="W4" s="110">
        <v>0</v>
      </c>
      <c r="X4" s="110">
        <v>0</v>
      </c>
      <c r="Y4" s="110">
        <v>0</v>
      </c>
      <c r="Z4" s="110">
        <v>0</v>
      </c>
      <c r="AA4" s="110">
        <v>0</v>
      </c>
      <c r="AB4" s="110">
        <v>0</v>
      </c>
      <c r="AC4" s="110">
        <v>0</v>
      </c>
      <c r="AD4" s="110">
        <v>0</v>
      </c>
      <c r="AE4" s="110">
        <v>0</v>
      </c>
      <c r="AF4" s="110">
        <v>0</v>
      </c>
      <c r="AG4" s="110">
        <v>0</v>
      </c>
      <c r="AH4" s="110">
        <v>0</v>
      </c>
      <c r="AI4" s="110">
        <v>0</v>
      </c>
      <c r="AJ4" s="110">
        <v>0</v>
      </c>
      <c r="AK4" s="110">
        <v>0</v>
      </c>
      <c r="AL4" s="110">
        <v>0</v>
      </c>
      <c r="AM4" s="110">
        <v>0</v>
      </c>
      <c r="AN4" s="110">
        <v>0</v>
      </c>
      <c r="AO4" s="110">
        <v>0</v>
      </c>
      <c r="AP4" s="110">
        <v>0</v>
      </c>
      <c r="AQ4" s="110">
        <v>0</v>
      </c>
      <c r="AR4" s="110">
        <v>0</v>
      </c>
      <c r="AS4" s="110">
        <v>0</v>
      </c>
      <c r="AT4" s="110">
        <v>0</v>
      </c>
      <c r="AU4" s="110">
        <v>0</v>
      </c>
      <c r="AV4" s="110">
        <v>0</v>
      </c>
      <c r="AW4" s="110">
        <v>0</v>
      </c>
      <c r="AX4" s="110">
        <v>0</v>
      </c>
      <c r="AY4" s="110">
        <v>0</v>
      </c>
      <c r="AZ4" s="110">
        <v>0</v>
      </c>
      <c r="BA4" s="110">
        <v>0</v>
      </c>
      <c r="BB4" s="110">
        <v>0</v>
      </c>
      <c r="BC4" s="110">
        <v>0</v>
      </c>
      <c r="BD4" s="110">
        <v>0</v>
      </c>
      <c r="BE4" s="110">
        <v>0</v>
      </c>
      <c r="BF4" s="110">
        <v>0</v>
      </c>
      <c r="BG4" s="110">
        <v>0</v>
      </c>
      <c r="BH4" s="110">
        <v>0</v>
      </c>
      <c r="BI4" s="110">
        <v>0</v>
      </c>
      <c r="BJ4" s="110">
        <v>0</v>
      </c>
      <c r="BK4" s="110">
        <v>0</v>
      </c>
      <c r="BL4" s="110">
        <v>0</v>
      </c>
      <c r="BM4" s="110">
        <v>0</v>
      </c>
      <c r="BN4" s="110">
        <v>0</v>
      </c>
      <c r="BO4" s="110">
        <v>0</v>
      </c>
      <c r="BP4" s="110">
        <v>0</v>
      </c>
      <c r="BQ4" s="110">
        <v>0</v>
      </c>
      <c r="BR4" s="110">
        <v>0</v>
      </c>
      <c r="BS4" s="110">
        <v>0</v>
      </c>
      <c r="BT4" s="110">
        <v>0</v>
      </c>
      <c r="BU4" s="110">
        <v>0</v>
      </c>
      <c r="BV4" s="110">
        <v>0</v>
      </c>
      <c r="BW4" s="110">
        <v>0</v>
      </c>
      <c r="BX4" s="110">
        <v>0</v>
      </c>
      <c r="BY4" s="110">
        <v>0</v>
      </c>
      <c r="BZ4" s="110">
        <v>0</v>
      </c>
      <c r="CA4" s="110">
        <v>0</v>
      </c>
      <c r="CB4" s="110">
        <v>0</v>
      </c>
      <c r="CC4" s="110">
        <v>0</v>
      </c>
      <c r="CD4" s="110">
        <v>0</v>
      </c>
      <c r="CE4" s="110">
        <v>0</v>
      </c>
      <c r="CF4" s="110">
        <v>0</v>
      </c>
      <c r="CG4" s="110">
        <v>0</v>
      </c>
    </row>
    <row r="5" spans="1:85" customFormat="1" x14ac:dyDescent="0.15">
      <c r="A5" s="186" t="s">
        <v>195</v>
      </c>
      <c r="B5" s="110">
        <v>0</v>
      </c>
      <c r="C5" s="110">
        <v>0</v>
      </c>
      <c r="D5" s="110">
        <v>0.8</v>
      </c>
      <c r="E5" s="110">
        <v>0</v>
      </c>
      <c r="F5" s="110">
        <v>0</v>
      </c>
      <c r="G5" s="110">
        <v>0</v>
      </c>
      <c r="H5" s="110">
        <v>0.8</v>
      </c>
      <c r="I5" s="110">
        <v>0</v>
      </c>
      <c r="J5" s="110">
        <v>0</v>
      </c>
      <c r="K5" s="110">
        <v>0</v>
      </c>
      <c r="L5" s="110">
        <v>0</v>
      </c>
      <c r="M5" s="110">
        <v>0</v>
      </c>
      <c r="N5" s="110">
        <v>0</v>
      </c>
      <c r="O5" s="110">
        <v>0</v>
      </c>
      <c r="P5" s="110">
        <v>0</v>
      </c>
      <c r="Q5" s="110">
        <v>0</v>
      </c>
      <c r="R5" s="110">
        <v>0</v>
      </c>
      <c r="S5" s="110">
        <v>0</v>
      </c>
      <c r="T5" s="110">
        <v>0</v>
      </c>
      <c r="U5" s="110">
        <v>0</v>
      </c>
      <c r="V5" s="110">
        <v>0</v>
      </c>
      <c r="W5" s="110">
        <v>0</v>
      </c>
      <c r="X5" s="110">
        <v>0</v>
      </c>
      <c r="Y5" s="110">
        <v>0</v>
      </c>
      <c r="Z5" s="110">
        <v>0</v>
      </c>
      <c r="AA5" s="110">
        <v>0</v>
      </c>
      <c r="AB5" s="110">
        <v>0</v>
      </c>
      <c r="AC5" s="110">
        <v>0</v>
      </c>
      <c r="AD5" s="110">
        <v>0</v>
      </c>
      <c r="AE5" s="110">
        <v>0</v>
      </c>
      <c r="AF5" s="110">
        <v>0</v>
      </c>
      <c r="AG5" s="110">
        <v>0</v>
      </c>
      <c r="AH5" s="110">
        <v>0</v>
      </c>
      <c r="AI5" s="110">
        <v>0</v>
      </c>
      <c r="AJ5" s="110">
        <v>0</v>
      </c>
      <c r="AK5" s="110">
        <v>0</v>
      </c>
      <c r="AL5" s="110">
        <v>0</v>
      </c>
      <c r="AM5" s="110">
        <v>0</v>
      </c>
      <c r="AN5" s="110">
        <v>0</v>
      </c>
      <c r="AO5" s="110">
        <v>0</v>
      </c>
      <c r="AP5" s="110">
        <v>0</v>
      </c>
      <c r="AQ5" s="110">
        <v>0</v>
      </c>
      <c r="AR5" s="110">
        <v>0</v>
      </c>
      <c r="AS5" s="110">
        <v>0</v>
      </c>
      <c r="AT5" s="110">
        <v>0</v>
      </c>
      <c r="AU5" s="110">
        <v>0</v>
      </c>
      <c r="AV5" s="110">
        <v>0</v>
      </c>
      <c r="AW5" s="110">
        <v>0</v>
      </c>
      <c r="AX5" s="110">
        <v>0</v>
      </c>
      <c r="AY5" s="110">
        <v>0</v>
      </c>
      <c r="AZ5" s="110">
        <v>0</v>
      </c>
      <c r="BA5" s="110">
        <v>0</v>
      </c>
      <c r="BB5" s="110">
        <v>0</v>
      </c>
      <c r="BC5" s="110">
        <v>0</v>
      </c>
      <c r="BD5" s="110">
        <v>0</v>
      </c>
      <c r="BE5" s="110">
        <v>0</v>
      </c>
      <c r="BF5" s="110">
        <v>0</v>
      </c>
      <c r="BG5" s="110">
        <v>0</v>
      </c>
      <c r="BH5" s="110">
        <v>0</v>
      </c>
      <c r="BI5" s="110">
        <v>0</v>
      </c>
      <c r="BJ5" s="110">
        <v>0</v>
      </c>
      <c r="BK5" s="110">
        <v>0</v>
      </c>
      <c r="BL5" s="110">
        <v>0</v>
      </c>
      <c r="BM5" s="110">
        <v>0</v>
      </c>
      <c r="BN5" s="110">
        <v>0</v>
      </c>
      <c r="BO5" s="110">
        <v>0</v>
      </c>
      <c r="BP5" s="110">
        <v>0</v>
      </c>
      <c r="BQ5" s="110">
        <v>0</v>
      </c>
      <c r="BR5" s="110">
        <v>0</v>
      </c>
      <c r="BS5" s="110">
        <v>0</v>
      </c>
      <c r="BT5" s="110">
        <v>0</v>
      </c>
      <c r="BU5" s="110">
        <v>0</v>
      </c>
      <c r="BV5" s="110">
        <v>0</v>
      </c>
      <c r="BW5" s="110">
        <v>0</v>
      </c>
      <c r="BX5" s="110">
        <v>0</v>
      </c>
      <c r="BY5" s="110">
        <v>0</v>
      </c>
      <c r="BZ5" s="110">
        <v>0</v>
      </c>
      <c r="CA5" s="110">
        <v>0</v>
      </c>
      <c r="CB5" s="110">
        <v>0</v>
      </c>
      <c r="CC5" s="110">
        <v>0</v>
      </c>
      <c r="CD5" s="110">
        <v>0</v>
      </c>
      <c r="CE5" s="110">
        <v>0</v>
      </c>
      <c r="CF5" s="110">
        <v>0</v>
      </c>
      <c r="CG5" s="110">
        <v>0</v>
      </c>
    </row>
    <row r="6" spans="1:85" customFormat="1" x14ac:dyDescent="0.15">
      <c r="A6" s="186" t="s">
        <v>196</v>
      </c>
      <c r="B6" s="110">
        <v>0</v>
      </c>
      <c r="C6" s="110">
        <v>0</v>
      </c>
      <c r="D6" s="110">
        <v>0</v>
      </c>
      <c r="E6" s="110">
        <v>0</v>
      </c>
      <c r="F6" s="110">
        <v>0</v>
      </c>
      <c r="G6" s="110">
        <v>0</v>
      </c>
      <c r="H6" s="110">
        <v>0</v>
      </c>
      <c r="I6" s="110">
        <v>0</v>
      </c>
      <c r="J6" s="110">
        <v>0</v>
      </c>
      <c r="K6" s="110">
        <v>0</v>
      </c>
      <c r="L6" s="110">
        <v>0</v>
      </c>
      <c r="M6" s="110">
        <v>0</v>
      </c>
      <c r="N6" s="110">
        <v>0</v>
      </c>
      <c r="O6" s="110">
        <v>0</v>
      </c>
      <c r="P6" s="110">
        <v>0</v>
      </c>
      <c r="Q6" s="110">
        <v>0</v>
      </c>
      <c r="R6" s="110">
        <v>0</v>
      </c>
      <c r="S6" s="110">
        <v>0</v>
      </c>
      <c r="T6" s="110">
        <v>0</v>
      </c>
      <c r="U6" s="110">
        <v>0</v>
      </c>
      <c r="V6" s="110">
        <v>0</v>
      </c>
      <c r="W6" s="110">
        <v>0</v>
      </c>
      <c r="X6" s="110">
        <v>0</v>
      </c>
      <c r="Y6" s="110">
        <v>0</v>
      </c>
      <c r="Z6" s="110">
        <v>0</v>
      </c>
      <c r="AA6" s="110">
        <v>0</v>
      </c>
      <c r="AB6" s="110">
        <v>0</v>
      </c>
      <c r="AC6" s="110">
        <v>0</v>
      </c>
      <c r="AD6" s="110">
        <v>0</v>
      </c>
      <c r="AE6" s="110">
        <v>0</v>
      </c>
      <c r="AF6" s="110">
        <v>0</v>
      </c>
      <c r="AG6" s="110">
        <v>0</v>
      </c>
      <c r="AH6" s="110">
        <v>0</v>
      </c>
      <c r="AI6" s="110">
        <v>0</v>
      </c>
      <c r="AJ6" s="110">
        <v>0</v>
      </c>
      <c r="AK6" s="110">
        <v>0</v>
      </c>
      <c r="AL6" s="110">
        <v>0</v>
      </c>
      <c r="AM6" s="110">
        <v>0</v>
      </c>
      <c r="AN6" s="110">
        <v>0</v>
      </c>
      <c r="AO6" s="110">
        <v>0</v>
      </c>
      <c r="AP6" s="110">
        <v>0</v>
      </c>
      <c r="AQ6" s="110">
        <v>0</v>
      </c>
      <c r="AR6" s="110">
        <v>0</v>
      </c>
      <c r="AS6" s="110">
        <v>0</v>
      </c>
      <c r="AT6" s="110">
        <v>0</v>
      </c>
      <c r="AU6" s="110">
        <v>0</v>
      </c>
      <c r="AV6" s="110">
        <v>0</v>
      </c>
      <c r="AW6" s="110">
        <v>0</v>
      </c>
      <c r="AX6" s="110">
        <v>0</v>
      </c>
      <c r="AY6" s="110">
        <v>0</v>
      </c>
      <c r="AZ6" s="110">
        <v>0</v>
      </c>
      <c r="BA6" s="110">
        <v>0</v>
      </c>
      <c r="BB6" s="110">
        <v>0</v>
      </c>
      <c r="BC6" s="110">
        <v>0</v>
      </c>
      <c r="BD6" s="110">
        <v>0</v>
      </c>
      <c r="BE6" s="110">
        <v>0</v>
      </c>
      <c r="BF6" s="110">
        <v>0</v>
      </c>
      <c r="BG6" s="110">
        <v>0</v>
      </c>
      <c r="BH6" s="110">
        <v>0</v>
      </c>
      <c r="BI6" s="110">
        <v>0</v>
      </c>
      <c r="BJ6" s="110">
        <v>0</v>
      </c>
      <c r="BK6" s="110">
        <v>0</v>
      </c>
      <c r="BL6" s="110">
        <v>0</v>
      </c>
      <c r="BM6" s="110">
        <v>0</v>
      </c>
      <c r="BN6" s="110">
        <v>0</v>
      </c>
      <c r="BO6" s="110">
        <v>0</v>
      </c>
      <c r="BP6" s="110">
        <v>0</v>
      </c>
      <c r="BQ6" s="110">
        <v>0</v>
      </c>
      <c r="BR6" s="110">
        <v>0</v>
      </c>
      <c r="BS6" s="110">
        <v>0</v>
      </c>
      <c r="BT6" s="110">
        <v>0</v>
      </c>
      <c r="BU6" s="110">
        <v>0</v>
      </c>
      <c r="BV6" s="110">
        <v>0</v>
      </c>
      <c r="BW6" s="110">
        <v>0</v>
      </c>
      <c r="BX6" s="110">
        <v>0</v>
      </c>
      <c r="BY6" s="110">
        <v>0</v>
      </c>
      <c r="BZ6" s="110">
        <v>0</v>
      </c>
      <c r="CA6" s="110">
        <v>0</v>
      </c>
      <c r="CB6" s="110">
        <v>0</v>
      </c>
      <c r="CC6" s="110">
        <v>0</v>
      </c>
      <c r="CD6" s="110">
        <v>0</v>
      </c>
      <c r="CE6" s="110">
        <v>0</v>
      </c>
      <c r="CF6" s="110">
        <v>0</v>
      </c>
      <c r="CG6" s="110">
        <v>0</v>
      </c>
    </row>
    <row r="7" spans="1:85" customFormat="1" x14ac:dyDescent="0.15">
      <c r="A7" s="186" t="s">
        <v>197</v>
      </c>
      <c r="B7" s="110">
        <v>0</v>
      </c>
      <c r="C7" s="110">
        <v>0</v>
      </c>
      <c r="D7" s="110">
        <v>0</v>
      </c>
      <c r="E7" s="110">
        <v>0</v>
      </c>
      <c r="F7" s="110">
        <v>0</v>
      </c>
      <c r="G7" s="110">
        <v>0</v>
      </c>
      <c r="H7" s="110">
        <v>0</v>
      </c>
      <c r="I7" s="110">
        <v>0</v>
      </c>
      <c r="J7" s="110">
        <v>0</v>
      </c>
      <c r="K7" s="110">
        <v>0</v>
      </c>
      <c r="L7" s="110">
        <v>0</v>
      </c>
      <c r="M7" s="110">
        <v>0</v>
      </c>
      <c r="N7" s="110">
        <v>0</v>
      </c>
      <c r="O7" s="110">
        <v>0</v>
      </c>
      <c r="P7" s="110">
        <v>0</v>
      </c>
      <c r="Q7" s="110">
        <v>0</v>
      </c>
      <c r="R7" s="110">
        <v>0</v>
      </c>
      <c r="S7" s="110">
        <v>0</v>
      </c>
      <c r="T7" s="110">
        <v>0</v>
      </c>
      <c r="U7" s="110">
        <v>0</v>
      </c>
      <c r="V7" s="110">
        <v>0</v>
      </c>
      <c r="W7" s="110">
        <v>0</v>
      </c>
      <c r="X7" s="110">
        <v>0</v>
      </c>
      <c r="Y7" s="110">
        <v>0</v>
      </c>
      <c r="Z7" s="110">
        <v>0</v>
      </c>
      <c r="AA7" s="110">
        <v>0</v>
      </c>
      <c r="AB7" s="110">
        <v>0</v>
      </c>
      <c r="AC7" s="110">
        <v>0</v>
      </c>
      <c r="AD7" s="110">
        <v>0</v>
      </c>
      <c r="AE7" s="110">
        <v>0</v>
      </c>
      <c r="AF7" s="110">
        <v>0</v>
      </c>
      <c r="AG7" s="110">
        <v>0</v>
      </c>
      <c r="AH7" s="110">
        <v>0</v>
      </c>
      <c r="AI7" s="110">
        <v>0</v>
      </c>
      <c r="AJ7" s="110">
        <v>0</v>
      </c>
      <c r="AK7" s="110">
        <v>0</v>
      </c>
      <c r="AL7" s="110">
        <v>0</v>
      </c>
      <c r="AM7" s="110">
        <v>0</v>
      </c>
      <c r="AN7" s="110">
        <v>0</v>
      </c>
      <c r="AO7" s="110">
        <v>0</v>
      </c>
      <c r="AP7" s="110">
        <v>0</v>
      </c>
      <c r="AQ7" s="110">
        <v>0</v>
      </c>
      <c r="AR7" s="110">
        <v>0</v>
      </c>
      <c r="AS7" s="110">
        <v>0</v>
      </c>
      <c r="AT7" s="110">
        <v>0</v>
      </c>
      <c r="AU7" s="110">
        <v>0</v>
      </c>
      <c r="AV7" s="110">
        <v>0</v>
      </c>
      <c r="AW7" s="110">
        <v>0</v>
      </c>
      <c r="AX7" s="110">
        <v>0</v>
      </c>
      <c r="AY7" s="110">
        <v>0</v>
      </c>
      <c r="AZ7" s="110">
        <v>0</v>
      </c>
      <c r="BA7" s="110">
        <v>0</v>
      </c>
      <c r="BB7" s="110">
        <v>0</v>
      </c>
      <c r="BC7" s="110">
        <v>0</v>
      </c>
      <c r="BD7" s="110">
        <v>0</v>
      </c>
      <c r="BE7" s="110">
        <v>0</v>
      </c>
      <c r="BF7" s="110">
        <v>0</v>
      </c>
      <c r="BG7" s="110">
        <v>0</v>
      </c>
      <c r="BH7" s="110">
        <v>0</v>
      </c>
      <c r="BI7" s="110">
        <v>0</v>
      </c>
      <c r="BJ7" s="110">
        <v>0</v>
      </c>
      <c r="BK7" s="110">
        <v>0</v>
      </c>
      <c r="BL7" s="110">
        <v>0</v>
      </c>
      <c r="BM7" s="110">
        <v>0</v>
      </c>
      <c r="BN7" s="110">
        <v>0</v>
      </c>
      <c r="BO7" s="110">
        <v>0</v>
      </c>
      <c r="BP7" s="110">
        <v>0</v>
      </c>
      <c r="BQ7" s="110">
        <v>0</v>
      </c>
      <c r="BR7" s="110">
        <v>0</v>
      </c>
      <c r="BS7" s="110">
        <v>0</v>
      </c>
      <c r="BT7" s="110">
        <v>0</v>
      </c>
      <c r="BU7" s="110">
        <v>0</v>
      </c>
      <c r="BV7" s="110">
        <v>0</v>
      </c>
      <c r="BW7" s="110">
        <v>0</v>
      </c>
      <c r="BX7" s="110">
        <v>0</v>
      </c>
      <c r="BY7" s="110">
        <v>0</v>
      </c>
      <c r="BZ7" s="110">
        <v>0</v>
      </c>
      <c r="CA7" s="110">
        <v>0</v>
      </c>
      <c r="CB7" s="110">
        <v>0</v>
      </c>
      <c r="CC7" s="110">
        <v>0</v>
      </c>
      <c r="CD7" s="110">
        <v>0</v>
      </c>
      <c r="CE7" s="110">
        <v>0</v>
      </c>
      <c r="CF7" s="110">
        <v>0</v>
      </c>
      <c r="CG7" s="110">
        <v>0</v>
      </c>
    </row>
    <row r="8" spans="1:85" customFormat="1" x14ac:dyDescent="0.15">
      <c r="A8" s="186" t="s">
        <v>198</v>
      </c>
      <c r="B8" s="110">
        <v>0</v>
      </c>
      <c r="C8" s="110">
        <v>0</v>
      </c>
      <c r="D8" s="110">
        <v>0</v>
      </c>
      <c r="E8" s="110">
        <v>0</v>
      </c>
      <c r="F8" s="110">
        <v>0</v>
      </c>
      <c r="G8" s="110">
        <v>0</v>
      </c>
      <c r="H8" s="110">
        <v>0</v>
      </c>
      <c r="I8" s="110">
        <v>0</v>
      </c>
      <c r="J8" s="110">
        <v>0</v>
      </c>
      <c r="K8" s="110">
        <v>0</v>
      </c>
      <c r="L8" s="110">
        <v>0</v>
      </c>
      <c r="M8" s="110">
        <v>0</v>
      </c>
      <c r="N8" s="110">
        <v>0</v>
      </c>
      <c r="O8" s="110">
        <v>0</v>
      </c>
      <c r="P8" s="110">
        <v>0</v>
      </c>
      <c r="Q8" s="110">
        <v>0</v>
      </c>
      <c r="R8" s="110">
        <v>0</v>
      </c>
      <c r="S8" s="110">
        <v>0</v>
      </c>
      <c r="T8" s="110">
        <v>0</v>
      </c>
      <c r="U8" s="110">
        <v>0</v>
      </c>
      <c r="V8" s="110">
        <v>0</v>
      </c>
      <c r="W8" s="110">
        <v>0</v>
      </c>
      <c r="X8" s="110">
        <v>0</v>
      </c>
      <c r="Y8" s="110">
        <v>0</v>
      </c>
      <c r="Z8" s="110">
        <v>0</v>
      </c>
      <c r="AA8" s="110">
        <v>0</v>
      </c>
      <c r="AB8" s="110">
        <v>0</v>
      </c>
      <c r="AC8" s="110">
        <v>0</v>
      </c>
      <c r="AD8" s="110">
        <v>0</v>
      </c>
      <c r="AE8" s="110">
        <v>0</v>
      </c>
      <c r="AF8" s="110">
        <v>0</v>
      </c>
      <c r="AG8" s="110">
        <v>0</v>
      </c>
      <c r="AH8" s="110">
        <v>0</v>
      </c>
      <c r="AI8" s="110">
        <v>0</v>
      </c>
      <c r="AJ8" s="110">
        <v>0</v>
      </c>
      <c r="AK8" s="110">
        <v>0</v>
      </c>
      <c r="AL8" s="110">
        <v>0</v>
      </c>
      <c r="AM8" s="110">
        <v>0</v>
      </c>
      <c r="AN8" s="110">
        <v>0</v>
      </c>
      <c r="AO8" s="110">
        <v>0</v>
      </c>
      <c r="AP8" s="110">
        <v>0</v>
      </c>
      <c r="AQ8" s="110">
        <v>0</v>
      </c>
      <c r="AR8" s="110">
        <v>0</v>
      </c>
      <c r="AS8" s="110">
        <v>0</v>
      </c>
      <c r="AT8" s="110">
        <v>0</v>
      </c>
      <c r="AU8" s="110">
        <v>0</v>
      </c>
      <c r="AV8" s="110">
        <v>0</v>
      </c>
      <c r="AW8" s="110">
        <v>0</v>
      </c>
      <c r="AX8" s="110">
        <v>0</v>
      </c>
      <c r="AY8" s="110">
        <v>0</v>
      </c>
      <c r="AZ8" s="110">
        <v>0</v>
      </c>
      <c r="BA8" s="110">
        <v>0</v>
      </c>
      <c r="BB8" s="110">
        <v>0</v>
      </c>
      <c r="BC8" s="110">
        <v>0</v>
      </c>
      <c r="BD8" s="110">
        <v>0</v>
      </c>
      <c r="BE8" s="110">
        <v>0</v>
      </c>
      <c r="BF8" s="110">
        <v>0</v>
      </c>
      <c r="BG8" s="110">
        <v>0</v>
      </c>
      <c r="BH8" s="110">
        <v>0</v>
      </c>
      <c r="BI8" s="110">
        <v>0</v>
      </c>
      <c r="BJ8" s="110">
        <v>0</v>
      </c>
      <c r="BK8" s="110">
        <v>0</v>
      </c>
      <c r="BL8" s="110">
        <v>0</v>
      </c>
      <c r="BM8" s="110">
        <v>0</v>
      </c>
      <c r="BN8" s="110">
        <v>0</v>
      </c>
      <c r="BO8" s="110">
        <v>0</v>
      </c>
      <c r="BP8" s="110">
        <v>0</v>
      </c>
      <c r="BQ8" s="110">
        <v>0</v>
      </c>
      <c r="BR8" s="110">
        <v>0</v>
      </c>
      <c r="BS8" s="110">
        <v>0</v>
      </c>
      <c r="BT8" s="110">
        <v>0</v>
      </c>
      <c r="BU8" s="110">
        <v>0</v>
      </c>
      <c r="BV8" s="110">
        <v>0</v>
      </c>
      <c r="BW8" s="110">
        <v>0</v>
      </c>
      <c r="BX8" s="110">
        <v>0</v>
      </c>
      <c r="BY8" s="110">
        <v>0</v>
      </c>
      <c r="BZ8" s="110">
        <v>0</v>
      </c>
      <c r="CA8" s="110">
        <v>0</v>
      </c>
      <c r="CB8" s="110">
        <v>0</v>
      </c>
      <c r="CC8" s="110">
        <v>0</v>
      </c>
      <c r="CD8" s="110">
        <v>0</v>
      </c>
      <c r="CE8" s="110">
        <v>0</v>
      </c>
      <c r="CF8" s="110">
        <v>0</v>
      </c>
      <c r="CG8" s="110">
        <v>0</v>
      </c>
    </row>
    <row r="9" spans="1:85" customFormat="1" x14ac:dyDescent="0.15">
      <c r="A9" s="186" t="s">
        <v>199</v>
      </c>
      <c r="B9" s="110">
        <v>0</v>
      </c>
      <c r="C9" s="110">
        <v>0</v>
      </c>
      <c r="D9" s="110">
        <v>0</v>
      </c>
      <c r="E9" s="110">
        <v>0</v>
      </c>
      <c r="F9" s="110">
        <v>0</v>
      </c>
      <c r="G9" s="110">
        <v>0</v>
      </c>
      <c r="H9" s="110">
        <v>0</v>
      </c>
      <c r="I9" s="110">
        <v>0</v>
      </c>
      <c r="J9" s="110">
        <v>0</v>
      </c>
      <c r="K9" s="110">
        <v>0</v>
      </c>
      <c r="L9" s="110">
        <v>0</v>
      </c>
      <c r="M9" s="110">
        <v>0</v>
      </c>
      <c r="N9" s="110">
        <v>0</v>
      </c>
      <c r="O9" s="110">
        <v>0</v>
      </c>
      <c r="P9" s="110">
        <v>0</v>
      </c>
      <c r="Q9" s="110">
        <v>0</v>
      </c>
      <c r="R9" s="110">
        <v>0</v>
      </c>
      <c r="S9" s="110">
        <v>0</v>
      </c>
      <c r="T9" s="110">
        <v>0</v>
      </c>
      <c r="U9" s="110">
        <v>0</v>
      </c>
      <c r="V9" s="110">
        <v>0</v>
      </c>
      <c r="W9" s="110">
        <v>0</v>
      </c>
      <c r="X9" s="110">
        <v>0</v>
      </c>
      <c r="Y9" s="110">
        <v>0</v>
      </c>
      <c r="Z9" s="110">
        <v>0</v>
      </c>
      <c r="AA9" s="110">
        <v>0</v>
      </c>
      <c r="AB9" s="110">
        <v>0</v>
      </c>
      <c r="AC9" s="110">
        <v>0</v>
      </c>
      <c r="AD9" s="110">
        <v>0</v>
      </c>
      <c r="AE9" s="110">
        <v>0</v>
      </c>
      <c r="AF9" s="110">
        <v>0</v>
      </c>
      <c r="AG9" s="110">
        <v>0</v>
      </c>
      <c r="AH9" s="110">
        <v>0</v>
      </c>
      <c r="AI9" s="110">
        <v>0</v>
      </c>
      <c r="AJ9" s="110">
        <v>0</v>
      </c>
      <c r="AK9" s="110">
        <v>0</v>
      </c>
      <c r="AL9" s="110">
        <v>0</v>
      </c>
      <c r="AM9" s="110">
        <v>0</v>
      </c>
      <c r="AN9" s="110">
        <v>0</v>
      </c>
      <c r="AO9" s="110">
        <v>0</v>
      </c>
      <c r="AP9" s="110">
        <v>0</v>
      </c>
      <c r="AQ9" s="110">
        <v>0</v>
      </c>
      <c r="AR9" s="110">
        <v>0</v>
      </c>
      <c r="AS9" s="110">
        <v>0</v>
      </c>
      <c r="AT9" s="110">
        <v>0</v>
      </c>
      <c r="AU9" s="110">
        <v>0</v>
      </c>
      <c r="AV9" s="110">
        <v>0</v>
      </c>
      <c r="AW9" s="110">
        <v>0</v>
      </c>
      <c r="AX9" s="110">
        <v>0</v>
      </c>
      <c r="AY9" s="110">
        <v>0</v>
      </c>
      <c r="AZ9" s="110">
        <v>0</v>
      </c>
      <c r="BA9" s="110">
        <v>0</v>
      </c>
      <c r="BB9" s="110">
        <v>0</v>
      </c>
      <c r="BC9" s="110">
        <v>0</v>
      </c>
      <c r="BD9" s="110">
        <v>0</v>
      </c>
      <c r="BE9" s="110">
        <v>0</v>
      </c>
      <c r="BF9" s="110">
        <v>0</v>
      </c>
      <c r="BG9" s="110">
        <v>0</v>
      </c>
      <c r="BH9" s="110">
        <v>0</v>
      </c>
      <c r="BI9" s="110">
        <v>0</v>
      </c>
      <c r="BJ9" s="110">
        <v>0</v>
      </c>
      <c r="BK9" s="110">
        <v>0</v>
      </c>
      <c r="BL9" s="110">
        <v>0</v>
      </c>
      <c r="BM9" s="110">
        <v>0</v>
      </c>
      <c r="BN9" s="110">
        <v>0</v>
      </c>
      <c r="BO9" s="110">
        <v>0</v>
      </c>
      <c r="BP9" s="110">
        <v>0</v>
      </c>
      <c r="BQ9" s="110">
        <v>0</v>
      </c>
      <c r="BR9" s="110">
        <v>0</v>
      </c>
      <c r="BS9" s="110">
        <v>0</v>
      </c>
      <c r="BT9" s="110">
        <v>0</v>
      </c>
      <c r="BU9" s="110">
        <v>0</v>
      </c>
      <c r="BV9" s="110">
        <v>0</v>
      </c>
      <c r="BW9" s="110">
        <v>0</v>
      </c>
      <c r="BX9" s="110">
        <v>0</v>
      </c>
      <c r="BY9" s="110">
        <v>0</v>
      </c>
      <c r="BZ9" s="110">
        <v>0</v>
      </c>
      <c r="CA9" s="110">
        <v>0</v>
      </c>
      <c r="CB9" s="110">
        <v>0</v>
      </c>
      <c r="CC9" s="110">
        <v>0</v>
      </c>
      <c r="CD9" s="110">
        <v>0</v>
      </c>
      <c r="CE9" s="110">
        <v>0</v>
      </c>
      <c r="CF9" s="110">
        <v>0</v>
      </c>
      <c r="CG9" s="110">
        <v>0</v>
      </c>
    </row>
    <row r="10" spans="1:85" customFormat="1" x14ac:dyDescent="0.15">
      <c r="A10" s="186" t="s">
        <v>200</v>
      </c>
      <c r="B10" s="110">
        <v>0</v>
      </c>
      <c r="C10" s="110">
        <v>0</v>
      </c>
      <c r="D10" s="110">
        <v>0</v>
      </c>
      <c r="E10" s="110">
        <v>0</v>
      </c>
      <c r="F10" s="110">
        <v>0</v>
      </c>
      <c r="G10" s="110">
        <v>0</v>
      </c>
      <c r="H10" s="110">
        <v>0</v>
      </c>
      <c r="I10" s="110">
        <v>0</v>
      </c>
      <c r="J10" s="110">
        <v>0</v>
      </c>
      <c r="K10" s="110">
        <v>0</v>
      </c>
      <c r="L10" s="110">
        <v>0</v>
      </c>
      <c r="M10" s="110">
        <v>0</v>
      </c>
      <c r="N10" s="110">
        <v>0</v>
      </c>
      <c r="O10" s="110">
        <v>0</v>
      </c>
      <c r="P10" s="110">
        <v>0</v>
      </c>
      <c r="Q10" s="110">
        <v>0</v>
      </c>
      <c r="R10" s="110">
        <v>0</v>
      </c>
      <c r="S10" s="110">
        <v>0</v>
      </c>
      <c r="T10" s="110">
        <v>0</v>
      </c>
      <c r="U10" s="110">
        <v>0</v>
      </c>
      <c r="V10" s="110">
        <v>0</v>
      </c>
      <c r="W10" s="110">
        <v>0</v>
      </c>
      <c r="X10" s="110">
        <v>0</v>
      </c>
      <c r="Y10" s="110">
        <v>0</v>
      </c>
      <c r="Z10" s="110">
        <v>0</v>
      </c>
      <c r="AA10" s="110">
        <v>0</v>
      </c>
      <c r="AB10" s="110">
        <v>0</v>
      </c>
      <c r="AC10" s="110">
        <v>0</v>
      </c>
      <c r="AD10" s="110">
        <v>0</v>
      </c>
      <c r="AE10" s="110">
        <v>0</v>
      </c>
      <c r="AF10" s="110">
        <v>0</v>
      </c>
      <c r="AG10" s="110">
        <v>0</v>
      </c>
      <c r="AH10" s="110">
        <v>0</v>
      </c>
      <c r="AI10" s="110">
        <v>0</v>
      </c>
      <c r="AJ10" s="110">
        <v>0</v>
      </c>
      <c r="AK10" s="110">
        <v>0</v>
      </c>
      <c r="AL10" s="110">
        <v>0</v>
      </c>
      <c r="AM10" s="110">
        <v>0</v>
      </c>
      <c r="AN10" s="110">
        <v>0</v>
      </c>
      <c r="AO10" s="110">
        <v>0</v>
      </c>
      <c r="AP10" s="110">
        <v>0</v>
      </c>
      <c r="AQ10" s="110">
        <v>0</v>
      </c>
      <c r="AR10" s="110">
        <v>0</v>
      </c>
      <c r="AS10" s="110">
        <v>0</v>
      </c>
      <c r="AT10" s="110">
        <v>0</v>
      </c>
      <c r="AU10" s="110">
        <v>0</v>
      </c>
      <c r="AV10" s="110">
        <v>0</v>
      </c>
      <c r="AW10" s="110">
        <v>0</v>
      </c>
      <c r="AX10" s="110">
        <v>0</v>
      </c>
      <c r="AY10" s="110">
        <v>0</v>
      </c>
      <c r="AZ10" s="110">
        <v>0</v>
      </c>
      <c r="BA10" s="110">
        <v>0</v>
      </c>
      <c r="BB10" s="110">
        <v>0</v>
      </c>
      <c r="BC10" s="110">
        <v>0</v>
      </c>
      <c r="BD10" s="110">
        <v>0</v>
      </c>
      <c r="BE10" s="110">
        <v>0</v>
      </c>
      <c r="BF10" s="110">
        <v>0</v>
      </c>
      <c r="BG10" s="110">
        <v>0</v>
      </c>
      <c r="BH10" s="110">
        <v>0</v>
      </c>
      <c r="BI10" s="110">
        <v>0</v>
      </c>
      <c r="BJ10" s="110">
        <v>0</v>
      </c>
      <c r="BK10" s="110">
        <v>0</v>
      </c>
      <c r="BL10" s="110">
        <v>0</v>
      </c>
      <c r="BM10" s="110">
        <v>0</v>
      </c>
      <c r="BN10" s="110">
        <v>0</v>
      </c>
      <c r="BO10" s="110">
        <v>0</v>
      </c>
      <c r="BP10" s="110">
        <v>0</v>
      </c>
      <c r="BQ10" s="110">
        <v>0</v>
      </c>
      <c r="BR10" s="110">
        <v>0</v>
      </c>
      <c r="BS10" s="110">
        <v>0</v>
      </c>
      <c r="BT10" s="110">
        <v>0</v>
      </c>
      <c r="BU10" s="110">
        <v>0</v>
      </c>
      <c r="BV10" s="110">
        <v>0</v>
      </c>
      <c r="BW10" s="110">
        <v>0</v>
      </c>
      <c r="BX10" s="110">
        <v>0</v>
      </c>
      <c r="BY10" s="110">
        <v>0</v>
      </c>
      <c r="BZ10" s="110">
        <v>0</v>
      </c>
      <c r="CA10" s="110">
        <v>0</v>
      </c>
      <c r="CB10" s="110">
        <v>0</v>
      </c>
      <c r="CC10" s="110">
        <v>0</v>
      </c>
      <c r="CD10" s="110">
        <v>0</v>
      </c>
      <c r="CE10" s="110">
        <v>0</v>
      </c>
      <c r="CF10" s="110">
        <v>0</v>
      </c>
      <c r="CG10" s="110">
        <v>0</v>
      </c>
    </row>
    <row r="11" spans="1:85" customFormat="1" x14ac:dyDescent="0.15">
      <c r="A11" s="186" t="s">
        <v>201</v>
      </c>
      <c r="B11" s="110">
        <v>0</v>
      </c>
      <c r="C11" s="110">
        <v>0</v>
      </c>
      <c r="D11" s="110">
        <v>0</v>
      </c>
      <c r="E11" s="110">
        <v>0</v>
      </c>
      <c r="F11" s="110">
        <v>0</v>
      </c>
      <c r="G11" s="110">
        <v>0</v>
      </c>
      <c r="H11" s="110">
        <v>0</v>
      </c>
      <c r="I11" s="110">
        <v>0</v>
      </c>
      <c r="J11" s="110">
        <v>0</v>
      </c>
      <c r="K11" s="110">
        <v>0</v>
      </c>
      <c r="L11" s="110">
        <v>0</v>
      </c>
      <c r="M11" s="110">
        <v>0</v>
      </c>
      <c r="N11" s="110">
        <v>0</v>
      </c>
      <c r="O11" s="110">
        <v>0</v>
      </c>
      <c r="P11" s="110">
        <v>0</v>
      </c>
      <c r="Q11" s="110">
        <v>0</v>
      </c>
      <c r="R11" s="110">
        <v>0</v>
      </c>
      <c r="S11" s="110">
        <v>0</v>
      </c>
      <c r="T11" s="110">
        <v>0</v>
      </c>
      <c r="U11" s="110">
        <v>0</v>
      </c>
      <c r="V11" s="110">
        <v>0</v>
      </c>
      <c r="W11" s="110">
        <v>0</v>
      </c>
      <c r="X11" s="110">
        <v>0</v>
      </c>
      <c r="Y11" s="110">
        <v>0</v>
      </c>
      <c r="Z11" s="110">
        <v>0</v>
      </c>
      <c r="AA11" s="110">
        <v>0</v>
      </c>
      <c r="AB11" s="110">
        <v>0</v>
      </c>
      <c r="AC11" s="110">
        <v>0</v>
      </c>
      <c r="AD11" s="110">
        <v>0</v>
      </c>
      <c r="AE11" s="110">
        <v>0</v>
      </c>
      <c r="AF11" s="110">
        <v>0</v>
      </c>
      <c r="AG11" s="110">
        <v>0</v>
      </c>
      <c r="AH11" s="110">
        <v>0</v>
      </c>
      <c r="AI11" s="110">
        <v>0</v>
      </c>
      <c r="AJ11" s="110">
        <v>0</v>
      </c>
      <c r="AK11" s="110">
        <v>0</v>
      </c>
      <c r="AL11" s="110">
        <v>0</v>
      </c>
      <c r="AM11" s="110">
        <v>0</v>
      </c>
      <c r="AN11" s="110">
        <v>0</v>
      </c>
      <c r="AO11" s="110">
        <v>0</v>
      </c>
      <c r="AP11" s="110">
        <v>0</v>
      </c>
      <c r="AQ11" s="110">
        <v>0</v>
      </c>
      <c r="AR11" s="110">
        <v>0</v>
      </c>
      <c r="AS11" s="110">
        <v>0</v>
      </c>
      <c r="AT11" s="110">
        <v>0</v>
      </c>
      <c r="AU11" s="110">
        <v>0</v>
      </c>
      <c r="AV11" s="110">
        <v>0</v>
      </c>
      <c r="AW11" s="110">
        <v>0</v>
      </c>
      <c r="AX11" s="110">
        <v>0</v>
      </c>
      <c r="AY11" s="110">
        <v>0</v>
      </c>
      <c r="AZ11" s="110">
        <v>0</v>
      </c>
      <c r="BA11" s="110">
        <v>0</v>
      </c>
      <c r="BB11" s="110">
        <v>0</v>
      </c>
      <c r="BC11" s="110">
        <v>0</v>
      </c>
      <c r="BD11" s="110">
        <v>0</v>
      </c>
      <c r="BE11" s="110">
        <v>0</v>
      </c>
      <c r="BF11" s="110">
        <v>0</v>
      </c>
      <c r="BG11" s="110">
        <v>0</v>
      </c>
      <c r="BH11" s="110">
        <v>0</v>
      </c>
      <c r="BI11" s="110">
        <v>0</v>
      </c>
      <c r="BJ11" s="110">
        <v>0</v>
      </c>
      <c r="BK11" s="110">
        <v>0</v>
      </c>
      <c r="BL11" s="110">
        <v>0</v>
      </c>
      <c r="BM11" s="110">
        <v>0</v>
      </c>
      <c r="BN11" s="110">
        <v>0</v>
      </c>
      <c r="BO11" s="110">
        <v>0</v>
      </c>
      <c r="BP11" s="110">
        <v>0</v>
      </c>
      <c r="BQ11" s="110">
        <v>0</v>
      </c>
      <c r="BR11" s="110">
        <v>0</v>
      </c>
      <c r="BS11" s="110">
        <v>0</v>
      </c>
      <c r="BT11" s="110">
        <v>0</v>
      </c>
      <c r="BU11" s="110">
        <v>0</v>
      </c>
      <c r="BV11" s="110">
        <v>0</v>
      </c>
      <c r="BW11" s="110">
        <v>0</v>
      </c>
      <c r="BX11" s="110">
        <v>0</v>
      </c>
      <c r="BY11" s="110">
        <v>0</v>
      </c>
      <c r="BZ11" s="110">
        <v>0</v>
      </c>
      <c r="CA11" s="110">
        <v>0</v>
      </c>
      <c r="CB11" s="110">
        <v>0</v>
      </c>
      <c r="CC11" s="110">
        <v>0</v>
      </c>
      <c r="CD11" s="110">
        <v>0</v>
      </c>
      <c r="CE11" s="110">
        <v>0</v>
      </c>
      <c r="CF11" s="110">
        <v>0</v>
      </c>
      <c r="CG11" s="110">
        <v>0</v>
      </c>
    </row>
    <row r="12" spans="1:85" customFormat="1" x14ac:dyDescent="0.15">
      <c r="A12" s="186" t="s">
        <v>202</v>
      </c>
      <c r="B12" s="110">
        <v>0</v>
      </c>
      <c r="C12" s="110">
        <v>0</v>
      </c>
      <c r="D12" s="110">
        <v>0</v>
      </c>
      <c r="E12" s="110">
        <v>0</v>
      </c>
      <c r="F12" s="110">
        <v>0</v>
      </c>
      <c r="G12" s="110">
        <v>0</v>
      </c>
      <c r="H12" s="110">
        <v>0</v>
      </c>
      <c r="I12" s="110">
        <v>0</v>
      </c>
      <c r="J12" s="110">
        <v>0</v>
      </c>
      <c r="K12" s="110">
        <v>0</v>
      </c>
      <c r="L12" s="110">
        <v>0</v>
      </c>
      <c r="M12" s="110">
        <v>0.8</v>
      </c>
      <c r="N12" s="110">
        <v>0</v>
      </c>
      <c r="O12" s="110">
        <v>0.8</v>
      </c>
      <c r="P12" s="110">
        <v>0</v>
      </c>
      <c r="Q12" s="110">
        <v>0</v>
      </c>
      <c r="R12" s="110">
        <v>0</v>
      </c>
      <c r="S12" s="110">
        <v>0</v>
      </c>
      <c r="T12" s="110">
        <v>0</v>
      </c>
      <c r="U12" s="110">
        <v>0</v>
      </c>
      <c r="V12" s="110">
        <v>0</v>
      </c>
      <c r="W12" s="110">
        <v>0</v>
      </c>
      <c r="X12" s="110">
        <v>0</v>
      </c>
      <c r="Y12" s="110">
        <v>0</v>
      </c>
      <c r="Z12" s="110">
        <v>0</v>
      </c>
      <c r="AA12" s="110">
        <v>0</v>
      </c>
      <c r="AB12" s="110">
        <v>0</v>
      </c>
      <c r="AC12" s="110">
        <v>0</v>
      </c>
      <c r="AD12" s="110">
        <v>0</v>
      </c>
      <c r="AE12" s="110">
        <v>0</v>
      </c>
      <c r="AF12" s="110">
        <v>0</v>
      </c>
      <c r="AG12" s="110">
        <v>0</v>
      </c>
      <c r="AH12" s="110">
        <v>0</v>
      </c>
      <c r="AI12" s="110">
        <v>0</v>
      </c>
      <c r="AJ12" s="110">
        <v>0</v>
      </c>
      <c r="AK12" s="110">
        <v>0</v>
      </c>
      <c r="AL12" s="110">
        <v>0</v>
      </c>
      <c r="AM12" s="110">
        <v>0</v>
      </c>
      <c r="AN12" s="110">
        <v>0</v>
      </c>
      <c r="AO12" s="110">
        <v>0</v>
      </c>
      <c r="AP12" s="110">
        <v>0</v>
      </c>
      <c r="AQ12" s="110">
        <v>0</v>
      </c>
      <c r="AR12" s="110">
        <v>0</v>
      </c>
      <c r="AS12" s="110">
        <v>0</v>
      </c>
      <c r="AT12" s="110">
        <v>0</v>
      </c>
      <c r="AU12" s="110">
        <v>0</v>
      </c>
      <c r="AV12" s="110">
        <v>0</v>
      </c>
      <c r="AW12" s="110">
        <v>0</v>
      </c>
      <c r="AX12" s="110">
        <v>0</v>
      </c>
      <c r="AY12" s="110">
        <v>0</v>
      </c>
      <c r="AZ12" s="110">
        <v>0</v>
      </c>
      <c r="BA12" s="110">
        <v>0</v>
      </c>
      <c r="BB12" s="110">
        <v>0</v>
      </c>
      <c r="BC12" s="110">
        <v>0</v>
      </c>
      <c r="BD12" s="110">
        <v>0</v>
      </c>
      <c r="BE12" s="110">
        <v>0</v>
      </c>
      <c r="BF12" s="110">
        <v>0</v>
      </c>
      <c r="BG12" s="110">
        <v>0</v>
      </c>
      <c r="BH12" s="110">
        <v>0</v>
      </c>
      <c r="BI12" s="110">
        <v>0</v>
      </c>
      <c r="BJ12" s="110">
        <v>0</v>
      </c>
      <c r="BK12" s="110">
        <v>0</v>
      </c>
      <c r="BL12" s="110">
        <v>0</v>
      </c>
      <c r="BM12" s="110">
        <v>0</v>
      </c>
      <c r="BN12" s="110">
        <v>0</v>
      </c>
      <c r="BO12" s="110">
        <v>0</v>
      </c>
      <c r="BP12" s="110">
        <v>0</v>
      </c>
      <c r="BQ12" s="110">
        <v>0</v>
      </c>
      <c r="BR12" s="110">
        <v>0</v>
      </c>
      <c r="BS12" s="110">
        <v>0</v>
      </c>
      <c r="BT12" s="110">
        <v>0</v>
      </c>
      <c r="BU12" s="110">
        <v>0</v>
      </c>
      <c r="BV12" s="110">
        <v>0</v>
      </c>
      <c r="BW12" s="110">
        <v>0</v>
      </c>
      <c r="BX12" s="110">
        <v>0</v>
      </c>
      <c r="BY12" s="110">
        <v>0</v>
      </c>
      <c r="BZ12" s="110">
        <v>0</v>
      </c>
      <c r="CA12" s="110">
        <v>0</v>
      </c>
      <c r="CB12" s="110">
        <v>0</v>
      </c>
      <c r="CC12" s="110">
        <v>0</v>
      </c>
      <c r="CD12" s="110">
        <v>0</v>
      </c>
      <c r="CE12" s="110">
        <v>0</v>
      </c>
      <c r="CF12" s="110">
        <v>0</v>
      </c>
      <c r="CG12" s="110">
        <v>0</v>
      </c>
    </row>
    <row r="13" spans="1:85" customFormat="1" x14ac:dyDescent="0.15">
      <c r="A13" s="186" t="s">
        <v>203</v>
      </c>
      <c r="B13" s="110">
        <v>0</v>
      </c>
      <c r="C13" s="110">
        <v>0</v>
      </c>
      <c r="D13" s="110">
        <v>0</v>
      </c>
      <c r="E13" s="110">
        <v>0</v>
      </c>
      <c r="F13" s="110">
        <v>0</v>
      </c>
      <c r="G13" s="110">
        <v>0</v>
      </c>
      <c r="H13" s="110">
        <v>0</v>
      </c>
      <c r="I13" s="110">
        <v>0</v>
      </c>
      <c r="J13" s="110">
        <v>0</v>
      </c>
      <c r="K13" s="110">
        <v>0</v>
      </c>
      <c r="L13" s="110">
        <v>0</v>
      </c>
      <c r="M13" s="110">
        <v>0</v>
      </c>
      <c r="N13" s="110">
        <v>0</v>
      </c>
      <c r="O13" s="110">
        <v>0</v>
      </c>
      <c r="P13" s="110">
        <v>0</v>
      </c>
      <c r="Q13" s="110">
        <v>0</v>
      </c>
      <c r="R13" s="110">
        <v>0</v>
      </c>
      <c r="S13" s="110">
        <v>0</v>
      </c>
      <c r="T13" s="110">
        <v>0</v>
      </c>
      <c r="U13" s="110">
        <v>0</v>
      </c>
      <c r="V13" s="110">
        <v>0</v>
      </c>
      <c r="W13" s="110">
        <v>0</v>
      </c>
      <c r="X13" s="110">
        <v>0</v>
      </c>
      <c r="Y13" s="110">
        <v>0</v>
      </c>
      <c r="Z13" s="110">
        <v>0</v>
      </c>
      <c r="AA13" s="110">
        <v>0</v>
      </c>
      <c r="AB13" s="110">
        <v>0</v>
      </c>
      <c r="AC13" s="110">
        <v>0</v>
      </c>
      <c r="AD13" s="110">
        <v>0</v>
      </c>
      <c r="AE13" s="110">
        <v>0</v>
      </c>
      <c r="AF13" s="110">
        <v>0</v>
      </c>
      <c r="AG13" s="110">
        <v>0</v>
      </c>
      <c r="AH13" s="110">
        <v>0</v>
      </c>
      <c r="AI13" s="110">
        <v>0</v>
      </c>
      <c r="AJ13" s="110">
        <v>0</v>
      </c>
      <c r="AK13" s="110">
        <v>0</v>
      </c>
      <c r="AL13" s="110">
        <v>0</v>
      </c>
      <c r="AM13" s="110">
        <v>0</v>
      </c>
      <c r="AN13" s="110">
        <v>0</v>
      </c>
      <c r="AO13" s="110">
        <v>0</v>
      </c>
      <c r="AP13" s="110">
        <v>0</v>
      </c>
      <c r="AQ13" s="110">
        <v>0</v>
      </c>
      <c r="AR13" s="110">
        <v>0</v>
      </c>
      <c r="AS13" s="110">
        <v>0</v>
      </c>
      <c r="AT13" s="110">
        <v>0</v>
      </c>
      <c r="AU13" s="110">
        <v>0</v>
      </c>
      <c r="AV13" s="110">
        <v>0</v>
      </c>
      <c r="AW13" s="110">
        <v>0</v>
      </c>
      <c r="AX13" s="110">
        <v>0</v>
      </c>
      <c r="AY13" s="110">
        <v>0</v>
      </c>
      <c r="AZ13" s="110">
        <v>0</v>
      </c>
      <c r="BA13" s="110">
        <v>0</v>
      </c>
      <c r="BB13" s="110">
        <v>0</v>
      </c>
      <c r="BC13" s="110">
        <v>0</v>
      </c>
      <c r="BD13" s="110">
        <v>0</v>
      </c>
      <c r="BE13" s="110">
        <v>0</v>
      </c>
      <c r="BF13" s="110">
        <v>0</v>
      </c>
      <c r="BG13" s="110">
        <v>0</v>
      </c>
      <c r="BH13" s="110">
        <v>0</v>
      </c>
      <c r="BI13" s="110">
        <v>0</v>
      </c>
      <c r="BJ13" s="110">
        <v>0</v>
      </c>
      <c r="BK13" s="110">
        <v>0</v>
      </c>
      <c r="BL13" s="110">
        <v>0</v>
      </c>
      <c r="BM13" s="110">
        <v>0</v>
      </c>
      <c r="BN13" s="110">
        <v>0</v>
      </c>
      <c r="BO13" s="110">
        <v>0</v>
      </c>
      <c r="BP13" s="110">
        <v>0</v>
      </c>
      <c r="BQ13" s="110">
        <v>0</v>
      </c>
      <c r="BR13" s="110">
        <v>0</v>
      </c>
      <c r="BS13" s="110">
        <v>0</v>
      </c>
      <c r="BT13" s="110">
        <v>0</v>
      </c>
      <c r="BU13" s="110">
        <v>0</v>
      </c>
      <c r="BV13" s="110">
        <v>0</v>
      </c>
      <c r="BW13" s="110">
        <v>0</v>
      </c>
      <c r="BX13" s="110">
        <v>0</v>
      </c>
      <c r="BY13" s="110">
        <v>0</v>
      </c>
      <c r="BZ13" s="110">
        <v>0</v>
      </c>
      <c r="CA13" s="110">
        <v>0</v>
      </c>
      <c r="CB13" s="110">
        <v>0</v>
      </c>
      <c r="CC13" s="110">
        <v>0</v>
      </c>
      <c r="CD13" s="110">
        <v>0</v>
      </c>
      <c r="CE13" s="110">
        <v>0</v>
      </c>
      <c r="CF13" s="110">
        <v>0</v>
      </c>
      <c r="CG13" s="110">
        <v>0</v>
      </c>
    </row>
    <row r="14" spans="1:85" customFormat="1" x14ac:dyDescent="0.15">
      <c r="A14" s="186" t="s">
        <v>204</v>
      </c>
      <c r="B14" s="110">
        <v>0</v>
      </c>
      <c r="C14" s="110">
        <v>0</v>
      </c>
      <c r="D14" s="110">
        <v>0</v>
      </c>
      <c r="E14" s="110">
        <v>0</v>
      </c>
      <c r="F14" s="110">
        <v>0</v>
      </c>
      <c r="G14" s="110">
        <v>0</v>
      </c>
      <c r="H14" s="110">
        <v>0</v>
      </c>
      <c r="I14" s="110">
        <v>0</v>
      </c>
      <c r="J14" s="110">
        <v>0</v>
      </c>
      <c r="K14" s="110">
        <v>0</v>
      </c>
      <c r="L14" s="110">
        <v>0</v>
      </c>
      <c r="M14" s="110">
        <v>0</v>
      </c>
      <c r="N14" s="110">
        <v>0</v>
      </c>
      <c r="O14" s="110">
        <v>0</v>
      </c>
      <c r="P14" s="110">
        <v>0</v>
      </c>
      <c r="Q14" s="110">
        <v>0</v>
      </c>
      <c r="R14" s="110">
        <v>0</v>
      </c>
      <c r="S14" s="110">
        <v>0</v>
      </c>
      <c r="T14" s="110">
        <v>0</v>
      </c>
      <c r="U14" s="110">
        <v>0</v>
      </c>
      <c r="V14" s="110">
        <v>0</v>
      </c>
      <c r="W14" s="110">
        <v>0</v>
      </c>
      <c r="X14" s="110">
        <v>0</v>
      </c>
      <c r="Y14" s="110">
        <v>0</v>
      </c>
      <c r="Z14" s="110">
        <v>0</v>
      </c>
      <c r="AA14" s="110">
        <v>0</v>
      </c>
      <c r="AB14" s="110">
        <v>0</v>
      </c>
      <c r="AC14" s="110">
        <v>0</v>
      </c>
      <c r="AD14" s="110">
        <v>0</v>
      </c>
      <c r="AE14" s="110">
        <v>0</v>
      </c>
      <c r="AF14" s="110">
        <v>0</v>
      </c>
      <c r="AG14" s="110">
        <v>0</v>
      </c>
      <c r="AH14" s="110">
        <v>0</v>
      </c>
      <c r="AI14" s="110">
        <v>0</v>
      </c>
      <c r="AJ14" s="110">
        <v>0</v>
      </c>
      <c r="AK14" s="110">
        <v>0</v>
      </c>
      <c r="AL14" s="110">
        <v>0</v>
      </c>
      <c r="AM14" s="110">
        <v>0</v>
      </c>
      <c r="AN14" s="110">
        <v>0</v>
      </c>
      <c r="AO14" s="110">
        <v>0</v>
      </c>
      <c r="AP14" s="110">
        <v>0</v>
      </c>
      <c r="AQ14" s="110">
        <v>0</v>
      </c>
      <c r="AR14" s="110">
        <v>0</v>
      </c>
      <c r="AS14" s="110">
        <v>0</v>
      </c>
      <c r="AT14" s="110">
        <v>0</v>
      </c>
      <c r="AU14" s="110">
        <v>0</v>
      </c>
      <c r="AV14" s="110">
        <v>0</v>
      </c>
      <c r="AW14" s="110">
        <v>0</v>
      </c>
      <c r="AX14" s="110">
        <v>0</v>
      </c>
      <c r="AY14" s="110">
        <v>0</v>
      </c>
      <c r="AZ14" s="110">
        <v>0</v>
      </c>
      <c r="BA14" s="110">
        <v>0</v>
      </c>
      <c r="BB14" s="110">
        <v>0</v>
      </c>
      <c r="BC14" s="110">
        <v>0</v>
      </c>
      <c r="BD14" s="110">
        <v>0</v>
      </c>
      <c r="BE14" s="110">
        <v>0</v>
      </c>
      <c r="BF14" s="110">
        <v>0</v>
      </c>
      <c r="BG14" s="110">
        <v>0</v>
      </c>
      <c r="BH14" s="110">
        <v>0</v>
      </c>
      <c r="BI14" s="110">
        <v>0</v>
      </c>
      <c r="BJ14" s="110">
        <v>0</v>
      </c>
      <c r="BK14" s="110">
        <v>0</v>
      </c>
      <c r="BL14" s="110">
        <v>0</v>
      </c>
      <c r="BM14" s="110">
        <v>0</v>
      </c>
      <c r="BN14" s="110">
        <v>0</v>
      </c>
      <c r="BO14" s="110">
        <v>0</v>
      </c>
      <c r="BP14" s="110">
        <v>0</v>
      </c>
      <c r="BQ14" s="110">
        <v>0</v>
      </c>
      <c r="BR14" s="110">
        <v>0</v>
      </c>
      <c r="BS14" s="110">
        <v>0</v>
      </c>
      <c r="BT14" s="110">
        <v>0</v>
      </c>
      <c r="BU14" s="110">
        <v>0</v>
      </c>
      <c r="BV14" s="110">
        <v>0</v>
      </c>
      <c r="BW14" s="110">
        <v>0</v>
      </c>
      <c r="BX14" s="110">
        <v>0</v>
      </c>
      <c r="BY14" s="110">
        <v>0</v>
      </c>
      <c r="BZ14" s="110">
        <v>0</v>
      </c>
      <c r="CA14" s="110">
        <v>0</v>
      </c>
      <c r="CB14" s="110">
        <v>0</v>
      </c>
      <c r="CC14" s="110">
        <v>0</v>
      </c>
      <c r="CD14" s="110">
        <v>0</v>
      </c>
      <c r="CE14" s="110">
        <v>0</v>
      </c>
      <c r="CF14" s="110">
        <v>0</v>
      </c>
      <c r="CG14" s="110">
        <v>0</v>
      </c>
    </row>
    <row r="15" spans="1:85" customFormat="1" x14ac:dyDescent="0.15">
      <c r="A15" s="186" t="s">
        <v>205</v>
      </c>
      <c r="B15" s="110">
        <v>0</v>
      </c>
      <c r="C15" s="110">
        <v>0</v>
      </c>
      <c r="D15" s="110">
        <v>0</v>
      </c>
      <c r="E15" s="110">
        <v>0</v>
      </c>
      <c r="F15" s="110">
        <v>0</v>
      </c>
      <c r="G15" s="110">
        <v>0</v>
      </c>
      <c r="H15" s="110">
        <v>0</v>
      </c>
      <c r="I15" s="110">
        <v>0</v>
      </c>
      <c r="J15" s="110">
        <v>0</v>
      </c>
      <c r="K15" s="110">
        <v>0</v>
      </c>
      <c r="L15" s="110">
        <v>0</v>
      </c>
      <c r="M15" s="110">
        <v>0</v>
      </c>
      <c r="N15" s="110">
        <v>0</v>
      </c>
      <c r="O15" s="110">
        <v>0</v>
      </c>
      <c r="P15" s="110">
        <v>0</v>
      </c>
      <c r="Q15" s="110">
        <v>0</v>
      </c>
      <c r="R15" s="110">
        <v>0</v>
      </c>
      <c r="S15" s="110">
        <v>0</v>
      </c>
      <c r="T15" s="110">
        <v>0</v>
      </c>
      <c r="U15" s="110">
        <v>0</v>
      </c>
      <c r="V15" s="110">
        <v>0</v>
      </c>
      <c r="W15" s="110">
        <v>0</v>
      </c>
      <c r="X15" s="110">
        <v>0</v>
      </c>
      <c r="Y15" s="110">
        <v>0</v>
      </c>
      <c r="Z15" s="110">
        <v>0</v>
      </c>
      <c r="AA15" s="110">
        <v>0</v>
      </c>
      <c r="AB15" s="110">
        <v>0</v>
      </c>
      <c r="AC15" s="110">
        <v>0</v>
      </c>
      <c r="AD15" s="110">
        <v>0</v>
      </c>
      <c r="AE15" s="110">
        <v>0</v>
      </c>
      <c r="AF15" s="110">
        <v>0</v>
      </c>
      <c r="AG15" s="110">
        <v>0</v>
      </c>
      <c r="AH15" s="110">
        <v>0</v>
      </c>
      <c r="AI15" s="110">
        <v>0</v>
      </c>
      <c r="AJ15" s="110">
        <v>0</v>
      </c>
      <c r="AK15" s="110">
        <v>0</v>
      </c>
      <c r="AL15" s="110">
        <v>0</v>
      </c>
      <c r="AM15" s="110">
        <v>0</v>
      </c>
      <c r="AN15" s="110">
        <v>0</v>
      </c>
      <c r="AO15" s="110">
        <v>0</v>
      </c>
      <c r="AP15" s="110">
        <v>0</v>
      </c>
      <c r="AQ15" s="110">
        <v>0</v>
      </c>
      <c r="AR15" s="110">
        <v>0</v>
      </c>
      <c r="AS15" s="110">
        <v>0</v>
      </c>
      <c r="AT15" s="110">
        <v>0</v>
      </c>
      <c r="AU15" s="110">
        <v>0</v>
      </c>
      <c r="AV15" s="110">
        <v>0</v>
      </c>
      <c r="AW15" s="110">
        <v>0</v>
      </c>
      <c r="AX15" s="110">
        <v>0</v>
      </c>
      <c r="AY15" s="110">
        <v>0</v>
      </c>
      <c r="AZ15" s="110">
        <v>0</v>
      </c>
      <c r="BA15" s="110">
        <v>0</v>
      </c>
      <c r="BB15" s="110">
        <v>0</v>
      </c>
      <c r="BC15" s="110">
        <v>0</v>
      </c>
      <c r="BD15" s="110">
        <v>0</v>
      </c>
      <c r="BE15" s="110">
        <v>0</v>
      </c>
      <c r="BF15" s="110">
        <v>0</v>
      </c>
      <c r="BG15" s="110">
        <v>0</v>
      </c>
      <c r="BH15" s="110">
        <v>0</v>
      </c>
      <c r="BI15" s="110">
        <v>0</v>
      </c>
      <c r="BJ15" s="110">
        <v>0</v>
      </c>
      <c r="BK15" s="110">
        <v>0</v>
      </c>
      <c r="BL15" s="110">
        <v>0</v>
      </c>
      <c r="BM15" s="110">
        <v>0</v>
      </c>
      <c r="BN15" s="110">
        <v>0</v>
      </c>
      <c r="BO15" s="110">
        <v>0</v>
      </c>
      <c r="BP15" s="110">
        <v>0</v>
      </c>
      <c r="BQ15" s="110">
        <v>0</v>
      </c>
      <c r="BR15" s="110">
        <v>0</v>
      </c>
      <c r="BS15" s="110">
        <v>0</v>
      </c>
      <c r="BT15" s="110">
        <v>0</v>
      </c>
      <c r="BU15" s="110">
        <v>0</v>
      </c>
      <c r="BV15" s="110">
        <v>0</v>
      </c>
      <c r="BW15" s="110">
        <v>0</v>
      </c>
      <c r="BX15" s="110">
        <v>0</v>
      </c>
      <c r="BY15" s="110">
        <v>0</v>
      </c>
      <c r="BZ15" s="110">
        <v>0</v>
      </c>
      <c r="CA15" s="110">
        <v>0</v>
      </c>
      <c r="CB15" s="110">
        <v>0</v>
      </c>
      <c r="CC15" s="110">
        <v>0</v>
      </c>
      <c r="CD15" s="110">
        <v>0</v>
      </c>
      <c r="CE15" s="110">
        <v>0</v>
      </c>
      <c r="CF15" s="110">
        <v>0</v>
      </c>
      <c r="CG15" s="110">
        <v>0</v>
      </c>
    </row>
    <row r="16" spans="1:85" customFormat="1" x14ac:dyDescent="0.15">
      <c r="A16" s="186" t="s">
        <v>206</v>
      </c>
      <c r="B16" s="110">
        <v>0</v>
      </c>
      <c r="C16" s="110">
        <v>0</v>
      </c>
      <c r="D16" s="110">
        <v>0</v>
      </c>
      <c r="E16" s="110">
        <v>0</v>
      </c>
      <c r="F16" s="110">
        <v>0</v>
      </c>
      <c r="G16" s="110">
        <v>0</v>
      </c>
      <c r="H16" s="110">
        <v>0</v>
      </c>
      <c r="I16" s="110">
        <v>0</v>
      </c>
      <c r="J16" s="110">
        <v>0</v>
      </c>
      <c r="K16" s="110">
        <v>0</v>
      </c>
      <c r="L16" s="110">
        <v>0</v>
      </c>
      <c r="M16" s="110">
        <v>0</v>
      </c>
      <c r="N16" s="110">
        <v>0</v>
      </c>
      <c r="O16" s="110">
        <v>0</v>
      </c>
      <c r="P16" s="110">
        <v>0</v>
      </c>
      <c r="Q16" s="110">
        <v>0</v>
      </c>
      <c r="R16" s="110">
        <v>0</v>
      </c>
      <c r="S16" s="110">
        <v>0</v>
      </c>
      <c r="T16" s="110">
        <v>0</v>
      </c>
      <c r="U16" s="110">
        <v>0</v>
      </c>
      <c r="V16" s="110">
        <v>0</v>
      </c>
      <c r="W16" s="110">
        <v>0</v>
      </c>
      <c r="X16" s="110">
        <v>0</v>
      </c>
      <c r="Y16" s="110">
        <v>0</v>
      </c>
      <c r="Z16" s="110">
        <v>0</v>
      </c>
      <c r="AA16" s="110">
        <v>0</v>
      </c>
      <c r="AB16" s="110">
        <v>0</v>
      </c>
      <c r="AC16" s="110">
        <v>0</v>
      </c>
      <c r="AD16" s="110">
        <v>0</v>
      </c>
      <c r="AE16" s="110">
        <v>0</v>
      </c>
      <c r="AF16" s="110">
        <v>0</v>
      </c>
      <c r="AG16" s="110">
        <v>0</v>
      </c>
      <c r="AH16" s="110">
        <v>0</v>
      </c>
      <c r="AI16" s="110">
        <v>0</v>
      </c>
      <c r="AJ16" s="110">
        <v>0</v>
      </c>
      <c r="AK16" s="110">
        <v>0</v>
      </c>
      <c r="AL16" s="110">
        <v>0</v>
      </c>
      <c r="AM16" s="110">
        <v>0</v>
      </c>
      <c r="AN16" s="110">
        <v>0</v>
      </c>
      <c r="AO16" s="110">
        <v>0</v>
      </c>
      <c r="AP16" s="110">
        <v>0</v>
      </c>
      <c r="AQ16" s="110">
        <v>0</v>
      </c>
      <c r="AR16" s="110">
        <v>0</v>
      </c>
      <c r="AS16" s="110">
        <v>0</v>
      </c>
      <c r="AT16" s="110">
        <v>0</v>
      </c>
      <c r="AU16" s="110">
        <v>0</v>
      </c>
      <c r="AV16" s="110">
        <v>0</v>
      </c>
      <c r="AW16" s="110">
        <v>0</v>
      </c>
      <c r="AX16" s="110">
        <v>0</v>
      </c>
      <c r="AY16" s="110">
        <v>0</v>
      </c>
      <c r="AZ16" s="110">
        <v>0</v>
      </c>
      <c r="BA16" s="110">
        <v>0</v>
      </c>
      <c r="BB16" s="110">
        <v>0</v>
      </c>
      <c r="BC16" s="110">
        <v>0</v>
      </c>
      <c r="BD16" s="110">
        <v>0</v>
      </c>
      <c r="BE16" s="110">
        <v>0</v>
      </c>
      <c r="BF16" s="110">
        <v>0</v>
      </c>
      <c r="BG16" s="110">
        <v>0</v>
      </c>
      <c r="BH16" s="110">
        <v>0</v>
      </c>
      <c r="BI16" s="110">
        <v>0</v>
      </c>
      <c r="BJ16" s="110">
        <v>0</v>
      </c>
      <c r="BK16" s="110">
        <v>0</v>
      </c>
      <c r="BL16" s="110">
        <v>0</v>
      </c>
      <c r="BM16" s="110">
        <v>0</v>
      </c>
      <c r="BN16" s="110">
        <v>0</v>
      </c>
      <c r="BO16" s="110">
        <v>0</v>
      </c>
      <c r="BP16" s="110">
        <v>0</v>
      </c>
      <c r="BQ16" s="110">
        <v>0</v>
      </c>
      <c r="BR16" s="110">
        <v>0</v>
      </c>
      <c r="BS16" s="110">
        <v>0</v>
      </c>
      <c r="BT16" s="110">
        <v>0</v>
      </c>
      <c r="BU16" s="110">
        <v>0</v>
      </c>
      <c r="BV16" s="110">
        <v>0</v>
      </c>
      <c r="BW16" s="110">
        <v>0</v>
      </c>
      <c r="BX16" s="110">
        <v>0</v>
      </c>
      <c r="BY16" s="110">
        <v>0</v>
      </c>
      <c r="BZ16" s="110">
        <v>0</v>
      </c>
      <c r="CA16" s="110">
        <v>0</v>
      </c>
      <c r="CB16" s="110">
        <v>0</v>
      </c>
      <c r="CC16" s="110">
        <v>0</v>
      </c>
      <c r="CD16" s="110">
        <v>0</v>
      </c>
      <c r="CE16" s="110">
        <v>0</v>
      </c>
      <c r="CF16" s="110">
        <v>0</v>
      </c>
      <c r="CG16" s="110">
        <v>0</v>
      </c>
    </row>
    <row r="17" spans="1:85" customFormat="1" x14ac:dyDescent="0.15">
      <c r="A17" s="186" t="s">
        <v>207</v>
      </c>
      <c r="B17" s="110">
        <v>0</v>
      </c>
      <c r="C17" s="110">
        <v>0</v>
      </c>
      <c r="D17" s="110">
        <v>0</v>
      </c>
      <c r="E17" s="110">
        <v>0</v>
      </c>
      <c r="F17" s="110">
        <v>0</v>
      </c>
      <c r="G17" s="110">
        <v>0</v>
      </c>
      <c r="H17" s="110">
        <v>0</v>
      </c>
      <c r="I17" s="110">
        <v>0</v>
      </c>
      <c r="J17" s="110">
        <v>0</v>
      </c>
      <c r="K17" s="110">
        <v>0</v>
      </c>
      <c r="L17" s="110">
        <v>0</v>
      </c>
      <c r="M17" s="110">
        <v>0</v>
      </c>
      <c r="N17" s="110">
        <v>0</v>
      </c>
      <c r="O17" s="110">
        <v>0</v>
      </c>
      <c r="P17" s="110">
        <v>0</v>
      </c>
      <c r="Q17" s="110">
        <v>0</v>
      </c>
      <c r="R17" s="110">
        <v>0</v>
      </c>
      <c r="S17" s="110">
        <v>0</v>
      </c>
      <c r="T17" s="110">
        <v>0</v>
      </c>
      <c r="U17" s="110">
        <v>0</v>
      </c>
      <c r="V17" s="110">
        <v>0</v>
      </c>
      <c r="W17" s="110">
        <v>0</v>
      </c>
      <c r="X17" s="110">
        <v>0</v>
      </c>
      <c r="Y17" s="110">
        <v>0</v>
      </c>
      <c r="Z17" s="110">
        <v>0</v>
      </c>
      <c r="AA17" s="110">
        <v>0</v>
      </c>
      <c r="AB17" s="110">
        <v>0</v>
      </c>
      <c r="AC17" s="110">
        <v>0</v>
      </c>
      <c r="AD17" s="110">
        <v>0</v>
      </c>
      <c r="AE17" s="110">
        <v>0</v>
      </c>
      <c r="AF17" s="110">
        <v>0</v>
      </c>
      <c r="AG17" s="110">
        <v>0</v>
      </c>
      <c r="AH17" s="110">
        <v>0</v>
      </c>
      <c r="AI17" s="110">
        <v>0</v>
      </c>
      <c r="AJ17" s="110">
        <v>0</v>
      </c>
      <c r="AK17" s="110">
        <v>0</v>
      </c>
      <c r="AL17" s="110">
        <v>0</v>
      </c>
      <c r="AM17" s="110">
        <v>0</v>
      </c>
      <c r="AN17" s="110">
        <v>0</v>
      </c>
      <c r="AO17" s="110">
        <v>0</v>
      </c>
      <c r="AP17" s="110">
        <v>0</v>
      </c>
      <c r="AQ17" s="110">
        <v>0</v>
      </c>
      <c r="AR17" s="110">
        <v>0</v>
      </c>
      <c r="AS17" s="110">
        <v>0</v>
      </c>
      <c r="AT17" s="110">
        <v>0</v>
      </c>
      <c r="AU17" s="110">
        <v>0</v>
      </c>
      <c r="AV17" s="110">
        <v>0</v>
      </c>
      <c r="AW17" s="110">
        <v>0</v>
      </c>
      <c r="AX17" s="110">
        <v>0</v>
      </c>
      <c r="AY17" s="110">
        <v>0</v>
      </c>
      <c r="AZ17" s="110">
        <v>0</v>
      </c>
      <c r="BA17" s="110">
        <v>0</v>
      </c>
      <c r="BB17" s="110">
        <v>0</v>
      </c>
      <c r="BC17" s="110">
        <v>0</v>
      </c>
      <c r="BD17" s="110">
        <v>0</v>
      </c>
      <c r="BE17" s="110">
        <v>0</v>
      </c>
      <c r="BF17" s="110">
        <v>0</v>
      </c>
      <c r="BG17" s="110">
        <v>0</v>
      </c>
      <c r="BH17" s="110">
        <v>0</v>
      </c>
      <c r="BI17" s="110">
        <v>0</v>
      </c>
      <c r="BJ17" s="110">
        <v>0</v>
      </c>
      <c r="BK17" s="110">
        <v>0</v>
      </c>
      <c r="BL17" s="110">
        <v>0</v>
      </c>
      <c r="BM17" s="110">
        <v>0</v>
      </c>
      <c r="BN17" s="110">
        <v>0</v>
      </c>
      <c r="BO17" s="110">
        <v>0</v>
      </c>
      <c r="BP17" s="110">
        <v>0</v>
      </c>
      <c r="BQ17" s="110">
        <v>0</v>
      </c>
      <c r="BR17" s="110">
        <v>0</v>
      </c>
      <c r="BS17" s="110">
        <v>0</v>
      </c>
      <c r="BT17" s="110">
        <v>0</v>
      </c>
      <c r="BU17" s="110">
        <v>0</v>
      </c>
      <c r="BV17" s="110">
        <v>0</v>
      </c>
      <c r="BW17" s="110">
        <v>0</v>
      </c>
      <c r="BX17" s="110">
        <v>0</v>
      </c>
      <c r="BY17" s="110">
        <v>0</v>
      </c>
      <c r="BZ17" s="110">
        <v>0</v>
      </c>
      <c r="CA17" s="110">
        <v>0</v>
      </c>
      <c r="CB17" s="110">
        <v>0</v>
      </c>
      <c r="CC17" s="110">
        <v>0</v>
      </c>
      <c r="CD17" s="110">
        <v>0</v>
      </c>
      <c r="CE17" s="110">
        <v>0</v>
      </c>
      <c r="CF17" s="110">
        <v>0</v>
      </c>
      <c r="CG17" s="110">
        <v>0</v>
      </c>
    </row>
    <row r="18" spans="1:85" customFormat="1" x14ac:dyDescent="0.15">
      <c r="A18" s="186" t="s">
        <v>208</v>
      </c>
      <c r="B18" s="110">
        <v>0</v>
      </c>
      <c r="C18" s="110">
        <v>0</v>
      </c>
      <c r="D18" s="110">
        <v>0</v>
      </c>
      <c r="E18" s="110">
        <v>0</v>
      </c>
      <c r="F18" s="110">
        <v>0</v>
      </c>
      <c r="G18" s="110">
        <v>0</v>
      </c>
      <c r="H18" s="110">
        <v>0</v>
      </c>
      <c r="I18" s="110">
        <v>0</v>
      </c>
      <c r="J18" s="110">
        <v>0</v>
      </c>
      <c r="K18" s="110">
        <v>0</v>
      </c>
      <c r="L18" s="110">
        <v>0</v>
      </c>
      <c r="M18" s="110">
        <v>0</v>
      </c>
      <c r="N18" s="110">
        <v>0</v>
      </c>
      <c r="O18" s="110">
        <v>0</v>
      </c>
      <c r="P18" s="110">
        <v>0</v>
      </c>
      <c r="Q18" s="110">
        <v>0</v>
      </c>
      <c r="R18" s="110">
        <v>0</v>
      </c>
      <c r="S18" s="110">
        <v>0</v>
      </c>
      <c r="T18" s="110">
        <v>0</v>
      </c>
      <c r="U18" s="110">
        <v>0</v>
      </c>
      <c r="V18" s="110">
        <v>0</v>
      </c>
      <c r="W18" s="110">
        <v>0</v>
      </c>
      <c r="X18" s="110">
        <v>0</v>
      </c>
      <c r="Y18" s="110">
        <v>0</v>
      </c>
      <c r="Z18" s="110">
        <v>0</v>
      </c>
      <c r="AA18" s="110">
        <v>0</v>
      </c>
      <c r="AB18" s="110">
        <v>0</v>
      </c>
      <c r="AC18" s="110">
        <v>0</v>
      </c>
      <c r="AD18" s="110">
        <v>0</v>
      </c>
      <c r="AE18" s="110">
        <v>0</v>
      </c>
      <c r="AF18" s="110">
        <v>0</v>
      </c>
      <c r="AG18" s="110">
        <v>0</v>
      </c>
      <c r="AH18" s="110">
        <v>0</v>
      </c>
      <c r="AI18" s="110">
        <v>0</v>
      </c>
      <c r="AJ18" s="110">
        <v>0</v>
      </c>
      <c r="AK18" s="110">
        <v>0</v>
      </c>
      <c r="AL18" s="110">
        <v>0</v>
      </c>
      <c r="AM18" s="110">
        <v>0</v>
      </c>
      <c r="AN18" s="110">
        <v>0</v>
      </c>
      <c r="AO18" s="110">
        <v>0</v>
      </c>
      <c r="AP18" s="110">
        <v>0</v>
      </c>
      <c r="AQ18" s="110">
        <v>0</v>
      </c>
      <c r="AR18" s="110">
        <v>0</v>
      </c>
      <c r="AS18" s="110">
        <v>0</v>
      </c>
      <c r="AT18" s="110">
        <v>0</v>
      </c>
      <c r="AU18" s="110">
        <v>0</v>
      </c>
      <c r="AV18" s="110">
        <v>0</v>
      </c>
      <c r="AW18" s="110">
        <v>0</v>
      </c>
      <c r="AX18" s="110">
        <v>0</v>
      </c>
      <c r="AY18" s="110">
        <v>0</v>
      </c>
      <c r="AZ18" s="110">
        <v>0</v>
      </c>
      <c r="BA18" s="110">
        <v>0</v>
      </c>
      <c r="BB18" s="110">
        <v>0</v>
      </c>
      <c r="BC18" s="110">
        <v>0</v>
      </c>
      <c r="BD18" s="110">
        <v>0</v>
      </c>
      <c r="BE18" s="110">
        <v>0</v>
      </c>
      <c r="BF18" s="110">
        <v>0</v>
      </c>
      <c r="BG18" s="110">
        <v>0</v>
      </c>
      <c r="BH18" s="110">
        <v>0</v>
      </c>
      <c r="BI18" s="110">
        <v>0</v>
      </c>
      <c r="BJ18" s="110">
        <v>0</v>
      </c>
      <c r="BK18" s="110">
        <v>0</v>
      </c>
      <c r="BL18" s="110">
        <v>0</v>
      </c>
      <c r="BM18" s="110">
        <v>0</v>
      </c>
      <c r="BN18" s="110">
        <v>0</v>
      </c>
      <c r="BO18" s="110">
        <v>0</v>
      </c>
      <c r="BP18" s="110">
        <v>0</v>
      </c>
      <c r="BQ18" s="110">
        <v>0</v>
      </c>
      <c r="BR18" s="110">
        <v>0</v>
      </c>
      <c r="BS18" s="110">
        <v>0</v>
      </c>
      <c r="BT18" s="110">
        <v>0</v>
      </c>
      <c r="BU18" s="110">
        <v>0</v>
      </c>
      <c r="BV18" s="110">
        <v>0</v>
      </c>
      <c r="BW18" s="110">
        <v>0</v>
      </c>
      <c r="BX18" s="110">
        <v>0</v>
      </c>
      <c r="BY18" s="110">
        <v>0</v>
      </c>
      <c r="BZ18" s="110">
        <v>0</v>
      </c>
      <c r="CA18" s="110">
        <v>0</v>
      </c>
      <c r="CB18" s="110">
        <v>0</v>
      </c>
      <c r="CC18" s="110">
        <v>0</v>
      </c>
      <c r="CD18" s="110">
        <v>0</v>
      </c>
      <c r="CE18" s="110">
        <v>0</v>
      </c>
      <c r="CF18" s="110">
        <v>0</v>
      </c>
      <c r="CG18" s="110">
        <v>0</v>
      </c>
    </row>
    <row r="19" spans="1:85" customFormat="1" x14ac:dyDescent="0.15">
      <c r="A19" s="186" t="s">
        <v>209</v>
      </c>
      <c r="B19" s="110">
        <v>0.8</v>
      </c>
      <c r="C19" s="110">
        <v>0</v>
      </c>
      <c r="D19" s="110">
        <v>0</v>
      </c>
      <c r="E19" s="110">
        <v>0</v>
      </c>
      <c r="F19" s="110">
        <v>0</v>
      </c>
      <c r="G19" s="110">
        <v>0</v>
      </c>
      <c r="H19" s="110">
        <v>0</v>
      </c>
      <c r="I19" s="110">
        <v>0</v>
      </c>
      <c r="J19" s="110">
        <v>0</v>
      </c>
      <c r="K19" s="110">
        <v>0.8</v>
      </c>
      <c r="L19" s="110">
        <v>0</v>
      </c>
      <c r="M19" s="110">
        <v>0</v>
      </c>
      <c r="N19" s="110">
        <v>0</v>
      </c>
      <c r="O19" s="110">
        <v>0.8</v>
      </c>
      <c r="P19" s="110">
        <v>0</v>
      </c>
      <c r="Q19" s="110">
        <v>0</v>
      </c>
      <c r="R19" s="110">
        <v>0</v>
      </c>
      <c r="S19" s="110">
        <v>0</v>
      </c>
      <c r="T19" s="110">
        <v>0.8</v>
      </c>
      <c r="U19" s="110">
        <v>0</v>
      </c>
      <c r="V19" s="110">
        <v>0</v>
      </c>
      <c r="W19" s="110">
        <v>0</v>
      </c>
      <c r="X19" s="110">
        <v>0</v>
      </c>
      <c r="Y19" s="110">
        <v>0</v>
      </c>
      <c r="Z19" s="110">
        <v>0</v>
      </c>
      <c r="AA19" s="110">
        <v>0</v>
      </c>
      <c r="AB19" s="110">
        <v>0</v>
      </c>
      <c r="AC19" s="110">
        <v>0</v>
      </c>
      <c r="AD19" s="110">
        <v>0</v>
      </c>
      <c r="AE19" s="110">
        <v>0</v>
      </c>
      <c r="AF19" s="110">
        <v>0</v>
      </c>
      <c r="AG19" s="110">
        <v>0</v>
      </c>
      <c r="AH19" s="110">
        <v>0</v>
      </c>
      <c r="AI19" s="110">
        <v>0</v>
      </c>
      <c r="AJ19" s="110">
        <v>0</v>
      </c>
      <c r="AK19" s="110">
        <v>0</v>
      </c>
      <c r="AL19" s="110">
        <v>0</v>
      </c>
      <c r="AM19" s="110">
        <v>0</v>
      </c>
      <c r="AN19" s="110">
        <v>0</v>
      </c>
      <c r="AO19" s="110">
        <v>0</v>
      </c>
      <c r="AP19" s="110">
        <v>0</v>
      </c>
      <c r="AQ19" s="110">
        <v>0</v>
      </c>
      <c r="AR19" s="110">
        <v>0</v>
      </c>
      <c r="AS19" s="110">
        <v>0</v>
      </c>
      <c r="AT19" s="110">
        <v>0</v>
      </c>
      <c r="AU19" s="110">
        <v>0</v>
      </c>
      <c r="AV19" s="110">
        <v>0</v>
      </c>
      <c r="AW19" s="110">
        <v>0</v>
      </c>
      <c r="AX19" s="110">
        <v>0</v>
      </c>
      <c r="AY19" s="110">
        <v>0</v>
      </c>
      <c r="AZ19" s="110">
        <v>0</v>
      </c>
      <c r="BA19" s="110">
        <v>0</v>
      </c>
      <c r="BB19" s="110">
        <v>0</v>
      </c>
      <c r="BC19" s="110">
        <v>0</v>
      </c>
      <c r="BD19" s="110">
        <v>0</v>
      </c>
      <c r="BE19" s="110">
        <v>0</v>
      </c>
      <c r="BF19" s="110">
        <v>0</v>
      </c>
      <c r="BG19" s="110">
        <v>0</v>
      </c>
      <c r="BH19" s="110">
        <v>0</v>
      </c>
      <c r="BI19" s="110">
        <v>0</v>
      </c>
      <c r="BJ19" s="110">
        <v>0</v>
      </c>
      <c r="BK19" s="110">
        <v>0</v>
      </c>
      <c r="BL19" s="110">
        <v>0</v>
      </c>
      <c r="BM19" s="110">
        <v>0</v>
      </c>
      <c r="BN19" s="110">
        <v>0</v>
      </c>
      <c r="BO19" s="110">
        <v>0</v>
      </c>
      <c r="BP19" s="110">
        <v>0</v>
      </c>
      <c r="BQ19" s="110">
        <v>0</v>
      </c>
      <c r="BR19" s="110">
        <v>0</v>
      </c>
      <c r="BS19" s="110">
        <v>0</v>
      </c>
      <c r="BT19" s="110">
        <v>0</v>
      </c>
      <c r="BU19" s="110">
        <v>0</v>
      </c>
      <c r="BV19" s="110">
        <v>0</v>
      </c>
      <c r="BW19" s="110">
        <v>0</v>
      </c>
      <c r="BX19" s="110">
        <v>0</v>
      </c>
      <c r="BY19" s="110">
        <v>0</v>
      </c>
      <c r="BZ19" s="110">
        <v>0</v>
      </c>
      <c r="CA19" s="110">
        <v>0</v>
      </c>
      <c r="CB19" s="110">
        <v>0</v>
      </c>
      <c r="CC19" s="110">
        <v>0</v>
      </c>
      <c r="CD19" s="110">
        <v>0</v>
      </c>
      <c r="CE19" s="110">
        <v>0</v>
      </c>
      <c r="CF19" s="110">
        <v>0</v>
      </c>
      <c r="CG19" s="110">
        <v>0</v>
      </c>
    </row>
    <row r="20" spans="1:85" customFormat="1" x14ac:dyDescent="0.15">
      <c r="A20" s="186" t="s">
        <v>210</v>
      </c>
      <c r="B20" s="110">
        <v>0.8</v>
      </c>
      <c r="C20" s="110">
        <v>0</v>
      </c>
      <c r="D20" s="110">
        <v>0.8</v>
      </c>
      <c r="E20" s="110">
        <v>0</v>
      </c>
      <c r="F20" s="110">
        <v>0</v>
      </c>
      <c r="G20" s="110">
        <v>0</v>
      </c>
      <c r="H20" s="110">
        <v>0</v>
      </c>
      <c r="I20" s="110">
        <v>0</v>
      </c>
      <c r="J20" s="110">
        <v>0</v>
      </c>
      <c r="K20" s="110">
        <v>0.8</v>
      </c>
      <c r="L20" s="110">
        <v>0.8</v>
      </c>
      <c r="M20" s="110">
        <v>0.8</v>
      </c>
      <c r="N20" s="110">
        <v>0.8</v>
      </c>
      <c r="O20" s="110">
        <v>0.8</v>
      </c>
      <c r="P20" s="110">
        <v>0</v>
      </c>
      <c r="Q20" s="110">
        <v>0</v>
      </c>
      <c r="R20" s="110">
        <v>0</v>
      </c>
      <c r="S20" s="110">
        <v>0.8</v>
      </c>
      <c r="T20" s="110">
        <v>0</v>
      </c>
      <c r="U20" s="110">
        <v>0</v>
      </c>
      <c r="V20" s="110">
        <v>0.8</v>
      </c>
      <c r="W20" s="110">
        <v>0</v>
      </c>
      <c r="X20" s="110">
        <v>0</v>
      </c>
      <c r="Y20" s="110">
        <v>0</v>
      </c>
      <c r="Z20" s="110">
        <v>0</v>
      </c>
      <c r="AA20" s="110">
        <v>0</v>
      </c>
      <c r="AB20" s="110">
        <v>0</v>
      </c>
      <c r="AC20" s="110">
        <v>0</v>
      </c>
      <c r="AD20" s="110">
        <v>0</v>
      </c>
      <c r="AE20" s="110">
        <v>0</v>
      </c>
      <c r="AF20" s="110">
        <v>0</v>
      </c>
      <c r="AG20" s="110">
        <v>0</v>
      </c>
      <c r="AH20" s="110">
        <v>0</v>
      </c>
      <c r="AI20" s="110">
        <v>0</v>
      </c>
      <c r="AJ20" s="110">
        <v>0</v>
      </c>
      <c r="AK20" s="110">
        <v>0</v>
      </c>
      <c r="AL20" s="110">
        <v>0</v>
      </c>
      <c r="AM20" s="110">
        <v>0</v>
      </c>
      <c r="AN20" s="110">
        <v>0</v>
      </c>
      <c r="AO20" s="110">
        <v>0</v>
      </c>
      <c r="AP20" s="110">
        <v>0</v>
      </c>
      <c r="AQ20" s="110">
        <v>0</v>
      </c>
      <c r="AR20" s="110">
        <v>0</v>
      </c>
      <c r="AS20" s="110">
        <v>0</v>
      </c>
      <c r="AT20" s="110">
        <v>0</v>
      </c>
      <c r="AU20" s="110">
        <v>0</v>
      </c>
      <c r="AV20" s="110">
        <v>0</v>
      </c>
      <c r="AW20" s="110">
        <v>0</v>
      </c>
      <c r="AX20" s="110">
        <v>0</v>
      </c>
      <c r="AY20" s="110">
        <v>0</v>
      </c>
      <c r="AZ20" s="110">
        <v>0</v>
      </c>
      <c r="BA20" s="110">
        <v>0</v>
      </c>
      <c r="BB20" s="110">
        <v>0</v>
      </c>
      <c r="BC20" s="110">
        <v>0</v>
      </c>
      <c r="BD20" s="110">
        <v>0</v>
      </c>
      <c r="BE20" s="110">
        <v>0</v>
      </c>
      <c r="BF20" s="110">
        <v>0</v>
      </c>
      <c r="BG20" s="110">
        <v>0</v>
      </c>
      <c r="BH20" s="110">
        <v>0</v>
      </c>
      <c r="BI20" s="110">
        <v>0</v>
      </c>
      <c r="BJ20" s="110">
        <v>0</v>
      </c>
      <c r="BK20" s="110">
        <v>0</v>
      </c>
      <c r="BL20" s="110">
        <v>0</v>
      </c>
      <c r="BM20" s="110">
        <v>0</v>
      </c>
      <c r="BN20" s="110">
        <v>0</v>
      </c>
      <c r="BO20" s="110">
        <v>0</v>
      </c>
      <c r="BP20" s="110">
        <v>0</v>
      </c>
      <c r="BQ20" s="110">
        <v>0</v>
      </c>
      <c r="BR20" s="110">
        <v>0</v>
      </c>
      <c r="BS20" s="110">
        <v>0</v>
      </c>
      <c r="BT20" s="110">
        <v>0</v>
      </c>
      <c r="BU20" s="110">
        <v>0</v>
      </c>
      <c r="BV20" s="110">
        <v>0</v>
      </c>
      <c r="BW20" s="110">
        <v>0</v>
      </c>
      <c r="BX20" s="110">
        <v>0</v>
      </c>
      <c r="BY20" s="110">
        <v>0</v>
      </c>
      <c r="BZ20" s="110">
        <v>0</v>
      </c>
      <c r="CA20" s="110">
        <v>0</v>
      </c>
      <c r="CB20" s="110">
        <v>0</v>
      </c>
      <c r="CC20" s="110">
        <v>0</v>
      </c>
      <c r="CD20" s="110">
        <v>0</v>
      </c>
      <c r="CE20" s="110">
        <v>0</v>
      </c>
      <c r="CF20" s="110">
        <v>0</v>
      </c>
      <c r="CG20" s="110">
        <v>0</v>
      </c>
    </row>
    <row r="21" spans="1:85" customFormat="1" x14ac:dyDescent="0.15">
      <c r="A21" s="186" t="s">
        <v>211</v>
      </c>
      <c r="B21" s="110">
        <v>0.8</v>
      </c>
      <c r="C21" s="110">
        <v>0</v>
      </c>
      <c r="D21" s="110">
        <v>0</v>
      </c>
      <c r="E21" s="110">
        <v>0</v>
      </c>
      <c r="F21" s="110">
        <v>0.8</v>
      </c>
      <c r="G21" s="110">
        <v>0.8</v>
      </c>
      <c r="H21" s="110">
        <v>0.8</v>
      </c>
      <c r="I21" s="110">
        <v>0</v>
      </c>
      <c r="J21" s="110">
        <v>0</v>
      </c>
      <c r="K21" s="110">
        <v>0</v>
      </c>
      <c r="L21" s="110">
        <v>0</v>
      </c>
      <c r="M21" s="110">
        <v>0.8</v>
      </c>
      <c r="N21" s="110">
        <v>0.8</v>
      </c>
      <c r="O21" s="110">
        <v>0.8</v>
      </c>
      <c r="P21" s="110">
        <v>0</v>
      </c>
      <c r="Q21" s="110">
        <v>0</v>
      </c>
      <c r="R21" s="110">
        <v>0</v>
      </c>
      <c r="S21" s="110">
        <v>0.8</v>
      </c>
      <c r="T21" s="110">
        <v>0.8</v>
      </c>
      <c r="U21" s="110">
        <v>0</v>
      </c>
      <c r="V21" s="110">
        <v>0</v>
      </c>
      <c r="W21" s="110">
        <v>0</v>
      </c>
      <c r="X21" s="110">
        <v>0.8</v>
      </c>
      <c r="Y21" s="110">
        <v>0</v>
      </c>
      <c r="Z21" s="110">
        <v>0</v>
      </c>
      <c r="AA21" s="110">
        <v>0</v>
      </c>
      <c r="AB21" s="110">
        <v>0.8</v>
      </c>
      <c r="AC21" s="110">
        <v>0</v>
      </c>
      <c r="AD21" s="110">
        <v>0</v>
      </c>
      <c r="AE21" s="110">
        <v>0</v>
      </c>
      <c r="AF21" s="110">
        <v>0</v>
      </c>
      <c r="AG21" s="110">
        <v>0</v>
      </c>
      <c r="AH21" s="110">
        <v>0</v>
      </c>
      <c r="AI21" s="110">
        <v>0</v>
      </c>
      <c r="AJ21" s="110">
        <v>0</v>
      </c>
      <c r="AK21" s="110">
        <v>0</v>
      </c>
      <c r="AL21" s="110">
        <v>0</v>
      </c>
      <c r="AM21" s="110">
        <v>0</v>
      </c>
      <c r="AN21" s="110">
        <v>0</v>
      </c>
      <c r="AO21" s="110">
        <v>0</v>
      </c>
      <c r="AP21" s="110">
        <v>0</v>
      </c>
      <c r="AQ21" s="110">
        <v>0</v>
      </c>
      <c r="AR21" s="110">
        <v>0</v>
      </c>
      <c r="AS21" s="110">
        <v>0</v>
      </c>
      <c r="AT21" s="110">
        <v>0</v>
      </c>
      <c r="AU21" s="110">
        <v>0</v>
      </c>
      <c r="AV21" s="110">
        <v>0</v>
      </c>
      <c r="AW21" s="110">
        <v>0</v>
      </c>
      <c r="AX21" s="110">
        <v>0</v>
      </c>
      <c r="AY21" s="110">
        <v>0</v>
      </c>
      <c r="AZ21" s="110">
        <v>0</v>
      </c>
      <c r="BA21" s="110">
        <v>0</v>
      </c>
      <c r="BB21" s="110">
        <v>0</v>
      </c>
      <c r="BC21" s="110">
        <v>0</v>
      </c>
      <c r="BD21" s="110">
        <v>0</v>
      </c>
      <c r="BE21" s="110">
        <v>0</v>
      </c>
      <c r="BF21" s="110">
        <v>0</v>
      </c>
      <c r="BG21" s="110">
        <v>0</v>
      </c>
      <c r="BH21" s="110">
        <v>0</v>
      </c>
      <c r="BI21" s="110">
        <v>0</v>
      </c>
      <c r="BJ21" s="110">
        <v>0</v>
      </c>
      <c r="BK21" s="110">
        <v>0</v>
      </c>
      <c r="BL21" s="110">
        <v>0</v>
      </c>
      <c r="BM21" s="110">
        <v>0</v>
      </c>
      <c r="BN21" s="110">
        <v>0</v>
      </c>
      <c r="BO21" s="110">
        <v>0</v>
      </c>
      <c r="BP21" s="110">
        <v>0</v>
      </c>
      <c r="BQ21" s="110">
        <v>0</v>
      </c>
      <c r="BR21" s="110">
        <v>0</v>
      </c>
      <c r="BS21" s="110">
        <v>0</v>
      </c>
      <c r="BT21" s="110">
        <v>0</v>
      </c>
      <c r="BU21" s="110">
        <v>0</v>
      </c>
      <c r="BV21" s="110">
        <v>0</v>
      </c>
      <c r="BW21" s="110">
        <v>0</v>
      </c>
      <c r="BX21" s="110">
        <v>0</v>
      </c>
      <c r="BY21" s="110">
        <v>0</v>
      </c>
      <c r="BZ21" s="110">
        <v>0</v>
      </c>
      <c r="CA21" s="110">
        <v>0</v>
      </c>
      <c r="CB21" s="110">
        <v>0</v>
      </c>
      <c r="CC21" s="110">
        <v>0</v>
      </c>
      <c r="CD21" s="110">
        <v>0</v>
      </c>
      <c r="CE21" s="110">
        <v>0</v>
      </c>
      <c r="CF21" s="110">
        <v>0</v>
      </c>
      <c r="CG21" s="110">
        <v>0</v>
      </c>
    </row>
    <row r="22" spans="1:85" customFormat="1" x14ac:dyDescent="0.15">
      <c r="A22" s="186" t="s">
        <v>212</v>
      </c>
      <c r="B22" s="110">
        <v>0.8</v>
      </c>
      <c r="C22" s="110">
        <v>0</v>
      </c>
      <c r="D22" s="110">
        <v>0.8</v>
      </c>
      <c r="E22" s="110">
        <v>0</v>
      </c>
      <c r="F22" s="110">
        <v>0</v>
      </c>
      <c r="G22" s="110">
        <v>0</v>
      </c>
      <c r="H22" s="110">
        <v>0</v>
      </c>
      <c r="I22" s="110">
        <v>0</v>
      </c>
      <c r="J22" s="110">
        <v>0</v>
      </c>
      <c r="K22" s="110">
        <v>0.8</v>
      </c>
      <c r="L22" s="110">
        <v>0.8</v>
      </c>
      <c r="M22" s="110">
        <v>0.8</v>
      </c>
      <c r="N22" s="110">
        <v>0</v>
      </c>
      <c r="O22" s="110">
        <v>0.8</v>
      </c>
      <c r="P22" s="110">
        <v>0</v>
      </c>
      <c r="Q22" s="110">
        <v>0</v>
      </c>
      <c r="R22" s="110">
        <v>0</v>
      </c>
      <c r="S22" s="110">
        <v>0.8</v>
      </c>
      <c r="T22" s="110">
        <v>0.8</v>
      </c>
      <c r="U22" s="110">
        <v>0.8</v>
      </c>
      <c r="V22" s="110">
        <v>0</v>
      </c>
      <c r="W22" s="110">
        <v>0.8</v>
      </c>
      <c r="X22" s="110">
        <v>0.8</v>
      </c>
      <c r="Y22" s="110">
        <v>0.8</v>
      </c>
      <c r="Z22" s="110">
        <v>0.8</v>
      </c>
      <c r="AA22" s="110">
        <v>0.8</v>
      </c>
      <c r="AB22" s="110">
        <v>0.8</v>
      </c>
      <c r="AC22" s="110">
        <v>0.8</v>
      </c>
      <c r="AD22" s="110">
        <v>0.8</v>
      </c>
      <c r="AE22" s="110">
        <v>0.8</v>
      </c>
      <c r="AF22" s="110">
        <v>0</v>
      </c>
      <c r="AG22" s="110">
        <v>0</v>
      </c>
      <c r="AH22" s="110">
        <v>0</v>
      </c>
      <c r="AI22" s="110">
        <v>0</v>
      </c>
      <c r="AJ22" s="110">
        <v>0.8</v>
      </c>
      <c r="AK22" s="110">
        <v>0</v>
      </c>
      <c r="AL22" s="110">
        <v>0</v>
      </c>
      <c r="AM22" s="110">
        <v>0</v>
      </c>
      <c r="AN22" s="110">
        <v>0</v>
      </c>
      <c r="AO22" s="110">
        <v>0</v>
      </c>
      <c r="AP22" s="110">
        <v>0</v>
      </c>
      <c r="AQ22" s="110">
        <v>0</v>
      </c>
      <c r="AR22" s="110">
        <v>0</v>
      </c>
      <c r="AS22" s="110">
        <v>0</v>
      </c>
      <c r="AT22" s="110">
        <v>0</v>
      </c>
      <c r="AU22" s="110">
        <v>0</v>
      </c>
      <c r="AV22" s="110">
        <v>0</v>
      </c>
      <c r="AW22" s="110">
        <v>0</v>
      </c>
      <c r="AX22" s="110">
        <v>0</v>
      </c>
      <c r="AY22" s="110">
        <v>0</v>
      </c>
      <c r="AZ22" s="110">
        <v>0</v>
      </c>
      <c r="BA22" s="110">
        <v>0</v>
      </c>
      <c r="BB22" s="110">
        <v>0</v>
      </c>
      <c r="BC22" s="110">
        <v>0</v>
      </c>
      <c r="BD22" s="110">
        <v>0</v>
      </c>
      <c r="BE22" s="110">
        <v>0</v>
      </c>
      <c r="BF22" s="110">
        <v>0</v>
      </c>
      <c r="BG22" s="110">
        <v>0</v>
      </c>
      <c r="BH22" s="110">
        <v>0</v>
      </c>
      <c r="BI22" s="110">
        <v>0</v>
      </c>
      <c r="BJ22" s="110">
        <v>0</v>
      </c>
      <c r="BK22" s="110">
        <v>0</v>
      </c>
      <c r="BL22" s="110">
        <v>0</v>
      </c>
      <c r="BM22" s="110">
        <v>0</v>
      </c>
      <c r="BN22" s="110">
        <v>0</v>
      </c>
      <c r="BO22" s="110">
        <v>0</v>
      </c>
      <c r="BP22" s="110">
        <v>0</v>
      </c>
      <c r="BQ22" s="110">
        <v>0</v>
      </c>
      <c r="BR22" s="110">
        <v>0</v>
      </c>
      <c r="BS22" s="110">
        <v>0</v>
      </c>
      <c r="BT22" s="110">
        <v>0</v>
      </c>
      <c r="BU22" s="110">
        <v>0</v>
      </c>
      <c r="BV22" s="110">
        <v>0</v>
      </c>
      <c r="BW22" s="110">
        <v>0</v>
      </c>
      <c r="BX22" s="110">
        <v>0</v>
      </c>
      <c r="BY22" s="110">
        <v>0</v>
      </c>
      <c r="BZ22" s="110">
        <v>0</v>
      </c>
      <c r="CA22" s="110">
        <v>0</v>
      </c>
      <c r="CB22" s="110">
        <v>0</v>
      </c>
      <c r="CC22" s="110">
        <v>0</v>
      </c>
      <c r="CD22" s="110">
        <v>0</v>
      </c>
      <c r="CE22" s="110">
        <v>0</v>
      </c>
      <c r="CF22" s="110">
        <v>0</v>
      </c>
      <c r="CG22" s="110">
        <v>0</v>
      </c>
    </row>
    <row r="23" spans="1:85" customFormat="1" x14ac:dyDescent="0.15">
      <c r="A23" s="186" t="s">
        <v>213</v>
      </c>
      <c r="B23" s="110">
        <v>0.8</v>
      </c>
      <c r="C23" s="110">
        <v>0</v>
      </c>
      <c r="D23" s="110">
        <v>0</v>
      </c>
      <c r="E23" s="110">
        <v>0</v>
      </c>
      <c r="F23" s="110">
        <v>0</v>
      </c>
      <c r="G23" s="110">
        <v>0</v>
      </c>
      <c r="H23" s="110">
        <v>0</v>
      </c>
      <c r="I23" s="110">
        <v>0</v>
      </c>
      <c r="J23" s="110">
        <v>0</v>
      </c>
      <c r="K23" s="110">
        <v>0.8</v>
      </c>
      <c r="L23" s="110">
        <v>0.8</v>
      </c>
      <c r="M23" s="110">
        <v>0.8</v>
      </c>
      <c r="N23" s="110">
        <v>0</v>
      </c>
      <c r="O23" s="110">
        <v>0.8</v>
      </c>
      <c r="P23" s="110">
        <v>0</v>
      </c>
      <c r="Q23" s="110">
        <v>0</v>
      </c>
      <c r="R23" s="110">
        <v>0</v>
      </c>
      <c r="S23" s="110">
        <v>0.8</v>
      </c>
      <c r="T23" s="110">
        <v>0.8</v>
      </c>
      <c r="U23" s="110">
        <v>0</v>
      </c>
      <c r="V23" s="110">
        <v>0</v>
      </c>
      <c r="W23" s="110">
        <v>0</v>
      </c>
      <c r="X23" s="110">
        <v>0.8</v>
      </c>
      <c r="Y23" s="110">
        <v>0.8</v>
      </c>
      <c r="Z23" s="110">
        <v>0</v>
      </c>
      <c r="AA23" s="110">
        <v>0</v>
      </c>
      <c r="AB23" s="110">
        <v>0</v>
      </c>
      <c r="AC23" s="110">
        <v>0</v>
      </c>
      <c r="AD23" s="110">
        <v>0.8</v>
      </c>
      <c r="AE23" s="110">
        <v>0</v>
      </c>
      <c r="AF23" s="110">
        <v>0</v>
      </c>
      <c r="AG23" s="110">
        <v>0</v>
      </c>
      <c r="AH23" s="110">
        <v>0</v>
      </c>
      <c r="AI23" s="110">
        <v>0</v>
      </c>
      <c r="AJ23" s="110">
        <v>0</v>
      </c>
      <c r="AK23" s="110">
        <v>0</v>
      </c>
      <c r="AL23" s="110">
        <v>0</v>
      </c>
      <c r="AM23" s="110">
        <v>0</v>
      </c>
      <c r="AN23" s="110">
        <v>0</v>
      </c>
      <c r="AO23" s="110">
        <v>0</v>
      </c>
      <c r="AP23" s="110">
        <v>0</v>
      </c>
      <c r="AQ23" s="110">
        <v>0</v>
      </c>
      <c r="AR23" s="110">
        <v>0</v>
      </c>
      <c r="AS23" s="110">
        <v>0</v>
      </c>
      <c r="AT23" s="110">
        <v>0</v>
      </c>
      <c r="AU23" s="110">
        <v>0</v>
      </c>
      <c r="AV23" s="110">
        <v>0</v>
      </c>
      <c r="AW23" s="110">
        <v>0</v>
      </c>
      <c r="AX23" s="110">
        <v>0</v>
      </c>
      <c r="AY23" s="110">
        <v>0</v>
      </c>
      <c r="AZ23" s="110">
        <v>0</v>
      </c>
      <c r="BA23" s="110">
        <v>0</v>
      </c>
      <c r="BB23" s="110">
        <v>0</v>
      </c>
      <c r="BC23" s="110">
        <v>0</v>
      </c>
      <c r="BD23" s="110">
        <v>0</v>
      </c>
      <c r="BE23" s="110">
        <v>0</v>
      </c>
      <c r="BF23" s="110">
        <v>0</v>
      </c>
      <c r="BG23" s="110">
        <v>0</v>
      </c>
      <c r="BH23" s="110">
        <v>0</v>
      </c>
      <c r="BI23" s="110">
        <v>0</v>
      </c>
      <c r="BJ23" s="110">
        <v>0</v>
      </c>
      <c r="BK23" s="110">
        <v>0</v>
      </c>
      <c r="BL23" s="110">
        <v>0</v>
      </c>
      <c r="BM23" s="110">
        <v>0</v>
      </c>
      <c r="BN23" s="110">
        <v>0</v>
      </c>
      <c r="BO23" s="110">
        <v>0</v>
      </c>
      <c r="BP23" s="110">
        <v>0</v>
      </c>
      <c r="BQ23" s="110">
        <v>0</v>
      </c>
      <c r="BR23" s="110">
        <v>0</v>
      </c>
      <c r="BS23" s="110">
        <v>0</v>
      </c>
      <c r="BT23" s="110">
        <v>0</v>
      </c>
      <c r="BU23" s="110">
        <v>0</v>
      </c>
      <c r="BV23" s="110">
        <v>0</v>
      </c>
      <c r="BW23" s="110">
        <v>0</v>
      </c>
      <c r="BX23" s="110">
        <v>0</v>
      </c>
      <c r="BY23" s="110">
        <v>0</v>
      </c>
      <c r="BZ23" s="110">
        <v>0</v>
      </c>
      <c r="CA23" s="110">
        <v>0</v>
      </c>
      <c r="CB23" s="110">
        <v>0</v>
      </c>
      <c r="CC23" s="110">
        <v>0</v>
      </c>
      <c r="CD23" s="110">
        <v>0</v>
      </c>
      <c r="CE23" s="110">
        <v>0</v>
      </c>
      <c r="CF23" s="110">
        <v>0</v>
      </c>
      <c r="CG23" s="110">
        <v>0</v>
      </c>
    </row>
    <row r="24" spans="1:85" customFormat="1" x14ac:dyDescent="0.15">
      <c r="A24" s="186" t="s">
        <v>214</v>
      </c>
      <c r="B24" s="110">
        <v>0.8</v>
      </c>
      <c r="C24" s="110">
        <v>0</v>
      </c>
      <c r="D24" s="110">
        <v>0.8</v>
      </c>
      <c r="E24" s="110">
        <v>0</v>
      </c>
      <c r="F24" s="110">
        <v>0</v>
      </c>
      <c r="G24" s="110">
        <v>0</v>
      </c>
      <c r="H24" s="110">
        <v>0</v>
      </c>
      <c r="I24" s="110">
        <v>0</v>
      </c>
      <c r="J24" s="110">
        <v>0</v>
      </c>
      <c r="K24" s="110">
        <v>0</v>
      </c>
      <c r="L24" s="110">
        <v>0</v>
      </c>
      <c r="M24" s="110">
        <v>0</v>
      </c>
      <c r="N24" s="110">
        <v>0</v>
      </c>
      <c r="O24" s="110">
        <v>0</v>
      </c>
      <c r="P24" s="110">
        <v>0</v>
      </c>
      <c r="Q24" s="110">
        <v>0</v>
      </c>
      <c r="R24" s="110">
        <v>0</v>
      </c>
      <c r="S24" s="110">
        <v>0</v>
      </c>
      <c r="T24" s="110">
        <v>0</v>
      </c>
      <c r="U24" s="110">
        <v>0</v>
      </c>
      <c r="V24" s="110">
        <v>0</v>
      </c>
      <c r="W24" s="110">
        <v>0</v>
      </c>
      <c r="X24" s="110">
        <v>0</v>
      </c>
      <c r="Y24" s="110">
        <v>0</v>
      </c>
      <c r="Z24" s="110">
        <v>0.8</v>
      </c>
      <c r="AA24" s="110">
        <v>0</v>
      </c>
      <c r="AB24" s="110">
        <v>0</v>
      </c>
      <c r="AC24" s="110">
        <v>0</v>
      </c>
      <c r="AD24" s="110">
        <v>0</v>
      </c>
      <c r="AE24" s="110">
        <v>0</v>
      </c>
      <c r="AF24" s="110">
        <v>0</v>
      </c>
      <c r="AG24" s="110">
        <v>0</v>
      </c>
      <c r="AH24" s="110">
        <v>0</v>
      </c>
      <c r="AI24" s="110">
        <v>0</v>
      </c>
      <c r="AJ24" s="110">
        <v>0</v>
      </c>
      <c r="AK24" s="110">
        <v>0</v>
      </c>
      <c r="AL24" s="110">
        <v>0</v>
      </c>
      <c r="AM24" s="110">
        <v>0</v>
      </c>
      <c r="AN24" s="110">
        <v>0</v>
      </c>
      <c r="AO24" s="110">
        <v>0</v>
      </c>
      <c r="AP24" s="110">
        <v>0</v>
      </c>
      <c r="AQ24" s="110">
        <v>0</v>
      </c>
      <c r="AR24" s="110">
        <v>0</v>
      </c>
      <c r="AS24" s="110">
        <v>0</v>
      </c>
      <c r="AT24" s="110">
        <v>0</v>
      </c>
      <c r="AU24" s="110">
        <v>0</v>
      </c>
      <c r="AV24" s="110">
        <v>0</v>
      </c>
      <c r="AW24" s="110">
        <v>0</v>
      </c>
      <c r="AX24" s="110">
        <v>0</v>
      </c>
      <c r="AY24" s="110">
        <v>0</v>
      </c>
      <c r="AZ24" s="110">
        <v>0</v>
      </c>
      <c r="BA24" s="110">
        <v>0</v>
      </c>
      <c r="BB24" s="110">
        <v>0</v>
      </c>
      <c r="BC24" s="110">
        <v>0</v>
      </c>
      <c r="BD24" s="110">
        <v>0</v>
      </c>
      <c r="BE24" s="110">
        <v>0</v>
      </c>
      <c r="BF24" s="110">
        <v>0</v>
      </c>
      <c r="BG24" s="110">
        <v>0</v>
      </c>
      <c r="BH24" s="110">
        <v>0</v>
      </c>
      <c r="BI24" s="110">
        <v>0</v>
      </c>
      <c r="BJ24" s="110">
        <v>0</v>
      </c>
      <c r="BK24" s="110">
        <v>0</v>
      </c>
      <c r="BL24" s="110">
        <v>0</v>
      </c>
      <c r="BM24" s="110">
        <v>0</v>
      </c>
      <c r="BN24" s="110">
        <v>0</v>
      </c>
      <c r="BO24" s="110">
        <v>0</v>
      </c>
      <c r="BP24" s="110">
        <v>0</v>
      </c>
      <c r="BQ24" s="110">
        <v>0</v>
      </c>
      <c r="BR24" s="110">
        <v>0</v>
      </c>
      <c r="BS24" s="110">
        <v>0</v>
      </c>
      <c r="BT24" s="110">
        <v>0</v>
      </c>
      <c r="BU24" s="110">
        <v>0</v>
      </c>
      <c r="BV24" s="110">
        <v>0</v>
      </c>
      <c r="BW24" s="110">
        <v>0</v>
      </c>
      <c r="BX24" s="110">
        <v>0</v>
      </c>
      <c r="BY24" s="110">
        <v>0</v>
      </c>
      <c r="BZ24" s="110">
        <v>0</v>
      </c>
      <c r="CA24" s="110">
        <v>0</v>
      </c>
      <c r="CB24" s="110">
        <v>0</v>
      </c>
      <c r="CC24" s="110">
        <v>0</v>
      </c>
      <c r="CD24" s="110">
        <v>0</v>
      </c>
      <c r="CE24" s="110">
        <v>0</v>
      </c>
      <c r="CF24" s="110">
        <v>0</v>
      </c>
      <c r="CG24" s="110">
        <v>0</v>
      </c>
    </row>
    <row r="25" spans="1:85" customFormat="1" x14ac:dyDescent="0.15">
      <c r="A25" s="186" t="s">
        <v>215</v>
      </c>
      <c r="B25" s="110">
        <v>0</v>
      </c>
      <c r="C25" s="110">
        <v>0</v>
      </c>
      <c r="D25" s="110">
        <v>0</v>
      </c>
      <c r="E25" s="110">
        <v>0</v>
      </c>
      <c r="F25" s="110">
        <v>0</v>
      </c>
      <c r="G25" s="110">
        <v>0</v>
      </c>
      <c r="H25" s="110">
        <v>0</v>
      </c>
      <c r="I25" s="110">
        <v>0</v>
      </c>
      <c r="J25" s="110">
        <v>0</v>
      </c>
      <c r="K25" s="110">
        <v>0</v>
      </c>
      <c r="L25" s="110">
        <v>0</v>
      </c>
      <c r="M25" s="110">
        <v>0</v>
      </c>
      <c r="N25" s="110">
        <v>0</v>
      </c>
      <c r="O25" s="110">
        <v>0</v>
      </c>
      <c r="P25" s="110">
        <v>0</v>
      </c>
      <c r="Q25" s="110">
        <v>0</v>
      </c>
      <c r="R25" s="110">
        <v>0</v>
      </c>
      <c r="S25" s="110">
        <v>0</v>
      </c>
      <c r="T25" s="110">
        <v>0</v>
      </c>
      <c r="U25" s="110">
        <v>0</v>
      </c>
      <c r="V25" s="110">
        <v>0</v>
      </c>
      <c r="W25" s="110">
        <v>0</v>
      </c>
      <c r="X25" s="110">
        <v>0</v>
      </c>
      <c r="Y25" s="110">
        <v>0</v>
      </c>
      <c r="Z25" s="110">
        <v>0</v>
      </c>
      <c r="AA25" s="110">
        <v>0</v>
      </c>
      <c r="AB25" s="110">
        <v>0</v>
      </c>
      <c r="AC25" s="110">
        <v>0</v>
      </c>
      <c r="AD25" s="110">
        <v>0</v>
      </c>
      <c r="AE25" s="110">
        <v>0</v>
      </c>
      <c r="AF25" s="110">
        <v>0</v>
      </c>
      <c r="AG25" s="110">
        <v>0</v>
      </c>
      <c r="AH25" s="110">
        <v>0</v>
      </c>
      <c r="AI25" s="110">
        <v>0</v>
      </c>
      <c r="AJ25" s="110">
        <v>0</v>
      </c>
      <c r="AK25" s="110">
        <v>0</v>
      </c>
      <c r="AL25" s="110">
        <v>0</v>
      </c>
      <c r="AM25" s="110">
        <v>0</v>
      </c>
      <c r="AN25" s="110">
        <v>0</v>
      </c>
      <c r="AO25" s="110">
        <v>0</v>
      </c>
      <c r="AP25" s="110">
        <v>0</v>
      </c>
      <c r="AQ25" s="110">
        <v>0</v>
      </c>
      <c r="AR25" s="110">
        <v>0</v>
      </c>
      <c r="AS25" s="110">
        <v>0</v>
      </c>
      <c r="AT25" s="110">
        <v>0</v>
      </c>
      <c r="AU25" s="110">
        <v>0</v>
      </c>
      <c r="AV25" s="110">
        <v>0</v>
      </c>
      <c r="AW25" s="110">
        <v>0</v>
      </c>
      <c r="AX25" s="110">
        <v>0</v>
      </c>
      <c r="AY25" s="110">
        <v>0</v>
      </c>
      <c r="AZ25" s="110">
        <v>0</v>
      </c>
      <c r="BA25" s="110">
        <v>0</v>
      </c>
      <c r="BB25" s="110">
        <v>0</v>
      </c>
      <c r="BC25" s="110">
        <v>0</v>
      </c>
      <c r="BD25" s="110">
        <v>0</v>
      </c>
      <c r="BE25" s="110">
        <v>0</v>
      </c>
      <c r="BF25" s="110">
        <v>0</v>
      </c>
      <c r="BG25" s="110">
        <v>0</v>
      </c>
      <c r="BH25" s="110">
        <v>0</v>
      </c>
      <c r="BI25" s="110">
        <v>0</v>
      </c>
      <c r="BJ25" s="110">
        <v>0</v>
      </c>
      <c r="BK25" s="110">
        <v>0</v>
      </c>
      <c r="BL25" s="110">
        <v>0</v>
      </c>
      <c r="BM25" s="110">
        <v>0</v>
      </c>
      <c r="BN25" s="110">
        <v>0</v>
      </c>
      <c r="BO25" s="110">
        <v>0</v>
      </c>
      <c r="BP25" s="110">
        <v>0</v>
      </c>
      <c r="BQ25" s="110">
        <v>0</v>
      </c>
      <c r="BR25" s="110">
        <v>0</v>
      </c>
      <c r="BS25" s="110">
        <v>0</v>
      </c>
      <c r="BT25" s="110">
        <v>0</v>
      </c>
      <c r="BU25" s="110">
        <v>0</v>
      </c>
      <c r="BV25" s="110">
        <v>0</v>
      </c>
      <c r="BW25" s="110">
        <v>0</v>
      </c>
      <c r="BX25" s="110">
        <v>0</v>
      </c>
      <c r="BY25" s="110">
        <v>0</v>
      </c>
      <c r="BZ25" s="110">
        <v>0</v>
      </c>
      <c r="CA25" s="110">
        <v>0</v>
      </c>
      <c r="CB25" s="110">
        <v>0</v>
      </c>
      <c r="CC25" s="110">
        <v>0</v>
      </c>
      <c r="CD25" s="110">
        <v>0</v>
      </c>
      <c r="CE25" s="110">
        <v>0</v>
      </c>
      <c r="CF25" s="110">
        <v>0</v>
      </c>
      <c r="CG25" s="110">
        <v>0</v>
      </c>
    </row>
    <row r="26" spans="1:85" customFormat="1" x14ac:dyDescent="0.15">
      <c r="A26" s="186" t="s">
        <v>216</v>
      </c>
      <c r="B26" s="110">
        <v>0.8</v>
      </c>
      <c r="C26" s="110">
        <v>0</v>
      </c>
      <c r="D26" s="110">
        <v>0</v>
      </c>
      <c r="E26" s="110">
        <v>0</v>
      </c>
      <c r="F26" s="110">
        <v>0</v>
      </c>
      <c r="G26" s="110">
        <v>0</v>
      </c>
      <c r="H26" s="110">
        <v>0</v>
      </c>
      <c r="I26" s="110">
        <v>0</v>
      </c>
      <c r="J26" s="110">
        <v>0</v>
      </c>
      <c r="K26" s="110">
        <v>0.8</v>
      </c>
      <c r="L26" s="110">
        <v>0.8</v>
      </c>
      <c r="M26" s="110">
        <v>0.8</v>
      </c>
      <c r="N26" s="110">
        <v>0</v>
      </c>
      <c r="O26" s="110">
        <v>0.8</v>
      </c>
      <c r="P26" s="110">
        <v>0</v>
      </c>
      <c r="Q26" s="110">
        <v>0</v>
      </c>
      <c r="R26" s="110">
        <v>0</v>
      </c>
      <c r="S26" s="110">
        <v>0</v>
      </c>
      <c r="T26" s="110">
        <v>0.8</v>
      </c>
      <c r="U26" s="110">
        <v>0</v>
      </c>
      <c r="V26" s="110">
        <v>0.8</v>
      </c>
      <c r="W26" s="110">
        <v>0</v>
      </c>
      <c r="X26" s="110">
        <v>0.8</v>
      </c>
      <c r="Y26" s="110">
        <v>0.8</v>
      </c>
      <c r="Z26" s="110">
        <v>0</v>
      </c>
      <c r="AA26" s="110">
        <v>0</v>
      </c>
      <c r="AB26" s="110">
        <v>0.8</v>
      </c>
      <c r="AC26" s="110">
        <v>0</v>
      </c>
      <c r="AD26" s="110">
        <v>0.8</v>
      </c>
      <c r="AE26" s="110">
        <v>0</v>
      </c>
      <c r="AF26" s="110">
        <v>0</v>
      </c>
      <c r="AG26" s="110">
        <v>0</v>
      </c>
      <c r="AH26" s="110">
        <v>0</v>
      </c>
      <c r="AI26" s="110">
        <v>0</v>
      </c>
      <c r="AJ26" s="110">
        <v>0</v>
      </c>
      <c r="AK26" s="110">
        <v>0</v>
      </c>
      <c r="AL26" s="110">
        <v>0</v>
      </c>
      <c r="AM26" s="110">
        <v>0</v>
      </c>
      <c r="AN26" s="110">
        <v>0</v>
      </c>
      <c r="AO26" s="110">
        <v>0</v>
      </c>
      <c r="AP26" s="110">
        <v>0</v>
      </c>
      <c r="AQ26" s="110">
        <v>0</v>
      </c>
      <c r="AR26" s="110">
        <v>0</v>
      </c>
      <c r="AS26" s="110">
        <v>0</v>
      </c>
      <c r="AT26" s="110">
        <v>0</v>
      </c>
      <c r="AU26" s="110">
        <v>0</v>
      </c>
      <c r="AV26" s="110">
        <v>0</v>
      </c>
      <c r="AW26" s="110">
        <v>0</v>
      </c>
      <c r="AX26" s="110">
        <v>0</v>
      </c>
      <c r="AY26" s="110">
        <v>0</v>
      </c>
      <c r="AZ26" s="110">
        <v>0</v>
      </c>
      <c r="BA26" s="110">
        <v>0</v>
      </c>
      <c r="BB26" s="110">
        <v>0</v>
      </c>
      <c r="BC26" s="110">
        <v>0</v>
      </c>
      <c r="BD26" s="110">
        <v>0</v>
      </c>
      <c r="BE26" s="110">
        <v>0</v>
      </c>
      <c r="BF26" s="110">
        <v>0</v>
      </c>
      <c r="BG26" s="110">
        <v>0</v>
      </c>
      <c r="BH26" s="110">
        <v>0</v>
      </c>
      <c r="BI26" s="110">
        <v>0</v>
      </c>
      <c r="BJ26" s="110">
        <v>0</v>
      </c>
      <c r="BK26" s="110">
        <v>0</v>
      </c>
      <c r="BL26" s="110">
        <v>0</v>
      </c>
      <c r="BM26" s="110">
        <v>0</v>
      </c>
      <c r="BN26" s="110">
        <v>0</v>
      </c>
      <c r="BO26" s="110">
        <v>0</v>
      </c>
      <c r="BP26" s="110">
        <v>0</v>
      </c>
      <c r="BQ26" s="110">
        <v>0</v>
      </c>
      <c r="BR26" s="110">
        <v>0</v>
      </c>
      <c r="BS26" s="110">
        <v>0</v>
      </c>
      <c r="BT26" s="110">
        <v>0</v>
      </c>
      <c r="BU26" s="110">
        <v>0</v>
      </c>
      <c r="BV26" s="110">
        <v>0</v>
      </c>
      <c r="BW26" s="110">
        <v>0</v>
      </c>
      <c r="BX26" s="110">
        <v>0</v>
      </c>
      <c r="BY26" s="110">
        <v>0</v>
      </c>
      <c r="BZ26" s="110">
        <v>0</v>
      </c>
      <c r="CA26" s="110">
        <v>0</v>
      </c>
      <c r="CB26" s="110">
        <v>0</v>
      </c>
      <c r="CC26" s="110">
        <v>0</v>
      </c>
      <c r="CD26" s="110">
        <v>0</v>
      </c>
      <c r="CE26" s="110">
        <v>0</v>
      </c>
      <c r="CF26" s="110">
        <v>0</v>
      </c>
      <c r="CG26" s="110">
        <v>0</v>
      </c>
    </row>
    <row r="27" spans="1:85" customFormat="1" x14ac:dyDescent="0.15">
      <c r="A27" s="186" t="s">
        <v>217</v>
      </c>
      <c r="B27" s="110">
        <v>0.8</v>
      </c>
      <c r="C27" s="110">
        <v>0</v>
      </c>
      <c r="D27" s="110">
        <v>0.8</v>
      </c>
      <c r="E27" s="110">
        <v>0</v>
      </c>
      <c r="F27" s="110">
        <v>0.8</v>
      </c>
      <c r="G27" s="110">
        <v>0.8</v>
      </c>
      <c r="H27" s="110">
        <v>0.8</v>
      </c>
      <c r="I27" s="110">
        <v>0.8</v>
      </c>
      <c r="J27" s="110">
        <v>0</v>
      </c>
      <c r="K27" s="110">
        <v>0.8</v>
      </c>
      <c r="L27" s="110">
        <v>0.8</v>
      </c>
      <c r="M27" s="110">
        <v>0.8</v>
      </c>
      <c r="N27" s="110">
        <v>0.8</v>
      </c>
      <c r="O27" s="110">
        <v>0.8</v>
      </c>
      <c r="P27" s="110">
        <v>0</v>
      </c>
      <c r="Q27" s="110">
        <v>0.8</v>
      </c>
      <c r="R27" s="110">
        <v>0</v>
      </c>
      <c r="S27" s="110">
        <v>0.8</v>
      </c>
      <c r="T27" s="110">
        <v>0.8</v>
      </c>
      <c r="U27" s="110">
        <v>0.8</v>
      </c>
      <c r="V27" s="110">
        <v>0.8</v>
      </c>
      <c r="W27" s="110">
        <v>0.8</v>
      </c>
      <c r="X27" s="110">
        <v>0.8</v>
      </c>
      <c r="Y27" s="110">
        <v>0.8</v>
      </c>
      <c r="Z27" s="110">
        <v>0.8</v>
      </c>
      <c r="AA27" s="110">
        <v>0</v>
      </c>
      <c r="AB27" s="110">
        <v>0.8</v>
      </c>
      <c r="AC27" s="110">
        <v>0</v>
      </c>
      <c r="AD27" s="110">
        <v>0.8</v>
      </c>
      <c r="AE27" s="110">
        <v>0.8</v>
      </c>
      <c r="AF27" s="110">
        <v>0.8</v>
      </c>
      <c r="AG27" s="110">
        <v>0.8</v>
      </c>
      <c r="AH27" s="110">
        <v>0</v>
      </c>
      <c r="AI27" s="110">
        <v>0.8</v>
      </c>
      <c r="AJ27" s="110">
        <v>0.8</v>
      </c>
      <c r="AK27" s="110">
        <v>0.8</v>
      </c>
      <c r="AL27" s="110">
        <v>0.8</v>
      </c>
      <c r="AM27" s="110">
        <v>0</v>
      </c>
      <c r="AN27" s="110">
        <v>0</v>
      </c>
      <c r="AO27" s="110">
        <v>0</v>
      </c>
      <c r="AP27" s="110">
        <v>0</v>
      </c>
      <c r="AQ27" s="110">
        <v>0</v>
      </c>
      <c r="AR27" s="110">
        <v>0</v>
      </c>
      <c r="AS27" s="110">
        <v>0</v>
      </c>
      <c r="AT27" s="110">
        <v>0</v>
      </c>
      <c r="AU27" s="110">
        <v>0</v>
      </c>
      <c r="AV27" s="110">
        <v>0</v>
      </c>
      <c r="AW27" s="110">
        <v>0</v>
      </c>
      <c r="AX27" s="110">
        <v>0</v>
      </c>
      <c r="AY27" s="110">
        <v>0</v>
      </c>
      <c r="AZ27" s="110">
        <v>0</v>
      </c>
      <c r="BA27" s="110">
        <v>0</v>
      </c>
      <c r="BB27" s="110">
        <v>0</v>
      </c>
      <c r="BC27" s="110">
        <v>0</v>
      </c>
      <c r="BD27" s="110">
        <v>0</v>
      </c>
      <c r="BE27" s="110">
        <v>0</v>
      </c>
      <c r="BF27" s="110">
        <v>0</v>
      </c>
      <c r="BG27" s="110">
        <v>0</v>
      </c>
      <c r="BH27" s="110">
        <v>0</v>
      </c>
      <c r="BI27" s="110">
        <v>0</v>
      </c>
      <c r="BJ27" s="110">
        <v>0</v>
      </c>
      <c r="BK27" s="110">
        <v>0</v>
      </c>
      <c r="BL27" s="110">
        <v>0</v>
      </c>
      <c r="BM27" s="110">
        <v>0</v>
      </c>
      <c r="BN27" s="110">
        <v>0</v>
      </c>
      <c r="BO27" s="110">
        <v>0</v>
      </c>
      <c r="BP27" s="110">
        <v>0</v>
      </c>
      <c r="BQ27" s="110">
        <v>0</v>
      </c>
      <c r="BR27" s="110">
        <v>0</v>
      </c>
      <c r="BS27" s="110">
        <v>0</v>
      </c>
      <c r="BT27" s="110">
        <v>0</v>
      </c>
      <c r="BU27" s="110">
        <v>0</v>
      </c>
      <c r="BV27" s="110">
        <v>0</v>
      </c>
      <c r="BW27" s="110">
        <v>0</v>
      </c>
      <c r="BX27" s="110">
        <v>0</v>
      </c>
      <c r="BY27" s="110">
        <v>0</v>
      </c>
      <c r="BZ27" s="110">
        <v>0</v>
      </c>
      <c r="CA27" s="110">
        <v>0</v>
      </c>
      <c r="CB27" s="110">
        <v>0</v>
      </c>
      <c r="CC27" s="110">
        <v>0</v>
      </c>
      <c r="CD27" s="110">
        <v>0</v>
      </c>
      <c r="CE27" s="110">
        <v>0</v>
      </c>
      <c r="CF27" s="110">
        <v>0</v>
      </c>
      <c r="CG27" s="110">
        <v>0</v>
      </c>
    </row>
    <row r="28" spans="1:85" customFormat="1" x14ac:dyDescent="0.15">
      <c r="A28" s="186" t="s">
        <v>218</v>
      </c>
      <c r="B28" s="110">
        <v>0.8</v>
      </c>
      <c r="C28" s="110">
        <v>0</v>
      </c>
      <c r="D28" s="110">
        <v>0.8</v>
      </c>
      <c r="E28" s="110">
        <v>0</v>
      </c>
      <c r="F28" s="110">
        <v>0.8</v>
      </c>
      <c r="G28" s="110">
        <v>0.8</v>
      </c>
      <c r="H28" s="110">
        <v>0.8</v>
      </c>
      <c r="I28" s="110">
        <v>0.8</v>
      </c>
      <c r="J28" s="110">
        <v>0.8</v>
      </c>
      <c r="K28" s="110">
        <v>0.8</v>
      </c>
      <c r="L28" s="110">
        <v>0.8</v>
      </c>
      <c r="M28" s="110">
        <v>0.8</v>
      </c>
      <c r="N28" s="110">
        <v>0.8</v>
      </c>
      <c r="O28" s="110">
        <v>0.8</v>
      </c>
      <c r="P28" s="110">
        <v>0</v>
      </c>
      <c r="Q28" s="110">
        <v>0.8</v>
      </c>
      <c r="R28" s="110">
        <v>0</v>
      </c>
      <c r="S28" s="110">
        <v>0.8</v>
      </c>
      <c r="T28" s="110">
        <v>0.8</v>
      </c>
      <c r="U28" s="110">
        <v>0.8</v>
      </c>
      <c r="V28" s="110">
        <v>0.8</v>
      </c>
      <c r="W28" s="110">
        <v>0.8</v>
      </c>
      <c r="X28" s="110">
        <v>0.8</v>
      </c>
      <c r="Y28" s="110">
        <v>0.8</v>
      </c>
      <c r="Z28" s="110">
        <v>0.8</v>
      </c>
      <c r="AA28" s="110">
        <v>0.8</v>
      </c>
      <c r="AB28" s="110">
        <v>0</v>
      </c>
      <c r="AC28" s="110">
        <v>0</v>
      </c>
      <c r="AD28" s="110">
        <v>0.8</v>
      </c>
      <c r="AE28" s="110">
        <v>0.8</v>
      </c>
      <c r="AF28" s="110">
        <v>0.8</v>
      </c>
      <c r="AG28" s="110">
        <v>0</v>
      </c>
      <c r="AH28" s="110">
        <v>0</v>
      </c>
      <c r="AI28" s="110">
        <v>0</v>
      </c>
      <c r="AJ28" s="110">
        <v>0.8</v>
      </c>
      <c r="AK28" s="110">
        <v>0</v>
      </c>
      <c r="AL28" s="110">
        <v>0</v>
      </c>
      <c r="AM28" s="110">
        <v>0</v>
      </c>
      <c r="AN28" s="110">
        <v>0</v>
      </c>
      <c r="AO28" s="110">
        <v>0</v>
      </c>
      <c r="AP28" s="110">
        <v>0</v>
      </c>
      <c r="AQ28" s="110">
        <v>0</v>
      </c>
      <c r="AR28" s="110">
        <v>0</v>
      </c>
      <c r="AS28" s="110">
        <v>0</v>
      </c>
      <c r="AT28" s="110">
        <v>0</v>
      </c>
      <c r="AU28" s="110">
        <v>0</v>
      </c>
      <c r="AV28" s="110">
        <v>0</v>
      </c>
      <c r="AW28" s="110">
        <v>0</v>
      </c>
      <c r="AX28" s="110">
        <v>0</v>
      </c>
      <c r="AY28" s="110">
        <v>0</v>
      </c>
      <c r="AZ28" s="110">
        <v>0</v>
      </c>
      <c r="BA28" s="110">
        <v>0</v>
      </c>
      <c r="BB28" s="110">
        <v>0</v>
      </c>
      <c r="BC28" s="110">
        <v>0</v>
      </c>
      <c r="BD28" s="110">
        <v>0</v>
      </c>
      <c r="BE28" s="110">
        <v>0</v>
      </c>
      <c r="BF28" s="110">
        <v>0</v>
      </c>
      <c r="BG28" s="110">
        <v>0</v>
      </c>
      <c r="BH28" s="110">
        <v>0</v>
      </c>
      <c r="BI28" s="110">
        <v>0</v>
      </c>
      <c r="BJ28" s="110">
        <v>0</v>
      </c>
      <c r="BK28" s="110">
        <v>0</v>
      </c>
      <c r="BL28" s="110">
        <v>0</v>
      </c>
      <c r="BM28" s="110">
        <v>0</v>
      </c>
      <c r="BN28" s="110">
        <v>0</v>
      </c>
      <c r="BO28" s="110">
        <v>0</v>
      </c>
      <c r="BP28" s="110">
        <v>0</v>
      </c>
      <c r="BQ28" s="110">
        <v>0</v>
      </c>
      <c r="BR28" s="110">
        <v>0</v>
      </c>
      <c r="BS28" s="110">
        <v>0</v>
      </c>
      <c r="BT28" s="110">
        <v>0</v>
      </c>
      <c r="BU28" s="110">
        <v>0</v>
      </c>
      <c r="BV28" s="110">
        <v>0</v>
      </c>
      <c r="BW28" s="110">
        <v>0</v>
      </c>
      <c r="BX28" s="110">
        <v>0</v>
      </c>
      <c r="BY28" s="110">
        <v>0</v>
      </c>
      <c r="BZ28" s="110">
        <v>0</v>
      </c>
      <c r="CA28" s="110">
        <v>0</v>
      </c>
      <c r="CB28" s="110">
        <v>0</v>
      </c>
      <c r="CC28" s="110">
        <v>0</v>
      </c>
      <c r="CD28" s="110">
        <v>0</v>
      </c>
      <c r="CE28" s="110">
        <v>0</v>
      </c>
      <c r="CF28" s="110">
        <v>0</v>
      </c>
      <c r="CG28" s="110">
        <v>0</v>
      </c>
    </row>
    <row r="29" spans="1:85" customFormat="1" x14ac:dyDescent="0.15">
      <c r="A29" s="186" t="s">
        <v>219</v>
      </c>
      <c r="B29" s="110">
        <v>0</v>
      </c>
      <c r="C29" s="110">
        <v>0</v>
      </c>
      <c r="D29" s="110">
        <v>0.8</v>
      </c>
      <c r="E29" s="110">
        <v>0</v>
      </c>
      <c r="F29" s="110">
        <v>0</v>
      </c>
      <c r="G29" s="110">
        <v>0</v>
      </c>
      <c r="H29" s="110">
        <v>0</v>
      </c>
      <c r="I29" s="110">
        <v>0</v>
      </c>
      <c r="J29" s="110">
        <v>0</v>
      </c>
      <c r="K29" s="110">
        <v>0.8</v>
      </c>
      <c r="L29" s="110">
        <v>0.8</v>
      </c>
      <c r="M29" s="110">
        <v>0.8</v>
      </c>
      <c r="N29" s="110">
        <v>0.8</v>
      </c>
      <c r="O29" s="110">
        <v>0.8</v>
      </c>
      <c r="P29" s="110">
        <v>0</v>
      </c>
      <c r="Q29" s="110">
        <v>0</v>
      </c>
      <c r="R29" s="110">
        <v>0</v>
      </c>
      <c r="S29" s="110">
        <v>0</v>
      </c>
      <c r="T29" s="110">
        <v>0.8</v>
      </c>
      <c r="U29" s="110">
        <v>0</v>
      </c>
      <c r="V29" s="110">
        <v>0.8</v>
      </c>
      <c r="W29" s="110">
        <v>0</v>
      </c>
      <c r="X29" s="110">
        <v>0.8</v>
      </c>
      <c r="Y29" s="110">
        <v>0.8</v>
      </c>
      <c r="Z29" s="110">
        <v>0.8</v>
      </c>
      <c r="AA29" s="110">
        <v>0.8</v>
      </c>
      <c r="AB29" s="110">
        <v>0.8</v>
      </c>
      <c r="AC29" s="110">
        <v>0</v>
      </c>
      <c r="AD29" s="110">
        <v>0.8</v>
      </c>
      <c r="AE29" s="110">
        <v>0</v>
      </c>
      <c r="AF29" s="110">
        <v>0</v>
      </c>
      <c r="AG29" s="110">
        <v>0</v>
      </c>
      <c r="AH29" s="110">
        <v>0</v>
      </c>
      <c r="AI29" s="110">
        <v>0</v>
      </c>
      <c r="AJ29" s="110">
        <v>0.8</v>
      </c>
      <c r="AK29" s="110">
        <v>0</v>
      </c>
      <c r="AL29" s="110">
        <v>0</v>
      </c>
      <c r="AM29" s="110">
        <v>0</v>
      </c>
      <c r="AN29" s="110">
        <v>0</v>
      </c>
      <c r="AO29" s="110">
        <v>0</v>
      </c>
      <c r="AP29" s="110">
        <v>0</v>
      </c>
      <c r="AQ29" s="110">
        <v>0</v>
      </c>
      <c r="AR29" s="110">
        <v>0</v>
      </c>
      <c r="AS29" s="110">
        <v>0</v>
      </c>
      <c r="AT29" s="110">
        <v>0</v>
      </c>
      <c r="AU29" s="110">
        <v>0</v>
      </c>
      <c r="AV29" s="110">
        <v>0</v>
      </c>
      <c r="AW29" s="110">
        <v>0</v>
      </c>
      <c r="AX29" s="110">
        <v>0</v>
      </c>
      <c r="AY29" s="110">
        <v>0</v>
      </c>
      <c r="AZ29" s="110">
        <v>0</v>
      </c>
      <c r="BA29" s="110">
        <v>0</v>
      </c>
      <c r="BB29" s="110">
        <v>0</v>
      </c>
      <c r="BC29" s="110">
        <v>0</v>
      </c>
      <c r="BD29" s="110">
        <v>0</v>
      </c>
      <c r="BE29" s="110">
        <v>0</v>
      </c>
      <c r="BF29" s="110">
        <v>0</v>
      </c>
      <c r="BG29" s="110">
        <v>0</v>
      </c>
      <c r="BH29" s="110">
        <v>0</v>
      </c>
      <c r="BI29" s="110">
        <v>0</v>
      </c>
      <c r="BJ29" s="110">
        <v>0</v>
      </c>
      <c r="BK29" s="110">
        <v>0</v>
      </c>
      <c r="BL29" s="110">
        <v>0</v>
      </c>
      <c r="BM29" s="110">
        <v>0</v>
      </c>
      <c r="BN29" s="110">
        <v>0</v>
      </c>
      <c r="BO29" s="110">
        <v>0</v>
      </c>
      <c r="BP29" s="110">
        <v>0</v>
      </c>
      <c r="BQ29" s="110">
        <v>0</v>
      </c>
      <c r="BR29" s="110">
        <v>0</v>
      </c>
      <c r="BS29" s="110">
        <v>0</v>
      </c>
      <c r="BT29" s="110">
        <v>0</v>
      </c>
      <c r="BU29" s="110">
        <v>0</v>
      </c>
      <c r="BV29" s="110">
        <v>0</v>
      </c>
      <c r="BW29" s="110">
        <v>0</v>
      </c>
      <c r="BX29" s="110">
        <v>0</v>
      </c>
      <c r="BY29" s="110">
        <v>0</v>
      </c>
      <c r="BZ29" s="110">
        <v>0</v>
      </c>
      <c r="CA29" s="110">
        <v>0</v>
      </c>
      <c r="CB29" s="110">
        <v>0</v>
      </c>
      <c r="CC29" s="110">
        <v>0</v>
      </c>
      <c r="CD29" s="110">
        <v>0</v>
      </c>
      <c r="CE29" s="110">
        <v>0</v>
      </c>
      <c r="CF29" s="110">
        <v>0</v>
      </c>
      <c r="CG29" s="110">
        <v>0</v>
      </c>
    </row>
    <row r="30" spans="1:85" customFormat="1" x14ac:dyDescent="0.15">
      <c r="A30" s="186" t="s">
        <v>220</v>
      </c>
      <c r="B30" s="110">
        <v>0.8</v>
      </c>
      <c r="C30" s="110">
        <v>0</v>
      </c>
      <c r="D30" s="110">
        <v>0</v>
      </c>
      <c r="E30" s="110">
        <v>0</v>
      </c>
      <c r="F30" s="110">
        <v>0.8</v>
      </c>
      <c r="G30" s="110">
        <v>0</v>
      </c>
      <c r="H30" s="110">
        <v>0</v>
      </c>
      <c r="I30" s="110">
        <v>0</v>
      </c>
      <c r="J30" s="110">
        <v>0</v>
      </c>
      <c r="K30" s="110">
        <v>0.8</v>
      </c>
      <c r="L30" s="110">
        <v>0</v>
      </c>
      <c r="M30" s="110">
        <v>0.8</v>
      </c>
      <c r="N30" s="110">
        <v>0</v>
      </c>
      <c r="O30" s="110">
        <v>0.8</v>
      </c>
      <c r="P30" s="110">
        <v>0</v>
      </c>
      <c r="Q30" s="110">
        <v>0</v>
      </c>
      <c r="R30" s="110">
        <v>0</v>
      </c>
      <c r="S30" s="110">
        <v>0</v>
      </c>
      <c r="T30" s="110">
        <v>0.8</v>
      </c>
      <c r="U30" s="110">
        <v>0</v>
      </c>
      <c r="V30" s="110">
        <v>0.8</v>
      </c>
      <c r="W30" s="110">
        <v>0.8</v>
      </c>
      <c r="X30" s="110">
        <v>0.8</v>
      </c>
      <c r="Y30" s="110">
        <v>0.8</v>
      </c>
      <c r="Z30" s="110">
        <v>0.8</v>
      </c>
      <c r="AA30" s="110">
        <v>0.8</v>
      </c>
      <c r="AB30" s="110">
        <v>0.8</v>
      </c>
      <c r="AC30" s="110">
        <v>0</v>
      </c>
      <c r="AD30" s="110">
        <v>0</v>
      </c>
      <c r="AE30" s="110">
        <v>0</v>
      </c>
      <c r="AF30" s="110">
        <v>0</v>
      </c>
      <c r="AG30" s="110">
        <v>0</v>
      </c>
      <c r="AH30" s="110">
        <v>0</v>
      </c>
      <c r="AI30" s="110">
        <v>0</v>
      </c>
      <c r="AJ30" s="110">
        <v>0</v>
      </c>
      <c r="AK30" s="110">
        <v>0</v>
      </c>
      <c r="AL30" s="110">
        <v>0</v>
      </c>
      <c r="AM30" s="110">
        <v>0</v>
      </c>
      <c r="AN30" s="110">
        <v>0</v>
      </c>
      <c r="AO30" s="110">
        <v>0</v>
      </c>
      <c r="AP30" s="110">
        <v>0</v>
      </c>
      <c r="AQ30" s="110">
        <v>0</v>
      </c>
      <c r="AR30" s="110">
        <v>0</v>
      </c>
      <c r="AS30" s="110">
        <v>0</v>
      </c>
      <c r="AT30" s="110">
        <v>0</v>
      </c>
      <c r="AU30" s="110">
        <v>0</v>
      </c>
      <c r="AV30" s="110">
        <v>0</v>
      </c>
      <c r="AW30" s="110">
        <v>0</v>
      </c>
      <c r="AX30" s="110">
        <v>0</v>
      </c>
      <c r="AY30" s="110">
        <v>0</v>
      </c>
      <c r="AZ30" s="110">
        <v>0</v>
      </c>
      <c r="BA30" s="110">
        <v>0</v>
      </c>
      <c r="BB30" s="110">
        <v>0</v>
      </c>
      <c r="BC30" s="110">
        <v>0</v>
      </c>
      <c r="BD30" s="110">
        <v>0</v>
      </c>
      <c r="BE30" s="110">
        <v>0</v>
      </c>
      <c r="BF30" s="110">
        <v>0</v>
      </c>
      <c r="BG30" s="110">
        <v>0</v>
      </c>
      <c r="BH30" s="110">
        <v>0</v>
      </c>
      <c r="BI30" s="110">
        <v>0</v>
      </c>
      <c r="BJ30" s="110">
        <v>0</v>
      </c>
      <c r="BK30" s="110">
        <v>0</v>
      </c>
      <c r="BL30" s="110">
        <v>0</v>
      </c>
      <c r="BM30" s="110">
        <v>0</v>
      </c>
      <c r="BN30" s="110">
        <v>0</v>
      </c>
      <c r="BO30" s="110">
        <v>0</v>
      </c>
      <c r="BP30" s="110">
        <v>0</v>
      </c>
      <c r="BQ30" s="110">
        <v>0</v>
      </c>
      <c r="BR30" s="110">
        <v>0</v>
      </c>
      <c r="BS30" s="110">
        <v>0</v>
      </c>
      <c r="BT30" s="110">
        <v>0</v>
      </c>
      <c r="BU30" s="110">
        <v>0</v>
      </c>
      <c r="BV30" s="110">
        <v>0</v>
      </c>
      <c r="BW30" s="110">
        <v>0</v>
      </c>
      <c r="BX30" s="110">
        <v>0</v>
      </c>
      <c r="BY30" s="110">
        <v>0</v>
      </c>
      <c r="BZ30" s="110">
        <v>0</v>
      </c>
      <c r="CA30" s="110">
        <v>0</v>
      </c>
      <c r="CB30" s="110">
        <v>0</v>
      </c>
      <c r="CC30" s="110">
        <v>0</v>
      </c>
      <c r="CD30" s="110">
        <v>0</v>
      </c>
      <c r="CE30" s="110">
        <v>0</v>
      </c>
      <c r="CF30" s="110">
        <v>0</v>
      </c>
      <c r="CG30" s="110">
        <v>0</v>
      </c>
    </row>
    <row r="31" spans="1:85" customFormat="1" x14ac:dyDescent="0.15">
      <c r="A31" s="186" t="s">
        <v>221</v>
      </c>
      <c r="B31" s="110">
        <v>0</v>
      </c>
      <c r="C31" s="110">
        <v>0</v>
      </c>
      <c r="D31" s="110">
        <v>0</v>
      </c>
      <c r="E31" s="110">
        <v>0.8</v>
      </c>
      <c r="F31" s="110">
        <v>0</v>
      </c>
      <c r="G31" s="110">
        <v>0</v>
      </c>
      <c r="H31" s="110">
        <v>0</v>
      </c>
      <c r="I31" s="110">
        <v>0</v>
      </c>
      <c r="J31" s="110">
        <v>0</v>
      </c>
      <c r="K31" s="110">
        <v>0.8</v>
      </c>
      <c r="L31" s="110">
        <v>0.8</v>
      </c>
      <c r="M31" s="110">
        <v>0.8</v>
      </c>
      <c r="N31" s="110">
        <v>0</v>
      </c>
      <c r="O31" s="110">
        <v>0.8</v>
      </c>
      <c r="P31" s="110">
        <v>0</v>
      </c>
      <c r="Q31" s="110">
        <v>0</v>
      </c>
      <c r="R31" s="110">
        <v>0.8</v>
      </c>
      <c r="S31" s="110">
        <v>0.8</v>
      </c>
      <c r="T31" s="110">
        <v>0.8</v>
      </c>
      <c r="U31" s="110">
        <v>0.8</v>
      </c>
      <c r="V31" s="110">
        <v>0</v>
      </c>
      <c r="W31" s="110">
        <v>0</v>
      </c>
      <c r="X31" s="110">
        <v>0.8</v>
      </c>
      <c r="Y31" s="110">
        <v>0.8</v>
      </c>
      <c r="Z31" s="110">
        <v>0.8</v>
      </c>
      <c r="AA31" s="110">
        <v>0.8</v>
      </c>
      <c r="AB31" s="110">
        <v>0.8</v>
      </c>
      <c r="AC31" s="110">
        <v>0</v>
      </c>
      <c r="AD31" s="110">
        <v>0.8</v>
      </c>
      <c r="AE31" s="110">
        <v>0</v>
      </c>
      <c r="AF31" s="110">
        <v>0</v>
      </c>
      <c r="AG31" s="110">
        <v>0</v>
      </c>
      <c r="AH31" s="110">
        <v>0</v>
      </c>
      <c r="AI31" s="110">
        <v>0</v>
      </c>
      <c r="AJ31" s="110">
        <v>0.8</v>
      </c>
      <c r="AK31" s="110">
        <v>0</v>
      </c>
      <c r="AL31" s="110">
        <v>0</v>
      </c>
      <c r="AM31" s="110">
        <v>0</v>
      </c>
      <c r="AN31" s="110">
        <v>0</v>
      </c>
      <c r="AO31" s="110">
        <v>0</v>
      </c>
      <c r="AP31" s="110">
        <v>0</v>
      </c>
      <c r="AQ31" s="110">
        <v>0</v>
      </c>
      <c r="AR31" s="110">
        <v>0</v>
      </c>
      <c r="AS31" s="110">
        <v>0</v>
      </c>
      <c r="AT31" s="110">
        <v>0</v>
      </c>
      <c r="AU31" s="110">
        <v>0</v>
      </c>
      <c r="AV31" s="110">
        <v>0</v>
      </c>
      <c r="AW31" s="110">
        <v>0</v>
      </c>
      <c r="AX31" s="110">
        <v>0</v>
      </c>
      <c r="AY31" s="110">
        <v>0</v>
      </c>
      <c r="AZ31" s="110">
        <v>0</v>
      </c>
      <c r="BA31" s="110">
        <v>0</v>
      </c>
      <c r="BB31" s="110">
        <v>0</v>
      </c>
      <c r="BC31" s="110">
        <v>0</v>
      </c>
      <c r="BD31" s="110">
        <v>0</v>
      </c>
      <c r="BE31" s="110">
        <v>0</v>
      </c>
      <c r="BF31" s="110">
        <v>0</v>
      </c>
      <c r="BG31" s="110">
        <v>0</v>
      </c>
      <c r="BH31" s="110">
        <v>0</v>
      </c>
      <c r="BI31" s="110">
        <v>0</v>
      </c>
      <c r="BJ31" s="110">
        <v>0</v>
      </c>
      <c r="BK31" s="110">
        <v>0</v>
      </c>
      <c r="BL31" s="110">
        <v>0</v>
      </c>
      <c r="BM31" s="110">
        <v>0</v>
      </c>
      <c r="BN31" s="110">
        <v>0</v>
      </c>
      <c r="BO31" s="110">
        <v>0</v>
      </c>
      <c r="BP31" s="110">
        <v>0</v>
      </c>
      <c r="BQ31" s="110">
        <v>0</v>
      </c>
      <c r="BR31" s="110">
        <v>0</v>
      </c>
      <c r="BS31" s="110">
        <v>0</v>
      </c>
      <c r="BT31" s="110">
        <v>0</v>
      </c>
      <c r="BU31" s="110">
        <v>0</v>
      </c>
      <c r="BV31" s="110">
        <v>0</v>
      </c>
      <c r="BW31" s="110">
        <v>0</v>
      </c>
      <c r="BX31" s="110">
        <v>0</v>
      </c>
      <c r="BY31" s="110">
        <v>0</v>
      </c>
      <c r="BZ31" s="110">
        <v>0</v>
      </c>
      <c r="CA31" s="110">
        <v>0</v>
      </c>
      <c r="CB31" s="110">
        <v>0</v>
      </c>
      <c r="CC31" s="110">
        <v>0</v>
      </c>
      <c r="CD31" s="110">
        <v>0</v>
      </c>
      <c r="CE31" s="110">
        <v>0</v>
      </c>
      <c r="CF31" s="110">
        <v>0</v>
      </c>
      <c r="CG31" s="110">
        <v>0</v>
      </c>
    </row>
    <row r="32" spans="1:85" customFormat="1" x14ac:dyDescent="0.15">
      <c r="A32" s="186" t="s">
        <v>222</v>
      </c>
      <c r="B32" s="110">
        <v>0.8</v>
      </c>
      <c r="C32" s="110">
        <v>0</v>
      </c>
      <c r="D32" s="110">
        <v>0</v>
      </c>
      <c r="E32" s="110">
        <v>0.8</v>
      </c>
      <c r="F32" s="110">
        <v>0.8</v>
      </c>
      <c r="G32" s="110">
        <v>0.8</v>
      </c>
      <c r="H32" s="110">
        <v>0.8</v>
      </c>
      <c r="I32" s="110">
        <v>0.8</v>
      </c>
      <c r="J32" s="110">
        <v>0.8</v>
      </c>
      <c r="K32" s="110">
        <v>0.8</v>
      </c>
      <c r="L32" s="110">
        <v>0.8</v>
      </c>
      <c r="M32" s="110">
        <v>0.8</v>
      </c>
      <c r="N32" s="110">
        <v>0.8</v>
      </c>
      <c r="O32" s="110">
        <v>0.8</v>
      </c>
      <c r="P32" s="110">
        <v>0.8</v>
      </c>
      <c r="Q32" s="110">
        <v>0.8</v>
      </c>
      <c r="R32" s="110">
        <v>0.8</v>
      </c>
      <c r="S32" s="110">
        <v>0.8</v>
      </c>
      <c r="T32" s="110">
        <v>0.8</v>
      </c>
      <c r="U32" s="110">
        <v>0.8</v>
      </c>
      <c r="V32" s="110">
        <v>0.8</v>
      </c>
      <c r="W32" s="110">
        <v>0.8</v>
      </c>
      <c r="X32" s="110">
        <v>0.8</v>
      </c>
      <c r="Y32" s="110">
        <v>0.8</v>
      </c>
      <c r="Z32" s="110">
        <v>0.8</v>
      </c>
      <c r="AA32" s="110">
        <v>0.8</v>
      </c>
      <c r="AB32" s="110">
        <v>0.8</v>
      </c>
      <c r="AC32" s="110">
        <v>0.8</v>
      </c>
      <c r="AD32" s="110">
        <v>0.8</v>
      </c>
      <c r="AE32" s="110">
        <v>0.8</v>
      </c>
      <c r="AF32" s="110">
        <v>0</v>
      </c>
      <c r="AG32" s="110">
        <v>0.8</v>
      </c>
      <c r="AH32" s="110">
        <v>0</v>
      </c>
      <c r="AI32" s="110">
        <v>0.8</v>
      </c>
      <c r="AJ32" s="110">
        <v>0.8</v>
      </c>
      <c r="AK32" s="110">
        <v>0.8</v>
      </c>
      <c r="AL32" s="110">
        <v>0.8</v>
      </c>
      <c r="AM32" s="110">
        <v>0</v>
      </c>
      <c r="AN32" s="110">
        <v>0</v>
      </c>
      <c r="AO32" s="110">
        <v>0.8</v>
      </c>
      <c r="AP32" s="110">
        <v>0</v>
      </c>
      <c r="AQ32" s="110">
        <v>0</v>
      </c>
      <c r="AR32" s="110">
        <v>0</v>
      </c>
      <c r="AS32" s="110">
        <v>0</v>
      </c>
      <c r="AT32" s="110">
        <v>0</v>
      </c>
      <c r="AU32" s="110">
        <v>0</v>
      </c>
      <c r="AV32" s="110">
        <v>0</v>
      </c>
      <c r="AW32" s="110">
        <v>0</v>
      </c>
      <c r="AX32" s="110">
        <v>0</v>
      </c>
      <c r="AY32" s="110">
        <v>0</v>
      </c>
      <c r="AZ32" s="110">
        <v>0</v>
      </c>
      <c r="BA32" s="110">
        <v>0</v>
      </c>
      <c r="BB32" s="110">
        <v>0</v>
      </c>
      <c r="BC32" s="110">
        <v>0</v>
      </c>
      <c r="BD32" s="110">
        <v>0</v>
      </c>
      <c r="BE32" s="110">
        <v>0</v>
      </c>
      <c r="BF32" s="110">
        <v>0</v>
      </c>
      <c r="BG32" s="110">
        <v>0</v>
      </c>
      <c r="BH32" s="110">
        <v>0</v>
      </c>
      <c r="BI32" s="110">
        <v>0</v>
      </c>
      <c r="BJ32" s="110">
        <v>0</v>
      </c>
      <c r="BK32" s="110">
        <v>0</v>
      </c>
      <c r="BL32" s="110">
        <v>0</v>
      </c>
      <c r="BM32" s="110">
        <v>0</v>
      </c>
      <c r="BN32" s="110">
        <v>0</v>
      </c>
      <c r="BO32" s="110">
        <v>0</v>
      </c>
      <c r="BP32" s="110">
        <v>0</v>
      </c>
      <c r="BQ32" s="110">
        <v>0</v>
      </c>
      <c r="BR32" s="110">
        <v>0</v>
      </c>
      <c r="BS32" s="110">
        <v>0</v>
      </c>
      <c r="BT32" s="110">
        <v>0</v>
      </c>
      <c r="BU32" s="110">
        <v>0</v>
      </c>
      <c r="BV32" s="110">
        <v>0</v>
      </c>
      <c r="BW32" s="110">
        <v>0</v>
      </c>
      <c r="BX32" s="110">
        <v>0</v>
      </c>
      <c r="BY32" s="110">
        <v>0</v>
      </c>
      <c r="BZ32" s="110">
        <v>0</v>
      </c>
      <c r="CA32" s="110">
        <v>0</v>
      </c>
      <c r="CB32" s="110">
        <v>0</v>
      </c>
      <c r="CC32" s="110">
        <v>0</v>
      </c>
      <c r="CD32" s="110">
        <v>0</v>
      </c>
      <c r="CE32" s="110">
        <v>0</v>
      </c>
      <c r="CF32" s="110">
        <v>0</v>
      </c>
      <c r="CG32" s="110">
        <v>0</v>
      </c>
    </row>
    <row r="33" spans="1:85" x14ac:dyDescent="0.15">
      <c r="A33" s="186" t="s">
        <v>223</v>
      </c>
      <c r="B33" s="110">
        <v>0</v>
      </c>
      <c r="C33" s="110">
        <v>0</v>
      </c>
      <c r="D33" s="110">
        <v>0.8</v>
      </c>
      <c r="E33" s="110">
        <v>0</v>
      </c>
      <c r="F33" s="110">
        <v>0</v>
      </c>
      <c r="G33" s="110">
        <v>0</v>
      </c>
      <c r="H33" s="110">
        <v>0</v>
      </c>
      <c r="I33" s="110">
        <v>0</v>
      </c>
      <c r="J33" s="110">
        <v>0</v>
      </c>
      <c r="K33" s="110">
        <v>0.8</v>
      </c>
      <c r="L33" s="110">
        <v>0.8</v>
      </c>
      <c r="M33" s="110">
        <v>0.8</v>
      </c>
      <c r="N33" s="110">
        <v>0.8</v>
      </c>
      <c r="O33" s="110">
        <v>0.8</v>
      </c>
      <c r="P33" s="110">
        <v>0</v>
      </c>
      <c r="Q33" s="110">
        <v>0</v>
      </c>
      <c r="R33" s="110">
        <v>0</v>
      </c>
      <c r="S33" s="110">
        <v>0.8</v>
      </c>
      <c r="T33" s="110">
        <v>0.8</v>
      </c>
      <c r="U33" s="110">
        <v>0.8</v>
      </c>
      <c r="V33" s="110">
        <v>0.8</v>
      </c>
      <c r="W33" s="110">
        <v>0</v>
      </c>
      <c r="X33" s="110">
        <v>0.8</v>
      </c>
      <c r="Y33" s="110">
        <v>0</v>
      </c>
      <c r="Z33" s="110">
        <v>0</v>
      </c>
      <c r="AA33" s="110">
        <v>0</v>
      </c>
      <c r="AB33" s="110">
        <v>0</v>
      </c>
      <c r="AC33" s="110">
        <v>0</v>
      </c>
      <c r="AD33" s="110">
        <v>0.8</v>
      </c>
      <c r="AE33" s="110">
        <v>0</v>
      </c>
      <c r="AF33" s="110">
        <v>0</v>
      </c>
      <c r="AG33" s="110">
        <v>0</v>
      </c>
      <c r="AH33" s="110">
        <v>0</v>
      </c>
      <c r="AI33" s="110">
        <v>0</v>
      </c>
      <c r="AJ33" s="110">
        <v>0</v>
      </c>
      <c r="AK33" s="110">
        <v>0</v>
      </c>
      <c r="AL33" s="110">
        <v>0</v>
      </c>
      <c r="AM33" s="110">
        <v>0</v>
      </c>
      <c r="AN33" s="110">
        <v>0</v>
      </c>
      <c r="AO33" s="110">
        <v>0</v>
      </c>
      <c r="AP33" s="110">
        <v>0</v>
      </c>
      <c r="AQ33" s="110">
        <v>0</v>
      </c>
      <c r="AR33" s="110">
        <v>0</v>
      </c>
      <c r="AS33" s="110">
        <v>0</v>
      </c>
      <c r="AT33" s="110">
        <v>0</v>
      </c>
      <c r="AU33" s="110">
        <v>0</v>
      </c>
      <c r="AV33" s="110">
        <v>0</v>
      </c>
      <c r="AW33" s="110">
        <v>0</v>
      </c>
      <c r="AX33" s="110">
        <v>0</v>
      </c>
      <c r="AY33" s="110">
        <v>0</v>
      </c>
      <c r="AZ33" s="110">
        <v>0</v>
      </c>
      <c r="BA33" s="110">
        <v>0</v>
      </c>
      <c r="BB33" s="110">
        <v>0</v>
      </c>
      <c r="BC33" s="110">
        <v>0</v>
      </c>
      <c r="BD33" s="110">
        <v>0</v>
      </c>
      <c r="BE33" s="110">
        <v>0</v>
      </c>
      <c r="BF33" s="110">
        <v>0</v>
      </c>
      <c r="BG33" s="110">
        <v>0</v>
      </c>
      <c r="BH33" s="110">
        <v>0</v>
      </c>
      <c r="BI33" s="110">
        <v>0</v>
      </c>
      <c r="BJ33" s="110">
        <v>0</v>
      </c>
      <c r="BK33" s="110">
        <v>0</v>
      </c>
      <c r="BL33" s="110">
        <v>0</v>
      </c>
      <c r="BM33" s="110">
        <v>0</v>
      </c>
      <c r="BN33" s="110">
        <v>0</v>
      </c>
      <c r="BO33" s="110">
        <v>0</v>
      </c>
      <c r="BP33" s="110">
        <v>0</v>
      </c>
      <c r="BQ33" s="110">
        <v>0</v>
      </c>
      <c r="BR33" s="110">
        <v>0</v>
      </c>
      <c r="BS33" s="110">
        <v>0</v>
      </c>
      <c r="BT33" s="110">
        <v>0</v>
      </c>
      <c r="BU33" s="110">
        <v>0</v>
      </c>
      <c r="BV33" s="110">
        <v>0</v>
      </c>
      <c r="BW33" s="110">
        <v>0</v>
      </c>
      <c r="BX33" s="110">
        <v>0</v>
      </c>
      <c r="BY33" s="110">
        <v>0</v>
      </c>
      <c r="BZ33" s="110">
        <v>0</v>
      </c>
      <c r="CA33" s="110">
        <v>0</v>
      </c>
      <c r="CB33" s="110">
        <v>0</v>
      </c>
      <c r="CC33" s="110">
        <v>0</v>
      </c>
      <c r="CD33" s="110">
        <v>0</v>
      </c>
      <c r="CE33" s="110">
        <v>0</v>
      </c>
      <c r="CF33" s="110">
        <v>0</v>
      </c>
      <c r="CG33" s="110">
        <v>0</v>
      </c>
    </row>
    <row r="34" spans="1:85" x14ac:dyDescent="0.15">
      <c r="A34" s="186" t="s">
        <v>224</v>
      </c>
      <c r="B34" s="110">
        <v>0</v>
      </c>
      <c r="C34" s="110">
        <v>0</v>
      </c>
      <c r="D34" s="110">
        <v>0.8</v>
      </c>
      <c r="E34" s="110">
        <v>0</v>
      </c>
      <c r="F34" s="110">
        <v>0</v>
      </c>
      <c r="G34" s="110">
        <v>0</v>
      </c>
      <c r="H34" s="110">
        <v>0</v>
      </c>
      <c r="I34" s="110">
        <v>0</v>
      </c>
      <c r="J34" s="110">
        <v>0</v>
      </c>
      <c r="K34" s="110">
        <v>0.8</v>
      </c>
      <c r="L34" s="110">
        <v>0.8</v>
      </c>
      <c r="M34" s="110">
        <v>0.8</v>
      </c>
      <c r="N34" s="110">
        <v>0.8</v>
      </c>
      <c r="O34" s="110">
        <v>0.8</v>
      </c>
      <c r="P34" s="110">
        <v>0</v>
      </c>
      <c r="Q34" s="110">
        <v>0</v>
      </c>
      <c r="R34" s="110">
        <v>0</v>
      </c>
      <c r="S34" s="110">
        <v>0.8</v>
      </c>
      <c r="T34" s="110">
        <v>0.8</v>
      </c>
      <c r="U34" s="110">
        <v>0</v>
      </c>
      <c r="V34" s="110">
        <v>0.8</v>
      </c>
      <c r="W34" s="110">
        <v>0</v>
      </c>
      <c r="X34" s="110">
        <v>0.8</v>
      </c>
      <c r="Y34" s="110">
        <v>0</v>
      </c>
      <c r="Z34" s="110">
        <v>0</v>
      </c>
      <c r="AA34" s="110">
        <v>0.8</v>
      </c>
      <c r="AB34" s="110">
        <v>0.8</v>
      </c>
      <c r="AC34" s="110">
        <v>0</v>
      </c>
      <c r="AD34" s="110">
        <v>0.8</v>
      </c>
      <c r="AE34" s="110">
        <v>0</v>
      </c>
      <c r="AF34" s="110">
        <v>0</v>
      </c>
      <c r="AG34" s="110">
        <v>0</v>
      </c>
      <c r="AH34" s="110">
        <v>0</v>
      </c>
      <c r="AI34" s="110">
        <v>0</v>
      </c>
      <c r="AJ34" s="110">
        <v>0.8</v>
      </c>
      <c r="AK34" s="110">
        <v>0</v>
      </c>
      <c r="AL34" s="110">
        <v>0</v>
      </c>
      <c r="AM34" s="110">
        <v>0</v>
      </c>
      <c r="AN34" s="110">
        <v>0</v>
      </c>
      <c r="AO34" s="110">
        <v>0</v>
      </c>
      <c r="AP34" s="110">
        <v>0</v>
      </c>
      <c r="AQ34" s="110">
        <v>0</v>
      </c>
      <c r="AR34" s="110">
        <v>0</v>
      </c>
      <c r="AS34" s="110">
        <v>0</v>
      </c>
      <c r="AT34" s="110">
        <v>0</v>
      </c>
      <c r="AU34" s="110">
        <v>0</v>
      </c>
      <c r="AV34" s="110">
        <v>0</v>
      </c>
      <c r="AW34" s="110">
        <v>0</v>
      </c>
      <c r="AX34" s="110">
        <v>0</v>
      </c>
      <c r="AY34" s="110">
        <v>0</v>
      </c>
      <c r="AZ34" s="110">
        <v>0</v>
      </c>
      <c r="BA34" s="110">
        <v>0</v>
      </c>
      <c r="BB34" s="110">
        <v>0</v>
      </c>
      <c r="BC34" s="110">
        <v>0</v>
      </c>
      <c r="BD34" s="110">
        <v>0</v>
      </c>
      <c r="BE34" s="110">
        <v>0</v>
      </c>
      <c r="BF34" s="110">
        <v>0</v>
      </c>
      <c r="BG34" s="110">
        <v>0</v>
      </c>
      <c r="BH34" s="110">
        <v>0</v>
      </c>
      <c r="BI34" s="110">
        <v>0</v>
      </c>
      <c r="BJ34" s="110">
        <v>0</v>
      </c>
      <c r="BK34" s="110">
        <v>0</v>
      </c>
      <c r="BL34" s="110">
        <v>0</v>
      </c>
      <c r="BM34" s="110">
        <v>0</v>
      </c>
      <c r="BN34" s="110">
        <v>0</v>
      </c>
      <c r="BO34" s="110">
        <v>0</v>
      </c>
      <c r="BP34" s="110">
        <v>0</v>
      </c>
      <c r="BQ34" s="110">
        <v>0</v>
      </c>
      <c r="BR34" s="110">
        <v>0</v>
      </c>
      <c r="BS34" s="110">
        <v>0</v>
      </c>
      <c r="BT34" s="110">
        <v>0</v>
      </c>
      <c r="BU34" s="110">
        <v>0</v>
      </c>
      <c r="BV34" s="110">
        <v>0</v>
      </c>
      <c r="BW34" s="110">
        <v>0</v>
      </c>
      <c r="BX34" s="110">
        <v>0</v>
      </c>
      <c r="BY34" s="110">
        <v>0</v>
      </c>
      <c r="BZ34" s="110">
        <v>0</v>
      </c>
      <c r="CA34" s="110">
        <v>0</v>
      </c>
      <c r="CB34" s="110">
        <v>0</v>
      </c>
      <c r="CC34" s="110">
        <v>0</v>
      </c>
      <c r="CD34" s="110">
        <v>0</v>
      </c>
      <c r="CE34" s="110">
        <v>0</v>
      </c>
      <c r="CF34" s="110">
        <v>0</v>
      </c>
      <c r="CG34" s="110">
        <v>0</v>
      </c>
    </row>
    <row r="35" spans="1:85" x14ac:dyDescent="0.15">
      <c r="A35" s="186" t="s">
        <v>225</v>
      </c>
      <c r="B35" s="110">
        <v>0</v>
      </c>
      <c r="C35" s="110">
        <v>0</v>
      </c>
      <c r="D35" s="110">
        <v>0.8</v>
      </c>
      <c r="E35" s="110">
        <v>0</v>
      </c>
      <c r="F35" s="110">
        <v>0</v>
      </c>
      <c r="G35" s="110">
        <v>0</v>
      </c>
      <c r="H35" s="110">
        <v>0</v>
      </c>
      <c r="I35" s="110">
        <v>0</v>
      </c>
      <c r="J35" s="110">
        <v>0</v>
      </c>
      <c r="K35" s="110">
        <v>0</v>
      </c>
      <c r="L35" s="110">
        <v>0</v>
      </c>
      <c r="M35" s="110">
        <v>0</v>
      </c>
      <c r="N35" s="110">
        <v>0</v>
      </c>
      <c r="O35" s="110">
        <v>0</v>
      </c>
      <c r="P35" s="110">
        <v>0</v>
      </c>
      <c r="Q35" s="110">
        <v>0</v>
      </c>
      <c r="R35" s="110">
        <v>0</v>
      </c>
      <c r="S35" s="110">
        <v>0</v>
      </c>
      <c r="T35" s="110">
        <v>0</v>
      </c>
      <c r="U35" s="110">
        <v>0</v>
      </c>
      <c r="V35" s="110">
        <v>0</v>
      </c>
      <c r="W35" s="110">
        <v>0</v>
      </c>
      <c r="X35" s="110">
        <v>0</v>
      </c>
      <c r="Y35" s="110">
        <v>0</v>
      </c>
      <c r="Z35" s="110">
        <v>0</v>
      </c>
      <c r="AA35" s="110">
        <v>0</v>
      </c>
      <c r="AB35" s="110">
        <v>0</v>
      </c>
      <c r="AC35" s="110">
        <v>0</v>
      </c>
      <c r="AD35" s="110">
        <v>0</v>
      </c>
      <c r="AE35" s="110">
        <v>0</v>
      </c>
      <c r="AF35" s="110">
        <v>0</v>
      </c>
      <c r="AG35" s="110">
        <v>0</v>
      </c>
      <c r="AH35" s="110">
        <v>0</v>
      </c>
      <c r="AI35" s="110">
        <v>0</v>
      </c>
      <c r="AJ35" s="110">
        <v>0</v>
      </c>
      <c r="AK35" s="110">
        <v>0</v>
      </c>
      <c r="AL35" s="110">
        <v>0</v>
      </c>
      <c r="AM35" s="110">
        <v>0</v>
      </c>
      <c r="AN35" s="110">
        <v>0</v>
      </c>
      <c r="AO35" s="110">
        <v>0</v>
      </c>
      <c r="AP35" s="110">
        <v>0</v>
      </c>
      <c r="AQ35" s="110">
        <v>0</v>
      </c>
      <c r="AR35" s="110">
        <v>0</v>
      </c>
      <c r="AS35" s="110">
        <v>0</v>
      </c>
      <c r="AT35" s="110">
        <v>0</v>
      </c>
      <c r="AU35" s="110">
        <v>0</v>
      </c>
      <c r="AV35" s="110">
        <v>0</v>
      </c>
      <c r="AW35" s="110">
        <v>0</v>
      </c>
      <c r="AX35" s="110">
        <v>0</v>
      </c>
      <c r="AY35" s="110">
        <v>0</v>
      </c>
      <c r="AZ35" s="110">
        <v>0</v>
      </c>
      <c r="BA35" s="110">
        <v>0</v>
      </c>
      <c r="BB35" s="110">
        <v>0</v>
      </c>
      <c r="BC35" s="110">
        <v>0</v>
      </c>
      <c r="BD35" s="110">
        <v>0</v>
      </c>
      <c r="BE35" s="110">
        <v>0</v>
      </c>
      <c r="BF35" s="110">
        <v>0</v>
      </c>
      <c r="BG35" s="110">
        <v>0</v>
      </c>
      <c r="BH35" s="110">
        <v>0</v>
      </c>
      <c r="BI35" s="110">
        <v>0</v>
      </c>
      <c r="BJ35" s="110">
        <v>0</v>
      </c>
      <c r="BK35" s="110">
        <v>0</v>
      </c>
      <c r="BL35" s="110">
        <v>0</v>
      </c>
      <c r="BM35" s="110">
        <v>0</v>
      </c>
      <c r="BN35" s="110">
        <v>0</v>
      </c>
      <c r="BO35" s="110">
        <v>0</v>
      </c>
      <c r="BP35" s="110">
        <v>0</v>
      </c>
      <c r="BQ35" s="110">
        <v>0</v>
      </c>
      <c r="BR35" s="110">
        <v>0</v>
      </c>
      <c r="BS35" s="110">
        <v>0</v>
      </c>
      <c r="BT35" s="110">
        <v>0</v>
      </c>
      <c r="BU35" s="110">
        <v>0</v>
      </c>
      <c r="BV35" s="110">
        <v>0</v>
      </c>
      <c r="BW35" s="110">
        <v>0</v>
      </c>
      <c r="BX35" s="110">
        <v>0</v>
      </c>
      <c r="BY35" s="110">
        <v>0</v>
      </c>
      <c r="BZ35" s="110">
        <v>0</v>
      </c>
      <c r="CA35" s="110">
        <v>0</v>
      </c>
      <c r="CB35" s="110">
        <v>0</v>
      </c>
      <c r="CC35" s="110">
        <v>0</v>
      </c>
      <c r="CD35" s="110">
        <v>0</v>
      </c>
      <c r="CE35" s="110">
        <v>0</v>
      </c>
      <c r="CF35" s="110">
        <v>0</v>
      </c>
      <c r="CG35" s="110">
        <v>0</v>
      </c>
    </row>
    <row r="36" spans="1:85" x14ac:dyDescent="0.15">
      <c r="A36" s="186" t="s">
        <v>226</v>
      </c>
      <c r="B36" s="110">
        <v>0</v>
      </c>
      <c r="C36" s="110">
        <v>0</v>
      </c>
      <c r="D36" s="110">
        <v>0</v>
      </c>
      <c r="E36" s="110">
        <v>0</v>
      </c>
      <c r="F36" s="110">
        <v>0</v>
      </c>
      <c r="G36" s="110">
        <v>0</v>
      </c>
      <c r="H36" s="110">
        <v>0</v>
      </c>
      <c r="I36" s="110">
        <v>0</v>
      </c>
      <c r="J36" s="110">
        <v>0</v>
      </c>
      <c r="K36" s="110">
        <v>0</v>
      </c>
      <c r="L36" s="110">
        <v>0</v>
      </c>
      <c r="M36" s="110">
        <v>0</v>
      </c>
      <c r="N36" s="110">
        <v>0</v>
      </c>
      <c r="O36" s="110">
        <v>0</v>
      </c>
      <c r="P36" s="110">
        <v>0</v>
      </c>
      <c r="Q36" s="110">
        <v>0</v>
      </c>
      <c r="R36" s="110">
        <v>0</v>
      </c>
      <c r="S36" s="110">
        <v>0</v>
      </c>
      <c r="T36" s="110">
        <v>0</v>
      </c>
      <c r="U36" s="110">
        <v>0</v>
      </c>
      <c r="V36" s="110">
        <v>0</v>
      </c>
      <c r="W36" s="110">
        <v>0</v>
      </c>
      <c r="X36" s="110">
        <v>0.8</v>
      </c>
      <c r="Y36" s="110">
        <v>0</v>
      </c>
      <c r="Z36" s="110">
        <v>0</v>
      </c>
      <c r="AA36" s="110">
        <v>0</v>
      </c>
      <c r="AB36" s="110">
        <v>0</v>
      </c>
      <c r="AC36" s="110">
        <v>0</v>
      </c>
      <c r="AD36" s="110">
        <v>0</v>
      </c>
      <c r="AE36" s="110">
        <v>0</v>
      </c>
      <c r="AF36" s="110">
        <v>0</v>
      </c>
      <c r="AG36" s="110">
        <v>0</v>
      </c>
      <c r="AH36" s="110">
        <v>0</v>
      </c>
      <c r="AI36" s="110">
        <v>0</v>
      </c>
      <c r="AJ36" s="110">
        <v>0</v>
      </c>
      <c r="AK36" s="110">
        <v>0</v>
      </c>
      <c r="AL36" s="110">
        <v>0</v>
      </c>
      <c r="AM36" s="110">
        <v>0</v>
      </c>
      <c r="AN36" s="110">
        <v>0</v>
      </c>
      <c r="AO36" s="110">
        <v>0</v>
      </c>
      <c r="AP36" s="110">
        <v>0</v>
      </c>
      <c r="AQ36" s="110">
        <v>0</v>
      </c>
      <c r="AR36" s="110">
        <v>0</v>
      </c>
      <c r="AS36" s="110">
        <v>0</v>
      </c>
      <c r="AT36" s="110">
        <v>0</v>
      </c>
      <c r="AU36" s="110">
        <v>0</v>
      </c>
      <c r="AV36" s="110">
        <v>0</v>
      </c>
      <c r="AW36" s="110">
        <v>0</v>
      </c>
      <c r="AX36" s="110">
        <v>0</v>
      </c>
      <c r="AY36" s="110">
        <v>0</v>
      </c>
      <c r="AZ36" s="110">
        <v>0</v>
      </c>
      <c r="BA36" s="110">
        <v>0</v>
      </c>
      <c r="BB36" s="110">
        <v>0</v>
      </c>
      <c r="BC36" s="110">
        <v>0</v>
      </c>
      <c r="BD36" s="110">
        <v>0</v>
      </c>
      <c r="BE36" s="110">
        <v>0</v>
      </c>
      <c r="BF36" s="110">
        <v>0</v>
      </c>
      <c r="BG36" s="110">
        <v>0</v>
      </c>
      <c r="BH36" s="110">
        <v>0</v>
      </c>
      <c r="BI36" s="110">
        <v>0</v>
      </c>
      <c r="BJ36" s="110">
        <v>0</v>
      </c>
      <c r="BK36" s="110">
        <v>0</v>
      </c>
      <c r="BL36" s="110">
        <v>0</v>
      </c>
      <c r="BM36" s="110">
        <v>0</v>
      </c>
      <c r="BN36" s="110">
        <v>0</v>
      </c>
      <c r="BO36" s="110">
        <v>0</v>
      </c>
      <c r="BP36" s="110">
        <v>0</v>
      </c>
      <c r="BQ36" s="110">
        <v>0</v>
      </c>
      <c r="BR36" s="110">
        <v>0</v>
      </c>
      <c r="BS36" s="110">
        <v>0</v>
      </c>
      <c r="BT36" s="110">
        <v>0</v>
      </c>
      <c r="BU36" s="110">
        <v>0</v>
      </c>
      <c r="BV36" s="110">
        <v>0</v>
      </c>
      <c r="BW36" s="110">
        <v>0</v>
      </c>
      <c r="BX36" s="110">
        <v>0</v>
      </c>
      <c r="BY36" s="110">
        <v>0</v>
      </c>
      <c r="BZ36" s="110">
        <v>0</v>
      </c>
      <c r="CA36" s="110">
        <v>0</v>
      </c>
      <c r="CB36" s="110">
        <v>0</v>
      </c>
      <c r="CC36" s="110">
        <v>0</v>
      </c>
      <c r="CD36" s="110">
        <v>0</v>
      </c>
      <c r="CE36" s="110">
        <v>0</v>
      </c>
      <c r="CF36" s="110">
        <v>0</v>
      </c>
      <c r="CG36" s="110">
        <v>0</v>
      </c>
    </row>
    <row r="37" spans="1:85" x14ac:dyDescent="0.15">
      <c r="A37" s="186" t="s">
        <v>227</v>
      </c>
      <c r="B37" s="110">
        <v>0</v>
      </c>
      <c r="C37" s="110">
        <v>0</v>
      </c>
      <c r="D37" s="110">
        <v>0</v>
      </c>
      <c r="E37" s="110">
        <v>0</v>
      </c>
      <c r="F37" s="110">
        <v>0</v>
      </c>
      <c r="G37" s="110">
        <v>0</v>
      </c>
      <c r="H37" s="110">
        <v>0</v>
      </c>
      <c r="I37" s="110">
        <v>0</v>
      </c>
      <c r="J37" s="110">
        <v>0</v>
      </c>
      <c r="K37" s="110">
        <v>0</v>
      </c>
      <c r="L37" s="110">
        <v>0</v>
      </c>
      <c r="M37" s="110">
        <v>0</v>
      </c>
      <c r="N37" s="110">
        <v>0</v>
      </c>
      <c r="O37" s="110">
        <v>0</v>
      </c>
      <c r="P37" s="110">
        <v>0</v>
      </c>
      <c r="Q37" s="110">
        <v>0</v>
      </c>
      <c r="R37" s="110">
        <v>0</v>
      </c>
      <c r="S37" s="110">
        <v>0</v>
      </c>
      <c r="T37" s="110">
        <v>0</v>
      </c>
      <c r="U37" s="110">
        <v>0</v>
      </c>
      <c r="V37" s="110">
        <v>0</v>
      </c>
      <c r="W37" s="110">
        <v>0</v>
      </c>
      <c r="X37" s="110">
        <v>0</v>
      </c>
      <c r="Y37" s="110">
        <v>0</v>
      </c>
      <c r="Z37" s="110">
        <v>0</v>
      </c>
      <c r="AA37" s="110">
        <v>0</v>
      </c>
      <c r="AB37" s="110">
        <v>0</v>
      </c>
      <c r="AC37" s="110">
        <v>0</v>
      </c>
      <c r="AD37" s="110">
        <v>0</v>
      </c>
      <c r="AE37" s="110">
        <v>0</v>
      </c>
      <c r="AF37" s="110">
        <v>0</v>
      </c>
      <c r="AG37" s="110">
        <v>0</v>
      </c>
      <c r="AH37" s="110">
        <v>0</v>
      </c>
      <c r="AI37" s="110">
        <v>0</v>
      </c>
      <c r="AJ37" s="110">
        <v>0</v>
      </c>
      <c r="AK37" s="110">
        <v>0</v>
      </c>
      <c r="AL37" s="110">
        <v>0</v>
      </c>
      <c r="AM37" s="110">
        <v>0</v>
      </c>
      <c r="AN37" s="110">
        <v>0</v>
      </c>
      <c r="AO37" s="110">
        <v>0</v>
      </c>
      <c r="AP37" s="110">
        <v>0</v>
      </c>
      <c r="AQ37" s="110">
        <v>0</v>
      </c>
      <c r="AR37" s="110">
        <v>0</v>
      </c>
      <c r="AS37" s="110">
        <v>0</v>
      </c>
      <c r="AT37" s="110">
        <v>0</v>
      </c>
      <c r="AU37" s="110">
        <v>0</v>
      </c>
      <c r="AV37" s="110">
        <v>0</v>
      </c>
      <c r="AW37" s="110">
        <v>0</v>
      </c>
      <c r="AX37" s="110">
        <v>0</v>
      </c>
      <c r="AY37" s="110">
        <v>0</v>
      </c>
      <c r="AZ37" s="110">
        <v>0</v>
      </c>
      <c r="BA37" s="110">
        <v>0</v>
      </c>
      <c r="BB37" s="110">
        <v>0</v>
      </c>
      <c r="BC37" s="110">
        <v>0</v>
      </c>
      <c r="BD37" s="110">
        <v>0</v>
      </c>
      <c r="BE37" s="110">
        <v>0</v>
      </c>
      <c r="BF37" s="110">
        <v>0</v>
      </c>
      <c r="BG37" s="110">
        <v>0</v>
      </c>
      <c r="BH37" s="110">
        <v>0</v>
      </c>
      <c r="BI37" s="110">
        <v>0</v>
      </c>
      <c r="BJ37" s="110">
        <v>0</v>
      </c>
      <c r="BK37" s="110">
        <v>0</v>
      </c>
      <c r="BL37" s="110">
        <v>0</v>
      </c>
      <c r="BM37" s="110">
        <v>0</v>
      </c>
      <c r="BN37" s="110">
        <v>0</v>
      </c>
      <c r="BO37" s="110">
        <v>0</v>
      </c>
      <c r="BP37" s="110">
        <v>0</v>
      </c>
      <c r="BQ37" s="110">
        <v>0</v>
      </c>
      <c r="BR37" s="110">
        <v>0</v>
      </c>
      <c r="BS37" s="110">
        <v>0</v>
      </c>
      <c r="BT37" s="110">
        <v>0</v>
      </c>
      <c r="BU37" s="110">
        <v>0</v>
      </c>
      <c r="BV37" s="110">
        <v>0</v>
      </c>
      <c r="BW37" s="110">
        <v>0</v>
      </c>
      <c r="BX37" s="110">
        <v>0</v>
      </c>
      <c r="BY37" s="110">
        <v>0</v>
      </c>
      <c r="BZ37" s="110">
        <v>0</v>
      </c>
      <c r="CA37" s="110">
        <v>0</v>
      </c>
      <c r="CB37" s="110">
        <v>0</v>
      </c>
      <c r="CC37" s="110">
        <v>0</v>
      </c>
      <c r="CD37" s="110">
        <v>0</v>
      </c>
      <c r="CE37" s="110">
        <v>0</v>
      </c>
      <c r="CF37" s="110">
        <v>0</v>
      </c>
      <c r="CG37" s="110">
        <v>0</v>
      </c>
    </row>
    <row r="38" spans="1:85" x14ac:dyDescent="0.15">
      <c r="A38" s="186" t="s">
        <v>228</v>
      </c>
      <c r="B38" s="110">
        <v>0</v>
      </c>
      <c r="C38" s="110">
        <v>0</v>
      </c>
      <c r="D38" s="110">
        <v>0</v>
      </c>
      <c r="E38" s="110">
        <v>0</v>
      </c>
      <c r="F38" s="110">
        <v>0</v>
      </c>
      <c r="G38" s="110">
        <v>0</v>
      </c>
      <c r="H38" s="110">
        <v>0</v>
      </c>
      <c r="I38" s="110">
        <v>0</v>
      </c>
      <c r="J38" s="110">
        <v>0</v>
      </c>
      <c r="K38" s="110">
        <v>0</v>
      </c>
      <c r="L38" s="110">
        <v>0</v>
      </c>
      <c r="M38" s="110">
        <v>0</v>
      </c>
      <c r="N38" s="110">
        <v>0</v>
      </c>
      <c r="O38" s="110">
        <v>0</v>
      </c>
      <c r="P38" s="110">
        <v>0</v>
      </c>
      <c r="Q38" s="110">
        <v>0</v>
      </c>
      <c r="R38" s="110">
        <v>0</v>
      </c>
      <c r="S38" s="110">
        <v>0</v>
      </c>
      <c r="T38" s="110">
        <v>0</v>
      </c>
      <c r="U38" s="110">
        <v>0</v>
      </c>
      <c r="V38" s="110">
        <v>0</v>
      </c>
      <c r="W38" s="110">
        <v>0</v>
      </c>
      <c r="X38" s="110">
        <v>0</v>
      </c>
      <c r="Y38" s="110">
        <v>0</v>
      </c>
      <c r="Z38" s="110">
        <v>0</v>
      </c>
      <c r="AA38" s="110">
        <v>0</v>
      </c>
      <c r="AB38" s="110">
        <v>0</v>
      </c>
      <c r="AC38" s="110">
        <v>0</v>
      </c>
      <c r="AD38" s="110">
        <v>0</v>
      </c>
      <c r="AE38" s="110">
        <v>0</v>
      </c>
      <c r="AF38" s="110">
        <v>0</v>
      </c>
      <c r="AG38" s="110">
        <v>0</v>
      </c>
      <c r="AH38" s="110">
        <v>0</v>
      </c>
      <c r="AI38" s="110">
        <v>0</v>
      </c>
      <c r="AJ38" s="110">
        <v>0</v>
      </c>
      <c r="AK38" s="110">
        <v>0</v>
      </c>
      <c r="AL38" s="110">
        <v>0</v>
      </c>
      <c r="AM38" s="110">
        <v>0</v>
      </c>
      <c r="AN38" s="110">
        <v>0</v>
      </c>
      <c r="AO38" s="110">
        <v>0</v>
      </c>
      <c r="AP38" s="110">
        <v>0</v>
      </c>
      <c r="AQ38" s="110">
        <v>0</v>
      </c>
      <c r="AR38" s="110">
        <v>0</v>
      </c>
      <c r="AS38" s="110">
        <v>0</v>
      </c>
      <c r="AT38" s="110">
        <v>0</v>
      </c>
      <c r="AU38" s="110">
        <v>0</v>
      </c>
      <c r="AV38" s="110">
        <v>0</v>
      </c>
      <c r="AW38" s="110">
        <v>0</v>
      </c>
      <c r="AX38" s="110">
        <v>0</v>
      </c>
      <c r="AY38" s="110">
        <v>0</v>
      </c>
      <c r="AZ38" s="110">
        <v>0</v>
      </c>
      <c r="BA38" s="110">
        <v>0</v>
      </c>
      <c r="BB38" s="110">
        <v>0</v>
      </c>
      <c r="BC38" s="110">
        <v>0</v>
      </c>
      <c r="BD38" s="110">
        <v>0</v>
      </c>
      <c r="BE38" s="110">
        <v>0</v>
      </c>
      <c r="BF38" s="110">
        <v>0</v>
      </c>
      <c r="BG38" s="110">
        <v>0</v>
      </c>
      <c r="BH38" s="110">
        <v>0</v>
      </c>
      <c r="BI38" s="110">
        <v>0</v>
      </c>
      <c r="BJ38" s="110">
        <v>0</v>
      </c>
      <c r="BK38" s="110">
        <v>0</v>
      </c>
      <c r="BL38" s="110">
        <v>0</v>
      </c>
      <c r="BM38" s="110">
        <v>0</v>
      </c>
      <c r="BN38" s="110">
        <v>0</v>
      </c>
      <c r="BO38" s="110">
        <v>0</v>
      </c>
      <c r="BP38" s="110">
        <v>0</v>
      </c>
      <c r="BQ38" s="110">
        <v>0</v>
      </c>
      <c r="BR38" s="110">
        <v>0</v>
      </c>
      <c r="BS38" s="110">
        <v>0</v>
      </c>
      <c r="BT38" s="110">
        <v>0</v>
      </c>
      <c r="BU38" s="110">
        <v>0</v>
      </c>
      <c r="BV38" s="110">
        <v>0</v>
      </c>
      <c r="BW38" s="110">
        <v>0</v>
      </c>
      <c r="BX38" s="110">
        <v>0</v>
      </c>
      <c r="BY38" s="110">
        <v>0</v>
      </c>
      <c r="BZ38" s="110">
        <v>0</v>
      </c>
      <c r="CA38" s="110">
        <v>0</v>
      </c>
      <c r="CB38" s="110">
        <v>0</v>
      </c>
      <c r="CC38" s="110">
        <v>0</v>
      </c>
      <c r="CD38" s="110">
        <v>0</v>
      </c>
      <c r="CE38" s="110">
        <v>0</v>
      </c>
      <c r="CF38" s="110">
        <v>0</v>
      </c>
      <c r="CG38" s="110">
        <v>0</v>
      </c>
    </row>
    <row r="39" spans="1:85" x14ac:dyDescent="0.15">
      <c r="A39" s="186" t="s">
        <v>229</v>
      </c>
      <c r="B39" s="110">
        <v>0</v>
      </c>
      <c r="C39" s="110">
        <v>0</v>
      </c>
      <c r="D39" s="110">
        <v>0</v>
      </c>
      <c r="E39" s="110">
        <v>0</v>
      </c>
      <c r="F39" s="110">
        <v>0</v>
      </c>
      <c r="G39" s="110">
        <v>0</v>
      </c>
      <c r="H39" s="110">
        <v>0</v>
      </c>
      <c r="I39" s="110">
        <v>0</v>
      </c>
      <c r="J39" s="110">
        <v>0</v>
      </c>
      <c r="K39" s="110">
        <v>0</v>
      </c>
      <c r="L39" s="110">
        <v>0</v>
      </c>
      <c r="M39" s="110">
        <v>0</v>
      </c>
      <c r="N39" s="110">
        <v>0</v>
      </c>
      <c r="O39" s="110">
        <v>0</v>
      </c>
      <c r="P39" s="110">
        <v>0</v>
      </c>
      <c r="Q39" s="110">
        <v>0</v>
      </c>
      <c r="R39" s="110">
        <v>0</v>
      </c>
      <c r="S39" s="110">
        <v>0</v>
      </c>
      <c r="T39" s="110">
        <v>0</v>
      </c>
      <c r="U39" s="110">
        <v>0</v>
      </c>
      <c r="V39" s="110">
        <v>0</v>
      </c>
      <c r="W39" s="110">
        <v>0</v>
      </c>
      <c r="X39" s="110">
        <v>0</v>
      </c>
      <c r="Y39" s="110">
        <v>0</v>
      </c>
      <c r="Z39" s="110">
        <v>0</v>
      </c>
      <c r="AA39" s="110">
        <v>0</v>
      </c>
      <c r="AB39" s="110">
        <v>0</v>
      </c>
      <c r="AC39" s="110">
        <v>0</v>
      </c>
      <c r="AD39" s="110">
        <v>0</v>
      </c>
      <c r="AE39" s="110">
        <v>0</v>
      </c>
      <c r="AF39" s="110">
        <v>0</v>
      </c>
      <c r="AG39" s="110">
        <v>0</v>
      </c>
      <c r="AH39" s="110">
        <v>0</v>
      </c>
      <c r="AI39" s="110">
        <v>0</v>
      </c>
      <c r="AJ39" s="110">
        <v>0</v>
      </c>
      <c r="AK39" s="110">
        <v>0</v>
      </c>
      <c r="AL39" s="110">
        <v>0</v>
      </c>
      <c r="AM39" s="110">
        <v>0</v>
      </c>
      <c r="AN39" s="110">
        <v>0</v>
      </c>
      <c r="AO39" s="110">
        <v>0</v>
      </c>
      <c r="AP39" s="110">
        <v>0</v>
      </c>
      <c r="AQ39" s="110">
        <v>0</v>
      </c>
      <c r="AR39" s="110">
        <v>0</v>
      </c>
      <c r="AS39" s="110">
        <v>0</v>
      </c>
      <c r="AT39" s="110">
        <v>0</v>
      </c>
      <c r="AU39" s="110">
        <v>0</v>
      </c>
      <c r="AV39" s="110">
        <v>0</v>
      </c>
      <c r="AW39" s="110">
        <v>0</v>
      </c>
      <c r="AX39" s="110">
        <v>0</v>
      </c>
      <c r="AY39" s="110">
        <v>0</v>
      </c>
      <c r="AZ39" s="110">
        <v>0</v>
      </c>
      <c r="BA39" s="110">
        <v>0</v>
      </c>
      <c r="BB39" s="110">
        <v>0</v>
      </c>
      <c r="BC39" s="110">
        <v>0</v>
      </c>
      <c r="BD39" s="110">
        <v>0</v>
      </c>
      <c r="BE39" s="110">
        <v>0</v>
      </c>
      <c r="BF39" s="110">
        <v>0</v>
      </c>
      <c r="BG39" s="110">
        <v>0</v>
      </c>
      <c r="BH39" s="110">
        <v>0</v>
      </c>
      <c r="BI39" s="110">
        <v>0</v>
      </c>
      <c r="BJ39" s="110">
        <v>0</v>
      </c>
      <c r="BK39" s="110">
        <v>0</v>
      </c>
      <c r="BL39" s="110">
        <v>0</v>
      </c>
      <c r="BM39" s="110">
        <v>0</v>
      </c>
      <c r="BN39" s="110">
        <v>0</v>
      </c>
      <c r="BO39" s="110">
        <v>0</v>
      </c>
      <c r="BP39" s="110">
        <v>0</v>
      </c>
      <c r="BQ39" s="110">
        <v>0</v>
      </c>
      <c r="BR39" s="110">
        <v>0</v>
      </c>
      <c r="BS39" s="110">
        <v>0</v>
      </c>
      <c r="BT39" s="110">
        <v>0</v>
      </c>
      <c r="BU39" s="110">
        <v>0</v>
      </c>
      <c r="BV39" s="110">
        <v>0</v>
      </c>
      <c r="BW39" s="110">
        <v>0</v>
      </c>
      <c r="BX39" s="110">
        <v>0</v>
      </c>
      <c r="BY39" s="110">
        <v>0</v>
      </c>
      <c r="BZ39" s="110">
        <v>0</v>
      </c>
      <c r="CA39" s="110">
        <v>0</v>
      </c>
      <c r="CB39" s="110">
        <v>0</v>
      </c>
      <c r="CC39" s="110">
        <v>0</v>
      </c>
      <c r="CD39" s="110">
        <v>0</v>
      </c>
      <c r="CE39" s="110">
        <v>0</v>
      </c>
      <c r="CF39" s="110">
        <v>0</v>
      </c>
      <c r="CG39" s="110">
        <v>0</v>
      </c>
    </row>
    <row r="40" spans="1:85" x14ac:dyDescent="0.15">
      <c r="A40" s="186" t="s">
        <v>230</v>
      </c>
      <c r="B40" s="110">
        <v>0.8</v>
      </c>
      <c r="C40" s="110">
        <v>0</v>
      </c>
      <c r="D40" s="110">
        <v>0</v>
      </c>
      <c r="E40" s="110">
        <v>0</v>
      </c>
      <c r="F40" s="110">
        <v>0</v>
      </c>
      <c r="G40" s="110">
        <v>0</v>
      </c>
      <c r="H40" s="110">
        <v>0</v>
      </c>
      <c r="I40" s="110">
        <v>0</v>
      </c>
      <c r="J40" s="110">
        <v>0</v>
      </c>
      <c r="K40" s="110">
        <v>0.8</v>
      </c>
      <c r="L40" s="110">
        <v>0.8</v>
      </c>
      <c r="M40" s="110">
        <v>0.8</v>
      </c>
      <c r="N40" s="110">
        <v>0</v>
      </c>
      <c r="O40" s="110">
        <v>0.8</v>
      </c>
      <c r="P40" s="110">
        <v>0.8</v>
      </c>
      <c r="Q40" s="110">
        <v>0</v>
      </c>
      <c r="R40" s="110">
        <v>0</v>
      </c>
      <c r="S40" s="110">
        <v>0</v>
      </c>
      <c r="T40" s="110">
        <v>0.8</v>
      </c>
      <c r="U40" s="110">
        <v>0.8</v>
      </c>
      <c r="V40" s="110">
        <v>0.8</v>
      </c>
      <c r="W40" s="110">
        <v>0.8</v>
      </c>
      <c r="X40" s="110">
        <v>0.8</v>
      </c>
      <c r="Y40" s="110">
        <v>0.8</v>
      </c>
      <c r="Z40" s="110">
        <v>0.8</v>
      </c>
      <c r="AA40" s="110">
        <v>0.8</v>
      </c>
      <c r="AB40" s="110">
        <v>0.8</v>
      </c>
      <c r="AC40" s="110">
        <v>0</v>
      </c>
      <c r="AD40" s="110">
        <v>0.8</v>
      </c>
      <c r="AE40" s="110">
        <v>0.8</v>
      </c>
      <c r="AF40" s="110">
        <v>0</v>
      </c>
      <c r="AG40" s="110">
        <v>0</v>
      </c>
      <c r="AH40" s="110">
        <v>0</v>
      </c>
      <c r="AI40" s="110">
        <v>0.8</v>
      </c>
      <c r="AJ40" s="110">
        <v>0.8</v>
      </c>
      <c r="AK40" s="110">
        <v>0</v>
      </c>
      <c r="AL40" s="110">
        <v>0</v>
      </c>
      <c r="AM40" s="110">
        <v>0</v>
      </c>
      <c r="AN40" s="110">
        <v>0</v>
      </c>
      <c r="AO40" s="110">
        <v>0</v>
      </c>
      <c r="AP40" s="110">
        <v>0</v>
      </c>
      <c r="AQ40" s="110">
        <v>0</v>
      </c>
      <c r="AR40" s="110">
        <v>0</v>
      </c>
      <c r="AS40" s="110">
        <v>0</v>
      </c>
      <c r="AT40" s="110">
        <v>0</v>
      </c>
      <c r="AU40" s="110">
        <v>0</v>
      </c>
      <c r="AV40" s="110">
        <v>0</v>
      </c>
      <c r="AW40" s="110">
        <v>0</v>
      </c>
      <c r="AX40" s="110">
        <v>0</v>
      </c>
      <c r="AY40" s="110">
        <v>0</v>
      </c>
      <c r="AZ40" s="110">
        <v>0</v>
      </c>
      <c r="BA40" s="110">
        <v>0</v>
      </c>
      <c r="BB40" s="110">
        <v>0</v>
      </c>
      <c r="BC40" s="110">
        <v>0</v>
      </c>
      <c r="BD40" s="110">
        <v>0</v>
      </c>
      <c r="BE40" s="110">
        <v>0</v>
      </c>
      <c r="BF40" s="110">
        <v>0</v>
      </c>
      <c r="BG40" s="110">
        <v>0</v>
      </c>
      <c r="BH40" s="110">
        <v>0</v>
      </c>
      <c r="BI40" s="110">
        <v>0</v>
      </c>
      <c r="BJ40" s="110">
        <v>0</v>
      </c>
      <c r="BK40" s="110">
        <v>0</v>
      </c>
      <c r="BL40" s="110">
        <v>0</v>
      </c>
      <c r="BM40" s="110">
        <v>0</v>
      </c>
      <c r="BN40" s="110">
        <v>0</v>
      </c>
      <c r="BO40" s="110">
        <v>0</v>
      </c>
      <c r="BP40" s="110">
        <v>0</v>
      </c>
      <c r="BQ40" s="110">
        <v>0</v>
      </c>
      <c r="BR40" s="110">
        <v>0</v>
      </c>
      <c r="BS40" s="110">
        <v>0</v>
      </c>
      <c r="BT40" s="110">
        <v>0</v>
      </c>
      <c r="BU40" s="110">
        <v>0</v>
      </c>
      <c r="BV40" s="110">
        <v>0</v>
      </c>
      <c r="BW40" s="110">
        <v>0</v>
      </c>
      <c r="BX40" s="110">
        <v>0</v>
      </c>
      <c r="BY40" s="110">
        <v>0</v>
      </c>
      <c r="BZ40" s="110">
        <v>0</v>
      </c>
      <c r="CA40" s="110">
        <v>0</v>
      </c>
      <c r="CB40" s="110">
        <v>0</v>
      </c>
      <c r="CC40" s="110">
        <v>0</v>
      </c>
      <c r="CD40" s="110">
        <v>0</v>
      </c>
      <c r="CE40" s="110">
        <v>0</v>
      </c>
      <c r="CF40" s="110">
        <v>0</v>
      </c>
      <c r="CG40" s="110">
        <v>0</v>
      </c>
    </row>
    <row r="41" spans="1:85" x14ac:dyDescent="0.15">
      <c r="A41" s="186" t="s">
        <v>231</v>
      </c>
      <c r="B41" s="110">
        <v>0.8</v>
      </c>
      <c r="C41" s="110">
        <v>0</v>
      </c>
      <c r="D41" s="110">
        <v>0</v>
      </c>
      <c r="E41" s="110">
        <v>0</v>
      </c>
      <c r="F41" s="110">
        <v>0</v>
      </c>
      <c r="G41" s="110">
        <v>0</v>
      </c>
      <c r="H41" s="110">
        <v>0</v>
      </c>
      <c r="I41" s="110">
        <v>0</v>
      </c>
      <c r="J41" s="110">
        <v>0</v>
      </c>
      <c r="K41" s="110">
        <v>0.8</v>
      </c>
      <c r="L41" s="110">
        <v>0.8</v>
      </c>
      <c r="M41" s="110">
        <v>0.8</v>
      </c>
      <c r="N41" s="110">
        <v>0.8</v>
      </c>
      <c r="O41" s="110">
        <v>0.8</v>
      </c>
      <c r="P41" s="110">
        <v>0.8</v>
      </c>
      <c r="Q41" s="110">
        <v>0</v>
      </c>
      <c r="R41" s="110">
        <v>0.8</v>
      </c>
      <c r="S41" s="110">
        <v>0.8</v>
      </c>
      <c r="T41" s="110">
        <v>0.8</v>
      </c>
      <c r="U41" s="110">
        <v>0.8</v>
      </c>
      <c r="V41" s="110">
        <v>0.8</v>
      </c>
      <c r="W41" s="110">
        <v>0.8</v>
      </c>
      <c r="X41" s="110">
        <v>0.8</v>
      </c>
      <c r="Y41" s="110">
        <v>0.8</v>
      </c>
      <c r="Z41" s="110">
        <v>0.8</v>
      </c>
      <c r="AA41" s="110">
        <v>0.8</v>
      </c>
      <c r="AB41" s="110">
        <v>0.8</v>
      </c>
      <c r="AC41" s="110">
        <v>0</v>
      </c>
      <c r="AD41" s="110">
        <v>0.8</v>
      </c>
      <c r="AE41" s="110">
        <v>0.8</v>
      </c>
      <c r="AF41" s="110">
        <v>0</v>
      </c>
      <c r="AG41" s="110">
        <v>0</v>
      </c>
      <c r="AH41" s="110">
        <v>0</v>
      </c>
      <c r="AI41" s="110">
        <v>0.8</v>
      </c>
      <c r="AJ41" s="110">
        <v>0.8</v>
      </c>
      <c r="AK41" s="110">
        <v>0</v>
      </c>
      <c r="AL41" s="110">
        <v>0.8</v>
      </c>
      <c r="AM41" s="110">
        <v>0</v>
      </c>
      <c r="AN41" s="110">
        <v>0</v>
      </c>
      <c r="AO41" s="110">
        <v>0</v>
      </c>
      <c r="AP41" s="110">
        <v>0.8</v>
      </c>
      <c r="AQ41" s="110">
        <v>0</v>
      </c>
      <c r="AR41" s="110">
        <v>0</v>
      </c>
      <c r="AS41" s="110">
        <v>0</v>
      </c>
      <c r="AT41" s="110">
        <v>0</v>
      </c>
      <c r="AU41" s="110">
        <v>0</v>
      </c>
      <c r="AV41" s="110">
        <v>0</v>
      </c>
      <c r="AW41" s="110">
        <v>0</v>
      </c>
      <c r="AX41" s="110">
        <v>0</v>
      </c>
      <c r="AY41" s="110">
        <v>0</v>
      </c>
      <c r="AZ41" s="110">
        <v>0</v>
      </c>
      <c r="BA41" s="110">
        <v>0</v>
      </c>
      <c r="BB41" s="110">
        <v>0</v>
      </c>
      <c r="BC41" s="110">
        <v>0</v>
      </c>
      <c r="BD41" s="110">
        <v>0</v>
      </c>
      <c r="BE41" s="110">
        <v>0</v>
      </c>
      <c r="BF41" s="110">
        <v>0</v>
      </c>
      <c r="BG41" s="110">
        <v>0</v>
      </c>
      <c r="BH41" s="110">
        <v>0</v>
      </c>
      <c r="BI41" s="110">
        <v>0</v>
      </c>
      <c r="BJ41" s="110">
        <v>0</v>
      </c>
      <c r="BK41" s="110">
        <v>0</v>
      </c>
      <c r="BL41" s="110">
        <v>0</v>
      </c>
      <c r="BM41" s="110">
        <v>0</v>
      </c>
      <c r="BN41" s="110">
        <v>0</v>
      </c>
      <c r="BO41" s="110">
        <v>0</v>
      </c>
      <c r="BP41" s="110">
        <v>0</v>
      </c>
      <c r="BQ41" s="110">
        <v>0</v>
      </c>
      <c r="BR41" s="110">
        <v>0</v>
      </c>
      <c r="BS41" s="110">
        <v>0</v>
      </c>
      <c r="BT41" s="110">
        <v>0</v>
      </c>
      <c r="BU41" s="110">
        <v>0</v>
      </c>
      <c r="BV41" s="110">
        <v>0</v>
      </c>
      <c r="BW41" s="110">
        <v>0</v>
      </c>
      <c r="BX41" s="110">
        <v>0</v>
      </c>
      <c r="BY41" s="110">
        <v>0</v>
      </c>
      <c r="BZ41" s="110">
        <v>0</v>
      </c>
      <c r="CA41" s="110">
        <v>0</v>
      </c>
      <c r="CB41" s="110">
        <v>0</v>
      </c>
      <c r="CC41" s="110">
        <v>0</v>
      </c>
      <c r="CD41" s="110">
        <v>0</v>
      </c>
      <c r="CE41" s="110">
        <v>0</v>
      </c>
      <c r="CF41" s="110">
        <v>0</v>
      </c>
      <c r="CG41" s="110">
        <v>0</v>
      </c>
    </row>
    <row r="42" spans="1:85" x14ac:dyDescent="0.15">
      <c r="A42" s="186" t="s">
        <v>232</v>
      </c>
      <c r="B42" s="110">
        <v>0</v>
      </c>
      <c r="C42" s="110">
        <v>0</v>
      </c>
      <c r="D42" s="110">
        <v>0</v>
      </c>
      <c r="E42" s="110">
        <v>0</v>
      </c>
      <c r="F42" s="110">
        <v>0</v>
      </c>
      <c r="G42" s="110">
        <v>0</v>
      </c>
      <c r="H42" s="110">
        <v>0</v>
      </c>
      <c r="I42" s="110">
        <v>0</v>
      </c>
      <c r="J42" s="110">
        <v>0</v>
      </c>
      <c r="K42" s="110">
        <v>0.8</v>
      </c>
      <c r="L42" s="110">
        <v>0.8</v>
      </c>
      <c r="M42" s="110">
        <v>0.8</v>
      </c>
      <c r="N42" s="110">
        <v>0.8</v>
      </c>
      <c r="O42" s="110">
        <v>0.8</v>
      </c>
      <c r="P42" s="110">
        <v>0</v>
      </c>
      <c r="Q42" s="110">
        <v>0</v>
      </c>
      <c r="R42" s="110">
        <v>0</v>
      </c>
      <c r="S42" s="110">
        <v>0.8</v>
      </c>
      <c r="T42" s="110">
        <v>0.8</v>
      </c>
      <c r="U42" s="110">
        <v>0.8</v>
      </c>
      <c r="V42" s="110">
        <v>0.8</v>
      </c>
      <c r="W42" s="110">
        <v>0.8</v>
      </c>
      <c r="X42" s="110">
        <v>0.8</v>
      </c>
      <c r="Y42" s="110">
        <v>0.8</v>
      </c>
      <c r="Z42" s="110">
        <v>0.8</v>
      </c>
      <c r="AA42" s="110">
        <v>0.8</v>
      </c>
      <c r="AB42" s="110">
        <v>0.8</v>
      </c>
      <c r="AC42" s="110">
        <v>0.8</v>
      </c>
      <c r="AD42" s="110">
        <v>0.8</v>
      </c>
      <c r="AE42" s="110">
        <v>0.8</v>
      </c>
      <c r="AF42" s="110">
        <v>0</v>
      </c>
      <c r="AG42" s="110">
        <v>0</v>
      </c>
      <c r="AH42" s="110">
        <v>0</v>
      </c>
      <c r="AI42" s="110">
        <v>0</v>
      </c>
      <c r="AJ42" s="110">
        <v>0.8</v>
      </c>
      <c r="AK42" s="110">
        <v>0.8</v>
      </c>
      <c r="AL42" s="110">
        <v>0.8</v>
      </c>
      <c r="AM42" s="110">
        <v>0</v>
      </c>
      <c r="AN42" s="110">
        <v>0</v>
      </c>
      <c r="AO42" s="110">
        <v>0.8</v>
      </c>
      <c r="AP42" s="110">
        <v>0</v>
      </c>
      <c r="AQ42" s="110">
        <v>0</v>
      </c>
      <c r="AR42" s="110">
        <v>0</v>
      </c>
      <c r="AS42" s="110">
        <v>0.8</v>
      </c>
      <c r="AT42" s="110">
        <v>0</v>
      </c>
      <c r="AU42" s="110">
        <v>0</v>
      </c>
      <c r="AV42" s="110">
        <v>0</v>
      </c>
      <c r="AW42" s="110">
        <v>0</v>
      </c>
      <c r="AX42" s="110">
        <v>0</v>
      </c>
      <c r="AY42" s="110">
        <v>0</v>
      </c>
      <c r="AZ42" s="110">
        <v>0</v>
      </c>
      <c r="BA42" s="110">
        <v>0</v>
      </c>
      <c r="BB42" s="110">
        <v>0</v>
      </c>
      <c r="BC42" s="110">
        <v>0</v>
      </c>
      <c r="BD42" s="110">
        <v>0</v>
      </c>
      <c r="BE42" s="110">
        <v>0</v>
      </c>
      <c r="BF42" s="110">
        <v>0</v>
      </c>
      <c r="BG42" s="110">
        <v>0</v>
      </c>
      <c r="BH42" s="110">
        <v>0</v>
      </c>
      <c r="BI42" s="110">
        <v>0</v>
      </c>
      <c r="BJ42" s="110">
        <v>0</v>
      </c>
      <c r="BK42" s="110">
        <v>0</v>
      </c>
      <c r="BL42" s="110">
        <v>0</v>
      </c>
      <c r="BM42" s="110">
        <v>0</v>
      </c>
      <c r="BN42" s="110">
        <v>0</v>
      </c>
      <c r="BO42" s="110">
        <v>0</v>
      </c>
      <c r="BP42" s="110">
        <v>0</v>
      </c>
      <c r="BQ42" s="110">
        <v>0</v>
      </c>
      <c r="BR42" s="110">
        <v>0</v>
      </c>
      <c r="BS42" s="110">
        <v>0</v>
      </c>
      <c r="BT42" s="110">
        <v>0</v>
      </c>
      <c r="BU42" s="110">
        <v>0</v>
      </c>
      <c r="BV42" s="110">
        <v>0</v>
      </c>
      <c r="BW42" s="110">
        <v>0</v>
      </c>
      <c r="BX42" s="110">
        <v>0</v>
      </c>
      <c r="BY42" s="110">
        <v>0</v>
      </c>
      <c r="BZ42" s="110">
        <v>0</v>
      </c>
      <c r="CA42" s="110">
        <v>0</v>
      </c>
      <c r="CB42" s="110">
        <v>0</v>
      </c>
      <c r="CC42" s="110">
        <v>0</v>
      </c>
      <c r="CD42" s="110">
        <v>0</v>
      </c>
      <c r="CE42" s="110">
        <v>0</v>
      </c>
      <c r="CF42" s="110">
        <v>0</v>
      </c>
      <c r="CG42" s="110">
        <v>0</v>
      </c>
    </row>
    <row r="43" spans="1:85" x14ac:dyDescent="0.15">
      <c r="A43" s="186" t="s">
        <v>233</v>
      </c>
      <c r="B43" s="110">
        <v>0</v>
      </c>
      <c r="C43" s="110">
        <v>0</v>
      </c>
      <c r="D43" s="110">
        <v>0</v>
      </c>
      <c r="E43" s="110">
        <v>0</v>
      </c>
      <c r="F43" s="110">
        <v>0</v>
      </c>
      <c r="G43" s="110">
        <v>0</v>
      </c>
      <c r="H43" s="110">
        <v>0</v>
      </c>
      <c r="I43" s="110">
        <v>0</v>
      </c>
      <c r="J43" s="110">
        <v>0</v>
      </c>
      <c r="K43" s="110">
        <v>0</v>
      </c>
      <c r="L43" s="110">
        <v>0</v>
      </c>
      <c r="M43" s="110">
        <v>0</v>
      </c>
      <c r="N43" s="110">
        <v>0</v>
      </c>
      <c r="O43" s="110">
        <v>0</v>
      </c>
      <c r="P43" s="110">
        <v>0</v>
      </c>
      <c r="Q43" s="110">
        <v>0</v>
      </c>
      <c r="R43" s="110">
        <v>0</v>
      </c>
      <c r="S43" s="110">
        <v>0</v>
      </c>
      <c r="T43" s="110">
        <v>0</v>
      </c>
      <c r="U43" s="110">
        <v>0</v>
      </c>
      <c r="V43" s="110">
        <v>0</v>
      </c>
      <c r="W43" s="110">
        <v>0</v>
      </c>
      <c r="X43" s="110">
        <v>0</v>
      </c>
      <c r="Y43" s="110">
        <v>0</v>
      </c>
      <c r="Z43" s="110">
        <v>0</v>
      </c>
      <c r="AA43" s="110">
        <v>0.8</v>
      </c>
      <c r="AB43" s="110">
        <v>0.8</v>
      </c>
      <c r="AC43" s="110">
        <v>0</v>
      </c>
      <c r="AD43" s="110">
        <v>0</v>
      </c>
      <c r="AE43" s="110">
        <v>0</v>
      </c>
      <c r="AF43" s="110">
        <v>0</v>
      </c>
      <c r="AG43" s="110">
        <v>0</v>
      </c>
      <c r="AH43" s="110">
        <v>0</v>
      </c>
      <c r="AI43" s="110">
        <v>0</v>
      </c>
      <c r="AJ43" s="110">
        <v>0.8</v>
      </c>
      <c r="AK43" s="110">
        <v>0</v>
      </c>
      <c r="AL43" s="110">
        <v>0</v>
      </c>
      <c r="AM43" s="110">
        <v>0</v>
      </c>
      <c r="AN43" s="110">
        <v>0.8</v>
      </c>
      <c r="AO43" s="110">
        <v>0</v>
      </c>
      <c r="AP43" s="110">
        <v>0.8</v>
      </c>
      <c r="AQ43" s="110">
        <v>0</v>
      </c>
      <c r="AR43" s="110">
        <v>0</v>
      </c>
      <c r="AS43" s="110">
        <v>0</v>
      </c>
      <c r="AT43" s="110">
        <v>0</v>
      </c>
      <c r="AU43" s="110">
        <v>0</v>
      </c>
      <c r="AV43" s="110">
        <v>0</v>
      </c>
      <c r="AW43" s="110">
        <v>0</v>
      </c>
      <c r="AX43" s="110">
        <v>0</v>
      </c>
      <c r="AY43" s="110">
        <v>0</v>
      </c>
      <c r="AZ43" s="110">
        <v>0</v>
      </c>
      <c r="BA43" s="110">
        <v>0</v>
      </c>
      <c r="BB43" s="110">
        <v>0</v>
      </c>
      <c r="BC43" s="110">
        <v>0</v>
      </c>
      <c r="BD43" s="110">
        <v>0</v>
      </c>
      <c r="BE43" s="110">
        <v>0</v>
      </c>
      <c r="BF43" s="110">
        <v>0</v>
      </c>
      <c r="BG43" s="110">
        <v>0</v>
      </c>
      <c r="BH43" s="110">
        <v>0</v>
      </c>
      <c r="BI43" s="110">
        <v>0</v>
      </c>
      <c r="BJ43" s="110">
        <v>0</v>
      </c>
      <c r="BK43" s="110">
        <v>0</v>
      </c>
      <c r="BL43" s="110">
        <v>0</v>
      </c>
      <c r="BM43" s="110">
        <v>0</v>
      </c>
      <c r="BN43" s="110">
        <v>0</v>
      </c>
      <c r="BO43" s="110">
        <v>0</v>
      </c>
      <c r="BP43" s="110">
        <v>0</v>
      </c>
      <c r="BQ43" s="110">
        <v>0</v>
      </c>
      <c r="BR43" s="110">
        <v>0</v>
      </c>
      <c r="BS43" s="110">
        <v>0</v>
      </c>
      <c r="BT43" s="110">
        <v>0</v>
      </c>
      <c r="BU43" s="110">
        <v>0</v>
      </c>
      <c r="BV43" s="110">
        <v>0</v>
      </c>
      <c r="BW43" s="110">
        <v>0</v>
      </c>
      <c r="BX43" s="110">
        <v>0</v>
      </c>
      <c r="BY43" s="110">
        <v>0</v>
      </c>
      <c r="BZ43" s="110">
        <v>0</v>
      </c>
      <c r="CA43" s="110">
        <v>0</v>
      </c>
      <c r="CB43" s="110">
        <v>0</v>
      </c>
      <c r="CC43" s="110">
        <v>0</v>
      </c>
      <c r="CD43" s="110">
        <v>0</v>
      </c>
      <c r="CE43" s="110">
        <v>0</v>
      </c>
      <c r="CF43" s="110">
        <v>0</v>
      </c>
      <c r="CG43" s="110">
        <v>0</v>
      </c>
    </row>
    <row r="44" spans="1:85" x14ac:dyDescent="0.15">
      <c r="A44" s="186" t="s">
        <v>234</v>
      </c>
      <c r="B44" s="110">
        <v>0</v>
      </c>
      <c r="C44" s="110">
        <v>0</v>
      </c>
      <c r="D44" s="110">
        <v>0</v>
      </c>
      <c r="E44" s="110">
        <v>0</v>
      </c>
      <c r="F44" s="110">
        <v>0</v>
      </c>
      <c r="G44" s="110">
        <v>0</v>
      </c>
      <c r="H44" s="110">
        <v>0</v>
      </c>
      <c r="I44" s="110">
        <v>0</v>
      </c>
      <c r="J44" s="110">
        <v>0</v>
      </c>
      <c r="K44" s="110">
        <v>0</v>
      </c>
      <c r="L44" s="110">
        <v>0</v>
      </c>
      <c r="M44" s="110">
        <v>0</v>
      </c>
      <c r="N44" s="110">
        <v>0</v>
      </c>
      <c r="O44" s="110">
        <v>0</v>
      </c>
      <c r="P44" s="110">
        <v>0</v>
      </c>
      <c r="Q44" s="110">
        <v>0.8</v>
      </c>
      <c r="R44" s="110">
        <v>0</v>
      </c>
      <c r="S44" s="110">
        <v>0</v>
      </c>
      <c r="T44" s="110">
        <v>0.8</v>
      </c>
      <c r="U44" s="110">
        <v>0</v>
      </c>
      <c r="V44" s="110">
        <v>0</v>
      </c>
      <c r="W44" s="110">
        <v>0</v>
      </c>
      <c r="X44" s="110">
        <v>0.8</v>
      </c>
      <c r="Y44" s="110">
        <v>0</v>
      </c>
      <c r="Z44" s="110">
        <v>0</v>
      </c>
      <c r="AA44" s="110">
        <v>0.8</v>
      </c>
      <c r="AB44" s="110">
        <v>0.8</v>
      </c>
      <c r="AC44" s="110">
        <v>0</v>
      </c>
      <c r="AD44" s="110">
        <v>0.8</v>
      </c>
      <c r="AE44" s="110">
        <v>0</v>
      </c>
      <c r="AF44" s="110">
        <v>0</v>
      </c>
      <c r="AG44" s="110">
        <v>0</v>
      </c>
      <c r="AH44" s="110">
        <v>0</v>
      </c>
      <c r="AI44" s="110">
        <v>0</v>
      </c>
      <c r="AJ44" s="110">
        <v>0.8</v>
      </c>
      <c r="AK44" s="110">
        <v>0</v>
      </c>
      <c r="AL44" s="110">
        <v>0</v>
      </c>
      <c r="AM44" s="110">
        <v>0</v>
      </c>
      <c r="AN44" s="110">
        <v>0.8</v>
      </c>
      <c r="AO44" s="110">
        <v>0</v>
      </c>
      <c r="AP44" s="110">
        <v>0.8</v>
      </c>
      <c r="AQ44" s="110">
        <v>0</v>
      </c>
      <c r="AR44" s="110">
        <v>0</v>
      </c>
      <c r="AS44" s="110">
        <v>0</v>
      </c>
      <c r="AT44" s="110">
        <v>0</v>
      </c>
      <c r="AU44" s="110">
        <v>0</v>
      </c>
      <c r="AV44" s="110">
        <v>0</v>
      </c>
      <c r="AW44" s="110">
        <v>0</v>
      </c>
      <c r="AX44" s="110">
        <v>0</v>
      </c>
      <c r="AY44" s="110">
        <v>0</v>
      </c>
      <c r="AZ44" s="110">
        <v>0</v>
      </c>
      <c r="BA44" s="110">
        <v>0</v>
      </c>
      <c r="BB44" s="110">
        <v>0</v>
      </c>
      <c r="BC44" s="110">
        <v>0</v>
      </c>
      <c r="BD44" s="110">
        <v>0</v>
      </c>
      <c r="BE44" s="110">
        <v>0</v>
      </c>
      <c r="BF44" s="110">
        <v>0</v>
      </c>
      <c r="BG44" s="110">
        <v>0</v>
      </c>
      <c r="BH44" s="110">
        <v>0</v>
      </c>
      <c r="BI44" s="110">
        <v>0</v>
      </c>
      <c r="BJ44" s="110">
        <v>0</v>
      </c>
      <c r="BK44" s="110">
        <v>0</v>
      </c>
      <c r="BL44" s="110">
        <v>0</v>
      </c>
      <c r="BM44" s="110">
        <v>0</v>
      </c>
      <c r="BN44" s="110">
        <v>0</v>
      </c>
      <c r="BO44" s="110">
        <v>0</v>
      </c>
      <c r="BP44" s="110">
        <v>0</v>
      </c>
      <c r="BQ44" s="110">
        <v>0</v>
      </c>
      <c r="BR44" s="110">
        <v>0</v>
      </c>
      <c r="BS44" s="110">
        <v>0</v>
      </c>
      <c r="BT44" s="110">
        <v>0</v>
      </c>
      <c r="BU44" s="110">
        <v>0</v>
      </c>
      <c r="BV44" s="110">
        <v>0</v>
      </c>
      <c r="BW44" s="110">
        <v>0</v>
      </c>
      <c r="BX44" s="110">
        <v>0</v>
      </c>
      <c r="BY44" s="110">
        <v>0</v>
      </c>
      <c r="BZ44" s="110">
        <v>0</v>
      </c>
      <c r="CA44" s="110">
        <v>0</v>
      </c>
      <c r="CB44" s="110">
        <v>0</v>
      </c>
      <c r="CC44" s="110">
        <v>0</v>
      </c>
      <c r="CD44" s="110">
        <v>0</v>
      </c>
      <c r="CE44" s="110">
        <v>0</v>
      </c>
      <c r="CF44" s="110">
        <v>0</v>
      </c>
      <c r="CG44" s="110">
        <v>0</v>
      </c>
    </row>
    <row r="45" spans="1:85" x14ac:dyDescent="0.15">
      <c r="A45" s="186" t="s">
        <v>235</v>
      </c>
      <c r="B45" s="110">
        <v>0.8</v>
      </c>
      <c r="C45" s="110">
        <v>0</v>
      </c>
      <c r="D45" s="110">
        <v>0</v>
      </c>
      <c r="E45" s="110">
        <v>0</v>
      </c>
      <c r="F45" s="110">
        <v>0</v>
      </c>
      <c r="G45" s="110">
        <v>0</v>
      </c>
      <c r="H45" s="110">
        <v>0</v>
      </c>
      <c r="I45" s="110">
        <v>0</v>
      </c>
      <c r="J45" s="110">
        <v>0</v>
      </c>
      <c r="K45" s="110">
        <v>0</v>
      </c>
      <c r="L45" s="110">
        <v>0.8</v>
      </c>
      <c r="M45" s="110">
        <v>0.8</v>
      </c>
      <c r="N45" s="110">
        <v>0.8</v>
      </c>
      <c r="O45" s="110">
        <v>0.8</v>
      </c>
      <c r="P45" s="110">
        <v>0</v>
      </c>
      <c r="Q45" s="110">
        <v>0.8</v>
      </c>
      <c r="R45" s="110">
        <v>0</v>
      </c>
      <c r="S45" s="110">
        <v>0.8</v>
      </c>
      <c r="T45" s="110">
        <v>0.8</v>
      </c>
      <c r="U45" s="110">
        <v>0</v>
      </c>
      <c r="V45" s="110">
        <v>0.8</v>
      </c>
      <c r="W45" s="110">
        <v>0</v>
      </c>
      <c r="X45" s="110">
        <v>0.8</v>
      </c>
      <c r="Y45" s="110">
        <v>0</v>
      </c>
      <c r="Z45" s="110">
        <v>0</v>
      </c>
      <c r="AA45" s="110">
        <v>0.8</v>
      </c>
      <c r="AB45" s="110">
        <v>0.8</v>
      </c>
      <c r="AC45" s="110">
        <v>0</v>
      </c>
      <c r="AD45" s="110">
        <v>0.8</v>
      </c>
      <c r="AE45" s="110">
        <v>0.8</v>
      </c>
      <c r="AF45" s="110">
        <v>0</v>
      </c>
      <c r="AG45" s="110">
        <v>0</v>
      </c>
      <c r="AH45" s="110">
        <v>0</v>
      </c>
      <c r="AI45" s="110">
        <v>0</v>
      </c>
      <c r="AJ45" s="110">
        <v>0.8</v>
      </c>
      <c r="AK45" s="110">
        <v>0</v>
      </c>
      <c r="AL45" s="110">
        <v>0</v>
      </c>
      <c r="AM45" s="110">
        <v>0</v>
      </c>
      <c r="AN45" s="110">
        <v>0.8</v>
      </c>
      <c r="AO45" s="110">
        <v>0</v>
      </c>
      <c r="AP45" s="110">
        <v>0.8</v>
      </c>
      <c r="AQ45" s="110">
        <v>0</v>
      </c>
      <c r="AR45" s="110">
        <v>0</v>
      </c>
      <c r="AS45" s="110">
        <v>0</v>
      </c>
      <c r="AT45" s="110">
        <v>0</v>
      </c>
      <c r="AU45" s="110">
        <v>0</v>
      </c>
      <c r="AV45" s="110">
        <v>0</v>
      </c>
      <c r="AW45" s="110">
        <v>0</v>
      </c>
      <c r="AX45" s="110">
        <v>0</v>
      </c>
      <c r="AY45" s="110">
        <v>0</v>
      </c>
      <c r="AZ45" s="110">
        <v>0</v>
      </c>
      <c r="BA45" s="110">
        <v>0.8</v>
      </c>
      <c r="BB45" s="110">
        <v>0.8</v>
      </c>
      <c r="BC45" s="110">
        <v>0</v>
      </c>
      <c r="BD45" s="110">
        <v>0</v>
      </c>
      <c r="BE45" s="110">
        <v>0</v>
      </c>
      <c r="BF45" s="110">
        <v>0</v>
      </c>
      <c r="BG45" s="110">
        <v>0</v>
      </c>
      <c r="BH45" s="110">
        <v>0</v>
      </c>
      <c r="BI45" s="110">
        <v>0</v>
      </c>
      <c r="BJ45" s="110">
        <v>0</v>
      </c>
      <c r="BK45" s="110">
        <v>0</v>
      </c>
      <c r="BL45" s="110">
        <v>0</v>
      </c>
      <c r="BM45" s="110">
        <v>0</v>
      </c>
      <c r="BN45" s="110">
        <v>0</v>
      </c>
      <c r="BO45" s="110">
        <v>0</v>
      </c>
      <c r="BP45" s="110">
        <v>0</v>
      </c>
      <c r="BQ45" s="110">
        <v>0</v>
      </c>
      <c r="BR45" s="110">
        <v>0</v>
      </c>
      <c r="BS45" s="110">
        <v>0</v>
      </c>
      <c r="BT45" s="110">
        <v>0</v>
      </c>
      <c r="BU45" s="110">
        <v>0</v>
      </c>
      <c r="BV45" s="110">
        <v>0</v>
      </c>
      <c r="BW45" s="110">
        <v>0</v>
      </c>
      <c r="BX45" s="110">
        <v>0</v>
      </c>
      <c r="BY45" s="110">
        <v>0</v>
      </c>
      <c r="BZ45" s="110">
        <v>0</v>
      </c>
      <c r="CA45" s="110">
        <v>0</v>
      </c>
      <c r="CB45" s="110">
        <v>0</v>
      </c>
      <c r="CC45" s="110">
        <v>0</v>
      </c>
      <c r="CD45" s="110">
        <v>0</v>
      </c>
      <c r="CE45" s="110">
        <v>0</v>
      </c>
      <c r="CF45" s="110">
        <v>0</v>
      </c>
      <c r="CG45" s="110">
        <v>0</v>
      </c>
    </row>
    <row r="46" spans="1:85" x14ac:dyDescent="0.15">
      <c r="A46" s="186" t="s">
        <v>236</v>
      </c>
      <c r="B46" s="110">
        <v>0</v>
      </c>
      <c r="C46" s="110">
        <v>0</v>
      </c>
      <c r="D46" s="110">
        <v>0</v>
      </c>
      <c r="E46" s="110">
        <v>0</v>
      </c>
      <c r="F46" s="110">
        <v>0</v>
      </c>
      <c r="G46" s="110">
        <v>0</v>
      </c>
      <c r="H46" s="110">
        <v>0</v>
      </c>
      <c r="I46" s="110">
        <v>0</v>
      </c>
      <c r="J46" s="110">
        <v>0</v>
      </c>
      <c r="K46" s="110">
        <v>0</v>
      </c>
      <c r="L46" s="110">
        <v>0</v>
      </c>
      <c r="M46" s="110">
        <v>0</v>
      </c>
      <c r="N46" s="110">
        <v>0</v>
      </c>
      <c r="O46" s="110">
        <v>0</v>
      </c>
      <c r="P46" s="110">
        <v>0</v>
      </c>
      <c r="Q46" s="110">
        <v>0</v>
      </c>
      <c r="R46" s="110">
        <v>0</v>
      </c>
      <c r="S46" s="110">
        <v>0</v>
      </c>
      <c r="T46" s="110">
        <v>0</v>
      </c>
      <c r="U46" s="110">
        <v>0</v>
      </c>
      <c r="V46" s="110">
        <v>0</v>
      </c>
      <c r="W46" s="110">
        <v>0</v>
      </c>
      <c r="X46" s="110">
        <v>0</v>
      </c>
      <c r="Y46" s="110">
        <v>0</v>
      </c>
      <c r="Z46" s="110">
        <v>0</v>
      </c>
      <c r="AA46" s="110">
        <v>0</v>
      </c>
      <c r="AB46" s="110">
        <v>0</v>
      </c>
      <c r="AC46" s="110">
        <v>0</v>
      </c>
      <c r="AD46" s="110">
        <v>0</v>
      </c>
      <c r="AE46" s="110">
        <v>0</v>
      </c>
      <c r="AF46" s="110">
        <v>0</v>
      </c>
      <c r="AG46" s="110">
        <v>0</v>
      </c>
      <c r="AH46" s="110">
        <v>0</v>
      </c>
      <c r="AI46" s="110">
        <v>0</v>
      </c>
      <c r="AJ46" s="110">
        <v>0</v>
      </c>
      <c r="AK46" s="110">
        <v>0</v>
      </c>
      <c r="AL46" s="110">
        <v>0</v>
      </c>
      <c r="AM46" s="110">
        <v>0</v>
      </c>
      <c r="AN46" s="110">
        <v>0</v>
      </c>
      <c r="AO46" s="110">
        <v>0</v>
      </c>
      <c r="AP46" s="110">
        <v>0.8</v>
      </c>
      <c r="AQ46" s="110">
        <v>0</v>
      </c>
      <c r="AR46" s="110">
        <v>0</v>
      </c>
      <c r="AS46" s="110">
        <v>0</v>
      </c>
      <c r="AT46" s="110">
        <v>0</v>
      </c>
      <c r="AU46" s="110">
        <v>0</v>
      </c>
      <c r="AV46" s="110">
        <v>0</v>
      </c>
      <c r="AW46" s="110">
        <v>0</v>
      </c>
      <c r="AX46" s="110">
        <v>0</v>
      </c>
      <c r="AY46" s="110">
        <v>0</v>
      </c>
      <c r="AZ46" s="110">
        <v>0</v>
      </c>
      <c r="BA46" s="110">
        <v>0</v>
      </c>
      <c r="BB46" s="110">
        <v>0</v>
      </c>
      <c r="BC46" s="110">
        <v>0</v>
      </c>
      <c r="BD46" s="110">
        <v>0</v>
      </c>
      <c r="BE46" s="110">
        <v>0</v>
      </c>
      <c r="BF46" s="110">
        <v>0</v>
      </c>
      <c r="BG46" s="110">
        <v>0</v>
      </c>
      <c r="BH46" s="110">
        <v>0</v>
      </c>
      <c r="BI46" s="110">
        <v>0</v>
      </c>
      <c r="BJ46" s="110">
        <v>0</v>
      </c>
      <c r="BK46" s="110">
        <v>0</v>
      </c>
      <c r="BL46" s="110">
        <v>0</v>
      </c>
      <c r="BM46" s="110">
        <v>0</v>
      </c>
      <c r="BN46" s="110">
        <v>0</v>
      </c>
      <c r="BO46" s="110">
        <v>0</v>
      </c>
      <c r="BP46" s="110">
        <v>0</v>
      </c>
      <c r="BQ46" s="110">
        <v>0</v>
      </c>
      <c r="BR46" s="110">
        <v>0</v>
      </c>
      <c r="BS46" s="110">
        <v>0</v>
      </c>
      <c r="BT46" s="110">
        <v>0</v>
      </c>
      <c r="BU46" s="110">
        <v>0</v>
      </c>
      <c r="BV46" s="110">
        <v>0</v>
      </c>
      <c r="BW46" s="110">
        <v>0</v>
      </c>
      <c r="BX46" s="110">
        <v>0</v>
      </c>
      <c r="BY46" s="110">
        <v>0</v>
      </c>
      <c r="BZ46" s="110">
        <v>0</v>
      </c>
      <c r="CA46" s="110">
        <v>0</v>
      </c>
      <c r="CB46" s="110">
        <v>0</v>
      </c>
      <c r="CC46" s="110">
        <v>0</v>
      </c>
      <c r="CD46" s="110">
        <v>0</v>
      </c>
      <c r="CE46" s="110">
        <v>0</v>
      </c>
      <c r="CF46" s="110">
        <v>0</v>
      </c>
      <c r="CG46" s="110">
        <v>0</v>
      </c>
    </row>
    <row r="47" spans="1:85" x14ac:dyDescent="0.15">
      <c r="A47" s="186" t="s">
        <v>237</v>
      </c>
      <c r="B47" s="110">
        <v>0</v>
      </c>
      <c r="C47" s="110">
        <v>0</v>
      </c>
      <c r="D47" s="110">
        <v>0</v>
      </c>
      <c r="E47" s="110">
        <v>0</v>
      </c>
      <c r="F47" s="110">
        <v>0</v>
      </c>
      <c r="G47" s="110">
        <v>0</v>
      </c>
      <c r="H47" s="110">
        <v>0</v>
      </c>
      <c r="I47" s="110">
        <v>0</v>
      </c>
      <c r="J47" s="110">
        <v>0</v>
      </c>
      <c r="K47" s="110">
        <v>0</v>
      </c>
      <c r="L47" s="110">
        <v>0</v>
      </c>
      <c r="M47" s="110">
        <v>0</v>
      </c>
      <c r="N47" s="110">
        <v>0</v>
      </c>
      <c r="O47" s="110">
        <v>0</v>
      </c>
      <c r="P47" s="110">
        <v>0</v>
      </c>
      <c r="Q47" s="110">
        <v>0</v>
      </c>
      <c r="R47" s="110">
        <v>0</v>
      </c>
      <c r="S47" s="110">
        <v>0</v>
      </c>
      <c r="T47" s="110">
        <v>0</v>
      </c>
      <c r="U47" s="110">
        <v>0</v>
      </c>
      <c r="V47" s="110">
        <v>0</v>
      </c>
      <c r="W47" s="110">
        <v>0</v>
      </c>
      <c r="X47" s="110">
        <v>0</v>
      </c>
      <c r="Y47" s="110">
        <v>0</v>
      </c>
      <c r="Z47" s="110">
        <v>0</v>
      </c>
      <c r="AA47" s="110">
        <v>0</v>
      </c>
      <c r="AB47" s="110">
        <v>0</v>
      </c>
      <c r="AC47" s="110">
        <v>0</v>
      </c>
      <c r="AD47" s="110">
        <v>0</v>
      </c>
      <c r="AE47" s="110">
        <v>0</v>
      </c>
      <c r="AF47" s="110">
        <v>0</v>
      </c>
      <c r="AG47" s="110">
        <v>0</v>
      </c>
      <c r="AH47" s="110">
        <v>0</v>
      </c>
      <c r="AI47" s="110">
        <v>0</v>
      </c>
      <c r="AJ47" s="110">
        <v>0</v>
      </c>
      <c r="AK47" s="110">
        <v>0</v>
      </c>
      <c r="AL47" s="110">
        <v>0</v>
      </c>
      <c r="AM47" s="110">
        <v>0</v>
      </c>
      <c r="AN47" s="110">
        <v>0.8</v>
      </c>
      <c r="AO47" s="110">
        <v>0</v>
      </c>
      <c r="AP47" s="110">
        <v>0.8</v>
      </c>
      <c r="AQ47" s="110">
        <v>0</v>
      </c>
      <c r="AR47" s="110">
        <v>0</v>
      </c>
      <c r="AS47" s="110">
        <v>0</v>
      </c>
      <c r="AT47" s="110">
        <v>0</v>
      </c>
      <c r="AU47" s="110">
        <v>0</v>
      </c>
      <c r="AV47" s="110">
        <v>0</v>
      </c>
      <c r="AW47" s="110">
        <v>0</v>
      </c>
      <c r="AX47" s="110">
        <v>0</v>
      </c>
      <c r="AY47" s="110">
        <v>0</v>
      </c>
      <c r="AZ47" s="110">
        <v>0</v>
      </c>
      <c r="BA47" s="110">
        <v>0</v>
      </c>
      <c r="BB47" s="110">
        <v>0</v>
      </c>
      <c r="BC47" s="110">
        <v>0</v>
      </c>
      <c r="BD47" s="110">
        <v>0</v>
      </c>
      <c r="BE47" s="110">
        <v>0</v>
      </c>
      <c r="BF47" s="110">
        <v>0</v>
      </c>
      <c r="BG47" s="110">
        <v>0</v>
      </c>
      <c r="BH47" s="110">
        <v>0</v>
      </c>
      <c r="BI47" s="110">
        <v>0</v>
      </c>
      <c r="BJ47" s="110">
        <v>0</v>
      </c>
      <c r="BK47" s="110">
        <v>0</v>
      </c>
      <c r="BL47" s="110">
        <v>0</v>
      </c>
      <c r="BM47" s="110">
        <v>0</v>
      </c>
      <c r="BN47" s="110">
        <v>0</v>
      </c>
      <c r="BO47" s="110">
        <v>0</v>
      </c>
      <c r="BP47" s="110">
        <v>0</v>
      </c>
      <c r="BQ47" s="110">
        <v>0</v>
      </c>
      <c r="BR47" s="110">
        <v>0</v>
      </c>
      <c r="BS47" s="110">
        <v>0</v>
      </c>
      <c r="BT47" s="110">
        <v>0</v>
      </c>
      <c r="BU47" s="110">
        <v>0</v>
      </c>
      <c r="BV47" s="110">
        <v>0</v>
      </c>
      <c r="BW47" s="110">
        <v>0</v>
      </c>
      <c r="BX47" s="110">
        <v>0</v>
      </c>
      <c r="BY47" s="110">
        <v>0</v>
      </c>
      <c r="BZ47" s="110">
        <v>0</v>
      </c>
      <c r="CA47" s="110">
        <v>0</v>
      </c>
      <c r="CB47" s="110">
        <v>0</v>
      </c>
      <c r="CC47" s="110">
        <v>0</v>
      </c>
      <c r="CD47" s="110">
        <v>0</v>
      </c>
      <c r="CE47" s="110">
        <v>0</v>
      </c>
      <c r="CF47" s="110">
        <v>0</v>
      </c>
      <c r="CG47" s="110">
        <v>0</v>
      </c>
    </row>
    <row r="48" spans="1:85" x14ac:dyDescent="0.15">
      <c r="A48" s="186" t="s">
        <v>238</v>
      </c>
      <c r="B48" s="110">
        <v>0.8</v>
      </c>
      <c r="C48" s="110">
        <v>0</v>
      </c>
      <c r="D48" s="110">
        <v>0</v>
      </c>
      <c r="E48" s="110">
        <v>0</v>
      </c>
      <c r="F48" s="110">
        <v>0</v>
      </c>
      <c r="G48" s="110">
        <v>0</v>
      </c>
      <c r="H48" s="110">
        <v>0</v>
      </c>
      <c r="I48" s="110">
        <v>0</v>
      </c>
      <c r="J48" s="110">
        <v>0</v>
      </c>
      <c r="K48" s="110">
        <v>0.8</v>
      </c>
      <c r="L48" s="110">
        <v>0.8</v>
      </c>
      <c r="M48" s="110">
        <v>0.8</v>
      </c>
      <c r="N48" s="110">
        <v>0.8</v>
      </c>
      <c r="O48" s="110">
        <v>0.8</v>
      </c>
      <c r="P48" s="110">
        <v>0</v>
      </c>
      <c r="Q48" s="110">
        <v>0</v>
      </c>
      <c r="R48" s="110">
        <v>0</v>
      </c>
      <c r="S48" s="110">
        <v>0.8</v>
      </c>
      <c r="T48" s="110">
        <v>0.8</v>
      </c>
      <c r="U48" s="110">
        <v>0</v>
      </c>
      <c r="V48" s="110">
        <v>0.8</v>
      </c>
      <c r="W48" s="110">
        <v>0.8</v>
      </c>
      <c r="X48" s="110">
        <v>0.8</v>
      </c>
      <c r="Y48" s="110">
        <v>0</v>
      </c>
      <c r="Z48" s="110">
        <v>0.8</v>
      </c>
      <c r="AA48" s="110">
        <v>0.8</v>
      </c>
      <c r="AB48" s="110">
        <v>0.8</v>
      </c>
      <c r="AC48" s="110">
        <v>0</v>
      </c>
      <c r="AD48" s="110">
        <v>0</v>
      </c>
      <c r="AE48" s="110">
        <v>0</v>
      </c>
      <c r="AF48" s="110">
        <v>0</v>
      </c>
      <c r="AG48" s="110">
        <v>0</v>
      </c>
      <c r="AH48" s="110">
        <v>0</v>
      </c>
      <c r="AI48" s="110">
        <v>0.8</v>
      </c>
      <c r="AJ48" s="110">
        <v>0.8</v>
      </c>
      <c r="AK48" s="110">
        <v>0</v>
      </c>
      <c r="AL48" s="110">
        <v>0</v>
      </c>
      <c r="AM48" s="110">
        <v>0</v>
      </c>
      <c r="AN48" s="110">
        <v>0</v>
      </c>
      <c r="AO48" s="110">
        <v>0</v>
      </c>
      <c r="AP48" s="110">
        <v>0.8</v>
      </c>
      <c r="AQ48" s="110">
        <v>0</v>
      </c>
      <c r="AR48" s="110">
        <v>0</v>
      </c>
      <c r="AS48" s="110">
        <v>0</v>
      </c>
      <c r="AT48" s="110">
        <v>0</v>
      </c>
      <c r="AU48" s="110">
        <v>0</v>
      </c>
      <c r="AV48" s="110">
        <v>0</v>
      </c>
      <c r="AW48" s="110">
        <v>0</v>
      </c>
      <c r="AX48" s="110">
        <v>0</v>
      </c>
      <c r="AY48" s="110">
        <v>0</v>
      </c>
      <c r="AZ48" s="110">
        <v>0</v>
      </c>
      <c r="BA48" s="110">
        <v>0</v>
      </c>
      <c r="BB48" s="110">
        <v>0</v>
      </c>
      <c r="BC48" s="110">
        <v>0</v>
      </c>
      <c r="BD48" s="110">
        <v>0</v>
      </c>
      <c r="BE48" s="110">
        <v>0</v>
      </c>
      <c r="BF48" s="110">
        <v>0</v>
      </c>
      <c r="BG48" s="110">
        <v>0</v>
      </c>
      <c r="BH48" s="110">
        <v>0</v>
      </c>
      <c r="BI48" s="110">
        <v>0</v>
      </c>
      <c r="BJ48" s="110">
        <v>0</v>
      </c>
      <c r="BK48" s="110">
        <v>0</v>
      </c>
      <c r="BL48" s="110">
        <v>0</v>
      </c>
      <c r="BM48" s="110">
        <v>0</v>
      </c>
      <c r="BN48" s="110">
        <v>0</v>
      </c>
      <c r="BO48" s="110">
        <v>0</v>
      </c>
      <c r="BP48" s="110">
        <v>0</v>
      </c>
      <c r="BQ48" s="110">
        <v>0</v>
      </c>
      <c r="BR48" s="110">
        <v>0</v>
      </c>
      <c r="BS48" s="110">
        <v>0</v>
      </c>
      <c r="BT48" s="110">
        <v>0</v>
      </c>
      <c r="BU48" s="110">
        <v>0</v>
      </c>
      <c r="BV48" s="110">
        <v>0</v>
      </c>
      <c r="BW48" s="110">
        <v>0</v>
      </c>
      <c r="BX48" s="110">
        <v>0</v>
      </c>
      <c r="BY48" s="110">
        <v>0</v>
      </c>
      <c r="BZ48" s="110">
        <v>0</v>
      </c>
      <c r="CA48" s="110">
        <v>0</v>
      </c>
      <c r="CB48" s="110">
        <v>0</v>
      </c>
      <c r="CC48" s="110">
        <v>0</v>
      </c>
      <c r="CD48" s="110">
        <v>0</v>
      </c>
      <c r="CE48" s="110">
        <v>0</v>
      </c>
      <c r="CF48" s="110">
        <v>0</v>
      </c>
      <c r="CG48" s="110">
        <v>0</v>
      </c>
    </row>
    <row r="49" spans="1:85" x14ac:dyDescent="0.15">
      <c r="A49" s="186" t="s">
        <v>239</v>
      </c>
      <c r="B49" s="110">
        <v>0</v>
      </c>
      <c r="C49" s="110">
        <v>0</v>
      </c>
      <c r="D49" s="110">
        <v>0</v>
      </c>
      <c r="E49" s="110">
        <v>0</v>
      </c>
      <c r="F49" s="110">
        <v>0</v>
      </c>
      <c r="G49" s="110">
        <v>0</v>
      </c>
      <c r="H49" s="110">
        <v>0</v>
      </c>
      <c r="I49" s="110">
        <v>0</v>
      </c>
      <c r="J49" s="110">
        <v>0</v>
      </c>
      <c r="K49" s="110">
        <v>0.8</v>
      </c>
      <c r="L49" s="110">
        <v>0.8</v>
      </c>
      <c r="M49" s="110">
        <v>0.8</v>
      </c>
      <c r="N49" s="110">
        <v>0.8</v>
      </c>
      <c r="O49" s="110">
        <v>0.8</v>
      </c>
      <c r="P49" s="110">
        <v>0</v>
      </c>
      <c r="Q49" s="110">
        <v>0</v>
      </c>
      <c r="R49" s="110">
        <v>0</v>
      </c>
      <c r="S49" s="110">
        <v>0.8</v>
      </c>
      <c r="T49" s="110">
        <v>0.8</v>
      </c>
      <c r="U49" s="110">
        <v>0</v>
      </c>
      <c r="V49" s="110">
        <v>0.8</v>
      </c>
      <c r="W49" s="110">
        <v>0.8</v>
      </c>
      <c r="X49" s="110">
        <v>0.8</v>
      </c>
      <c r="Y49" s="110">
        <v>0.8</v>
      </c>
      <c r="Z49" s="110">
        <v>0.8</v>
      </c>
      <c r="AA49" s="110">
        <v>0.8</v>
      </c>
      <c r="AB49" s="110">
        <v>0.8</v>
      </c>
      <c r="AC49" s="110">
        <v>0</v>
      </c>
      <c r="AD49" s="110">
        <v>0</v>
      </c>
      <c r="AE49" s="110">
        <v>0.8</v>
      </c>
      <c r="AF49" s="110">
        <v>0.8</v>
      </c>
      <c r="AG49" s="110">
        <v>0</v>
      </c>
      <c r="AH49" s="110">
        <v>0</v>
      </c>
      <c r="AI49" s="110">
        <v>0.8</v>
      </c>
      <c r="AJ49" s="110">
        <v>0.8</v>
      </c>
      <c r="AK49" s="110">
        <v>0</v>
      </c>
      <c r="AL49" s="110">
        <v>0.8</v>
      </c>
      <c r="AM49" s="110">
        <v>0</v>
      </c>
      <c r="AN49" s="110">
        <v>0.8</v>
      </c>
      <c r="AO49" s="110">
        <v>0</v>
      </c>
      <c r="AP49" s="110">
        <v>0.8</v>
      </c>
      <c r="AQ49" s="110">
        <v>0</v>
      </c>
      <c r="AR49" s="110">
        <v>0</v>
      </c>
      <c r="AS49" s="110">
        <v>0</v>
      </c>
      <c r="AT49" s="110">
        <v>0</v>
      </c>
      <c r="AU49" s="110">
        <v>0</v>
      </c>
      <c r="AV49" s="110">
        <v>0</v>
      </c>
      <c r="AW49" s="110">
        <v>0</v>
      </c>
      <c r="AX49" s="110">
        <v>0</v>
      </c>
      <c r="AY49" s="110">
        <v>0</v>
      </c>
      <c r="AZ49" s="110">
        <v>0</v>
      </c>
      <c r="BA49" s="110">
        <v>0.8</v>
      </c>
      <c r="BB49" s="110">
        <v>0.8</v>
      </c>
      <c r="BC49" s="110">
        <v>0</v>
      </c>
      <c r="BD49" s="110">
        <v>0.8</v>
      </c>
      <c r="BE49" s="110">
        <v>0</v>
      </c>
      <c r="BF49" s="110">
        <v>0</v>
      </c>
      <c r="BG49" s="110">
        <v>0</v>
      </c>
      <c r="BH49" s="110">
        <v>0</v>
      </c>
      <c r="BI49" s="110">
        <v>0</v>
      </c>
      <c r="BJ49" s="110">
        <v>0</v>
      </c>
      <c r="BK49" s="110">
        <v>0</v>
      </c>
      <c r="BL49" s="110">
        <v>0</v>
      </c>
      <c r="BM49" s="110">
        <v>0</v>
      </c>
      <c r="BN49" s="110">
        <v>0</v>
      </c>
      <c r="BO49" s="110">
        <v>0</v>
      </c>
      <c r="BP49" s="110">
        <v>0</v>
      </c>
      <c r="BQ49" s="110">
        <v>0</v>
      </c>
      <c r="BR49" s="110">
        <v>0</v>
      </c>
      <c r="BS49" s="110">
        <v>0</v>
      </c>
      <c r="BT49" s="110">
        <v>0</v>
      </c>
      <c r="BU49" s="110">
        <v>0</v>
      </c>
      <c r="BV49" s="110">
        <v>0</v>
      </c>
      <c r="BW49" s="110">
        <v>0</v>
      </c>
      <c r="BX49" s="110">
        <v>0</v>
      </c>
      <c r="BY49" s="110">
        <v>0</v>
      </c>
      <c r="BZ49" s="110">
        <v>0</v>
      </c>
      <c r="CA49" s="110">
        <v>0</v>
      </c>
      <c r="CB49" s="110">
        <v>0</v>
      </c>
      <c r="CC49" s="110">
        <v>0</v>
      </c>
      <c r="CD49" s="110">
        <v>0</v>
      </c>
      <c r="CE49" s="110">
        <v>0</v>
      </c>
      <c r="CF49" s="110">
        <v>0</v>
      </c>
      <c r="CG49" s="110">
        <v>0</v>
      </c>
    </row>
    <row r="50" spans="1:85" x14ac:dyDescent="0.15">
      <c r="A50" s="186" t="s">
        <v>240</v>
      </c>
      <c r="B50" s="110">
        <v>0</v>
      </c>
      <c r="C50" s="110">
        <v>0</v>
      </c>
      <c r="D50" s="110">
        <v>0.8</v>
      </c>
      <c r="E50" s="110">
        <v>0</v>
      </c>
      <c r="F50" s="110">
        <v>0</v>
      </c>
      <c r="G50" s="110">
        <v>0</v>
      </c>
      <c r="H50" s="110">
        <v>0</v>
      </c>
      <c r="I50" s="110">
        <v>0</v>
      </c>
      <c r="J50" s="110">
        <v>0</v>
      </c>
      <c r="K50" s="110">
        <v>0.8</v>
      </c>
      <c r="L50" s="110">
        <v>0.8</v>
      </c>
      <c r="M50" s="110">
        <v>0.8</v>
      </c>
      <c r="N50" s="110">
        <v>0.8</v>
      </c>
      <c r="O50" s="110">
        <v>0.8</v>
      </c>
      <c r="P50" s="110">
        <v>0</v>
      </c>
      <c r="Q50" s="110">
        <v>0</v>
      </c>
      <c r="R50" s="110">
        <v>0</v>
      </c>
      <c r="S50" s="110">
        <v>0</v>
      </c>
      <c r="T50" s="110">
        <v>0.8</v>
      </c>
      <c r="U50" s="110">
        <v>0.8</v>
      </c>
      <c r="V50" s="110">
        <v>0.8</v>
      </c>
      <c r="W50" s="110">
        <v>0.8</v>
      </c>
      <c r="X50" s="110">
        <v>0.8</v>
      </c>
      <c r="Y50" s="110">
        <v>0.8</v>
      </c>
      <c r="Z50" s="110">
        <v>0.8</v>
      </c>
      <c r="AA50" s="110">
        <v>0.8</v>
      </c>
      <c r="AB50" s="110">
        <v>0.8</v>
      </c>
      <c r="AC50" s="110">
        <v>0.8</v>
      </c>
      <c r="AD50" s="110">
        <v>0.8</v>
      </c>
      <c r="AE50" s="110">
        <v>0.8</v>
      </c>
      <c r="AF50" s="110">
        <v>0.8</v>
      </c>
      <c r="AG50" s="110">
        <v>0</v>
      </c>
      <c r="AH50" s="110">
        <v>0</v>
      </c>
      <c r="AI50" s="110">
        <v>0</v>
      </c>
      <c r="AJ50" s="110">
        <v>0.8</v>
      </c>
      <c r="AK50" s="110">
        <v>0</v>
      </c>
      <c r="AL50" s="110">
        <v>0.8</v>
      </c>
      <c r="AM50" s="110">
        <v>0</v>
      </c>
      <c r="AN50" s="110">
        <v>0.8</v>
      </c>
      <c r="AO50" s="110">
        <v>0</v>
      </c>
      <c r="AP50" s="110">
        <v>0.8</v>
      </c>
      <c r="AQ50" s="110">
        <v>0</v>
      </c>
      <c r="AR50" s="110">
        <v>0</v>
      </c>
      <c r="AS50" s="110">
        <v>0</v>
      </c>
      <c r="AT50" s="110">
        <v>0</v>
      </c>
      <c r="AU50" s="110">
        <v>0</v>
      </c>
      <c r="AV50" s="110">
        <v>0</v>
      </c>
      <c r="AW50" s="110">
        <v>0</v>
      </c>
      <c r="AX50" s="110">
        <v>0</v>
      </c>
      <c r="AY50" s="110">
        <v>0</v>
      </c>
      <c r="AZ50" s="110">
        <v>0</v>
      </c>
      <c r="BA50" s="110">
        <v>0.8</v>
      </c>
      <c r="BB50" s="110">
        <v>0.8</v>
      </c>
      <c r="BC50" s="110">
        <v>0</v>
      </c>
      <c r="BD50" s="110">
        <v>0.8</v>
      </c>
      <c r="BE50" s="110">
        <v>0</v>
      </c>
      <c r="BF50" s="110">
        <v>0</v>
      </c>
      <c r="BG50" s="110">
        <v>0</v>
      </c>
      <c r="BH50" s="110">
        <v>0</v>
      </c>
      <c r="BI50" s="110">
        <v>0</v>
      </c>
      <c r="BJ50" s="110">
        <v>0</v>
      </c>
      <c r="BK50" s="110">
        <v>0</v>
      </c>
      <c r="BL50" s="110">
        <v>0</v>
      </c>
      <c r="BM50" s="110">
        <v>0</v>
      </c>
      <c r="BN50" s="110">
        <v>0</v>
      </c>
      <c r="BO50" s="110">
        <v>0</v>
      </c>
      <c r="BP50" s="110">
        <v>0</v>
      </c>
      <c r="BQ50" s="110">
        <v>0</v>
      </c>
      <c r="BR50" s="110">
        <v>0</v>
      </c>
      <c r="BS50" s="110">
        <v>0</v>
      </c>
      <c r="BT50" s="110">
        <v>0</v>
      </c>
      <c r="BU50" s="110">
        <v>0</v>
      </c>
      <c r="BV50" s="110">
        <v>0</v>
      </c>
      <c r="BW50" s="110">
        <v>0</v>
      </c>
      <c r="BX50" s="110">
        <v>0</v>
      </c>
      <c r="BY50" s="110">
        <v>0</v>
      </c>
      <c r="BZ50" s="110">
        <v>0</v>
      </c>
      <c r="CA50" s="110">
        <v>0</v>
      </c>
      <c r="CB50" s="110">
        <v>0</v>
      </c>
      <c r="CC50" s="110">
        <v>0</v>
      </c>
      <c r="CD50" s="110">
        <v>0</v>
      </c>
      <c r="CE50" s="110">
        <v>0</v>
      </c>
      <c r="CF50" s="110">
        <v>0</v>
      </c>
      <c r="CG50" s="110">
        <v>0</v>
      </c>
    </row>
    <row r="51" spans="1:85" x14ac:dyDescent="0.15">
      <c r="A51" s="186" t="s">
        <v>241</v>
      </c>
      <c r="B51" s="110">
        <v>0</v>
      </c>
      <c r="C51" s="110">
        <v>0</v>
      </c>
      <c r="D51" s="110">
        <v>0.8</v>
      </c>
      <c r="E51" s="110">
        <v>0</v>
      </c>
      <c r="F51" s="110">
        <v>0</v>
      </c>
      <c r="G51" s="110">
        <v>0</v>
      </c>
      <c r="H51" s="110">
        <v>0</v>
      </c>
      <c r="I51" s="110">
        <v>0</v>
      </c>
      <c r="J51" s="110">
        <v>0</v>
      </c>
      <c r="K51" s="110">
        <v>0.8</v>
      </c>
      <c r="L51" s="110">
        <v>0.8</v>
      </c>
      <c r="M51" s="110">
        <v>0.8</v>
      </c>
      <c r="N51" s="110">
        <v>0.8</v>
      </c>
      <c r="O51" s="110">
        <v>0.8</v>
      </c>
      <c r="P51" s="110">
        <v>0.8</v>
      </c>
      <c r="Q51" s="110">
        <v>0</v>
      </c>
      <c r="R51" s="110">
        <v>0</v>
      </c>
      <c r="S51" s="110">
        <v>0.8</v>
      </c>
      <c r="T51" s="110">
        <v>0.8</v>
      </c>
      <c r="U51" s="110">
        <v>0.8</v>
      </c>
      <c r="V51" s="110">
        <v>0.8</v>
      </c>
      <c r="W51" s="110">
        <v>0.8</v>
      </c>
      <c r="X51" s="110">
        <v>0.8</v>
      </c>
      <c r="Y51" s="110">
        <v>0.8</v>
      </c>
      <c r="Z51" s="110">
        <v>0.8</v>
      </c>
      <c r="AA51" s="110">
        <v>0.8</v>
      </c>
      <c r="AB51" s="110">
        <v>0.8</v>
      </c>
      <c r="AC51" s="110">
        <v>0.8</v>
      </c>
      <c r="AD51" s="110">
        <v>0.8</v>
      </c>
      <c r="AE51" s="110">
        <v>0.8</v>
      </c>
      <c r="AF51" s="110">
        <v>0.8</v>
      </c>
      <c r="AG51" s="110">
        <v>0</v>
      </c>
      <c r="AH51" s="110">
        <v>0</v>
      </c>
      <c r="AI51" s="110">
        <v>0.8</v>
      </c>
      <c r="AJ51" s="110">
        <v>0.8</v>
      </c>
      <c r="AK51" s="110">
        <v>0.8</v>
      </c>
      <c r="AL51" s="110">
        <v>0.8</v>
      </c>
      <c r="AM51" s="110">
        <v>0</v>
      </c>
      <c r="AN51" s="110">
        <v>0.8</v>
      </c>
      <c r="AO51" s="110">
        <v>0</v>
      </c>
      <c r="AP51" s="110">
        <v>0.8</v>
      </c>
      <c r="AQ51" s="110">
        <v>0.8</v>
      </c>
      <c r="AR51" s="110">
        <v>0.8</v>
      </c>
      <c r="AS51" s="110">
        <v>0</v>
      </c>
      <c r="AT51" s="110">
        <v>0</v>
      </c>
      <c r="AU51" s="110">
        <v>0</v>
      </c>
      <c r="AV51" s="110">
        <v>0.8</v>
      </c>
      <c r="AW51" s="110">
        <v>0.8</v>
      </c>
      <c r="AX51" s="110">
        <v>0</v>
      </c>
      <c r="AY51" s="110">
        <v>0.8</v>
      </c>
      <c r="AZ51" s="110">
        <v>0</v>
      </c>
      <c r="BA51" s="110">
        <v>0.8</v>
      </c>
      <c r="BB51" s="110">
        <v>0.8</v>
      </c>
      <c r="BC51" s="110">
        <v>0</v>
      </c>
      <c r="BD51" s="110">
        <v>0.8</v>
      </c>
      <c r="BE51" s="110">
        <v>0</v>
      </c>
      <c r="BF51" s="110">
        <v>0</v>
      </c>
      <c r="BG51" s="110">
        <v>0</v>
      </c>
      <c r="BH51" s="110">
        <v>0</v>
      </c>
      <c r="BI51" s="110">
        <v>0</v>
      </c>
      <c r="BJ51" s="110">
        <v>0</v>
      </c>
      <c r="BK51" s="110">
        <v>0</v>
      </c>
      <c r="BL51" s="110">
        <v>0</v>
      </c>
      <c r="BM51" s="110">
        <v>0</v>
      </c>
      <c r="BN51" s="110">
        <v>0</v>
      </c>
      <c r="BO51" s="110">
        <v>0</v>
      </c>
      <c r="BP51" s="110">
        <v>0</v>
      </c>
      <c r="BQ51" s="110">
        <v>0</v>
      </c>
      <c r="BR51" s="110">
        <v>0</v>
      </c>
      <c r="BS51" s="110">
        <v>0</v>
      </c>
      <c r="BT51" s="110">
        <v>0</v>
      </c>
      <c r="BU51" s="110">
        <v>0</v>
      </c>
      <c r="BV51" s="110">
        <v>0</v>
      </c>
      <c r="BW51" s="110">
        <v>0</v>
      </c>
      <c r="BX51" s="110">
        <v>0</v>
      </c>
      <c r="BY51" s="110">
        <v>0</v>
      </c>
      <c r="BZ51" s="110">
        <v>0</v>
      </c>
      <c r="CA51" s="110">
        <v>0</v>
      </c>
      <c r="CB51" s="110">
        <v>0</v>
      </c>
      <c r="CC51" s="110">
        <v>0</v>
      </c>
      <c r="CD51" s="110">
        <v>0</v>
      </c>
      <c r="CE51" s="110">
        <v>0</v>
      </c>
      <c r="CF51" s="110">
        <v>0</v>
      </c>
      <c r="CG51" s="110">
        <v>0</v>
      </c>
    </row>
    <row r="52" spans="1:85" x14ac:dyDescent="0.15">
      <c r="A52" s="186" t="s">
        <v>242</v>
      </c>
      <c r="B52" s="110">
        <v>0</v>
      </c>
      <c r="C52" s="110">
        <v>0</v>
      </c>
      <c r="D52" s="110">
        <v>0.8</v>
      </c>
      <c r="E52" s="110">
        <v>0</v>
      </c>
      <c r="F52" s="110">
        <v>0</v>
      </c>
      <c r="G52" s="110">
        <v>0</v>
      </c>
      <c r="H52" s="110">
        <v>0</v>
      </c>
      <c r="I52" s="110">
        <v>0</v>
      </c>
      <c r="J52" s="110">
        <v>0</v>
      </c>
      <c r="K52" s="110">
        <v>0</v>
      </c>
      <c r="L52" s="110">
        <v>0</v>
      </c>
      <c r="M52" s="110">
        <v>0.8</v>
      </c>
      <c r="N52" s="110">
        <v>0</v>
      </c>
      <c r="O52" s="110">
        <v>0.8</v>
      </c>
      <c r="P52" s="110">
        <v>0</v>
      </c>
      <c r="Q52" s="110">
        <v>0</v>
      </c>
      <c r="R52" s="110">
        <v>0</v>
      </c>
      <c r="S52" s="110">
        <v>0.8</v>
      </c>
      <c r="T52" s="110">
        <v>0.8</v>
      </c>
      <c r="U52" s="110">
        <v>0</v>
      </c>
      <c r="V52" s="110">
        <v>0.8</v>
      </c>
      <c r="W52" s="110">
        <v>0.8</v>
      </c>
      <c r="X52" s="110">
        <v>0</v>
      </c>
      <c r="Y52" s="110">
        <v>0.8</v>
      </c>
      <c r="Z52" s="110">
        <v>0.8</v>
      </c>
      <c r="AA52" s="110">
        <v>0</v>
      </c>
      <c r="AB52" s="110">
        <v>0.8</v>
      </c>
      <c r="AC52" s="110">
        <v>0</v>
      </c>
      <c r="AD52" s="110">
        <v>0</v>
      </c>
      <c r="AE52" s="110">
        <v>0.8</v>
      </c>
      <c r="AF52" s="110">
        <v>0</v>
      </c>
      <c r="AG52" s="110">
        <v>0</v>
      </c>
      <c r="AH52" s="110">
        <v>0</v>
      </c>
      <c r="AI52" s="110">
        <v>0</v>
      </c>
      <c r="AJ52" s="110">
        <v>0.8</v>
      </c>
      <c r="AK52" s="110">
        <v>0</v>
      </c>
      <c r="AL52" s="110">
        <v>0</v>
      </c>
      <c r="AM52" s="110">
        <v>0</v>
      </c>
      <c r="AN52" s="110">
        <v>0.8</v>
      </c>
      <c r="AO52" s="110">
        <v>0</v>
      </c>
      <c r="AP52" s="110">
        <v>0.8</v>
      </c>
      <c r="AQ52" s="110">
        <v>0</v>
      </c>
      <c r="AR52" s="110">
        <v>0</v>
      </c>
      <c r="AS52" s="110">
        <v>0</v>
      </c>
      <c r="AT52" s="110">
        <v>0</v>
      </c>
      <c r="AU52" s="110">
        <v>0</v>
      </c>
      <c r="AV52" s="110">
        <v>0</v>
      </c>
      <c r="AW52" s="110">
        <v>0</v>
      </c>
      <c r="AX52" s="110">
        <v>0</v>
      </c>
      <c r="AY52" s="110">
        <v>0</v>
      </c>
      <c r="AZ52" s="110">
        <v>0</v>
      </c>
      <c r="BA52" s="110">
        <v>0</v>
      </c>
      <c r="BB52" s="110">
        <v>0</v>
      </c>
      <c r="BC52" s="110">
        <v>0</v>
      </c>
      <c r="BD52" s="110">
        <v>0</v>
      </c>
      <c r="BE52" s="110">
        <v>0</v>
      </c>
      <c r="BF52" s="110">
        <v>0</v>
      </c>
      <c r="BG52" s="110">
        <v>0</v>
      </c>
      <c r="BH52" s="110">
        <v>0</v>
      </c>
      <c r="BI52" s="110">
        <v>0</v>
      </c>
      <c r="BJ52" s="110">
        <v>0</v>
      </c>
      <c r="BK52" s="110">
        <v>0</v>
      </c>
      <c r="BL52" s="110">
        <v>0</v>
      </c>
      <c r="BM52" s="110">
        <v>0</v>
      </c>
      <c r="BN52" s="110">
        <v>0</v>
      </c>
      <c r="BO52" s="110">
        <v>0</v>
      </c>
      <c r="BP52" s="110">
        <v>0</v>
      </c>
      <c r="BQ52" s="110">
        <v>0</v>
      </c>
      <c r="BR52" s="110">
        <v>0</v>
      </c>
      <c r="BS52" s="110">
        <v>0</v>
      </c>
      <c r="BT52" s="110">
        <v>0</v>
      </c>
      <c r="BU52" s="110">
        <v>0</v>
      </c>
      <c r="BV52" s="110">
        <v>0</v>
      </c>
      <c r="BW52" s="110">
        <v>0</v>
      </c>
      <c r="BX52" s="110">
        <v>0</v>
      </c>
      <c r="BY52" s="110">
        <v>0</v>
      </c>
      <c r="BZ52" s="110">
        <v>0</v>
      </c>
      <c r="CA52" s="110">
        <v>0</v>
      </c>
      <c r="CB52" s="110">
        <v>0</v>
      </c>
      <c r="CC52" s="110">
        <v>0</v>
      </c>
      <c r="CD52" s="110">
        <v>0</v>
      </c>
      <c r="CE52" s="110">
        <v>0</v>
      </c>
      <c r="CF52" s="110">
        <v>0</v>
      </c>
      <c r="CG52" s="110">
        <v>0</v>
      </c>
    </row>
    <row r="53" spans="1:85" x14ac:dyDescent="0.15">
      <c r="A53" s="186" t="s">
        <v>243</v>
      </c>
      <c r="B53" s="110">
        <v>0.8</v>
      </c>
      <c r="C53" s="110">
        <v>0</v>
      </c>
      <c r="D53" s="110">
        <v>0.8</v>
      </c>
      <c r="E53" s="110">
        <v>0</v>
      </c>
      <c r="F53" s="110">
        <v>0</v>
      </c>
      <c r="G53" s="110">
        <v>0</v>
      </c>
      <c r="H53" s="110">
        <v>0</v>
      </c>
      <c r="I53" s="110">
        <v>0</v>
      </c>
      <c r="J53" s="110">
        <v>0</v>
      </c>
      <c r="K53" s="110">
        <v>0</v>
      </c>
      <c r="L53" s="110">
        <v>0</v>
      </c>
      <c r="M53" s="110">
        <v>0</v>
      </c>
      <c r="N53" s="110">
        <v>0</v>
      </c>
      <c r="O53" s="110">
        <v>0</v>
      </c>
      <c r="P53" s="110">
        <v>0</v>
      </c>
      <c r="Q53" s="110">
        <v>0</v>
      </c>
      <c r="R53" s="110">
        <v>0</v>
      </c>
      <c r="S53" s="110">
        <v>0</v>
      </c>
      <c r="T53" s="110">
        <v>0</v>
      </c>
      <c r="U53" s="110">
        <v>0</v>
      </c>
      <c r="V53" s="110">
        <v>0</v>
      </c>
      <c r="W53" s="110">
        <v>0</v>
      </c>
      <c r="X53" s="110">
        <v>0</v>
      </c>
      <c r="Y53" s="110">
        <v>0</v>
      </c>
      <c r="Z53" s="110">
        <v>0</v>
      </c>
      <c r="AA53" s="110">
        <v>0</v>
      </c>
      <c r="AB53" s="110">
        <v>0</v>
      </c>
      <c r="AC53" s="110">
        <v>0</v>
      </c>
      <c r="AD53" s="110">
        <v>0</v>
      </c>
      <c r="AE53" s="110">
        <v>0</v>
      </c>
      <c r="AF53" s="110">
        <v>0</v>
      </c>
      <c r="AG53" s="110">
        <v>0</v>
      </c>
      <c r="AH53" s="110">
        <v>0</v>
      </c>
      <c r="AI53" s="110">
        <v>0</v>
      </c>
      <c r="AJ53" s="110">
        <v>0</v>
      </c>
      <c r="AK53" s="110">
        <v>0</v>
      </c>
      <c r="AL53" s="110">
        <v>0</v>
      </c>
      <c r="AM53" s="110">
        <v>0</v>
      </c>
      <c r="AN53" s="110">
        <v>0.8</v>
      </c>
      <c r="AO53" s="110">
        <v>0</v>
      </c>
      <c r="AP53" s="110">
        <v>0.8</v>
      </c>
      <c r="AQ53" s="110">
        <v>0</v>
      </c>
      <c r="AR53" s="110">
        <v>0</v>
      </c>
      <c r="AS53" s="110">
        <v>0</v>
      </c>
      <c r="AT53" s="110">
        <v>0</v>
      </c>
      <c r="AU53" s="110">
        <v>0</v>
      </c>
      <c r="AV53" s="110">
        <v>0</v>
      </c>
      <c r="AW53" s="110">
        <v>0</v>
      </c>
      <c r="AX53" s="110">
        <v>0</v>
      </c>
      <c r="AY53" s="110">
        <v>0</v>
      </c>
      <c r="AZ53" s="110">
        <v>0</v>
      </c>
      <c r="BA53" s="110">
        <v>0.8</v>
      </c>
      <c r="BB53" s="110">
        <v>0.8</v>
      </c>
      <c r="BC53" s="110">
        <v>0</v>
      </c>
      <c r="BD53" s="110">
        <v>0.8</v>
      </c>
      <c r="BE53" s="110">
        <v>0</v>
      </c>
      <c r="BF53" s="110">
        <v>0</v>
      </c>
      <c r="BG53" s="110">
        <v>0</v>
      </c>
      <c r="BH53" s="110">
        <v>0</v>
      </c>
      <c r="BI53" s="110">
        <v>0</v>
      </c>
      <c r="BJ53" s="110">
        <v>0</v>
      </c>
      <c r="BK53" s="110">
        <v>0</v>
      </c>
      <c r="BL53" s="110">
        <v>0</v>
      </c>
      <c r="BM53" s="110">
        <v>0</v>
      </c>
      <c r="BN53" s="110">
        <v>0</v>
      </c>
      <c r="BO53" s="110">
        <v>0</v>
      </c>
      <c r="BP53" s="110">
        <v>0</v>
      </c>
      <c r="BQ53" s="110">
        <v>0</v>
      </c>
      <c r="BR53" s="110">
        <v>0</v>
      </c>
      <c r="BS53" s="110">
        <v>0</v>
      </c>
      <c r="BT53" s="110">
        <v>0</v>
      </c>
      <c r="BU53" s="110">
        <v>0</v>
      </c>
      <c r="BV53" s="110">
        <v>0</v>
      </c>
      <c r="BW53" s="110">
        <v>0</v>
      </c>
      <c r="BX53" s="110">
        <v>0</v>
      </c>
      <c r="BY53" s="110">
        <v>0</v>
      </c>
      <c r="BZ53" s="110">
        <v>0</v>
      </c>
      <c r="CA53" s="110">
        <v>0</v>
      </c>
      <c r="CB53" s="110">
        <v>0</v>
      </c>
      <c r="CC53" s="110">
        <v>0</v>
      </c>
      <c r="CD53" s="110">
        <v>0</v>
      </c>
      <c r="CE53" s="110">
        <v>0</v>
      </c>
      <c r="CF53" s="110">
        <v>0</v>
      </c>
      <c r="CG53" s="110">
        <v>0</v>
      </c>
    </row>
    <row r="54" spans="1:85" x14ac:dyDescent="0.15">
      <c r="A54" s="186" t="s">
        <v>244</v>
      </c>
      <c r="B54" s="110">
        <v>0.8</v>
      </c>
      <c r="C54" s="110">
        <v>0</v>
      </c>
      <c r="D54" s="110">
        <v>0.8</v>
      </c>
      <c r="E54" s="110">
        <v>0</v>
      </c>
      <c r="F54" s="110">
        <v>0</v>
      </c>
      <c r="G54" s="110">
        <v>0</v>
      </c>
      <c r="H54" s="110">
        <v>0</v>
      </c>
      <c r="I54" s="110">
        <v>0</v>
      </c>
      <c r="J54" s="110">
        <v>0</v>
      </c>
      <c r="K54" s="110">
        <v>0</v>
      </c>
      <c r="L54" s="110">
        <v>0</v>
      </c>
      <c r="M54" s="110">
        <v>0</v>
      </c>
      <c r="N54" s="110">
        <v>0</v>
      </c>
      <c r="O54" s="110">
        <v>0</v>
      </c>
      <c r="P54" s="110">
        <v>0</v>
      </c>
      <c r="Q54" s="110">
        <v>0</v>
      </c>
      <c r="R54" s="110">
        <v>0</v>
      </c>
      <c r="S54" s="110">
        <v>0</v>
      </c>
      <c r="T54" s="110">
        <v>0</v>
      </c>
      <c r="U54" s="110">
        <v>0</v>
      </c>
      <c r="V54" s="110">
        <v>0</v>
      </c>
      <c r="W54" s="110">
        <v>0</v>
      </c>
      <c r="X54" s="110">
        <v>0</v>
      </c>
      <c r="Y54" s="110">
        <v>0</v>
      </c>
      <c r="Z54" s="110">
        <v>0</v>
      </c>
      <c r="AA54" s="110">
        <v>0</v>
      </c>
      <c r="AB54" s="110">
        <v>0</v>
      </c>
      <c r="AC54" s="110">
        <v>0</v>
      </c>
      <c r="AD54" s="110">
        <v>0</v>
      </c>
      <c r="AE54" s="110">
        <v>0</v>
      </c>
      <c r="AF54" s="110">
        <v>0</v>
      </c>
      <c r="AG54" s="110">
        <v>0</v>
      </c>
      <c r="AH54" s="110">
        <v>0</v>
      </c>
      <c r="AI54" s="110">
        <v>0</v>
      </c>
      <c r="AJ54" s="110">
        <v>0</v>
      </c>
      <c r="AK54" s="110">
        <v>0</v>
      </c>
      <c r="AL54" s="110">
        <v>0</v>
      </c>
      <c r="AM54" s="110">
        <v>0</v>
      </c>
      <c r="AN54" s="110">
        <v>0.8</v>
      </c>
      <c r="AO54" s="110">
        <v>0</v>
      </c>
      <c r="AP54" s="110">
        <v>0.8</v>
      </c>
      <c r="AQ54" s="110">
        <v>0</v>
      </c>
      <c r="AR54" s="110">
        <v>0</v>
      </c>
      <c r="AS54" s="110">
        <v>0</v>
      </c>
      <c r="AT54" s="110">
        <v>0</v>
      </c>
      <c r="AU54" s="110">
        <v>0</v>
      </c>
      <c r="AV54" s="110">
        <v>0</v>
      </c>
      <c r="AW54" s="110">
        <v>0</v>
      </c>
      <c r="AX54" s="110">
        <v>0</v>
      </c>
      <c r="AY54" s="110">
        <v>0</v>
      </c>
      <c r="AZ54" s="110">
        <v>0.8</v>
      </c>
      <c r="BA54" s="110">
        <v>0.8</v>
      </c>
      <c r="BB54" s="110">
        <v>0.8</v>
      </c>
      <c r="BC54" s="110">
        <v>0</v>
      </c>
      <c r="BD54" s="110">
        <v>0.8</v>
      </c>
      <c r="BE54" s="110">
        <v>0</v>
      </c>
      <c r="BF54" s="110">
        <v>0</v>
      </c>
      <c r="BG54" s="110">
        <v>0</v>
      </c>
      <c r="BH54" s="110">
        <v>0</v>
      </c>
      <c r="BI54" s="110">
        <v>0</v>
      </c>
      <c r="BJ54" s="110">
        <v>0</v>
      </c>
      <c r="BK54" s="110">
        <v>0</v>
      </c>
      <c r="BL54" s="110">
        <v>0</v>
      </c>
      <c r="BM54" s="110">
        <v>0</v>
      </c>
      <c r="BN54" s="110">
        <v>0</v>
      </c>
      <c r="BO54" s="110">
        <v>0</v>
      </c>
      <c r="BP54" s="110">
        <v>0</v>
      </c>
      <c r="BQ54" s="110">
        <v>0</v>
      </c>
      <c r="BR54" s="110">
        <v>0</v>
      </c>
      <c r="BS54" s="110">
        <v>0</v>
      </c>
      <c r="BT54" s="110">
        <v>0</v>
      </c>
      <c r="BU54" s="110">
        <v>0</v>
      </c>
      <c r="BV54" s="110">
        <v>0</v>
      </c>
      <c r="BW54" s="110">
        <v>0</v>
      </c>
      <c r="BX54" s="110">
        <v>0</v>
      </c>
      <c r="BY54" s="110">
        <v>0</v>
      </c>
      <c r="BZ54" s="110">
        <v>0</v>
      </c>
      <c r="CA54" s="110">
        <v>0</v>
      </c>
      <c r="CB54" s="110">
        <v>0</v>
      </c>
      <c r="CC54" s="110">
        <v>0</v>
      </c>
      <c r="CD54" s="110">
        <v>0</v>
      </c>
      <c r="CE54" s="110">
        <v>0</v>
      </c>
      <c r="CF54" s="110">
        <v>0</v>
      </c>
      <c r="CG54" s="110">
        <v>0</v>
      </c>
    </row>
    <row r="55" spans="1:85" x14ac:dyDescent="0.15">
      <c r="A55" s="186" t="s">
        <v>245</v>
      </c>
      <c r="B55" s="110">
        <v>0.8</v>
      </c>
      <c r="C55" s="110">
        <v>0</v>
      </c>
      <c r="D55" s="110">
        <v>0</v>
      </c>
      <c r="E55" s="110">
        <v>0</v>
      </c>
      <c r="F55" s="110">
        <v>0</v>
      </c>
      <c r="G55" s="110">
        <v>0</v>
      </c>
      <c r="H55" s="110">
        <v>0</v>
      </c>
      <c r="I55" s="110">
        <v>0</v>
      </c>
      <c r="J55" s="110">
        <v>0</v>
      </c>
      <c r="K55" s="110">
        <v>0</v>
      </c>
      <c r="L55" s="110">
        <v>0</v>
      </c>
      <c r="M55" s="110">
        <v>0</v>
      </c>
      <c r="N55" s="110">
        <v>0.8</v>
      </c>
      <c r="O55" s="110">
        <v>0.8</v>
      </c>
      <c r="P55" s="110">
        <v>0</v>
      </c>
      <c r="Q55" s="110">
        <v>0</v>
      </c>
      <c r="R55" s="110">
        <v>0</v>
      </c>
      <c r="S55" s="110">
        <v>0.8</v>
      </c>
      <c r="T55" s="110">
        <v>0.8</v>
      </c>
      <c r="U55" s="110">
        <v>0</v>
      </c>
      <c r="V55" s="110">
        <v>0</v>
      </c>
      <c r="W55" s="110">
        <v>0</v>
      </c>
      <c r="X55" s="110">
        <v>0.8</v>
      </c>
      <c r="Y55" s="110">
        <v>0</v>
      </c>
      <c r="Z55" s="110">
        <v>0.8</v>
      </c>
      <c r="AA55" s="110">
        <v>0</v>
      </c>
      <c r="AB55" s="110">
        <v>0</v>
      </c>
      <c r="AC55" s="110">
        <v>0</v>
      </c>
      <c r="AD55" s="110">
        <v>0</v>
      </c>
      <c r="AE55" s="110">
        <v>0</v>
      </c>
      <c r="AF55" s="110">
        <v>0</v>
      </c>
      <c r="AG55" s="110">
        <v>0</v>
      </c>
      <c r="AH55" s="110">
        <v>0</v>
      </c>
      <c r="AI55" s="110">
        <v>0</v>
      </c>
      <c r="AJ55" s="110">
        <v>0</v>
      </c>
      <c r="AK55" s="110">
        <v>0</v>
      </c>
      <c r="AL55" s="110">
        <v>0</v>
      </c>
      <c r="AM55" s="110">
        <v>0</v>
      </c>
      <c r="AN55" s="110">
        <v>0.8</v>
      </c>
      <c r="AO55" s="110">
        <v>0</v>
      </c>
      <c r="AP55" s="110">
        <v>0.8</v>
      </c>
      <c r="AQ55" s="110">
        <v>0</v>
      </c>
      <c r="AR55" s="110">
        <v>0</v>
      </c>
      <c r="AS55" s="110">
        <v>0</v>
      </c>
      <c r="AT55" s="110">
        <v>0</v>
      </c>
      <c r="AU55" s="110">
        <v>0</v>
      </c>
      <c r="AV55" s="110">
        <v>0</v>
      </c>
      <c r="AW55" s="110">
        <v>0</v>
      </c>
      <c r="AX55" s="110">
        <v>0</v>
      </c>
      <c r="AY55" s="110">
        <v>0</v>
      </c>
      <c r="AZ55" s="110">
        <v>0.8</v>
      </c>
      <c r="BA55" s="110">
        <v>0.8</v>
      </c>
      <c r="BB55" s="110">
        <v>0.8</v>
      </c>
      <c r="BC55" s="110">
        <v>0</v>
      </c>
      <c r="BD55" s="110">
        <v>0.8</v>
      </c>
      <c r="BE55" s="110">
        <v>0</v>
      </c>
      <c r="BF55" s="110">
        <v>0</v>
      </c>
      <c r="BG55" s="110">
        <v>0</v>
      </c>
      <c r="BH55" s="110">
        <v>0</v>
      </c>
      <c r="BI55" s="110">
        <v>0</v>
      </c>
      <c r="BJ55" s="110">
        <v>0</v>
      </c>
      <c r="BK55" s="110">
        <v>0</v>
      </c>
      <c r="BL55" s="110">
        <v>0</v>
      </c>
      <c r="BM55" s="110">
        <v>0</v>
      </c>
      <c r="BN55" s="110">
        <v>0</v>
      </c>
      <c r="BO55" s="110">
        <v>0</v>
      </c>
      <c r="BP55" s="110">
        <v>0</v>
      </c>
      <c r="BQ55" s="110">
        <v>0</v>
      </c>
      <c r="BR55" s="110">
        <v>0</v>
      </c>
      <c r="BS55" s="110">
        <v>0</v>
      </c>
      <c r="BT55" s="110">
        <v>0</v>
      </c>
      <c r="BU55" s="110">
        <v>0</v>
      </c>
      <c r="BV55" s="110">
        <v>0</v>
      </c>
      <c r="BW55" s="110">
        <v>0</v>
      </c>
      <c r="BX55" s="110">
        <v>0</v>
      </c>
      <c r="BY55" s="110">
        <v>0</v>
      </c>
      <c r="BZ55" s="110">
        <v>0</v>
      </c>
      <c r="CA55" s="110">
        <v>0</v>
      </c>
      <c r="CB55" s="110">
        <v>0</v>
      </c>
      <c r="CC55" s="110">
        <v>0</v>
      </c>
      <c r="CD55" s="110">
        <v>0</v>
      </c>
      <c r="CE55" s="110">
        <v>0</v>
      </c>
      <c r="CF55" s="110">
        <v>0</v>
      </c>
      <c r="CG55" s="110">
        <v>0</v>
      </c>
    </row>
    <row r="56" spans="1:85" x14ac:dyDescent="0.15">
      <c r="A56" s="186" t="s">
        <v>246</v>
      </c>
      <c r="B56" s="110">
        <v>0.8</v>
      </c>
      <c r="C56" s="110">
        <v>0</v>
      </c>
      <c r="D56" s="110">
        <v>0.8</v>
      </c>
      <c r="E56" s="110">
        <v>0</v>
      </c>
      <c r="F56" s="110">
        <v>0</v>
      </c>
      <c r="G56" s="110">
        <v>0</v>
      </c>
      <c r="H56" s="110">
        <v>0</v>
      </c>
      <c r="I56" s="110">
        <v>0</v>
      </c>
      <c r="J56" s="110">
        <v>0</v>
      </c>
      <c r="K56" s="110">
        <v>0.8</v>
      </c>
      <c r="L56" s="110">
        <v>0.8</v>
      </c>
      <c r="M56" s="110">
        <v>0.8</v>
      </c>
      <c r="N56" s="110">
        <v>0.8</v>
      </c>
      <c r="O56" s="110">
        <v>0.8</v>
      </c>
      <c r="P56" s="110">
        <v>0.8</v>
      </c>
      <c r="Q56" s="110">
        <v>0</v>
      </c>
      <c r="R56" s="110">
        <v>0</v>
      </c>
      <c r="S56" s="110">
        <v>0.8</v>
      </c>
      <c r="T56" s="110">
        <v>0.8</v>
      </c>
      <c r="U56" s="110">
        <v>0.8</v>
      </c>
      <c r="V56" s="110">
        <v>0.8</v>
      </c>
      <c r="W56" s="110">
        <v>0.8</v>
      </c>
      <c r="X56" s="110">
        <v>0.8</v>
      </c>
      <c r="Y56" s="110">
        <v>0.8</v>
      </c>
      <c r="Z56" s="110">
        <v>0.8</v>
      </c>
      <c r="AA56" s="110">
        <v>0.8</v>
      </c>
      <c r="AB56" s="110">
        <v>0.8</v>
      </c>
      <c r="AC56" s="110">
        <v>0.8</v>
      </c>
      <c r="AD56" s="110">
        <v>0.8</v>
      </c>
      <c r="AE56" s="110">
        <v>0.8</v>
      </c>
      <c r="AF56" s="110">
        <v>0.8</v>
      </c>
      <c r="AG56" s="110">
        <v>0</v>
      </c>
      <c r="AH56" s="110">
        <v>0</v>
      </c>
      <c r="AI56" s="110">
        <v>0.8</v>
      </c>
      <c r="AJ56" s="110">
        <v>0.8</v>
      </c>
      <c r="AK56" s="110">
        <v>0.8</v>
      </c>
      <c r="AL56" s="110">
        <v>0.8</v>
      </c>
      <c r="AM56" s="110">
        <v>0</v>
      </c>
      <c r="AN56" s="110">
        <v>0.8</v>
      </c>
      <c r="AO56" s="110">
        <v>0</v>
      </c>
      <c r="AP56" s="110">
        <v>0.8</v>
      </c>
      <c r="AQ56" s="110">
        <v>0</v>
      </c>
      <c r="AR56" s="110">
        <v>0</v>
      </c>
      <c r="AS56" s="110">
        <v>0</v>
      </c>
      <c r="AT56" s="110">
        <v>0</v>
      </c>
      <c r="AU56" s="110">
        <v>0</v>
      </c>
      <c r="AV56" s="110">
        <v>0</v>
      </c>
      <c r="AW56" s="110">
        <v>0</v>
      </c>
      <c r="AX56" s="110">
        <v>0</v>
      </c>
      <c r="AY56" s="110">
        <v>0</v>
      </c>
      <c r="AZ56" s="110">
        <v>0.8</v>
      </c>
      <c r="BA56" s="110">
        <v>0.8</v>
      </c>
      <c r="BB56" s="110">
        <v>0.8</v>
      </c>
      <c r="BC56" s="110">
        <v>0</v>
      </c>
      <c r="BD56" s="110">
        <v>0.8</v>
      </c>
      <c r="BE56" s="110">
        <v>0</v>
      </c>
      <c r="BF56" s="110">
        <v>0</v>
      </c>
      <c r="BG56" s="110">
        <v>0</v>
      </c>
      <c r="BH56" s="110">
        <v>0</v>
      </c>
      <c r="BI56" s="110">
        <v>0</v>
      </c>
      <c r="BJ56" s="110">
        <v>0</v>
      </c>
      <c r="BK56" s="110">
        <v>0</v>
      </c>
      <c r="BL56" s="110">
        <v>0</v>
      </c>
      <c r="BM56" s="110">
        <v>0</v>
      </c>
      <c r="BN56" s="110">
        <v>0</v>
      </c>
      <c r="BO56" s="110">
        <v>0</v>
      </c>
      <c r="BP56" s="110">
        <v>0</v>
      </c>
      <c r="BQ56" s="110">
        <v>0</v>
      </c>
      <c r="BR56" s="110">
        <v>0</v>
      </c>
      <c r="BS56" s="110">
        <v>0</v>
      </c>
      <c r="BT56" s="110">
        <v>0</v>
      </c>
      <c r="BU56" s="110">
        <v>0</v>
      </c>
      <c r="BV56" s="110">
        <v>0</v>
      </c>
      <c r="BW56" s="110">
        <v>0</v>
      </c>
      <c r="BX56" s="110">
        <v>0</v>
      </c>
      <c r="BY56" s="110">
        <v>0</v>
      </c>
      <c r="BZ56" s="110">
        <v>0</v>
      </c>
      <c r="CA56" s="110">
        <v>0</v>
      </c>
      <c r="CB56" s="110">
        <v>0</v>
      </c>
      <c r="CC56" s="110">
        <v>0</v>
      </c>
      <c r="CD56" s="110">
        <v>0</v>
      </c>
      <c r="CE56" s="110">
        <v>0</v>
      </c>
      <c r="CF56" s="110">
        <v>0</v>
      </c>
      <c r="CG56" s="110">
        <v>0</v>
      </c>
    </row>
    <row r="57" spans="1:85" x14ac:dyDescent="0.15">
      <c r="A57" s="186" t="s">
        <v>247</v>
      </c>
      <c r="B57" s="110">
        <v>0.8</v>
      </c>
      <c r="C57" s="110">
        <v>0</v>
      </c>
      <c r="D57" s="110">
        <v>0.8</v>
      </c>
      <c r="E57" s="110">
        <v>0</v>
      </c>
      <c r="F57" s="110">
        <v>0</v>
      </c>
      <c r="G57" s="110">
        <v>0</v>
      </c>
      <c r="H57" s="110">
        <v>0</v>
      </c>
      <c r="I57" s="110">
        <v>0</v>
      </c>
      <c r="J57" s="110">
        <v>0</v>
      </c>
      <c r="K57" s="110">
        <v>0</v>
      </c>
      <c r="L57" s="110">
        <v>0</v>
      </c>
      <c r="M57" s="110">
        <v>0</v>
      </c>
      <c r="N57" s="110">
        <v>0</v>
      </c>
      <c r="O57" s="110">
        <v>0</v>
      </c>
      <c r="P57" s="110">
        <v>0</v>
      </c>
      <c r="Q57" s="110">
        <v>0</v>
      </c>
      <c r="R57" s="110">
        <v>0</v>
      </c>
      <c r="S57" s="110">
        <v>0</v>
      </c>
      <c r="T57" s="110">
        <v>0</v>
      </c>
      <c r="U57" s="110">
        <v>0</v>
      </c>
      <c r="V57" s="110">
        <v>0</v>
      </c>
      <c r="W57" s="110">
        <v>0</v>
      </c>
      <c r="X57" s="110">
        <v>0</v>
      </c>
      <c r="Y57" s="110">
        <v>0</v>
      </c>
      <c r="Z57" s="110">
        <v>0</v>
      </c>
      <c r="AA57" s="110">
        <v>0</v>
      </c>
      <c r="AB57" s="110">
        <v>0</v>
      </c>
      <c r="AC57" s="110">
        <v>0</v>
      </c>
      <c r="AD57" s="110">
        <v>0</v>
      </c>
      <c r="AE57" s="110">
        <v>0</v>
      </c>
      <c r="AF57" s="110">
        <v>0</v>
      </c>
      <c r="AG57" s="110">
        <v>0</v>
      </c>
      <c r="AH57" s="110">
        <v>0</v>
      </c>
      <c r="AI57" s="110">
        <v>0</v>
      </c>
      <c r="AJ57" s="110">
        <v>0</v>
      </c>
      <c r="AK57" s="110">
        <v>0</v>
      </c>
      <c r="AL57" s="110">
        <v>0</v>
      </c>
      <c r="AM57" s="110">
        <v>0</v>
      </c>
      <c r="AN57" s="110">
        <v>0.8</v>
      </c>
      <c r="AO57" s="110">
        <v>0</v>
      </c>
      <c r="AP57" s="110">
        <v>0</v>
      </c>
      <c r="AQ57" s="110">
        <v>0</v>
      </c>
      <c r="AR57" s="110">
        <v>0</v>
      </c>
      <c r="AS57" s="110">
        <v>0</v>
      </c>
      <c r="AT57" s="110">
        <v>0</v>
      </c>
      <c r="AU57" s="110">
        <v>0</v>
      </c>
      <c r="AV57" s="110">
        <v>0</v>
      </c>
      <c r="AW57" s="110">
        <v>0</v>
      </c>
      <c r="AX57" s="110">
        <v>0</v>
      </c>
      <c r="AY57" s="110">
        <v>0</v>
      </c>
      <c r="AZ57" s="110">
        <v>0</v>
      </c>
      <c r="BA57" s="110">
        <v>0.8</v>
      </c>
      <c r="BB57" s="110">
        <v>0.8</v>
      </c>
      <c r="BC57" s="110">
        <v>0</v>
      </c>
      <c r="BD57" s="110">
        <v>0.8</v>
      </c>
      <c r="BE57" s="110">
        <v>0</v>
      </c>
      <c r="BF57" s="110">
        <v>0</v>
      </c>
      <c r="BG57" s="110">
        <v>0</v>
      </c>
      <c r="BH57" s="110">
        <v>0</v>
      </c>
      <c r="BI57" s="110">
        <v>0</v>
      </c>
      <c r="BJ57" s="110">
        <v>0</v>
      </c>
      <c r="BK57" s="110">
        <v>0</v>
      </c>
      <c r="BL57" s="110">
        <v>0</v>
      </c>
      <c r="BM57" s="110">
        <v>0</v>
      </c>
      <c r="BN57" s="110">
        <v>0</v>
      </c>
      <c r="BO57" s="110">
        <v>0</v>
      </c>
      <c r="BP57" s="110">
        <v>0</v>
      </c>
      <c r="BQ57" s="110">
        <v>0</v>
      </c>
      <c r="BR57" s="110">
        <v>0</v>
      </c>
      <c r="BS57" s="110">
        <v>0</v>
      </c>
      <c r="BT57" s="110">
        <v>0</v>
      </c>
      <c r="BU57" s="110">
        <v>0</v>
      </c>
      <c r="BV57" s="110">
        <v>0</v>
      </c>
      <c r="BW57" s="110">
        <v>0</v>
      </c>
      <c r="BX57" s="110">
        <v>0</v>
      </c>
      <c r="BY57" s="110">
        <v>0</v>
      </c>
      <c r="BZ57" s="110">
        <v>0</v>
      </c>
      <c r="CA57" s="110">
        <v>0</v>
      </c>
      <c r="CB57" s="110">
        <v>0</v>
      </c>
      <c r="CC57" s="110">
        <v>0</v>
      </c>
      <c r="CD57" s="110">
        <v>0</v>
      </c>
      <c r="CE57" s="110">
        <v>0</v>
      </c>
      <c r="CF57" s="110">
        <v>0</v>
      </c>
      <c r="CG57" s="110">
        <v>0</v>
      </c>
    </row>
    <row r="58" spans="1:85" x14ac:dyDescent="0.15">
      <c r="A58" s="186" t="s">
        <v>248</v>
      </c>
      <c r="B58" s="110">
        <v>0</v>
      </c>
      <c r="C58" s="110">
        <v>0</v>
      </c>
      <c r="D58" s="110">
        <v>0</v>
      </c>
      <c r="E58" s="110">
        <v>0</v>
      </c>
      <c r="F58" s="110">
        <v>0</v>
      </c>
      <c r="G58" s="110">
        <v>0</v>
      </c>
      <c r="H58" s="110">
        <v>0</v>
      </c>
      <c r="I58" s="110">
        <v>0</v>
      </c>
      <c r="J58" s="110">
        <v>0</v>
      </c>
      <c r="K58" s="110">
        <v>0</v>
      </c>
      <c r="L58" s="110">
        <v>0.8</v>
      </c>
      <c r="M58" s="110">
        <v>0</v>
      </c>
      <c r="N58" s="110">
        <v>0</v>
      </c>
      <c r="O58" s="110">
        <v>0.8</v>
      </c>
      <c r="P58" s="110">
        <v>0</v>
      </c>
      <c r="Q58" s="110">
        <v>0</v>
      </c>
      <c r="R58" s="110">
        <v>0</v>
      </c>
      <c r="S58" s="110">
        <v>0</v>
      </c>
      <c r="T58" s="110">
        <v>0.8</v>
      </c>
      <c r="U58" s="110">
        <v>0</v>
      </c>
      <c r="V58" s="110">
        <v>0.8</v>
      </c>
      <c r="W58" s="110">
        <v>0.8</v>
      </c>
      <c r="X58" s="110">
        <v>0</v>
      </c>
      <c r="Y58" s="110">
        <v>0.8</v>
      </c>
      <c r="Z58" s="110">
        <v>0.8</v>
      </c>
      <c r="AA58" s="110">
        <v>0.8</v>
      </c>
      <c r="AB58" s="110">
        <v>0.8</v>
      </c>
      <c r="AC58" s="110">
        <v>0</v>
      </c>
      <c r="AD58" s="110">
        <v>0</v>
      </c>
      <c r="AE58" s="110">
        <v>0</v>
      </c>
      <c r="AF58" s="110">
        <v>0</v>
      </c>
      <c r="AG58" s="110">
        <v>0</v>
      </c>
      <c r="AH58" s="110">
        <v>0</v>
      </c>
      <c r="AI58" s="110">
        <v>0</v>
      </c>
      <c r="AJ58" s="110">
        <v>0.8</v>
      </c>
      <c r="AK58" s="110">
        <v>0.8</v>
      </c>
      <c r="AL58" s="110">
        <v>0</v>
      </c>
      <c r="AM58" s="110">
        <v>0</v>
      </c>
      <c r="AN58" s="110">
        <v>0</v>
      </c>
      <c r="AO58" s="110">
        <v>0</v>
      </c>
      <c r="AP58" s="110">
        <v>0.8</v>
      </c>
      <c r="AQ58" s="110">
        <v>0</v>
      </c>
      <c r="AR58" s="110">
        <v>0</v>
      </c>
      <c r="AS58" s="110">
        <v>0</v>
      </c>
      <c r="AT58" s="110">
        <v>0</v>
      </c>
      <c r="AU58" s="110">
        <v>0</v>
      </c>
      <c r="AV58" s="110">
        <v>0</v>
      </c>
      <c r="AW58" s="110">
        <v>0</v>
      </c>
      <c r="AX58" s="110">
        <v>0</v>
      </c>
      <c r="AY58" s="110">
        <v>0</v>
      </c>
      <c r="AZ58" s="110">
        <v>0</v>
      </c>
      <c r="BA58" s="110">
        <v>0</v>
      </c>
      <c r="BB58" s="110">
        <v>0</v>
      </c>
      <c r="BC58" s="110">
        <v>0</v>
      </c>
      <c r="BD58" s="110">
        <v>0</v>
      </c>
      <c r="BE58" s="110">
        <v>0</v>
      </c>
      <c r="BF58" s="110">
        <v>0</v>
      </c>
      <c r="BG58" s="110">
        <v>0</v>
      </c>
      <c r="BH58" s="110">
        <v>0</v>
      </c>
      <c r="BI58" s="110">
        <v>0</v>
      </c>
      <c r="BJ58" s="110">
        <v>0.8</v>
      </c>
      <c r="BK58" s="110">
        <v>0</v>
      </c>
      <c r="BL58" s="110">
        <v>0</v>
      </c>
      <c r="BM58" s="110">
        <v>0</v>
      </c>
      <c r="BN58" s="110">
        <v>0</v>
      </c>
      <c r="BO58" s="110">
        <v>0</v>
      </c>
      <c r="BP58" s="110">
        <v>0</v>
      </c>
      <c r="BQ58" s="110">
        <v>0</v>
      </c>
      <c r="BR58" s="110">
        <v>0</v>
      </c>
      <c r="BS58" s="110">
        <v>0</v>
      </c>
      <c r="BT58" s="110">
        <v>0</v>
      </c>
      <c r="BU58" s="110">
        <v>0</v>
      </c>
      <c r="BV58" s="110">
        <v>0</v>
      </c>
      <c r="BW58" s="110">
        <v>0</v>
      </c>
      <c r="BX58" s="110">
        <v>0</v>
      </c>
      <c r="BY58" s="110">
        <v>0</v>
      </c>
      <c r="BZ58" s="110">
        <v>0</v>
      </c>
      <c r="CA58" s="110">
        <v>0</v>
      </c>
      <c r="CB58" s="110">
        <v>0</v>
      </c>
      <c r="CC58" s="110">
        <v>0</v>
      </c>
      <c r="CD58" s="110">
        <v>0</v>
      </c>
      <c r="CE58" s="110">
        <v>0</v>
      </c>
      <c r="CF58" s="110">
        <v>0</v>
      </c>
      <c r="CG58" s="110">
        <v>0</v>
      </c>
    </row>
    <row r="59" spans="1:85" x14ac:dyDescent="0.15">
      <c r="A59" s="186" t="s">
        <v>249</v>
      </c>
      <c r="B59" s="110">
        <v>0</v>
      </c>
      <c r="C59" s="110">
        <v>0</v>
      </c>
      <c r="D59" s="110">
        <v>0</v>
      </c>
      <c r="E59" s="110">
        <v>0</v>
      </c>
      <c r="F59" s="110">
        <v>0</v>
      </c>
      <c r="G59" s="110">
        <v>0</v>
      </c>
      <c r="H59" s="110">
        <v>0</v>
      </c>
      <c r="I59" s="110">
        <v>0</v>
      </c>
      <c r="J59" s="110">
        <v>0</v>
      </c>
      <c r="K59" s="110">
        <v>0</v>
      </c>
      <c r="L59" s="110">
        <v>0</v>
      </c>
      <c r="M59" s="110">
        <v>0</v>
      </c>
      <c r="N59" s="110">
        <v>0</v>
      </c>
      <c r="O59" s="110">
        <v>0</v>
      </c>
      <c r="P59" s="110">
        <v>0</v>
      </c>
      <c r="Q59" s="110">
        <v>0</v>
      </c>
      <c r="R59" s="110">
        <v>0</v>
      </c>
      <c r="S59" s="110">
        <v>0</v>
      </c>
      <c r="T59" s="110">
        <v>0</v>
      </c>
      <c r="U59" s="110">
        <v>0</v>
      </c>
      <c r="V59" s="110">
        <v>0</v>
      </c>
      <c r="W59" s="110">
        <v>0</v>
      </c>
      <c r="X59" s="110">
        <v>0</v>
      </c>
      <c r="Y59" s="110">
        <v>0</v>
      </c>
      <c r="Z59" s="110">
        <v>0</v>
      </c>
      <c r="AA59" s="110">
        <v>0</v>
      </c>
      <c r="AB59" s="110">
        <v>0</v>
      </c>
      <c r="AC59" s="110">
        <v>0</v>
      </c>
      <c r="AD59" s="110">
        <v>0</v>
      </c>
      <c r="AE59" s="110">
        <v>0</v>
      </c>
      <c r="AF59" s="110">
        <v>0</v>
      </c>
      <c r="AG59" s="110">
        <v>0</v>
      </c>
      <c r="AH59" s="110">
        <v>0</v>
      </c>
      <c r="AI59" s="110">
        <v>0</v>
      </c>
      <c r="AJ59" s="110">
        <v>0</v>
      </c>
      <c r="AK59" s="110">
        <v>0</v>
      </c>
      <c r="AL59" s="110">
        <v>0</v>
      </c>
      <c r="AM59" s="110">
        <v>0</v>
      </c>
      <c r="AN59" s="110">
        <v>0.8</v>
      </c>
      <c r="AO59" s="110">
        <v>0</v>
      </c>
      <c r="AP59" s="110">
        <v>0.8</v>
      </c>
      <c r="AQ59" s="110">
        <v>0</v>
      </c>
      <c r="AR59" s="110">
        <v>0</v>
      </c>
      <c r="AS59" s="110">
        <v>0</v>
      </c>
      <c r="AT59" s="110">
        <v>0</v>
      </c>
      <c r="AU59" s="110">
        <v>0</v>
      </c>
      <c r="AV59" s="110">
        <v>0</v>
      </c>
      <c r="AW59" s="110">
        <v>0</v>
      </c>
      <c r="AX59" s="110">
        <v>0</v>
      </c>
      <c r="AY59" s="110">
        <v>0</v>
      </c>
      <c r="AZ59" s="110">
        <v>0.8</v>
      </c>
      <c r="BA59" s="110">
        <v>0.8</v>
      </c>
      <c r="BB59" s="110">
        <v>0.8</v>
      </c>
      <c r="BC59" s="110">
        <v>0</v>
      </c>
      <c r="BD59" s="110">
        <v>0.8</v>
      </c>
      <c r="BE59" s="110">
        <v>0.8</v>
      </c>
      <c r="BF59" s="110">
        <v>0</v>
      </c>
      <c r="BG59" s="110">
        <v>0</v>
      </c>
      <c r="BH59" s="110">
        <v>0</v>
      </c>
      <c r="BI59" s="110">
        <v>0</v>
      </c>
      <c r="BJ59" s="110">
        <v>0</v>
      </c>
      <c r="BK59" s="110">
        <v>0</v>
      </c>
      <c r="BL59" s="110">
        <v>0</v>
      </c>
      <c r="BM59" s="110">
        <v>0</v>
      </c>
      <c r="BN59" s="110">
        <v>0</v>
      </c>
      <c r="BO59" s="110">
        <v>0</v>
      </c>
      <c r="BP59" s="110">
        <v>0</v>
      </c>
      <c r="BQ59" s="110">
        <v>0</v>
      </c>
      <c r="BR59" s="110">
        <v>0</v>
      </c>
      <c r="BS59" s="110">
        <v>0</v>
      </c>
      <c r="BT59" s="110">
        <v>0</v>
      </c>
      <c r="BU59" s="110">
        <v>0</v>
      </c>
      <c r="BV59" s="110">
        <v>0</v>
      </c>
      <c r="BW59" s="110">
        <v>0</v>
      </c>
      <c r="BX59" s="110">
        <v>0</v>
      </c>
      <c r="BY59" s="110">
        <v>0</v>
      </c>
      <c r="BZ59" s="110">
        <v>0</v>
      </c>
      <c r="CA59" s="110">
        <v>0</v>
      </c>
      <c r="CB59" s="110">
        <v>0</v>
      </c>
      <c r="CC59" s="110">
        <v>0</v>
      </c>
      <c r="CD59" s="110">
        <v>0</v>
      </c>
      <c r="CE59" s="110">
        <v>0</v>
      </c>
      <c r="CF59" s="110">
        <v>0</v>
      </c>
      <c r="CG59" s="110">
        <v>0</v>
      </c>
    </row>
    <row r="60" spans="1:85" x14ac:dyDescent="0.15">
      <c r="A60" s="186" t="s">
        <v>250</v>
      </c>
      <c r="B60" s="110">
        <v>0</v>
      </c>
      <c r="C60" s="110">
        <v>0</v>
      </c>
      <c r="D60" s="110">
        <v>0</v>
      </c>
      <c r="E60" s="110">
        <v>0</v>
      </c>
      <c r="F60" s="110">
        <v>0</v>
      </c>
      <c r="G60" s="110">
        <v>0</v>
      </c>
      <c r="H60" s="110">
        <v>0</v>
      </c>
      <c r="I60" s="110">
        <v>0</v>
      </c>
      <c r="J60" s="110">
        <v>0</v>
      </c>
      <c r="K60" s="110">
        <v>0</v>
      </c>
      <c r="L60" s="110">
        <v>0</v>
      </c>
      <c r="M60" s="110">
        <v>0</v>
      </c>
      <c r="N60" s="110">
        <v>0</v>
      </c>
      <c r="O60" s="110">
        <v>0.8</v>
      </c>
      <c r="P60" s="110">
        <v>0</v>
      </c>
      <c r="Q60" s="110">
        <v>0</v>
      </c>
      <c r="R60" s="110">
        <v>0</v>
      </c>
      <c r="S60" s="110">
        <v>0</v>
      </c>
      <c r="T60" s="110">
        <v>0</v>
      </c>
      <c r="U60" s="110">
        <v>0</v>
      </c>
      <c r="V60" s="110">
        <v>0.8</v>
      </c>
      <c r="W60" s="110">
        <v>0</v>
      </c>
      <c r="X60" s="110">
        <v>0.8</v>
      </c>
      <c r="Y60" s="110">
        <v>0</v>
      </c>
      <c r="Z60" s="110">
        <v>0.8</v>
      </c>
      <c r="AA60" s="110">
        <v>0.8</v>
      </c>
      <c r="AB60" s="110">
        <v>0.8</v>
      </c>
      <c r="AC60" s="110">
        <v>0</v>
      </c>
      <c r="AD60" s="110">
        <v>0.8</v>
      </c>
      <c r="AE60" s="110">
        <v>0.8</v>
      </c>
      <c r="AF60" s="110">
        <v>0</v>
      </c>
      <c r="AG60" s="110">
        <v>0</v>
      </c>
      <c r="AH60" s="110">
        <v>0</v>
      </c>
      <c r="AI60" s="110">
        <v>0</v>
      </c>
      <c r="AJ60" s="110">
        <v>0.8</v>
      </c>
      <c r="AK60" s="110">
        <v>0</v>
      </c>
      <c r="AL60" s="110">
        <v>0</v>
      </c>
      <c r="AM60" s="110">
        <v>0</v>
      </c>
      <c r="AN60" s="110">
        <v>0</v>
      </c>
      <c r="AO60" s="110">
        <v>0</v>
      </c>
      <c r="AP60" s="110">
        <v>0.8</v>
      </c>
      <c r="AQ60" s="110">
        <v>0</v>
      </c>
      <c r="AR60" s="110">
        <v>0</v>
      </c>
      <c r="AS60" s="110">
        <v>0</v>
      </c>
      <c r="AT60" s="110">
        <v>0</v>
      </c>
      <c r="AU60" s="110">
        <v>0</v>
      </c>
      <c r="AV60" s="110">
        <v>0</v>
      </c>
      <c r="AW60" s="110">
        <v>0</v>
      </c>
      <c r="AX60" s="110">
        <v>0</v>
      </c>
      <c r="AY60" s="110">
        <v>0</v>
      </c>
      <c r="AZ60" s="110">
        <v>0.8</v>
      </c>
      <c r="BA60" s="110">
        <v>0.8</v>
      </c>
      <c r="BB60" s="110">
        <v>0.8</v>
      </c>
      <c r="BC60" s="110">
        <v>0</v>
      </c>
      <c r="BD60" s="110">
        <v>0.8</v>
      </c>
      <c r="BE60" s="110">
        <v>0.8</v>
      </c>
      <c r="BF60" s="110">
        <v>0</v>
      </c>
      <c r="BG60" s="110">
        <v>0</v>
      </c>
      <c r="BH60" s="110">
        <v>0</v>
      </c>
      <c r="BI60" s="110">
        <v>0</v>
      </c>
      <c r="BJ60" s="110">
        <v>0</v>
      </c>
      <c r="BK60" s="110">
        <v>0</v>
      </c>
      <c r="BL60" s="110">
        <v>0</v>
      </c>
      <c r="BM60" s="110">
        <v>0</v>
      </c>
      <c r="BN60" s="110">
        <v>0</v>
      </c>
      <c r="BO60" s="110">
        <v>0</v>
      </c>
      <c r="BP60" s="110">
        <v>0</v>
      </c>
      <c r="BQ60" s="110">
        <v>0</v>
      </c>
      <c r="BR60" s="110">
        <v>0</v>
      </c>
      <c r="BS60" s="110">
        <v>0</v>
      </c>
      <c r="BT60" s="110">
        <v>0</v>
      </c>
      <c r="BU60" s="110">
        <v>0</v>
      </c>
      <c r="BV60" s="110">
        <v>0</v>
      </c>
      <c r="BW60" s="110">
        <v>0</v>
      </c>
      <c r="BX60" s="110">
        <v>0</v>
      </c>
      <c r="BY60" s="110">
        <v>0</v>
      </c>
      <c r="BZ60" s="110">
        <v>0</v>
      </c>
      <c r="CA60" s="110">
        <v>0</v>
      </c>
      <c r="CB60" s="110">
        <v>0</v>
      </c>
      <c r="CC60" s="110">
        <v>0</v>
      </c>
      <c r="CD60" s="110">
        <v>0</v>
      </c>
      <c r="CE60" s="110">
        <v>0</v>
      </c>
      <c r="CF60" s="110">
        <v>0</v>
      </c>
      <c r="CG60" s="110">
        <v>0</v>
      </c>
    </row>
    <row r="61" spans="1:85" x14ac:dyDescent="0.15">
      <c r="A61" s="186" t="s">
        <v>251</v>
      </c>
      <c r="B61" s="110">
        <v>0</v>
      </c>
      <c r="C61" s="110">
        <v>0</v>
      </c>
      <c r="D61" s="110">
        <v>0</v>
      </c>
      <c r="E61" s="110">
        <v>0</v>
      </c>
      <c r="F61" s="110">
        <v>0</v>
      </c>
      <c r="G61" s="110">
        <v>0</v>
      </c>
      <c r="H61" s="110">
        <v>0</v>
      </c>
      <c r="I61" s="110">
        <v>0</v>
      </c>
      <c r="J61" s="110">
        <v>0</v>
      </c>
      <c r="K61" s="110">
        <v>0</v>
      </c>
      <c r="L61" s="110">
        <v>0</v>
      </c>
      <c r="M61" s="110">
        <v>0</v>
      </c>
      <c r="N61" s="110">
        <v>0</v>
      </c>
      <c r="O61" s="110">
        <v>0.8</v>
      </c>
      <c r="P61" s="110">
        <v>0</v>
      </c>
      <c r="Q61" s="110">
        <v>0</v>
      </c>
      <c r="R61" s="110">
        <v>0</v>
      </c>
      <c r="S61" s="110">
        <v>0</v>
      </c>
      <c r="T61" s="110">
        <v>0.8</v>
      </c>
      <c r="U61" s="110">
        <v>0.8</v>
      </c>
      <c r="V61" s="110">
        <v>0.8</v>
      </c>
      <c r="W61" s="110">
        <v>0</v>
      </c>
      <c r="X61" s="110">
        <v>0.8</v>
      </c>
      <c r="Y61" s="110">
        <v>0</v>
      </c>
      <c r="Z61" s="110">
        <v>0.8</v>
      </c>
      <c r="AA61" s="110">
        <v>0.8</v>
      </c>
      <c r="AB61" s="110">
        <v>0.8</v>
      </c>
      <c r="AC61" s="110">
        <v>0.8</v>
      </c>
      <c r="AD61" s="110">
        <v>0.8</v>
      </c>
      <c r="AE61" s="110">
        <v>0.8</v>
      </c>
      <c r="AF61" s="110">
        <v>0</v>
      </c>
      <c r="AG61" s="110">
        <v>0</v>
      </c>
      <c r="AH61" s="110">
        <v>0</v>
      </c>
      <c r="AI61" s="110">
        <v>0</v>
      </c>
      <c r="AJ61" s="110">
        <v>0.8</v>
      </c>
      <c r="AK61" s="110">
        <v>0</v>
      </c>
      <c r="AL61" s="110">
        <v>0</v>
      </c>
      <c r="AM61" s="110">
        <v>0</v>
      </c>
      <c r="AN61" s="110">
        <v>0</v>
      </c>
      <c r="AO61" s="110">
        <v>0</v>
      </c>
      <c r="AP61" s="110">
        <v>0.8</v>
      </c>
      <c r="AQ61" s="110">
        <v>0</v>
      </c>
      <c r="AR61" s="110">
        <v>0</v>
      </c>
      <c r="AS61" s="110">
        <v>0.8</v>
      </c>
      <c r="AT61" s="110">
        <v>0.8</v>
      </c>
      <c r="AU61" s="110">
        <v>0.8</v>
      </c>
      <c r="AV61" s="110">
        <v>0.8</v>
      </c>
      <c r="AW61" s="110">
        <v>0.8</v>
      </c>
      <c r="AX61" s="110">
        <v>0.8</v>
      </c>
      <c r="AY61" s="110">
        <v>0.8</v>
      </c>
      <c r="AZ61" s="110">
        <v>0.8</v>
      </c>
      <c r="BA61" s="110">
        <v>0.8</v>
      </c>
      <c r="BB61" s="110">
        <v>0.8</v>
      </c>
      <c r="BC61" s="110">
        <v>0.8</v>
      </c>
      <c r="BD61" s="110">
        <v>0.8</v>
      </c>
      <c r="BE61" s="110">
        <v>0</v>
      </c>
      <c r="BF61" s="110">
        <v>0</v>
      </c>
      <c r="BG61" s="110">
        <v>0</v>
      </c>
      <c r="BH61" s="110">
        <v>0</v>
      </c>
      <c r="BI61" s="110">
        <v>0</v>
      </c>
      <c r="BJ61" s="110">
        <v>0.8</v>
      </c>
      <c r="BK61" s="110">
        <v>0</v>
      </c>
      <c r="BL61" s="110">
        <v>0</v>
      </c>
      <c r="BM61" s="110">
        <v>0</v>
      </c>
      <c r="BN61" s="110">
        <v>0</v>
      </c>
      <c r="BO61" s="110">
        <v>0</v>
      </c>
      <c r="BP61" s="110">
        <v>0</v>
      </c>
      <c r="BQ61" s="110">
        <v>0</v>
      </c>
      <c r="BR61" s="110">
        <v>0</v>
      </c>
      <c r="BS61" s="110">
        <v>0</v>
      </c>
      <c r="BT61" s="110">
        <v>0</v>
      </c>
      <c r="BU61" s="110">
        <v>0</v>
      </c>
      <c r="BV61" s="110">
        <v>0</v>
      </c>
      <c r="BW61" s="110">
        <v>0</v>
      </c>
      <c r="BX61" s="110">
        <v>0</v>
      </c>
      <c r="BY61" s="110">
        <v>0</v>
      </c>
      <c r="BZ61" s="110">
        <v>0</v>
      </c>
      <c r="CA61" s="110">
        <v>0</v>
      </c>
      <c r="CB61" s="110">
        <v>0</v>
      </c>
      <c r="CC61" s="110">
        <v>0</v>
      </c>
      <c r="CD61" s="110">
        <v>0</v>
      </c>
      <c r="CE61" s="110">
        <v>0</v>
      </c>
      <c r="CF61" s="110">
        <v>0</v>
      </c>
      <c r="CG61" s="110">
        <v>0</v>
      </c>
    </row>
    <row r="62" spans="1:85" x14ac:dyDescent="0.15">
      <c r="A62" s="186" t="s">
        <v>252</v>
      </c>
      <c r="B62" s="110">
        <v>0</v>
      </c>
      <c r="C62" s="110">
        <v>0</v>
      </c>
      <c r="D62" s="110">
        <v>0</v>
      </c>
      <c r="E62" s="110">
        <v>0</v>
      </c>
      <c r="F62" s="110">
        <v>0</v>
      </c>
      <c r="G62" s="110">
        <v>0</v>
      </c>
      <c r="H62" s="110">
        <v>0</v>
      </c>
      <c r="I62" s="110">
        <v>0</v>
      </c>
      <c r="J62" s="110">
        <v>0</v>
      </c>
      <c r="K62" s="110">
        <v>0</v>
      </c>
      <c r="L62" s="110">
        <v>0</v>
      </c>
      <c r="M62" s="110">
        <v>0</v>
      </c>
      <c r="N62" s="110">
        <v>0</v>
      </c>
      <c r="O62" s="110">
        <v>0</v>
      </c>
      <c r="P62" s="110">
        <v>0</v>
      </c>
      <c r="Q62" s="110">
        <v>0</v>
      </c>
      <c r="R62" s="110">
        <v>0</v>
      </c>
      <c r="S62" s="110">
        <v>0</v>
      </c>
      <c r="T62" s="110">
        <v>0</v>
      </c>
      <c r="U62" s="110">
        <v>0</v>
      </c>
      <c r="V62" s="110">
        <v>0.8</v>
      </c>
      <c r="W62" s="110">
        <v>0</v>
      </c>
      <c r="X62" s="110">
        <v>0</v>
      </c>
      <c r="Y62" s="110">
        <v>0</v>
      </c>
      <c r="Z62" s="110">
        <v>0</v>
      </c>
      <c r="AA62" s="110">
        <v>0</v>
      </c>
      <c r="AB62" s="110">
        <v>0.8</v>
      </c>
      <c r="AC62" s="110">
        <v>0</v>
      </c>
      <c r="AD62" s="110">
        <v>0</v>
      </c>
      <c r="AE62" s="110">
        <v>0</v>
      </c>
      <c r="AF62" s="110">
        <v>0</v>
      </c>
      <c r="AG62" s="110">
        <v>0</v>
      </c>
      <c r="AH62" s="110">
        <v>0</v>
      </c>
      <c r="AI62" s="110">
        <v>0</v>
      </c>
      <c r="AJ62" s="110">
        <v>0</v>
      </c>
      <c r="AK62" s="110">
        <v>0</v>
      </c>
      <c r="AL62" s="110">
        <v>0</v>
      </c>
      <c r="AM62" s="110">
        <v>0</v>
      </c>
      <c r="AN62" s="110">
        <v>0</v>
      </c>
      <c r="AO62" s="110">
        <v>0</v>
      </c>
      <c r="AP62" s="110">
        <v>0.8</v>
      </c>
      <c r="AQ62" s="110">
        <v>0</v>
      </c>
      <c r="AR62" s="110">
        <v>0</v>
      </c>
      <c r="AS62" s="110">
        <v>0</v>
      </c>
      <c r="AT62" s="110">
        <v>0</v>
      </c>
      <c r="AU62" s="110">
        <v>0</v>
      </c>
      <c r="AV62" s="110">
        <v>0</v>
      </c>
      <c r="AW62" s="110">
        <v>0</v>
      </c>
      <c r="AX62" s="110">
        <v>0</v>
      </c>
      <c r="AY62" s="110">
        <v>0</v>
      </c>
      <c r="AZ62" s="110">
        <v>0.8</v>
      </c>
      <c r="BA62" s="110">
        <v>0</v>
      </c>
      <c r="BB62" s="110">
        <v>0</v>
      </c>
      <c r="BC62" s="110">
        <v>0</v>
      </c>
      <c r="BD62" s="110">
        <v>0</v>
      </c>
      <c r="BE62" s="110">
        <v>0</v>
      </c>
      <c r="BF62" s="110">
        <v>0</v>
      </c>
      <c r="BG62" s="110">
        <v>0</v>
      </c>
      <c r="BH62" s="110">
        <v>0</v>
      </c>
      <c r="BI62" s="110">
        <v>0</v>
      </c>
      <c r="BJ62" s="110">
        <v>0</v>
      </c>
      <c r="BK62" s="110">
        <v>0</v>
      </c>
      <c r="BL62" s="110">
        <v>0</v>
      </c>
      <c r="BM62" s="110">
        <v>0</v>
      </c>
      <c r="BN62" s="110">
        <v>0</v>
      </c>
      <c r="BO62" s="110">
        <v>0</v>
      </c>
      <c r="BP62" s="110">
        <v>0</v>
      </c>
      <c r="BQ62" s="110">
        <v>0</v>
      </c>
      <c r="BR62" s="110">
        <v>0</v>
      </c>
      <c r="BS62" s="110">
        <v>0</v>
      </c>
      <c r="BT62" s="110">
        <v>0</v>
      </c>
      <c r="BU62" s="110">
        <v>0</v>
      </c>
      <c r="BV62" s="110">
        <v>0</v>
      </c>
      <c r="BW62" s="110">
        <v>0</v>
      </c>
      <c r="BX62" s="110">
        <v>0</v>
      </c>
      <c r="BY62" s="110">
        <v>0</v>
      </c>
      <c r="BZ62" s="110">
        <v>0</v>
      </c>
      <c r="CA62" s="110">
        <v>0</v>
      </c>
      <c r="CB62" s="110">
        <v>0</v>
      </c>
      <c r="CC62" s="110">
        <v>0</v>
      </c>
      <c r="CD62" s="110">
        <v>0</v>
      </c>
      <c r="CE62" s="110">
        <v>0</v>
      </c>
      <c r="CF62" s="110">
        <v>0</v>
      </c>
      <c r="CG62" s="110">
        <v>0</v>
      </c>
    </row>
    <row r="63" spans="1:85" x14ac:dyDescent="0.15">
      <c r="A63" s="186" t="s">
        <v>253</v>
      </c>
      <c r="B63" s="110">
        <v>0</v>
      </c>
      <c r="C63" s="110">
        <v>0</v>
      </c>
      <c r="D63" s="110">
        <v>0</v>
      </c>
      <c r="E63" s="110">
        <v>0.8</v>
      </c>
      <c r="F63" s="110">
        <v>0</v>
      </c>
      <c r="G63" s="110">
        <v>0</v>
      </c>
      <c r="H63" s="110">
        <v>0</v>
      </c>
      <c r="I63" s="110">
        <v>0</v>
      </c>
      <c r="J63" s="110">
        <v>0</v>
      </c>
      <c r="K63" s="110">
        <v>0</v>
      </c>
      <c r="L63" s="110">
        <v>0.8</v>
      </c>
      <c r="M63" s="110">
        <v>0</v>
      </c>
      <c r="N63" s="110">
        <v>0</v>
      </c>
      <c r="O63" s="110">
        <v>0.8</v>
      </c>
      <c r="P63" s="110">
        <v>0</v>
      </c>
      <c r="Q63" s="110">
        <v>0</v>
      </c>
      <c r="R63" s="110">
        <v>0</v>
      </c>
      <c r="S63" s="110">
        <v>0</v>
      </c>
      <c r="T63" s="110">
        <v>0.8</v>
      </c>
      <c r="U63" s="110">
        <v>0.8</v>
      </c>
      <c r="V63" s="110">
        <v>0.8</v>
      </c>
      <c r="W63" s="110">
        <v>0.8</v>
      </c>
      <c r="X63" s="110">
        <v>0.8</v>
      </c>
      <c r="Y63" s="110">
        <v>0.8</v>
      </c>
      <c r="Z63" s="110">
        <v>0.8</v>
      </c>
      <c r="AA63" s="110">
        <v>0.8</v>
      </c>
      <c r="AB63" s="110">
        <v>0.8</v>
      </c>
      <c r="AC63" s="110">
        <v>0</v>
      </c>
      <c r="AD63" s="110">
        <v>0.8</v>
      </c>
      <c r="AE63" s="110">
        <v>0.8</v>
      </c>
      <c r="AF63" s="110">
        <v>0</v>
      </c>
      <c r="AG63" s="110">
        <v>0</v>
      </c>
      <c r="AH63" s="110">
        <v>0</v>
      </c>
      <c r="AI63" s="110">
        <v>0</v>
      </c>
      <c r="AJ63" s="110">
        <v>0.8</v>
      </c>
      <c r="AK63" s="110">
        <v>0</v>
      </c>
      <c r="AL63" s="110">
        <v>0</v>
      </c>
      <c r="AM63" s="110">
        <v>0</v>
      </c>
      <c r="AN63" s="110">
        <v>0.8</v>
      </c>
      <c r="AO63" s="110">
        <v>0</v>
      </c>
      <c r="AP63" s="110">
        <v>0</v>
      </c>
      <c r="AQ63" s="110">
        <v>0.8</v>
      </c>
      <c r="AR63" s="110">
        <v>0</v>
      </c>
      <c r="AS63" s="110">
        <v>0</v>
      </c>
      <c r="AT63" s="110">
        <v>0.8</v>
      </c>
      <c r="AU63" s="110">
        <v>0.8</v>
      </c>
      <c r="AV63" s="110">
        <v>0</v>
      </c>
      <c r="AW63" s="110">
        <v>0</v>
      </c>
      <c r="AX63" s="110">
        <v>0</v>
      </c>
      <c r="AY63" s="110">
        <v>0</v>
      </c>
      <c r="AZ63" s="110">
        <v>0.8</v>
      </c>
      <c r="BA63" s="110">
        <v>0.8</v>
      </c>
      <c r="BB63" s="110">
        <v>0.8</v>
      </c>
      <c r="BC63" s="110">
        <v>0</v>
      </c>
      <c r="BD63" s="110">
        <v>0.8</v>
      </c>
      <c r="BE63" s="110">
        <v>0.8</v>
      </c>
      <c r="BF63" s="110">
        <v>0</v>
      </c>
      <c r="BG63" s="110">
        <v>0</v>
      </c>
      <c r="BH63" s="110">
        <v>0.8</v>
      </c>
      <c r="BI63" s="110">
        <v>0</v>
      </c>
      <c r="BJ63" s="110">
        <v>0.8</v>
      </c>
      <c r="BK63" s="110">
        <v>0</v>
      </c>
      <c r="BL63" s="110">
        <v>0</v>
      </c>
      <c r="BM63" s="110">
        <v>0</v>
      </c>
      <c r="BN63" s="110">
        <v>0</v>
      </c>
      <c r="BO63" s="110">
        <v>0</v>
      </c>
      <c r="BP63" s="110">
        <v>0</v>
      </c>
      <c r="BQ63" s="110">
        <v>0</v>
      </c>
      <c r="BR63" s="110">
        <v>0</v>
      </c>
      <c r="BS63" s="110">
        <v>0</v>
      </c>
      <c r="BT63" s="110">
        <v>0</v>
      </c>
      <c r="BU63" s="110">
        <v>0</v>
      </c>
      <c r="BV63" s="110">
        <v>0</v>
      </c>
      <c r="BW63" s="110">
        <v>0</v>
      </c>
      <c r="BX63" s="110">
        <v>0</v>
      </c>
      <c r="BY63" s="110">
        <v>0</v>
      </c>
      <c r="BZ63" s="110">
        <v>0</v>
      </c>
      <c r="CA63" s="110">
        <v>0</v>
      </c>
      <c r="CB63" s="110">
        <v>0</v>
      </c>
      <c r="CC63" s="110">
        <v>0</v>
      </c>
      <c r="CD63" s="110">
        <v>0</v>
      </c>
      <c r="CE63" s="110">
        <v>0</v>
      </c>
      <c r="CF63" s="110">
        <v>0</v>
      </c>
      <c r="CG63" s="110">
        <v>0</v>
      </c>
    </row>
    <row r="64" spans="1:85" x14ac:dyDescent="0.15">
      <c r="A64" s="186" t="s">
        <v>254</v>
      </c>
      <c r="B64" s="110">
        <v>0.8</v>
      </c>
      <c r="C64" s="110">
        <v>0</v>
      </c>
      <c r="D64" s="110">
        <v>0</v>
      </c>
      <c r="E64" s="110">
        <v>0.8</v>
      </c>
      <c r="F64" s="110">
        <v>0</v>
      </c>
      <c r="G64" s="110">
        <v>0</v>
      </c>
      <c r="H64" s="110">
        <v>0</v>
      </c>
      <c r="I64" s="110">
        <v>0</v>
      </c>
      <c r="J64" s="110">
        <v>0</v>
      </c>
      <c r="K64" s="110">
        <v>0.8</v>
      </c>
      <c r="L64" s="110">
        <v>0.8</v>
      </c>
      <c r="M64" s="110">
        <v>0.8</v>
      </c>
      <c r="N64" s="110">
        <v>0.8</v>
      </c>
      <c r="O64" s="110">
        <v>0.8</v>
      </c>
      <c r="P64" s="110">
        <v>0</v>
      </c>
      <c r="Q64" s="110">
        <v>0.8</v>
      </c>
      <c r="R64" s="110">
        <v>0</v>
      </c>
      <c r="S64" s="110">
        <v>0</v>
      </c>
      <c r="T64" s="110">
        <v>0.8</v>
      </c>
      <c r="U64" s="110">
        <v>0.8</v>
      </c>
      <c r="V64" s="110">
        <v>0.8</v>
      </c>
      <c r="W64" s="110">
        <v>0.8</v>
      </c>
      <c r="X64" s="110">
        <v>0.8</v>
      </c>
      <c r="Y64" s="110">
        <v>0.8</v>
      </c>
      <c r="Z64" s="110">
        <v>0.8</v>
      </c>
      <c r="AA64" s="110">
        <v>0.8</v>
      </c>
      <c r="AB64" s="110">
        <v>0.8</v>
      </c>
      <c r="AC64" s="110">
        <v>0.8</v>
      </c>
      <c r="AD64" s="110">
        <v>0.8</v>
      </c>
      <c r="AE64" s="110">
        <v>0.8</v>
      </c>
      <c r="AF64" s="110">
        <v>0.8</v>
      </c>
      <c r="AG64" s="110">
        <v>0</v>
      </c>
      <c r="AH64" s="110">
        <v>0</v>
      </c>
      <c r="AI64" s="110">
        <v>0</v>
      </c>
      <c r="AJ64" s="110">
        <v>0.8</v>
      </c>
      <c r="AK64" s="110">
        <v>0.8</v>
      </c>
      <c r="AL64" s="110">
        <v>0.8</v>
      </c>
      <c r="AM64" s="110">
        <v>0</v>
      </c>
      <c r="AN64" s="110">
        <v>0.8</v>
      </c>
      <c r="AO64" s="110">
        <v>0</v>
      </c>
      <c r="AP64" s="110">
        <v>0.8</v>
      </c>
      <c r="AQ64" s="110">
        <v>0.8</v>
      </c>
      <c r="AR64" s="110">
        <v>0.8</v>
      </c>
      <c r="AS64" s="110">
        <v>0.8</v>
      </c>
      <c r="AT64" s="110">
        <v>0.8</v>
      </c>
      <c r="AU64" s="110">
        <v>0.8</v>
      </c>
      <c r="AV64" s="110">
        <v>0.8</v>
      </c>
      <c r="AW64" s="110">
        <v>0.8</v>
      </c>
      <c r="AX64" s="110">
        <v>0.8</v>
      </c>
      <c r="AY64" s="110">
        <v>0.8</v>
      </c>
      <c r="AZ64" s="110">
        <v>0.8</v>
      </c>
      <c r="BA64" s="110">
        <v>0.8</v>
      </c>
      <c r="BB64" s="110">
        <v>0.8</v>
      </c>
      <c r="BC64" s="110">
        <v>0.8</v>
      </c>
      <c r="BD64" s="110">
        <v>0.8</v>
      </c>
      <c r="BE64" s="110">
        <v>0.8</v>
      </c>
      <c r="BF64" s="110">
        <v>0</v>
      </c>
      <c r="BG64" s="110">
        <v>0</v>
      </c>
      <c r="BH64" s="110">
        <v>0</v>
      </c>
      <c r="BI64" s="110">
        <v>0</v>
      </c>
      <c r="BJ64" s="110">
        <v>0</v>
      </c>
      <c r="BK64" s="110">
        <v>0</v>
      </c>
      <c r="BL64" s="110">
        <v>0</v>
      </c>
      <c r="BM64" s="110">
        <v>0</v>
      </c>
      <c r="BN64" s="110">
        <v>0</v>
      </c>
      <c r="BO64" s="110">
        <v>0</v>
      </c>
      <c r="BP64" s="110">
        <v>0</v>
      </c>
      <c r="BQ64" s="110">
        <v>0</v>
      </c>
      <c r="BR64" s="110">
        <v>0</v>
      </c>
      <c r="BS64" s="110">
        <v>0</v>
      </c>
      <c r="BT64" s="110">
        <v>0</v>
      </c>
      <c r="BU64" s="110">
        <v>0</v>
      </c>
      <c r="BV64" s="110">
        <v>0</v>
      </c>
      <c r="BW64" s="110">
        <v>0</v>
      </c>
      <c r="BX64" s="110">
        <v>0</v>
      </c>
      <c r="BY64" s="110">
        <v>0</v>
      </c>
      <c r="BZ64" s="110">
        <v>0</v>
      </c>
      <c r="CA64" s="110">
        <v>0</v>
      </c>
      <c r="CB64" s="110">
        <v>0</v>
      </c>
      <c r="CC64" s="110">
        <v>0</v>
      </c>
      <c r="CD64" s="110">
        <v>0</v>
      </c>
      <c r="CE64" s="110">
        <v>0</v>
      </c>
      <c r="CF64" s="110">
        <v>0</v>
      </c>
      <c r="CG64" s="110">
        <v>0</v>
      </c>
    </row>
    <row r="65" spans="1:85" x14ac:dyDescent="0.15">
      <c r="A65" s="186" t="s">
        <v>255</v>
      </c>
      <c r="B65" s="110">
        <v>0</v>
      </c>
      <c r="C65" s="110">
        <v>0</v>
      </c>
      <c r="D65" s="110">
        <v>0</v>
      </c>
      <c r="E65" s="110">
        <v>0</v>
      </c>
      <c r="F65" s="110">
        <v>0</v>
      </c>
      <c r="G65" s="110">
        <v>0</v>
      </c>
      <c r="H65" s="110">
        <v>0</v>
      </c>
      <c r="I65" s="110">
        <v>0</v>
      </c>
      <c r="J65" s="110">
        <v>0</v>
      </c>
      <c r="K65" s="110">
        <v>0.8</v>
      </c>
      <c r="L65" s="110">
        <v>0.8</v>
      </c>
      <c r="M65" s="110">
        <v>0.8</v>
      </c>
      <c r="N65" s="110">
        <v>0.8</v>
      </c>
      <c r="O65" s="110">
        <v>0.8</v>
      </c>
      <c r="P65" s="110">
        <v>0.8</v>
      </c>
      <c r="Q65" s="110">
        <v>0</v>
      </c>
      <c r="R65" s="110">
        <v>0</v>
      </c>
      <c r="S65" s="110">
        <v>0.8</v>
      </c>
      <c r="T65" s="110">
        <v>0.8</v>
      </c>
      <c r="U65" s="110">
        <v>0.8</v>
      </c>
      <c r="V65" s="110">
        <v>0.8</v>
      </c>
      <c r="W65" s="110">
        <v>0.8</v>
      </c>
      <c r="X65" s="110">
        <v>0.8</v>
      </c>
      <c r="Y65" s="110">
        <v>0.8</v>
      </c>
      <c r="Z65" s="110">
        <v>0.8</v>
      </c>
      <c r="AA65" s="110">
        <v>0.8</v>
      </c>
      <c r="AB65" s="110">
        <v>0.8</v>
      </c>
      <c r="AC65" s="110">
        <v>0.8</v>
      </c>
      <c r="AD65" s="110">
        <v>0.8</v>
      </c>
      <c r="AE65" s="110">
        <v>0.8</v>
      </c>
      <c r="AF65" s="110">
        <v>0.8</v>
      </c>
      <c r="AG65" s="110">
        <v>0.8</v>
      </c>
      <c r="AH65" s="110">
        <v>0.8</v>
      </c>
      <c r="AI65" s="110">
        <v>0.8</v>
      </c>
      <c r="AJ65" s="110">
        <v>0.8</v>
      </c>
      <c r="AK65" s="110">
        <v>0.8</v>
      </c>
      <c r="AL65" s="110">
        <v>0</v>
      </c>
      <c r="AM65" s="110">
        <v>0</v>
      </c>
      <c r="AN65" s="110">
        <v>0.8</v>
      </c>
      <c r="AO65" s="110">
        <v>0.8</v>
      </c>
      <c r="AP65" s="110">
        <v>0.8</v>
      </c>
      <c r="AQ65" s="110">
        <v>0.8</v>
      </c>
      <c r="AR65" s="110">
        <v>0.8</v>
      </c>
      <c r="AS65" s="110">
        <v>0.8</v>
      </c>
      <c r="AT65" s="110">
        <v>0.8</v>
      </c>
      <c r="AU65" s="110">
        <v>0.8</v>
      </c>
      <c r="AV65" s="110">
        <v>0.8</v>
      </c>
      <c r="AW65" s="110">
        <v>0.8</v>
      </c>
      <c r="AX65" s="110">
        <v>0.8</v>
      </c>
      <c r="AY65" s="110">
        <v>0.8</v>
      </c>
      <c r="AZ65" s="110">
        <v>0</v>
      </c>
      <c r="BA65" s="110">
        <v>0.8</v>
      </c>
      <c r="BB65" s="110">
        <v>0.8</v>
      </c>
      <c r="BC65" s="110">
        <v>0.8</v>
      </c>
      <c r="BD65" s="110">
        <v>0.8</v>
      </c>
      <c r="BE65" s="110">
        <v>0</v>
      </c>
      <c r="BF65" s="110">
        <v>0</v>
      </c>
      <c r="BG65" s="110">
        <v>0</v>
      </c>
      <c r="BH65" s="110">
        <v>0</v>
      </c>
      <c r="BI65" s="110">
        <v>0</v>
      </c>
      <c r="BJ65" s="110">
        <v>0.8</v>
      </c>
      <c r="BK65" s="110">
        <v>0.8</v>
      </c>
      <c r="BL65" s="110">
        <v>0</v>
      </c>
      <c r="BM65" s="110">
        <v>0.8</v>
      </c>
      <c r="BN65" s="110">
        <v>0.8</v>
      </c>
      <c r="BO65" s="110">
        <v>0</v>
      </c>
      <c r="BP65" s="110">
        <v>0</v>
      </c>
      <c r="BQ65" s="110">
        <v>0</v>
      </c>
      <c r="BR65" s="110">
        <v>0</v>
      </c>
      <c r="BS65" s="110">
        <v>0</v>
      </c>
      <c r="BT65" s="110">
        <v>0</v>
      </c>
      <c r="BU65" s="110">
        <v>0</v>
      </c>
      <c r="BV65" s="110">
        <v>0</v>
      </c>
      <c r="BW65" s="110">
        <v>0</v>
      </c>
      <c r="BX65" s="110">
        <v>0</v>
      </c>
      <c r="BY65" s="110">
        <v>0</v>
      </c>
      <c r="BZ65" s="110">
        <v>0</v>
      </c>
      <c r="CA65" s="110">
        <v>0</v>
      </c>
      <c r="CB65" s="110">
        <v>0</v>
      </c>
      <c r="CC65" s="110">
        <v>0</v>
      </c>
      <c r="CD65" s="110">
        <v>0</v>
      </c>
      <c r="CE65" s="110">
        <v>0</v>
      </c>
      <c r="CF65" s="110">
        <v>0</v>
      </c>
      <c r="CG65" s="110">
        <v>0</v>
      </c>
    </row>
    <row r="66" spans="1:85" x14ac:dyDescent="0.15">
      <c r="A66" s="186" t="s">
        <v>256</v>
      </c>
      <c r="B66" s="110">
        <v>0</v>
      </c>
      <c r="C66" s="110">
        <v>0</v>
      </c>
      <c r="D66" s="110">
        <v>0</v>
      </c>
      <c r="E66" s="110">
        <v>0</v>
      </c>
      <c r="F66" s="110">
        <v>0</v>
      </c>
      <c r="G66" s="110">
        <v>0</v>
      </c>
      <c r="H66" s="110">
        <v>0</v>
      </c>
      <c r="I66" s="110">
        <v>0</v>
      </c>
      <c r="J66" s="110">
        <v>0</v>
      </c>
      <c r="K66" s="110">
        <v>0</v>
      </c>
      <c r="L66" s="110">
        <v>0</v>
      </c>
      <c r="M66" s="110">
        <v>0</v>
      </c>
      <c r="N66" s="110">
        <v>0</v>
      </c>
      <c r="O66" s="110">
        <v>0</v>
      </c>
      <c r="P66" s="110">
        <v>0</v>
      </c>
      <c r="Q66" s="110">
        <v>0</v>
      </c>
      <c r="R66" s="110">
        <v>0</v>
      </c>
      <c r="S66" s="110">
        <v>0.8</v>
      </c>
      <c r="T66" s="110">
        <v>0.8</v>
      </c>
      <c r="U66" s="110">
        <v>0.8</v>
      </c>
      <c r="V66" s="110">
        <v>0.8</v>
      </c>
      <c r="W66" s="110">
        <v>0.8</v>
      </c>
      <c r="X66" s="110">
        <v>0.8</v>
      </c>
      <c r="Y66" s="110">
        <v>0.8</v>
      </c>
      <c r="Z66" s="110">
        <v>0.8</v>
      </c>
      <c r="AA66" s="110">
        <v>0.8</v>
      </c>
      <c r="AB66" s="110">
        <v>0.8</v>
      </c>
      <c r="AC66" s="110">
        <v>0.8</v>
      </c>
      <c r="AD66" s="110">
        <v>0.8</v>
      </c>
      <c r="AE66" s="110">
        <v>0</v>
      </c>
      <c r="AF66" s="110">
        <v>0.8</v>
      </c>
      <c r="AG66" s="110">
        <v>0.8</v>
      </c>
      <c r="AH66" s="110">
        <v>0</v>
      </c>
      <c r="AI66" s="110">
        <v>0.8</v>
      </c>
      <c r="AJ66" s="110">
        <v>0.8</v>
      </c>
      <c r="AK66" s="110">
        <v>0.8</v>
      </c>
      <c r="AL66" s="110">
        <v>0.8</v>
      </c>
      <c r="AM66" s="110">
        <v>0</v>
      </c>
      <c r="AN66" s="110">
        <v>0.8</v>
      </c>
      <c r="AO66" s="110">
        <v>0.8</v>
      </c>
      <c r="AP66" s="110">
        <v>0.8</v>
      </c>
      <c r="AQ66" s="110">
        <v>0.8</v>
      </c>
      <c r="AR66" s="110">
        <v>0.8</v>
      </c>
      <c r="AS66" s="110">
        <v>0.8</v>
      </c>
      <c r="AT66" s="110">
        <v>0.8</v>
      </c>
      <c r="AU66" s="110">
        <v>0.8</v>
      </c>
      <c r="AV66" s="110">
        <v>0.8</v>
      </c>
      <c r="AW66" s="110">
        <v>0.8</v>
      </c>
      <c r="AX66" s="110">
        <v>0.8</v>
      </c>
      <c r="AY66" s="110">
        <v>0.8</v>
      </c>
      <c r="AZ66" s="110">
        <v>0.8</v>
      </c>
      <c r="BA66" s="110">
        <v>0.8</v>
      </c>
      <c r="BB66" s="110">
        <v>0.8</v>
      </c>
      <c r="BC66" s="110">
        <v>0.8</v>
      </c>
      <c r="BD66" s="110">
        <v>0.8</v>
      </c>
      <c r="BE66" s="110">
        <v>0.8</v>
      </c>
      <c r="BF66" s="110">
        <v>0</v>
      </c>
      <c r="BG66" s="110">
        <v>0.8</v>
      </c>
      <c r="BH66" s="110">
        <v>0</v>
      </c>
      <c r="BI66" s="110">
        <v>0</v>
      </c>
      <c r="BJ66" s="110">
        <v>0.8</v>
      </c>
      <c r="BK66" s="110">
        <v>0.8</v>
      </c>
      <c r="BL66" s="110">
        <v>0</v>
      </c>
      <c r="BM66" s="110">
        <v>0.8</v>
      </c>
      <c r="BN66" s="110">
        <v>0.8</v>
      </c>
      <c r="BO66" s="110">
        <v>0</v>
      </c>
      <c r="BP66" s="110">
        <v>0</v>
      </c>
      <c r="BQ66" s="110">
        <v>0</v>
      </c>
      <c r="BR66" s="110">
        <v>0</v>
      </c>
      <c r="BS66" s="110">
        <v>0</v>
      </c>
      <c r="BT66" s="110">
        <v>0</v>
      </c>
      <c r="BU66" s="110">
        <v>0</v>
      </c>
      <c r="BV66" s="110">
        <v>0</v>
      </c>
      <c r="BW66" s="110">
        <v>0</v>
      </c>
      <c r="BX66" s="110">
        <v>0</v>
      </c>
      <c r="BY66" s="110">
        <v>0</v>
      </c>
      <c r="BZ66" s="110">
        <v>0</v>
      </c>
      <c r="CA66" s="110">
        <v>0</v>
      </c>
      <c r="CB66" s="110">
        <v>0</v>
      </c>
      <c r="CC66" s="110">
        <v>0</v>
      </c>
      <c r="CD66" s="110">
        <v>0</v>
      </c>
      <c r="CE66" s="110">
        <v>0</v>
      </c>
      <c r="CF66" s="110">
        <v>0</v>
      </c>
      <c r="CG66" s="110">
        <v>0</v>
      </c>
    </row>
    <row r="67" spans="1:85" x14ac:dyDescent="0.15">
      <c r="A67" s="186" t="s">
        <v>257</v>
      </c>
      <c r="B67" s="110">
        <v>0</v>
      </c>
      <c r="C67" s="110">
        <v>0</v>
      </c>
      <c r="D67" s="110">
        <v>0</v>
      </c>
      <c r="E67" s="110">
        <v>0</v>
      </c>
      <c r="F67" s="110">
        <v>0</v>
      </c>
      <c r="G67" s="110">
        <v>0</v>
      </c>
      <c r="H67" s="110">
        <v>0</v>
      </c>
      <c r="I67" s="110">
        <v>0</v>
      </c>
      <c r="J67" s="110">
        <v>0</v>
      </c>
      <c r="K67" s="110">
        <v>0.8</v>
      </c>
      <c r="L67" s="110">
        <v>0.8</v>
      </c>
      <c r="M67" s="110">
        <v>0.8</v>
      </c>
      <c r="N67" s="110">
        <v>0.8</v>
      </c>
      <c r="O67" s="110">
        <v>0.8</v>
      </c>
      <c r="P67" s="110">
        <v>0</v>
      </c>
      <c r="Q67" s="110">
        <v>0</v>
      </c>
      <c r="R67" s="110">
        <v>0</v>
      </c>
      <c r="S67" s="110">
        <v>0.8</v>
      </c>
      <c r="T67" s="110">
        <v>0.8</v>
      </c>
      <c r="U67" s="110">
        <v>0</v>
      </c>
      <c r="V67" s="110">
        <v>0.8</v>
      </c>
      <c r="W67" s="110">
        <v>0.8</v>
      </c>
      <c r="X67" s="110">
        <v>0.8</v>
      </c>
      <c r="Y67" s="110">
        <v>0.8</v>
      </c>
      <c r="Z67" s="110">
        <v>0.8</v>
      </c>
      <c r="AA67" s="110">
        <v>0.8</v>
      </c>
      <c r="AB67" s="110">
        <v>0.8</v>
      </c>
      <c r="AC67" s="110">
        <v>0.8</v>
      </c>
      <c r="AD67" s="110">
        <v>0.8</v>
      </c>
      <c r="AE67" s="110">
        <v>0.8</v>
      </c>
      <c r="AF67" s="110">
        <v>0.8</v>
      </c>
      <c r="AG67" s="110">
        <v>0.8</v>
      </c>
      <c r="AH67" s="110">
        <v>0</v>
      </c>
      <c r="AI67" s="110">
        <v>0</v>
      </c>
      <c r="AJ67" s="110">
        <v>0.8</v>
      </c>
      <c r="AK67" s="110">
        <v>0.8</v>
      </c>
      <c r="AL67" s="110">
        <v>0.8</v>
      </c>
      <c r="AM67" s="110">
        <v>0</v>
      </c>
      <c r="AN67" s="110">
        <v>0.8</v>
      </c>
      <c r="AO67" s="110">
        <v>0</v>
      </c>
      <c r="AP67" s="110">
        <v>0.8</v>
      </c>
      <c r="AQ67" s="110">
        <v>0.8</v>
      </c>
      <c r="AR67" s="110">
        <v>0.8</v>
      </c>
      <c r="AS67" s="110">
        <v>0.8</v>
      </c>
      <c r="AT67" s="110">
        <v>0.8</v>
      </c>
      <c r="AU67" s="110">
        <v>0.8</v>
      </c>
      <c r="AV67" s="110">
        <v>0.8</v>
      </c>
      <c r="AW67" s="110">
        <v>0.8</v>
      </c>
      <c r="AX67" s="110">
        <v>0.8</v>
      </c>
      <c r="AY67" s="110">
        <v>0.8</v>
      </c>
      <c r="AZ67" s="110">
        <v>0.8</v>
      </c>
      <c r="BA67" s="110">
        <v>0</v>
      </c>
      <c r="BB67" s="110">
        <v>0</v>
      </c>
      <c r="BC67" s="110">
        <v>0.8</v>
      </c>
      <c r="BD67" s="110">
        <v>0</v>
      </c>
      <c r="BE67" s="110">
        <v>0.8</v>
      </c>
      <c r="BF67" s="110">
        <v>0</v>
      </c>
      <c r="BG67" s="110">
        <v>0</v>
      </c>
      <c r="BH67" s="110">
        <v>0</v>
      </c>
      <c r="BI67" s="110">
        <v>0</v>
      </c>
      <c r="BJ67" s="110">
        <v>0.8</v>
      </c>
      <c r="BK67" s="110">
        <v>0</v>
      </c>
      <c r="BL67" s="110">
        <v>0</v>
      </c>
      <c r="BM67" s="110">
        <v>0</v>
      </c>
      <c r="BN67" s="110">
        <v>0</v>
      </c>
      <c r="BO67" s="110">
        <v>0</v>
      </c>
      <c r="BP67" s="110">
        <v>0</v>
      </c>
      <c r="BQ67" s="110">
        <v>0</v>
      </c>
      <c r="BR67" s="110">
        <v>0</v>
      </c>
      <c r="BS67" s="110">
        <v>0</v>
      </c>
      <c r="BT67" s="110">
        <v>0</v>
      </c>
      <c r="BU67" s="110">
        <v>0</v>
      </c>
      <c r="BV67" s="110">
        <v>0</v>
      </c>
      <c r="BW67" s="110">
        <v>0</v>
      </c>
      <c r="BX67" s="110">
        <v>0</v>
      </c>
      <c r="BY67" s="110">
        <v>0</v>
      </c>
      <c r="BZ67" s="110">
        <v>0</v>
      </c>
      <c r="CA67" s="110">
        <v>0</v>
      </c>
      <c r="CB67" s="110">
        <v>0</v>
      </c>
      <c r="CC67" s="110">
        <v>0</v>
      </c>
      <c r="CD67" s="110">
        <v>0</v>
      </c>
      <c r="CE67" s="110">
        <v>0</v>
      </c>
      <c r="CF67" s="110">
        <v>0</v>
      </c>
      <c r="CG67" s="110">
        <v>0</v>
      </c>
    </row>
    <row r="68" spans="1:85" x14ac:dyDescent="0.15">
      <c r="A68" s="186" t="s">
        <v>258</v>
      </c>
      <c r="B68" s="110">
        <v>0</v>
      </c>
      <c r="C68" s="110">
        <v>0</v>
      </c>
      <c r="D68" s="110">
        <v>0</v>
      </c>
      <c r="E68" s="110">
        <v>0</v>
      </c>
      <c r="F68" s="110">
        <v>0</v>
      </c>
      <c r="G68" s="110">
        <v>0</v>
      </c>
      <c r="H68" s="110">
        <v>0</v>
      </c>
      <c r="I68" s="110">
        <v>0</v>
      </c>
      <c r="J68" s="110">
        <v>0</v>
      </c>
      <c r="K68" s="110">
        <v>0</v>
      </c>
      <c r="L68" s="110">
        <v>0</v>
      </c>
      <c r="M68" s="110">
        <v>0</v>
      </c>
      <c r="N68" s="110">
        <v>0</v>
      </c>
      <c r="O68" s="110">
        <v>0</v>
      </c>
      <c r="P68" s="110">
        <v>0</v>
      </c>
      <c r="Q68" s="110">
        <v>0</v>
      </c>
      <c r="R68" s="110">
        <v>0</v>
      </c>
      <c r="S68" s="110">
        <v>0</v>
      </c>
      <c r="T68" s="110">
        <v>0</v>
      </c>
      <c r="U68" s="110">
        <v>0</v>
      </c>
      <c r="V68" s="110">
        <v>0</v>
      </c>
      <c r="W68" s="110">
        <v>0</v>
      </c>
      <c r="X68" s="110">
        <v>0</v>
      </c>
      <c r="Y68" s="110">
        <v>0</v>
      </c>
      <c r="Z68" s="110">
        <v>0</v>
      </c>
      <c r="AA68" s="110">
        <v>0</v>
      </c>
      <c r="AB68" s="110">
        <v>0</v>
      </c>
      <c r="AC68" s="110">
        <v>0</v>
      </c>
      <c r="AD68" s="110">
        <v>0</v>
      </c>
      <c r="AE68" s="110">
        <v>0</v>
      </c>
      <c r="AF68" s="110">
        <v>0</v>
      </c>
      <c r="AG68" s="110">
        <v>0</v>
      </c>
      <c r="AH68" s="110">
        <v>0</v>
      </c>
      <c r="AI68" s="110">
        <v>0</v>
      </c>
      <c r="AJ68" s="110">
        <v>0</v>
      </c>
      <c r="AK68" s="110">
        <v>0</v>
      </c>
      <c r="AL68" s="110">
        <v>0</v>
      </c>
      <c r="AM68" s="110">
        <v>0</v>
      </c>
      <c r="AN68" s="110">
        <v>0.8</v>
      </c>
      <c r="AO68" s="110">
        <v>0</v>
      </c>
      <c r="AP68" s="110">
        <v>0</v>
      </c>
      <c r="AQ68" s="110">
        <v>0.8</v>
      </c>
      <c r="AR68" s="110">
        <v>0.8</v>
      </c>
      <c r="AS68" s="110">
        <v>0</v>
      </c>
      <c r="AT68" s="110">
        <v>0.8</v>
      </c>
      <c r="AU68" s="110">
        <v>0.8</v>
      </c>
      <c r="AV68" s="110">
        <v>0.8</v>
      </c>
      <c r="AW68" s="110">
        <v>0.8</v>
      </c>
      <c r="AX68" s="110">
        <v>0.8</v>
      </c>
      <c r="AY68" s="110">
        <v>0.8</v>
      </c>
      <c r="AZ68" s="110">
        <v>0</v>
      </c>
      <c r="BA68" s="110">
        <v>0.8</v>
      </c>
      <c r="BB68" s="110">
        <v>0.8</v>
      </c>
      <c r="BC68" s="110">
        <v>0</v>
      </c>
      <c r="BD68" s="110">
        <v>0.8</v>
      </c>
      <c r="BE68" s="110">
        <v>0</v>
      </c>
      <c r="BF68" s="110">
        <v>0.8</v>
      </c>
      <c r="BG68" s="110">
        <v>0.8</v>
      </c>
      <c r="BH68" s="110">
        <v>0</v>
      </c>
      <c r="BI68" s="110">
        <v>0</v>
      </c>
      <c r="BJ68" s="110">
        <v>0</v>
      </c>
      <c r="BK68" s="110">
        <v>0.8</v>
      </c>
      <c r="BL68" s="110">
        <v>0.8</v>
      </c>
      <c r="BM68" s="110">
        <v>0.8</v>
      </c>
      <c r="BN68" s="110">
        <v>0.8</v>
      </c>
      <c r="BO68" s="110">
        <v>0.8</v>
      </c>
      <c r="BP68" s="110">
        <v>0</v>
      </c>
      <c r="BQ68" s="110">
        <v>0</v>
      </c>
      <c r="BR68" s="110">
        <v>0</v>
      </c>
      <c r="BS68" s="110">
        <v>0</v>
      </c>
      <c r="BT68" s="110">
        <v>0</v>
      </c>
      <c r="BU68" s="110">
        <v>0</v>
      </c>
      <c r="BV68" s="110">
        <v>0</v>
      </c>
      <c r="BW68" s="110">
        <v>0</v>
      </c>
      <c r="BX68" s="110">
        <v>0</v>
      </c>
      <c r="BY68" s="110">
        <v>0</v>
      </c>
      <c r="BZ68" s="110">
        <v>0</v>
      </c>
      <c r="CA68" s="110">
        <v>0</v>
      </c>
      <c r="CB68" s="110">
        <v>0</v>
      </c>
      <c r="CC68" s="110">
        <v>0</v>
      </c>
      <c r="CD68" s="110">
        <v>0</v>
      </c>
      <c r="CE68" s="110">
        <v>0</v>
      </c>
      <c r="CF68" s="110">
        <v>0</v>
      </c>
      <c r="CG68" s="110">
        <v>0</v>
      </c>
    </row>
    <row r="69" spans="1:85" x14ac:dyDescent="0.15">
      <c r="A69" s="186" t="s">
        <v>259</v>
      </c>
      <c r="B69" s="110">
        <v>0</v>
      </c>
      <c r="C69" s="110">
        <v>0</v>
      </c>
      <c r="D69" s="110">
        <v>0</v>
      </c>
      <c r="E69" s="110">
        <v>0</v>
      </c>
      <c r="F69" s="110">
        <v>0</v>
      </c>
      <c r="G69" s="110">
        <v>0</v>
      </c>
      <c r="H69" s="110">
        <v>0</v>
      </c>
      <c r="I69" s="110">
        <v>0</v>
      </c>
      <c r="J69" s="110">
        <v>0</v>
      </c>
      <c r="K69" s="110">
        <v>0</v>
      </c>
      <c r="L69" s="110">
        <v>0</v>
      </c>
      <c r="M69" s="110">
        <v>0</v>
      </c>
      <c r="N69" s="110">
        <v>0</v>
      </c>
      <c r="O69" s="110">
        <v>0</v>
      </c>
      <c r="P69" s="110">
        <v>0</v>
      </c>
      <c r="Q69" s="110">
        <v>0</v>
      </c>
      <c r="R69" s="110">
        <v>0</v>
      </c>
      <c r="S69" s="110">
        <v>0</v>
      </c>
      <c r="T69" s="110">
        <v>0.8</v>
      </c>
      <c r="U69" s="110">
        <v>0</v>
      </c>
      <c r="V69" s="110">
        <v>0.8</v>
      </c>
      <c r="W69" s="110">
        <v>0</v>
      </c>
      <c r="X69" s="110">
        <v>0</v>
      </c>
      <c r="Y69" s="110">
        <v>0</v>
      </c>
      <c r="Z69" s="110">
        <v>0.8</v>
      </c>
      <c r="AA69" s="110">
        <v>0.8</v>
      </c>
      <c r="AB69" s="110">
        <v>0.8</v>
      </c>
      <c r="AC69" s="110">
        <v>0</v>
      </c>
      <c r="AD69" s="110">
        <v>0</v>
      </c>
      <c r="AE69" s="110">
        <v>0</v>
      </c>
      <c r="AF69" s="110">
        <v>0</v>
      </c>
      <c r="AG69" s="110">
        <v>0</v>
      </c>
      <c r="AH69" s="110">
        <v>0</v>
      </c>
      <c r="AI69" s="110">
        <v>0</v>
      </c>
      <c r="AJ69" s="110">
        <v>0</v>
      </c>
      <c r="AK69" s="110">
        <v>0</v>
      </c>
      <c r="AL69" s="110">
        <v>0</v>
      </c>
      <c r="AM69" s="110">
        <v>0</v>
      </c>
      <c r="AN69" s="110">
        <v>0</v>
      </c>
      <c r="AO69" s="110">
        <v>0</v>
      </c>
      <c r="AP69" s="110">
        <v>0</v>
      </c>
      <c r="AQ69" s="110">
        <v>0.8</v>
      </c>
      <c r="AR69" s="110">
        <v>0.8</v>
      </c>
      <c r="AS69" s="110">
        <v>0.8</v>
      </c>
      <c r="AT69" s="110">
        <v>0.8</v>
      </c>
      <c r="AU69" s="110">
        <v>0.8</v>
      </c>
      <c r="AV69" s="110">
        <v>0.8</v>
      </c>
      <c r="AW69" s="110">
        <v>0.8</v>
      </c>
      <c r="AX69" s="110">
        <v>0.8</v>
      </c>
      <c r="AY69" s="110">
        <v>0.8</v>
      </c>
      <c r="AZ69" s="110">
        <v>0</v>
      </c>
      <c r="BA69" s="110">
        <v>0</v>
      </c>
      <c r="BB69" s="110">
        <v>0</v>
      </c>
      <c r="BC69" s="110">
        <v>0</v>
      </c>
      <c r="BD69" s="110">
        <v>0</v>
      </c>
      <c r="BE69" s="110">
        <v>0</v>
      </c>
      <c r="BF69" s="110">
        <v>0.8</v>
      </c>
      <c r="BG69" s="110">
        <v>0.8</v>
      </c>
      <c r="BH69" s="110">
        <v>0</v>
      </c>
      <c r="BI69" s="110">
        <v>0</v>
      </c>
      <c r="BJ69" s="110">
        <v>0</v>
      </c>
      <c r="BK69" s="110">
        <v>0</v>
      </c>
      <c r="BL69" s="110">
        <v>0</v>
      </c>
      <c r="BM69" s="110">
        <v>0</v>
      </c>
      <c r="BN69" s="110">
        <v>0</v>
      </c>
      <c r="BO69" s="110">
        <v>0.8</v>
      </c>
      <c r="BP69" s="110">
        <v>0</v>
      </c>
      <c r="BQ69" s="110">
        <v>0</v>
      </c>
      <c r="BR69" s="110">
        <v>0</v>
      </c>
      <c r="BS69" s="110">
        <v>0</v>
      </c>
      <c r="BT69" s="110">
        <v>0</v>
      </c>
      <c r="BU69" s="110">
        <v>0</v>
      </c>
      <c r="BV69" s="110">
        <v>0</v>
      </c>
      <c r="BW69" s="110">
        <v>0</v>
      </c>
      <c r="BX69" s="110">
        <v>0</v>
      </c>
      <c r="BY69" s="110">
        <v>0</v>
      </c>
      <c r="BZ69" s="110">
        <v>0</v>
      </c>
      <c r="CA69" s="110">
        <v>0</v>
      </c>
      <c r="CB69" s="110">
        <v>0</v>
      </c>
      <c r="CC69" s="110">
        <v>0</v>
      </c>
      <c r="CD69" s="110">
        <v>0</v>
      </c>
      <c r="CE69" s="110">
        <v>0</v>
      </c>
      <c r="CF69" s="110">
        <v>0</v>
      </c>
      <c r="CG69" s="110">
        <v>0</v>
      </c>
    </row>
    <row r="70" spans="1:85" x14ac:dyDescent="0.15">
      <c r="A70" s="186" t="s">
        <v>260</v>
      </c>
      <c r="B70" s="110">
        <v>0</v>
      </c>
      <c r="C70" s="110">
        <v>0</v>
      </c>
      <c r="D70" s="110">
        <v>0</v>
      </c>
      <c r="E70" s="110">
        <v>0.8</v>
      </c>
      <c r="F70" s="110">
        <v>0</v>
      </c>
      <c r="G70" s="110">
        <v>0</v>
      </c>
      <c r="H70" s="110">
        <v>0</v>
      </c>
      <c r="I70" s="110">
        <v>0</v>
      </c>
      <c r="J70" s="110">
        <v>0</v>
      </c>
      <c r="K70" s="110">
        <v>0</v>
      </c>
      <c r="L70" s="110">
        <v>0.8</v>
      </c>
      <c r="M70" s="110">
        <v>0</v>
      </c>
      <c r="N70" s="110">
        <v>0</v>
      </c>
      <c r="O70" s="110">
        <v>0</v>
      </c>
      <c r="P70" s="110">
        <v>0</v>
      </c>
      <c r="Q70" s="110">
        <v>0</v>
      </c>
      <c r="R70" s="110">
        <v>0</v>
      </c>
      <c r="S70" s="110">
        <v>0</v>
      </c>
      <c r="T70" s="110">
        <v>0</v>
      </c>
      <c r="U70" s="110">
        <v>0</v>
      </c>
      <c r="V70" s="110">
        <v>0</v>
      </c>
      <c r="W70" s="110">
        <v>0</v>
      </c>
      <c r="X70" s="110">
        <v>0</v>
      </c>
      <c r="Y70" s="110">
        <v>0</v>
      </c>
      <c r="Z70" s="110">
        <v>0</v>
      </c>
      <c r="AA70" s="110">
        <v>0</v>
      </c>
      <c r="AB70" s="110">
        <v>0</v>
      </c>
      <c r="AC70" s="110">
        <v>0</v>
      </c>
      <c r="AD70" s="110">
        <v>0</v>
      </c>
      <c r="AE70" s="110">
        <v>0</v>
      </c>
      <c r="AF70" s="110">
        <v>0</v>
      </c>
      <c r="AG70" s="110">
        <v>0</v>
      </c>
      <c r="AH70" s="110">
        <v>0</v>
      </c>
      <c r="AI70" s="110">
        <v>0</v>
      </c>
      <c r="AJ70" s="110">
        <v>0</v>
      </c>
      <c r="AK70" s="110">
        <v>0</v>
      </c>
      <c r="AL70" s="110">
        <v>0</v>
      </c>
      <c r="AM70" s="110">
        <v>0</v>
      </c>
      <c r="AN70" s="110">
        <v>0</v>
      </c>
      <c r="AO70" s="110">
        <v>0.8</v>
      </c>
      <c r="AP70" s="110">
        <v>0</v>
      </c>
      <c r="AQ70" s="110">
        <v>0</v>
      </c>
      <c r="AR70" s="110">
        <v>0</v>
      </c>
      <c r="AS70" s="110">
        <v>0</v>
      </c>
      <c r="AT70" s="110">
        <v>0</v>
      </c>
      <c r="AU70" s="110">
        <v>0</v>
      </c>
      <c r="AV70" s="110">
        <v>0</v>
      </c>
      <c r="AW70" s="110">
        <v>0</v>
      </c>
      <c r="AX70" s="110">
        <v>0</v>
      </c>
      <c r="AY70" s="110">
        <v>0</v>
      </c>
      <c r="AZ70" s="110">
        <v>0</v>
      </c>
      <c r="BA70" s="110">
        <v>0</v>
      </c>
      <c r="BB70" s="110">
        <v>0</v>
      </c>
      <c r="BC70" s="110">
        <v>0</v>
      </c>
      <c r="BD70" s="110">
        <v>0</v>
      </c>
      <c r="BE70" s="110">
        <v>0</v>
      </c>
      <c r="BF70" s="110">
        <v>0</v>
      </c>
      <c r="BG70" s="110">
        <v>0</v>
      </c>
      <c r="BH70" s="110">
        <v>0</v>
      </c>
      <c r="BI70" s="110">
        <v>0</v>
      </c>
      <c r="BJ70" s="110">
        <v>0</v>
      </c>
      <c r="BK70" s="110">
        <v>0.8</v>
      </c>
      <c r="BL70" s="110">
        <v>0</v>
      </c>
      <c r="BM70" s="110">
        <v>0</v>
      </c>
      <c r="BN70" s="110">
        <v>0</v>
      </c>
      <c r="BO70" s="110">
        <v>0</v>
      </c>
      <c r="BP70" s="110">
        <v>0</v>
      </c>
      <c r="BQ70" s="110">
        <v>0</v>
      </c>
      <c r="BR70" s="110">
        <v>0</v>
      </c>
      <c r="BS70" s="110">
        <v>0</v>
      </c>
      <c r="BT70" s="110">
        <v>0</v>
      </c>
      <c r="BU70" s="110">
        <v>0</v>
      </c>
      <c r="BV70" s="110">
        <v>0</v>
      </c>
      <c r="BW70" s="110">
        <v>0</v>
      </c>
      <c r="BX70" s="110">
        <v>0</v>
      </c>
      <c r="BY70" s="110">
        <v>0</v>
      </c>
      <c r="BZ70" s="110">
        <v>0</v>
      </c>
      <c r="CA70" s="110">
        <v>0</v>
      </c>
      <c r="CB70" s="110">
        <v>0</v>
      </c>
      <c r="CC70" s="110">
        <v>0</v>
      </c>
      <c r="CD70" s="110">
        <v>0</v>
      </c>
      <c r="CE70" s="110">
        <v>0</v>
      </c>
      <c r="CF70" s="110">
        <v>0</v>
      </c>
      <c r="CG70" s="110">
        <v>0</v>
      </c>
    </row>
    <row r="71" spans="1:85" x14ac:dyDescent="0.15">
      <c r="A71" s="186" t="s">
        <v>261</v>
      </c>
      <c r="B71" s="110">
        <v>0</v>
      </c>
      <c r="C71" s="110">
        <v>0</v>
      </c>
      <c r="D71" s="110">
        <v>0</v>
      </c>
      <c r="E71" s="110">
        <v>0.8</v>
      </c>
      <c r="F71" s="110">
        <v>0</v>
      </c>
      <c r="G71" s="110">
        <v>0</v>
      </c>
      <c r="H71" s="110">
        <v>0</v>
      </c>
      <c r="I71" s="110">
        <v>0</v>
      </c>
      <c r="J71" s="110">
        <v>0</v>
      </c>
      <c r="K71" s="110">
        <v>0</v>
      </c>
      <c r="L71" s="110">
        <v>0</v>
      </c>
      <c r="M71" s="110">
        <v>0</v>
      </c>
      <c r="N71" s="110">
        <v>0</v>
      </c>
      <c r="O71" s="110">
        <v>0</v>
      </c>
      <c r="P71" s="110">
        <v>0</v>
      </c>
      <c r="Q71" s="110">
        <v>0</v>
      </c>
      <c r="R71" s="110">
        <v>0</v>
      </c>
      <c r="S71" s="110">
        <v>0</v>
      </c>
      <c r="T71" s="110">
        <v>0</v>
      </c>
      <c r="U71" s="110">
        <v>0</v>
      </c>
      <c r="V71" s="110">
        <v>0</v>
      </c>
      <c r="W71" s="110">
        <v>0</v>
      </c>
      <c r="X71" s="110">
        <v>0</v>
      </c>
      <c r="Y71" s="110">
        <v>0</v>
      </c>
      <c r="Z71" s="110">
        <v>0</v>
      </c>
      <c r="AA71" s="110">
        <v>0</v>
      </c>
      <c r="AB71" s="110">
        <v>0.8</v>
      </c>
      <c r="AC71" s="110">
        <v>0</v>
      </c>
      <c r="AD71" s="110">
        <v>0</v>
      </c>
      <c r="AE71" s="110">
        <v>0</v>
      </c>
      <c r="AF71" s="110">
        <v>0</v>
      </c>
      <c r="AG71" s="110">
        <v>0</v>
      </c>
      <c r="AH71" s="110">
        <v>0</v>
      </c>
      <c r="AI71" s="110">
        <v>0</v>
      </c>
      <c r="AJ71" s="110">
        <v>0</v>
      </c>
      <c r="AK71" s="110">
        <v>0</v>
      </c>
      <c r="AL71" s="110">
        <v>0</v>
      </c>
      <c r="AM71" s="110">
        <v>0.8</v>
      </c>
      <c r="AN71" s="110">
        <v>0</v>
      </c>
      <c r="AO71" s="110">
        <v>0.8</v>
      </c>
      <c r="AP71" s="110">
        <v>0</v>
      </c>
      <c r="AQ71" s="110">
        <v>0</v>
      </c>
      <c r="AR71" s="110">
        <v>0</v>
      </c>
      <c r="AS71" s="110">
        <v>0</v>
      </c>
      <c r="AT71" s="110">
        <v>0</v>
      </c>
      <c r="AU71" s="110">
        <v>0</v>
      </c>
      <c r="AV71" s="110">
        <v>0</v>
      </c>
      <c r="AW71" s="110">
        <v>0</v>
      </c>
      <c r="AX71" s="110">
        <v>0</v>
      </c>
      <c r="AY71" s="110">
        <v>0</v>
      </c>
      <c r="AZ71" s="110">
        <v>0</v>
      </c>
      <c r="BA71" s="110">
        <v>0</v>
      </c>
      <c r="BB71" s="110">
        <v>0</v>
      </c>
      <c r="BC71" s="110">
        <v>0</v>
      </c>
      <c r="BD71" s="110">
        <v>0</v>
      </c>
      <c r="BE71" s="110">
        <v>0</v>
      </c>
      <c r="BF71" s="110">
        <v>0</v>
      </c>
      <c r="BG71" s="110">
        <v>0</v>
      </c>
      <c r="BH71" s="110">
        <v>0</v>
      </c>
      <c r="BI71" s="110">
        <v>0</v>
      </c>
      <c r="BJ71" s="110">
        <v>0</v>
      </c>
      <c r="BK71" s="110">
        <v>0.8</v>
      </c>
      <c r="BL71" s="110">
        <v>0</v>
      </c>
      <c r="BM71" s="110">
        <v>0</v>
      </c>
      <c r="BN71" s="110">
        <v>0</v>
      </c>
      <c r="BO71" s="110">
        <v>0</v>
      </c>
      <c r="BP71" s="110">
        <v>0</v>
      </c>
      <c r="BQ71" s="110">
        <v>0</v>
      </c>
      <c r="BR71" s="110">
        <v>0.8</v>
      </c>
      <c r="BS71" s="110">
        <v>0</v>
      </c>
      <c r="BT71" s="110">
        <v>0</v>
      </c>
      <c r="BU71" s="110">
        <v>0</v>
      </c>
      <c r="BV71" s="110">
        <v>0</v>
      </c>
      <c r="BW71" s="110">
        <v>0</v>
      </c>
      <c r="BX71" s="110">
        <v>0</v>
      </c>
      <c r="BY71" s="110">
        <v>0</v>
      </c>
      <c r="BZ71" s="110">
        <v>0</v>
      </c>
      <c r="CA71" s="110">
        <v>0</v>
      </c>
      <c r="CB71" s="110">
        <v>0</v>
      </c>
      <c r="CC71" s="110">
        <v>0</v>
      </c>
      <c r="CD71" s="110">
        <v>0</v>
      </c>
      <c r="CE71" s="110">
        <v>0</v>
      </c>
      <c r="CF71" s="110">
        <v>0</v>
      </c>
      <c r="CG71" s="110">
        <v>0</v>
      </c>
    </row>
    <row r="72" spans="1:85" x14ac:dyDescent="0.15">
      <c r="A72" s="186" t="s">
        <v>262</v>
      </c>
      <c r="B72" s="110">
        <v>0</v>
      </c>
      <c r="C72" s="110">
        <v>0</v>
      </c>
      <c r="D72" s="110">
        <v>0</v>
      </c>
      <c r="E72" s="110">
        <v>0</v>
      </c>
      <c r="F72" s="110">
        <v>0</v>
      </c>
      <c r="G72" s="110">
        <v>0</v>
      </c>
      <c r="H72" s="110">
        <v>0</v>
      </c>
      <c r="I72" s="110">
        <v>0</v>
      </c>
      <c r="J72" s="110">
        <v>0</v>
      </c>
      <c r="K72" s="110">
        <v>0</v>
      </c>
      <c r="L72" s="110">
        <v>0</v>
      </c>
      <c r="M72" s="110">
        <v>0</v>
      </c>
      <c r="N72" s="110">
        <v>0</v>
      </c>
      <c r="O72" s="110">
        <v>0</v>
      </c>
      <c r="P72" s="110">
        <v>0</v>
      </c>
      <c r="Q72" s="110">
        <v>0</v>
      </c>
      <c r="R72" s="110">
        <v>0</v>
      </c>
      <c r="S72" s="110">
        <v>0.8</v>
      </c>
      <c r="T72" s="110">
        <v>0.8</v>
      </c>
      <c r="U72" s="110">
        <v>0.8</v>
      </c>
      <c r="V72" s="110">
        <v>0.8</v>
      </c>
      <c r="W72" s="110">
        <v>0.8</v>
      </c>
      <c r="X72" s="110">
        <v>0.8</v>
      </c>
      <c r="Y72" s="110">
        <v>0.8</v>
      </c>
      <c r="Z72" s="110">
        <v>0.8</v>
      </c>
      <c r="AA72" s="110">
        <v>0.8</v>
      </c>
      <c r="AB72" s="110">
        <v>0.8</v>
      </c>
      <c r="AC72" s="110">
        <v>0.8</v>
      </c>
      <c r="AD72" s="110">
        <v>0.8</v>
      </c>
      <c r="AE72" s="110">
        <v>0.8</v>
      </c>
      <c r="AF72" s="110">
        <v>0.8</v>
      </c>
      <c r="AG72" s="110">
        <v>0</v>
      </c>
      <c r="AH72" s="110">
        <v>0</v>
      </c>
      <c r="AI72" s="110">
        <v>0.8</v>
      </c>
      <c r="AJ72" s="110">
        <v>0.8</v>
      </c>
      <c r="AK72" s="110">
        <v>0.8</v>
      </c>
      <c r="AL72" s="110">
        <v>0.8</v>
      </c>
      <c r="AM72" s="110">
        <v>0.8</v>
      </c>
      <c r="AN72" s="110">
        <v>0</v>
      </c>
      <c r="AO72" s="110">
        <v>0.8</v>
      </c>
      <c r="AP72" s="110">
        <v>0</v>
      </c>
      <c r="AQ72" s="110">
        <v>0</v>
      </c>
      <c r="AR72" s="110">
        <v>0</v>
      </c>
      <c r="AS72" s="110">
        <v>0</v>
      </c>
      <c r="AT72" s="110">
        <v>0</v>
      </c>
      <c r="AU72" s="110">
        <v>0</v>
      </c>
      <c r="AV72" s="110">
        <v>0</v>
      </c>
      <c r="AW72" s="110">
        <v>0</v>
      </c>
      <c r="AX72" s="110">
        <v>0</v>
      </c>
      <c r="AY72" s="110">
        <v>0</v>
      </c>
      <c r="AZ72" s="110">
        <v>0</v>
      </c>
      <c r="BA72" s="110">
        <v>0</v>
      </c>
      <c r="BB72" s="110">
        <v>0</v>
      </c>
      <c r="BC72" s="110">
        <v>0</v>
      </c>
      <c r="BD72" s="110">
        <v>0</v>
      </c>
      <c r="BE72" s="110">
        <v>0</v>
      </c>
      <c r="BF72" s="110">
        <v>0</v>
      </c>
      <c r="BG72" s="110">
        <v>0</v>
      </c>
      <c r="BH72" s="110">
        <v>0</v>
      </c>
      <c r="BI72" s="110">
        <v>0.8</v>
      </c>
      <c r="BJ72" s="110">
        <v>0</v>
      </c>
      <c r="BK72" s="110">
        <v>0.8</v>
      </c>
      <c r="BL72" s="110">
        <v>0</v>
      </c>
      <c r="BM72" s="110">
        <v>0</v>
      </c>
      <c r="BN72" s="110">
        <v>0</v>
      </c>
      <c r="BO72" s="110">
        <v>0</v>
      </c>
      <c r="BP72" s="110">
        <v>0</v>
      </c>
      <c r="BQ72" s="110">
        <v>0.8</v>
      </c>
      <c r="BR72" s="110">
        <v>0.8</v>
      </c>
      <c r="BS72" s="110">
        <v>0.8</v>
      </c>
      <c r="BT72" s="110">
        <v>0.8</v>
      </c>
      <c r="BU72" s="110">
        <v>0.8</v>
      </c>
      <c r="BV72" s="110">
        <v>0</v>
      </c>
      <c r="BW72" s="110">
        <v>0</v>
      </c>
      <c r="BX72" s="110">
        <v>0</v>
      </c>
      <c r="BY72" s="110">
        <v>0</v>
      </c>
      <c r="BZ72" s="110">
        <v>0</v>
      </c>
      <c r="CA72" s="110">
        <v>0</v>
      </c>
      <c r="CB72" s="110">
        <v>0</v>
      </c>
      <c r="CC72" s="110">
        <v>0</v>
      </c>
      <c r="CD72" s="110">
        <v>0</v>
      </c>
      <c r="CE72" s="110">
        <v>0</v>
      </c>
      <c r="CF72" s="110">
        <v>0</v>
      </c>
      <c r="CG72" s="110">
        <v>0</v>
      </c>
    </row>
    <row r="73" spans="1:85" x14ac:dyDescent="0.15">
      <c r="A73" s="186" t="s">
        <v>263</v>
      </c>
      <c r="B73" s="110">
        <v>0</v>
      </c>
      <c r="C73" s="110">
        <v>0</v>
      </c>
      <c r="D73" s="110">
        <v>0</v>
      </c>
      <c r="E73" s="110">
        <v>0</v>
      </c>
      <c r="F73" s="110">
        <v>0</v>
      </c>
      <c r="G73" s="110">
        <v>0</v>
      </c>
      <c r="H73" s="110">
        <v>0</v>
      </c>
      <c r="I73" s="110">
        <v>0</v>
      </c>
      <c r="J73" s="110">
        <v>0</v>
      </c>
      <c r="K73" s="110">
        <v>0</v>
      </c>
      <c r="L73" s="110">
        <v>0</v>
      </c>
      <c r="M73" s="110">
        <v>0</v>
      </c>
      <c r="N73" s="110">
        <v>0</v>
      </c>
      <c r="O73" s="110">
        <v>0</v>
      </c>
      <c r="P73" s="110">
        <v>0</v>
      </c>
      <c r="Q73" s="110">
        <v>0</v>
      </c>
      <c r="R73" s="110">
        <v>0</v>
      </c>
      <c r="S73" s="110">
        <v>0</v>
      </c>
      <c r="T73" s="110">
        <v>0</v>
      </c>
      <c r="U73" s="110">
        <v>0</v>
      </c>
      <c r="V73" s="110">
        <v>0</v>
      </c>
      <c r="W73" s="110">
        <v>0</v>
      </c>
      <c r="X73" s="110">
        <v>0</v>
      </c>
      <c r="Y73" s="110">
        <v>0</v>
      </c>
      <c r="Z73" s="110">
        <v>0</v>
      </c>
      <c r="AA73" s="110">
        <v>0</v>
      </c>
      <c r="AB73" s="110">
        <v>0.8</v>
      </c>
      <c r="AC73" s="110">
        <v>0.8</v>
      </c>
      <c r="AD73" s="110">
        <v>0</v>
      </c>
      <c r="AE73" s="110">
        <v>0.8</v>
      </c>
      <c r="AF73" s="110">
        <v>0</v>
      </c>
      <c r="AG73" s="110">
        <v>0</v>
      </c>
      <c r="AH73" s="110">
        <v>0</v>
      </c>
      <c r="AI73" s="110">
        <v>0</v>
      </c>
      <c r="AJ73" s="110">
        <v>0</v>
      </c>
      <c r="AK73" s="110">
        <v>0</v>
      </c>
      <c r="AL73" s="110">
        <v>0</v>
      </c>
      <c r="AM73" s="110">
        <v>0.8</v>
      </c>
      <c r="AN73" s="110">
        <v>0</v>
      </c>
      <c r="AO73" s="110">
        <v>0.8</v>
      </c>
      <c r="AP73" s="110">
        <v>0</v>
      </c>
      <c r="AQ73" s="110">
        <v>0</v>
      </c>
      <c r="AR73" s="110">
        <v>0</v>
      </c>
      <c r="AS73" s="110">
        <v>0</v>
      </c>
      <c r="AT73" s="110">
        <v>0</v>
      </c>
      <c r="AU73" s="110">
        <v>0</v>
      </c>
      <c r="AV73" s="110">
        <v>0</v>
      </c>
      <c r="AW73" s="110">
        <v>0</v>
      </c>
      <c r="AX73" s="110">
        <v>0</v>
      </c>
      <c r="AY73" s="110">
        <v>0</v>
      </c>
      <c r="AZ73" s="110">
        <v>0</v>
      </c>
      <c r="BA73" s="110">
        <v>0</v>
      </c>
      <c r="BB73" s="110">
        <v>0</v>
      </c>
      <c r="BC73" s="110">
        <v>0</v>
      </c>
      <c r="BD73" s="110">
        <v>0</v>
      </c>
      <c r="BE73" s="110">
        <v>0</v>
      </c>
      <c r="BF73" s="110">
        <v>0</v>
      </c>
      <c r="BG73" s="110">
        <v>0</v>
      </c>
      <c r="BH73" s="110">
        <v>0</v>
      </c>
      <c r="BI73" s="110">
        <v>0</v>
      </c>
      <c r="BJ73" s="110">
        <v>0</v>
      </c>
      <c r="BK73" s="110">
        <v>0.8</v>
      </c>
      <c r="BL73" s="110">
        <v>0</v>
      </c>
      <c r="BM73" s="110">
        <v>0</v>
      </c>
      <c r="BN73" s="110">
        <v>0</v>
      </c>
      <c r="BO73" s="110">
        <v>0</v>
      </c>
      <c r="BP73" s="110">
        <v>0</v>
      </c>
      <c r="BQ73" s="110">
        <v>0</v>
      </c>
      <c r="BR73" s="110">
        <v>0.8</v>
      </c>
      <c r="BS73" s="110">
        <v>0.8</v>
      </c>
      <c r="BT73" s="110">
        <v>0</v>
      </c>
      <c r="BU73" s="110">
        <v>0</v>
      </c>
      <c r="BV73" s="110">
        <v>0</v>
      </c>
      <c r="BW73" s="110">
        <v>0</v>
      </c>
      <c r="BX73" s="110">
        <v>0</v>
      </c>
      <c r="BY73" s="110">
        <v>0</v>
      </c>
      <c r="BZ73" s="110">
        <v>0</v>
      </c>
      <c r="CA73" s="110">
        <v>0</v>
      </c>
      <c r="CB73" s="110">
        <v>0</v>
      </c>
      <c r="CC73" s="110">
        <v>0</v>
      </c>
      <c r="CD73" s="110">
        <v>0</v>
      </c>
      <c r="CE73" s="110">
        <v>0</v>
      </c>
      <c r="CF73" s="110">
        <v>0</v>
      </c>
      <c r="CG73" s="110">
        <v>0</v>
      </c>
    </row>
    <row r="74" spans="1:85" x14ac:dyDescent="0.15">
      <c r="A74" s="186" t="s">
        <v>264</v>
      </c>
      <c r="B74" s="110">
        <v>0</v>
      </c>
      <c r="C74" s="110">
        <v>0</v>
      </c>
      <c r="D74" s="110">
        <v>0</v>
      </c>
      <c r="E74" s="110">
        <v>0</v>
      </c>
      <c r="F74" s="110">
        <v>0</v>
      </c>
      <c r="G74" s="110">
        <v>0</v>
      </c>
      <c r="H74" s="110">
        <v>0</v>
      </c>
      <c r="I74" s="110">
        <v>0</v>
      </c>
      <c r="J74" s="110">
        <v>0</v>
      </c>
      <c r="K74" s="110">
        <v>0</v>
      </c>
      <c r="L74" s="110">
        <v>0</v>
      </c>
      <c r="M74" s="110">
        <v>0</v>
      </c>
      <c r="N74" s="110">
        <v>0</v>
      </c>
      <c r="O74" s="110">
        <v>0</v>
      </c>
      <c r="P74" s="110">
        <v>0</v>
      </c>
      <c r="Q74" s="110">
        <v>0</v>
      </c>
      <c r="R74" s="110">
        <v>0</v>
      </c>
      <c r="S74" s="110">
        <v>0.8</v>
      </c>
      <c r="T74" s="110">
        <v>0.8</v>
      </c>
      <c r="U74" s="110">
        <v>0</v>
      </c>
      <c r="V74" s="110">
        <v>0.8</v>
      </c>
      <c r="W74" s="110">
        <v>0.8</v>
      </c>
      <c r="X74" s="110">
        <v>0.8</v>
      </c>
      <c r="Y74" s="110">
        <v>0.8</v>
      </c>
      <c r="Z74" s="110">
        <v>0</v>
      </c>
      <c r="AA74" s="110">
        <v>0.8</v>
      </c>
      <c r="AB74" s="110">
        <v>0.8</v>
      </c>
      <c r="AC74" s="110">
        <v>0.8</v>
      </c>
      <c r="AD74" s="110">
        <v>0</v>
      </c>
      <c r="AE74" s="110">
        <v>0.8</v>
      </c>
      <c r="AF74" s="110">
        <v>0.8</v>
      </c>
      <c r="AG74" s="110">
        <v>0</v>
      </c>
      <c r="AH74" s="110">
        <v>0</v>
      </c>
      <c r="AI74" s="110">
        <v>0</v>
      </c>
      <c r="AJ74" s="110">
        <v>0</v>
      </c>
      <c r="AK74" s="110">
        <v>0</v>
      </c>
      <c r="AL74" s="110">
        <v>0</v>
      </c>
      <c r="AM74" s="110">
        <v>0</v>
      </c>
      <c r="AN74" s="110">
        <v>0</v>
      </c>
      <c r="AO74" s="110">
        <v>0</v>
      </c>
      <c r="AP74" s="110">
        <v>0</v>
      </c>
      <c r="AQ74" s="110">
        <v>0.8</v>
      </c>
      <c r="AR74" s="110">
        <v>0</v>
      </c>
      <c r="AS74" s="110">
        <v>0</v>
      </c>
      <c r="AT74" s="110">
        <v>0</v>
      </c>
      <c r="AU74" s="110">
        <v>0</v>
      </c>
      <c r="AV74" s="110">
        <v>0</v>
      </c>
      <c r="AW74" s="110">
        <v>0</v>
      </c>
      <c r="AX74" s="110">
        <v>0</v>
      </c>
      <c r="AY74" s="110">
        <v>0</v>
      </c>
      <c r="AZ74" s="110">
        <v>0.8</v>
      </c>
      <c r="BA74" s="110">
        <v>0</v>
      </c>
      <c r="BB74" s="110">
        <v>0</v>
      </c>
      <c r="BC74" s="110">
        <v>0</v>
      </c>
      <c r="BD74" s="110">
        <v>0</v>
      </c>
      <c r="BE74" s="110">
        <v>0</v>
      </c>
      <c r="BF74" s="110">
        <v>0</v>
      </c>
      <c r="BG74" s="110">
        <v>0</v>
      </c>
      <c r="BH74" s="110">
        <v>0</v>
      </c>
      <c r="BI74" s="110">
        <v>0</v>
      </c>
      <c r="BJ74" s="110">
        <v>0</v>
      </c>
      <c r="BK74" s="110">
        <v>0</v>
      </c>
      <c r="BL74" s="110">
        <v>0</v>
      </c>
      <c r="BM74" s="110">
        <v>0</v>
      </c>
      <c r="BN74" s="110">
        <v>0</v>
      </c>
      <c r="BO74" s="110">
        <v>0</v>
      </c>
      <c r="BP74" s="110">
        <v>0</v>
      </c>
      <c r="BQ74" s="110">
        <v>0</v>
      </c>
      <c r="BR74" s="110">
        <v>0</v>
      </c>
      <c r="BS74" s="110">
        <v>0</v>
      </c>
      <c r="BT74" s="110">
        <v>0</v>
      </c>
      <c r="BU74" s="110">
        <v>0</v>
      </c>
      <c r="BV74" s="110">
        <v>0</v>
      </c>
      <c r="BW74" s="110">
        <v>0</v>
      </c>
      <c r="BX74" s="110">
        <v>0</v>
      </c>
      <c r="BY74" s="110">
        <v>0</v>
      </c>
      <c r="BZ74" s="110">
        <v>0</v>
      </c>
      <c r="CA74" s="110">
        <v>0</v>
      </c>
      <c r="CB74" s="110">
        <v>0</v>
      </c>
      <c r="CC74" s="110">
        <v>0</v>
      </c>
      <c r="CD74" s="110">
        <v>0</v>
      </c>
      <c r="CE74" s="110">
        <v>0</v>
      </c>
      <c r="CF74" s="110">
        <v>0</v>
      </c>
      <c r="CG74" s="110">
        <v>0</v>
      </c>
    </row>
    <row r="75" spans="1:85" x14ac:dyDescent="0.15">
      <c r="A75" s="186" t="s">
        <v>265</v>
      </c>
      <c r="B75" s="110">
        <v>0</v>
      </c>
      <c r="C75" s="110">
        <v>0</v>
      </c>
      <c r="D75" s="110">
        <v>0</v>
      </c>
      <c r="E75" s="110">
        <v>0</v>
      </c>
      <c r="F75" s="110">
        <v>0</v>
      </c>
      <c r="G75" s="110">
        <v>0</v>
      </c>
      <c r="H75" s="110">
        <v>0</v>
      </c>
      <c r="I75" s="110">
        <v>0</v>
      </c>
      <c r="J75" s="110">
        <v>0</v>
      </c>
      <c r="K75" s="110">
        <v>0</v>
      </c>
      <c r="L75" s="110">
        <v>0</v>
      </c>
      <c r="M75" s="110">
        <v>0</v>
      </c>
      <c r="N75" s="110">
        <v>0</v>
      </c>
      <c r="O75" s="110">
        <v>0</v>
      </c>
      <c r="P75" s="110">
        <v>0</v>
      </c>
      <c r="Q75" s="110">
        <v>0</v>
      </c>
      <c r="R75" s="110">
        <v>0</v>
      </c>
      <c r="S75" s="110">
        <v>0</v>
      </c>
      <c r="T75" s="110">
        <v>0</v>
      </c>
      <c r="U75" s="110">
        <v>0</v>
      </c>
      <c r="V75" s="110">
        <v>0</v>
      </c>
      <c r="W75" s="110">
        <v>0</v>
      </c>
      <c r="X75" s="110">
        <v>0</v>
      </c>
      <c r="Y75" s="110">
        <v>0</v>
      </c>
      <c r="Z75" s="110">
        <v>0</v>
      </c>
      <c r="AA75" s="110">
        <v>0.8</v>
      </c>
      <c r="AB75" s="110">
        <v>0</v>
      </c>
      <c r="AC75" s="110">
        <v>0</v>
      </c>
      <c r="AD75" s="110">
        <v>0</v>
      </c>
      <c r="AE75" s="110">
        <v>0.8</v>
      </c>
      <c r="AF75" s="110">
        <v>0</v>
      </c>
      <c r="AG75" s="110">
        <v>0</v>
      </c>
      <c r="AH75" s="110">
        <v>0</v>
      </c>
      <c r="AI75" s="110">
        <v>0</v>
      </c>
      <c r="AJ75" s="110">
        <v>0</v>
      </c>
      <c r="AK75" s="110">
        <v>0</v>
      </c>
      <c r="AL75" s="110">
        <v>0</v>
      </c>
      <c r="AM75" s="110">
        <v>0</v>
      </c>
      <c r="AN75" s="110">
        <v>0</v>
      </c>
      <c r="AO75" s="110">
        <v>0</v>
      </c>
      <c r="AP75" s="110">
        <v>0.8</v>
      </c>
      <c r="AQ75" s="110">
        <v>0</v>
      </c>
      <c r="AR75" s="110">
        <v>0</v>
      </c>
      <c r="AS75" s="110">
        <v>0</v>
      </c>
      <c r="AT75" s="110">
        <v>0</v>
      </c>
      <c r="AU75" s="110">
        <v>0</v>
      </c>
      <c r="AV75" s="110">
        <v>0</v>
      </c>
      <c r="AW75" s="110">
        <v>0</v>
      </c>
      <c r="AX75" s="110">
        <v>0.8</v>
      </c>
      <c r="AY75" s="110">
        <v>0.8</v>
      </c>
      <c r="AZ75" s="110">
        <v>0</v>
      </c>
      <c r="BA75" s="110">
        <v>0.8</v>
      </c>
      <c r="BB75" s="110">
        <v>0.8</v>
      </c>
      <c r="BC75" s="110">
        <v>0</v>
      </c>
      <c r="BD75" s="110">
        <v>0.8</v>
      </c>
      <c r="BE75" s="110">
        <v>0</v>
      </c>
      <c r="BF75" s="110">
        <v>0.8</v>
      </c>
      <c r="BG75" s="110">
        <v>0.8</v>
      </c>
      <c r="BH75" s="110">
        <v>0</v>
      </c>
      <c r="BI75" s="110">
        <v>0.8</v>
      </c>
      <c r="BJ75" s="110">
        <v>0</v>
      </c>
      <c r="BK75" s="110">
        <v>0.8</v>
      </c>
      <c r="BL75" s="110">
        <v>0.8</v>
      </c>
      <c r="BM75" s="110">
        <v>0.8</v>
      </c>
      <c r="BN75" s="110">
        <v>0.8</v>
      </c>
      <c r="BO75" s="110">
        <v>0.8</v>
      </c>
      <c r="BP75" s="110">
        <v>0.8</v>
      </c>
      <c r="BQ75" s="110">
        <v>0.8</v>
      </c>
      <c r="BR75" s="110">
        <v>0.8</v>
      </c>
      <c r="BS75" s="110">
        <v>0.8</v>
      </c>
      <c r="BT75" s="110">
        <v>0.8</v>
      </c>
      <c r="BU75" s="110">
        <v>0.8</v>
      </c>
      <c r="BV75" s="110">
        <v>0</v>
      </c>
      <c r="BW75" s="110">
        <v>0</v>
      </c>
      <c r="BX75" s="110">
        <v>0</v>
      </c>
      <c r="BY75" s="110">
        <v>0</v>
      </c>
      <c r="BZ75" s="110">
        <v>0</v>
      </c>
      <c r="CA75" s="110">
        <v>0</v>
      </c>
      <c r="CB75" s="110">
        <v>0</v>
      </c>
      <c r="CC75" s="110">
        <v>0</v>
      </c>
      <c r="CD75" s="110">
        <v>0</v>
      </c>
      <c r="CE75" s="110">
        <v>0</v>
      </c>
      <c r="CF75" s="110">
        <v>0</v>
      </c>
      <c r="CG75" s="110">
        <v>0</v>
      </c>
    </row>
    <row r="76" spans="1:85" x14ac:dyDescent="0.15">
      <c r="A76" s="186" t="s">
        <v>266</v>
      </c>
      <c r="B76" s="110">
        <v>0</v>
      </c>
      <c r="C76" s="110">
        <v>0</v>
      </c>
      <c r="D76" s="110">
        <v>0</v>
      </c>
      <c r="E76" s="110">
        <v>0</v>
      </c>
      <c r="F76" s="110">
        <v>0</v>
      </c>
      <c r="G76" s="110">
        <v>0</v>
      </c>
      <c r="H76" s="110">
        <v>0</v>
      </c>
      <c r="I76" s="110">
        <v>0</v>
      </c>
      <c r="J76" s="110">
        <v>0</v>
      </c>
      <c r="K76" s="110">
        <v>0</v>
      </c>
      <c r="L76" s="110">
        <v>0</v>
      </c>
      <c r="M76" s="110">
        <v>0</v>
      </c>
      <c r="N76" s="110">
        <v>0</v>
      </c>
      <c r="O76" s="110">
        <v>0</v>
      </c>
      <c r="P76" s="110">
        <v>0</v>
      </c>
      <c r="Q76" s="110">
        <v>0</v>
      </c>
      <c r="R76" s="110">
        <v>0</v>
      </c>
      <c r="S76" s="110">
        <v>0</v>
      </c>
      <c r="T76" s="110">
        <v>0</v>
      </c>
      <c r="U76" s="110">
        <v>0</v>
      </c>
      <c r="V76" s="110">
        <v>0</v>
      </c>
      <c r="W76" s="110">
        <v>0</v>
      </c>
      <c r="X76" s="110">
        <v>0</v>
      </c>
      <c r="Y76" s="110">
        <v>0</v>
      </c>
      <c r="Z76" s="110">
        <v>0</v>
      </c>
      <c r="AA76" s="110">
        <v>0</v>
      </c>
      <c r="AB76" s="110">
        <v>0</v>
      </c>
      <c r="AC76" s="110">
        <v>0</v>
      </c>
      <c r="AD76" s="110">
        <v>0</v>
      </c>
      <c r="AE76" s="110">
        <v>0</v>
      </c>
      <c r="AF76" s="110">
        <v>0.8</v>
      </c>
      <c r="AG76" s="110">
        <v>0</v>
      </c>
      <c r="AH76" s="110">
        <v>0</v>
      </c>
      <c r="AI76" s="110">
        <v>0</v>
      </c>
      <c r="AJ76" s="110">
        <v>0</v>
      </c>
      <c r="AK76" s="110">
        <v>0</v>
      </c>
      <c r="AL76" s="110">
        <v>0</v>
      </c>
      <c r="AM76" s="110">
        <v>0</v>
      </c>
      <c r="AN76" s="110">
        <v>0</v>
      </c>
      <c r="AO76" s="110">
        <v>0</v>
      </c>
      <c r="AP76" s="110">
        <v>0</v>
      </c>
      <c r="AQ76" s="110">
        <v>0</v>
      </c>
      <c r="AR76" s="110">
        <v>0</v>
      </c>
      <c r="AS76" s="110">
        <v>0</v>
      </c>
      <c r="AT76" s="110">
        <v>0</v>
      </c>
      <c r="AU76" s="110">
        <v>0</v>
      </c>
      <c r="AV76" s="110">
        <v>0</v>
      </c>
      <c r="AW76" s="110">
        <v>0</v>
      </c>
      <c r="AX76" s="110">
        <v>0.8</v>
      </c>
      <c r="AY76" s="110">
        <v>0.8</v>
      </c>
      <c r="AZ76" s="110">
        <v>0</v>
      </c>
      <c r="BA76" s="110">
        <v>0</v>
      </c>
      <c r="BB76" s="110">
        <v>0</v>
      </c>
      <c r="BC76" s="110">
        <v>0</v>
      </c>
      <c r="BD76" s="110">
        <v>0</v>
      </c>
      <c r="BE76" s="110">
        <v>0</v>
      </c>
      <c r="BF76" s="110">
        <v>0</v>
      </c>
      <c r="BG76" s="110">
        <v>0</v>
      </c>
      <c r="BH76" s="110">
        <v>0</v>
      </c>
      <c r="BI76" s="110">
        <v>0.8</v>
      </c>
      <c r="BJ76" s="110">
        <v>0</v>
      </c>
      <c r="BK76" s="110">
        <v>0.8</v>
      </c>
      <c r="BL76" s="110">
        <v>0.8</v>
      </c>
      <c r="BM76" s="110">
        <v>0.8</v>
      </c>
      <c r="BN76" s="110">
        <v>0.8</v>
      </c>
      <c r="BO76" s="110">
        <v>0</v>
      </c>
      <c r="BP76" s="110">
        <v>0</v>
      </c>
      <c r="BQ76" s="110">
        <v>0</v>
      </c>
      <c r="BR76" s="110">
        <v>0.8</v>
      </c>
      <c r="BS76" s="110">
        <v>0.8</v>
      </c>
      <c r="BT76" s="110">
        <v>0.8</v>
      </c>
      <c r="BU76" s="110">
        <v>0.8</v>
      </c>
      <c r="BV76" s="110">
        <v>0</v>
      </c>
      <c r="BW76" s="110">
        <v>0.8</v>
      </c>
      <c r="BX76" s="110">
        <v>0</v>
      </c>
      <c r="BY76" s="110">
        <v>0</v>
      </c>
      <c r="BZ76" s="110">
        <v>0</v>
      </c>
      <c r="CA76" s="110">
        <v>0</v>
      </c>
      <c r="CB76" s="110">
        <v>0</v>
      </c>
      <c r="CC76" s="110">
        <v>0</v>
      </c>
      <c r="CD76" s="110">
        <v>0</v>
      </c>
      <c r="CE76" s="110">
        <v>0</v>
      </c>
      <c r="CF76" s="110">
        <v>0</v>
      </c>
      <c r="CG76" s="110">
        <v>0</v>
      </c>
    </row>
    <row r="77" spans="1:85" x14ac:dyDescent="0.15">
      <c r="A77" s="186" t="s">
        <v>267</v>
      </c>
      <c r="B77" s="110">
        <v>0</v>
      </c>
      <c r="C77" s="110">
        <v>0</v>
      </c>
      <c r="D77" s="110">
        <v>0</v>
      </c>
      <c r="E77" s="110">
        <v>0.8</v>
      </c>
      <c r="F77" s="110">
        <v>0</v>
      </c>
      <c r="G77" s="110">
        <v>0</v>
      </c>
      <c r="H77" s="110">
        <v>0</v>
      </c>
      <c r="I77" s="110">
        <v>0</v>
      </c>
      <c r="J77" s="110">
        <v>0</v>
      </c>
      <c r="K77" s="110">
        <v>0</v>
      </c>
      <c r="L77" s="110">
        <v>0</v>
      </c>
      <c r="M77" s="110">
        <v>0</v>
      </c>
      <c r="N77" s="110">
        <v>0</v>
      </c>
      <c r="O77" s="110">
        <v>0</v>
      </c>
      <c r="P77" s="110">
        <v>0</v>
      </c>
      <c r="Q77" s="110">
        <v>0</v>
      </c>
      <c r="R77" s="110">
        <v>0</v>
      </c>
      <c r="S77" s="110">
        <v>0</v>
      </c>
      <c r="T77" s="110">
        <v>0</v>
      </c>
      <c r="U77" s="110">
        <v>0</v>
      </c>
      <c r="V77" s="110">
        <v>0</v>
      </c>
      <c r="W77" s="110">
        <v>0</v>
      </c>
      <c r="X77" s="110">
        <v>0</v>
      </c>
      <c r="Y77" s="110">
        <v>0</v>
      </c>
      <c r="Z77" s="110">
        <v>0</v>
      </c>
      <c r="AA77" s="110">
        <v>0</v>
      </c>
      <c r="AB77" s="110">
        <v>0</v>
      </c>
      <c r="AC77" s="110">
        <v>0</v>
      </c>
      <c r="AD77" s="110">
        <v>0</v>
      </c>
      <c r="AE77" s="110">
        <v>0</v>
      </c>
      <c r="AF77" s="110">
        <v>0</v>
      </c>
      <c r="AG77" s="110">
        <v>0</v>
      </c>
      <c r="AH77" s="110">
        <v>0</v>
      </c>
      <c r="AI77" s="110">
        <v>0</v>
      </c>
      <c r="AJ77" s="110">
        <v>0</v>
      </c>
      <c r="AK77" s="110">
        <v>0</v>
      </c>
      <c r="AL77" s="110">
        <v>0</v>
      </c>
      <c r="AM77" s="110">
        <v>0</v>
      </c>
      <c r="AN77" s="110">
        <v>0</v>
      </c>
      <c r="AO77" s="110">
        <v>0</v>
      </c>
      <c r="AP77" s="110">
        <v>0.8</v>
      </c>
      <c r="AQ77" s="110">
        <v>0.8</v>
      </c>
      <c r="AR77" s="110">
        <v>0</v>
      </c>
      <c r="AS77" s="110">
        <v>0</v>
      </c>
      <c r="AT77" s="110">
        <v>0</v>
      </c>
      <c r="AU77" s="110">
        <v>0</v>
      </c>
      <c r="AV77" s="110">
        <v>0</v>
      </c>
      <c r="AW77" s="110">
        <v>0</v>
      </c>
      <c r="AX77" s="110">
        <v>0.8</v>
      </c>
      <c r="AY77" s="110">
        <v>0.8</v>
      </c>
      <c r="AZ77" s="110">
        <v>0.8</v>
      </c>
      <c r="BA77" s="110">
        <v>0.8</v>
      </c>
      <c r="BB77" s="110">
        <v>0.8</v>
      </c>
      <c r="BC77" s="110">
        <v>0</v>
      </c>
      <c r="BD77" s="110">
        <v>0.8</v>
      </c>
      <c r="BE77" s="110">
        <v>0</v>
      </c>
      <c r="BF77" s="110">
        <v>0.8</v>
      </c>
      <c r="BG77" s="110">
        <v>0</v>
      </c>
      <c r="BH77" s="110">
        <v>0.8</v>
      </c>
      <c r="BI77" s="110">
        <v>0</v>
      </c>
      <c r="BJ77" s="110">
        <v>0.8</v>
      </c>
      <c r="BK77" s="110">
        <v>0.8</v>
      </c>
      <c r="BL77" s="110">
        <v>0.8</v>
      </c>
      <c r="BM77" s="110">
        <v>0.8</v>
      </c>
      <c r="BN77" s="110">
        <v>0.8</v>
      </c>
      <c r="BO77" s="110">
        <v>0.8</v>
      </c>
      <c r="BP77" s="110">
        <v>0.8</v>
      </c>
      <c r="BQ77" s="110">
        <v>0</v>
      </c>
      <c r="BR77" s="110">
        <v>0</v>
      </c>
      <c r="BS77" s="110">
        <v>0</v>
      </c>
      <c r="BT77" s="110">
        <v>0.8</v>
      </c>
      <c r="BU77" s="110">
        <v>0.8</v>
      </c>
      <c r="BV77" s="110">
        <v>0.8</v>
      </c>
      <c r="BW77" s="110">
        <v>0.8</v>
      </c>
      <c r="BX77" s="110">
        <v>0</v>
      </c>
      <c r="BY77" s="110">
        <v>0</v>
      </c>
      <c r="BZ77" s="110">
        <v>0</v>
      </c>
      <c r="CA77" s="110">
        <v>0</v>
      </c>
      <c r="CB77" s="110">
        <v>0</v>
      </c>
      <c r="CC77" s="110">
        <v>0</v>
      </c>
      <c r="CD77" s="110">
        <v>0</v>
      </c>
      <c r="CE77" s="110">
        <v>0</v>
      </c>
      <c r="CF77" s="110">
        <v>0</v>
      </c>
      <c r="CG77" s="110">
        <v>0</v>
      </c>
    </row>
    <row r="78" spans="1:85" x14ac:dyDescent="0.15">
      <c r="A78" s="186" t="s">
        <v>268</v>
      </c>
      <c r="B78" s="110">
        <v>0</v>
      </c>
      <c r="C78" s="110">
        <v>0.8</v>
      </c>
      <c r="D78" s="110">
        <v>0</v>
      </c>
      <c r="E78" s="110">
        <v>0.8</v>
      </c>
      <c r="F78" s="110">
        <v>0</v>
      </c>
      <c r="G78" s="110">
        <v>0</v>
      </c>
      <c r="H78" s="110">
        <v>0</v>
      </c>
      <c r="I78" s="110">
        <v>0</v>
      </c>
      <c r="J78" s="110">
        <v>0</v>
      </c>
      <c r="K78" s="110">
        <v>0</v>
      </c>
      <c r="L78" s="110">
        <v>0</v>
      </c>
      <c r="M78" s="110">
        <v>0</v>
      </c>
      <c r="N78" s="110">
        <v>0</v>
      </c>
      <c r="O78" s="110">
        <v>0</v>
      </c>
      <c r="P78" s="110">
        <v>0</v>
      </c>
      <c r="Q78" s="110">
        <v>0</v>
      </c>
      <c r="R78" s="110">
        <v>0</v>
      </c>
      <c r="S78" s="110">
        <v>0.8</v>
      </c>
      <c r="T78" s="110">
        <v>0.8</v>
      </c>
      <c r="U78" s="110">
        <v>0</v>
      </c>
      <c r="V78" s="110">
        <v>0.8</v>
      </c>
      <c r="W78" s="110">
        <v>0</v>
      </c>
      <c r="X78" s="110">
        <v>0.8</v>
      </c>
      <c r="Y78" s="110">
        <v>0</v>
      </c>
      <c r="Z78" s="110">
        <v>0.8</v>
      </c>
      <c r="AA78" s="110">
        <v>0.8</v>
      </c>
      <c r="AB78" s="110">
        <v>0</v>
      </c>
      <c r="AC78" s="110">
        <v>0.8</v>
      </c>
      <c r="AD78" s="110">
        <v>0</v>
      </c>
      <c r="AE78" s="110">
        <v>0</v>
      </c>
      <c r="AF78" s="110">
        <v>0.8</v>
      </c>
      <c r="AG78" s="110">
        <v>0</v>
      </c>
      <c r="AH78" s="110">
        <v>0</v>
      </c>
      <c r="AI78" s="110">
        <v>0</v>
      </c>
      <c r="AJ78" s="110">
        <v>0</v>
      </c>
      <c r="AK78" s="110">
        <v>0.8</v>
      </c>
      <c r="AL78" s="110">
        <v>0</v>
      </c>
      <c r="AM78" s="110">
        <v>0</v>
      </c>
      <c r="AN78" s="110">
        <v>0</v>
      </c>
      <c r="AO78" s="110">
        <v>0</v>
      </c>
      <c r="AP78" s="110">
        <v>0</v>
      </c>
      <c r="AQ78" s="110">
        <v>0</v>
      </c>
      <c r="AR78" s="110">
        <v>0</v>
      </c>
      <c r="AS78" s="110">
        <v>0</v>
      </c>
      <c r="AT78" s="110">
        <v>0.8</v>
      </c>
      <c r="AU78" s="110">
        <v>0</v>
      </c>
      <c r="AV78" s="110">
        <v>0</v>
      </c>
      <c r="AW78" s="110">
        <v>0</v>
      </c>
      <c r="AX78" s="110">
        <v>0</v>
      </c>
      <c r="AY78" s="110">
        <v>0</v>
      </c>
      <c r="AZ78" s="110">
        <v>0</v>
      </c>
      <c r="BA78" s="110">
        <v>0</v>
      </c>
      <c r="BB78" s="110">
        <v>0</v>
      </c>
      <c r="BC78" s="110">
        <v>0</v>
      </c>
      <c r="BD78" s="110">
        <v>0</v>
      </c>
      <c r="BE78" s="110">
        <v>0</v>
      </c>
      <c r="BF78" s="110">
        <v>0</v>
      </c>
      <c r="BG78" s="110">
        <v>0</v>
      </c>
      <c r="BH78" s="110">
        <v>0</v>
      </c>
      <c r="BI78" s="110">
        <v>0</v>
      </c>
      <c r="BJ78" s="110">
        <v>0</v>
      </c>
      <c r="BK78" s="110">
        <v>0</v>
      </c>
      <c r="BL78" s="110">
        <v>0</v>
      </c>
      <c r="BM78" s="110">
        <v>0.8</v>
      </c>
      <c r="BN78" s="110">
        <v>0</v>
      </c>
      <c r="BO78" s="110">
        <v>0</v>
      </c>
      <c r="BP78" s="110">
        <v>0</v>
      </c>
      <c r="BQ78" s="110">
        <v>0</v>
      </c>
      <c r="BR78" s="110">
        <v>0</v>
      </c>
      <c r="BS78" s="110">
        <v>0</v>
      </c>
      <c r="BT78" s="110">
        <v>0</v>
      </c>
      <c r="BU78" s="110">
        <v>0</v>
      </c>
      <c r="BV78" s="110">
        <v>0.8</v>
      </c>
      <c r="BW78" s="110">
        <v>0</v>
      </c>
      <c r="BX78" s="110">
        <v>0</v>
      </c>
      <c r="BY78" s="110">
        <v>0</v>
      </c>
      <c r="BZ78" s="110">
        <v>0</v>
      </c>
      <c r="CA78" s="110">
        <v>0</v>
      </c>
      <c r="CB78" s="110">
        <v>0</v>
      </c>
      <c r="CC78" s="110">
        <v>0</v>
      </c>
      <c r="CD78" s="110">
        <v>0</v>
      </c>
      <c r="CE78" s="110">
        <v>0</v>
      </c>
      <c r="CF78" s="110">
        <v>0</v>
      </c>
      <c r="CG78" s="110">
        <v>0</v>
      </c>
    </row>
    <row r="79" spans="1:85" x14ac:dyDescent="0.15">
      <c r="A79" s="186" t="s">
        <v>269</v>
      </c>
      <c r="B79" s="110">
        <v>0</v>
      </c>
      <c r="C79" s="110">
        <v>0</v>
      </c>
      <c r="D79" s="110">
        <v>0</v>
      </c>
      <c r="E79" s="110">
        <v>0.8</v>
      </c>
      <c r="F79" s="110">
        <v>0</v>
      </c>
      <c r="G79" s="110">
        <v>0</v>
      </c>
      <c r="H79" s="110">
        <v>0</v>
      </c>
      <c r="I79" s="110">
        <v>0</v>
      </c>
      <c r="J79" s="110">
        <v>0</v>
      </c>
      <c r="K79" s="110">
        <v>0</v>
      </c>
      <c r="L79" s="110">
        <v>0</v>
      </c>
      <c r="M79" s="110">
        <v>0</v>
      </c>
      <c r="N79" s="110">
        <v>0</v>
      </c>
      <c r="O79" s="110">
        <v>0</v>
      </c>
      <c r="P79" s="110">
        <v>0</v>
      </c>
      <c r="Q79" s="110">
        <v>0</v>
      </c>
      <c r="R79" s="110">
        <v>0</v>
      </c>
      <c r="S79" s="110">
        <v>0</v>
      </c>
      <c r="T79" s="110">
        <v>0</v>
      </c>
      <c r="U79" s="110">
        <v>0</v>
      </c>
      <c r="V79" s="110">
        <v>0</v>
      </c>
      <c r="W79" s="110">
        <v>0</v>
      </c>
      <c r="X79" s="110">
        <v>0</v>
      </c>
      <c r="Y79" s="110">
        <v>0</v>
      </c>
      <c r="Z79" s="110">
        <v>0</v>
      </c>
      <c r="AA79" s="110">
        <v>0</v>
      </c>
      <c r="AB79" s="110">
        <v>0</v>
      </c>
      <c r="AC79" s="110">
        <v>0</v>
      </c>
      <c r="AD79" s="110">
        <v>0</v>
      </c>
      <c r="AE79" s="110">
        <v>0</v>
      </c>
      <c r="AF79" s="110">
        <v>0</v>
      </c>
      <c r="AG79" s="110">
        <v>0</v>
      </c>
      <c r="AH79" s="110">
        <v>0</v>
      </c>
      <c r="AI79" s="110">
        <v>0</v>
      </c>
      <c r="AJ79" s="110">
        <v>0</v>
      </c>
      <c r="AK79" s="110">
        <v>0</v>
      </c>
      <c r="AL79" s="110">
        <v>0</v>
      </c>
      <c r="AM79" s="110">
        <v>0</v>
      </c>
      <c r="AN79" s="110">
        <v>0</v>
      </c>
      <c r="AO79" s="110">
        <v>0</v>
      </c>
      <c r="AP79" s="110">
        <v>0.8</v>
      </c>
      <c r="AQ79" s="110">
        <v>0</v>
      </c>
      <c r="AR79" s="110">
        <v>0</v>
      </c>
      <c r="AS79" s="110">
        <v>0</v>
      </c>
      <c r="AT79" s="110">
        <v>0</v>
      </c>
      <c r="AU79" s="110">
        <v>0</v>
      </c>
      <c r="AV79" s="110">
        <v>0</v>
      </c>
      <c r="AW79" s="110">
        <v>0</v>
      </c>
      <c r="AX79" s="110">
        <v>0</v>
      </c>
      <c r="AY79" s="110">
        <v>0</v>
      </c>
      <c r="AZ79" s="110">
        <v>0.8</v>
      </c>
      <c r="BA79" s="110">
        <v>0</v>
      </c>
      <c r="BB79" s="110">
        <v>0</v>
      </c>
      <c r="BC79" s="110">
        <v>0</v>
      </c>
      <c r="BD79" s="110">
        <v>0</v>
      </c>
      <c r="BE79" s="110">
        <v>0</v>
      </c>
      <c r="BF79" s="110">
        <v>0</v>
      </c>
      <c r="BG79" s="110">
        <v>0</v>
      </c>
      <c r="BH79" s="110">
        <v>0.8</v>
      </c>
      <c r="BI79" s="110">
        <v>0</v>
      </c>
      <c r="BJ79" s="110">
        <v>0.8</v>
      </c>
      <c r="BK79" s="110">
        <v>0</v>
      </c>
      <c r="BL79" s="110">
        <v>0</v>
      </c>
      <c r="BM79" s="110">
        <v>0.8</v>
      </c>
      <c r="BN79" s="110">
        <v>0</v>
      </c>
      <c r="BO79" s="110">
        <v>0.8</v>
      </c>
      <c r="BP79" s="110">
        <v>0</v>
      </c>
      <c r="BQ79" s="110">
        <v>0</v>
      </c>
      <c r="BR79" s="110">
        <v>0</v>
      </c>
      <c r="BS79" s="110">
        <v>0</v>
      </c>
      <c r="BT79" s="110">
        <v>0</v>
      </c>
      <c r="BU79" s="110">
        <v>0</v>
      </c>
      <c r="BV79" s="110">
        <v>0</v>
      </c>
      <c r="BW79" s="110">
        <v>0</v>
      </c>
      <c r="BX79" s="110">
        <v>0</v>
      </c>
      <c r="BY79" s="110">
        <v>0</v>
      </c>
      <c r="BZ79" s="110">
        <v>0</v>
      </c>
      <c r="CA79" s="110">
        <v>0</v>
      </c>
      <c r="CB79" s="110">
        <v>0</v>
      </c>
      <c r="CC79" s="110">
        <v>0</v>
      </c>
      <c r="CD79" s="110">
        <v>0</v>
      </c>
      <c r="CE79" s="110">
        <v>0</v>
      </c>
      <c r="CF79" s="110">
        <v>0</v>
      </c>
      <c r="CG79" s="110">
        <v>0</v>
      </c>
    </row>
    <row r="80" spans="1:85" x14ac:dyDescent="0.15">
      <c r="A80" s="186" t="s">
        <v>270</v>
      </c>
      <c r="B80" s="110">
        <v>0</v>
      </c>
      <c r="C80" s="110">
        <v>0</v>
      </c>
      <c r="D80" s="110">
        <v>0</v>
      </c>
      <c r="E80" s="110">
        <v>0</v>
      </c>
      <c r="F80" s="110">
        <v>0</v>
      </c>
      <c r="G80" s="110">
        <v>0</v>
      </c>
      <c r="H80" s="110">
        <v>0</v>
      </c>
      <c r="I80" s="110">
        <v>0</v>
      </c>
      <c r="J80" s="110">
        <v>0</v>
      </c>
      <c r="K80" s="110">
        <v>0</v>
      </c>
      <c r="L80" s="110">
        <v>0</v>
      </c>
      <c r="M80" s="110">
        <v>0</v>
      </c>
      <c r="N80" s="110">
        <v>0</v>
      </c>
      <c r="O80" s="110">
        <v>0</v>
      </c>
      <c r="P80" s="110">
        <v>0</v>
      </c>
      <c r="Q80" s="110">
        <v>0</v>
      </c>
      <c r="R80" s="110">
        <v>0</v>
      </c>
      <c r="S80" s="110">
        <v>0</v>
      </c>
      <c r="T80" s="110">
        <v>0.8</v>
      </c>
      <c r="U80" s="110">
        <v>0</v>
      </c>
      <c r="V80" s="110">
        <v>0.8</v>
      </c>
      <c r="W80" s="110">
        <v>0</v>
      </c>
      <c r="X80" s="110">
        <v>0.8</v>
      </c>
      <c r="Y80" s="110">
        <v>0</v>
      </c>
      <c r="Z80" s="110">
        <v>0.8</v>
      </c>
      <c r="AA80" s="110">
        <v>0.8</v>
      </c>
      <c r="AB80" s="110">
        <v>0.8</v>
      </c>
      <c r="AC80" s="110">
        <v>0.8</v>
      </c>
      <c r="AD80" s="110">
        <v>0.8</v>
      </c>
      <c r="AE80" s="110">
        <v>0</v>
      </c>
      <c r="AF80" s="110">
        <v>0.8</v>
      </c>
      <c r="AG80" s="110">
        <v>0.8</v>
      </c>
      <c r="AH80" s="110">
        <v>0</v>
      </c>
      <c r="AI80" s="110">
        <v>0.8</v>
      </c>
      <c r="AJ80" s="110">
        <v>0.8</v>
      </c>
      <c r="AK80" s="110">
        <v>0.8</v>
      </c>
      <c r="AL80" s="110">
        <v>0</v>
      </c>
      <c r="AM80" s="110">
        <v>0</v>
      </c>
      <c r="AN80" s="110">
        <v>0</v>
      </c>
      <c r="AO80" s="110">
        <v>0</v>
      </c>
      <c r="AP80" s="110">
        <v>0</v>
      </c>
      <c r="AQ80" s="110">
        <v>0</v>
      </c>
      <c r="AR80" s="110">
        <v>0</v>
      </c>
      <c r="AS80" s="110">
        <v>0</v>
      </c>
      <c r="AT80" s="110">
        <v>0</v>
      </c>
      <c r="AU80" s="110">
        <v>0</v>
      </c>
      <c r="AV80" s="110">
        <v>0</v>
      </c>
      <c r="AW80" s="110">
        <v>0</v>
      </c>
      <c r="AX80" s="110">
        <v>0</v>
      </c>
      <c r="AY80" s="110">
        <v>0</v>
      </c>
      <c r="AZ80" s="110">
        <v>0</v>
      </c>
      <c r="BA80" s="110">
        <v>0</v>
      </c>
      <c r="BB80" s="110">
        <v>0</v>
      </c>
      <c r="BC80" s="110">
        <v>0</v>
      </c>
      <c r="BD80" s="110">
        <v>0</v>
      </c>
      <c r="BE80" s="110">
        <v>0</v>
      </c>
      <c r="BF80" s="110">
        <v>0</v>
      </c>
      <c r="BG80" s="110">
        <v>0</v>
      </c>
      <c r="BH80" s="110">
        <v>0</v>
      </c>
      <c r="BI80" s="110">
        <v>0</v>
      </c>
      <c r="BJ80" s="110">
        <v>0</v>
      </c>
      <c r="BK80" s="110">
        <v>0</v>
      </c>
      <c r="BL80" s="110">
        <v>0</v>
      </c>
      <c r="BM80" s="110">
        <v>0</v>
      </c>
      <c r="BN80" s="110">
        <v>0</v>
      </c>
      <c r="BO80" s="110">
        <v>0</v>
      </c>
      <c r="BP80" s="110">
        <v>0</v>
      </c>
      <c r="BQ80" s="110">
        <v>0</v>
      </c>
      <c r="BR80" s="110">
        <v>0</v>
      </c>
      <c r="BS80" s="110">
        <v>0</v>
      </c>
      <c r="BT80" s="110">
        <v>0</v>
      </c>
      <c r="BU80" s="110">
        <v>0</v>
      </c>
      <c r="BV80" s="110">
        <v>0</v>
      </c>
      <c r="BW80" s="110">
        <v>0</v>
      </c>
      <c r="BX80" s="110">
        <v>0</v>
      </c>
      <c r="BY80" s="110">
        <v>0</v>
      </c>
      <c r="BZ80" s="110">
        <v>0</v>
      </c>
      <c r="CA80" s="110">
        <v>0</v>
      </c>
      <c r="CB80" s="110">
        <v>0</v>
      </c>
      <c r="CC80" s="110">
        <v>0</v>
      </c>
      <c r="CD80" s="110">
        <v>0</v>
      </c>
      <c r="CE80" s="110">
        <v>0</v>
      </c>
      <c r="CF80" s="110">
        <v>0</v>
      </c>
      <c r="CG80" s="110">
        <v>0</v>
      </c>
    </row>
    <row r="81" spans="1:85" x14ac:dyDescent="0.15">
      <c r="A81" s="186" t="s">
        <v>271</v>
      </c>
      <c r="B81" s="110">
        <v>0.8</v>
      </c>
      <c r="C81" s="110">
        <v>0</v>
      </c>
      <c r="D81" s="110">
        <v>0</v>
      </c>
      <c r="E81" s="110">
        <v>0</v>
      </c>
      <c r="F81" s="110">
        <v>0</v>
      </c>
      <c r="G81" s="110">
        <v>0</v>
      </c>
      <c r="H81" s="110">
        <v>0</v>
      </c>
      <c r="I81" s="110">
        <v>0</v>
      </c>
      <c r="J81" s="110">
        <v>0</v>
      </c>
      <c r="K81" s="110">
        <v>0</v>
      </c>
      <c r="L81" s="110">
        <v>0</v>
      </c>
      <c r="M81" s="110">
        <v>0</v>
      </c>
      <c r="N81" s="110">
        <v>0</v>
      </c>
      <c r="O81" s="110">
        <v>0</v>
      </c>
      <c r="P81" s="110">
        <v>0</v>
      </c>
      <c r="Q81" s="110">
        <v>0</v>
      </c>
      <c r="R81" s="110">
        <v>0</v>
      </c>
      <c r="S81" s="110">
        <v>0</v>
      </c>
      <c r="T81" s="110">
        <v>0</v>
      </c>
      <c r="U81" s="110">
        <v>0</v>
      </c>
      <c r="V81" s="110">
        <v>0</v>
      </c>
      <c r="W81" s="110">
        <v>0</v>
      </c>
      <c r="X81" s="110">
        <v>0</v>
      </c>
      <c r="Y81" s="110">
        <v>0</v>
      </c>
      <c r="Z81" s="110">
        <v>0</v>
      </c>
      <c r="AA81" s="110">
        <v>0</v>
      </c>
      <c r="AB81" s="110">
        <v>0</v>
      </c>
      <c r="AC81" s="110">
        <v>0</v>
      </c>
      <c r="AD81" s="110">
        <v>0</v>
      </c>
      <c r="AE81" s="110">
        <v>0</v>
      </c>
      <c r="AF81" s="110">
        <v>0</v>
      </c>
      <c r="AG81" s="110">
        <v>0</v>
      </c>
      <c r="AH81" s="110">
        <v>0</v>
      </c>
      <c r="AI81" s="110">
        <v>0</v>
      </c>
      <c r="AJ81" s="110">
        <v>0</v>
      </c>
      <c r="AK81" s="110">
        <v>0</v>
      </c>
      <c r="AL81" s="110">
        <v>0</v>
      </c>
      <c r="AM81" s="110">
        <v>0</v>
      </c>
      <c r="AN81" s="110">
        <v>0.8</v>
      </c>
      <c r="AO81" s="110">
        <v>0</v>
      </c>
      <c r="AP81" s="110">
        <v>0</v>
      </c>
      <c r="AQ81" s="110">
        <v>0</v>
      </c>
      <c r="AR81" s="110">
        <v>0.8</v>
      </c>
      <c r="AS81" s="110">
        <v>0.8</v>
      </c>
      <c r="AT81" s="110">
        <v>0</v>
      </c>
      <c r="AU81" s="110">
        <v>0</v>
      </c>
      <c r="AV81" s="110">
        <v>0</v>
      </c>
      <c r="AW81" s="110">
        <v>0.8</v>
      </c>
      <c r="AX81" s="110">
        <v>0.8</v>
      </c>
      <c r="AY81" s="110">
        <v>0.8</v>
      </c>
      <c r="AZ81" s="110">
        <v>0</v>
      </c>
      <c r="BA81" s="110">
        <v>0.8</v>
      </c>
      <c r="BB81" s="110">
        <v>0.8</v>
      </c>
      <c r="BC81" s="110">
        <v>0.8</v>
      </c>
      <c r="BD81" s="110">
        <v>0.8</v>
      </c>
      <c r="BE81" s="110">
        <v>0.8</v>
      </c>
      <c r="BF81" s="110">
        <v>0</v>
      </c>
      <c r="BG81" s="110">
        <v>0</v>
      </c>
      <c r="BH81" s="110">
        <v>0.8</v>
      </c>
      <c r="BI81" s="110">
        <v>0</v>
      </c>
      <c r="BJ81" s="110">
        <v>0.8</v>
      </c>
      <c r="BK81" s="110">
        <v>0.8</v>
      </c>
      <c r="BL81" s="110">
        <v>0</v>
      </c>
      <c r="BM81" s="110">
        <v>0.8</v>
      </c>
      <c r="BN81" s="110">
        <v>0</v>
      </c>
      <c r="BO81" s="110">
        <v>0</v>
      </c>
      <c r="BP81" s="110">
        <v>0</v>
      </c>
      <c r="BQ81" s="110">
        <v>0</v>
      </c>
      <c r="BR81" s="110">
        <v>0</v>
      </c>
      <c r="BS81" s="110">
        <v>0</v>
      </c>
      <c r="BT81" s="110">
        <v>0</v>
      </c>
      <c r="BU81" s="110">
        <v>0</v>
      </c>
      <c r="BV81" s="110">
        <v>0</v>
      </c>
      <c r="BW81" s="110">
        <v>0.8</v>
      </c>
      <c r="BX81" s="110">
        <v>0</v>
      </c>
      <c r="BY81" s="110">
        <v>0</v>
      </c>
      <c r="BZ81" s="110">
        <v>0</v>
      </c>
      <c r="CA81" s="110">
        <v>0</v>
      </c>
      <c r="CB81" s="110">
        <v>0</v>
      </c>
      <c r="CC81" s="110">
        <v>0</v>
      </c>
      <c r="CD81" s="110">
        <v>0</v>
      </c>
      <c r="CE81" s="110">
        <v>0</v>
      </c>
      <c r="CF81" s="110">
        <v>0</v>
      </c>
      <c r="CG81" s="110">
        <v>0</v>
      </c>
    </row>
    <row r="82" spans="1:85" x14ac:dyDescent="0.15">
      <c r="A82" s="186" t="s">
        <v>272</v>
      </c>
      <c r="B82" s="110">
        <v>0</v>
      </c>
      <c r="C82" s="110">
        <v>0</v>
      </c>
      <c r="D82" s="110">
        <v>0</v>
      </c>
      <c r="E82" s="110">
        <v>0</v>
      </c>
      <c r="F82" s="110">
        <v>0</v>
      </c>
      <c r="G82" s="110">
        <v>0</v>
      </c>
      <c r="H82" s="110">
        <v>0</v>
      </c>
      <c r="I82" s="110">
        <v>0</v>
      </c>
      <c r="J82" s="110">
        <v>0</v>
      </c>
      <c r="K82" s="110">
        <v>0</v>
      </c>
      <c r="L82" s="110">
        <v>0</v>
      </c>
      <c r="M82" s="110">
        <v>0</v>
      </c>
      <c r="N82" s="110">
        <v>0</v>
      </c>
      <c r="O82" s="110">
        <v>0</v>
      </c>
      <c r="P82" s="110">
        <v>0</v>
      </c>
      <c r="Q82" s="110">
        <v>0</v>
      </c>
      <c r="R82" s="110">
        <v>0</v>
      </c>
      <c r="S82" s="110">
        <v>0</v>
      </c>
      <c r="T82" s="110">
        <v>0</v>
      </c>
      <c r="U82" s="110">
        <v>0</v>
      </c>
      <c r="V82" s="110">
        <v>0</v>
      </c>
      <c r="W82" s="110">
        <v>0</v>
      </c>
      <c r="X82" s="110">
        <v>0</v>
      </c>
      <c r="Y82" s="110">
        <v>0</v>
      </c>
      <c r="Z82" s="110">
        <v>0</v>
      </c>
      <c r="AA82" s="110">
        <v>0</v>
      </c>
      <c r="AB82" s="110">
        <v>0</v>
      </c>
      <c r="AC82" s="110">
        <v>0</v>
      </c>
      <c r="AD82" s="110">
        <v>0</v>
      </c>
      <c r="AE82" s="110">
        <v>0</v>
      </c>
      <c r="AF82" s="110">
        <v>0</v>
      </c>
      <c r="AG82" s="110">
        <v>0</v>
      </c>
      <c r="AH82" s="110">
        <v>0</v>
      </c>
      <c r="AI82" s="110">
        <v>0</v>
      </c>
      <c r="AJ82" s="110">
        <v>0</v>
      </c>
      <c r="AK82" s="110">
        <v>0</v>
      </c>
      <c r="AL82" s="110">
        <v>0</v>
      </c>
      <c r="AM82" s="110">
        <v>0</v>
      </c>
      <c r="AN82" s="110">
        <v>0</v>
      </c>
      <c r="AO82" s="110">
        <v>0</v>
      </c>
      <c r="AP82" s="110">
        <v>0</v>
      </c>
      <c r="AQ82" s="110">
        <v>0</v>
      </c>
      <c r="AR82" s="110">
        <v>0</v>
      </c>
      <c r="AS82" s="110">
        <v>0</v>
      </c>
      <c r="AT82" s="110">
        <v>0</v>
      </c>
      <c r="AU82" s="110">
        <v>0</v>
      </c>
      <c r="AV82" s="110">
        <v>0</v>
      </c>
      <c r="AW82" s="110">
        <v>0</v>
      </c>
      <c r="AX82" s="110">
        <v>0.8</v>
      </c>
      <c r="AY82" s="110">
        <v>0</v>
      </c>
      <c r="AZ82" s="110">
        <v>0</v>
      </c>
      <c r="BA82" s="110">
        <v>0.8</v>
      </c>
      <c r="BB82" s="110">
        <v>0.8</v>
      </c>
      <c r="BC82" s="110">
        <v>0</v>
      </c>
      <c r="BD82" s="110">
        <v>0.8</v>
      </c>
      <c r="BE82" s="110">
        <v>0</v>
      </c>
      <c r="BF82" s="110">
        <v>0</v>
      </c>
      <c r="BG82" s="110">
        <v>0</v>
      </c>
      <c r="BH82" s="110">
        <v>0.8</v>
      </c>
      <c r="BI82" s="110">
        <v>0</v>
      </c>
      <c r="BJ82" s="110">
        <v>0.8</v>
      </c>
      <c r="BK82" s="110">
        <v>0</v>
      </c>
      <c r="BL82" s="110">
        <v>0</v>
      </c>
      <c r="BM82" s="110">
        <v>0.8</v>
      </c>
      <c r="BN82" s="110">
        <v>0.8</v>
      </c>
      <c r="BO82" s="110">
        <v>0</v>
      </c>
      <c r="BP82" s="110">
        <v>0</v>
      </c>
      <c r="BQ82" s="110">
        <v>0</v>
      </c>
      <c r="BR82" s="110">
        <v>0</v>
      </c>
      <c r="BS82" s="110">
        <v>0</v>
      </c>
      <c r="BT82" s="110">
        <v>0</v>
      </c>
      <c r="BU82" s="110">
        <v>0</v>
      </c>
      <c r="BV82" s="110">
        <v>0</v>
      </c>
      <c r="BW82" s="110">
        <v>0</v>
      </c>
      <c r="BX82" s="110">
        <v>0</v>
      </c>
      <c r="BY82" s="110">
        <v>0</v>
      </c>
      <c r="BZ82" s="110">
        <v>0</v>
      </c>
      <c r="CA82" s="110">
        <v>0</v>
      </c>
      <c r="CB82" s="110">
        <v>0</v>
      </c>
      <c r="CC82" s="110">
        <v>0</v>
      </c>
      <c r="CD82" s="110">
        <v>0</v>
      </c>
      <c r="CE82" s="110">
        <v>0</v>
      </c>
      <c r="CF82" s="110">
        <v>0</v>
      </c>
      <c r="CG82" s="110">
        <v>0</v>
      </c>
    </row>
    <row r="83" spans="1:85" x14ac:dyDescent="0.15">
      <c r="A83" s="186" t="s">
        <v>273</v>
      </c>
      <c r="B83" s="110">
        <v>0</v>
      </c>
      <c r="C83" s="110">
        <v>0</v>
      </c>
      <c r="D83" s="110">
        <v>0</v>
      </c>
      <c r="E83" s="110">
        <v>0</v>
      </c>
      <c r="F83" s="110">
        <v>0</v>
      </c>
      <c r="G83" s="110">
        <v>0</v>
      </c>
      <c r="H83" s="110">
        <v>0</v>
      </c>
      <c r="I83" s="110">
        <v>0</v>
      </c>
      <c r="J83" s="110">
        <v>0</v>
      </c>
      <c r="K83" s="110">
        <v>0</v>
      </c>
      <c r="L83" s="110">
        <v>0</v>
      </c>
      <c r="M83" s="110">
        <v>0</v>
      </c>
      <c r="N83" s="110">
        <v>0</v>
      </c>
      <c r="O83" s="110">
        <v>0</v>
      </c>
      <c r="P83" s="110">
        <v>0</v>
      </c>
      <c r="Q83" s="110">
        <v>0</v>
      </c>
      <c r="R83" s="110">
        <v>0</v>
      </c>
      <c r="S83" s="110">
        <v>0.8</v>
      </c>
      <c r="T83" s="110">
        <v>0.8</v>
      </c>
      <c r="U83" s="110">
        <v>0</v>
      </c>
      <c r="V83" s="110">
        <v>0.8</v>
      </c>
      <c r="W83" s="110">
        <v>0</v>
      </c>
      <c r="X83" s="110">
        <v>0</v>
      </c>
      <c r="Y83" s="110">
        <v>0</v>
      </c>
      <c r="Z83" s="110">
        <v>0.8</v>
      </c>
      <c r="AA83" s="110">
        <v>0</v>
      </c>
      <c r="AB83" s="110">
        <v>0</v>
      </c>
      <c r="AC83" s="110">
        <v>0.8</v>
      </c>
      <c r="AD83" s="110">
        <v>0</v>
      </c>
      <c r="AE83" s="110">
        <v>0</v>
      </c>
      <c r="AF83" s="110">
        <v>0.8</v>
      </c>
      <c r="AG83" s="110">
        <v>0</v>
      </c>
      <c r="AH83" s="110">
        <v>0</v>
      </c>
      <c r="AI83" s="110">
        <v>0</v>
      </c>
      <c r="AJ83" s="110">
        <v>0</v>
      </c>
      <c r="AK83" s="110">
        <v>0</v>
      </c>
      <c r="AL83" s="110">
        <v>0</v>
      </c>
      <c r="AM83" s="110">
        <v>0</v>
      </c>
      <c r="AN83" s="110">
        <v>0</v>
      </c>
      <c r="AO83" s="110">
        <v>0</v>
      </c>
      <c r="AP83" s="110">
        <v>0</v>
      </c>
      <c r="AQ83" s="110">
        <v>0</v>
      </c>
      <c r="AR83" s="110">
        <v>0</v>
      </c>
      <c r="AS83" s="110">
        <v>0</v>
      </c>
      <c r="AT83" s="110">
        <v>0</v>
      </c>
      <c r="AU83" s="110">
        <v>0</v>
      </c>
      <c r="AV83" s="110">
        <v>0</v>
      </c>
      <c r="AW83" s="110">
        <v>0</v>
      </c>
      <c r="AX83" s="110">
        <v>0.8</v>
      </c>
      <c r="AY83" s="110">
        <v>0.8</v>
      </c>
      <c r="AZ83" s="110">
        <v>0</v>
      </c>
      <c r="BA83" s="110">
        <v>0</v>
      </c>
      <c r="BB83" s="110">
        <v>0</v>
      </c>
      <c r="BC83" s="110">
        <v>0</v>
      </c>
      <c r="BD83" s="110">
        <v>0</v>
      </c>
      <c r="BE83" s="110">
        <v>0</v>
      </c>
      <c r="BF83" s="110">
        <v>0</v>
      </c>
      <c r="BG83" s="110">
        <v>0</v>
      </c>
      <c r="BH83" s="110">
        <v>0</v>
      </c>
      <c r="BI83" s="110">
        <v>0.8</v>
      </c>
      <c r="BJ83" s="110">
        <v>0</v>
      </c>
      <c r="BK83" s="110">
        <v>0.8</v>
      </c>
      <c r="BL83" s="110">
        <v>0.8</v>
      </c>
      <c r="BM83" s="110">
        <v>0.8</v>
      </c>
      <c r="BN83" s="110">
        <v>0.8</v>
      </c>
      <c r="BO83" s="110">
        <v>0</v>
      </c>
      <c r="BP83" s="110">
        <v>0</v>
      </c>
      <c r="BQ83" s="110">
        <v>0</v>
      </c>
      <c r="BR83" s="110">
        <v>0.8</v>
      </c>
      <c r="BS83" s="110">
        <v>0.8</v>
      </c>
      <c r="BT83" s="110">
        <v>0.8</v>
      </c>
      <c r="BU83" s="110">
        <v>0.8</v>
      </c>
      <c r="BV83" s="110">
        <v>0</v>
      </c>
      <c r="BW83" s="110">
        <v>0.8</v>
      </c>
      <c r="BX83" s="110">
        <v>0</v>
      </c>
      <c r="BY83" s="110">
        <v>0</v>
      </c>
      <c r="BZ83" s="110">
        <v>0</v>
      </c>
      <c r="CA83" s="110">
        <v>0</v>
      </c>
      <c r="CB83" s="110">
        <v>0</v>
      </c>
      <c r="CC83" s="110">
        <v>0</v>
      </c>
      <c r="CD83" s="110">
        <v>0</v>
      </c>
      <c r="CE83" s="110">
        <v>0</v>
      </c>
      <c r="CF83" s="110">
        <v>0</v>
      </c>
      <c r="CG83" s="110">
        <v>0</v>
      </c>
    </row>
    <row r="84" spans="1:85" x14ac:dyDescent="0.15">
      <c r="A84" s="186" t="s">
        <v>274</v>
      </c>
      <c r="B84" s="110">
        <v>0</v>
      </c>
      <c r="C84" s="110">
        <v>0</v>
      </c>
      <c r="D84" s="110">
        <v>0</v>
      </c>
      <c r="E84" s="110">
        <v>0</v>
      </c>
      <c r="F84" s="110">
        <v>0</v>
      </c>
      <c r="G84" s="110">
        <v>0</v>
      </c>
      <c r="H84" s="110">
        <v>0</v>
      </c>
      <c r="I84" s="110">
        <v>0</v>
      </c>
      <c r="J84" s="110">
        <v>0</v>
      </c>
      <c r="K84" s="110">
        <v>0</v>
      </c>
      <c r="L84" s="110">
        <v>0</v>
      </c>
      <c r="M84" s="110">
        <v>0</v>
      </c>
      <c r="N84" s="110">
        <v>0.8</v>
      </c>
      <c r="O84" s="110">
        <v>0</v>
      </c>
      <c r="P84" s="110">
        <v>0</v>
      </c>
      <c r="Q84" s="110">
        <v>0</v>
      </c>
      <c r="R84" s="110">
        <v>0</v>
      </c>
      <c r="S84" s="110">
        <v>0</v>
      </c>
      <c r="T84" s="110">
        <v>0.8</v>
      </c>
      <c r="U84" s="110">
        <v>0</v>
      </c>
      <c r="V84" s="110">
        <v>0.8</v>
      </c>
      <c r="W84" s="110">
        <v>0</v>
      </c>
      <c r="X84" s="110">
        <v>0.8</v>
      </c>
      <c r="Y84" s="110">
        <v>0.8</v>
      </c>
      <c r="Z84" s="110">
        <v>0.8</v>
      </c>
      <c r="AA84" s="110">
        <v>0.8</v>
      </c>
      <c r="AB84" s="110">
        <v>0.8</v>
      </c>
      <c r="AC84" s="110">
        <v>0</v>
      </c>
      <c r="AD84" s="110">
        <v>0</v>
      </c>
      <c r="AE84" s="110">
        <v>0.8</v>
      </c>
      <c r="AF84" s="110">
        <v>0.8</v>
      </c>
      <c r="AG84" s="110">
        <v>0</v>
      </c>
      <c r="AH84" s="110">
        <v>0</v>
      </c>
      <c r="AI84" s="110">
        <v>0</v>
      </c>
      <c r="AJ84" s="110">
        <v>0</v>
      </c>
      <c r="AK84" s="110">
        <v>0</v>
      </c>
      <c r="AL84" s="110">
        <v>0</v>
      </c>
      <c r="AM84" s="110">
        <v>0</v>
      </c>
      <c r="AN84" s="110">
        <v>0</v>
      </c>
      <c r="AO84" s="110">
        <v>0</v>
      </c>
      <c r="AP84" s="110">
        <v>0</v>
      </c>
      <c r="AQ84" s="110">
        <v>0</v>
      </c>
      <c r="AR84" s="110">
        <v>0</v>
      </c>
      <c r="AS84" s="110">
        <v>0</v>
      </c>
      <c r="AT84" s="110">
        <v>0</v>
      </c>
      <c r="AU84" s="110">
        <v>0</v>
      </c>
      <c r="AV84" s="110">
        <v>0</v>
      </c>
      <c r="AW84" s="110">
        <v>0.8</v>
      </c>
      <c r="AX84" s="110">
        <v>0.8</v>
      </c>
      <c r="AY84" s="110">
        <v>0.8</v>
      </c>
      <c r="AZ84" s="110">
        <v>0</v>
      </c>
      <c r="BA84" s="110">
        <v>0.8</v>
      </c>
      <c r="BB84" s="110">
        <v>0.8</v>
      </c>
      <c r="BC84" s="110">
        <v>0.8</v>
      </c>
      <c r="BD84" s="110">
        <v>0.8</v>
      </c>
      <c r="BE84" s="110">
        <v>0</v>
      </c>
      <c r="BF84" s="110">
        <v>0.8</v>
      </c>
      <c r="BG84" s="110">
        <v>0.8</v>
      </c>
      <c r="BH84" s="110">
        <v>0.8</v>
      </c>
      <c r="BI84" s="110">
        <v>0.8</v>
      </c>
      <c r="BJ84" s="110">
        <v>0.8</v>
      </c>
      <c r="BK84" s="110">
        <v>0.8</v>
      </c>
      <c r="BL84" s="110">
        <v>0.8</v>
      </c>
      <c r="BM84" s="110">
        <v>0.8</v>
      </c>
      <c r="BN84" s="110">
        <v>0.8</v>
      </c>
      <c r="BO84" s="110">
        <v>0.8</v>
      </c>
      <c r="BP84" s="110">
        <v>0.8</v>
      </c>
      <c r="BQ84" s="110">
        <v>0</v>
      </c>
      <c r="BR84" s="110">
        <v>0</v>
      </c>
      <c r="BS84" s="110">
        <v>0</v>
      </c>
      <c r="BT84" s="110">
        <v>0</v>
      </c>
      <c r="BU84" s="110">
        <v>0.8</v>
      </c>
      <c r="BV84" s="110">
        <v>0</v>
      </c>
      <c r="BW84" s="110">
        <v>0.8</v>
      </c>
      <c r="BX84" s="110">
        <v>0</v>
      </c>
      <c r="BY84" s="110">
        <v>0</v>
      </c>
      <c r="BZ84" s="110">
        <v>0</v>
      </c>
      <c r="CA84" s="110">
        <v>0</v>
      </c>
      <c r="CB84" s="110">
        <v>0</v>
      </c>
      <c r="CC84" s="110">
        <v>0</v>
      </c>
      <c r="CD84" s="110">
        <v>0</v>
      </c>
      <c r="CE84" s="110">
        <v>0</v>
      </c>
      <c r="CF84" s="110">
        <v>0</v>
      </c>
      <c r="CG84" s="110">
        <v>0</v>
      </c>
    </row>
    <row r="85" spans="1:85" x14ac:dyDescent="0.15">
      <c r="A85" s="186" t="s">
        <v>275</v>
      </c>
      <c r="B85" s="110">
        <v>0</v>
      </c>
      <c r="C85" s="110">
        <v>0</v>
      </c>
      <c r="D85" s="110">
        <v>0</v>
      </c>
      <c r="E85" s="110">
        <v>0</v>
      </c>
      <c r="F85" s="110">
        <v>0</v>
      </c>
      <c r="G85" s="110">
        <v>0</v>
      </c>
      <c r="H85" s="110">
        <v>0</v>
      </c>
      <c r="I85" s="110">
        <v>0</v>
      </c>
      <c r="J85" s="110">
        <v>0</v>
      </c>
      <c r="K85" s="110">
        <v>0</v>
      </c>
      <c r="L85" s="110">
        <v>0</v>
      </c>
      <c r="M85" s="110">
        <v>0</v>
      </c>
      <c r="N85" s="110">
        <v>0</v>
      </c>
      <c r="O85" s="110">
        <v>0</v>
      </c>
      <c r="P85" s="110">
        <v>0</v>
      </c>
      <c r="Q85" s="110">
        <v>0</v>
      </c>
      <c r="R85" s="110">
        <v>0</v>
      </c>
      <c r="S85" s="110">
        <v>0</v>
      </c>
      <c r="T85" s="110">
        <v>0</v>
      </c>
      <c r="U85" s="110">
        <v>0</v>
      </c>
      <c r="V85" s="110">
        <v>0</v>
      </c>
      <c r="W85" s="110">
        <v>0</v>
      </c>
      <c r="X85" s="110">
        <v>0</v>
      </c>
      <c r="Y85" s="110">
        <v>0</v>
      </c>
      <c r="Z85" s="110">
        <v>0</v>
      </c>
      <c r="AA85" s="110">
        <v>0</v>
      </c>
      <c r="AB85" s="110">
        <v>0</v>
      </c>
      <c r="AC85" s="110">
        <v>0</v>
      </c>
      <c r="AD85" s="110">
        <v>0</v>
      </c>
      <c r="AE85" s="110">
        <v>0</v>
      </c>
      <c r="AF85" s="110">
        <v>0</v>
      </c>
      <c r="AG85" s="110">
        <v>0</v>
      </c>
      <c r="AH85" s="110">
        <v>0</v>
      </c>
      <c r="AI85" s="110">
        <v>0</v>
      </c>
      <c r="AJ85" s="110">
        <v>0</v>
      </c>
      <c r="AK85" s="110">
        <v>0</v>
      </c>
      <c r="AL85" s="110">
        <v>0</v>
      </c>
      <c r="AM85" s="110">
        <v>0</v>
      </c>
      <c r="AN85" s="110">
        <v>0</v>
      </c>
      <c r="AO85" s="110">
        <v>0</v>
      </c>
      <c r="AP85" s="110">
        <v>0</v>
      </c>
      <c r="AQ85" s="110">
        <v>0</v>
      </c>
      <c r="AR85" s="110">
        <v>0</v>
      </c>
      <c r="AS85" s="110">
        <v>0</v>
      </c>
      <c r="AT85" s="110">
        <v>0</v>
      </c>
      <c r="AU85" s="110">
        <v>0</v>
      </c>
      <c r="AV85" s="110">
        <v>0</v>
      </c>
      <c r="AW85" s="110">
        <v>0</v>
      </c>
      <c r="AX85" s="110">
        <v>0</v>
      </c>
      <c r="AY85" s="110">
        <v>0</v>
      </c>
      <c r="AZ85" s="110">
        <v>0</v>
      </c>
      <c r="BA85" s="110">
        <v>0</v>
      </c>
      <c r="BB85" s="110">
        <v>0</v>
      </c>
      <c r="BC85" s="110">
        <v>0</v>
      </c>
      <c r="BD85" s="110">
        <v>0</v>
      </c>
      <c r="BE85" s="110">
        <v>0</v>
      </c>
      <c r="BF85" s="110">
        <v>0</v>
      </c>
      <c r="BG85" s="110">
        <v>0</v>
      </c>
      <c r="BH85" s="110">
        <v>0</v>
      </c>
      <c r="BI85" s="110">
        <v>0</v>
      </c>
      <c r="BJ85" s="110">
        <v>0</v>
      </c>
      <c r="BK85" s="110">
        <v>0</v>
      </c>
      <c r="BL85" s="110">
        <v>0</v>
      </c>
      <c r="BM85" s="110">
        <v>0</v>
      </c>
      <c r="BN85" s="110">
        <v>0</v>
      </c>
      <c r="BO85" s="110">
        <v>0</v>
      </c>
      <c r="BP85" s="110">
        <v>0</v>
      </c>
      <c r="BQ85" s="110">
        <v>0</v>
      </c>
      <c r="BR85" s="110">
        <v>0</v>
      </c>
      <c r="BS85" s="110">
        <v>0</v>
      </c>
      <c r="BT85" s="110">
        <v>0</v>
      </c>
      <c r="BU85" s="110">
        <v>0</v>
      </c>
      <c r="BV85" s="110">
        <v>0</v>
      </c>
      <c r="BW85" s="110">
        <v>0</v>
      </c>
      <c r="BX85" s="110">
        <v>0</v>
      </c>
      <c r="BY85" s="110">
        <v>0</v>
      </c>
      <c r="BZ85" s="110">
        <v>0</v>
      </c>
      <c r="CA85" s="110">
        <v>0</v>
      </c>
      <c r="CB85" s="110">
        <v>0</v>
      </c>
      <c r="CC85" s="110">
        <v>0</v>
      </c>
      <c r="CD85" s="110">
        <v>0</v>
      </c>
      <c r="CE85" s="110">
        <v>0</v>
      </c>
      <c r="CF85" s="110">
        <v>0</v>
      </c>
      <c r="CG85" s="110">
        <v>0</v>
      </c>
    </row>
    <row r="86" spans="1:85" x14ac:dyDescent="0.15">
      <c r="A86" s="186" t="s">
        <v>286</v>
      </c>
      <c r="B86" s="110">
        <v>0.8</v>
      </c>
      <c r="C86" s="110">
        <v>0</v>
      </c>
      <c r="D86" s="110">
        <v>0.8</v>
      </c>
      <c r="E86" s="110">
        <v>0</v>
      </c>
      <c r="F86" s="110">
        <v>0</v>
      </c>
      <c r="G86" s="110">
        <v>0</v>
      </c>
      <c r="H86" s="110">
        <v>0</v>
      </c>
      <c r="I86" s="110">
        <v>0</v>
      </c>
      <c r="J86" s="110">
        <v>0</v>
      </c>
      <c r="K86" s="110">
        <v>0</v>
      </c>
      <c r="L86" s="110">
        <v>0</v>
      </c>
      <c r="M86" s="110">
        <v>0</v>
      </c>
      <c r="N86" s="110">
        <v>0</v>
      </c>
      <c r="O86" s="110">
        <v>0.8</v>
      </c>
      <c r="P86" s="110">
        <v>0</v>
      </c>
      <c r="Q86" s="110">
        <v>0</v>
      </c>
      <c r="R86" s="110">
        <v>0</v>
      </c>
      <c r="S86" s="110">
        <v>0</v>
      </c>
      <c r="T86" s="110">
        <v>0</v>
      </c>
      <c r="U86" s="110">
        <v>0</v>
      </c>
      <c r="V86" s="110">
        <v>0</v>
      </c>
      <c r="W86" s="110">
        <v>0</v>
      </c>
      <c r="X86" s="110">
        <v>0</v>
      </c>
      <c r="Y86" s="110">
        <v>0</v>
      </c>
      <c r="Z86" s="110">
        <v>0</v>
      </c>
      <c r="AA86" s="110">
        <v>0</v>
      </c>
      <c r="AB86" s="110">
        <v>0</v>
      </c>
      <c r="AC86" s="110">
        <v>0</v>
      </c>
      <c r="AD86" s="110">
        <v>0</v>
      </c>
      <c r="AE86" s="110">
        <v>0</v>
      </c>
      <c r="AF86" s="110">
        <v>0</v>
      </c>
      <c r="AG86" s="110">
        <v>0</v>
      </c>
      <c r="AH86" s="110">
        <v>0</v>
      </c>
      <c r="AI86" s="110">
        <v>0</v>
      </c>
      <c r="AJ86" s="110">
        <v>0</v>
      </c>
      <c r="AK86" s="110">
        <v>0</v>
      </c>
      <c r="AL86" s="110">
        <v>0</v>
      </c>
      <c r="AM86" s="110">
        <v>0</v>
      </c>
      <c r="AN86" s="110">
        <v>0.8</v>
      </c>
      <c r="AO86" s="110">
        <v>0.8</v>
      </c>
      <c r="AP86" s="110">
        <v>0</v>
      </c>
      <c r="AQ86" s="110">
        <v>0</v>
      </c>
      <c r="AR86" s="110">
        <v>0</v>
      </c>
      <c r="AS86" s="110">
        <v>0</v>
      </c>
      <c r="AT86" s="110">
        <v>0</v>
      </c>
      <c r="AU86" s="110">
        <v>0</v>
      </c>
      <c r="AV86" s="110">
        <v>0</v>
      </c>
      <c r="AW86" s="110">
        <v>0.8</v>
      </c>
      <c r="AX86" s="110">
        <v>0.8</v>
      </c>
      <c r="AY86" s="110">
        <v>0.8</v>
      </c>
      <c r="AZ86" s="110">
        <v>0</v>
      </c>
      <c r="BA86" s="110">
        <v>0.8</v>
      </c>
      <c r="BB86" s="110">
        <v>0.8</v>
      </c>
      <c r="BC86" s="110">
        <v>0.8</v>
      </c>
      <c r="BD86" s="110">
        <v>0.8</v>
      </c>
      <c r="BE86" s="110">
        <v>0.8</v>
      </c>
      <c r="BF86" s="110">
        <v>0</v>
      </c>
      <c r="BG86" s="110">
        <v>0</v>
      </c>
      <c r="BH86" s="110">
        <v>0.8</v>
      </c>
      <c r="BI86" s="110">
        <v>0</v>
      </c>
      <c r="BJ86" s="110">
        <v>0</v>
      </c>
      <c r="BK86" s="110">
        <v>0.8</v>
      </c>
      <c r="BL86" s="110">
        <v>0</v>
      </c>
      <c r="BM86" s="110">
        <v>0.8</v>
      </c>
      <c r="BN86" s="110">
        <v>0</v>
      </c>
      <c r="BO86" s="110">
        <v>0</v>
      </c>
      <c r="BP86" s="110">
        <v>0</v>
      </c>
      <c r="BQ86" s="110">
        <v>0</v>
      </c>
      <c r="BR86" s="110">
        <v>0</v>
      </c>
      <c r="BS86" s="110">
        <v>0</v>
      </c>
      <c r="BT86" s="110">
        <v>0</v>
      </c>
      <c r="BU86" s="110">
        <v>0</v>
      </c>
      <c r="BV86" s="110">
        <v>0</v>
      </c>
      <c r="BW86" s="110">
        <v>0</v>
      </c>
      <c r="BX86" s="110">
        <v>0</v>
      </c>
      <c r="BY86" s="110">
        <v>0</v>
      </c>
      <c r="BZ86" s="110">
        <v>0</v>
      </c>
      <c r="CA86" s="110">
        <v>0</v>
      </c>
      <c r="CB86" s="110">
        <v>0</v>
      </c>
      <c r="CC86" s="110">
        <v>0</v>
      </c>
      <c r="CD86" s="110">
        <v>0</v>
      </c>
      <c r="CE86" s="110">
        <v>0</v>
      </c>
      <c r="CF86" s="110">
        <v>0</v>
      </c>
      <c r="CG86" s="110">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CG86"/>
  <sheetViews>
    <sheetView workbookViewId="0">
      <selection activeCell="A3" sqref="A3"/>
    </sheetView>
  </sheetViews>
  <sheetFormatPr baseColWidth="10" defaultRowHeight="13" x14ac:dyDescent="0.15"/>
  <cols>
    <col min="1" max="1" width="31.33203125" style="110" bestFit="1" customWidth="1"/>
    <col min="2" max="85" width="2.33203125" style="110" customWidth="1"/>
    <col min="86" max="16384" width="10.83203125" style="110"/>
  </cols>
  <sheetData>
    <row r="1" spans="1:85" x14ac:dyDescent="0.15">
      <c r="A1" s="63" t="s">
        <v>139</v>
      </c>
      <c r="B1" s="189" t="s">
        <v>192</v>
      </c>
      <c r="C1" s="189" t="s">
        <v>193</v>
      </c>
      <c r="D1" s="189" t="s">
        <v>194</v>
      </c>
      <c r="E1" s="189" t="s">
        <v>195</v>
      </c>
      <c r="F1" s="189" t="s">
        <v>196</v>
      </c>
      <c r="G1" s="189" t="s">
        <v>197</v>
      </c>
      <c r="H1" s="189" t="s">
        <v>198</v>
      </c>
      <c r="I1" s="189" t="s">
        <v>199</v>
      </c>
      <c r="J1" s="189" t="s">
        <v>200</v>
      </c>
      <c r="K1" s="189" t="s">
        <v>201</v>
      </c>
      <c r="L1" s="189" t="s">
        <v>202</v>
      </c>
      <c r="M1" s="189" t="s">
        <v>203</v>
      </c>
      <c r="N1" s="189" t="s">
        <v>204</v>
      </c>
      <c r="O1" s="189" t="s">
        <v>205</v>
      </c>
      <c r="P1" s="189" t="s">
        <v>206</v>
      </c>
      <c r="Q1" s="189" t="s">
        <v>207</v>
      </c>
      <c r="R1" s="189" t="s">
        <v>208</v>
      </c>
      <c r="S1" s="189" t="s">
        <v>209</v>
      </c>
      <c r="T1" s="189" t="s">
        <v>210</v>
      </c>
      <c r="U1" s="189" t="s">
        <v>211</v>
      </c>
      <c r="V1" s="189" t="s">
        <v>212</v>
      </c>
      <c r="W1" s="189" t="s">
        <v>213</v>
      </c>
      <c r="X1" s="189" t="s">
        <v>214</v>
      </c>
      <c r="Y1" s="189" t="s">
        <v>215</v>
      </c>
      <c r="Z1" s="189" t="s">
        <v>216</v>
      </c>
      <c r="AA1" s="189" t="s">
        <v>217</v>
      </c>
      <c r="AB1" s="189" t="s">
        <v>218</v>
      </c>
      <c r="AC1" s="189" t="s">
        <v>219</v>
      </c>
      <c r="AD1" s="189" t="s">
        <v>220</v>
      </c>
      <c r="AE1" s="189" t="s">
        <v>221</v>
      </c>
      <c r="AF1" s="189" t="s">
        <v>222</v>
      </c>
      <c r="AG1" s="189" t="s">
        <v>223</v>
      </c>
      <c r="AH1" s="189" t="s">
        <v>224</v>
      </c>
      <c r="AI1" s="189" t="s">
        <v>225</v>
      </c>
      <c r="AJ1" s="189" t="s">
        <v>226</v>
      </c>
      <c r="AK1" s="189" t="s">
        <v>227</v>
      </c>
      <c r="AL1" s="189" t="s">
        <v>228</v>
      </c>
      <c r="AM1" s="189" t="s">
        <v>229</v>
      </c>
      <c r="AN1" s="189" t="s">
        <v>230</v>
      </c>
      <c r="AO1" s="189" t="s">
        <v>231</v>
      </c>
      <c r="AP1" s="189" t="s">
        <v>232</v>
      </c>
      <c r="AQ1" s="189" t="s">
        <v>233</v>
      </c>
      <c r="AR1" s="189" t="s">
        <v>234</v>
      </c>
      <c r="AS1" s="189" t="s">
        <v>235</v>
      </c>
      <c r="AT1" s="189" t="s">
        <v>236</v>
      </c>
      <c r="AU1" s="189" t="s">
        <v>237</v>
      </c>
      <c r="AV1" s="189" t="s">
        <v>238</v>
      </c>
      <c r="AW1" s="189" t="s">
        <v>239</v>
      </c>
      <c r="AX1" s="189" t="s">
        <v>240</v>
      </c>
      <c r="AY1" s="189" t="s">
        <v>241</v>
      </c>
      <c r="AZ1" s="189" t="s">
        <v>242</v>
      </c>
      <c r="BA1" s="189" t="s">
        <v>243</v>
      </c>
      <c r="BB1" s="189" t="s">
        <v>244</v>
      </c>
      <c r="BC1" s="189" t="s">
        <v>245</v>
      </c>
      <c r="BD1" s="189" t="s">
        <v>246</v>
      </c>
      <c r="BE1" s="189" t="s">
        <v>247</v>
      </c>
      <c r="BF1" s="189" t="s">
        <v>248</v>
      </c>
      <c r="BG1" s="189" t="s">
        <v>249</v>
      </c>
      <c r="BH1" s="189" t="s">
        <v>250</v>
      </c>
      <c r="BI1" s="189" t="s">
        <v>251</v>
      </c>
      <c r="BJ1" s="189" t="s">
        <v>252</v>
      </c>
      <c r="BK1" s="189" t="s">
        <v>253</v>
      </c>
      <c r="BL1" s="189" t="s">
        <v>254</v>
      </c>
      <c r="BM1" s="189" t="s">
        <v>255</v>
      </c>
      <c r="BN1" s="189" t="s">
        <v>256</v>
      </c>
      <c r="BO1" s="189" t="s">
        <v>257</v>
      </c>
      <c r="BP1" s="189" t="s">
        <v>258</v>
      </c>
      <c r="BQ1" s="189" t="s">
        <v>259</v>
      </c>
      <c r="BR1" s="189" t="s">
        <v>260</v>
      </c>
      <c r="BS1" s="189" t="s">
        <v>261</v>
      </c>
      <c r="BT1" s="189" t="s">
        <v>262</v>
      </c>
      <c r="BU1" s="189" t="s">
        <v>263</v>
      </c>
      <c r="BV1" s="189" t="s">
        <v>264</v>
      </c>
      <c r="BW1" s="189" t="s">
        <v>265</v>
      </c>
      <c r="BX1" s="189" t="s">
        <v>266</v>
      </c>
      <c r="BY1" s="189" t="s">
        <v>267</v>
      </c>
      <c r="BZ1" s="189" t="s">
        <v>268</v>
      </c>
      <c r="CA1" s="189" t="s">
        <v>269</v>
      </c>
      <c r="CB1" s="189" t="s">
        <v>270</v>
      </c>
      <c r="CC1" s="189" t="s">
        <v>271</v>
      </c>
      <c r="CD1" s="189" t="s">
        <v>272</v>
      </c>
      <c r="CE1" s="189" t="s">
        <v>273</v>
      </c>
      <c r="CF1" s="189" t="s">
        <v>274</v>
      </c>
      <c r="CG1" s="189" t="s">
        <v>275</v>
      </c>
    </row>
    <row r="2" spans="1:85" customFormat="1" x14ac:dyDescent="0.15">
      <c r="A2" s="188" t="s">
        <v>192</v>
      </c>
      <c r="B2" s="110">
        <v>0</v>
      </c>
      <c r="C2" s="110">
        <v>0</v>
      </c>
      <c r="D2" s="110">
        <v>0</v>
      </c>
      <c r="E2" s="110">
        <v>0</v>
      </c>
      <c r="F2" s="110">
        <v>0</v>
      </c>
      <c r="G2" s="110">
        <v>0</v>
      </c>
      <c r="H2" s="110">
        <v>0</v>
      </c>
      <c r="I2" s="110">
        <v>0</v>
      </c>
      <c r="J2" s="110">
        <v>0</v>
      </c>
      <c r="K2" s="110">
        <v>0</v>
      </c>
      <c r="L2" s="110">
        <v>0</v>
      </c>
      <c r="M2" s="110">
        <v>0</v>
      </c>
      <c r="N2" s="110">
        <v>0</v>
      </c>
      <c r="O2" s="110">
        <v>0</v>
      </c>
      <c r="P2" s="110">
        <v>0</v>
      </c>
      <c r="Q2" s="110">
        <v>0</v>
      </c>
      <c r="R2" s="110">
        <v>0</v>
      </c>
      <c r="S2" s="110">
        <v>0</v>
      </c>
      <c r="T2" s="110">
        <v>0</v>
      </c>
      <c r="U2" s="110">
        <v>0</v>
      </c>
      <c r="V2" s="110">
        <v>0</v>
      </c>
      <c r="W2" s="110">
        <v>0</v>
      </c>
      <c r="X2" s="110">
        <v>0</v>
      </c>
      <c r="Y2" s="110">
        <v>0</v>
      </c>
      <c r="Z2" s="110">
        <v>0</v>
      </c>
      <c r="AA2" s="110">
        <v>0</v>
      </c>
      <c r="AB2" s="110">
        <v>0</v>
      </c>
      <c r="AC2" s="110">
        <v>0</v>
      </c>
      <c r="AD2" s="110">
        <v>0</v>
      </c>
      <c r="AE2" s="110">
        <v>0</v>
      </c>
      <c r="AF2" s="110">
        <v>0</v>
      </c>
      <c r="AG2" s="110">
        <v>0</v>
      </c>
      <c r="AH2" s="110">
        <v>0</v>
      </c>
      <c r="AI2" s="110">
        <v>0</v>
      </c>
      <c r="AJ2" s="110">
        <v>0</v>
      </c>
      <c r="AK2" s="110">
        <v>0</v>
      </c>
      <c r="AL2" s="110">
        <v>0</v>
      </c>
      <c r="AM2" s="110">
        <v>0</v>
      </c>
      <c r="AN2" s="110">
        <v>0</v>
      </c>
      <c r="AO2" s="110">
        <v>0</v>
      </c>
      <c r="AP2" s="110">
        <v>0</v>
      </c>
      <c r="AQ2" s="110">
        <v>0</v>
      </c>
      <c r="AR2" s="110">
        <v>0</v>
      </c>
      <c r="AS2" s="110">
        <v>0</v>
      </c>
      <c r="AT2" s="110">
        <v>0</v>
      </c>
      <c r="AU2" s="110">
        <v>0</v>
      </c>
      <c r="AV2" s="110">
        <v>0</v>
      </c>
      <c r="AW2" s="110">
        <v>0</v>
      </c>
      <c r="AX2" s="110">
        <v>0</v>
      </c>
      <c r="AY2" s="110">
        <v>0</v>
      </c>
      <c r="AZ2" s="110">
        <v>0</v>
      </c>
      <c r="BA2" s="110">
        <v>0</v>
      </c>
      <c r="BB2" s="110">
        <v>0</v>
      </c>
      <c r="BC2" s="110">
        <v>0</v>
      </c>
      <c r="BD2" s="110">
        <v>0</v>
      </c>
      <c r="BE2" s="110">
        <v>0</v>
      </c>
      <c r="BF2" s="110">
        <v>0</v>
      </c>
      <c r="BG2" s="110">
        <v>0</v>
      </c>
      <c r="BH2" s="110">
        <v>0</v>
      </c>
      <c r="BI2" s="110">
        <v>0</v>
      </c>
      <c r="BJ2" s="110">
        <v>0</v>
      </c>
      <c r="BK2" s="110">
        <v>0</v>
      </c>
      <c r="BL2" s="110">
        <v>0</v>
      </c>
      <c r="BM2" s="110">
        <v>0</v>
      </c>
      <c r="BN2" s="110">
        <v>0</v>
      </c>
      <c r="BO2" s="110">
        <v>0</v>
      </c>
      <c r="BP2" s="110">
        <v>0</v>
      </c>
      <c r="BQ2" s="110">
        <v>0</v>
      </c>
      <c r="BR2" s="110">
        <v>0</v>
      </c>
      <c r="BS2" s="110">
        <v>0</v>
      </c>
      <c r="BT2" s="110">
        <v>0</v>
      </c>
      <c r="BU2" s="110">
        <v>0</v>
      </c>
      <c r="BV2" s="110">
        <v>0</v>
      </c>
      <c r="BW2" s="110">
        <v>0</v>
      </c>
      <c r="BX2" s="110">
        <v>0</v>
      </c>
      <c r="BY2" s="110">
        <v>0</v>
      </c>
      <c r="BZ2" s="110">
        <v>0</v>
      </c>
      <c r="CA2" s="110">
        <v>0</v>
      </c>
      <c r="CB2" s="110">
        <v>0</v>
      </c>
      <c r="CC2" s="110">
        <v>0</v>
      </c>
      <c r="CD2" s="110">
        <v>0</v>
      </c>
      <c r="CE2" s="110">
        <v>0</v>
      </c>
      <c r="CF2" s="110">
        <v>0</v>
      </c>
      <c r="CG2" s="110">
        <v>0</v>
      </c>
    </row>
    <row r="3" spans="1:85" customFormat="1" x14ac:dyDescent="0.15">
      <c r="A3" s="188" t="s">
        <v>193</v>
      </c>
      <c r="B3" s="110">
        <v>0</v>
      </c>
      <c r="C3" s="110">
        <v>0</v>
      </c>
      <c r="D3" s="110">
        <v>0</v>
      </c>
      <c r="E3" s="110">
        <v>0</v>
      </c>
      <c r="F3" s="110">
        <v>0</v>
      </c>
      <c r="G3" s="110">
        <v>0</v>
      </c>
      <c r="H3" s="110">
        <v>0</v>
      </c>
      <c r="I3" s="110">
        <v>0</v>
      </c>
      <c r="J3" s="110">
        <v>0</v>
      </c>
      <c r="K3" s="110">
        <v>0</v>
      </c>
      <c r="L3" s="110">
        <v>0</v>
      </c>
      <c r="M3" s="110">
        <v>0</v>
      </c>
      <c r="N3" s="110">
        <v>0</v>
      </c>
      <c r="O3" s="110">
        <v>0</v>
      </c>
      <c r="P3" s="110">
        <v>0</v>
      </c>
      <c r="Q3" s="110">
        <v>0</v>
      </c>
      <c r="R3" s="110">
        <v>0</v>
      </c>
      <c r="S3" s="110">
        <v>0</v>
      </c>
      <c r="T3" s="110">
        <v>0</v>
      </c>
      <c r="U3" s="110">
        <v>0</v>
      </c>
      <c r="V3" s="110">
        <v>0</v>
      </c>
      <c r="W3" s="110">
        <v>0</v>
      </c>
      <c r="X3" s="110">
        <v>0</v>
      </c>
      <c r="Y3" s="110">
        <v>0</v>
      </c>
      <c r="Z3" s="110">
        <v>0</v>
      </c>
      <c r="AA3" s="110">
        <v>0</v>
      </c>
      <c r="AB3" s="110">
        <v>0</v>
      </c>
      <c r="AC3" s="110">
        <v>0</v>
      </c>
      <c r="AD3" s="110">
        <v>0</v>
      </c>
      <c r="AE3" s="110">
        <v>0</v>
      </c>
      <c r="AF3" s="110">
        <v>0</v>
      </c>
      <c r="AG3" s="110">
        <v>0</v>
      </c>
      <c r="AH3" s="110">
        <v>0</v>
      </c>
      <c r="AI3" s="110">
        <v>0</v>
      </c>
      <c r="AJ3" s="110">
        <v>0</v>
      </c>
      <c r="AK3" s="110">
        <v>0</v>
      </c>
      <c r="AL3" s="110">
        <v>0</v>
      </c>
      <c r="AM3" s="110">
        <v>0</v>
      </c>
      <c r="AN3" s="110">
        <v>0</v>
      </c>
      <c r="AO3" s="110">
        <v>0</v>
      </c>
      <c r="AP3" s="110">
        <v>0</v>
      </c>
      <c r="AQ3" s="110">
        <v>0</v>
      </c>
      <c r="AR3" s="110">
        <v>0</v>
      </c>
      <c r="AS3" s="110">
        <v>0</v>
      </c>
      <c r="AT3" s="110">
        <v>0</v>
      </c>
      <c r="AU3" s="110">
        <v>0</v>
      </c>
      <c r="AV3" s="110">
        <v>0</v>
      </c>
      <c r="AW3" s="110">
        <v>0</v>
      </c>
      <c r="AX3" s="110">
        <v>0</v>
      </c>
      <c r="AY3" s="110">
        <v>0</v>
      </c>
      <c r="AZ3" s="110">
        <v>0</v>
      </c>
      <c r="BA3" s="110">
        <v>0</v>
      </c>
      <c r="BB3" s="110">
        <v>0</v>
      </c>
      <c r="BC3" s="110">
        <v>0</v>
      </c>
      <c r="BD3" s="110">
        <v>0</v>
      </c>
      <c r="BE3" s="110">
        <v>0</v>
      </c>
      <c r="BF3" s="110">
        <v>0</v>
      </c>
      <c r="BG3" s="110">
        <v>0</v>
      </c>
      <c r="BH3" s="110">
        <v>0</v>
      </c>
      <c r="BI3" s="110">
        <v>0</v>
      </c>
      <c r="BJ3" s="110">
        <v>0</v>
      </c>
      <c r="BK3" s="110">
        <v>0</v>
      </c>
      <c r="BL3" s="110">
        <v>0</v>
      </c>
      <c r="BM3" s="110">
        <v>0</v>
      </c>
      <c r="BN3" s="110">
        <v>0</v>
      </c>
      <c r="BO3" s="110">
        <v>0</v>
      </c>
      <c r="BP3" s="110">
        <v>0</v>
      </c>
      <c r="BQ3" s="110">
        <v>0</v>
      </c>
      <c r="BR3" s="110">
        <v>0</v>
      </c>
      <c r="BS3" s="110">
        <v>0</v>
      </c>
      <c r="BT3" s="110">
        <v>0</v>
      </c>
      <c r="BU3" s="110">
        <v>0</v>
      </c>
      <c r="BV3" s="110">
        <v>0</v>
      </c>
      <c r="BW3" s="110">
        <v>0</v>
      </c>
      <c r="BX3" s="110">
        <v>0</v>
      </c>
      <c r="BY3" s="110">
        <v>0</v>
      </c>
      <c r="BZ3" s="110">
        <v>0</v>
      </c>
      <c r="CA3" s="110">
        <v>0</v>
      </c>
      <c r="CB3" s="110">
        <v>0</v>
      </c>
      <c r="CC3" s="110">
        <v>0</v>
      </c>
      <c r="CD3" s="110">
        <v>0</v>
      </c>
      <c r="CE3" s="110">
        <v>0</v>
      </c>
      <c r="CF3" s="110">
        <v>0</v>
      </c>
      <c r="CG3" s="110">
        <v>0</v>
      </c>
    </row>
    <row r="4" spans="1:85" customFormat="1" x14ac:dyDescent="0.15">
      <c r="A4" s="188" t="s">
        <v>194</v>
      </c>
      <c r="B4" s="110">
        <v>0</v>
      </c>
      <c r="C4" s="110">
        <v>0</v>
      </c>
      <c r="D4" s="110">
        <v>0</v>
      </c>
      <c r="E4" s="110">
        <v>0</v>
      </c>
      <c r="F4" s="110">
        <v>0</v>
      </c>
      <c r="G4" s="110">
        <v>0</v>
      </c>
      <c r="H4" s="110">
        <v>0</v>
      </c>
      <c r="I4" s="110">
        <v>0</v>
      </c>
      <c r="J4" s="110">
        <v>0</v>
      </c>
      <c r="K4" s="110">
        <v>0</v>
      </c>
      <c r="L4" s="110">
        <v>0</v>
      </c>
      <c r="M4" s="110">
        <v>0</v>
      </c>
      <c r="N4" s="110">
        <v>0</v>
      </c>
      <c r="O4" s="110">
        <v>0</v>
      </c>
      <c r="P4" s="110">
        <v>0</v>
      </c>
      <c r="Q4" s="110">
        <v>0</v>
      </c>
      <c r="R4" s="110">
        <v>0</v>
      </c>
      <c r="S4" s="110">
        <v>0</v>
      </c>
      <c r="T4" s="110">
        <v>0</v>
      </c>
      <c r="U4" s="110">
        <v>0</v>
      </c>
      <c r="V4" s="110">
        <v>0</v>
      </c>
      <c r="W4" s="110">
        <v>0</v>
      </c>
      <c r="X4" s="110">
        <v>0</v>
      </c>
      <c r="Y4" s="110">
        <v>0</v>
      </c>
      <c r="Z4" s="110">
        <v>0</v>
      </c>
      <c r="AA4" s="110">
        <v>0</v>
      </c>
      <c r="AB4" s="110">
        <v>0</v>
      </c>
      <c r="AC4" s="110">
        <v>0</v>
      </c>
      <c r="AD4" s="110">
        <v>0</v>
      </c>
      <c r="AE4" s="110">
        <v>0</v>
      </c>
      <c r="AF4" s="110">
        <v>0</v>
      </c>
      <c r="AG4" s="110">
        <v>0</v>
      </c>
      <c r="AH4" s="110">
        <v>0</v>
      </c>
      <c r="AI4" s="110">
        <v>0</v>
      </c>
      <c r="AJ4" s="110">
        <v>0</v>
      </c>
      <c r="AK4" s="110">
        <v>0</v>
      </c>
      <c r="AL4" s="110">
        <v>0</v>
      </c>
      <c r="AM4" s="110">
        <v>0</v>
      </c>
      <c r="AN4" s="110">
        <v>0</v>
      </c>
      <c r="AO4" s="110">
        <v>0</v>
      </c>
      <c r="AP4" s="110">
        <v>0</v>
      </c>
      <c r="AQ4" s="110">
        <v>0</v>
      </c>
      <c r="AR4" s="110">
        <v>0</v>
      </c>
      <c r="AS4" s="110">
        <v>0</v>
      </c>
      <c r="AT4" s="110">
        <v>0</v>
      </c>
      <c r="AU4" s="110">
        <v>0</v>
      </c>
      <c r="AV4" s="110">
        <v>0</v>
      </c>
      <c r="AW4" s="110">
        <v>0</v>
      </c>
      <c r="AX4" s="110">
        <v>0</v>
      </c>
      <c r="AY4" s="110">
        <v>0</v>
      </c>
      <c r="AZ4" s="110">
        <v>0</v>
      </c>
      <c r="BA4" s="110">
        <v>0</v>
      </c>
      <c r="BB4" s="110">
        <v>0</v>
      </c>
      <c r="BC4" s="110">
        <v>0</v>
      </c>
      <c r="BD4" s="110">
        <v>0</v>
      </c>
      <c r="BE4" s="110">
        <v>0</v>
      </c>
      <c r="BF4" s="110">
        <v>0</v>
      </c>
      <c r="BG4" s="110">
        <v>0</v>
      </c>
      <c r="BH4" s="110">
        <v>0</v>
      </c>
      <c r="BI4" s="110">
        <v>0</v>
      </c>
      <c r="BJ4" s="110">
        <v>0</v>
      </c>
      <c r="BK4" s="110">
        <v>0</v>
      </c>
      <c r="BL4" s="110">
        <v>0</v>
      </c>
      <c r="BM4" s="110">
        <v>0</v>
      </c>
      <c r="BN4" s="110">
        <v>0</v>
      </c>
      <c r="BO4" s="110">
        <v>0</v>
      </c>
      <c r="BP4" s="110">
        <v>0</v>
      </c>
      <c r="BQ4" s="110">
        <v>0</v>
      </c>
      <c r="BR4" s="110">
        <v>0</v>
      </c>
      <c r="BS4" s="110">
        <v>0</v>
      </c>
      <c r="BT4" s="110">
        <v>0</v>
      </c>
      <c r="BU4" s="110">
        <v>0</v>
      </c>
      <c r="BV4" s="110">
        <v>0</v>
      </c>
      <c r="BW4" s="110">
        <v>0</v>
      </c>
      <c r="BX4" s="110">
        <v>0</v>
      </c>
      <c r="BY4" s="110">
        <v>0</v>
      </c>
      <c r="BZ4" s="110">
        <v>0</v>
      </c>
      <c r="CA4" s="110">
        <v>0</v>
      </c>
      <c r="CB4" s="110">
        <v>0</v>
      </c>
      <c r="CC4" s="110">
        <v>0</v>
      </c>
      <c r="CD4" s="110">
        <v>0</v>
      </c>
      <c r="CE4" s="110">
        <v>0</v>
      </c>
      <c r="CF4" s="110">
        <v>0</v>
      </c>
      <c r="CG4" s="110">
        <v>0</v>
      </c>
    </row>
    <row r="5" spans="1:85" customFormat="1" x14ac:dyDescent="0.15">
      <c r="A5" s="188" t="s">
        <v>195</v>
      </c>
      <c r="B5" s="110">
        <v>0</v>
      </c>
      <c r="C5" s="110">
        <v>0</v>
      </c>
      <c r="D5" s="110">
        <v>1</v>
      </c>
      <c r="E5" s="110">
        <v>0</v>
      </c>
      <c r="F5" s="110">
        <v>0</v>
      </c>
      <c r="G5" s="110">
        <v>0</v>
      </c>
      <c r="H5" s="110">
        <v>1</v>
      </c>
      <c r="I5" s="110">
        <v>0</v>
      </c>
      <c r="J5" s="110">
        <v>0</v>
      </c>
      <c r="K5" s="110">
        <v>0</v>
      </c>
      <c r="L5" s="110">
        <v>0</v>
      </c>
      <c r="M5" s="110">
        <v>0</v>
      </c>
      <c r="N5" s="110">
        <v>0</v>
      </c>
      <c r="O5" s="110">
        <v>0</v>
      </c>
      <c r="P5" s="110">
        <v>0</v>
      </c>
      <c r="Q5" s="110">
        <v>0</v>
      </c>
      <c r="R5" s="110">
        <v>0</v>
      </c>
      <c r="S5" s="110">
        <v>0</v>
      </c>
      <c r="T5" s="110">
        <v>0</v>
      </c>
      <c r="U5" s="110">
        <v>0</v>
      </c>
      <c r="V5" s="110">
        <v>0</v>
      </c>
      <c r="W5" s="110">
        <v>0</v>
      </c>
      <c r="X5" s="110">
        <v>0</v>
      </c>
      <c r="Y5" s="110">
        <v>0</v>
      </c>
      <c r="Z5" s="110">
        <v>0</v>
      </c>
      <c r="AA5" s="110">
        <v>0</v>
      </c>
      <c r="AB5" s="110">
        <v>0</v>
      </c>
      <c r="AC5" s="110">
        <v>0</v>
      </c>
      <c r="AD5" s="110">
        <v>0</v>
      </c>
      <c r="AE5" s="110">
        <v>0</v>
      </c>
      <c r="AF5" s="110">
        <v>0</v>
      </c>
      <c r="AG5" s="110">
        <v>0</v>
      </c>
      <c r="AH5" s="110">
        <v>0</v>
      </c>
      <c r="AI5" s="110">
        <v>0</v>
      </c>
      <c r="AJ5" s="110">
        <v>0</v>
      </c>
      <c r="AK5" s="110">
        <v>0</v>
      </c>
      <c r="AL5" s="110">
        <v>0</v>
      </c>
      <c r="AM5" s="110">
        <v>0</v>
      </c>
      <c r="AN5" s="110">
        <v>0</v>
      </c>
      <c r="AO5" s="110">
        <v>0</v>
      </c>
      <c r="AP5" s="110">
        <v>0</v>
      </c>
      <c r="AQ5" s="110">
        <v>0</v>
      </c>
      <c r="AR5" s="110">
        <v>0</v>
      </c>
      <c r="AS5" s="110">
        <v>0</v>
      </c>
      <c r="AT5" s="110">
        <v>0</v>
      </c>
      <c r="AU5" s="110">
        <v>0</v>
      </c>
      <c r="AV5" s="110">
        <v>0</v>
      </c>
      <c r="AW5" s="110">
        <v>0</v>
      </c>
      <c r="AX5" s="110">
        <v>0</v>
      </c>
      <c r="AY5" s="110">
        <v>0</v>
      </c>
      <c r="AZ5" s="110">
        <v>0</v>
      </c>
      <c r="BA5" s="110">
        <v>0</v>
      </c>
      <c r="BB5" s="110">
        <v>0</v>
      </c>
      <c r="BC5" s="110">
        <v>0</v>
      </c>
      <c r="BD5" s="110">
        <v>0</v>
      </c>
      <c r="BE5" s="110">
        <v>0</v>
      </c>
      <c r="BF5" s="110">
        <v>0</v>
      </c>
      <c r="BG5" s="110">
        <v>0</v>
      </c>
      <c r="BH5" s="110">
        <v>0</v>
      </c>
      <c r="BI5" s="110">
        <v>0</v>
      </c>
      <c r="BJ5" s="110">
        <v>0</v>
      </c>
      <c r="BK5" s="110">
        <v>0</v>
      </c>
      <c r="BL5" s="110">
        <v>0</v>
      </c>
      <c r="BM5" s="110">
        <v>0</v>
      </c>
      <c r="BN5" s="110">
        <v>0</v>
      </c>
      <c r="BO5" s="110">
        <v>0</v>
      </c>
      <c r="BP5" s="110">
        <v>0</v>
      </c>
      <c r="BQ5" s="110">
        <v>0</v>
      </c>
      <c r="BR5" s="110">
        <v>0</v>
      </c>
      <c r="BS5" s="110">
        <v>0</v>
      </c>
      <c r="BT5" s="110">
        <v>0</v>
      </c>
      <c r="BU5" s="110">
        <v>0</v>
      </c>
      <c r="BV5" s="110">
        <v>0</v>
      </c>
      <c r="BW5" s="110">
        <v>0</v>
      </c>
      <c r="BX5" s="110">
        <v>0</v>
      </c>
      <c r="BY5" s="110">
        <v>0</v>
      </c>
      <c r="BZ5" s="110">
        <v>0</v>
      </c>
      <c r="CA5" s="110">
        <v>0</v>
      </c>
      <c r="CB5" s="110">
        <v>0</v>
      </c>
      <c r="CC5" s="110">
        <v>0</v>
      </c>
      <c r="CD5" s="110">
        <v>0</v>
      </c>
      <c r="CE5" s="110">
        <v>0</v>
      </c>
      <c r="CF5" s="110">
        <v>0</v>
      </c>
      <c r="CG5" s="110">
        <v>0</v>
      </c>
    </row>
    <row r="6" spans="1:85" customFormat="1" x14ac:dyDescent="0.15">
      <c r="A6" s="188" t="s">
        <v>196</v>
      </c>
      <c r="B6" s="110">
        <v>0</v>
      </c>
      <c r="C6" s="110">
        <v>0</v>
      </c>
      <c r="D6" s="110">
        <v>0</v>
      </c>
      <c r="E6" s="110">
        <v>0</v>
      </c>
      <c r="F6" s="110">
        <v>0</v>
      </c>
      <c r="G6" s="110">
        <v>0</v>
      </c>
      <c r="H6" s="110">
        <v>0</v>
      </c>
      <c r="I6" s="110">
        <v>0</v>
      </c>
      <c r="J6" s="110">
        <v>0</v>
      </c>
      <c r="K6" s="110">
        <v>0</v>
      </c>
      <c r="L6" s="110">
        <v>0</v>
      </c>
      <c r="M6" s="110">
        <v>0</v>
      </c>
      <c r="N6" s="110">
        <v>0</v>
      </c>
      <c r="O6" s="110">
        <v>0</v>
      </c>
      <c r="P6" s="110">
        <v>0</v>
      </c>
      <c r="Q6" s="110">
        <v>0</v>
      </c>
      <c r="R6" s="110">
        <v>0</v>
      </c>
      <c r="S6" s="110">
        <v>0</v>
      </c>
      <c r="T6" s="110">
        <v>0</v>
      </c>
      <c r="U6" s="110">
        <v>0</v>
      </c>
      <c r="V6" s="110">
        <v>0</v>
      </c>
      <c r="W6" s="110">
        <v>0</v>
      </c>
      <c r="X6" s="110">
        <v>0</v>
      </c>
      <c r="Y6" s="110">
        <v>0</v>
      </c>
      <c r="Z6" s="110">
        <v>0</v>
      </c>
      <c r="AA6" s="110">
        <v>0</v>
      </c>
      <c r="AB6" s="110">
        <v>0</v>
      </c>
      <c r="AC6" s="110">
        <v>0</v>
      </c>
      <c r="AD6" s="110">
        <v>0</v>
      </c>
      <c r="AE6" s="110">
        <v>0</v>
      </c>
      <c r="AF6" s="110">
        <v>0</v>
      </c>
      <c r="AG6" s="110">
        <v>0</v>
      </c>
      <c r="AH6" s="110">
        <v>0</v>
      </c>
      <c r="AI6" s="110">
        <v>0</v>
      </c>
      <c r="AJ6" s="110">
        <v>0</v>
      </c>
      <c r="AK6" s="110">
        <v>0</v>
      </c>
      <c r="AL6" s="110">
        <v>0</v>
      </c>
      <c r="AM6" s="110">
        <v>0</v>
      </c>
      <c r="AN6" s="110">
        <v>0</v>
      </c>
      <c r="AO6" s="110">
        <v>0</v>
      </c>
      <c r="AP6" s="110">
        <v>0</v>
      </c>
      <c r="AQ6" s="110">
        <v>0</v>
      </c>
      <c r="AR6" s="110">
        <v>0</v>
      </c>
      <c r="AS6" s="110">
        <v>0</v>
      </c>
      <c r="AT6" s="110">
        <v>0</v>
      </c>
      <c r="AU6" s="110">
        <v>0</v>
      </c>
      <c r="AV6" s="110">
        <v>0</v>
      </c>
      <c r="AW6" s="110">
        <v>0</v>
      </c>
      <c r="AX6" s="110">
        <v>0</v>
      </c>
      <c r="AY6" s="110">
        <v>0</v>
      </c>
      <c r="AZ6" s="110">
        <v>0</v>
      </c>
      <c r="BA6" s="110">
        <v>0</v>
      </c>
      <c r="BB6" s="110">
        <v>0</v>
      </c>
      <c r="BC6" s="110">
        <v>0</v>
      </c>
      <c r="BD6" s="110">
        <v>0</v>
      </c>
      <c r="BE6" s="110">
        <v>0</v>
      </c>
      <c r="BF6" s="110">
        <v>0</v>
      </c>
      <c r="BG6" s="110">
        <v>0</v>
      </c>
      <c r="BH6" s="110">
        <v>0</v>
      </c>
      <c r="BI6" s="110">
        <v>0</v>
      </c>
      <c r="BJ6" s="110">
        <v>0</v>
      </c>
      <c r="BK6" s="110">
        <v>0</v>
      </c>
      <c r="BL6" s="110">
        <v>0</v>
      </c>
      <c r="BM6" s="110">
        <v>0</v>
      </c>
      <c r="BN6" s="110">
        <v>0</v>
      </c>
      <c r="BO6" s="110">
        <v>0</v>
      </c>
      <c r="BP6" s="110">
        <v>0</v>
      </c>
      <c r="BQ6" s="110">
        <v>0</v>
      </c>
      <c r="BR6" s="110">
        <v>0</v>
      </c>
      <c r="BS6" s="110">
        <v>0</v>
      </c>
      <c r="BT6" s="110">
        <v>0</v>
      </c>
      <c r="BU6" s="110">
        <v>0</v>
      </c>
      <c r="BV6" s="110">
        <v>0</v>
      </c>
      <c r="BW6" s="110">
        <v>0</v>
      </c>
      <c r="BX6" s="110">
        <v>0</v>
      </c>
      <c r="BY6" s="110">
        <v>0</v>
      </c>
      <c r="BZ6" s="110">
        <v>0</v>
      </c>
      <c r="CA6" s="110">
        <v>0</v>
      </c>
      <c r="CB6" s="110">
        <v>0</v>
      </c>
      <c r="CC6" s="110">
        <v>0</v>
      </c>
      <c r="CD6" s="110">
        <v>0</v>
      </c>
      <c r="CE6" s="110">
        <v>0</v>
      </c>
      <c r="CF6" s="110">
        <v>0</v>
      </c>
      <c r="CG6" s="110">
        <v>0</v>
      </c>
    </row>
    <row r="7" spans="1:85" customFormat="1" x14ac:dyDescent="0.15">
      <c r="A7" s="188" t="s">
        <v>197</v>
      </c>
      <c r="B7" s="110">
        <v>0</v>
      </c>
      <c r="C7" s="110">
        <v>0</v>
      </c>
      <c r="D7" s="110">
        <v>0</v>
      </c>
      <c r="E7" s="110">
        <v>0</v>
      </c>
      <c r="F7" s="110">
        <v>0</v>
      </c>
      <c r="G7" s="110">
        <v>0</v>
      </c>
      <c r="H7" s="110">
        <v>0</v>
      </c>
      <c r="I7" s="110">
        <v>0</v>
      </c>
      <c r="J7" s="110">
        <v>0</v>
      </c>
      <c r="K7" s="110">
        <v>0</v>
      </c>
      <c r="L7" s="110">
        <v>0</v>
      </c>
      <c r="M7" s="110">
        <v>0</v>
      </c>
      <c r="N7" s="110">
        <v>0</v>
      </c>
      <c r="O7" s="110">
        <v>0</v>
      </c>
      <c r="P7" s="110">
        <v>0</v>
      </c>
      <c r="Q7" s="110">
        <v>0</v>
      </c>
      <c r="R7" s="110">
        <v>0</v>
      </c>
      <c r="S7" s="110">
        <v>0</v>
      </c>
      <c r="T7" s="110">
        <v>0</v>
      </c>
      <c r="U7" s="110">
        <v>0</v>
      </c>
      <c r="V7" s="110">
        <v>0</v>
      </c>
      <c r="W7" s="110">
        <v>0</v>
      </c>
      <c r="X7" s="110">
        <v>0</v>
      </c>
      <c r="Y7" s="110">
        <v>0</v>
      </c>
      <c r="Z7" s="110">
        <v>0</v>
      </c>
      <c r="AA7" s="110">
        <v>0</v>
      </c>
      <c r="AB7" s="110">
        <v>0</v>
      </c>
      <c r="AC7" s="110">
        <v>0</v>
      </c>
      <c r="AD7" s="110">
        <v>0</v>
      </c>
      <c r="AE7" s="110">
        <v>0</v>
      </c>
      <c r="AF7" s="110">
        <v>0</v>
      </c>
      <c r="AG7" s="110">
        <v>0</v>
      </c>
      <c r="AH7" s="110">
        <v>0</v>
      </c>
      <c r="AI7" s="110">
        <v>0</v>
      </c>
      <c r="AJ7" s="110">
        <v>0</v>
      </c>
      <c r="AK7" s="110">
        <v>0</v>
      </c>
      <c r="AL7" s="110">
        <v>0</v>
      </c>
      <c r="AM7" s="110">
        <v>0</v>
      </c>
      <c r="AN7" s="110">
        <v>0</v>
      </c>
      <c r="AO7" s="110">
        <v>0</v>
      </c>
      <c r="AP7" s="110">
        <v>0</v>
      </c>
      <c r="AQ7" s="110">
        <v>0</v>
      </c>
      <c r="AR7" s="110">
        <v>0</v>
      </c>
      <c r="AS7" s="110">
        <v>0</v>
      </c>
      <c r="AT7" s="110">
        <v>0</v>
      </c>
      <c r="AU7" s="110">
        <v>0</v>
      </c>
      <c r="AV7" s="110">
        <v>0</v>
      </c>
      <c r="AW7" s="110">
        <v>0</v>
      </c>
      <c r="AX7" s="110">
        <v>0</v>
      </c>
      <c r="AY7" s="110">
        <v>0</v>
      </c>
      <c r="AZ7" s="110">
        <v>0</v>
      </c>
      <c r="BA7" s="110">
        <v>0</v>
      </c>
      <c r="BB7" s="110">
        <v>0</v>
      </c>
      <c r="BC7" s="110">
        <v>0</v>
      </c>
      <c r="BD7" s="110">
        <v>0</v>
      </c>
      <c r="BE7" s="110">
        <v>0</v>
      </c>
      <c r="BF7" s="110">
        <v>0</v>
      </c>
      <c r="BG7" s="110">
        <v>0</v>
      </c>
      <c r="BH7" s="110">
        <v>0</v>
      </c>
      <c r="BI7" s="110">
        <v>0</v>
      </c>
      <c r="BJ7" s="110">
        <v>0</v>
      </c>
      <c r="BK7" s="110">
        <v>0</v>
      </c>
      <c r="BL7" s="110">
        <v>0</v>
      </c>
      <c r="BM7" s="110">
        <v>0</v>
      </c>
      <c r="BN7" s="110">
        <v>0</v>
      </c>
      <c r="BO7" s="110">
        <v>0</v>
      </c>
      <c r="BP7" s="110">
        <v>0</v>
      </c>
      <c r="BQ7" s="110">
        <v>0</v>
      </c>
      <c r="BR7" s="110">
        <v>0</v>
      </c>
      <c r="BS7" s="110">
        <v>0</v>
      </c>
      <c r="BT7" s="110">
        <v>0</v>
      </c>
      <c r="BU7" s="110">
        <v>0</v>
      </c>
      <c r="BV7" s="110">
        <v>0</v>
      </c>
      <c r="BW7" s="110">
        <v>0</v>
      </c>
      <c r="BX7" s="110">
        <v>0</v>
      </c>
      <c r="BY7" s="110">
        <v>0</v>
      </c>
      <c r="BZ7" s="110">
        <v>0</v>
      </c>
      <c r="CA7" s="110">
        <v>0</v>
      </c>
      <c r="CB7" s="110">
        <v>0</v>
      </c>
      <c r="CC7" s="110">
        <v>0</v>
      </c>
      <c r="CD7" s="110">
        <v>0</v>
      </c>
      <c r="CE7" s="110">
        <v>0</v>
      </c>
      <c r="CF7" s="110">
        <v>0</v>
      </c>
      <c r="CG7" s="110">
        <v>0</v>
      </c>
    </row>
    <row r="8" spans="1:85" customFormat="1" x14ac:dyDescent="0.15">
      <c r="A8" s="188" t="s">
        <v>198</v>
      </c>
      <c r="B8" s="110">
        <v>0</v>
      </c>
      <c r="C8" s="110">
        <v>0</v>
      </c>
      <c r="D8" s="110">
        <v>0</v>
      </c>
      <c r="E8" s="110">
        <v>0</v>
      </c>
      <c r="F8" s="110">
        <v>0</v>
      </c>
      <c r="G8" s="110">
        <v>0</v>
      </c>
      <c r="H8" s="110">
        <v>0</v>
      </c>
      <c r="I8" s="110">
        <v>0</v>
      </c>
      <c r="J8" s="110">
        <v>0</v>
      </c>
      <c r="K8" s="110">
        <v>0</v>
      </c>
      <c r="L8" s="110">
        <v>0</v>
      </c>
      <c r="M8" s="110">
        <v>0</v>
      </c>
      <c r="N8" s="110">
        <v>0</v>
      </c>
      <c r="O8" s="110">
        <v>0</v>
      </c>
      <c r="P8" s="110">
        <v>0</v>
      </c>
      <c r="Q8" s="110">
        <v>0</v>
      </c>
      <c r="R8" s="110">
        <v>0</v>
      </c>
      <c r="S8" s="110">
        <v>0</v>
      </c>
      <c r="T8" s="110">
        <v>0</v>
      </c>
      <c r="U8" s="110">
        <v>0</v>
      </c>
      <c r="V8" s="110">
        <v>0</v>
      </c>
      <c r="W8" s="110">
        <v>0</v>
      </c>
      <c r="X8" s="110">
        <v>0</v>
      </c>
      <c r="Y8" s="110">
        <v>0</v>
      </c>
      <c r="Z8" s="110">
        <v>0</v>
      </c>
      <c r="AA8" s="110">
        <v>0</v>
      </c>
      <c r="AB8" s="110">
        <v>0</v>
      </c>
      <c r="AC8" s="110">
        <v>0</v>
      </c>
      <c r="AD8" s="110">
        <v>0</v>
      </c>
      <c r="AE8" s="110">
        <v>0</v>
      </c>
      <c r="AF8" s="110">
        <v>0</v>
      </c>
      <c r="AG8" s="110">
        <v>0</v>
      </c>
      <c r="AH8" s="110">
        <v>0</v>
      </c>
      <c r="AI8" s="110">
        <v>0</v>
      </c>
      <c r="AJ8" s="110">
        <v>0</v>
      </c>
      <c r="AK8" s="110">
        <v>0</v>
      </c>
      <c r="AL8" s="110">
        <v>0</v>
      </c>
      <c r="AM8" s="110">
        <v>0</v>
      </c>
      <c r="AN8" s="110">
        <v>0</v>
      </c>
      <c r="AO8" s="110">
        <v>0</v>
      </c>
      <c r="AP8" s="110">
        <v>0</v>
      </c>
      <c r="AQ8" s="110">
        <v>0</v>
      </c>
      <c r="AR8" s="110">
        <v>0</v>
      </c>
      <c r="AS8" s="110">
        <v>0</v>
      </c>
      <c r="AT8" s="110">
        <v>0</v>
      </c>
      <c r="AU8" s="110">
        <v>0</v>
      </c>
      <c r="AV8" s="110">
        <v>0</v>
      </c>
      <c r="AW8" s="110">
        <v>0</v>
      </c>
      <c r="AX8" s="110">
        <v>0</v>
      </c>
      <c r="AY8" s="110">
        <v>0</v>
      </c>
      <c r="AZ8" s="110">
        <v>0</v>
      </c>
      <c r="BA8" s="110">
        <v>0</v>
      </c>
      <c r="BB8" s="110">
        <v>0</v>
      </c>
      <c r="BC8" s="110">
        <v>0</v>
      </c>
      <c r="BD8" s="110">
        <v>0</v>
      </c>
      <c r="BE8" s="110">
        <v>0</v>
      </c>
      <c r="BF8" s="110">
        <v>0</v>
      </c>
      <c r="BG8" s="110">
        <v>0</v>
      </c>
      <c r="BH8" s="110">
        <v>0</v>
      </c>
      <c r="BI8" s="110">
        <v>0</v>
      </c>
      <c r="BJ8" s="110">
        <v>0</v>
      </c>
      <c r="BK8" s="110">
        <v>0</v>
      </c>
      <c r="BL8" s="110">
        <v>0</v>
      </c>
      <c r="BM8" s="110">
        <v>0</v>
      </c>
      <c r="BN8" s="110">
        <v>0</v>
      </c>
      <c r="BO8" s="110">
        <v>0</v>
      </c>
      <c r="BP8" s="110">
        <v>0</v>
      </c>
      <c r="BQ8" s="110">
        <v>0</v>
      </c>
      <c r="BR8" s="110">
        <v>0</v>
      </c>
      <c r="BS8" s="110">
        <v>0</v>
      </c>
      <c r="BT8" s="110">
        <v>0</v>
      </c>
      <c r="BU8" s="110">
        <v>0</v>
      </c>
      <c r="BV8" s="110">
        <v>0</v>
      </c>
      <c r="BW8" s="110">
        <v>0</v>
      </c>
      <c r="BX8" s="110">
        <v>0</v>
      </c>
      <c r="BY8" s="110">
        <v>0</v>
      </c>
      <c r="BZ8" s="110">
        <v>0</v>
      </c>
      <c r="CA8" s="110">
        <v>0</v>
      </c>
      <c r="CB8" s="110">
        <v>0</v>
      </c>
      <c r="CC8" s="110">
        <v>0</v>
      </c>
      <c r="CD8" s="110">
        <v>0</v>
      </c>
      <c r="CE8" s="110">
        <v>0</v>
      </c>
      <c r="CF8" s="110">
        <v>0</v>
      </c>
      <c r="CG8" s="110">
        <v>0</v>
      </c>
    </row>
    <row r="9" spans="1:85" customFormat="1" x14ac:dyDescent="0.15">
      <c r="A9" s="188" t="s">
        <v>199</v>
      </c>
      <c r="B9" s="110">
        <v>0</v>
      </c>
      <c r="C9" s="110">
        <v>0</v>
      </c>
      <c r="D9" s="110">
        <v>0</v>
      </c>
      <c r="E9" s="110">
        <v>0</v>
      </c>
      <c r="F9" s="110">
        <v>0</v>
      </c>
      <c r="G9" s="110">
        <v>0</v>
      </c>
      <c r="H9" s="110">
        <v>0</v>
      </c>
      <c r="I9" s="110">
        <v>0</v>
      </c>
      <c r="J9" s="110">
        <v>0</v>
      </c>
      <c r="K9" s="110">
        <v>0</v>
      </c>
      <c r="L9" s="110">
        <v>0</v>
      </c>
      <c r="M9" s="110">
        <v>0</v>
      </c>
      <c r="N9" s="110">
        <v>0</v>
      </c>
      <c r="O9" s="110">
        <v>0</v>
      </c>
      <c r="P9" s="110">
        <v>0</v>
      </c>
      <c r="Q9" s="110">
        <v>0</v>
      </c>
      <c r="R9" s="110">
        <v>0</v>
      </c>
      <c r="S9" s="110">
        <v>0</v>
      </c>
      <c r="T9" s="110">
        <v>0</v>
      </c>
      <c r="U9" s="110">
        <v>0</v>
      </c>
      <c r="V9" s="110">
        <v>0</v>
      </c>
      <c r="W9" s="110">
        <v>0</v>
      </c>
      <c r="X9" s="110">
        <v>0</v>
      </c>
      <c r="Y9" s="110">
        <v>0</v>
      </c>
      <c r="Z9" s="110">
        <v>0</v>
      </c>
      <c r="AA9" s="110">
        <v>0</v>
      </c>
      <c r="AB9" s="110">
        <v>0</v>
      </c>
      <c r="AC9" s="110">
        <v>0</v>
      </c>
      <c r="AD9" s="110">
        <v>0</v>
      </c>
      <c r="AE9" s="110">
        <v>0</v>
      </c>
      <c r="AF9" s="110">
        <v>0</v>
      </c>
      <c r="AG9" s="110">
        <v>0</v>
      </c>
      <c r="AH9" s="110">
        <v>0</v>
      </c>
      <c r="AI9" s="110">
        <v>0</v>
      </c>
      <c r="AJ9" s="110">
        <v>0</v>
      </c>
      <c r="AK9" s="110">
        <v>0</v>
      </c>
      <c r="AL9" s="110">
        <v>0</v>
      </c>
      <c r="AM9" s="110">
        <v>0</v>
      </c>
      <c r="AN9" s="110">
        <v>0</v>
      </c>
      <c r="AO9" s="110">
        <v>0</v>
      </c>
      <c r="AP9" s="110">
        <v>0</v>
      </c>
      <c r="AQ9" s="110">
        <v>0</v>
      </c>
      <c r="AR9" s="110">
        <v>0</v>
      </c>
      <c r="AS9" s="110">
        <v>0</v>
      </c>
      <c r="AT9" s="110">
        <v>0</v>
      </c>
      <c r="AU9" s="110">
        <v>0</v>
      </c>
      <c r="AV9" s="110">
        <v>0</v>
      </c>
      <c r="AW9" s="110">
        <v>0</v>
      </c>
      <c r="AX9" s="110">
        <v>0</v>
      </c>
      <c r="AY9" s="110">
        <v>0</v>
      </c>
      <c r="AZ9" s="110">
        <v>0</v>
      </c>
      <c r="BA9" s="110">
        <v>0</v>
      </c>
      <c r="BB9" s="110">
        <v>0</v>
      </c>
      <c r="BC9" s="110">
        <v>0</v>
      </c>
      <c r="BD9" s="110">
        <v>0</v>
      </c>
      <c r="BE9" s="110">
        <v>0</v>
      </c>
      <c r="BF9" s="110">
        <v>0</v>
      </c>
      <c r="BG9" s="110">
        <v>0</v>
      </c>
      <c r="BH9" s="110">
        <v>0</v>
      </c>
      <c r="BI9" s="110">
        <v>0</v>
      </c>
      <c r="BJ9" s="110">
        <v>0</v>
      </c>
      <c r="BK9" s="110">
        <v>0</v>
      </c>
      <c r="BL9" s="110">
        <v>0</v>
      </c>
      <c r="BM9" s="110">
        <v>0</v>
      </c>
      <c r="BN9" s="110">
        <v>0</v>
      </c>
      <c r="BO9" s="110">
        <v>0</v>
      </c>
      <c r="BP9" s="110">
        <v>0</v>
      </c>
      <c r="BQ9" s="110">
        <v>0</v>
      </c>
      <c r="BR9" s="110">
        <v>0</v>
      </c>
      <c r="BS9" s="110">
        <v>0</v>
      </c>
      <c r="BT9" s="110">
        <v>0</v>
      </c>
      <c r="BU9" s="110">
        <v>0</v>
      </c>
      <c r="BV9" s="110">
        <v>0</v>
      </c>
      <c r="BW9" s="110">
        <v>0</v>
      </c>
      <c r="BX9" s="110">
        <v>0</v>
      </c>
      <c r="BY9" s="110">
        <v>0</v>
      </c>
      <c r="BZ9" s="110">
        <v>0</v>
      </c>
      <c r="CA9" s="110">
        <v>0</v>
      </c>
      <c r="CB9" s="110">
        <v>0</v>
      </c>
      <c r="CC9" s="110">
        <v>0</v>
      </c>
      <c r="CD9" s="110">
        <v>0</v>
      </c>
      <c r="CE9" s="110">
        <v>0</v>
      </c>
      <c r="CF9" s="110">
        <v>0</v>
      </c>
      <c r="CG9" s="110">
        <v>0</v>
      </c>
    </row>
    <row r="10" spans="1:85" customFormat="1" x14ac:dyDescent="0.15">
      <c r="A10" s="188" t="s">
        <v>200</v>
      </c>
      <c r="B10" s="110">
        <v>0</v>
      </c>
      <c r="C10" s="110">
        <v>0</v>
      </c>
      <c r="D10" s="110">
        <v>0</v>
      </c>
      <c r="E10" s="110">
        <v>0</v>
      </c>
      <c r="F10" s="110">
        <v>0</v>
      </c>
      <c r="G10" s="110">
        <v>0</v>
      </c>
      <c r="H10" s="110">
        <v>0</v>
      </c>
      <c r="I10" s="110">
        <v>0</v>
      </c>
      <c r="J10" s="110">
        <v>0</v>
      </c>
      <c r="K10" s="110">
        <v>0</v>
      </c>
      <c r="L10" s="110">
        <v>0</v>
      </c>
      <c r="M10" s="110">
        <v>0</v>
      </c>
      <c r="N10" s="110">
        <v>0</v>
      </c>
      <c r="O10" s="110">
        <v>0</v>
      </c>
      <c r="P10" s="110">
        <v>0</v>
      </c>
      <c r="Q10" s="110">
        <v>0</v>
      </c>
      <c r="R10" s="110">
        <v>0</v>
      </c>
      <c r="S10" s="110">
        <v>0</v>
      </c>
      <c r="T10" s="110">
        <v>0</v>
      </c>
      <c r="U10" s="110">
        <v>0</v>
      </c>
      <c r="V10" s="110">
        <v>0</v>
      </c>
      <c r="W10" s="110">
        <v>0</v>
      </c>
      <c r="X10" s="110">
        <v>0</v>
      </c>
      <c r="Y10" s="110">
        <v>0</v>
      </c>
      <c r="Z10" s="110">
        <v>0</v>
      </c>
      <c r="AA10" s="110">
        <v>0</v>
      </c>
      <c r="AB10" s="110">
        <v>0</v>
      </c>
      <c r="AC10" s="110">
        <v>0</v>
      </c>
      <c r="AD10" s="110">
        <v>0</v>
      </c>
      <c r="AE10" s="110">
        <v>0</v>
      </c>
      <c r="AF10" s="110">
        <v>0</v>
      </c>
      <c r="AG10" s="110">
        <v>0</v>
      </c>
      <c r="AH10" s="110">
        <v>0</v>
      </c>
      <c r="AI10" s="110">
        <v>0</v>
      </c>
      <c r="AJ10" s="110">
        <v>0</v>
      </c>
      <c r="AK10" s="110">
        <v>0</v>
      </c>
      <c r="AL10" s="110">
        <v>0</v>
      </c>
      <c r="AM10" s="110">
        <v>0</v>
      </c>
      <c r="AN10" s="110">
        <v>0</v>
      </c>
      <c r="AO10" s="110">
        <v>0</v>
      </c>
      <c r="AP10" s="110">
        <v>0</v>
      </c>
      <c r="AQ10" s="110">
        <v>0</v>
      </c>
      <c r="AR10" s="110">
        <v>0</v>
      </c>
      <c r="AS10" s="110">
        <v>0</v>
      </c>
      <c r="AT10" s="110">
        <v>0</v>
      </c>
      <c r="AU10" s="110">
        <v>0</v>
      </c>
      <c r="AV10" s="110">
        <v>0</v>
      </c>
      <c r="AW10" s="110">
        <v>0</v>
      </c>
      <c r="AX10" s="110">
        <v>0</v>
      </c>
      <c r="AY10" s="110">
        <v>0</v>
      </c>
      <c r="AZ10" s="110">
        <v>0</v>
      </c>
      <c r="BA10" s="110">
        <v>0</v>
      </c>
      <c r="BB10" s="110">
        <v>0</v>
      </c>
      <c r="BC10" s="110">
        <v>0</v>
      </c>
      <c r="BD10" s="110">
        <v>0</v>
      </c>
      <c r="BE10" s="110">
        <v>0</v>
      </c>
      <c r="BF10" s="110">
        <v>0</v>
      </c>
      <c r="BG10" s="110">
        <v>0</v>
      </c>
      <c r="BH10" s="110">
        <v>0</v>
      </c>
      <c r="BI10" s="110">
        <v>0</v>
      </c>
      <c r="BJ10" s="110">
        <v>0</v>
      </c>
      <c r="BK10" s="110">
        <v>0</v>
      </c>
      <c r="BL10" s="110">
        <v>0</v>
      </c>
      <c r="BM10" s="110">
        <v>0</v>
      </c>
      <c r="BN10" s="110">
        <v>0</v>
      </c>
      <c r="BO10" s="110">
        <v>0</v>
      </c>
      <c r="BP10" s="110">
        <v>0</v>
      </c>
      <c r="BQ10" s="110">
        <v>0</v>
      </c>
      <c r="BR10" s="110">
        <v>0</v>
      </c>
      <c r="BS10" s="110">
        <v>0</v>
      </c>
      <c r="BT10" s="110">
        <v>0</v>
      </c>
      <c r="BU10" s="110">
        <v>0</v>
      </c>
      <c r="BV10" s="110">
        <v>0</v>
      </c>
      <c r="BW10" s="110">
        <v>0</v>
      </c>
      <c r="BX10" s="110">
        <v>0</v>
      </c>
      <c r="BY10" s="110">
        <v>0</v>
      </c>
      <c r="BZ10" s="110">
        <v>0</v>
      </c>
      <c r="CA10" s="110">
        <v>0</v>
      </c>
      <c r="CB10" s="110">
        <v>0</v>
      </c>
      <c r="CC10" s="110">
        <v>0</v>
      </c>
      <c r="CD10" s="110">
        <v>0</v>
      </c>
      <c r="CE10" s="110">
        <v>0</v>
      </c>
      <c r="CF10" s="110">
        <v>0</v>
      </c>
      <c r="CG10" s="110">
        <v>0</v>
      </c>
    </row>
    <row r="11" spans="1:85" customFormat="1" x14ac:dyDescent="0.15">
      <c r="A11" s="188" t="s">
        <v>201</v>
      </c>
      <c r="B11" s="110">
        <v>0</v>
      </c>
      <c r="C11" s="110">
        <v>0</v>
      </c>
      <c r="D11" s="110">
        <v>0</v>
      </c>
      <c r="E11" s="110">
        <v>0</v>
      </c>
      <c r="F11" s="110">
        <v>0</v>
      </c>
      <c r="G11" s="110">
        <v>0</v>
      </c>
      <c r="H11" s="110">
        <v>0</v>
      </c>
      <c r="I11" s="110">
        <v>0</v>
      </c>
      <c r="J11" s="110">
        <v>0</v>
      </c>
      <c r="K11" s="110">
        <v>0</v>
      </c>
      <c r="L11" s="110">
        <v>0</v>
      </c>
      <c r="M11" s="110">
        <v>0</v>
      </c>
      <c r="N11" s="110">
        <v>0</v>
      </c>
      <c r="O11" s="110">
        <v>0</v>
      </c>
      <c r="P11" s="110">
        <v>0</v>
      </c>
      <c r="Q11" s="110">
        <v>0</v>
      </c>
      <c r="R11" s="110">
        <v>0</v>
      </c>
      <c r="S11" s="110">
        <v>0</v>
      </c>
      <c r="T11" s="110">
        <v>0</v>
      </c>
      <c r="U11" s="110">
        <v>0</v>
      </c>
      <c r="V11" s="110">
        <v>0</v>
      </c>
      <c r="W11" s="110">
        <v>0</v>
      </c>
      <c r="X11" s="110">
        <v>0</v>
      </c>
      <c r="Y11" s="110">
        <v>0</v>
      </c>
      <c r="Z11" s="110">
        <v>0</v>
      </c>
      <c r="AA11" s="110">
        <v>0</v>
      </c>
      <c r="AB11" s="110">
        <v>0</v>
      </c>
      <c r="AC11" s="110">
        <v>0</v>
      </c>
      <c r="AD11" s="110">
        <v>0</v>
      </c>
      <c r="AE11" s="110">
        <v>0</v>
      </c>
      <c r="AF11" s="110">
        <v>0</v>
      </c>
      <c r="AG11" s="110">
        <v>0</v>
      </c>
      <c r="AH11" s="110">
        <v>0</v>
      </c>
      <c r="AI11" s="110">
        <v>0</v>
      </c>
      <c r="AJ11" s="110">
        <v>0</v>
      </c>
      <c r="AK11" s="110">
        <v>0</v>
      </c>
      <c r="AL11" s="110">
        <v>0</v>
      </c>
      <c r="AM11" s="110">
        <v>0</v>
      </c>
      <c r="AN11" s="110">
        <v>0</v>
      </c>
      <c r="AO11" s="110">
        <v>0</v>
      </c>
      <c r="AP11" s="110">
        <v>0</v>
      </c>
      <c r="AQ11" s="110">
        <v>0</v>
      </c>
      <c r="AR11" s="110">
        <v>0</v>
      </c>
      <c r="AS11" s="110">
        <v>0</v>
      </c>
      <c r="AT11" s="110">
        <v>0</v>
      </c>
      <c r="AU11" s="110">
        <v>0</v>
      </c>
      <c r="AV11" s="110">
        <v>0</v>
      </c>
      <c r="AW11" s="110">
        <v>0</v>
      </c>
      <c r="AX11" s="110">
        <v>0</v>
      </c>
      <c r="AY11" s="110">
        <v>0</v>
      </c>
      <c r="AZ11" s="110">
        <v>0</v>
      </c>
      <c r="BA11" s="110">
        <v>0</v>
      </c>
      <c r="BB11" s="110">
        <v>0</v>
      </c>
      <c r="BC11" s="110">
        <v>0</v>
      </c>
      <c r="BD11" s="110">
        <v>0</v>
      </c>
      <c r="BE11" s="110">
        <v>0</v>
      </c>
      <c r="BF11" s="110">
        <v>0</v>
      </c>
      <c r="BG11" s="110">
        <v>0</v>
      </c>
      <c r="BH11" s="110">
        <v>0</v>
      </c>
      <c r="BI11" s="110">
        <v>0</v>
      </c>
      <c r="BJ11" s="110">
        <v>0</v>
      </c>
      <c r="BK11" s="110">
        <v>0</v>
      </c>
      <c r="BL11" s="110">
        <v>0</v>
      </c>
      <c r="BM11" s="110">
        <v>0</v>
      </c>
      <c r="BN11" s="110">
        <v>0</v>
      </c>
      <c r="BO11" s="110">
        <v>0</v>
      </c>
      <c r="BP11" s="110">
        <v>0</v>
      </c>
      <c r="BQ11" s="110">
        <v>0</v>
      </c>
      <c r="BR11" s="110">
        <v>0</v>
      </c>
      <c r="BS11" s="110">
        <v>0</v>
      </c>
      <c r="BT11" s="110">
        <v>0</v>
      </c>
      <c r="BU11" s="110">
        <v>0</v>
      </c>
      <c r="BV11" s="110">
        <v>0</v>
      </c>
      <c r="BW11" s="110">
        <v>0</v>
      </c>
      <c r="BX11" s="110">
        <v>0</v>
      </c>
      <c r="BY11" s="110">
        <v>0</v>
      </c>
      <c r="BZ11" s="110">
        <v>0</v>
      </c>
      <c r="CA11" s="110">
        <v>0</v>
      </c>
      <c r="CB11" s="110">
        <v>0</v>
      </c>
      <c r="CC11" s="110">
        <v>0</v>
      </c>
      <c r="CD11" s="110">
        <v>0</v>
      </c>
      <c r="CE11" s="110">
        <v>0</v>
      </c>
      <c r="CF11" s="110">
        <v>0</v>
      </c>
      <c r="CG11" s="110">
        <v>0</v>
      </c>
    </row>
    <row r="12" spans="1:85" customFormat="1" x14ac:dyDescent="0.15">
      <c r="A12" s="188" t="s">
        <v>202</v>
      </c>
      <c r="B12" s="110">
        <v>0</v>
      </c>
      <c r="C12" s="110">
        <v>0</v>
      </c>
      <c r="D12" s="110">
        <v>0</v>
      </c>
      <c r="E12" s="110">
        <v>0</v>
      </c>
      <c r="F12" s="110">
        <v>0</v>
      </c>
      <c r="G12" s="110">
        <v>0</v>
      </c>
      <c r="H12" s="110">
        <v>0</v>
      </c>
      <c r="I12" s="110">
        <v>0</v>
      </c>
      <c r="J12" s="110">
        <v>0</v>
      </c>
      <c r="K12" s="110">
        <v>0</v>
      </c>
      <c r="L12" s="110">
        <v>0</v>
      </c>
      <c r="M12" s="110">
        <v>1</v>
      </c>
      <c r="N12" s="110">
        <v>0</v>
      </c>
      <c r="O12" s="110">
        <v>1</v>
      </c>
      <c r="P12" s="110">
        <v>0</v>
      </c>
      <c r="Q12" s="110">
        <v>0</v>
      </c>
      <c r="R12" s="110">
        <v>0</v>
      </c>
      <c r="S12" s="110">
        <v>0</v>
      </c>
      <c r="T12" s="110">
        <v>0</v>
      </c>
      <c r="U12" s="110">
        <v>0</v>
      </c>
      <c r="V12" s="110">
        <v>0</v>
      </c>
      <c r="W12" s="110">
        <v>0</v>
      </c>
      <c r="X12" s="110">
        <v>0</v>
      </c>
      <c r="Y12" s="110">
        <v>0</v>
      </c>
      <c r="Z12" s="110">
        <v>0</v>
      </c>
      <c r="AA12" s="110">
        <v>0</v>
      </c>
      <c r="AB12" s="110">
        <v>0</v>
      </c>
      <c r="AC12" s="110">
        <v>0</v>
      </c>
      <c r="AD12" s="110">
        <v>0</v>
      </c>
      <c r="AE12" s="110">
        <v>0</v>
      </c>
      <c r="AF12" s="110">
        <v>0</v>
      </c>
      <c r="AG12" s="110">
        <v>0</v>
      </c>
      <c r="AH12" s="110">
        <v>0</v>
      </c>
      <c r="AI12" s="110">
        <v>0</v>
      </c>
      <c r="AJ12" s="110">
        <v>0</v>
      </c>
      <c r="AK12" s="110">
        <v>0</v>
      </c>
      <c r="AL12" s="110">
        <v>0</v>
      </c>
      <c r="AM12" s="110">
        <v>0</v>
      </c>
      <c r="AN12" s="110">
        <v>0</v>
      </c>
      <c r="AO12" s="110">
        <v>0</v>
      </c>
      <c r="AP12" s="110">
        <v>0</v>
      </c>
      <c r="AQ12" s="110">
        <v>0</v>
      </c>
      <c r="AR12" s="110">
        <v>0</v>
      </c>
      <c r="AS12" s="110">
        <v>0</v>
      </c>
      <c r="AT12" s="110">
        <v>0</v>
      </c>
      <c r="AU12" s="110">
        <v>0</v>
      </c>
      <c r="AV12" s="110">
        <v>0</v>
      </c>
      <c r="AW12" s="110">
        <v>0</v>
      </c>
      <c r="AX12" s="110">
        <v>0</v>
      </c>
      <c r="AY12" s="110">
        <v>0</v>
      </c>
      <c r="AZ12" s="110">
        <v>0</v>
      </c>
      <c r="BA12" s="110">
        <v>0</v>
      </c>
      <c r="BB12" s="110">
        <v>0</v>
      </c>
      <c r="BC12" s="110">
        <v>0</v>
      </c>
      <c r="BD12" s="110">
        <v>0</v>
      </c>
      <c r="BE12" s="110">
        <v>0</v>
      </c>
      <c r="BF12" s="110">
        <v>0</v>
      </c>
      <c r="BG12" s="110">
        <v>0</v>
      </c>
      <c r="BH12" s="110">
        <v>0</v>
      </c>
      <c r="BI12" s="110">
        <v>0</v>
      </c>
      <c r="BJ12" s="110">
        <v>0</v>
      </c>
      <c r="BK12" s="110">
        <v>0</v>
      </c>
      <c r="BL12" s="110">
        <v>0</v>
      </c>
      <c r="BM12" s="110">
        <v>0</v>
      </c>
      <c r="BN12" s="110">
        <v>0</v>
      </c>
      <c r="BO12" s="110">
        <v>0</v>
      </c>
      <c r="BP12" s="110">
        <v>0</v>
      </c>
      <c r="BQ12" s="110">
        <v>0</v>
      </c>
      <c r="BR12" s="110">
        <v>0</v>
      </c>
      <c r="BS12" s="110">
        <v>0</v>
      </c>
      <c r="BT12" s="110">
        <v>0</v>
      </c>
      <c r="BU12" s="110">
        <v>0</v>
      </c>
      <c r="BV12" s="110">
        <v>0</v>
      </c>
      <c r="BW12" s="110">
        <v>0</v>
      </c>
      <c r="BX12" s="110">
        <v>0</v>
      </c>
      <c r="BY12" s="110">
        <v>0</v>
      </c>
      <c r="BZ12" s="110">
        <v>0</v>
      </c>
      <c r="CA12" s="110">
        <v>0</v>
      </c>
      <c r="CB12" s="110">
        <v>0</v>
      </c>
      <c r="CC12" s="110">
        <v>0</v>
      </c>
      <c r="CD12" s="110">
        <v>0</v>
      </c>
      <c r="CE12" s="110">
        <v>0</v>
      </c>
      <c r="CF12" s="110">
        <v>0</v>
      </c>
      <c r="CG12" s="110">
        <v>0</v>
      </c>
    </row>
    <row r="13" spans="1:85" customFormat="1" x14ac:dyDescent="0.15">
      <c r="A13" s="188" t="s">
        <v>203</v>
      </c>
      <c r="B13" s="110">
        <v>0</v>
      </c>
      <c r="C13" s="110">
        <v>0</v>
      </c>
      <c r="D13" s="110">
        <v>0</v>
      </c>
      <c r="E13" s="110">
        <v>0</v>
      </c>
      <c r="F13" s="110">
        <v>0</v>
      </c>
      <c r="G13" s="110">
        <v>0</v>
      </c>
      <c r="H13" s="110">
        <v>0</v>
      </c>
      <c r="I13" s="110">
        <v>0</v>
      </c>
      <c r="J13" s="110">
        <v>0</v>
      </c>
      <c r="K13" s="110">
        <v>0</v>
      </c>
      <c r="L13" s="110">
        <v>0</v>
      </c>
      <c r="M13" s="110">
        <v>0</v>
      </c>
      <c r="N13" s="110">
        <v>0</v>
      </c>
      <c r="O13" s="110">
        <v>0</v>
      </c>
      <c r="P13" s="110">
        <v>0</v>
      </c>
      <c r="Q13" s="110">
        <v>0</v>
      </c>
      <c r="R13" s="110">
        <v>0</v>
      </c>
      <c r="S13" s="110">
        <v>0</v>
      </c>
      <c r="T13" s="110">
        <v>0</v>
      </c>
      <c r="U13" s="110">
        <v>0</v>
      </c>
      <c r="V13" s="110">
        <v>0</v>
      </c>
      <c r="W13" s="110">
        <v>0</v>
      </c>
      <c r="X13" s="110">
        <v>0</v>
      </c>
      <c r="Y13" s="110">
        <v>0</v>
      </c>
      <c r="Z13" s="110">
        <v>0</v>
      </c>
      <c r="AA13" s="110">
        <v>0</v>
      </c>
      <c r="AB13" s="110">
        <v>0</v>
      </c>
      <c r="AC13" s="110">
        <v>0</v>
      </c>
      <c r="AD13" s="110">
        <v>0</v>
      </c>
      <c r="AE13" s="110">
        <v>0</v>
      </c>
      <c r="AF13" s="110">
        <v>0</v>
      </c>
      <c r="AG13" s="110">
        <v>0</v>
      </c>
      <c r="AH13" s="110">
        <v>0</v>
      </c>
      <c r="AI13" s="110">
        <v>0</v>
      </c>
      <c r="AJ13" s="110">
        <v>0</v>
      </c>
      <c r="AK13" s="110">
        <v>0</v>
      </c>
      <c r="AL13" s="110">
        <v>0</v>
      </c>
      <c r="AM13" s="110">
        <v>0</v>
      </c>
      <c r="AN13" s="110">
        <v>0</v>
      </c>
      <c r="AO13" s="110">
        <v>0</v>
      </c>
      <c r="AP13" s="110">
        <v>0</v>
      </c>
      <c r="AQ13" s="110">
        <v>0</v>
      </c>
      <c r="AR13" s="110">
        <v>0</v>
      </c>
      <c r="AS13" s="110">
        <v>0</v>
      </c>
      <c r="AT13" s="110">
        <v>0</v>
      </c>
      <c r="AU13" s="110">
        <v>0</v>
      </c>
      <c r="AV13" s="110">
        <v>0</v>
      </c>
      <c r="AW13" s="110">
        <v>0</v>
      </c>
      <c r="AX13" s="110">
        <v>0</v>
      </c>
      <c r="AY13" s="110">
        <v>0</v>
      </c>
      <c r="AZ13" s="110">
        <v>0</v>
      </c>
      <c r="BA13" s="110">
        <v>0</v>
      </c>
      <c r="BB13" s="110">
        <v>0</v>
      </c>
      <c r="BC13" s="110">
        <v>0</v>
      </c>
      <c r="BD13" s="110">
        <v>0</v>
      </c>
      <c r="BE13" s="110">
        <v>0</v>
      </c>
      <c r="BF13" s="110">
        <v>0</v>
      </c>
      <c r="BG13" s="110">
        <v>0</v>
      </c>
      <c r="BH13" s="110">
        <v>0</v>
      </c>
      <c r="BI13" s="110">
        <v>0</v>
      </c>
      <c r="BJ13" s="110">
        <v>0</v>
      </c>
      <c r="BK13" s="110">
        <v>0</v>
      </c>
      <c r="BL13" s="110">
        <v>0</v>
      </c>
      <c r="BM13" s="110">
        <v>0</v>
      </c>
      <c r="BN13" s="110">
        <v>0</v>
      </c>
      <c r="BO13" s="110">
        <v>0</v>
      </c>
      <c r="BP13" s="110">
        <v>0</v>
      </c>
      <c r="BQ13" s="110">
        <v>0</v>
      </c>
      <c r="BR13" s="110">
        <v>0</v>
      </c>
      <c r="BS13" s="110">
        <v>0</v>
      </c>
      <c r="BT13" s="110">
        <v>0</v>
      </c>
      <c r="BU13" s="110">
        <v>0</v>
      </c>
      <c r="BV13" s="110">
        <v>0</v>
      </c>
      <c r="BW13" s="110">
        <v>0</v>
      </c>
      <c r="BX13" s="110">
        <v>0</v>
      </c>
      <c r="BY13" s="110">
        <v>0</v>
      </c>
      <c r="BZ13" s="110">
        <v>0</v>
      </c>
      <c r="CA13" s="110">
        <v>0</v>
      </c>
      <c r="CB13" s="110">
        <v>0</v>
      </c>
      <c r="CC13" s="110">
        <v>0</v>
      </c>
      <c r="CD13" s="110">
        <v>0</v>
      </c>
      <c r="CE13" s="110">
        <v>0</v>
      </c>
      <c r="CF13" s="110">
        <v>0</v>
      </c>
      <c r="CG13" s="110">
        <v>0</v>
      </c>
    </row>
    <row r="14" spans="1:85" customFormat="1" x14ac:dyDescent="0.15">
      <c r="A14" s="188" t="s">
        <v>204</v>
      </c>
      <c r="B14" s="110">
        <v>0</v>
      </c>
      <c r="C14" s="110">
        <v>0</v>
      </c>
      <c r="D14" s="110">
        <v>0</v>
      </c>
      <c r="E14" s="110">
        <v>0</v>
      </c>
      <c r="F14" s="110">
        <v>0</v>
      </c>
      <c r="G14" s="110">
        <v>0</v>
      </c>
      <c r="H14" s="110">
        <v>0</v>
      </c>
      <c r="I14" s="110">
        <v>0</v>
      </c>
      <c r="J14" s="110">
        <v>0</v>
      </c>
      <c r="K14" s="110">
        <v>0</v>
      </c>
      <c r="L14" s="110">
        <v>0</v>
      </c>
      <c r="M14" s="110">
        <v>0</v>
      </c>
      <c r="N14" s="110">
        <v>0</v>
      </c>
      <c r="O14" s="110">
        <v>0</v>
      </c>
      <c r="P14" s="110">
        <v>0</v>
      </c>
      <c r="Q14" s="110">
        <v>0</v>
      </c>
      <c r="R14" s="110">
        <v>0</v>
      </c>
      <c r="S14" s="110">
        <v>0</v>
      </c>
      <c r="T14" s="110">
        <v>0</v>
      </c>
      <c r="U14" s="110">
        <v>0</v>
      </c>
      <c r="V14" s="110">
        <v>0</v>
      </c>
      <c r="W14" s="110">
        <v>0</v>
      </c>
      <c r="X14" s="110">
        <v>0</v>
      </c>
      <c r="Y14" s="110">
        <v>0</v>
      </c>
      <c r="Z14" s="110">
        <v>0</v>
      </c>
      <c r="AA14" s="110">
        <v>0</v>
      </c>
      <c r="AB14" s="110">
        <v>0</v>
      </c>
      <c r="AC14" s="110">
        <v>0</v>
      </c>
      <c r="AD14" s="110">
        <v>0</v>
      </c>
      <c r="AE14" s="110">
        <v>0</v>
      </c>
      <c r="AF14" s="110">
        <v>0</v>
      </c>
      <c r="AG14" s="110">
        <v>0</v>
      </c>
      <c r="AH14" s="110">
        <v>0</v>
      </c>
      <c r="AI14" s="110">
        <v>0</v>
      </c>
      <c r="AJ14" s="110">
        <v>0</v>
      </c>
      <c r="AK14" s="110">
        <v>0</v>
      </c>
      <c r="AL14" s="110">
        <v>0</v>
      </c>
      <c r="AM14" s="110">
        <v>0</v>
      </c>
      <c r="AN14" s="110">
        <v>0</v>
      </c>
      <c r="AO14" s="110">
        <v>0</v>
      </c>
      <c r="AP14" s="110">
        <v>0</v>
      </c>
      <c r="AQ14" s="110">
        <v>0</v>
      </c>
      <c r="AR14" s="110">
        <v>0</v>
      </c>
      <c r="AS14" s="110">
        <v>0</v>
      </c>
      <c r="AT14" s="110">
        <v>0</v>
      </c>
      <c r="AU14" s="110">
        <v>0</v>
      </c>
      <c r="AV14" s="110">
        <v>0</v>
      </c>
      <c r="AW14" s="110">
        <v>0</v>
      </c>
      <c r="AX14" s="110">
        <v>0</v>
      </c>
      <c r="AY14" s="110">
        <v>0</v>
      </c>
      <c r="AZ14" s="110">
        <v>0</v>
      </c>
      <c r="BA14" s="110">
        <v>0</v>
      </c>
      <c r="BB14" s="110">
        <v>0</v>
      </c>
      <c r="BC14" s="110">
        <v>0</v>
      </c>
      <c r="BD14" s="110">
        <v>0</v>
      </c>
      <c r="BE14" s="110">
        <v>0</v>
      </c>
      <c r="BF14" s="110">
        <v>0</v>
      </c>
      <c r="BG14" s="110">
        <v>0</v>
      </c>
      <c r="BH14" s="110">
        <v>0</v>
      </c>
      <c r="BI14" s="110">
        <v>0</v>
      </c>
      <c r="BJ14" s="110">
        <v>0</v>
      </c>
      <c r="BK14" s="110">
        <v>0</v>
      </c>
      <c r="BL14" s="110">
        <v>0</v>
      </c>
      <c r="BM14" s="110">
        <v>0</v>
      </c>
      <c r="BN14" s="110">
        <v>0</v>
      </c>
      <c r="BO14" s="110">
        <v>0</v>
      </c>
      <c r="BP14" s="110">
        <v>0</v>
      </c>
      <c r="BQ14" s="110">
        <v>0</v>
      </c>
      <c r="BR14" s="110">
        <v>0</v>
      </c>
      <c r="BS14" s="110">
        <v>0</v>
      </c>
      <c r="BT14" s="110">
        <v>0</v>
      </c>
      <c r="BU14" s="110">
        <v>0</v>
      </c>
      <c r="BV14" s="110">
        <v>0</v>
      </c>
      <c r="BW14" s="110">
        <v>0</v>
      </c>
      <c r="BX14" s="110">
        <v>0</v>
      </c>
      <c r="BY14" s="110">
        <v>0</v>
      </c>
      <c r="BZ14" s="110">
        <v>0</v>
      </c>
      <c r="CA14" s="110">
        <v>0</v>
      </c>
      <c r="CB14" s="110">
        <v>0</v>
      </c>
      <c r="CC14" s="110">
        <v>0</v>
      </c>
      <c r="CD14" s="110">
        <v>0</v>
      </c>
      <c r="CE14" s="110">
        <v>0</v>
      </c>
      <c r="CF14" s="110">
        <v>0</v>
      </c>
      <c r="CG14" s="110">
        <v>0</v>
      </c>
    </row>
    <row r="15" spans="1:85" customFormat="1" x14ac:dyDescent="0.15">
      <c r="A15" s="188" t="s">
        <v>205</v>
      </c>
      <c r="B15" s="110">
        <v>0</v>
      </c>
      <c r="C15" s="110">
        <v>0</v>
      </c>
      <c r="D15" s="110">
        <v>0</v>
      </c>
      <c r="E15" s="110">
        <v>0</v>
      </c>
      <c r="F15" s="110">
        <v>0</v>
      </c>
      <c r="G15" s="110">
        <v>0</v>
      </c>
      <c r="H15" s="110">
        <v>0</v>
      </c>
      <c r="I15" s="110">
        <v>0</v>
      </c>
      <c r="J15" s="110">
        <v>0</v>
      </c>
      <c r="K15" s="110">
        <v>0</v>
      </c>
      <c r="L15" s="110">
        <v>0</v>
      </c>
      <c r="M15" s="110">
        <v>0</v>
      </c>
      <c r="N15" s="110">
        <v>0</v>
      </c>
      <c r="O15" s="110">
        <v>0</v>
      </c>
      <c r="P15" s="110">
        <v>0</v>
      </c>
      <c r="Q15" s="110">
        <v>0</v>
      </c>
      <c r="R15" s="110">
        <v>0</v>
      </c>
      <c r="S15" s="110">
        <v>0</v>
      </c>
      <c r="T15" s="110">
        <v>0</v>
      </c>
      <c r="U15" s="110">
        <v>0</v>
      </c>
      <c r="V15" s="110">
        <v>0</v>
      </c>
      <c r="W15" s="110">
        <v>0</v>
      </c>
      <c r="X15" s="110">
        <v>0</v>
      </c>
      <c r="Y15" s="110">
        <v>0</v>
      </c>
      <c r="Z15" s="110">
        <v>0</v>
      </c>
      <c r="AA15" s="110">
        <v>0</v>
      </c>
      <c r="AB15" s="110">
        <v>0</v>
      </c>
      <c r="AC15" s="110">
        <v>0</v>
      </c>
      <c r="AD15" s="110">
        <v>0</v>
      </c>
      <c r="AE15" s="110">
        <v>0</v>
      </c>
      <c r="AF15" s="110">
        <v>0</v>
      </c>
      <c r="AG15" s="110">
        <v>0</v>
      </c>
      <c r="AH15" s="110">
        <v>0</v>
      </c>
      <c r="AI15" s="110">
        <v>0</v>
      </c>
      <c r="AJ15" s="110">
        <v>0</v>
      </c>
      <c r="AK15" s="110">
        <v>0</v>
      </c>
      <c r="AL15" s="110">
        <v>0</v>
      </c>
      <c r="AM15" s="110">
        <v>0</v>
      </c>
      <c r="AN15" s="110">
        <v>0</v>
      </c>
      <c r="AO15" s="110">
        <v>0</v>
      </c>
      <c r="AP15" s="110">
        <v>0</v>
      </c>
      <c r="AQ15" s="110">
        <v>0</v>
      </c>
      <c r="AR15" s="110">
        <v>0</v>
      </c>
      <c r="AS15" s="110">
        <v>0</v>
      </c>
      <c r="AT15" s="110">
        <v>0</v>
      </c>
      <c r="AU15" s="110">
        <v>0</v>
      </c>
      <c r="AV15" s="110">
        <v>0</v>
      </c>
      <c r="AW15" s="110">
        <v>0</v>
      </c>
      <c r="AX15" s="110">
        <v>0</v>
      </c>
      <c r="AY15" s="110">
        <v>0</v>
      </c>
      <c r="AZ15" s="110">
        <v>0</v>
      </c>
      <c r="BA15" s="110">
        <v>0</v>
      </c>
      <c r="BB15" s="110">
        <v>0</v>
      </c>
      <c r="BC15" s="110">
        <v>0</v>
      </c>
      <c r="BD15" s="110">
        <v>0</v>
      </c>
      <c r="BE15" s="110">
        <v>0</v>
      </c>
      <c r="BF15" s="110">
        <v>0</v>
      </c>
      <c r="BG15" s="110">
        <v>0</v>
      </c>
      <c r="BH15" s="110">
        <v>0</v>
      </c>
      <c r="BI15" s="110">
        <v>0</v>
      </c>
      <c r="BJ15" s="110">
        <v>0</v>
      </c>
      <c r="BK15" s="110">
        <v>0</v>
      </c>
      <c r="BL15" s="110">
        <v>0</v>
      </c>
      <c r="BM15" s="110">
        <v>0</v>
      </c>
      <c r="BN15" s="110">
        <v>0</v>
      </c>
      <c r="BO15" s="110">
        <v>0</v>
      </c>
      <c r="BP15" s="110">
        <v>0</v>
      </c>
      <c r="BQ15" s="110">
        <v>0</v>
      </c>
      <c r="BR15" s="110">
        <v>0</v>
      </c>
      <c r="BS15" s="110">
        <v>0</v>
      </c>
      <c r="BT15" s="110">
        <v>0</v>
      </c>
      <c r="BU15" s="110">
        <v>0</v>
      </c>
      <c r="BV15" s="110">
        <v>0</v>
      </c>
      <c r="BW15" s="110">
        <v>0</v>
      </c>
      <c r="BX15" s="110">
        <v>0</v>
      </c>
      <c r="BY15" s="110">
        <v>0</v>
      </c>
      <c r="BZ15" s="110">
        <v>0</v>
      </c>
      <c r="CA15" s="110">
        <v>0</v>
      </c>
      <c r="CB15" s="110">
        <v>0</v>
      </c>
      <c r="CC15" s="110">
        <v>0</v>
      </c>
      <c r="CD15" s="110">
        <v>0</v>
      </c>
      <c r="CE15" s="110">
        <v>0</v>
      </c>
      <c r="CF15" s="110">
        <v>0</v>
      </c>
      <c r="CG15" s="110">
        <v>0</v>
      </c>
    </row>
    <row r="16" spans="1:85" customFormat="1" x14ac:dyDescent="0.15">
      <c r="A16" s="188" t="s">
        <v>206</v>
      </c>
      <c r="B16" s="110">
        <v>0</v>
      </c>
      <c r="C16" s="110">
        <v>0</v>
      </c>
      <c r="D16" s="110">
        <v>0</v>
      </c>
      <c r="E16" s="110">
        <v>0</v>
      </c>
      <c r="F16" s="110">
        <v>0</v>
      </c>
      <c r="G16" s="110">
        <v>0</v>
      </c>
      <c r="H16" s="110">
        <v>0</v>
      </c>
      <c r="I16" s="110">
        <v>0</v>
      </c>
      <c r="J16" s="110">
        <v>0</v>
      </c>
      <c r="K16" s="110">
        <v>0</v>
      </c>
      <c r="L16" s="110">
        <v>0</v>
      </c>
      <c r="M16" s="110">
        <v>0</v>
      </c>
      <c r="N16" s="110">
        <v>0</v>
      </c>
      <c r="O16" s="110">
        <v>0</v>
      </c>
      <c r="P16" s="110">
        <v>0</v>
      </c>
      <c r="Q16" s="110">
        <v>0</v>
      </c>
      <c r="R16" s="110">
        <v>0</v>
      </c>
      <c r="S16" s="110">
        <v>0</v>
      </c>
      <c r="T16" s="110">
        <v>0</v>
      </c>
      <c r="U16" s="110">
        <v>0</v>
      </c>
      <c r="V16" s="110">
        <v>0</v>
      </c>
      <c r="W16" s="110">
        <v>0</v>
      </c>
      <c r="X16" s="110">
        <v>0</v>
      </c>
      <c r="Y16" s="110">
        <v>0</v>
      </c>
      <c r="Z16" s="110">
        <v>0</v>
      </c>
      <c r="AA16" s="110">
        <v>0</v>
      </c>
      <c r="AB16" s="110">
        <v>0</v>
      </c>
      <c r="AC16" s="110">
        <v>0</v>
      </c>
      <c r="AD16" s="110">
        <v>0</v>
      </c>
      <c r="AE16" s="110">
        <v>0</v>
      </c>
      <c r="AF16" s="110">
        <v>0</v>
      </c>
      <c r="AG16" s="110">
        <v>0</v>
      </c>
      <c r="AH16" s="110">
        <v>0</v>
      </c>
      <c r="AI16" s="110">
        <v>0</v>
      </c>
      <c r="AJ16" s="110">
        <v>0</v>
      </c>
      <c r="AK16" s="110">
        <v>0</v>
      </c>
      <c r="AL16" s="110">
        <v>0</v>
      </c>
      <c r="AM16" s="110">
        <v>0</v>
      </c>
      <c r="AN16" s="110">
        <v>0</v>
      </c>
      <c r="AO16" s="110">
        <v>0</v>
      </c>
      <c r="AP16" s="110">
        <v>0</v>
      </c>
      <c r="AQ16" s="110">
        <v>0</v>
      </c>
      <c r="AR16" s="110">
        <v>0</v>
      </c>
      <c r="AS16" s="110">
        <v>0</v>
      </c>
      <c r="AT16" s="110">
        <v>0</v>
      </c>
      <c r="AU16" s="110">
        <v>0</v>
      </c>
      <c r="AV16" s="110">
        <v>0</v>
      </c>
      <c r="AW16" s="110">
        <v>0</v>
      </c>
      <c r="AX16" s="110">
        <v>0</v>
      </c>
      <c r="AY16" s="110">
        <v>0</v>
      </c>
      <c r="AZ16" s="110">
        <v>0</v>
      </c>
      <c r="BA16" s="110">
        <v>0</v>
      </c>
      <c r="BB16" s="110">
        <v>0</v>
      </c>
      <c r="BC16" s="110">
        <v>0</v>
      </c>
      <c r="BD16" s="110">
        <v>0</v>
      </c>
      <c r="BE16" s="110">
        <v>0</v>
      </c>
      <c r="BF16" s="110">
        <v>0</v>
      </c>
      <c r="BG16" s="110">
        <v>0</v>
      </c>
      <c r="BH16" s="110">
        <v>0</v>
      </c>
      <c r="BI16" s="110">
        <v>0</v>
      </c>
      <c r="BJ16" s="110">
        <v>0</v>
      </c>
      <c r="BK16" s="110">
        <v>0</v>
      </c>
      <c r="BL16" s="110">
        <v>0</v>
      </c>
      <c r="BM16" s="110">
        <v>0</v>
      </c>
      <c r="BN16" s="110">
        <v>0</v>
      </c>
      <c r="BO16" s="110">
        <v>0</v>
      </c>
      <c r="BP16" s="110">
        <v>0</v>
      </c>
      <c r="BQ16" s="110">
        <v>0</v>
      </c>
      <c r="BR16" s="110">
        <v>0</v>
      </c>
      <c r="BS16" s="110">
        <v>0</v>
      </c>
      <c r="BT16" s="110">
        <v>0</v>
      </c>
      <c r="BU16" s="110">
        <v>0</v>
      </c>
      <c r="BV16" s="110">
        <v>0</v>
      </c>
      <c r="BW16" s="110">
        <v>0</v>
      </c>
      <c r="BX16" s="110">
        <v>0</v>
      </c>
      <c r="BY16" s="110">
        <v>0</v>
      </c>
      <c r="BZ16" s="110">
        <v>0</v>
      </c>
      <c r="CA16" s="110">
        <v>0</v>
      </c>
      <c r="CB16" s="110">
        <v>0</v>
      </c>
      <c r="CC16" s="110">
        <v>0</v>
      </c>
      <c r="CD16" s="110">
        <v>0</v>
      </c>
      <c r="CE16" s="110">
        <v>0</v>
      </c>
      <c r="CF16" s="110">
        <v>0</v>
      </c>
      <c r="CG16" s="110">
        <v>0</v>
      </c>
    </row>
    <row r="17" spans="1:85" customFormat="1" x14ac:dyDescent="0.15">
      <c r="A17" s="188" t="s">
        <v>207</v>
      </c>
      <c r="B17" s="110">
        <v>0</v>
      </c>
      <c r="C17" s="110">
        <v>0</v>
      </c>
      <c r="D17" s="110">
        <v>0</v>
      </c>
      <c r="E17" s="110">
        <v>0</v>
      </c>
      <c r="F17" s="110">
        <v>0</v>
      </c>
      <c r="G17" s="110">
        <v>0</v>
      </c>
      <c r="H17" s="110">
        <v>0</v>
      </c>
      <c r="I17" s="110">
        <v>0</v>
      </c>
      <c r="J17" s="110">
        <v>0</v>
      </c>
      <c r="K17" s="110">
        <v>0</v>
      </c>
      <c r="L17" s="110">
        <v>0</v>
      </c>
      <c r="M17" s="110">
        <v>0</v>
      </c>
      <c r="N17" s="110">
        <v>0</v>
      </c>
      <c r="O17" s="110">
        <v>0</v>
      </c>
      <c r="P17" s="110">
        <v>0</v>
      </c>
      <c r="Q17" s="110">
        <v>0</v>
      </c>
      <c r="R17" s="110">
        <v>0</v>
      </c>
      <c r="S17" s="110">
        <v>0</v>
      </c>
      <c r="T17" s="110">
        <v>0</v>
      </c>
      <c r="U17" s="110">
        <v>0</v>
      </c>
      <c r="V17" s="110">
        <v>0</v>
      </c>
      <c r="W17" s="110">
        <v>0</v>
      </c>
      <c r="X17" s="110">
        <v>0</v>
      </c>
      <c r="Y17" s="110">
        <v>0</v>
      </c>
      <c r="Z17" s="110">
        <v>0</v>
      </c>
      <c r="AA17" s="110">
        <v>0</v>
      </c>
      <c r="AB17" s="110">
        <v>0</v>
      </c>
      <c r="AC17" s="110">
        <v>0</v>
      </c>
      <c r="AD17" s="110">
        <v>0</v>
      </c>
      <c r="AE17" s="110">
        <v>0</v>
      </c>
      <c r="AF17" s="110">
        <v>0</v>
      </c>
      <c r="AG17" s="110">
        <v>0</v>
      </c>
      <c r="AH17" s="110">
        <v>0</v>
      </c>
      <c r="AI17" s="110">
        <v>0</v>
      </c>
      <c r="AJ17" s="110">
        <v>0</v>
      </c>
      <c r="AK17" s="110">
        <v>0</v>
      </c>
      <c r="AL17" s="110">
        <v>0</v>
      </c>
      <c r="AM17" s="110">
        <v>0</v>
      </c>
      <c r="AN17" s="110">
        <v>0</v>
      </c>
      <c r="AO17" s="110">
        <v>0</v>
      </c>
      <c r="AP17" s="110">
        <v>0</v>
      </c>
      <c r="AQ17" s="110">
        <v>0</v>
      </c>
      <c r="AR17" s="110">
        <v>0</v>
      </c>
      <c r="AS17" s="110">
        <v>0</v>
      </c>
      <c r="AT17" s="110">
        <v>0</v>
      </c>
      <c r="AU17" s="110">
        <v>0</v>
      </c>
      <c r="AV17" s="110">
        <v>0</v>
      </c>
      <c r="AW17" s="110">
        <v>0</v>
      </c>
      <c r="AX17" s="110">
        <v>0</v>
      </c>
      <c r="AY17" s="110">
        <v>0</v>
      </c>
      <c r="AZ17" s="110">
        <v>0</v>
      </c>
      <c r="BA17" s="110">
        <v>0</v>
      </c>
      <c r="BB17" s="110">
        <v>0</v>
      </c>
      <c r="BC17" s="110">
        <v>0</v>
      </c>
      <c r="BD17" s="110">
        <v>0</v>
      </c>
      <c r="BE17" s="110">
        <v>0</v>
      </c>
      <c r="BF17" s="110">
        <v>0</v>
      </c>
      <c r="BG17" s="110">
        <v>0</v>
      </c>
      <c r="BH17" s="110">
        <v>0</v>
      </c>
      <c r="BI17" s="110">
        <v>0</v>
      </c>
      <c r="BJ17" s="110">
        <v>0</v>
      </c>
      <c r="BK17" s="110">
        <v>0</v>
      </c>
      <c r="BL17" s="110">
        <v>0</v>
      </c>
      <c r="BM17" s="110">
        <v>0</v>
      </c>
      <c r="BN17" s="110">
        <v>0</v>
      </c>
      <c r="BO17" s="110">
        <v>0</v>
      </c>
      <c r="BP17" s="110">
        <v>0</v>
      </c>
      <c r="BQ17" s="110">
        <v>0</v>
      </c>
      <c r="BR17" s="110">
        <v>0</v>
      </c>
      <c r="BS17" s="110">
        <v>0</v>
      </c>
      <c r="BT17" s="110">
        <v>0</v>
      </c>
      <c r="BU17" s="110">
        <v>0</v>
      </c>
      <c r="BV17" s="110">
        <v>0</v>
      </c>
      <c r="BW17" s="110">
        <v>0</v>
      </c>
      <c r="BX17" s="110">
        <v>0</v>
      </c>
      <c r="BY17" s="110">
        <v>0</v>
      </c>
      <c r="BZ17" s="110">
        <v>0</v>
      </c>
      <c r="CA17" s="110">
        <v>0</v>
      </c>
      <c r="CB17" s="110">
        <v>0</v>
      </c>
      <c r="CC17" s="110">
        <v>0</v>
      </c>
      <c r="CD17" s="110">
        <v>0</v>
      </c>
      <c r="CE17" s="110">
        <v>0</v>
      </c>
      <c r="CF17" s="110">
        <v>0</v>
      </c>
      <c r="CG17" s="110">
        <v>0</v>
      </c>
    </row>
    <row r="18" spans="1:85" customFormat="1" x14ac:dyDescent="0.15">
      <c r="A18" s="188" t="s">
        <v>208</v>
      </c>
      <c r="B18" s="110">
        <v>0</v>
      </c>
      <c r="C18" s="110">
        <v>0</v>
      </c>
      <c r="D18" s="110">
        <v>0</v>
      </c>
      <c r="E18" s="110">
        <v>0</v>
      </c>
      <c r="F18" s="110">
        <v>0</v>
      </c>
      <c r="G18" s="110">
        <v>0</v>
      </c>
      <c r="H18" s="110">
        <v>0</v>
      </c>
      <c r="I18" s="110">
        <v>0</v>
      </c>
      <c r="J18" s="110">
        <v>0</v>
      </c>
      <c r="K18" s="110">
        <v>0</v>
      </c>
      <c r="L18" s="110">
        <v>0</v>
      </c>
      <c r="M18" s="110">
        <v>0</v>
      </c>
      <c r="N18" s="110">
        <v>0</v>
      </c>
      <c r="O18" s="110">
        <v>0</v>
      </c>
      <c r="P18" s="110">
        <v>0</v>
      </c>
      <c r="Q18" s="110">
        <v>0</v>
      </c>
      <c r="R18" s="110">
        <v>0</v>
      </c>
      <c r="S18" s="110">
        <v>0</v>
      </c>
      <c r="T18" s="110">
        <v>0</v>
      </c>
      <c r="U18" s="110">
        <v>0</v>
      </c>
      <c r="V18" s="110">
        <v>0</v>
      </c>
      <c r="W18" s="110">
        <v>0</v>
      </c>
      <c r="X18" s="110">
        <v>0</v>
      </c>
      <c r="Y18" s="110">
        <v>0</v>
      </c>
      <c r="Z18" s="110">
        <v>0</v>
      </c>
      <c r="AA18" s="110">
        <v>0</v>
      </c>
      <c r="AB18" s="110">
        <v>0</v>
      </c>
      <c r="AC18" s="110">
        <v>0</v>
      </c>
      <c r="AD18" s="110">
        <v>0</v>
      </c>
      <c r="AE18" s="110">
        <v>0</v>
      </c>
      <c r="AF18" s="110">
        <v>0</v>
      </c>
      <c r="AG18" s="110">
        <v>0</v>
      </c>
      <c r="AH18" s="110">
        <v>0</v>
      </c>
      <c r="AI18" s="110">
        <v>0</v>
      </c>
      <c r="AJ18" s="110">
        <v>0</v>
      </c>
      <c r="AK18" s="110">
        <v>0</v>
      </c>
      <c r="AL18" s="110">
        <v>0</v>
      </c>
      <c r="AM18" s="110">
        <v>0</v>
      </c>
      <c r="AN18" s="110">
        <v>0</v>
      </c>
      <c r="AO18" s="110">
        <v>0</v>
      </c>
      <c r="AP18" s="110">
        <v>0</v>
      </c>
      <c r="AQ18" s="110">
        <v>0</v>
      </c>
      <c r="AR18" s="110">
        <v>0</v>
      </c>
      <c r="AS18" s="110">
        <v>0</v>
      </c>
      <c r="AT18" s="110">
        <v>0</v>
      </c>
      <c r="AU18" s="110">
        <v>0</v>
      </c>
      <c r="AV18" s="110">
        <v>0</v>
      </c>
      <c r="AW18" s="110">
        <v>0</v>
      </c>
      <c r="AX18" s="110">
        <v>0</v>
      </c>
      <c r="AY18" s="110">
        <v>0</v>
      </c>
      <c r="AZ18" s="110">
        <v>0</v>
      </c>
      <c r="BA18" s="110">
        <v>0</v>
      </c>
      <c r="BB18" s="110">
        <v>0</v>
      </c>
      <c r="BC18" s="110">
        <v>0</v>
      </c>
      <c r="BD18" s="110">
        <v>0</v>
      </c>
      <c r="BE18" s="110">
        <v>0</v>
      </c>
      <c r="BF18" s="110">
        <v>0</v>
      </c>
      <c r="BG18" s="110">
        <v>0</v>
      </c>
      <c r="BH18" s="110">
        <v>0</v>
      </c>
      <c r="BI18" s="110">
        <v>0</v>
      </c>
      <c r="BJ18" s="110">
        <v>0</v>
      </c>
      <c r="BK18" s="110">
        <v>0</v>
      </c>
      <c r="BL18" s="110">
        <v>0</v>
      </c>
      <c r="BM18" s="110">
        <v>0</v>
      </c>
      <c r="BN18" s="110">
        <v>0</v>
      </c>
      <c r="BO18" s="110">
        <v>0</v>
      </c>
      <c r="BP18" s="110">
        <v>0</v>
      </c>
      <c r="BQ18" s="110">
        <v>0</v>
      </c>
      <c r="BR18" s="110">
        <v>0</v>
      </c>
      <c r="BS18" s="110">
        <v>0</v>
      </c>
      <c r="BT18" s="110">
        <v>0</v>
      </c>
      <c r="BU18" s="110">
        <v>0</v>
      </c>
      <c r="BV18" s="110">
        <v>0</v>
      </c>
      <c r="BW18" s="110">
        <v>0</v>
      </c>
      <c r="BX18" s="110">
        <v>0</v>
      </c>
      <c r="BY18" s="110">
        <v>0</v>
      </c>
      <c r="BZ18" s="110">
        <v>0</v>
      </c>
      <c r="CA18" s="110">
        <v>0</v>
      </c>
      <c r="CB18" s="110">
        <v>0</v>
      </c>
      <c r="CC18" s="110">
        <v>0</v>
      </c>
      <c r="CD18" s="110">
        <v>0</v>
      </c>
      <c r="CE18" s="110">
        <v>0</v>
      </c>
      <c r="CF18" s="110">
        <v>0</v>
      </c>
      <c r="CG18" s="110">
        <v>0</v>
      </c>
    </row>
    <row r="19" spans="1:85" customFormat="1" x14ac:dyDescent="0.15">
      <c r="A19" s="188" t="s">
        <v>209</v>
      </c>
      <c r="B19" s="110">
        <v>1</v>
      </c>
      <c r="C19" s="110">
        <v>0</v>
      </c>
      <c r="D19" s="110">
        <v>0</v>
      </c>
      <c r="E19" s="110">
        <v>0</v>
      </c>
      <c r="F19" s="110">
        <v>0</v>
      </c>
      <c r="G19" s="110">
        <v>0</v>
      </c>
      <c r="H19" s="110">
        <v>0</v>
      </c>
      <c r="I19" s="110">
        <v>0</v>
      </c>
      <c r="J19" s="110">
        <v>0</v>
      </c>
      <c r="K19" s="110">
        <v>1</v>
      </c>
      <c r="L19" s="110">
        <v>0</v>
      </c>
      <c r="M19" s="110">
        <v>0</v>
      </c>
      <c r="N19" s="110">
        <v>0</v>
      </c>
      <c r="O19" s="110">
        <v>1</v>
      </c>
      <c r="P19" s="110">
        <v>0</v>
      </c>
      <c r="Q19" s="110">
        <v>0</v>
      </c>
      <c r="R19" s="110">
        <v>0</v>
      </c>
      <c r="S19" s="110">
        <v>0</v>
      </c>
      <c r="T19" s="110">
        <v>1</v>
      </c>
      <c r="U19" s="110">
        <v>0</v>
      </c>
      <c r="V19" s="110">
        <v>0</v>
      </c>
      <c r="W19" s="110">
        <v>0</v>
      </c>
      <c r="X19" s="110">
        <v>0</v>
      </c>
      <c r="Y19" s="110">
        <v>0</v>
      </c>
      <c r="Z19" s="110">
        <v>0</v>
      </c>
      <c r="AA19" s="110">
        <v>0</v>
      </c>
      <c r="AB19" s="110">
        <v>0</v>
      </c>
      <c r="AC19" s="110">
        <v>0</v>
      </c>
      <c r="AD19" s="110">
        <v>0</v>
      </c>
      <c r="AE19" s="110">
        <v>0</v>
      </c>
      <c r="AF19" s="110">
        <v>0</v>
      </c>
      <c r="AG19" s="110">
        <v>0</v>
      </c>
      <c r="AH19" s="110">
        <v>0</v>
      </c>
      <c r="AI19" s="110">
        <v>0</v>
      </c>
      <c r="AJ19" s="110">
        <v>0</v>
      </c>
      <c r="AK19" s="110">
        <v>0</v>
      </c>
      <c r="AL19" s="110">
        <v>0</v>
      </c>
      <c r="AM19" s="110">
        <v>0</v>
      </c>
      <c r="AN19" s="110">
        <v>0</v>
      </c>
      <c r="AO19" s="110">
        <v>0</v>
      </c>
      <c r="AP19" s="110">
        <v>0</v>
      </c>
      <c r="AQ19" s="110">
        <v>0</v>
      </c>
      <c r="AR19" s="110">
        <v>0</v>
      </c>
      <c r="AS19" s="110">
        <v>0</v>
      </c>
      <c r="AT19" s="110">
        <v>0</v>
      </c>
      <c r="AU19" s="110">
        <v>0</v>
      </c>
      <c r="AV19" s="110">
        <v>0</v>
      </c>
      <c r="AW19" s="110">
        <v>0</v>
      </c>
      <c r="AX19" s="110">
        <v>0</v>
      </c>
      <c r="AY19" s="110">
        <v>0</v>
      </c>
      <c r="AZ19" s="110">
        <v>0</v>
      </c>
      <c r="BA19" s="110">
        <v>0</v>
      </c>
      <c r="BB19" s="110">
        <v>0</v>
      </c>
      <c r="BC19" s="110">
        <v>0</v>
      </c>
      <c r="BD19" s="110">
        <v>0</v>
      </c>
      <c r="BE19" s="110">
        <v>0</v>
      </c>
      <c r="BF19" s="110">
        <v>0</v>
      </c>
      <c r="BG19" s="110">
        <v>0</v>
      </c>
      <c r="BH19" s="110">
        <v>0</v>
      </c>
      <c r="BI19" s="110">
        <v>0</v>
      </c>
      <c r="BJ19" s="110">
        <v>0</v>
      </c>
      <c r="BK19" s="110">
        <v>0</v>
      </c>
      <c r="BL19" s="110">
        <v>0</v>
      </c>
      <c r="BM19" s="110">
        <v>0</v>
      </c>
      <c r="BN19" s="110">
        <v>0</v>
      </c>
      <c r="BO19" s="110">
        <v>0</v>
      </c>
      <c r="BP19" s="110">
        <v>0</v>
      </c>
      <c r="BQ19" s="110">
        <v>0</v>
      </c>
      <c r="BR19" s="110">
        <v>0</v>
      </c>
      <c r="BS19" s="110">
        <v>0</v>
      </c>
      <c r="BT19" s="110">
        <v>0</v>
      </c>
      <c r="BU19" s="110">
        <v>0</v>
      </c>
      <c r="BV19" s="110">
        <v>0</v>
      </c>
      <c r="BW19" s="110">
        <v>0</v>
      </c>
      <c r="BX19" s="110">
        <v>0</v>
      </c>
      <c r="BY19" s="110">
        <v>0</v>
      </c>
      <c r="BZ19" s="110">
        <v>0</v>
      </c>
      <c r="CA19" s="110">
        <v>0</v>
      </c>
      <c r="CB19" s="110">
        <v>0</v>
      </c>
      <c r="CC19" s="110">
        <v>0</v>
      </c>
      <c r="CD19" s="110">
        <v>0</v>
      </c>
      <c r="CE19" s="110">
        <v>0</v>
      </c>
      <c r="CF19" s="110">
        <v>0</v>
      </c>
      <c r="CG19" s="110">
        <v>0</v>
      </c>
    </row>
    <row r="20" spans="1:85" customFormat="1" x14ac:dyDescent="0.15">
      <c r="A20" s="188" t="s">
        <v>210</v>
      </c>
      <c r="B20" s="110">
        <v>1</v>
      </c>
      <c r="C20" s="110">
        <v>0</v>
      </c>
      <c r="D20" s="110">
        <v>1</v>
      </c>
      <c r="E20" s="110">
        <v>0</v>
      </c>
      <c r="F20" s="110">
        <v>0</v>
      </c>
      <c r="G20" s="110">
        <v>0</v>
      </c>
      <c r="H20" s="110">
        <v>0</v>
      </c>
      <c r="I20" s="110">
        <v>0</v>
      </c>
      <c r="J20" s="110">
        <v>0</v>
      </c>
      <c r="K20" s="110">
        <v>1</v>
      </c>
      <c r="L20" s="110">
        <v>1</v>
      </c>
      <c r="M20" s="110">
        <v>1</v>
      </c>
      <c r="N20" s="110">
        <v>1</v>
      </c>
      <c r="O20" s="110">
        <v>1</v>
      </c>
      <c r="P20" s="110">
        <v>0</v>
      </c>
      <c r="Q20" s="110">
        <v>0</v>
      </c>
      <c r="R20" s="110">
        <v>0</v>
      </c>
      <c r="S20" s="110">
        <v>1</v>
      </c>
      <c r="T20" s="110">
        <v>0</v>
      </c>
      <c r="U20" s="110">
        <v>0</v>
      </c>
      <c r="V20" s="110">
        <v>1</v>
      </c>
      <c r="W20" s="110">
        <v>0</v>
      </c>
      <c r="X20" s="110">
        <v>0</v>
      </c>
      <c r="Y20" s="110">
        <v>0</v>
      </c>
      <c r="Z20" s="110">
        <v>0</v>
      </c>
      <c r="AA20" s="110">
        <v>0</v>
      </c>
      <c r="AB20" s="110">
        <v>0</v>
      </c>
      <c r="AC20" s="110">
        <v>0</v>
      </c>
      <c r="AD20" s="110">
        <v>0</v>
      </c>
      <c r="AE20" s="110">
        <v>0</v>
      </c>
      <c r="AF20" s="110">
        <v>0</v>
      </c>
      <c r="AG20" s="110">
        <v>0</v>
      </c>
      <c r="AH20" s="110">
        <v>0</v>
      </c>
      <c r="AI20" s="110">
        <v>0</v>
      </c>
      <c r="AJ20" s="110">
        <v>0</v>
      </c>
      <c r="AK20" s="110">
        <v>0</v>
      </c>
      <c r="AL20" s="110">
        <v>0</v>
      </c>
      <c r="AM20" s="110">
        <v>0</v>
      </c>
      <c r="AN20" s="110">
        <v>0</v>
      </c>
      <c r="AO20" s="110">
        <v>0</v>
      </c>
      <c r="AP20" s="110">
        <v>0</v>
      </c>
      <c r="AQ20" s="110">
        <v>0</v>
      </c>
      <c r="AR20" s="110">
        <v>0</v>
      </c>
      <c r="AS20" s="110">
        <v>0</v>
      </c>
      <c r="AT20" s="110">
        <v>0</v>
      </c>
      <c r="AU20" s="110">
        <v>0</v>
      </c>
      <c r="AV20" s="110">
        <v>0</v>
      </c>
      <c r="AW20" s="110">
        <v>0</v>
      </c>
      <c r="AX20" s="110">
        <v>0</v>
      </c>
      <c r="AY20" s="110">
        <v>0</v>
      </c>
      <c r="AZ20" s="110">
        <v>0</v>
      </c>
      <c r="BA20" s="110">
        <v>0</v>
      </c>
      <c r="BB20" s="110">
        <v>0</v>
      </c>
      <c r="BC20" s="110">
        <v>0</v>
      </c>
      <c r="BD20" s="110">
        <v>0</v>
      </c>
      <c r="BE20" s="110">
        <v>0</v>
      </c>
      <c r="BF20" s="110">
        <v>0</v>
      </c>
      <c r="BG20" s="110">
        <v>0</v>
      </c>
      <c r="BH20" s="110">
        <v>0</v>
      </c>
      <c r="BI20" s="110">
        <v>0</v>
      </c>
      <c r="BJ20" s="110">
        <v>0</v>
      </c>
      <c r="BK20" s="110">
        <v>0</v>
      </c>
      <c r="BL20" s="110">
        <v>0</v>
      </c>
      <c r="BM20" s="110">
        <v>0</v>
      </c>
      <c r="BN20" s="110">
        <v>0</v>
      </c>
      <c r="BO20" s="110">
        <v>0</v>
      </c>
      <c r="BP20" s="110">
        <v>0</v>
      </c>
      <c r="BQ20" s="110">
        <v>0</v>
      </c>
      <c r="BR20" s="110">
        <v>0</v>
      </c>
      <c r="BS20" s="110">
        <v>0</v>
      </c>
      <c r="BT20" s="110">
        <v>0</v>
      </c>
      <c r="BU20" s="110">
        <v>0</v>
      </c>
      <c r="BV20" s="110">
        <v>0</v>
      </c>
      <c r="BW20" s="110">
        <v>0</v>
      </c>
      <c r="BX20" s="110">
        <v>0</v>
      </c>
      <c r="BY20" s="110">
        <v>0</v>
      </c>
      <c r="BZ20" s="110">
        <v>0</v>
      </c>
      <c r="CA20" s="110">
        <v>0</v>
      </c>
      <c r="CB20" s="110">
        <v>0</v>
      </c>
      <c r="CC20" s="110">
        <v>0</v>
      </c>
      <c r="CD20" s="110">
        <v>0</v>
      </c>
      <c r="CE20" s="110">
        <v>0</v>
      </c>
      <c r="CF20" s="110">
        <v>0</v>
      </c>
      <c r="CG20" s="110">
        <v>0</v>
      </c>
    </row>
    <row r="21" spans="1:85" customFormat="1" x14ac:dyDescent="0.15">
      <c r="A21" s="188" t="s">
        <v>211</v>
      </c>
      <c r="B21" s="110">
        <v>1</v>
      </c>
      <c r="C21" s="110">
        <v>0</v>
      </c>
      <c r="D21" s="110">
        <v>0</v>
      </c>
      <c r="E21" s="110">
        <v>0</v>
      </c>
      <c r="F21" s="110">
        <v>1</v>
      </c>
      <c r="G21" s="110">
        <v>1</v>
      </c>
      <c r="H21" s="110">
        <v>1</v>
      </c>
      <c r="I21" s="110">
        <v>0</v>
      </c>
      <c r="J21" s="110">
        <v>0</v>
      </c>
      <c r="K21" s="110">
        <v>0</v>
      </c>
      <c r="L21" s="110">
        <v>0</v>
      </c>
      <c r="M21" s="110">
        <v>1</v>
      </c>
      <c r="N21" s="110">
        <v>1</v>
      </c>
      <c r="O21" s="110">
        <v>1</v>
      </c>
      <c r="P21" s="110">
        <v>0</v>
      </c>
      <c r="Q21" s="110">
        <v>0</v>
      </c>
      <c r="R21" s="110">
        <v>0</v>
      </c>
      <c r="S21" s="110">
        <v>1</v>
      </c>
      <c r="T21" s="110">
        <v>1</v>
      </c>
      <c r="U21" s="110">
        <v>0</v>
      </c>
      <c r="V21" s="110">
        <v>0</v>
      </c>
      <c r="W21" s="110">
        <v>0</v>
      </c>
      <c r="X21" s="110">
        <v>1</v>
      </c>
      <c r="Y21" s="110">
        <v>0</v>
      </c>
      <c r="Z21" s="110">
        <v>0</v>
      </c>
      <c r="AA21" s="110">
        <v>0</v>
      </c>
      <c r="AB21" s="110">
        <v>1</v>
      </c>
      <c r="AC21" s="110">
        <v>0</v>
      </c>
      <c r="AD21" s="110">
        <v>0</v>
      </c>
      <c r="AE21" s="110">
        <v>0</v>
      </c>
      <c r="AF21" s="110">
        <v>0</v>
      </c>
      <c r="AG21" s="110">
        <v>0</v>
      </c>
      <c r="AH21" s="110">
        <v>0</v>
      </c>
      <c r="AI21" s="110">
        <v>0</v>
      </c>
      <c r="AJ21" s="110">
        <v>0</v>
      </c>
      <c r="AK21" s="110">
        <v>0</v>
      </c>
      <c r="AL21" s="110">
        <v>0</v>
      </c>
      <c r="AM21" s="110">
        <v>0</v>
      </c>
      <c r="AN21" s="110">
        <v>0</v>
      </c>
      <c r="AO21" s="110">
        <v>0</v>
      </c>
      <c r="AP21" s="110">
        <v>0</v>
      </c>
      <c r="AQ21" s="110">
        <v>0</v>
      </c>
      <c r="AR21" s="110">
        <v>0</v>
      </c>
      <c r="AS21" s="110">
        <v>0</v>
      </c>
      <c r="AT21" s="110">
        <v>0</v>
      </c>
      <c r="AU21" s="110">
        <v>0</v>
      </c>
      <c r="AV21" s="110">
        <v>0</v>
      </c>
      <c r="AW21" s="110">
        <v>0</v>
      </c>
      <c r="AX21" s="110">
        <v>0</v>
      </c>
      <c r="AY21" s="110">
        <v>0</v>
      </c>
      <c r="AZ21" s="110">
        <v>0</v>
      </c>
      <c r="BA21" s="110">
        <v>0</v>
      </c>
      <c r="BB21" s="110">
        <v>0</v>
      </c>
      <c r="BC21" s="110">
        <v>0</v>
      </c>
      <c r="BD21" s="110">
        <v>0</v>
      </c>
      <c r="BE21" s="110">
        <v>0</v>
      </c>
      <c r="BF21" s="110">
        <v>0</v>
      </c>
      <c r="BG21" s="110">
        <v>0</v>
      </c>
      <c r="BH21" s="110">
        <v>0</v>
      </c>
      <c r="BI21" s="110">
        <v>0</v>
      </c>
      <c r="BJ21" s="110">
        <v>0</v>
      </c>
      <c r="BK21" s="110">
        <v>0</v>
      </c>
      <c r="BL21" s="110">
        <v>0</v>
      </c>
      <c r="BM21" s="110">
        <v>0</v>
      </c>
      <c r="BN21" s="110">
        <v>0</v>
      </c>
      <c r="BO21" s="110">
        <v>0</v>
      </c>
      <c r="BP21" s="110">
        <v>0</v>
      </c>
      <c r="BQ21" s="110">
        <v>0</v>
      </c>
      <c r="BR21" s="110">
        <v>0</v>
      </c>
      <c r="BS21" s="110">
        <v>0</v>
      </c>
      <c r="BT21" s="110">
        <v>0</v>
      </c>
      <c r="BU21" s="110">
        <v>0</v>
      </c>
      <c r="BV21" s="110">
        <v>0</v>
      </c>
      <c r="BW21" s="110">
        <v>0</v>
      </c>
      <c r="BX21" s="110">
        <v>0</v>
      </c>
      <c r="BY21" s="110">
        <v>0</v>
      </c>
      <c r="BZ21" s="110">
        <v>0</v>
      </c>
      <c r="CA21" s="110">
        <v>0</v>
      </c>
      <c r="CB21" s="110">
        <v>0</v>
      </c>
      <c r="CC21" s="110">
        <v>0</v>
      </c>
      <c r="CD21" s="110">
        <v>0</v>
      </c>
      <c r="CE21" s="110">
        <v>0</v>
      </c>
      <c r="CF21" s="110">
        <v>0</v>
      </c>
      <c r="CG21" s="110">
        <v>0</v>
      </c>
    </row>
    <row r="22" spans="1:85" customFormat="1" x14ac:dyDescent="0.15">
      <c r="A22" s="188" t="s">
        <v>212</v>
      </c>
      <c r="B22" s="110">
        <v>1</v>
      </c>
      <c r="C22" s="110">
        <v>0</v>
      </c>
      <c r="D22" s="110">
        <v>1</v>
      </c>
      <c r="E22" s="110">
        <v>0</v>
      </c>
      <c r="F22" s="110">
        <v>0</v>
      </c>
      <c r="G22" s="110">
        <v>0</v>
      </c>
      <c r="H22" s="110">
        <v>0</v>
      </c>
      <c r="I22" s="110">
        <v>0</v>
      </c>
      <c r="J22" s="110">
        <v>0</v>
      </c>
      <c r="K22" s="110">
        <v>1</v>
      </c>
      <c r="L22" s="110">
        <v>1</v>
      </c>
      <c r="M22" s="110">
        <v>1</v>
      </c>
      <c r="N22" s="110">
        <v>0</v>
      </c>
      <c r="O22" s="110">
        <v>1</v>
      </c>
      <c r="P22" s="110">
        <v>0</v>
      </c>
      <c r="Q22" s="110">
        <v>0</v>
      </c>
      <c r="R22" s="110">
        <v>0</v>
      </c>
      <c r="S22" s="110">
        <v>1</v>
      </c>
      <c r="T22" s="110">
        <v>1</v>
      </c>
      <c r="U22" s="110">
        <v>1</v>
      </c>
      <c r="V22" s="110">
        <v>0</v>
      </c>
      <c r="W22" s="110">
        <v>1</v>
      </c>
      <c r="X22" s="110">
        <v>1</v>
      </c>
      <c r="Y22" s="110">
        <v>1</v>
      </c>
      <c r="Z22" s="110">
        <v>1</v>
      </c>
      <c r="AA22" s="110">
        <v>1</v>
      </c>
      <c r="AB22" s="110">
        <v>1</v>
      </c>
      <c r="AC22" s="110">
        <v>1</v>
      </c>
      <c r="AD22" s="110">
        <v>1</v>
      </c>
      <c r="AE22" s="110">
        <v>1</v>
      </c>
      <c r="AF22" s="110">
        <v>0</v>
      </c>
      <c r="AG22" s="110">
        <v>0</v>
      </c>
      <c r="AH22" s="110">
        <v>0</v>
      </c>
      <c r="AI22" s="110">
        <v>0</v>
      </c>
      <c r="AJ22" s="110">
        <v>1</v>
      </c>
      <c r="AK22" s="110">
        <v>0</v>
      </c>
      <c r="AL22" s="110">
        <v>0</v>
      </c>
      <c r="AM22" s="110">
        <v>0</v>
      </c>
      <c r="AN22" s="110">
        <v>0</v>
      </c>
      <c r="AO22" s="110">
        <v>0</v>
      </c>
      <c r="AP22" s="110">
        <v>0</v>
      </c>
      <c r="AQ22" s="110">
        <v>0</v>
      </c>
      <c r="AR22" s="110">
        <v>0</v>
      </c>
      <c r="AS22" s="110">
        <v>0</v>
      </c>
      <c r="AT22" s="110">
        <v>0</v>
      </c>
      <c r="AU22" s="110">
        <v>0</v>
      </c>
      <c r="AV22" s="110">
        <v>0</v>
      </c>
      <c r="AW22" s="110">
        <v>0</v>
      </c>
      <c r="AX22" s="110">
        <v>0</v>
      </c>
      <c r="AY22" s="110">
        <v>0</v>
      </c>
      <c r="AZ22" s="110">
        <v>0</v>
      </c>
      <c r="BA22" s="110">
        <v>0</v>
      </c>
      <c r="BB22" s="110">
        <v>0</v>
      </c>
      <c r="BC22" s="110">
        <v>0</v>
      </c>
      <c r="BD22" s="110">
        <v>0</v>
      </c>
      <c r="BE22" s="110">
        <v>0</v>
      </c>
      <c r="BF22" s="110">
        <v>0</v>
      </c>
      <c r="BG22" s="110">
        <v>0</v>
      </c>
      <c r="BH22" s="110">
        <v>0</v>
      </c>
      <c r="BI22" s="110">
        <v>0</v>
      </c>
      <c r="BJ22" s="110">
        <v>0</v>
      </c>
      <c r="BK22" s="110">
        <v>0</v>
      </c>
      <c r="BL22" s="110">
        <v>0</v>
      </c>
      <c r="BM22" s="110">
        <v>0</v>
      </c>
      <c r="BN22" s="110">
        <v>0</v>
      </c>
      <c r="BO22" s="110">
        <v>0</v>
      </c>
      <c r="BP22" s="110">
        <v>0</v>
      </c>
      <c r="BQ22" s="110">
        <v>0</v>
      </c>
      <c r="BR22" s="110">
        <v>0</v>
      </c>
      <c r="BS22" s="110">
        <v>0</v>
      </c>
      <c r="BT22" s="110">
        <v>0</v>
      </c>
      <c r="BU22" s="110">
        <v>0</v>
      </c>
      <c r="BV22" s="110">
        <v>0</v>
      </c>
      <c r="BW22" s="110">
        <v>0</v>
      </c>
      <c r="BX22" s="110">
        <v>0</v>
      </c>
      <c r="BY22" s="110">
        <v>0</v>
      </c>
      <c r="BZ22" s="110">
        <v>0</v>
      </c>
      <c r="CA22" s="110">
        <v>0</v>
      </c>
      <c r="CB22" s="110">
        <v>0</v>
      </c>
      <c r="CC22" s="110">
        <v>0</v>
      </c>
      <c r="CD22" s="110">
        <v>0</v>
      </c>
      <c r="CE22" s="110">
        <v>0</v>
      </c>
      <c r="CF22" s="110">
        <v>0</v>
      </c>
      <c r="CG22" s="110">
        <v>0</v>
      </c>
    </row>
    <row r="23" spans="1:85" customFormat="1" x14ac:dyDescent="0.15">
      <c r="A23" s="188" t="s">
        <v>213</v>
      </c>
      <c r="B23" s="110">
        <v>1</v>
      </c>
      <c r="C23" s="110">
        <v>0</v>
      </c>
      <c r="D23" s="110">
        <v>0</v>
      </c>
      <c r="E23" s="110">
        <v>0</v>
      </c>
      <c r="F23" s="110">
        <v>0</v>
      </c>
      <c r="G23" s="110">
        <v>0</v>
      </c>
      <c r="H23" s="110">
        <v>0</v>
      </c>
      <c r="I23" s="110">
        <v>0</v>
      </c>
      <c r="J23" s="110">
        <v>0</v>
      </c>
      <c r="K23" s="110">
        <v>1</v>
      </c>
      <c r="L23" s="110">
        <v>1</v>
      </c>
      <c r="M23" s="110">
        <v>1</v>
      </c>
      <c r="N23" s="110">
        <v>0</v>
      </c>
      <c r="O23" s="110">
        <v>1</v>
      </c>
      <c r="P23" s="110">
        <v>0</v>
      </c>
      <c r="Q23" s="110">
        <v>0</v>
      </c>
      <c r="R23" s="110">
        <v>0</v>
      </c>
      <c r="S23" s="110">
        <v>1</v>
      </c>
      <c r="T23" s="110">
        <v>1</v>
      </c>
      <c r="U23" s="110">
        <v>0</v>
      </c>
      <c r="V23" s="110">
        <v>0</v>
      </c>
      <c r="W23" s="110">
        <v>0</v>
      </c>
      <c r="X23" s="110">
        <v>1</v>
      </c>
      <c r="Y23" s="110">
        <v>1</v>
      </c>
      <c r="Z23" s="110">
        <v>0</v>
      </c>
      <c r="AA23" s="110">
        <v>0</v>
      </c>
      <c r="AB23" s="110">
        <v>0</v>
      </c>
      <c r="AC23" s="110">
        <v>0</v>
      </c>
      <c r="AD23" s="110">
        <v>1</v>
      </c>
      <c r="AE23" s="110">
        <v>0</v>
      </c>
      <c r="AF23" s="110">
        <v>0</v>
      </c>
      <c r="AG23" s="110">
        <v>0</v>
      </c>
      <c r="AH23" s="110">
        <v>0</v>
      </c>
      <c r="AI23" s="110">
        <v>0</v>
      </c>
      <c r="AJ23" s="110">
        <v>0</v>
      </c>
      <c r="AK23" s="110">
        <v>0</v>
      </c>
      <c r="AL23" s="110">
        <v>0</v>
      </c>
      <c r="AM23" s="110">
        <v>0</v>
      </c>
      <c r="AN23" s="110">
        <v>0</v>
      </c>
      <c r="AO23" s="110">
        <v>0</v>
      </c>
      <c r="AP23" s="110">
        <v>0</v>
      </c>
      <c r="AQ23" s="110">
        <v>0</v>
      </c>
      <c r="AR23" s="110">
        <v>0</v>
      </c>
      <c r="AS23" s="110">
        <v>0</v>
      </c>
      <c r="AT23" s="110">
        <v>0</v>
      </c>
      <c r="AU23" s="110">
        <v>0</v>
      </c>
      <c r="AV23" s="110">
        <v>0</v>
      </c>
      <c r="AW23" s="110">
        <v>0</v>
      </c>
      <c r="AX23" s="110">
        <v>0</v>
      </c>
      <c r="AY23" s="110">
        <v>0</v>
      </c>
      <c r="AZ23" s="110">
        <v>0</v>
      </c>
      <c r="BA23" s="110">
        <v>0</v>
      </c>
      <c r="BB23" s="110">
        <v>0</v>
      </c>
      <c r="BC23" s="110">
        <v>0</v>
      </c>
      <c r="BD23" s="110">
        <v>0</v>
      </c>
      <c r="BE23" s="110">
        <v>0</v>
      </c>
      <c r="BF23" s="110">
        <v>0</v>
      </c>
      <c r="BG23" s="110">
        <v>0</v>
      </c>
      <c r="BH23" s="110">
        <v>0</v>
      </c>
      <c r="BI23" s="110">
        <v>0</v>
      </c>
      <c r="BJ23" s="110">
        <v>0</v>
      </c>
      <c r="BK23" s="110">
        <v>0</v>
      </c>
      <c r="BL23" s="110">
        <v>0</v>
      </c>
      <c r="BM23" s="110">
        <v>0</v>
      </c>
      <c r="BN23" s="110">
        <v>0</v>
      </c>
      <c r="BO23" s="110">
        <v>0</v>
      </c>
      <c r="BP23" s="110">
        <v>0</v>
      </c>
      <c r="BQ23" s="110">
        <v>0</v>
      </c>
      <c r="BR23" s="110">
        <v>0</v>
      </c>
      <c r="BS23" s="110">
        <v>0</v>
      </c>
      <c r="BT23" s="110">
        <v>0</v>
      </c>
      <c r="BU23" s="110">
        <v>0</v>
      </c>
      <c r="BV23" s="110">
        <v>0</v>
      </c>
      <c r="BW23" s="110">
        <v>0</v>
      </c>
      <c r="BX23" s="110">
        <v>0</v>
      </c>
      <c r="BY23" s="110">
        <v>0</v>
      </c>
      <c r="BZ23" s="110">
        <v>0</v>
      </c>
      <c r="CA23" s="110">
        <v>0</v>
      </c>
      <c r="CB23" s="110">
        <v>0</v>
      </c>
      <c r="CC23" s="110">
        <v>0</v>
      </c>
      <c r="CD23" s="110">
        <v>0</v>
      </c>
      <c r="CE23" s="110">
        <v>0</v>
      </c>
      <c r="CF23" s="110">
        <v>0</v>
      </c>
      <c r="CG23" s="110">
        <v>0</v>
      </c>
    </row>
    <row r="24" spans="1:85" customFormat="1" x14ac:dyDescent="0.15">
      <c r="A24" s="188" t="s">
        <v>214</v>
      </c>
      <c r="B24" s="110">
        <v>1</v>
      </c>
      <c r="C24" s="110">
        <v>0</v>
      </c>
      <c r="D24" s="110">
        <v>1</v>
      </c>
      <c r="E24" s="110">
        <v>0</v>
      </c>
      <c r="F24" s="110">
        <v>0</v>
      </c>
      <c r="G24" s="110">
        <v>0</v>
      </c>
      <c r="H24" s="110">
        <v>0</v>
      </c>
      <c r="I24" s="110">
        <v>0</v>
      </c>
      <c r="J24" s="110">
        <v>0</v>
      </c>
      <c r="K24" s="110">
        <v>0</v>
      </c>
      <c r="L24" s="110">
        <v>0</v>
      </c>
      <c r="M24" s="110">
        <v>0</v>
      </c>
      <c r="N24" s="110">
        <v>0</v>
      </c>
      <c r="O24" s="110">
        <v>0</v>
      </c>
      <c r="P24" s="110">
        <v>0</v>
      </c>
      <c r="Q24" s="110">
        <v>0</v>
      </c>
      <c r="R24" s="110">
        <v>0</v>
      </c>
      <c r="S24" s="110">
        <v>0</v>
      </c>
      <c r="T24" s="110">
        <v>0</v>
      </c>
      <c r="U24" s="110">
        <v>0</v>
      </c>
      <c r="V24" s="110">
        <v>0</v>
      </c>
      <c r="W24" s="110">
        <v>0</v>
      </c>
      <c r="X24" s="110">
        <v>0</v>
      </c>
      <c r="Y24" s="110">
        <v>0</v>
      </c>
      <c r="Z24" s="110">
        <v>1</v>
      </c>
      <c r="AA24" s="110">
        <v>0</v>
      </c>
      <c r="AB24" s="110">
        <v>0</v>
      </c>
      <c r="AC24" s="110">
        <v>0</v>
      </c>
      <c r="AD24" s="110">
        <v>0</v>
      </c>
      <c r="AE24" s="110">
        <v>0</v>
      </c>
      <c r="AF24" s="110">
        <v>0</v>
      </c>
      <c r="AG24" s="110">
        <v>0</v>
      </c>
      <c r="AH24" s="110">
        <v>0</v>
      </c>
      <c r="AI24" s="110">
        <v>0</v>
      </c>
      <c r="AJ24" s="110">
        <v>0</v>
      </c>
      <c r="AK24" s="110">
        <v>0</v>
      </c>
      <c r="AL24" s="110">
        <v>0</v>
      </c>
      <c r="AM24" s="110">
        <v>0</v>
      </c>
      <c r="AN24" s="110">
        <v>0</v>
      </c>
      <c r="AO24" s="110">
        <v>0</v>
      </c>
      <c r="AP24" s="110">
        <v>0</v>
      </c>
      <c r="AQ24" s="110">
        <v>0</v>
      </c>
      <c r="AR24" s="110">
        <v>0</v>
      </c>
      <c r="AS24" s="110">
        <v>0</v>
      </c>
      <c r="AT24" s="110">
        <v>0</v>
      </c>
      <c r="AU24" s="110">
        <v>0</v>
      </c>
      <c r="AV24" s="110">
        <v>0</v>
      </c>
      <c r="AW24" s="110">
        <v>0</v>
      </c>
      <c r="AX24" s="110">
        <v>0</v>
      </c>
      <c r="AY24" s="110">
        <v>0</v>
      </c>
      <c r="AZ24" s="110">
        <v>0</v>
      </c>
      <c r="BA24" s="110">
        <v>0</v>
      </c>
      <c r="BB24" s="110">
        <v>0</v>
      </c>
      <c r="BC24" s="110">
        <v>0</v>
      </c>
      <c r="BD24" s="110">
        <v>0</v>
      </c>
      <c r="BE24" s="110">
        <v>0</v>
      </c>
      <c r="BF24" s="110">
        <v>0</v>
      </c>
      <c r="BG24" s="110">
        <v>0</v>
      </c>
      <c r="BH24" s="110">
        <v>0</v>
      </c>
      <c r="BI24" s="110">
        <v>0</v>
      </c>
      <c r="BJ24" s="110">
        <v>0</v>
      </c>
      <c r="BK24" s="110">
        <v>0</v>
      </c>
      <c r="BL24" s="110">
        <v>0</v>
      </c>
      <c r="BM24" s="110">
        <v>0</v>
      </c>
      <c r="BN24" s="110">
        <v>0</v>
      </c>
      <c r="BO24" s="110">
        <v>0</v>
      </c>
      <c r="BP24" s="110">
        <v>0</v>
      </c>
      <c r="BQ24" s="110">
        <v>0</v>
      </c>
      <c r="BR24" s="110">
        <v>0</v>
      </c>
      <c r="BS24" s="110">
        <v>0</v>
      </c>
      <c r="BT24" s="110">
        <v>0</v>
      </c>
      <c r="BU24" s="110">
        <v>0</v>
      </c>
      <c r="BV24" s="110">
        <v>0</v>
      </c>
      <c r="BW24" s="110">
        <v>0</v>
      </c>
      <c r="BX24" s="110">
        <v>0</v>
      </c>
      <c r="BY24" s="110">
        <v>0</v>
      </c>
      <c r="BZ24" s="110">
        <v>0</v>
      </c>
      <c r="CA24" s="110">
        <v>0</v>
      </c>
      <c r="CB24" s="110">
        <v>0</v>
      </c>
      <c r="CC24" s="110">
        <v>0</v>
      </c>
      <c r="CD24" s="110">
        <v>0</v>
      </c>
      <c r="CE24" s="110">
        <v>0</v>
      </c>
      <c r="CF24" s="110">
        <v>0</v>
      </c>
      <c r="CG24" s="110">
        <v>0</v>
      </c>
    </row>
    <row r="25" spans="1:85" customFormat="1" x14ac:dyDescent="0.15">
      <c r="A25" s="188" t="s">
        <v>215</v>
      </c>
      <c r="B25" s="110">
        <v>0</v>
      </c>
      <c r="C25" s="110">
        <v>0</v>
      </c>
      <c r="D25" s="110">
        <v>0</v>
      </c>
      <c r="E25" s="110">
        <v>0</v>
      </c>
      <c r="F25" s="110">
        <v>0</v>
      </c>
      <c r="G25" s="110">
        <v>0</v>
      </c>
      <c r="H25" s="110">
        <v>0</v>
      </c>
      <c r="I25" s="110">
        <v>0</v>
      </c>
      <c r="J25" s="110">
        <v>0</v>
      </c>
      <c r="K25" s="110">
        <v>0</v>
      </c>
      <c r="L25" s="110">
        <v>0</v>
      </c>
      <c r="M25" s="110">
        <v>0</v>
      </c>
      <c r="N25" s="110">
        <v>0</v>
      </c>
      <c r="O25" s="110">
        <v>0</v>
      </c>
      <c r="P25" s="110">
        <v>0</v>
      </c>
      <c r="Q25" s="110">
        <v>0</v>
      </c>
      <c r="R25" s="110">
        <v>0</v>
      </c>
      <c r="S25" s="110">
        <v>0</v>
      </c>
      <c r="T25" s="110">
        <v>0</v>
      </c>
      <c r="U25" s="110">
        <v>0</v>
      </c>
      <c r="V25" s="110">
        <v>0</v>
      </c>
      <c r="W25" s="110">
        <v>0</v>
      </c>
      <c r="X25" s="110">
        <v>0</v>
      </c>
      <c r="Y25" s="110">
        <v>0</v>
      </c>
      <c r="Z25" s="110">
        <v>0</v>
      </c>
      <c r="AA25" s="110">
        <v>0</v>
      </c>
      <c r="AB25" s="110">
        <v>0</v>
      </c>
      <c r="AC25" s="110">
        <v>0</v>
      </c>
      <c r="AD25" s="110">
        <v>0</v>
      </c>
      <c r="AE25" s="110">
        <v>0</v>
      </c>
      <c r="AF25" s="110">
        <v>0</v>
      </c>
      <c r="AG25" s="110">
        <v>0</v>
      </c>
      <c r="AH25" s="110">
        <v>0</v>
      </c>
      <c r="AI25" s="110">
        <v>0</v>
      </c>
      <c r="AJ25" s="110">
        <v>0</v>
      </c>
      <c r="AK25" s="110">
        <v>0</v>
      </c>
      <c r="AL25" s="110">
        <v>0</v>
      </c>
      <c r="AM25" s="110">
        <v>0</v>
      </c>
      <c r="AN25" s="110">
        <v>0</v>
      </c>
      <c r="AO25" s="110">
        <v>0</v>
      </c>
      <c r="AP25" s="110">
        <v>0</v>
      </c>
      <c r="AQ25" s="110">
        <v>0</v>
      </c>
      <c r="AR25" s="110">
        <v>0</v>
      </c>
      <c r="AS25" s="110">
        <v>0</v>
      </c>
      <c r="AT25" s="110">
        <v>0</v>
      </c>
      <c r="AU25" s="110">
        <v>0</v>
      </c>
      <c r="AV25" s="110">
        <v>0</v>
      </c>
      <c r="AW25" s="110">
        <v>0</v>
      </c>
      <c r="AX25" s="110">
        <v>0</v>
      </c>
      <c r="AY25" s="110">
        <v>0</v>
      </c>
      <c r="AZ25" s="110">
        <v>0</v>
      </c>
      <c r="BA25" s="110">
        <v>0</v>
      </c>
      <c r="BB25" s="110">
        <v>0</v>
      </c>
      <c r="BC25" s="110">
        <v>0</v>
      </c>
      <c r="BD25" s="110">
        <v>0</v>
      </c>
      <c r="BE25" s="110">
        <v>0</v>
      </c>
      <c r="BF25" s="110">
        <v>0</v>
      </c>
      <c r="BG25" s="110">
        <v>0</v>
      </c>
      <c r="BH25" s="110">
        <v>0</v>
      </c>
      <c r="BI25" s="110">
        <v>0</v>
      </c>
      <c r="BJ25" s="110">
        <v>0</v>
      </c>
      <c r="BK25" s="110">
        <v>0</v>
      </c>
      <c r="BL25" s="110">
        <v>0</v>
      </c>
      <c r="BM25" s="110">
        <v>0</v>
      </c>
      <c r="BN25" s="110">
        <v>0</v>
      </c>
      <c r="BO25" s="110">
        <v>0</v>
      </c>
      <c r="BP25" s="110">
        <v>0</v>
      </c>
      <c r="BQ25" s="110">
        <v>0</v>
      </c>
      <c r="BR25" s="110">
        <v>0</v>
      </c>
      <c r="BS25" s="110">
        <v>0</v>
      </c>
      <c r="BT25" s="110">
        <v>0</v>
      </c>
      <c r="BU25" s="110">
        <v>0</v>
      </c>
      <c r="BV25" s="110">
        <v>0</v>
      </c>
      <c r="BW25" s="110">
        <v>0</v>
      </c>
      <c r="BX25" s="110">
        <v>0</v>
      </c>
      <c r="BY25" s="110">
        <v>0</v>
      </c>
      <c r="BZ25" s="110">
        <v>0</v>
      </c>
      <c r="CA25" s="110">
        <v>0</v>
      </c>
      <c r="CB25" s="110">
        <v>0</v>
      </c>
      <c r="CC25" s="110">
        <v>0</v>
      </c>
      <c r="CD25" s="110">
        <v>0</v>
      </c>
      <c r="CE25" s="110">
        <v>0</v>
      </c>
      <c r="CF25" s="110">
        <v>0</v>
      </c>
      <c r="CG25" s="110">
        <v>0</v>
      </c>
    </row>
    <row r="26" spans="1:85" customFormat="1" x14ac:dyDescent="0.15">
      <c r="A26" s="188" t="s">
        <v>216</v>
      </c>
      <c r="B26" s="110">
        <v>1</v>
      </c>
      <c r="C26" s="110">
        <v>0</v>
      </c>
      <c r="D26" s="110">
        <v>0</v>
      </c>
      <c r="E26" s="110">
        <v>0</v>
      </c>
      <c r="F26" s="110">
        <v>0</v>
      </c>
      <c r="G26" s="110">
        <v>0</v>
      </c>
      <c r="H26" s="110">
        <v>0</v>
      </c>
      <c r="I26" s="110">
        <v>0</v>
      </c>
      <c r="J26" s="110">
        <v>0</v>
      </c>
      <c r="K26" s="110">
        <v>1</v>
      </c>
      <c r="L26" s="110">
        <v>1</v>
      </c>
      <c r="M26" s="110">
        <v>1</v>
      </c>
      <c r="N26" s="110">
        <v>0</v>
      </c>
      <c r="O26" s="110">
        <v>1</v>
      </c>
      <c r="P26" s="110">
        <v>0</v>
      </c>
      <c r="Q26" s="110">
        <v>0</v>
      </c>
      <c r="R26" s="110">
        <v>0</v>
      </c>
      <c r="S26" s="110">
        <v>0</v>
      </c>
      <c r="T26" s="110">
        <v>1</v>
      </c>
      <c r="U26" s="110">
        <v>0</v>
      </c>
      <c r="V26" s="110">
        <v>1</v>
      </c>
      <c r="W26" s="110">
        <v>0</v>
      </c>
      <c r="X26" s="110">
        <v>1</v>
      </c>
      <c r="Y26" s="110">
        <v>1</v>
      </c>
      <c r="Z26" s="110">
        <v>0</v>
      </c>
      <c r="AA26" s="110">
        <v>0</v>
      </c>
      <c r="AB26" s="110">
        <v>1</v>
      </c>
      <c r="AC26" s="110">
        <v>0</v>
      </c>
      <c r="AD26" s="110">
        <v>1</v>
      </c>
      <c r="AE26" s="110">
        <v>0</v>
      </c>
      <c r="AF26" s="110">
        <v>0</v>
      </c>
      <c r="AG26" s="110">
        <v>0</v>
      </c>
      <c r="AH26" s="110">
        <v>0</v>
      </c>
      <c r="AI26" s="110">
        <v>0</v>
      </c>
      <c r="AJ26" s="110">
        <v>0</v>
      </c>
      <c r="AK26" s="110">
        <v>0</v>
      </c>
      <c r="AL26" s="110">
        <v>0</v>
      </c>
      <c r="AM26" s="110">
        <v>0</v>
      </c>
      <c r="AN26" s="110">
        <v>0</v>
      </c>
      <c r="AO26" s="110">
        <v>0</v>
      </c>
      <c r="AP26" s="110">
        <v>0</v>
      </c>
      <c r="AQ26" s="110">
        <v>0</v>
      </c>
      <c r="AR26" s="110">
        <v>0</v>
      </c>
      <c r="AS26" s="110">
        <v>0</v>
      </c>
      <c r="AT26" s="110">
        <v>0</v>
      </c>
      <c r="AU26" s="110">
        <v>0</v>
      </c>
      <c r="AV26" s="110">
        <v>0</v>
      </c>
      <c r="AW26" s="110">
        <v>0</v>
      </c>
      <c r="AX26" s="110">
        <v>0</v>
      </c>
      <c r="AY26" s="110">
        <v>0</v>
      </c>
      <c r="AZ26" s="110">
        <v>0</v>
      </c>
      <c r="BA26" s="110">
        <v>0</v>
      </c>
      <c r="BB26" s="110">
        <v>0</v>
      </c>
      <c r="BC26" s="110">
        <v>0</v>
      </c>
      <c r="BD26" s="110">
        <v>0</v>
      </c>
      <c r="BE26" s="110">
        <v>0</v>
      </c>
      <c r="BF26" s="110">
        <v>0</v>
      </c>
      <c r="BG26" s="110">
        <v>0</v>
      </c>
      <c r="BH26" s="110">
        <v>0</v>
      </c>
      <c r="BI26" s="110">
        <v>0</v>
      </c>
      <c r="BJ26" s="110">
        <v>0</v>
      </c>
      <c r="BK26" s="110">
        <v>0</v>
      </c>
      <c r="BL26" s="110">
        <v>0</v>
      </c>
      <c r="BM26" s="110">
        <v>0</v>
      </c>
      <c r="BN26" s="110">
        <v>0</v>
      </c>
      <c r="BO26" s="110">
        <v>0</v>
      </c>
      <c r="BP26" s="110">
        <v>0</v>
      </c>
      <c r="BQ26" s="110">
        <v>0</v>
      </c>
      <c r="BR26" s="110">
        <v>0</v>
      </c>
      <c r="BS26" s="110">
        <v>0</v>
      </c>
      <c r="BT26" s="110">
        <v>0</v>
      </c>
      <c r="BU26" s="110">
        <v>0</v>
      </c>
      <c r="BV26" s="110">
        <v>0</v>
      </c>
      <c r="BW26" s="110">
        <v>0</v>
      </c>
      <c r="BX26" s="110">
        <v>0</v>
      </c>
      <c r="BY26" s="110">
        <v>0</v>
      </c>
      <c r="BZ26" s="110">
        <v>0</v>
      </c>
      <c r="CA26" s="110">
        <v>0</v>
      </c>
      <c r="CB26" s="110">
        <v>0</v>
      </c>
      <c r="CC26" s="110">
        <v>0</v>
      </c>
      <c r="CD26" s="110">
        <v>0</v>
      </c>
      <c r="CE26" s="110">
        <v>0</v>
      </c>
      <c r="CF26" s="110">
        <v>0</v>
      </c>
      <c r="CG26" s="110">
        <v>0</v>
      </c>
    </row>
    <row r="27" spans="1:85" customFormat="1" x14ac:dyDescent="0.15">
      <c r="A27" s="188" t="s">
        <v>217</v>
      </c>
      <c r="B27" s="110">
        <v>1</v>
      </c>
      <c r="C27" s="110">
        <v>0</v>
      </c>
      <c r="D27" s="110">
        <v>1</v>
      </c>
      <c r="E27" s="110">
        <v>0</v>
      </c>
      <c r="F27" s="110">
        <v>1</v>
      </c>
      <c r="G27" s="110">
        <v>1</v>
      </c>
      <c r="H27" s="110">
        <v>1</v>
      </c>
      <c r="I27" s="110">
        <v>1</v>
      </c>
      <c r="J27" s="110">
        <v>0</v>
      </c>
      <c r="K27" s="110">
        <v>1</v>
      </c>
      <c r="L27" s="110">
        <v>1</v>
      </c>
      <c r="M27" s="110">
        <v>1</v>
      </c>
      <c r="N27" s="110">
        <v>1</v>
      </c>
      <c r="O27" s="110">
        <v>1</v>
      </c>
      <c r="P27" s="110">
        <v>0</v>
      </c>
      <c r="Q27" s="110">
        <v>1</v>
      </c>
      <c r="R27" s="110">
        <v>0</v>
      </c>
      <c r="S27" s="110">
        <v>1</v>
      </c>
      <c r="T27" s="110">
        <v>1</v>
      </c>
      <c r="U27" s="110">
        <v>1</v>
      </c>
      <c r="V27" s="110">
        <v>1</v>
      </c>
      <c r="W27" s="110">
        <v>1</v>
      </c>
      <c r="X27" s="110">
        <v>1</v>
      </c>
      <c r="Y27" s="110">
        <v>1</v>
      </c>
      <c r="Z27" s="110">
        <v>1</v>
      </c>
      <c r="AA27" s="110">
        <v>0</v>
      </c>
      <c r="AB27" s="110">
        <v>1</v>
      </c>
      <c r="AC27" s="110">
        <v>0</v>
      </c>
      <c r="AD27" s="110">
        <v>1</v>
      </c>
      <c r="AE27" s="110">
        <v>1</v>
      </c>
      <c r="AF27" s="110">
        <v>1</v>
      </c>
      <c r="AG27" s="110">
        <v>1</v>
      </c>
      <c r="AH27" s="110">
        <v>0</v>
      </c>
      <c r="AI27" s="110">
        <v>1</v>
      </c>
      <c r="AJ27" s="110">
        <v>1</v>
      </c>
      <c r="AK27" s="110">
        <v>1</v>
      </c>
      <c r="AL27" s="110">
        <v>1</v>
      </c>
      <c r="AM27" s="110">
        <v>0</v>
      </c>
      <c r="AN27" s="110">
        <v>0</v>
      </c>
      <c r="AO27" s="110">
        <v>0</v>
      </c>
      <c r="AP27" s="110">
        <v>0</v>
      </c>
      <c r="AQ27" s="110">
        <v>0</v>
      </c>
      <c r="AR27" s="110">
        <v>0</v>
      </c>
      <c r="AS27" s="110">
        <v>0</v>
      </c>
      <c r="AT27" s="110">
        <v>0</v>
      </c>
      <c r="AU27" s="110">
        <v>0</v>
      </c>
      <c r="AV27" s="110">
        <v>0</v>
      </c>
      <c r="AW27" s="110">
        <v>0</v>
      </c>
      <c r="AX27" s="110">
        <v>0</v>
      </c>
      <c r="AY27" s="110">
        <v>0</v>
      </c>
      <c r="AZ27" s="110">
        <v>0</v>
      </c>
      <c r="BA27" s="110">
        <v>0</v>
      </c>
      <c r="BB27" s="110">
        <v>0</v>
      </c>
      <c r="BC27" s="110">
        <v>0</v>
      </c>
      <c r="BD27" s="110">
        <v>0</v>
      </c>
      <c r="BE27" s="110">
        <v>0</v>
      </c>
      <c r="BF27" s="110">
        <v>0</v>
      </c>
      <c r="BG27" s="110">
        <v>0</v>
      </c>
      <c r="BH27" s="110">
        <v>0</v>
      </c>
      <c r="BI27" s="110">
        <v>0</v>
      </c>
      <c r="BJ27" s="110">
        <v>0</v>
      </c>
      <c r="BK27" s="110">
        <v>0</v>
      </c>
      <c r="BL27" s="110">
        <v>0</v>
      </c>
      <c r="BM27" s="110">
        <v>0</v>
      </c>
      <c r="BN27" s="110">
        <v>0</v>
      </c>
      <c r="BO27" s="110">
        <v>0</v>
      </c>
      <c r="BP27" s="110">
        <v>0</v>
      </c>
      <c r="BQ27" s="110">
        <v>0</v>
      </c>
      <c r="BR27" s="110">
        <v>0</v>
      </c>
      <c r="BS27" s="110">
        <v>0</v>
      </c>
      <c r="BT27" s="110">
        <v>0</v>
      </c>
      <c r="BU27" s="110">
        <v>0</v>
      </c>
      <c r="BV27" s="110">
        <v>0</v>
      </c>
      <c r="BW27" s="110">
        <v>0</v>
      </c>
      <c r="BX27" s="110">
        <v>0</v>
      </c>
      <c r="BY27" s="110">
        <v>0</v>
      </c>
      <c r="BZ27" s="110">
        <v>0</v>
      </c>
      <c r="CA27" s="110">
        <v>0</v>
      </c>
      <c r="CB27" s="110">
        <v>0</v>
      </c>
      <c r="CC27" s="110">
        <v>0</v>
      </c>
      <c r="CD27" s="110">
        <v>0</v>
      </c>
      <c r="CE27" s="110">
        <v>0</v>
      </c>
      <c r="CF27" s="110">
        <v>0</v>
      </c>
      <c r="CG27" s="110">
        <v>0</v>
      </c>
    </row>
    <row r="28" spans="1:85" customFormat="1" x14ac:dyDescent="0.15">
      <c r="A28" s="188" t="s">
        <v>218</v>
      </c>
      <c r="B28" s="110">
        <v>1</v>
      </c>
      <c r="C28" s="110">
        <v>0</v>
      </c>
      <c r="D28" s="110">
        <v>1</v>
      </c>
      <c r="E28" s="110">
        <v>0</v>
      </c>
      <c r="F28" s="110">
        <v>1</v>
      </c>
      <c r="G28" s="110">
        <v>1</v>
      </c>
      <c r="H28" s="110">
        <v>1</v>
      </c>
      <c r="I28" s="110">
        <v>1</v>
      </c>
      <c r="J28" s="110">
        <v>1</v>
      </c>
      <c r="K28" s="110">
        <v>1</v>
      </c>
      <c r="L28" s="110">
        <v>1</v>
      </c>
      <c r="M28" s="110">
        <v>1</v>
      </c>
      <c r="N28" s="110">
        <v>1</v>
      </c>
      <c r="O28" s="110">
        <v>1</v>
      </c>
      <c r="P28" s="110">
        <v>0</v>
      </c>
      <c r="Q28" s="110">
        <v>1</v>
      </c>
      <c r="R28" s="110">
        <v>0</v>
      </c>
      <c r="S28" s="110">
        <v>1</v>
      </c>
      <c r="T28" s="110">
        <v>1</v>
      </c>
      <c r="U28" s="110">
        <v>1</v>
      </c>
      <c r="V28" s="110">
        <v>1</v>
      </c>
      <c r="W28" s="110">
        <v>1</v>
      </c>
      <c r="X28" s="110">
        <v>1</v>
      </c>
      <c r="Y28" s="110">
        <v>1</v>
      </c>
      <c r="Z28" s="110">
        <v>1</v>
      </c>
      <c r="AA28" s="110">
        <v>1</v>
      </c>
      <c r="AB28" s="110">
        <v>0</v>
      </c>
      <c r="AC28" s="110">
        <v>0</v>
      </c>
      <c r="AD28" s="110">
        <v>1</v>
      </c>
      <c r="AE28" s="110">
        <v>1</v>
      </c>
      <c r="AF28" s="110">
        <v>1</v>
      </c>
      <c r="AG28" s="110">
        <v>0</v>
      </c>
      <c r="AH28" s="110">
        <v>0</v>
      </c>
      <c r="AI28" s="110">
        <v>0</v>
      </c>
      <c r="AJ28" s="110">
        <v>1</v>
      </c>
      <c r="AK28" s="110">
        <v>0</v>
      </c>
      <c r="AL28" s="110">
        <v>0</v>
      </c>
      <c r="AM28" s="110">
        <v>0</v>
      </c>
      <c r="AN28" s="110">
        <v>0</v>
      </c>
      <c r="AO28" s="110">
        <v>0</v>
      </c>
      <c r="AP28" s="110">
        <v>0</v>
      </c>
      <c r="AQ28" s="110">
        <v>0</v>
      </c>
      <c r="AR28" s="110">
        <v>0</v>
      </c>
      <c r="AS28" s="110">
        <v>0</v>
      </c>
      <c r="AT28" s="110">
        <v>0</v>
      </c>
      <c r="AU28" s="110">
        <v>0</v>
      </c>
      <c r="AV28" s="110">
        <v>0</v>
      </c>
      <c r="AW28" s="110">
        <v>0</v>
      </c>
      <c r="AX28" s="110">
        <v>0</v>
      </c>
      <c r="AY28" s="110">
        <v>0</v>
      </c>
      <c r="AZ28" s="110">
        <v>0</v>
      </c>
      <c r="BA28" s="110">
        <v>0</v>
      </c>
      <c r="BB28" s="110">
        <v>0</v>
      </c>
      <c r="BC28" s="110">
        <v>0</v>
      </c>
      <c r="BD28" s="110">
        <v>0</v>
      </c>
      <c r="BE28" s="110">
        <v>0</v>
      </c>
      <c r="BF28" s="110">
        <v>0</v>
      </c>
      <c r="BG28" s="110">
        <v>0</v>
      </c>
      <c r="BH28" s="110">
        <v>0</v>
      </c>
      <c r="BI28" s="110">
        <v>0</v>
      </c>
      <c r="BJ28" s="110">
        <v>0</v>
      </c>
      <c r="BK28" s="110">
        <v>0</v>
      </c>
      <c r="BL28" s="110">
        <v>0</v>
      </c>
      <c r="BM28" s="110">
        <v>0</v>
      </c>
      <c r="BN28" s="110">
        <v>0</v>
      </c>
      <c r="BO28" s="110">
        <v>0</v>
      </c>
      <c r="BP28" s="110">
        <v>0</v>
      </c>
      <c r="BQ28" s="110">
        <v>0</v>
      </c>
      <c r="BR28" s="110">
        <v>0</v>
      </c>
      <c r="BS28" s="110">
        <v>0</v>
      </c>
      <c r="BT28" s="110">
        <v>0</v>
      </c>
      <c r="BU28" s="110">
        <v>0</v>
      </c>
      <c r="BV28" s="110">
        <v>0</v>
      </c>
      <c r="BW28" s="110">
        <v>0</v>
      </c>
      <c r="BX28" s="110">
        <v>0</v>
      </c>
      <c r="BY28" s="110">
        <v>0</v>
      </c>
      <c r="BZ28" s="110">
        <v>0</v>
      </c>
      <c r="CA28" s="110">
        <v>0</v>
      </c>
      <c r="CB28" s="110">
        <v>0</v>
      </c>
      <c r="CC28" s="110">
        <v>0</v>
      </c>
      <c r="CD28" s="110">
        <v>0</v>
      </c>
      <c r="CE28" s="110">
        <v>0</v>
      </c>
      <c r="CF28" s="110">
        <v>0</v>
      </c>
      <c r="CG28" s="110">
        <v>0</v>
      </c>
    </row>
    <row r="29" spans="1:85" customFormat="1" x14ac:dyDescent="0.15">
      <c r="A29" s="188" t="s">
        <v>219</v>
      </c>
      <c r="B29" s="110">
        <v>0</v>
      </c>
      <c r="C29" s="110">
        <v>0</v>
      </c>
      <c r="D29" s="110">
        <v>1</v>
      </c>
      <c r="E29" s="110">
        <v>0</v>
      </c>
      <c r="F29" s="110">
        <v>0</v>
      </c>
      <c r="G29" s="110">
        <v>0</v>
      </c>
      <c r="H29" s="110">
        <v>0</v>
      </c>
      <c r="I29" s="110">
        <v>0</v>
      </c>
      <c r="J29" s="110">
        <v>0</v>
      </c>
      <c r="K29" s="110">
        <v>1</v>
      </c>
      <c r="L29" s="110">
        <v>1</v>
      </c>
      <c r="M29" s="110">
        <v>1</v>
      </c>
      <c r="N29" s="110">
        <v>1</v>
      </c>
      <c r="O29" s="110">
        <v>1</v>
      </c>
      <c r="P29" s="110">
        <v>0</v>
      </c>
      <c r="Q29" s="110">
        <v>0</v>
      </c>
      <c r="R29" s="110">
        <v>0</v>
      </c>
      <c r="S29" s="110">
        <v>0</v>
      </c>
      <c r="T29" s="110">
        <v>1</v>
      </c>
      <c r="U29" s="110">
        <v>0</v>
      </c>
      <c r="V29" s="110">
        <v>1</v>
      </c>
      <c r="W29" s="110">
        <v>0</v>
      </c>
      <c r="X29" s="110">
        <v>1</v>
      </c>
      <c r="Y29" s="110">
        <v>1</v>
      </c>
      <c r="Z29" s="110">
        <v>1</v>
      </c>
      <c r="AA29" s="110">
        <v>1</v>
      </c>
      <c r="AB29" s="110">
        <v>1</v>
      </c>
      <c r="AC29" s="110">
        <v>0</v>
      </c>
      <c r="AD29" s="110">
        <v>1</v>
      </c>
      <c r="AE29" s="110">
        <v>0</v>
      </c>
      <c r="AF29" s="110">
        <v>0</v>
      </c>
      <c r="AG29" s="110">
        <v>0</v>
      </c>
      <c r="AH29" s="110">
        <v>0</v>
      </c>
      <c r="AI29" s="110">
        <v>0</v>
      </c>
      <c r="AJ29" s="110">
        <v>1</v>
      </c>
      <c r="AK29" s="110">
        <v>0</v>
      </c>
      <c r="AL29" s="110">
        <v>0</v>
      </c>
      <c r="AM29" s="110">
        <v>0</v>
      </c>
      <c r="AN29" s="110">
        <v>0</v>
      </c>
      <c r="AO29" s="110">
        <v>0</v>
      </c>
      <c r="AP29" s="110">
        <v>0</v>
      </c>
      <c r="AQ29" s="110">
        <v>0</v>
      </c>
      <c r="AR29" s="110">
        <v>0</v>
      </c>
      <c r="AS29" s="110">
        <v>0</v>
      </c>
      <c r="AT29" s="110">
        <v>0</v>
      </c>
      <c r="AU29" s="110">
        <v>0</v>
      </c>
      <c r="AV29" s="110">
        <v>0</v>
      </c>
      <c r="AW29" s="110">
        <v>0</v>
      </c>
      <c r="AX29" s="110">
        <v>0</v>
      </c>
      <c r="AY29" s="110">
        <v>0</v>
      </c>
      <c r="AZ29" s="110">
        <v>0</v>
      </c>
      <c r="BA29" s="110">
        <v>0</v>
      </c>
      <c r="BB29" s="110">
        <v>0</v>
      </c>
      <c r="BC29" s="110">
        <v>0</v>
      </c>
      <c r="BD29" s="110">
        <v>0</v>
      </c>
      <c r="BE29" s="110">
        <v>0</v>
      </c>
      <c r="BF29" s="110">
        <v>0</v>
      </c>
      <c r="BG29" s="110">
        <v>0</v>
      </c>
      <c r="BH29" s="110">
        <v>0</v>
      </c>
      <c r="BI29" s="110">
        <v>0</v>
      </c>
      <c r="BJ29" s="110">
        <v>0</v>
      </c>
      <c r="BK29" s="110">
        <v>0</v>
      </c>
      <c r="BL29" s="110">
        <v>0</v>
      </c>
      <c r="BM29" s="110">
        <v>0</v>
      </c>
      <c r="BN29" s="110">
        <v>0</v>
      </c>
      <c r="BO29" s="110">
        <v>0</v>
      </c>
      <c r="BP29" s="110">
        <v>0</v>
      </c>
      <c r="BQ29" s="110">
        <v>0</v>
      </c>
      <c r="BR29" s="110">
        <v>0</v>
      </c>
      <c r="BS29" s="110">
        <v>0</v>
      </c>
      <c r="BT29" s="110">
        <v>0</v>
      </c>
      <c r="BU29" s="110">
        <v>0</v>
      </c>
      <c r="BV29" s="110">
        <v>0</v>
      </c>
      <c r="BW29" s="110">
        <v>0</v>
      </c>
      <c r="BX29" s="110">
        <v>0</v>
      </c>
      <c r="BY29" s="110">
        <v>0</v>
      </c>
      <c r="BZ29" s="110">
        <v>0</v>
      </c>
      <c r="CA29" s="110">
        <v>0</v>
      </c>
      <c r="CB29" s="110">
        <v>0</v>
      </c>
      <c r="CC29" s="110">
        <v>0</v>
      </c>
      <c r="CD29" s="110">
        <v>0</v>
      </c>
      <c r="CE29" s="110">
        <v>0</v>
      </c>
      <c r="CF29" s="110">
        <v>0</v>
      </c>
      <c r="CG29" s="110">
        <v>0</v>
      </c>
    </row>
    <row r="30" spans="1:85" customFormat="1" x14ac:dyDescent="0.15">
      <c r="A30" s="188" t="s">
        <v>220</v>
      </c>
      <c r="B30" s="110">
        <v>1</v>
      </c>
      <c r="C30" s="110">
        <v>0</v>
      </c>
      <c r="D30" s="110">
        <v>0</v>
      </c>
      <c r="E30" s="110">
        <v>0</v>
      </c>
      <c r="F30" s="110">
        <v>1</v>
      </c>
      <c r="G30" s="110">
        <v>0</v>
      </c>
      <c r="H30" s="110">
        <v>0</v>
      </c>
      <c r="I30" s="110">
        <v>0</v>
      </c>
      <c r="J30" s="110">
        <v>0</v>
      </c>
      <c r="K30" s="110">
        <v>1</v>
      </c>
      <c r="L30" s="110">
        <v>0</v>
      </c>
      <c r="M30" s="110">
        <v>1</v>
      </c>
      <c r="N30" s="110">
        <v>0</v>
      </c>
      <c r="O30" s="110">
        <v>1</v>
      </c>
      <c r="P30" s="110">
        <v>0</v>
      </c>
      <c r="Q30" s="110">
        <v>0</v>
      </c>
      <c r="R30" s="110">
        <v>0</v>
      </c>
      <c r="S30" s="110">
        <v>0</v>
      </c>
      <c r="T30" s="110">
        <v>1</v>
      </c>
      <c r="U30" s="110">
        <v>0</v>
      </c>
      <c r="V30" s="110">
        <v>1</v>
      </c>
      <c r="W30" s="110">
        <v>1</v>
      </c>
      <c r="X30" s="110">
        <v>1</v>
      </c>
      <c r="Y30" s="110">
        <v>1</v>
      </c>
      <c r="Z30" s="110">
        <v>1</v>
      </c>
      <c r="AA30" s="110">
        <v>1</v>
      </c>
      <c r="AB30" s="110">
        <v>1</v>
      </c>
      <c r="AC30" s="110">
        <v>0</v>
      </c>
      <c r="AD30" s="110">
        <v>0</v>
      </c>
      <c r="AE30" s="110">
        <v>0</v>
      </c>
      <c r="AF30" s="110">
        <v>0</v>
      </c>
      <c r="AG30" s="110">
        <v>0</v>
      </c>
      <c r="AH30" s="110">
        <v>0</v>
      </c>
      <c r="AI30" s="110">
        <v>0</v>
      </c>
      <c r="AJ30" s="110">
        <v>0</v>
      </c>
      <c r="AK30" s="110">
        <v>0</v>
      </c>
      <c r="AL30" s="110">
        <v>0</v>
      </c>
      <c r="AM30" s="110">
        <v>0</v>
      </c>
      <c r="AN30" s="110">
        <v>0</v>
      </c>
      <c r="AO30" s="110">
        <v>0</v>
      </c>
      <c r="AP30" s="110">
        <v>0</v>
      </c>
      <c r="AQ30" s="110">
        <v>0</v>
      </c>
      <c r="AR30" s="110">
        <v>0</v>
      </c>
      <c r="AS30" s="110">
        <v>0</v>
      </c>
      <c r="AT30" s="110">
        <v>0</v>
      </c>
      <c r="AU30" s="110">
        <v>0</v>
      </c>
      <c r="AV30" s="110">
        <v>0</v>
      </c>
      <c r="AW30" s="110">
        <v>0</v>
      </c>
      <c r="AX30" s="110">
        <v>0</v>
      </c>
      <c r="AY30" s="110">
        <v>0</v>
      </c>
      <c r="AZ30" s="110">
        <v>0</v>
      </c>
      <c r="BA30" s="110">
        <v>0</v>
      </c>
      <c r="BB30" s="110">
        <v>0</v>
      </c>
      <c r="BC30" s="110">
        <v>0</v>
      </c>
      <c r="BD30" s="110">
        <v>0</v>
      </c>
      <c r="BE30" s="110">
        <v>0</v>
      </c>
      <c r="BF30" s="110">
        <v>0</v>
      </c>
      <c r="BG30" s="110">
        <v>0</v>
      </c>
      <c r="BH30" s="110">
        <v>0</v>
      </c>
      <c r="BI30" s="110">
        <v>0</v>
      </c>
      <c r="BJ30" s="110">
        <v>0</v>
      </c>
      <c r="BK30" s="110">
        <v>0</v>
      </c>
      <c r="BL30" s="110">
        <v>0</v>
      </c>
      <c r="BM30" s="110">
        <v>0</v>
      </c>
      <c r="BN30" s="110">
        <v>0</v>
      </c>
      <c r="BO30" s="110">
        <v>0</v>
      </c>
      <c r="BP30" s="110">
        <v>0</v>
      </c>
      <c r="BQ30" s="110">
        <v>0</v>
      </c>
      <c r="BR30" s="110">
        <v>0</v>
      </c>
      <c r="BS30" s="110">
        <v>0</v>
      </c>
      <c r="BT30" s="110">
        <v>0</v>
      </c>
      <c r="BU30" s="110">
        <v>0</v>
      </c>
      <c r="BV30" s="110">
        <v>0</v>
      </c>
      <c r="BW30" s="110">
        <v>0</v>
      </c>
      <c r="BX30" s="110">
        <v>0</v>
      </c>
      <c r="BY30" s="110">
        <v>0</v>
      </c>
      <c r="BZ30" s="110">
        <v>0</v>
      </c>
      <c r="CA30" s="110">
        <v>0</v>
      </c>
      <c r="CB30" s="110">
        <v>0</v>
      </c>
      <c r="CC30" s="110">
        <v>0</v>
      </c>
      <c r="CD30" s="110">
        <v>0</v>
      </c>
      <c r="CE30" s="110">
        <v>0</v>
      </c>
      <c r="CF30" s="110">
        <v>0</v>
      </c>
      <c r="CG30" s="110">
        <v>0</v>
      </c>
    </row>
    <row r="31" spans="1:85" customFormat="1" x14ac:dyDescent="0.15">
      <c r="A31" s="188" t="s">
        <v>221</v>
      </c>
      <c r="B31" s="110">
        <v>0</v>
      </c>
      <c r="C31" s="110">
        <v>0</v>
      </c>
      <c r="D31" s="110">
        <v>0</v>
      </c>
      <c r="E31" s="110">
        <v>1</v>
      </c>
      <c r="F31" s="110">
        <v>0</v>
      </c>
      <c r="G31" s="110">
        <v>0</v>
      </c>
      <c r="H31" s="110">
        <v>0</v>
      </c>
      <c r="I31" s="110">
        <v>0</v>
      </c>
      <c r="J31" s="110">
        <v>0</v>
      </c>
      <c r="K31" s="110">
        <v>1</v>
      </c>
      <c r="L31" s="110">
        <v>1</v>
      </c>
      <c r="M31" s="110">
        <v>1</v>
      </c>
      <c r="N31" s="110">
        <v>0</v>
      </c>
      <c r="O31" s="110">
        <v>1</v>
      </c>
      <c r="P31" s="110">
        <v>0</v>
      </c>
      <c r="Q31" s="110">
        <v>0</v>
      </c>
      <c r="R31" s="110">
        <v>1</v>
      </c>
      <c r="S31" s="110">
        <v>1</v>
      </c>
      <c r="T31" s="110">
        <v>1</v>
      </c>
      <c r="U31" s="110">
        <v>1</v>
      </c>
      <c r="V31" s="110">
        <v>0</v>
      </c>
      <c r="W31" s="110">
        <v>0</v>
      </c>
      <c r="X31" s="110">
        <v>1</v>
      </c>
      <c r="Y31" s="110">
        <v>1</v>
      </c>
      <c r="Z31" s="110">
        <v>1</v>
      </c>
      <c r="AA31" s="110">
        <v>1</v>
      </c>
      <c r="AB31" s="110">
        <v>1</v>
      </c>
      <c r="AC31" s="110">
        <v>0</v>
      </c>
      <c r="AD31" s="110">
        <v>1</v>
      </c>
      <c r="AE31" s="110">
        <v>0</v>
      </c>
      <c r="AF31" s="110">
        <v>0</v>
      </c>
      <c r="AG31" s="110">
        <v>0</v>
      </c>
      <c r="AH31" s="110">
        <v>0</v>
      </c>
      <c r="AI31" s="110">
        <v>0</v>
      </c>
      <c r="AJ31" s="110">
        <v>1</v>
      </c>
      <c r="AK31" s="110">
        <v>0</v>
      </c>
      <c r="AL31" s="110">
        <v>0</v>
      </c>
      <c r="AM31" s="110">
        <v>0</v>
      </c>
      <c r="AN31" s="110">
        <v>0</v>
      </c>
      <c r="AO31" s="110">
        <v>0</v>
      </c>
      <c r="AP31" s="110">
        <v>0</v>
      </c>
      <c r="AQ31" s="110">
        <v>0</v>
      </c>
      <c r="AR31" s="110">
        <v>0</v>
      </c>
      <c r="AS31" s="110">
        <v>0</v>
      </c>
      <c r="AT31" s="110">
        <v>0</v>
      </c>
      <c r="AU31" s="110">
        <v>0</v>
      </c>
      <c r="AV31" s="110">
        <v>0</v>
      </c>
      <c r="AW31" s="110">
        <v>0</v>
      </c>
      <c r="AX31" s="110">
        <v>0</v>
      </c>
      <c r="AY31" s="110">
        <v>0</v>
      </c>
      <c r="AZ31" s="110">
        <v>0</v>
      </c>
      <c r="BA31" s="110">
        <v>0</v>
      </c>
      <c r="BB31" s="110">
        <v>0</v>
      </c>
      <c r="BC31" s="110">
        <v>0</v>
      </c>
      <c r="BD31" s="110">
        <v>0</v>
      </c>
      <c r="BE31" s="110">
        <v>0</v>
      </c>
      <c r="BF31" s="110">
        <v>0</v>
      </c>
      <c r="BG31" s="110">
        <v>0</v>
      </c>
      <c r="BH31" s="110">
        <v>0</v>
      </c>
      <c r="BI31" s="110">
        <v>0</v>
      </c>
      <c r="BJ31" s="110">
        <v>0</v>
      </c>
      <c r="BK31" s="110">
        <v>0</v>
      </c>
      <c r="BL31" s="110">
        <v>0</v>
      </c>
      <c r="BM31" s="110">
        <v>0</v>
      </c>
      <c r="BN31" s="110">
        <v>0</v>
      </c>
      <c r="BO31" s="110">
        <v>0</v>
      </c>
      <c r="BP31" s="110">
        <v>0</v>
      </c>
      <c r="BQ31" s="110">
        <v>0</v>
      </c>
      <c r="BR31" s="110">
        <v>0</v>
      </c>
      <c r="BS31" s="110">
        <v>0</v>
      </c>
      <c r="BT31" s="110">
        <v>0</v>
      </c>
      <c r="BU31" s="110">
        <v>0</v>
      </c>
      <c r="BV31" s="110">
        <v>0</v>
      </c>
      <c r="BW31" s="110">
        <v>0</v>
      </c>
      <c r="BX31" s="110">
        <v>0</v>
      </c>
      <c r="BY31" s="110">
        <v>0</v>
      </c>
      <c r="BZ31" s="110">
        <v>0</v>
      </c>
      <c r="CA31" s="110">
        <v>0</v>
      </c>
      <c r="CB31" s="110">
        <v>0</v>
      </c>
      <c r="CC31" s="110">
        <v>0</v>
      </c>
      <c r="CD31" s="110">
        <v>0</v>
      </c>
      <c r="CE31" s="110">
        <v>0</v>
      </c>
      <c r="CF31" s="110">
        <v>0</v>
      </c>
      <c r="CG31" s="110">
        <v>0</v>
      </c>
    </row>
    <row r="32" spans="1:85" x14ac:dyDescent="0.15">
      <c r="A32" s="188" t="s">
        <v>222</v>
      </c>
      <c r="B32" s="110">
        <v>1</v>
      </c>
      <c r="C32" s="110">
        <v>0</v>
      </c>
      <c r="D32" s="110">
        <v>0</v>
      </c>
      <c r="E32" s="110">
        <v>1</v>
      </c>
      <c r="F32" s="110">
        <v>1</v>
      </c>
      <c r="G32" s="110">
        <v>1</v>
      </c>
      <c r="H32" s="110">
        <v>1</v>
      </c>
      <c r="I32" s="110">
        <v>1</v>
      </c>
      <c r="J32" s="110">
        <v>1</v>
      </c>
      <c r="K32" s="110">
        <v>1</v>
      </c>
      <c r="L32" s="110">
        <v>1</v>
      </c>
      <c r="M32" s="110">
        <v>1</v>
      </c>
      <c r="N32" s="110">
        <v>1</v>
      </c>
      <c r="O32" s="110">
        <v>1</v>
      </c>
      <c r="P32" s="110">
        <v>1</v>
      </c>
      <c r="Q32" s="110">
        <v>1</v>
      </c>
      <c r="R32" s="110">
        <v>1</v>
      </c>
      <c r="S32" s="110">
        <v>1</v>
      </c>
      <c r="T32" s="110">
        <v>1</v>
      </c>
      <c r="U32" s="110">
        <v>1</v>
      </c>
      <c r="V32" s="110">
        <v>1</v>
      </c>
      <c r="W32" s="110">
        <v>1</v>
      </c>
      <c r="X32" s="110">
        <v>1</v>
      </c>
      <c r="Y32" s="110">
        <v>1</v>
      </c>
      <c r="Z32" s="110">
        <v>1</v>
      </c>
      <c r="AA32" s="110">
        <v>1</v>
      </c>
      <c r="AB32" s="110">
        <v>1</v>
      </c>
      <c r="AC32" s="110">
        <v>1</v>
      </c>
      <c r="AD32" s="110">
        <v>1</v>
      </c>
      <c r="AE32" s="110">
        <v>1</v>
      </c>
      <c r="AF32" s="110">
        <v>0</v>
      </c>
      <c r="AG32" s="110">
        <v>1</v>
      </c>
      <c r="AH32" s="110">
        <v>0</v>
      </c>
      <c r="AI32" s="110">
        <v>1</v>
      </c>
      <c r="AJ32" s="110">
        <v>1</v>
      </c>
      <c r="AK32" s="110">
        <v>1</v>
      </c>
      <c r="AL32" s="110">
        <v>1</v>
      </c>
      <c r="AM32" s="110">
        <v>0</v>
      </c>
      <c r="AN32" s="110">
        <v>0</v>
      </c>
      <c r="AO32" s="110">
        <v>1</v>
      </c>
      <c r="AP32" s="110">
        <v>0</v>
      </c>
      <c r="AQ32" s="110">
        <v>0</v>
      </c>
      <c r="AR32" s="110">
        <v>0</v>
      </c>
      <c r="AS32" s="110">
        <v>0</v>
      </c>
      <c r="AT32" s="110">
        <v>0</v>
      </c>
      <c r="AU32" s="110">
        <v>0</v>
      </c>
      <c r="AV32" s="110">
        <v>0</v>
      </c>
      <c r="AW32" s="110">
        <v>0</v>
      </c>
      <c r="AX32" s="110">
        <v>0</v>
      </c>
      <c r="AY32" s="110">
        <v>0</v>
      </c>
      <c r="AZ32" s="110">
        <v>0</v>
      </c>
      <c r="BA32" s="110">
        <v>0</v>
      </c>
      <c r="BB32" s="110">
        <v>0</v>
      </c>
      <c r="BC32" s="110">
        <v>0</v>
      </c>
      <c r="BD32" s="110">
        <v>0</v>
      </c>
      <c r="BE32" s="110">
        <v>0</v>
      </c>
      <c r="BF32" s="110">
        <v>0</v>
      </c>
      <c r="BG32" s="110">
        <v>0</v>
      </c>
      <c r="BH32" s="110">
        <v>0</v>
      </c>
      <c r="BI32" s="110">
        <v>0</v>
      </c>
      <c r="BJ32" s="110">
        <v>0</v>
      </c>
      <c r="BK32" s="110">
        <v>0</v>
      </c>
      <c r="BL32" s="110">
        <v>0</v>
      </c>
      <c r="BM32" s="110">
        <v>0</v>
      </c>
      <c r="BN32" s="110">
        <v>0</v>
      </c>
      <c r="BO32" s="110">
        <v>0</v>
      </c>
      <c r="BP32" s="110">
        <v>0</v>
      </c>
      <c r="BQ32" s="110">
        <v>0</v>
      </c>
      <c r="BR32" s="110">
        <v>0</v>
      </c>
      <c r="BS32" s="110">
        <v>0</v>
      </c>
      <c r="BT32" s="110">
        <v>0</v>
      </c>
      <c r="BU32" s="110">
        <v>0</v>
      </c>
      <c r="BV32" s="110">
        <v>0</v>
      </c>
      <c r="BW32" s="110">
        <v>0</v>
      </c>
      <c r="BX32" s="110">
        <v>0</v>
      </c>
      <c r="BY32" s="110">
        <v>0</v>
      </c>
      <c r="BZ32" s="110">
        <v>0</v>
      </c>
      <c r="CA32" s="110">
        <v>0</v>
      </c>
      <c r="CB32" s="110">
        <v>0</v>
      </c>
      <c r="CC32" s="110">
        <v>0</v>
      </c>
      <c r="CD32" s="110">
        <v>0</v>
      </c>
      <c r="CE32" s="110">
        <v>0</v>
      </c>
      <c r="CF32" s="110">
        <v>0</v>
      </c>
      <c r="CG32" s="110">
        <v>0</v>
      </c>
    </row>
    <row r="33" spans="1:85" x14ac:dyDescent="0.15">
      <c r="A33" s="188" t="s">
        <v>223</v>
      </c>
      <c r="B33" s="110">
        <v>0</v>
      </c>
      <c r="C33" s="110">
        <v>0</v>
      </c>
      <c r="D33" s="110">
        <v>1</v>
      </c>
      <c r="E33" s="110">
        <v>0</v>
      </c>
      <c r="F33" s="110">
        <v>0</v>
      </c>
      <c r="G33" s="110">
        <v>0</v>
      </c>
      <c r="H33" s="110">
        <v>0</v>
      </c>
      <c r="I33" s="110">
        <v>0</v>
      </c>
      <c r="J33" s="110">
        <v>0</v>
      </c>
      <c r="K33" s="110">
        <v>1</v>
      </c>
      <c r="L33" s="110">
        <v>1</v>
      </c>
      <c r="M33" s="110">
        <v>1</v>
      </c>
      <c r="N33" s="110">
        <v>1</v>
      </c>
      <c r="O33" s="110">
        <v>1</v>
      </c>
      <c r="P33" s="110">
        <v>0</v>
      </c>
      <c r="Q33" s="110">
        <v>0</v>
      </c>
      <c r="R33" s="110">
        <v>0</v>
      </c>
      <c r="S33" s="110">
        <v>1</v>
      </c>
      <c r="T33" s="110">
        <v>1</v>
      </c>
      <c r="U33" s="110">
        <v>1</v>
      </c>
      <c r="V33" s="110">
        <v>1</v>
      </c>
      <c r="W33" s="110">
        <v>0</v>
      </c>
      <c r="X33" s="110">
        <v>1</v>
      </c>
      <c r="Y33" s="110">
        <v>0</v>
      </c>
      <c r="Z33" s="110">
        <v>0</v>
      </c>
      <c r="AA33" s="110">
        <v>0</v>
      </c>
      <c r="AB33" s="110">
        <v>0</v>
      </c>
      <c r="AC33" s="110">
        <v>0</v>
      </c>
      <c r="AD33" s="110">
        <v>1</v>
      </c>
      <c r="AE33" s="110">
        <v>0</v>
      </c>
      <c r="AF33" s="110">
        <v>0</v>
      </c>
      <c r="AG33" s="110">
        <v>0</v>
      </c>
      <c r="AH33" s="110">
        <v>0</v>
      </c>
      <c r="AI33" s="110">
        <v>0</v>
      </c>
      <c r="AJ33" s="110">
        <v>0</v>
      </c>
      <c r="AK33" s="110">
        <v>0</v>
      </c>
      <c r="AL33" s="110">
        <v>0</v>
      </c>
      <c r="AM33" s="110">
        <v>0</v>
      </c>
      <c r="AN33" s="110">
        <v>0</v>
      </c>
      <c r="AO33" s="110">
        <v>0</v>
      </c>
      <c r="AP33" s="110">
        <v>0</v>
      </c>
      <c r="AQ33" s="110">
        <v>0</v>
      </c>
      <c r="AR33" s="110">
        <v>0</v>
      </c>
      <c r="AS33" s="110">
        <v>0</v>
      </c>
      <c r="AT33" s="110">
        <v>0</v>
      </c>
      <c r="AU33" s="110">
        <v>0</v>
      </c>
      <c r="AV33" s="110">
        <v>0</v>
      </c>
      <c r="AW33" s="110">
        <v>0</v>
      </c>
      <c r="AX33" s="110">
        <v>0</v>
      </c>
      <c r="AY33" s="110">
        <v>0</v>
      </c>
      <c r="AZ33" s="110">
        <v>0</v>
      </c>
      <c r="BA33" s="110">
        <v>0</v>
      </c>
      <c r="BB33" s="110">
        <v>0</v>
      </c>
      <c r="BC33" s="110">
        <v>0</v>
      </c>
      <c r="BD33" s="110">
        <v>0</v>
      </c>
      <c r="BE33" s="110">
        <v>0</v>
      </c>
      <c r="BF33" s="110">
        <v>0</v>
      </c>
      <c r="BG33" s="110">
        <v>0</v>
      </c>
      <c r="BH33" s="110">
        <v>0</v>
      </c>
      <c r="BI33" s="110">
        <v>0</v>
      </c>
      <c r="BJ33" s="110">
        <v>0</v>
      </c>
      <c r="BK33" s="110">
        <v>0</v>
      </c>
      <c r="BL33" s="110">
        <v>0</v>
      </c>
      <c r="BM33" s="110">
        <v>0</v>
      </c>
      <c r="BN33" s="110">
        <v>0</v>
      </c>
      <c r="BO33" s="110">
        <v>0</v>
      </c>
      <c r="BP33" s="110">
        <v>0</v>
      </c>
      <c r="BQ33" s="110">
        <v>0</v>
      </c>
      <c r="BR33" s="110">
        <v>0</v>
      </c>
      <c r="BS33" s="110">
        <v>0</v>
      </c>
      <c r="BT33" s="110">
        <v>0</v>
      </c>
      <c r="BU33" s="110">
        <v>0</v>
      </c>
      <c r="BV33" s="110">
        <v>0</v>
      </c>
      <c r="BW33" s="110">
        <v>0</v>
      </c>
      <c r="BX33" s="110">
        <v>0</v>
      </c>
      <c r="BY33" s="110">
        <v>0</v>
      </c>
      <c r="BZ33" s="110">
        <v>0</v>
      </c>
      <c r="CA33" s="110">
        <v>0</v>
      </c>
      <c r="CB33" s="110">
        <v>0</v>
      </c>
      <c r="CC33" s="110">
        <v>0</v>
      </c>
      <c r="CD33" s="110">
        <v>0</v>
      </c>
      <c r="CE33" s="110">
        <v>0</v>
      </c>
      <c r="CF33" s="110">
        <v>0</v>
      </c>
      <c r="CG33" s="110">
        <v>0</v>
      </c>
    </row>
    <row r="34" spans="1:85" x14ac:dyDescent="0.15">
      <c r="A34" s="188" t="s">
        <v>224</v>
      </c>
      <c r="B34" s="110">
        <v>0</v>
      </c>
      <c r="C34" s="110">
        <v>0</v>
      </c>
      <c r="D34" s="110">
        <v>1</v>
      </c>
      <c r="E34" s="110">
        <v>0</v>
      </c>
      <c r="F34" s="110">
        <v>0</v>
      </c>
      <c r="G34" s="110">
        <v>0</v>
      </c>
      <c r="H34" s="110">
        <v>0</v>
      </c>
      <c r="I34" s="110">
        <v>0</v>
      </c>
      <c r="J34" s="110">
        <v>0</v>
      </c>
      <c r="K34" s="110">
        <v>1</v>
      </c>
      <c r="L34" s="110">
        <v>1</v>
      </c>
      <c r="M34" s="110">
        <v>1</v>
      </c>
      <c r="N34" s="110">
        <v>1</v>
      </c>
      <c r="O34" s="110">
        <v>1</v>
      </c>
      <c r="P34" s="110">
        <v>0</v>
      </c>
      <c r="Q34" s="110">
        <v>0</v>
      </c>
      <c r="R34" s="110">
        <v>0</v>
      </c>
      <c r="S34" s="110">
        <v>1</v>
      </c>
      <c r="T34" s="110">
        <v>1</v>
      </c>
      <c r="U34" s="110">
        <v>0</v>
      </c>
      <c r="V34" s="110">
        <v>1</v>
      </c>
      <c r="W34" s="110">
        <v>0</v>
      </c>
      <c r="X34" s="110">
        <v>1</v>
      </c>
      <c r="Y34" s="110">
        <v>0</v>
      </c>
      <c r="Z34" s="110">
        <v>0</v>
      </c>
      <c r="AA34" s="110">
        <v>1</v>
      </c>
      <c r="AB34" s="110">
        <v>1</v>
      </c>
      <c r="AC34" s="110">
        <v>0</v>
      </c>
      <c r="AD34" s="110">
        <v>1</v>
      </c>
      <c r="AE34" s="110">
        <v>0</v>
      </c>
      <c r="AF34" s="110">
        <v>0</v>
      </c>
      <c r="AG34" s="110">
        <v>0</v>
      </c>
      <c r="AH34" s="110">
        <v>0</v>
      </c>
      <c r="AI34" s="110">
        <v>0</v>
      </c>
      <c r="AJ34" s="110">
        <v>1</v>
      </c>
      <c r="AK34" s="110">
        <v>0</v>
      </c>
      <c r="AL34" s="110">
        <v>0</v>
      </c>
      <c r="AM34" s="110">
        <v>0</v>
      </c>
      <c r="AN34" s="110">
        <v>0</v>
      </c>
      <c r="AO34" s="110">
        <v>0</v>
      </c>
      <c r="AP34" s="110">
        <v>0</v>
      </c>
      <c r="AQ34" s="110">
        <v>0</v>
      </c>
      <c r="AR34" s="110">
        <v>0</v>
      </c>
      <c r="AS34" s="110">
        <v>0</v>
      </c>
      <c r="AT34" s="110">
        <v>0</v>
      </c>
      <c r="AU34" s="110">
        <v>0</v>
      </c>
      <c r="AV34" s="110">
        <v>0</v>
      </c>
      <c r="AW34" s="110">
        <v>0</v>
      </c>
      <c r="AX34" s="110">
        <v>0</v>
      </c>
      <c r="AY34" s="110">
        <v>0</v>
      </c>
      <c r="AZ34" s="110">
        <v>0</v>
      </c>
      <c r="BA34" s="110">
        <v>0</v>
      </c>
      <c r="BB34" s="110">
        <v>0</v>
      </c>
      <c r="BC34" s="110">
        <v>0</v>
      </c>
      <c r="BD34" s="110">
        <v>0</v>
      </c>
      <c r="BE34" s="110">
        <v>0</v>
      </c>
      <c r="BF34" s="110">
        <v>0</v>
      </c>
      <c r="BG34" s="110">
        <v>0</v>
      </c>
      <c r="BH34" s="110">
        <v>0</v>
      </c>
      <c r="BI34" s="110">
        <v>0</v>
      </c>
      <c r="BJ34" s="110">
        <v>0</v>
      </c>
      <c r="BK34" s="110">
        <v>0</v>
      </c>
      <c r="BL34" s="110">
        <v>0</v>
      </c>
      <c r="BM34" s="110">
        <v>0</v>
      </c>
      <c r="BN34" s="110">
        <v>0</v>
      </c>
      <c r="BO34" s="110">
        <v>0</v>
      </c>
      <c r="BP34" s="110">
        <v>0</v>
      </c>
      <c r="BQ34" s="110">
        <v>0</v>
      </c>
      <c r="BR34" s="110">
        <v>0</v>
      </c>
      <c r="BS34" s="110">
        <v>0</v>
      </c>
      <c r="BT34" s="110">
        <v>0</v>
      </c>
      <c r="BU34" s="110">
        <v>0</v>
      </c>
      <c r="BV34" s="110">
        <v>0</v>
      </c>
      <c r="BW34" s="110">
        <v>0</v>
      </c>
      <c r="BX34" s="110">
        <v>0</v>
      </c>
      <c r="BY34" s="110">
        <v>0</v>
      </c>
      <c r="BZ34" s="110">
        <v>0</v>
      </c>
      <c r="CA34" s="110">
        <v>0</v>
      </c>
      <c r="CB34" s="110">
        <v>0</v>
      </c>
      <c r="CC34" s="110">
        <v>0</v>
      </c>
      <c r="CD34" s="110">
        <v>0</v>
      </c>
      <c r="CE34" s="110">
        <v>0</v>
      </c>
      <c r="CF34" s="110">
        <v>0</v>
      </c>
      <c r="CG34" s="110">
        <v>0</v>
      </c>
    </row>
    <row r="35" spans="1:85" x14ac:dyDescent="0.15">
      <c r="A35" s="188" t="s">
        <v>225</v>
      </c>
      <c r="B35" s="110">
        <v>0</v>
      </c>
      <c r="C35" s="110">
        <v>0</v>
      </c>
      <c r="D35" s="110">
        <v>1</v>
      </c>
      <c r="E35" s="110">
        <v>0</v>
      </c>
      <c r="F35" s="110">
        <v>0</v>
      </c>
      <c r="G35" s="110">
        <v>0</v>
      </c>
      <c r="H35" s="110">
        <v>0</v>
      </c>
      <c r="I35" s="110">
        <v>0</v>
      </c>
      <c r="J35" s="110">
        <v>0</v>
      </c>
      <c r="K35" s="110">
        <v>0</v>
      </c>
      <c r="L35" s="110">
        <v>0</v>
      </c>
      <c r="M35" s="110">
        <v>0</v>
      </c>
      <c r="N35" s="110">
        <v>0</v>
      </c>
      <c r="O35" s="110">
        <v>0</v>
      </c>
      <c r="P35" s="110">
        <v>0</v>
      </c>
      <c r="Q35" s="110">
        <v>0</v>
      </c>
      <c r="R35" s="110">
        <v>0</v>
      </c>
      <c r="S35" s="110">
        <v>0</v>
      </c>
      <c r="T35" s="110">
        <v>0</v>
      </c>
      <c r="U35" s="110">
        <v>0</v>
      </c>
      <c r="V35" s="110">
        <v>0</v>
      </c>
      <c r="W35" s="110">
        <v>0</v>
      </c>
      <c r="X35" s="110">
        <v>0</v>
      </c>
      <c r="Y35" s="110">
        <v>0</v>
      </c>
      <c r="Z35" s="110">
        <v>0</v>
      </c>
      <c r="AA35" s="110">
        <v>0</v>
      </c>
      <c r="AB35" s="110">
        <v>0</v>
      </c>
      <c r="AC35" s="110">
        <v>0</v>
      </c>
      <c r="AD35" s="110">
        <v>0</v>
      </c>
      <c r="AE35" s="110">
        <v>0</v>
      </c>
      <c r="AF35" s="110">
        <v>0</v>
      </c>
      <c r="AG35" s="110">
        <v>0</v>
      </c>
      <c r="AH35" s="110">
        <v>0</v>
      </c>
      <c r="AI35" s="110">
        <v>0</v>
      </c>
      <c r="AJ35" s="110">
        <v>0</v>
      </c>
      <c r="AK35" s="110">
        <v>0</v>
      </c>
      <c r="AL35" s="110">
        <v>0</v>
      </c>
      <c r="AM35" s="110">
        <v>0</v>
      </c>
      <c r="AN35" s="110">
        <v>0</v>
      </c>
      <c r="AO35" s="110">
        <v>0</v>
      </c>
      <c r="AP35" s="110">
        <v>0</v>
      </c>
      <c r="AQ35" s="110">
        <v>0</v>
      </c>
      <c r="AR35" s="110">
        <v>0</v>
      </c>
      <c r="AS35" s="110">
        <v>0</v>
      </c>
      <c r="AT35" s="110">
        <v>0</v>
      </c>
      <c r="AU35" s="110">
        <v>0</v>
      </c>
      <c r="AV35" s="110">
        <v>0</v>
      </c>
      <c r="AW35" s="110">
        <v>0</v>
      </c>
      <c r="AX35" s="110">
        <v>0</v>
      </c>
      <c r="AY35" s="110">
        <v>0</v>
      </c>
      <c r="AZ35" s="110">
        <v>0</v>
      </c>
      <c r="BA35" s="110">
        <v>0</v>
      </c>
      <c r="BB35" s="110">
        <v>0</v>
      </c>
      <c r="BC35" s="110">
        <v>0</v>
      </c>
      <c r="BD35" s="110">
        <v>0</v>
      </c>
      <c r="BE35" s="110">
        <v>0</v>
      </c>
      <c r="BF35" s="110">
        <v>0</v>
      </c>
      <c r="BG35" s="110">
        <v>0</v>
      </c>
      <c r="BH35" s="110">
        <v>0</v>
      </c>
      <c r="BI35" s="110">
        <v>0</v>
      </c>
      <c r="BJ35" s="110">
        <v>0</v>
      </c>
      <c r="BK35" s="110">
        <v>0</v>
      </c>
      <c r="BL35" s="110">
        <v>0</v>
      </c>
      <c r="BM35" s="110">
        <v>0</v>
      </c>
      <c r="BN35" s="110">
        <v>0</v>
      </c>
      <c r="BO35" s="110">
        <v>0</v>
      </c>
      <c r="BP35" s="110">
        <v>0</v>
      </c>
      <c r="BQ35" s="110">
        <v>0</v>
      </c>
      <c r="BR35" s="110">
        <v>0</v>
      </c>
      <c r="BS35" s="110">
        <v>0</v>
      </c>
      <c r="BT35" s="110">
        <v>0</v>
      </c>
      <c r="BU35" s="110">
        <v>0</v>
      </c>
      <c r="BV35" s="110">
        <v>0</v>
      </c>
      <c r="BW35" s="110">
        <v>0</v>
      </c>
      <c r="BX35" s="110">
        <v>0</v>
      </c>
      <c r="BY35" s="110">
        <v>0</v>
      </c>
      <c r="BZ35" s="110">
        <v>0</v>
      </c>
      <c r="CA35" s="110">
        <v>0</v>
      </c>
      <c r="CB35" s="110">
        <v>0</v>
      </c>
      <c r="CC35" s="110">
        <v>0</v>
      </c>
      <c r="CD35" s="110">
        <v>0</v>
      </c>
      <c r="CE35" s="110">
        <v>0</v>
      </c>
      <c r="CF35" s="110">
        <v>0</v>
      </c>
      <c r="CG35" s="110">
        <v>0</v>
      </c>
    </row>
    <row r="36" spans="1:85" x14ac:dyDescent="0.15">
      <c r="A36" s="188" t="s">
        <v>226</v>
      </c>
      <c r="B36" s="110">
        <v>0</v>
      </c>
      <c r="C36" s="110">
        <v>0</v>
      </c>
      <c r="D36" s="110">
        <v>0</v>
      </c>
      <c r="E36" s="110">
        <v>0</v>
      </c>
      <c r="F36" s="110">
        <v>0</v>
      </c>
      <c r="G36" s="110">
        <v>0</v>
      </c>
      <c r="H36" s="110">
        <v>0</v>
      </c>
      <c r="I36" s="110">
        <v>0</v>
      </c>
      <c r="J36" s="110">
        <v>0</v>
      </c>
      <c r="K36" s="110">
        <v>0</v>
      </c>
      <c r="L36" s="110">
        <v>0</v>
      </c>
      <c r="M36" s="110">
        <v>0</v>
      </c>
      <c r="N36" s="110">
        <v>0</v>
      </c>
      <c r="O36" s="110">
        <v>0</v>
      </c>
      <c r="P36" s="110">
        <v>0</v>
      </c>
      <c r="Q36" s="110">
        <v>0</v>
      </c>
      <c r="R36" s="110">
        <v>0</v>
      </c>
      <c r="S36" s="110">
        <v>0</v>
      </c>
      <c r="T36" s="110">
        <v>0</v>
      </c>
      <c r="U36" s="110">
        <v>0</v>
      </c>
      <c r="V36" s="110">
        <v>0</v>
      </c>
      <c r="W36" s="110">
        <v>0</v>
      </c>
      <c r="X36" s="110">
        <v>1</v>
      </c>
      <c r="Y36" s="110">
        <v>0</v>
      </c>
      <c r="Z36" s="110">
        <v>0</v>
      </c>
      <c r="AA36" s="110">
        <v>0</v>
      </c>
      <c r="AB36" s="110">
        <v>0</v>
      </c>
      <c r="AC36" s="110">
        <v>0</v>
      </c>
      <c r="AD36" s="110">
        <v>0</v>
      </c>
      <c r="AE36" s="110">
        <v>0</v>
      </c>
      <c r="AF36" s="110">
        <v>0</v>
      </c>
      <c r="AG36" s="110">
        <v>0</v>
      </c>
      <c r="AH36" s="110">
        <v>0</v>
      </c>
      <c r="AI36" s="110">
        <v>0</v>
      </c>
      <c r="AJ36" s="110">
        <v>0</v>
      </c>
      <c r="AK36" s="110">
        <v>0</v>
      </c>
      <c r="AL36" s="110">
        <v>0</v>
      </c>
      <c r="AM36" s="110">
        <v>0</v>
      </c>
      <c r="AN36" s="110">
        <v>0</v>
      </c>
      <c r="AO36" s="110">
        <v>0</v>
      </c>
      <c r="AP36" s="110">
        <v>0</v>
      </c>
      <c r="AQ36" s="110">
        <v>0</v>
      </c>
      <c r="AR36" s="110">
        <v>0</v>
      </c>
      <c r="AS36" s="110">
        <v>0</v>
      </c>
      <c r="AT36" s="110">
        <v>0</v>
      </c>
      <c r="AU36" s="110">
        <v>0</v>
      </c>
      <c r="AV36" s="110">
        <v>0</v>
      </c>
      <c r="AW36" s="110">
        <v>0</v>
      </c>
      <c r="AX36" s="110">
        <v>0</v>
      </c>
      <c r="AY36" s="110">
        <v>0</v>
      </c>
      <c r="AZ36" s="110">
        <v>0</v>
      </c>
      <c r="BA36" s="110">
        <v>0</v>
      </c>
      <c r="BB36" s="110">
        <v>0</v>
      </c>
      <c r="BC36" s="110">
        <v>0</v>
      </c>
      <c r="BD36" s="110">
        <v>0</v>
      </c>
      <c r="BE36" s="110">
        <v>0</v>
      </c>
      <c r="BF36" s="110">
        <v>0</v>
      </c>
      <c r="BG36" s="110">
        <v>0</v>
      </c>
      <c r="BH36" s="110">
        <v>0</v>
      </c>
      <c r="BI36" s="110">
        <v>0</v>
      </c>
      <c r="BJ36" s="110">
        <v>0</v>
      </c>
      <c r="BK36" s="110">
        <v>0</v>
      </c>
      <c r="BL36" s="110">
        <v>0</v>
      </c>
      <c r="BM36" s="110">
        <v>0</v>
      </c>
      <c r="BN36" s="110">
        <v>0</v>
      </c>
      <c r="BO36" s="110">
        <v>0</v>
      </c>
      <c r="BP36" s="110">
        <v>0</v>
      </c>
      <c r="BQ36" s="110">
        <v>0</v>
      </c>
      <c r="BR36" s="110">
        <v>0</v>
      </c>
      <c r="BS36" s="110">
        <v>0</v>
      </c>
      <c r="BT36" s="110">
        <v>0</v>
      </c>
      <c r="BU36" s="110">
        <v>0</v>
      </c>
      <c r="BV36" s="110">
        <v>0</v>
      </c>
      <c r="BW36" s="110">
        <v>0</v>
      </c>
      <c r="BX36" s="110">
        <v>0</v>
      </c>
      <c r="BY36" s="110">
        <v>0</v>
      </c>
      <c r="BZ36" s="110">
        <v>0</v>
      </c>
      <c r="CA36" s="110">
        <v>0</v>
      </c>
      <c r="CB36" s="110">
        <v>0</v>
      </c>
      <c r="CC36" s="110">
        <v>0</v>
      </c>
      <c r="CD36" s="110">
        <v>0</v>
      </c>
      <c r="CE36" s="110">
        <v>0</v>
      </c>
      <c r="CF36" s="110">
        <v>0</v>
      </c>
      <c r="CG36" s="110">
        <v>0</v>
      </c>
    </row>
    <row r="37" spans="1:85" x14ac:dyDescent="0.15">
      <c r="A37" s="188" t="s">
        <v>227</v>
      </c>
      <c r="B37" s="110">
        <v>0</v>
      </c>
      <c r="C37" s="110">
        <v>0</v>
      </c>
      <c r="D37" s="110">
        <v>0</v>
      </c>
      <c r="E37" s="110">
        <v>0</v>
      </c>
      <c r="F37" s="110">
        <v>0</v>
      </c>
      <c r="G37" s="110">
        <v>0</v>
      </c>
      <c r="H37" s="110">
        <v>0</v>
      </c>
      <c r="I37" s="110">
        <v>0</v>
      </c>
      <c r="J37" s="110">
        <v>0</v>
      </c>
      <c r="K37" s="110">
        <v>0</v>
      </c>
      <c r="L37" s="110">
        <v>0</v>
      </c>
      <c r="M37" s="110">
        <v>0</v>
      </c>
      <c r="N37" s="110">
        <v>0</v>
      </c>
      <c r="O37" s="110">
        <v>0</v>
      </c>
      <c r="P37" s="110">
        <v>0</v>
      </c>
      <c r="Q37" s="110">
        <v>0</v>
      </c>
      <c r="R37" s="110">
        <v>0</v>
      </c>
      <c r="S37" s="110">
        <v>0</v>
      </c>
      <c r="T37" s="110">
        <v>0</v>
      </c>
      <c r="U37" s="110">
        <v>0</v>
      </c>
      <c r="V37" s="110">
        <v>0</v>
      </c>
      <c r="W37" s="110">
        <v>0</v>
      </c>
      <c r="X37" s="110">
        <v>0</v>
      </c>
      <c r="Y37" s="110">
        <v>0</v>
      </c>
      <c r="Z37" s="110">
        <v>0</v>
      </c>
      <c r="AA37" s="110">
        <v>0</v>
      </c>
      <c r="AB37" s="110">
        <v>0</v>
      </c>
      <c r="AC37" s="110">
        <v>0</v>
      </c>
      <c r="AD37" s="110">
        <v>0</v>
      </c>
      <c r="AE37" s="110">
        <v>0</v>
      </c>
      <c r="AF37" s="110">
        <v>0</v>
      </c>
      <c r="AG37" s="110">
        <v>0</v>
      </c>
      <c r="AH37" s="110">
        <v>0</v>
      </c>
      <c r="AI37" s="110">
        <v>0</v>
      </c>
      <c r="AJ37" s="110">
        <v>0</v>
      </c>
      <c r="AK37" s="110">
        <v>0</v>
      </c>
      <c r="AL37" s="110">
        <v>0</v>
      </c>
      <c r="AM37" s="110">
        <v>0</v>
      </c>
      <c r="AN37" s="110">
        <v>0</v>
      </c>
      <c r="AO37" s="110">
        <v>0</v>
      </c>
      <c r="AP37" s="110">
        <v>0</v>
      </c>
      <c r="AQ37" s="110">
        <v>0</v>
      </c>
      <c r="AR37" s="110">
        <v>0</v>
      </c>
      <c r="AS37" s="110">
        <v>0</v>
      </c>
      <c r="AT37" s="110">
        <v>0</v>
      </c>
      <c r="AU37" s="110">
        <v>0</v>
      </c>
      <c r="AV37" s="110">
        <v>0</v>
      </c>
      <c r="AW37" s="110">
        <v>0</v>
      </c>
      <c r="AX37" s="110">
        <v>0</v>
      </c>
      <c r="AY37" s="110">
        <v>0</v>
      </c>
      <c r="AZ37" s="110">
        <v>0</v>
      </c>
      <c r="BA37" s="110">
        <v>0</v>
      </c>
      <c r="BB37" s="110">
        <v>0</v>
      </c>
      <c r="BC37" s="110">
        <v>0</v>
      </c>
      <c r="BD37" s="110">
        <v>0</v>
      </c>
      <c r="BE37" s="110">
        <v>0</v>
      </c>
      <c r="BF37" s="110">
        <v>0</v>
      </c>
      <c r="BG37" s="110">
        <v>0</v>
      </c>
      <c r="BH37" s="110">
        <v>0</v>
      </c>
      <c r="BI37" s="110">
        <v>0</v>
      </c>
      <c r="BJ37" s="110">
        <v>0</v>
      </c>
      <c r="BK37" s="110">
        <v>0</v>
      </c>
      <c r="BL37" s="110">
        <v>0</v>
      </c>
      <c r="BM37" s="110">
        <v>0</v>
      </c>
      <c r="BN37" s="110">
        <v>0</v>
      </c>
      <c r="BO37" s="110">
        <v>0</v>
      </c>
      <c r="BP37" s="110">
        <v>0</v>
      </c>
      <c r="BQ37" s="110">
        <v>0</v>
      </c>
      <c r="BR37" s="110">
        <v>0</v>
      </c>
      <c r="BS37" s="110">
        <v>0</v>
      </c>
      <c r="BT37" s="110">
        <v>0</v>
      </c>
      <c r="BU37" s="110">
        <v>0</v>
      </c>
      <c r="BV37" s="110">
        <v>0</v>
      </c>
      <c r="BW37" s="110">
        <v>0</v>
      </c>
      <c r="BX37" s="110">
        <v>0</v>
      </c>
      <c r="BY37" s="110">
        <v>0</v>
      </c>
      <c r="BZ37" s="110">
        <v>0</v>
      </c>
      <c r="CA37" s="110">
        <v>0</v>
      </c>
      <c r="CB37" s="110">
        <v>0</v>
      </c>
      <c r="CC37" s="110">
        <v>0</v>
      </c>
      <c r="CD37" s="110">
        <v>0</v>
      </c>
      <c r="CE37" s="110">
        <v>0</v>
      </c>
      <c r="CF37" s="110">
        <v>0</v>
      </c>
      <c r="CG37" s="110">
        <v>0</v>
      </c>
    </row>
    <row r="38" spans="1:85" x14ac:dyDescent="0.15">
      <c r="A38" s="188" t="s">
        <v>228</v>
      </c>
      <c r="B38" s="110">
        <v>0</v>
      </c>
      <c r="C38" s="110">
        <v>0</v>
      </c>
      <c r="D38" s="110">
        <v>0</v>
      </c>
      <c r="E38" s="110">
        <v>0</v>
      </c>
      <c r="F38" s="110">
        <v>0</v>
      </c>
      <c r="G38" s="110">
        <v>0</v>
      </c>
      <c r="H38" s="110">
        <v>0</v>
      </c>
      <c r="I38" s="110">
        <v>0</v>
      </c>
      <c r="J38" s="110">
        <v>0</v>
      </c>
      <c r="K38" s="110">
        <v>0</v>
      </c>
      <c r="L38" s="110">
        <v>0</v>
      </c>
      <c r="M38" s="110">
        <v>0</v>
      </c>
      <c r="N38" s="110">
        <v>0</v>
      </c>
      <c r="O38" s="110">
        <v>0</v>
      </c>
      <c r="P38" s="110">
        <v>0</v>
      </c>
      <c r="Q38" s="110">
        <v>0</v>
      </c>
      <c r="R38" s="110">
        <v>0</v>
      </c>
      <c r="S38" s="110">
        <v>0</v>
      </c>
      <c r="T38" s="110">
        <v>0</v>
      </c>
      <c r="U38" s="110">
        <v>0</v>
      </c>
      <c r="V38" s="110">
        <v>0</v>
      </c>
      <c r="W38" s="110">
        <v>0</v>
      </c>
      <c r="X38" s="110">
        <v>0</v>
      </c>
      <c r="Y38" s="110">
        <v>0</v>
      </c>
      <c r="Z38" s="110">
        <v>0</v>
      </c>
      <c r="AA38" s="110">
        <v>0</v>
      </c>
      <c r="AB38" s="110">
        <v>0</v>
      </c>
      <c r="AC38" s="110">
        <v>0</v>
      </c>
      <c r="AD38" s="110">
        <v>0</v>
      </c>
      <c r="AE38" s="110">
        <v>0</v>
      </c>
      <c r="AF38" s="110">
        <v>0</v>
      </c>
      <c r="AG38" s="110">
        <v>0</v>
      </c>
      <c r="AH38" s="110">
        <v>0</v>
      </c>
      <c r="AI38" s="110">
        <v>0</v>
      </c>
      <c r="AJ38" s="110">
        <v>0</v>
      </c>
      <c r="AK38" s="110">
        <v>0</v>
      </c>
      <c r="AL38" s="110">
        <v>0</v>
      </c>
      <c r="AM38" s="110">
        <v>0</v>
      </c>
      <c r="AN38" s="110">
        <v>0</v>
      </c>
      <c r="AO38" s="110">
        <v>0</v>
      </c>
      <c r="AP38" s="110">
        <v>0</v>
      </c>
      <c r="AQ38" s="110">
        <v>0</v>
      </c>
      <c r="AR38" s="110">
        <v>0</v>
      </c>
      <c r="AS38" s="110">
        <v>0</v>
      </c>
      <c r="AT38" s="110">
        <v>0</v>
      </c>
      <c r="AU38" s="110">
        <v>0</v>
      </c>
      <c r="AV38" s="110">
        <v>0</v>
      </c>
      <c r="AW38" s="110">
        <v>0</v>
      </c>
      <c r="AX38" s="110">
        <v>0</v>
      </c>
      <c r="AY38" s="110">
        <v>0</v>
      </c>
      <c r="AZ38" s="110">
        <v>0</v>
      </c>
      <c r="BA38" s="110">
        <v>0</v>
      </c>
      <c r="BB38" s="110">
        <v>0</v>
      </c>
      <c r="BC38" s="110">
        <v>0</v>
      </c>
      <c r="BD38" s="110">
        <v>0</v>
      </c>
      <c r="BE38" s="110">
        <v>0</v>
      </c>
      <c r="BF38" s="110">
        <v>0</v>
      </c>
      <c r="BG38" s="110">
        <v>0</v>
      </c>
      <c r="BH38" s="110">
        <v>0</v>
      </c>
      <c r="BI38" s="110">
        <v>0</v>
      </c>
      <c r="BJ38" s="110">
        <v>0</v>
      </c>
      <c r="BK38" s="110">
        <v>0</v>
      </c>
      <c r="BL38" s="110">
        <v>0</v>
      </c>
      <c r="BM38" s="110">
        <v>0</v>
      </c>
      <c r="BN38" s="110">
        <v>0</v>
      </c>
      <c r="BO38" s="110">
        <v>0</v>
      </c>
      <c r="BP38" s="110">
        <v>0</v>
      </c>
      <c r="BQ38" s="110">
        <v>0</v>
      </c>
      <c r="BR38" s="110">
        <v>0</v>
      </c>
      <c r="BS38" s="110">
        <v>0</v>
      </c>
      <c r="BT38" s="110">
        <v>0</v>
      </c>
      <c r="BU38" s="110">
        <v>0</v>
      </c>
      <c r="BV38" s="110">
        <v>0</v>
      </c>
      <c r="BW38" s="110">
        <v>0</v>
      </c>
      <c r="BX38" s="110">
        <v>0</v>
      </c>
      <c r="BY38" s="110">
        <v>0</v>
      </c>
      <c r="BZ38" s="110">
        <v>0</v>
      </c>
      <c r="CA38" s="110">
        <v>0</v>
      </c>
      <c r="CB38" s="110">
        <v>0</v>
      </c>
      <c r="CC38" s="110">
        <v>0</v>
      </c>
      <c r="CD38" s="110">
        <v>0</v>
      </c>
      <c r="CE38" s="110">
        <v>0</v>
      </c>
      <c r="CF38" s="110">
        <v>0</v>
      </c>
      <c r="CG38" s="110">
        <v>0</v>
      </c>
    </row>
    <row r="39" spans="1:85" x14ac:dyDescent="0.15">
      <c r="A39" s="188" t="s">
        <v>229</v>
      </c>
      <c r="B39" s="110">
        <v>0</v>
      </c>
      <c r="C39" s="110">
        <v>0</v>
      </c>
      <c r="D39" s="110">
        <v>0</v>
      </c>
      <c r="E39" s="110">
        <v>0</v>
      </c>
      <c r="F39" s="110">
        <v>0</v>
      </c>
      <c r="G39" s="110">
        <v>0</v>
      </c>
      <c r="H39" s="110">
        <v>0</v>
      </c>
      <c r="I39" s="110">
        <v>0</v>
      </c>
      <c r="J39" s="110">
        <v>0</v>
      </c>
      <c r="K39" s="110">
        <v>0</v>
      </c>
      <c r="L39" s="110">
        <v>0</v>
      </c>
      <c r="M39" s="110">
        <v>0</v>
      </c>
      <c r="N39" s="110">
        <v>0</v>
      </c>
      <c r="O39" s="110">
        <v>0</v>
      </c>
      <c r="P39" s="110">
        <v>0</v>
      </c>
      <c r="Q39" s="110">
        <v>0</v>
      </c>
      <c r="R39" s="110">
        <v>0</v>
      </c>
      <c r="S39" s="110">
        <v>0</v>
      </c>
      <c r="T39" s="110">
        <v>0</v>
      </c>
      <c r="U39" s="110">
        <v>0</v>
      </c>
      <c r="V39" s="110">
        <v>0</v>
      </c>
      <c r="W39" s="110">
        <v>0</v>
      </c>
      <c r="X39" s="110">
        <v>0</v>
      </c>
      <c r="Y39" s="110">
        <v>0</v>
      </c>
      <c r="Z39" s="110">
        <v>0</v>
      </c>
      <c r="AA39" s="110">
        <v>0</v>
      </c>
      <c r="AB39" s="110">
        <v>0</v>
      </c>
      <c r="AC39" s="110">
        <v>0</v>
      </c>
      <c r="AD39" s="110">
        <v>0</v>
      </c>
      <c r="AE39" s="110">
        <v>0</v>
      </c>
      <c r="AF39" s="110">
        <v>0</v>
      </c>
      <c r="AG39" s="110">
        <v>0</v>
      </c>
      <c r="AH39" s="110">
        <v>0</v>
      </c>
      <c r="AI39" s="110">
        <v>0</v>
      </c>
      <c r="AJ39" s="110">
        <v>0</v>
      </c>
      <c r="AK39" s="110">
        <v>0</v>
      </c>
      <c r="AL39" s="110">
        <v>0</v>
      </c>
      <c r="AM39" s="110">
        <v>0</v>
      </c>
      <c r="AN39" s="110">
        <v>0</v>
      </c>
      <c r="AO39" s="110">
        <v>0</v>
      </c>
      <c r="AP39" s="110">
        <v>0</v>
      </c>
      <c r="AQ39" s="110">
        <v>0</v>
      </c>
      <c r="AR39" s="110">
        <v>0</v>
      </c>
      <c r="AS39" s="110">
        <v>0</v>
      </c>
      <c r="AT39" s="110">
        <v>0</v>
      </c>
      <c r="AU39" s="110">
        <v>0</v>
      </c>
      <c r="AV39" s="110">
        <v>0</v>
      </c>
      <c r="AW39" s="110">
        <v>0</v>
      </c>
      <c r="AX39" s="110">
        <v>0</v>
      </c>
      <c r="AY39" s="110">
        <v>0</v>
      </c>
      <c r="AZ39" s="110">
        <v>0</v>
      </c>
      <c r="BA39" s="110">
        <v>0</v>
      </c>
      <c r="BB39" s="110">
        <v>0</v>
      </c>
      <c r="BC39" s="110">
        <v>0</v>
      </c>
      <c r="BD39" s="110">
        <v>0</v>
      </c>
      <c r="BE39" s="110">
        <v>0</v>
      </c>
      <c r="BF39" s="110">
        <v>0</v>
      </c>
      <c r="BG39" s="110">
        <v>0</v>
      </c>
      <c r="BH39" s="110">
        <v>0</v>
      </c>
      <c r="BI39" s="110">
        <v>0</v>
      </c>
      <c r="BJ39" s="110">
        <v>0</v>
      </c>
      <c r="BK39" s="110">
        <v>0</v>
      </c>
      <c r="BL39" s="110">
        <v>0</v>
      </c>
      <c r="BM39" s="110">
        <v>0</v>
      </c>
      <c r="BN39" s="110">
        <v>0</v>
      </c>
      <c r="BO39" s="110">
        <v>0</v>
      </c>
      <c r="BP39" s="110">
        <v>0</v>
      </c>
      <c r="BQ39" s="110">
        <v>0</v>
      </c>
      <c r="BR39" s="110">
        <v>0</v>
      </c>
      <c r="BS39" s="110">
        <v>0</v>
      </c>
      <c r="BT39" s="110">
        <v>0</v>
      </c>
      <c r="BU39" s="110">
        <v>0</v>
      </c>
      <c r="BV39" s="110">
        <v>0</v>
      </c>
      <c r="BW39" s="110">
        <v>0</v>
      </c>
      <c r="BX39" s="110">
        <v>0</v>
      </c>
      <c r="BY39" s="110">
        <v>0</v>
      </c>
      <c r="BZ39" s="110">
        <v>0</v>
      </c>
      <c r="CA39" s="110">
        <v>0</v>
      </c>
      <c r="CB39" s="110">
        <v>0</v>
      </c>
      <c r="CC39" s="110">
        <v>0</v>
      </c>
      <c r="CD39" s="110">
        <v>0</v>
      </c>
      <c r="CE39" s="110">
        <v>0</v>
      </c>
      <c r="CF39" s="110">
        <v>0</v>
      </c>
      <c r="CG39" s="110">
        <v>0</v>
      </c>
    </row>
    <row r="40" spans="1:85" x14ac:dyDescent="0.15">
      <c r="A40" s="188" t="s">
        <v>230</v>
      </c>
      <c r="B40" s="110">
        <v>1</v>
      </c>
      <c r="C40" s="110">
        <v>0</v>
      </c>
      <c r="D40" s="110">
        <v>0</v>
      </c>
      <c r="E40" s="110">
        <v>0</v>
      </c>
      <c r="F40" s="110">
        <v>0</v>
      </c>
      <c r="G40" s="110">
        <v>0</v>
      </c>
      <c r="H40" s="110">
        <v>0</v>
      </c>
      <c r="I40" s="110">
        <v>0</v>
      </c>
      <c r="J40" s="110">
        <v>0</v>
      </c>
      <c r="K40" s="110">
        <v>1</v>
      </c>
      <c r="L40" s="110">
        <v>1</v>
      </c>
      <c r="M40" s="110">
        <v>1</v>
      </c>
      <c r="N40" s="110">
        <v>0</v>
      </c>
      <c r="O40" s="110">
        <v>1</v>
      </c>
      <c r="P40" s="110">
        <v>1</v>
      </c>
      <c r="Q40" s="110">
        <v>0</v>
      </c>
      <c r="R40" s="110">
        <v>0</v>
      </c>
      <c r="S40" s="110">
        <v>0</v>
      </c>
      <c r="T40" s="110">
        <v>1</v>
      </c>
      <c r="U40" s="110">
        <v>1</v>
      </c>
      <c r="V40" s="110">
        <v>1</v>
      </c>
      <c r="W40" s="110">
        <v>1</v>
      </c>
      <c r="X40" s="110">
        <v>1</v>
      </c>
      <c r="Y40" s="110">
        <v>1</v>
      </c>
      <c r="Z40" s="110">
        <v>1</v>
      </c>
      <c r="AA40" s="110">
        <v>1</v>
      </c>
      <c r="AB40" s="110">
        <v>1</v>
      </c>
      <c r="AC40" s="110">
        <v>0</v>
      </c>
      <c r="AD40" s="110">
        <v>1</v>
      </c>
      <c r="AE40" s="110">
        <v>1</v>
      </c>
      <c r="AF40" s="110">
        <v>0</v>
      </c>
      <c r="AG40" s="110">
        <v>0</v>
      </c>
      <c r="AH40" s="110">
        <v>0</v>
      </c>
      <c r="AI40" s="110">
        <v>1</v>
      </c>
      <c r="AJ40" s="110">
        <v>1</v>
      </c>
      <c r="AK40" s="110">
        <v>0</v>
      </c>
      <c r="AL40" s="110">
        <v>0</v>
      </c>
      <c r="AM40" s="110">
        <v>0</v>
      </c>
      <c r="AN40" s="110">
        <v>0</v>
      </c>
      <c r="AO40" s="110">
        <v>0</v>
      </c>
      <c r="AP40" s="110">
        <v>0</v>
      </c>
      <c r="AQ40" s="110">
        <v>0</v>
      </c>
      <c r="AR40" s="110">
        <v>0</v>
      </c>
      <c r="AS40" s="110">
        <v>0</v>
      </c>
      <c r="AT40" s="110">
        <v>0</v>
      </c>
      <c r="AU40" s="110">
        <v>0</v>
      </c>
      <c r="AV40" s="110">
        <v>0</v>
      </c>
      <c r="AW40" s="110">
        <v>0</v>
      </c>
      <c r="AX40" s="110">
        <v>0</v>
      </c>
      <c r="AY40" s="110">
        <v>0</v>
      </c>
      <c r="AZ40" s="110">
        <v>0</v>
      </c>
      <c r="BA40" s="110">
        <v>0</v>
      </c>
      <c r="BB40" s="110">
        <v>0</v>
      </c>
      <c r="BC40" s="110">
        <v>0</v>
      </c>
      <c r="BD40" s="110">
        <v>0</v>
      </c>
      <c r="BE40" s="110">
        <v>0</v>
      </c>
      <c r="BF40" s="110">
        <v>0</v>
      </c>
      <c r="BG40" s="110">
        <v>0</v>
      </c>
      <c r="BH40" s="110">
        <v>0</v>
      </c>
      <c r="BI40" s="110">
        <v>0</v>
      </c>
      <c r="BJ40" s="110">
        <v>0</v>
      </c>
      <c r="BK40" s="110">
        <v>0</v>
      </c>
      <c r="BL40" s="110">
        <v>0</v>
      </c>
      <c r="BM40" s="110">
        <v>0</v>
      </c>
      <c r="BN40" s="110">
        <v>0</v>
      </c>
      <c r="BO40" s="110">
        <v>0</v>
      </c>
      <c r="BP40" s="110">
        <v>0</v>
      </c>
      <c r="BQ40" s="110">
        <v>0</v>
      </c>
      <c r="BR40" s="110">
        <v>0</v>
      </c>
      <c r="BS40" s="110">
        <v>0</v>
      </c>
      <c r="BT40" s="110">
        <v>0</v>
      </c>
      <c r="BU40" s="110">
        <v>0</v>
      </c>
      <c r="BV40" s="110">
        <v>0</v>
      </c>
      <c r="BW40" s="110">
        <v>0</v>
      </c>
      <c r="BX40" s="110">
        <v>0</v>
      </c>
      <c r="BY40" s="110">
        <v>0</v>
      </c>
      <c r="BZ40" s="110">
        <v>0</v>
      </c>
      <c r="CA40" s="110">
        <v>0</v>
      </c>
      <c r="CB40" s="110">
        <v>0</v>
      </c>
      <c r="CC40" s="110">
        <v>0</v>
      </c>
      <c r="CD40" s="110">
        <v>0</v>
      </c>
      <c r="CE40" s="110">
        <v>0</v>
      </c>
      <c r="CF40" s="110">
        <v>0</v>
      </c>
      <c r="CG40" s="110">
        <v>0</v>
      </c>
    </row>
    <row r="41" spans="1:85" x14ac:dyDescent="0.15">
      <c r="A41" s="188" t="s">
        <v>231</v>
      </c>
      <c r="B41" s="110">
        <v>1</v>
      </c>
      <c r="C41" s="110">
        <v>0</v>
      </c>
      <c r="D41" s="110">
        <v>0</v>
      </c>
      <c r="E41" s="110">
        <v>0</v>
      </c>
      <c r="F41" s="110">
        <v>0</v>
      </c>
      <c r="G41" s="110">
        <v>0</v>
      </c>
      <c r="H41" s="110">
        <v>0</v>
      </c>
      <c r="I41" s="110">
        <v>0</v>
      </c>
      <c r="J41" s="110">
        <v>0</v>
      </c>
      <c r="K41" s="110">
        <v>1</v>
      </c>
      <c r="L41" s="110">
        <v>1</v>
      </c>
      <c r="M41" s="110">
        <v>1</v>
      </c>
      <c r="N41" s="110">
        <v>1</v>
      </c>
      <c r="O41" s="110">
        <v>1</v>
      </c>
      <c r="P41" s="110">
        <v>1</v>
      </c>
      <c r="Q41" s="110">
        <v>0</v>
      </c>
      <c r="R41" s="110">
        <v>1</v>
      </c>
      <c r="S41" s="110">
        <v>1</v>
      </c>
      <c r="T41" s="110">
        <v>1</v>
      </c>
      <c r="U41" s="110">
        <v>1</v>
      </c>
      <c r="V41" s="110">
        <v>1</v>
      </c>
      <c r="W41" s="110">
        <v>1</v>
      </c>
      <c r="X41" s="110">
        <v>1</v>
      </c>
      <c r="Y41" s="110">
        <v>1</v>
      </c>
      <c r="Z41" s="110">
        <v>1</v>
      </c>
      <c r="AA41" s="110">
        <v>1</v>
      </c>
      <c r="AB41" s="110">
        <v>1</v>
      </c>
      <c r="AC41" s="110">
        <v>0</v>
      </c>
      <c r="AD41" s="110">
        <v>1</v>
      </c>
      <c r="AE41" s="110">
        <v>1</v>
      </c>
      <c r="AF41" s="110">
        <v>0</v>
      </c>
      <c r="AG41" s="110">
        <v>0</v>
      </c>
      <c r="AH41" s="110">
        <v>0</v>
      </c>
      <c r="AI41" s="110">
        <v>1</v>
      </c>
      <c r="AJ41" s="110">
        <v>1</v>
      </c>
      <c r="AK41" s="110">
        <v>0</v>
      </c>
      <c r="AL41" s="110">
        <v>1</v>
      </c>
      <c r="AM41" s="110">
        <v>0</v>
      </c>
      <c r="AN41" s="110">
        <v>0</v>
      </c>
      <c r="AO41" s="110">
        <v>0</v>
      </c>
      <c r="AP41" s="110">
        <v>1</v>
      </c>
      <c r="AQ41" s="110">
        <v>0</v>
      </c>
      <c r="AR41" s="110">
        <v>0</v>
      </c>
      <c r="AS41" s="110">
        <v>0</v>
      </c>
      <c r="AT41" s="110">
        <v>0</v>
      </c>
      <c r="AU41" s="110">
        <v>0</v>
      </c>
      <c r="AV41" s="110">
        <v>0</v>
      </c>
      <c r="AW41" s="110">
        <v>0</v>
      </c>
      <c r="AX41" s="110">
        <v>0</v>
      </c>
      <c r="AY41" s="110">
        <v>0</v>
      </c>
      <c r="AZ41" s="110">
        <v>0</v>
      </c>
      <c r="BA41" s="110">
        <v>0</v>
      </c>
      <c r="BB41" s="110">
        <v>0</v>
      </c>
      <c r="BC41" s="110">
        <v>0</v>
      </c>
      <c r="BD41" s="110">
        <v>0</v>
      </c>
      <c r="BE41" s="110">
        <v>0</v>
      </c>
      <c r="BF41" s="110">
        <v>0</v>
      </c>
      <c r="BG41" s="110">
        <v>0</v>
      </c>
      <c r="BH41" s="110">
        <v>0</v>
      </c>
      <c r="BI41" s="110">
        <v>0</v>
      </c>
      <c r="BJ41" s="110">
        <v>0</v>
      </c>
      <c r="BK41" s="110">
        <v>0</v>
      </c>
      <c r="BL41" s="110">
        <v>0</v>
      </c>
      <c r="BM41" s="110">
        <v>0</v>
      </c>
      <c r="BN41" s="110">
        <v>0</v>
      </c>
      <c r="BO41" s="110">
        <v>0</v>
      </c>
      <c r="BP41" s="110">
        <v>0</v>
      </c>
      <c r="BQ41" s="110">
        <v>0</v>
      </c>
      <c r="BR41" s="110">
        <v>0</v>
      </c>
      <c r="BS41" s="110">
        <v>0</v>
      </c>
      <c r="BT41" s="110">
        <v>0</v>
      </c>
      <c r="BU41" s="110">
        <v>0</v>
      </c>
      <c r="BV41" s="110">
        <v>0</v>
      </c>
      <c r="BW41" s="110">
        <v>0</v>
      </c>
      <c r="BX41" s="110">
        <v>0</v>
      </c>
      <c r="BY41" s="110">
        <v>0</v>
      </c>
      <c r="BZ41" s="110">
        <v>0</v>
      </c>
      <c r="CA41" s="110">
        <v>0</v>
      </c>
      <c r="CB41" s="110">
        <v>0</v>
      </c>
      <c r="CC41" s="110">
        <v>0</v>
      </c>
      <c r="CD41" s="110">
        <v>0</v>
      </c>
      <c r="CE41" s="110">
        <v>0</v>
      </c>
      <c r="CF41" s="110">
        <v>0</v>
      </c>
      <c r="CG41" s="110">
        <v>0</v>
      </c>
    </row>
    <row r="42" spans="1:85" x14ac:dyDescent="0.15">
      <c r="A42" s="188" t="s">
        <v>232</v>
      </c>
      <c r="B42" s="110">
        <v>0</v>
      </c>
      <c r="C42" s="110">
        <v>0</v>
      </c>
      <c r="D42" s="110">
        <v>0</v>
      </c>
      <c r="E42" s="110">
        <v>0</v>
      </c>
      <c r="F42" s="110">
        <v>0</v>
      </c>
      <c r="G42" s="110">
        <v>0</v>
      </c>
      <c r="H42" s="110">
        <v>0</v>
      </c>
      <c r="I42" s="110">
        <v>0</v>
      </c>
      <c r="J42" s="110">
        <v>0</v>
      </c>
      <c r="K42" s="110">
        <v>1</v>
      </c>
      <c r="L42" s="110">
        <v>1</v>
      </c>
      <c r="M42" s="110">
        <v>1</v>
      </c>
      <c r="N42" s="110">
        <v>1</v>
      </c>
      <c r="O42" s="110">
        <v>1</v>
      </c>
      <c r="P42" s="110">
        <v>0</v>
      </c>
      <c r="Q42" s="110">
        <v>0</v>
      </c>
      <c r="R42" s="110">
        <v>0</v>
      </c>
      <c r="S42" s="110">
        <v>1</v>
      </c>
      <c r="T42" s="110">
        <v>1</v>
      </c>
      <c r="U42" s="110">
        <v>1</v>
      </c>
      <c r="V42" s="110">
        <v>1</v>
      </c>
      <c r="W42" s="110">
        <v>1</v>
      </c>
      <c r="X42" s="110">
        <v>1</v>
      </c>
      <c r="Y42" s="110">
        <v>1</v>
      </c>
      <c r="Z42" s="110">
        <v>1</v>
      </c>
      <c r="AA42" s="110">
        <v>1</v>
      </c>
      <c r="AB42" s="110">
        <v>1</v>
      </c>
      <c r="AC42" s="110">
        <v>1</v>
      </c>
      <c r="AD42" s="110">
        <v>1</v>
      </c>
      <c r="AE42" s="110">
        <v>1</v>
      </c>
      <c r="AF42" s="110">
        <v>0</v>
      </c>
      <c r="AG42" s="110">
        <v>0</v>
      </c>
      <c r="AH42" s="110">
        <v>0</v>
      </c>
      <c r="AI42" s="110">
        <v>0</v>
      </c>
      <c r="AJ42" s="110">
        <v>1</v>
      </c>
      <c r="AK42" s="110">
        <v>1</v>
      </c>
      <c r="AL42" s="110">
        <v>1</v>
      </c>
      <c r="AM42" s="110">
        <v>0</v>
      </c>
      <c r="AN42" s="110">
        <v>0</v>
      </c>
      <c r="AO42" s="110">
        <v>1</v>
      </c>
      <c r="AP42" s="110">
        <v>0</v>
      </c>
      <c r="AQ42" s="110">
        <v>0</v>
      </c>
      <c r="AR42" s="110">
        <v>0</v>
      </c>
      <c r="AS42" s="110">
        <v>1</v>
      </c>
      <c r="AT42" s="110">
        <v>0</v>
      </c>
      <c r="AU42" s="110">
        <v>0</v>
      </c>
      <c r="AV42" s="110">
        <v>0</v>
      </c>
      <c r="AW42" s="110">
        <v>0</v>
      </c>
      <c r="AX42" s="110">
        <v>0</v>
      </c>
      <c r="AY42" s="110">
        <v>0</v>
      </c>
      <c r="AZ42" s="110">
        <v>0</v>
      </c>
      <c r="BA42" s="110">
        <v>0</v>
      </c>
      <c r="BB42" s="110">
        <v>0</v>
      </c>
      <c r="BC42" s="110">
        <v>0</v>
      </c>
      <c r="BD42" s="110">
        <v>0</v>
      </c>
      <c r="BE42" s="110">
        <v>0</v>
      </c>
      <c r="BF42" s="110">
        <v>0</v>
      </c>
      <c r="BG42" s="110">
        <v>0</v>
      </c>
      <c r="BH42" s="110">
        <v>0</v>
      </c>
      <c r="BI42" s="110">
        <v>0</v>
      </c>
      <c r="BJ42" s="110">
        <v>0</v>
      </c>
      <c r="BK42" s="110">
        <v>0</v>
      </c>
      <c r="BL42" s="110">
        <v>0</v>
      </c>
      <c r="BM42" s="110">
        <v>0</v>
      </c>
      <c r="BN42" s="110">
        <v>0</v>
      </c>
      <c r="BO42" s="110">
        <v>0</v>
      </c>
      <c r="BP42" s="110">
        <v>0</v>
      </c>
      <c r="BQ42" s="110">
        <v>0</v>
      </c>
      <c r="BR42" s="110">
        <v>0</v>
      </c>
      <c r="BS42" s="110">
        <v>0</v>
      </c>
      <c r="BT42" s="110">
        <v>0</v>
      </c>
      <c r="BU42" s="110">
        <v>0</v>
      </c>
      <c r="BV42" s="110">
        <v>0</v>
      </c>
      <c r="BW42" s="110">
        <v>0</v>
      </c>
      <c r="BX42" s="110">
        <v>0</v>
      </c>
      <c r="BY42" s="110">
        <v>0</v>
      </c>
      <c r="BZ42" s="110">
        <v>0</v>
      </c>
      <c r="CA42" s="110">
        <v>0</v>
      </c>
      <c r="CB42" s="110">
        <v>0</v>
      </c>
      <c r="CC42" s="110">
        <v>0</v>
      </c>
      <c r="CD42" s="110">
        <v>0</v>
      </c>
      <c r="CE42" s="110">
        <v>0</v>
      </c>
      <c r="CF42" s="110">
        <v>0</v>
      </c>
      <c r="CG42" s="110">
        <v>0</v>
      </c>
    </row>
    <row r="43" spans="1:85" x14ac:dyDescent="0.15">
      <c r="A43" s="188" t="s">
        <v>233</v>
      </c>
      <c r="B43" s="110">
        <v>0</v>
      </c>
      <c r="C43" s="110">
        <v>0</v>
      </c>
      <c r="D43" s="110">
        <v>0</v>
      </c>
      <c r="E43" s="110">
        <v>0</v>
      </c>
      <c r="F43" s="110">
        <v>0</v>
      </c>
      <c r="G43" s="110">
        <v>0</v>
      </c>
      <c r="H43" s="110">
        <v>0</v>
      </c>
      <c r="I43" s="110">
        <v>0</v>
      </c>
      <c r="J43" s="110">
        <v>0</v>
      </c>
      <c r="K43" s="110">
        <v>0</v>
      </c>
      <c r="L43" s="110">
        <v>0</v>
      </c>
      <c r="M43" s="110">
        <v>0</v>
      </c>
      <c r="N43" s="110">
        <v>0</v>
      </c>
      <c r="O43" s="110">
        <v>0</v>
      </c>
      <c r="P43" s="110">
        <v>0</v>
      </c>
      <c r="Q43" s="110">
        <v>0</v>
      </c>
      <c r="R43" s="110">
        <v>0</v>
      </c>
      <c r="S43" s="110">
        <v>0</v>
      </c>
      <c r="T43" s="110">
        <v>0</v>
      </c>
      <c r="U43" s="110">
        <v>0</v>
      </c>
      <c r="V43" s="110">
        <v>0</v>
      </c>
      <c r="W43" s="110">
        <v>0</v>
      </c>
      <c r="X43" s="110">
        <v>0</v>
      </c>
      <c r="Y43" s="110">
        <v>0</v>
      </c>
      <c r="Z43" s="110">
        <v>0</v>
      </c>
      <c r="AA43" s="110">
        <v>1</v>
      </c>
      <c r="AB43" s="110">
        <v>1</v>
      </c>
      <c r="AC43" s="110">
        <v>0</v>
      </c>
      <c r="AD43" s="110">
        <v>0</v>
      </c>
      <c r="AE43" s="110">
        <v>0</v>
      </c>
      <c r="AF43" s="110">
        <v>0</v>
      </c>
      <c r="AG43" s="110">
        <v>0</v>
      </c>
      <c r="AH43" s="110">
        <v>0</v>
      </c>
      <c r="AI43" s="110">
        <v>0</v>
      </c>
      <c r="AJ43" s="110">
        <v>1</v>
      </c>
      <c r="AK43" s="110">
        <v>0</v>
      </c>
      <c r="AL43" s="110">
        <v>0</v>
      </c>
      <c r="AM43" s="110">
        <v>0</v>
      </c>
      <c r="AN43" s="110">
        <v>1</v>
      </c>
      <c r="AO43" s="110">
        <v>0</v>
      </c>
      <c r="AP43" s="110">
        <v>1</v>
      </c>
      <c r="AQ43" s="110">
        <v>0</v>
      </c>
      <c r="AR43" s="110">
        <v>0</v>
      </c>
      <c r="AS43" s="110">
        <v>0</v>
      </c>
      <c r="AT43" s="110">
        <v>0</v>
      </c>
      <c r="AU43" s="110">
        <v>0</v>
      </c>
      <c r="AV43" s="110">
        <v>0</v>
      </c>
      <c r="AW43" s="110">
        <v>0</v>
      </c>
      <c r="AX43" s="110">
        <v>0</v>
      </c>
      <c r="AY43" s="110">
        <v>0</v>
      </c>
      <c r="AZ43" s="110">
        <v>0</v>
      </c>
      <c r="BA43" s="110">
        <v>0</v>
      </c>
      <c r="BB43" s="110">
        <v>0</v>
      </c>
      <c r="BC43" s="110">
        <v>0</v>
      </c>
      <c r="BD43" s="110">
        <v>0</v>
      </c>
      <c r="BE43" s="110">
        <v>0</v>
      </c>
      <c r="BF43" s="110">
        <v>0</v>
      </c>
      <c r="BG43" s="110">
        <v>0</v>
      </c>
      <c r="BH43" s="110">
        <v>0</v>
      </c>
      <c r="BI43" s="110">
        <v>0</v>
      </c>
      <c r="BJ43" s="110">
        <v>0</v>
      </c>
      <c r="BK43" s="110">
        <v>0</v>
      </c>
      <c r="BL43" s="110">
        <v>0</v>
      </c>
      <c r="BM43" s="110">
        <v>0</v>
      </c>
      <c r="BN43" s="110">
        <v>0</v>
      </c>
      <c r="BO43" s="110">
        <v>0</v>
      </c>
      <c r="BP43" s="110">
        <v>0</v>
      </c>
      <c r="BQ43" s="110">
        <v>0</v>
      </c>
      <c r="BR43" s="110">
        <v>0</v>
      </c>
      <c r="BS43" s="110">
        <v>0</v>
      </c>
      <c r="BT43" s="110">
        <v>0</v>
      </c>
      <c r="BU43" s="110">
        <v>0</v>
      </c>
      <c r="BV43" s="110">
        <v>0</v>
      </c>
      <c r="BW43" s="110">
        <v>0</v>
      </c>
      <c r="BX43" s="110">
        <v>0</v>
      </c>
      <c r="BY43" s="110">
        <v>0</v>
      </c>
      <c r="BZ43" s="110">
        <v>0</v>
      </c>
      <c r="CA43" s="110">
        <v>0</v>
      </c>
      <c r="CB43" s="110">
        <v>0</v>
      </c>
      <c r="CC43" s="110">
        <v>0</v>
      </c>
      <c r="CD43" s="110">
        <v>0</v>
      </c>
      <c r="CE43" s="110">
        <v>0</v>
      </c>
      <c r="CF43" s="110">
        <v>0</v>
      </c>
      <c r="CG43" s="110">
        <v>0</v>
      </c>
    </row>
    <row r="44" spans="1:85" x14ac:dyDescent="0.15">
      <c r="A44" s="188" t="s">
        <v>234</v>
      </c>
      <c r="B44" s="110">
        <v>0</v>
      </c>
      <c r="C44" s="110">
        <v>0</v>
      </c>
      <c r="D44" s="110">
        <v>0</v>
      </c>
      <c r="E44" s="110">
        <v>0</v>
      </c>
      <c r="F44" s="110">
        <v>0</v>
      </c>
      <c r="G44" s="110">
        <v>0</v>
      </c>
      <c r="H44" s="110">
        <v>0</v>
      </c>
      <c r="I44" s="110">
        <v>0</v>
      </c>
      <c r="J44" s="110">
        <v>0</v>
      </c>
      <c r="K44" s="110">
        <v>0</v>
      </c>
      <c r="L44" s="110">
        <v>0</v>
      </c>
      <c r="M44" s="110">
        <v>0</v>
      </c>
      <c r="N44" s="110">
        <v>0</v>
      </c>
      <c r="O44" s="110">
        <v>0</v>
      </c>
      <c r="P44" s="110">
        <v>0</v>
      </c>
      <c r="Q44" s="110">
        <v>1</v>
      </c>
      <c r="R44" s="110">
        <v>0</v>
      </c>
      <c r="S44" s="110">
        <v>0</v>
      </c>
      <c r="T44" s="110">
        <v>1</v>
      </c>
      <c r="U44" s="110">
        <v>0</v>
      </c>
      <c r="V44" s="110">
        <v>0</v>
      </c>
      <c r="W44" s="110">
        <v>0</v>
      </c>
      <c r="X44" s="110">
        <v>1</v>
      </c>
      <c r="Y44" s="110">
        <v>0</v>
      </c>
      <c r="Z44" s="110">
        <v>0</v>
      </c>
      <c r="AA44" s="110">
        <v>1</v>
      </c>
      <c r="AB44" s="110">
        <v>1</v>
      </c>
      <c r="AC44" s="110">
        <v>0</v>
      </c>
      <c r="AD44" s="110">
        <v>1</v>
      </c>
      <c r="AE44" s="110">
        <v>0</v>
      </c>
      <c r="AF44" s="110">
        <v>0</v>
      </c>
      <c r="AG44" s="110">
        <v>0</v>
      </c>
      <c r="AH44" s="110">
        <v>0</v>
      </c>
      <c r="AI44" s="110">
        <v>0</v>
      </c>
      <c r="AJ44" s="110">
        <v>1</v>
      </c>
      <c r="AK44" s="110">
        <v>0</v>
      </c>
      <c r="AL44" s="110">
        <v>0</v>
      </c>
      <c r="AM44" s="110">
        <v>0</v>
      </c>
      <c r="AN44" s="110">
        <v>1</v>
      </c>
      <c r="AO44" s="110">
        <v>0</v>
      </c>
      <c r="AP44" s="110">
        <v>1</v>
      </c>
      <c r="AQ44" s="110">
        <v>0</v>
      </c>
      <c r="AR44" s="110">
        <v>0</v>
      </c>
      <c r="AS44" s="110">
        <v>0</v>
      </c>
      <c r="AT44" s="110">
        <v>0</v>
      </c>
      <c r="AU44" s="110">
        <v>0</v>
      </c>
      <c r="AV44" s="110">
        <v>0</v>
      </c>
      <c r="AW44" s="110">
        <v>0</v>
      </c>
      <c r="AX44" s="110">
        <v>0</v>
      </c>
      <c r="AY44" s="110">
        <v>0</v>
      </c>
      <c r="AZ44" s="110">
        <v>0</v>
      </c>
      <c r="BA44" s="110">
        <v>0</v>
      </c>
      <c r="BB44" s="110">
        <v>0</v>
      </c>
      <c r="BC44" s="110">
        <v>0</v>
      </c>
      <c r="BD44" s="110">
        <v>0</v>
      </c>
      <c r="BE44" s="110">
        <v>0</v>
      </c>
      <c r="BF44" s="110">
        <v>0</v>
      </c>
      <c r="BG44" s="110">
        <v>0</v>
      </c>
      <c r="BH44" s="110">
        <v>0</v>
      </c>
      <c r="BI44" s="110">
        <v>0</v>
      </c>
      <c r="BJ44" s="110">
        <v>0</v>
      </c>
      <c r="BK44" s="110">
        <v>0</v>
      </c>
      <c r="BL44" s="110">
        <v>0</v>
      </c>
      <c r="BM44" s="110">
        <v>0</v>
      </c>
      <c r="BN44" s="110">
        <v>0</v>
      </c>
      <c r="BO44" s="110">
        <v>0</v>
      </c>
      <c r="BP44" s="110">
        <v>0</v>
      </c>
      <c r="BQ44" s="110">
        <v>0</v>
      </c>
      <c r="BR44" s="110">
        <v>0</v>
      </c>
      <c r="BS44" s="110">
        <v>0</v>
      </c>
      <c r="BT44" s="110">
        <v>0</v>
      </c>
      <c r="BU44" s="110">
        <v>0</v>
      </c>
      <c r="BV44" s="110">
        <v>0</v>
      </c>
      <c r="BW44" s="110">
        <v>0</v>
      </c>
      <c r="BX44" s="110">
        <v>0</v>
      </c>
      <c r="BY44" s="110">
        <v>0</v>
      </c>
      <c r="BZ44" s="110">
        <v>0</v>
      </c>
      <c r="CA44" s="110">
        <v>0</v>
      </c>
      <c r="CB44" s="110">
        <v>0</v>
      </c>
      <c r="CC44" s="110">
        <v>0</v>
      </c>
      <c r="CD44" s="110">
        <v>0</v>
      </c>
      <c r="CE44" s="110">
        <v>0</v>
      </c>
      <c r="CF44" s="110">
        <v>0</v>
      </c>
      <c r="CG44" s="110">
        <v>0</v>
      </c>
    </row>
    <row r="45" spans="1:85" x14ac:dyDescent="0.15">
      <c r="A45" s="188" t="s">
        <v>235</v>
      </c>
      <c r="B45" s="110">
        <v>1</v>
      </c>
      <c r="C45" s="110">
        <v>0</v>
      </c>
      <c r="D45" s="110">
        <v>0</v>
      </c>
      <c r="E45" s="110">
        <v>0</v>
      </c>
      <c r="F45" s="110">
        <v>0</v>
      </c>
      <c r="G45" s="110">
        <v>0</v>
      </c>
      <c r="H45" s="110">
        <v>0</v>
      </c>
      <c r="I45" s="110">
        <v>0</v>
      </c>
      <c r="J45" s="110">
        <v>0</v>
      </c>
      <c r="K45" s="110">
        <v>0</v>
      </c>
      <c r="L45" s="110">
        <v>1</v>
      </c>
      <c r="M45" s="110">
        <v>1</v>
      </c>
      <c r="N45" s="110">
        <v>1</v>
      </c>
      <c r="O45" s="110">
        <v>1</v>
      </c>
      <c r="P45" s="110">
        <v>0</v>
      </c>
      <c r="Q45" s="110">
        <v>1</v>
      </c>
      <c r="R45" s="110">
        <v>0</v>
      </c>
      <c r="S45" s="110">
        <v>1</v>
      </c>
      <c r="T45" s="110">
        <v>1</v>
      </c>
      <c r="U45" s="110">
        <v>0</v>
      </c>
      <c r="V45" s="110">
        <v>1</v>
      </c>
      <c r="W45" s="110">
        <v>0</v>
      </c>
      <c r="X45" s="110">
        <v>1</v>
      </c>
      <c r="Y45" s="110">
        <v>0</v>
      </c>
      <c r="Z45" s="110">
        <v>0</v>
      </c>
      <c r="AA45" s="110">
        <v>1</v>
      </c>
      <c r="AB45" s="110">
        <v>1</v>
      </c>
      <c r="AC45" s="110">
        <v>0</v>
      </c>
      <c r="AD45" s="110">
        <v>1</v>
      </c>
      <c r="AE45" s="110">
        <v>1</v>
      </c>
      <c r="AF45" s="110">
        <v>0</v>
      </c>
      <c r="AG45" s="110">
        <v>0</v>
      </c>
      <c r="AH45" s="110">
        <v>0</v>
      </c>
      <c r="AI45" s="110">
        <v>0</v>
      </c>
      <c r="AJ45" s="110">
        <v>1</v>
      </c>
      <c r="AK45" s="110">
        <v>0</v>
      </c>
      <c r="AL45" s="110">
        <v>0</v>
      </c>
      <c r="AM45" s="110">
        <v>0</v>
      </c>
      <c r="AN45" s="110">
        <v>1</v>
      </c>
      <c r="AO45" s="110">
        <v>0</v>
      </c>
      <c r="AP45" s="110">
        <v>1</v>
      </c>
      <c r="AQ45" s="110">
        <v>0</v>
      </c>
      <c r="AR45" s="110">
        <v>0</v>
      </c>
      <c r="AS45" s="110">
        <v>0</v>
      </c>
      <c r="AT45" s="110">
        <v>0</v>
      </c>
      <c r="AU45" s="110">
        <v>0</v>
      </c>
      <c r="AV45" s="110">
        <v>0</v>
      </c>
      <c r="AW45" s="110">
        <v>0</v>
      </c>
      <c r="AX45" s="110">
        <v>0</v>
      </c>
      <c r="AY45" s="110">
        <v>0</v>
      </c>
      <c r="AZ45" s="110">
        <v>0</v>
      </c>
      <c r="BA45" s="110">
        <v>1</v>
      </c>
      <c r="BB45" s="110">
        <v>1</v>
      </c>
      <c r="BC45" s="110">
        <v>0</v>
      </c>
      <c r="BD45" s="110">
        <v>0</v>
      </c>
      <c r="BE45" s="110">
        <v>0</v>
      </c>
      <c r="BF45" s="110">
        <v>0</v>
      </c>
      <c r="BG45" s="110">
        <v>0</v>
      </c>
      <c r="BH45" s="110">
        <v>0</v>
      </c>
      <c r="BI45" s="110">
        <v>0</v>
      </c>
      <c r="BJ45" s="110">
        <v>0</v>
      </c>
      <c r="BK45" s="110">
        <v>0</v>
      </c>
      <c r="BL45" s="110">
        <v>0</v>
      </c>
      <c r="BM45" s="110">
        <v>0</v>
      </c>
      <c r="BN45" s="110">
        <v>0</v>
      </c>
      <c r="BO45" s="110">
        <v>0</v>
      </c>
      <c r="BP45" s="110">
        <v>0</v>
      </c>
      <c r="BQ45" s="110">
        <v>0</v>
      </c>
      <c r="BR45" s="110">
        <v>0</v>
      </c>
      <c r="BS45" s="110">
        <v>0</v>
      </c>
      <c r="BT45" s="110">
        <v>0</v>
      </c>
      <c r="BU45" s="110">
        <v>0</v>
      </c>
      <c r="BV45" s="110">
        <v>0</v>
      </c>
      <c r="BW45" s="110">
        <v>0</v>
      </c>
      <c r="BX45" s="110">
        <v>0</v>
      </c>
      <c r="BY45" s="110">
        <v>0</v>
      </c>
      <c r="BZ45" s="110">
        <v>0</v>
      </c>
      <c r="CA45" s="110">
        <v>0</v>
      </c>
      <c r="CB45" s="110">
        <v>0</v>
      </c>
      <c r="CC45" s="110">
        <v>0</v>
      </c>
      <c r="CD45" s="110">
        <v>0</v>
      </c>
      <c r="CE45" s="110">
        <v>0</v>
      </c>
      <c r="CF45" s="110">
        <v>0</v>
      </c>
      <c r="CG45" s="110">
        <v>0</v>
      </c>
    </row>
    <row r="46" spans="1:85" x14ac:dyDescent="0.15">
      <c r="A46" s="188" t="s">
        <v>236</v>
      </c>
      <c r="B46" s="110">
        <v>0</v>
      </c>
      <c r="C46" s="110">
        <v>0</v>
      </c>
      <c r="D46" s="110">
        <v>0</v>
      </c>
      <c r="E46" s="110">
        <v>0</v>
      </c>
      <c r="F46" s="110">
        <v>0</v>
      </c>
      <c r="G46" s="110">
        <v>0</v>
      </c>
      <c r="H46" s="110">
        <v>0</v>
      </c>
      <c r="I46" s="110">
        <v>0</v>
      </c>
      <c r="J46" s="110">
        <v>0</v>
      </c>
      <c r="K46" s="110">
        <v>0</v>
      </c>
      <c r="L46" s="110">
        <v>0</v>
      </c>
      <c r="M46" s="110">
        <v>0</v>
      </c>
      <c r="N46" s="110">
        <v>0</v>
      </c>
      <c r="O46" s="110">
        <v>0</v>
      </c>
      <c r="P46" s="110">
        <v>0</v>
      </c>
      <c r="Q46" s="110">
        <v>0</v>
      </c>
      <c r="R46" s="110">
        <v>0</v>
      </c>
      <c r="S46" s="110">
        <v>0</v>
      </c>
      <c r="T46" s="110">
        <v>0</v>
      </c>
      <c r="U46" s="110">
        <v>0</v>
      </c>
      <c r="V46" s="110">
        <v>0</v>
      </c>
      <c r="W46" s="110">
        <v>0</v>
      </c>
      <c r="X46" s="110">
        <v>0</v>
      </c>
      <c r="Y46" s="110">
        <v>0</v>
      </c>
      <c r="Z46" s="110">
        <v>0</v>
      </c>
      <c r="AA46" s="110">
        <v>0</v>
      </c>
      <c r="AB46" s="110">
        <v>0</v>
      </c>
      <c r="AC46" s="110">
        <v>0</v>
      </c>
      <c r="AD46" s="110">
        <v>0</v>
      </c>
      <c r="AE46" s="110">
        <v>0</v>
      </c>
      <c r="AF46" s="110">
        <v>0</v>
      </c>
      <c r="AG46" s="110">
        <v>0</v>
      </c>
      <c r="AH46" s="110">
        <v>0</v>
      </c>
      <c r="AI46" s="110">
        <v>0</v>
      </c>
      <c r="AJ46" s="110">
        <v>0</v>
      </c>
      <c r="AK46" s="110">
        <v>0</v>
      </c>
      <c r="AL46" s="110">
        <v>0</v>
      </c>
      <c r="AM46" s="110">
        <v>0</v>
      </c>
      <c r="AN46" s="110">
        <v>0</v>
      </c>
      <c r="AO46" s="110">
        <v>0</v>
      </c>
      <c r="AP46" s="110">
        <v>1</v>
      </c>
      <c r="AQ46" s="110">
        <v>0</v>
      </c>
      <c r="AR46" s="110">
        <v>0</v>
      </c>
      <c r="AS46" s="110">
        <v>0</v>
      </c>
      <c r="AT46" s="110">
        <v>0</v>
      </c>
      <c r="AU46" s="110">
        <v>0</v>
      </c>
      <c r="AV46" s="110">
        <v>0</v>
      </c>
      <c r="AW46" s="110">
        <v>0</v>
      </c>
      <c r="AX46" s="110">
        <v>0</v>
      </c>
      <c r="AY46" s="110">
        <v>0</v>
      </c>
      <c r="AZ46" s="110">
        <v>0</v>
      </c>
      <c r="BA46" s="110">
        <v>0</v>
      </c>
      <c r="BB46" s="110">
        <v>0</v>
      </c>
      <c r="BC46" s="110">
        <v>0</v>
      </c>
      <c r="BD46" s="110">
        <v>0</v>
      </c>
      <c r="BE46" s="110">
        <v>0</v>
      </c>
      <c r="BF46" s="110">
        <v>0</v>
      </c>
      <c r="BG46" s="110">
        <v>0</v>
      </c>
      <c r="BH46" s="110">
        <v>0</v>
      </c>
      <c r="BI46" s="110">
        <v>0</v>
      </c>
      <c r="BJ46" s="110">
        <v>0</v>
      </c>
      <c r="BK46" s="110">
        <v>0</v>
      </c>
      <c r="BL46" s="110">
        <v>0</v>
      </c>
      <c r="BM46" s="110">
        <v>0</v>
      </c>
      <c r="BN46" s="110">
        <v>0</v>
      </c>
      <c r="BO46" s="110">
        <v>0</v>
      </c>
      <c r="BP46" s="110">
        <v>0</v>
      </c>
      <c r="BQ46" s="110">
        <v>0</v>
      </c>
      <c r="BR46" s="110">
        <v>0</v>
      </c>
      <c r="BS46" s="110">
        <v>0</v>
      </c>
      <c r="BT46" s="110">
        <v>0</v>
      </c>
      <c r="BU46" s="110">
        <v>0</v>
      </c>
      <c r="BV46" s="110">
        <v>0</v>
      </c>
      <c r="BW46" s="110">
        <v>0</v>
      </c>
      <c r="BX46" s="110">
        <v>0</v>
      </c>
      <c r="BY46" s="110">
        <v>0</v>
      </c>
      <c r="BZ46" s="110">
        <v>0</v>
      </c>
      <c r="CA46" s="110">
        <v>0</v>
      </c>
      <c r="CB46" s="110">
        <v>0</v>
      </c>
      <c r="CC46" s="110">
        <v>0</v>
      </c>
      <c r="CD46" s="110">
        <v>0</v>
      </c>
      <c r="CE46" s="110">
        <v>0</v>
      </c>
      <c r="CF46" s="110">
        <v>0</v>
      </c>
      <c r="CG46" s="110">
        <v>0</v>
      </c>
    </row>
    <row r="47" spans="1:85" x14ac:dyDescent="0.15">
      <c r="A47" s="188" t="s">
        <v>237</v>
      </c>
      <c r="B47" s="110">
        <v>0</v>
      </c>
      <c r="C47" s="110">
        <v>0</v>
      </c>
      <c r="D47" s="110">
        <v>0</v>
      </c>
      <c r="E47" s="110">
        <v>0</v>
      </c>
      <c r="F47" s="110">
        <v>0</v>
      </c>
      <c r="G47" s="110">
        <v>0</v>
      </c>
      <c r="H47" s="110">
        <v>0</v>
      </c>
      <c r="I47" s="110">
        <v>0</v>
      </c>
      <c r="J47" s="110">
        <v>0</v>
      </c>
      <c r="K47" s="110">
        <v>0</v>
      </c>
      <c r="L47" s="110">
        <v>0</v>
      </c>
      <c r="M47" s="110">
        <v>0</v>
      </c>
      <c r="N47" s="110">
        <v>0</v>
      </c>
      <c r="O47" s="110">
        <v>0</v>
      </c>
      <c r="P47" s="110">
        <v>0</v>
      </c>
      <c r="Q47" s="110">
        <v>0</v>
      </c>
      <c r="R47" s="110">
        <v>0</v>
      </c>
      <c r="S47" s="110">
        <v>0</v>
      </c>
      <c r="T47" s="110">
        <v>0</v>
      </c>
      <c r="U47" s="110">
        <v>0</v>
      </c>
      <c r="V47" s="110">
        <v>0</v>
      </c>
      <c r="W47" s="110">
        <v>0</v>
      </c>
      <c r="X47" s="110">
        <v>0</v>
      </c>
      <c r="Y47" s="110">
        <v>0</v>
      </c>
      <c r="Z47" s="110">
        <v>0</v>
      </c>
      <c r="AA47" s="110">
        <v>0</v>
      </c>
      <c r="AB47" s="110">
        <v>0</v>
      </c>
      <c r="AC47" s="110">
        <v>0</v>
      </c>
      <c r="AD47" s="110">
        <v>0</v>
      </c>
      <c r="AE47" s="110">
        <v>0</v>
      </c>
      <c r="AF47" s="110">
        <v>0</v>
      </c>
      <c r="AG47" s="110">
        <v>0</v>
      </c>
      <c r="AH47" s="110">
        <v>0</v>
      </c>
      <c r="AI47" s="110">
        <v>0</v>
      </c>
      <c r="AJ47" s="110">
        <v>0</v>
      </c>
      <c r="AK47" s="110">
        <v>0</v>
      </c>
      <c r="AL47" s="110">
        <v>0</v>
      </c>
      <c r="AM47" s="110">
        <v>0</v>
      </c>
      <c r="AN47" s="110">
        <v>1</v>
      </c>
      <c r="AO47" s="110">
        <v>0</v>
      </c>
      <c r="AP47" s="110">
        <v>1</v>
      </c>
      <c r="AQ47" s="110">
        <v>0</v>
      </c>
      <c r="AR47" s="110">
        <v>0</v>
      </c>
      <c r="AS47" s="110">
        <v>0</v>
      </c>
      <c r="AT47" s="110">
        <v>0</v>
      </c>
      <c r="AU47" s="110">
        <v>0</v>
      </c>
      <c r="AV47" s="110">
        <v>0</v>
      </c>
      <c r="AW47" s="110">
        <v>0</v>
      </c>
      <c r="AX47" s="110">
        <v>0</v>
      </c>
      <c r="AY47" s="110">
        <v>0</v>
      </c>
      <c r="AZ47" s="110">
        <v>0</v>
      </c>
      <c r="BA47" s="110">
        <v>0</v>
      </c>
      <c r="BB47" s="110">
        <v>0</v>
      </c>
      <c r="BC47" s="110">
        <v>0</v>
      </c>
      <c r="BD47" s="110">
        <v>0</v>
      </c>
      <c r="BE47" s="110">
        <v>0</v>
      </c>
      <c r="BF47" s="110">
        <v>0</v>
      </c>
      <c r="BG47" s="110">
        <v>0</v>
      </c>
      <c r="BH47" s="110">
        <v>0</v>
      </c>
      <c r="BI47" s="110">
        <v>0</v>
      </c>
      <c r="BJ47" s="110">
        <v>0</v>
      </c>
      <c r="BK47" s="110">
        <v>0</v>
      </c>
      <c r="BL47" s="110">
        <v>0</v>
      </c>
      <c r="BM47" s="110">
        <v>0</v>
      </c>
      <c r="BN47" s="110">
        <v>0</v>
      </c>
      <c r="BO47" s="110">
        <v>0</v>
      </c>
      <c r="BP47" s="110">
        <v>0</v>
      </c>
      <c r="BQ47" s="110">
        <v>0</v>
      </c>
      <c r="BR47" s="110">
        <v>0</v>
      </c>
      <c r="BS47" s="110">
        <v>0</v>
      </c>
      <c r="BT47" s="110">
        <v>0</v>
      </c>
      <c r="BU47" s="110">
        <v>0</v>
      </c>
      <c r="BV47" s="110">
        <v>0</v>
      </c>
      <c r="BW47" s="110">
        <v>0</v>
      </c>
      <c r="BX47" s="110">
        <v>0</v>
      </c>
      <c r="BY47" s="110">
        <v>0</v>
      </c>
      <c r="BZ47" s="110">
        <v>0</v>
      </c>
      <c r="CA47" s="110">
        <v>0</v>
      </c>
      <c r="CB47" s="110">
        <v>0</v>
      </c>
      <c r="CC47" s="110">
        <v>0</v>
      </c>
      <c r="CD47" s="110">
        <v>0</v>
      </c>
      <c r="CE47" s="110">
        <v>0</v>
      </c>
      <c r="CF47" s="110">
        <v>0</v>
      </c>
      <c r="CG47" s="110">
        <v>0</v>
      </c>
    </row>
    <row r="48" spans="1:85" x14ac:dyDescent="0.15">
      <c r="A48" s="188" t="s">
        <v>238</v>
      </c>
      <c r="B48" s="110">
        <v>1</v>
      </c>
      <c r="C48" s="110">
        <v>0</v>
      </c>
      <c r="D48" s="110">
        <v>0</v>
      </c>
      <c r="E48" s="110">
        <v>0</v>
      </c>
      <c r="F48" s="110">
        <v>0</v>
      </c>
      <c r="G48" s="110">
        <v>0</v>
      </c>
      <c r="H48" s="110">
        <v>0</v>
      </c>
      <c r="I48" s="110">
        <v>0</v>
      </c>
      <c r="J48" s="110">
        <v>0</v>
      </c>
      <c r="K48" s="110">
        <v>1</v>
      </c>
      <c r="L48" s="110">
        <v>1</v>
      </c>
      <c r="M48" s="110">
        <v>1</v>
      </c>
      <c r="N48" s="110">
        <v>1</v>
      </c>
      <c r="O48" s="110">
        <v>1</v>
      </c>
      <c r="P48" s="110">
        <v>0</v>
      </c>
      <c r="Q48" s="110">
        <v>0</v>
      </c>
      <c r="R48" s="110">
        <v>0</v>
      </c>
      <c r="S48" s="110">
        <v>1</v>
      </c>
      <c r="T48" s="110">
        <v>1</v>
      </c>
      <c r="U48" s="110">
        <v>0</v>
      </c>
      <c r="V48" s="110">
        <v>1</v>
      </c>
      <c r="W48" s="110">
        <v>1</v>
      </c>
      <c r="X48" s="110">
        <v>1</v>
      </c>
      <c r="Y48" s="110">
        <v>0</v>
      </c>
      <c r="Z48" s="110">
        <v>1</v>
      </c>
      <c r="AA48" s="110">
        <v>1</v>
      </c>
      <c r="AB48" s="110">
        <v>1</v>
      </c>
      <c r="AC48" s="110">
        <v>0</v>
      </c>
      <c r="AD48" s="110">
        <v>0</v>
      </c>
      <c r="AE48" s="110">
        <v>0</v>
      </c>
      <c r="AF48" s="110">
        <v>0</v>
      </c>
      <c r="AG48" s="110">
        <v>0</v>
      </c>
      <c r="AH48" s="110">
        <v>0</v>
      </c>
      <c r="AI48" s="110">
        <v>1</v>
      </c>
      <c r="AJ48" s="110">
        <v>1</v>
      </c>
      <c r="AK48" s="110">
        <v>0</v>
      </c>
      <c r="AL48" s="110">
        <v>0</v>
      </c>
      <c r="AM48" s="110">
        <v>0</v>
      </c>
      <c r="AN48" s="110">
        <v>0</v>
      </c>
      <c r="AO48" s="110">
        <v>0</v>
      </c>
      <c r="AP48" s="110">
        <v>1</v>
      </c>
      <c r="AQ48" s="110">
        <v>0</v>
      </c>
      <c r="AR48" s="110">
        <v>0</v>
      </c>
      <c r="AS48" s="110">
        <v>0</v>
      </c>
      <c r="AT48" s="110">
        <v>0</v>
      </c>
      <c r="AU48" s="110">
        <v>0</v>
      </c>
      <c r="AV48" s="110">
        <v>0</v>
      </c>
      <c r="AW48" s="110">
        <v>0</v>
      </c>
      <c r="AX48" s="110">
        <v>0</v>
      </c>
      <c r="AY48" s="110">
        <v>0</v>
      </c>
      <c r="AZ48" s="110">
        <v>0</v>
      </c>
      <c r="BA48" s="110">
        <v>0</v>
      </c>
      <c r="BB48" s="110">
        <v>0</v>
      </c>
      <c r="BC48" s="110">
        <v>0</v>
      </c>
      <c r="BD48" s="110">
        <v>0</v>
      </c>
      <c r="BE48" s="110">
        <v>0</v>
      </c>
      <c r="BF48" s="110">
        <v>0</v>
      </c>
      <c r="BG48" s="110">
        <v>0</v>
      </c>
      <c r="BH48" s="110">
        <v>0</v>
      </c>
      <c r="BI48" s="110">
        <v>0</v>
      </c>
      <c r="BJ48" s="110">
        <v>0</v>
      </c>
      <c r="BK48" s="110">
        <v>0</v>
      </c>
      <c r="BL48" s="110">
        <v>0</v>
      </c>
      <c r="BM48" s="110">
        <v>0</v>
      </c>
      <c r="BN48" s="110">
        <v>0</v>
      </c>
      <c r="BO48" s="110">
        <v>0</v>
      </c>
      <c r="BP48" s="110">
        <v>0</v>
      </c>
      <c r="BQ48" s="110">
        <v>0</v>
      </c>
      <c r="BR48" s="110">
        <v>0</v>
      </c>
      <c r="BS48" s="110">
        <v>0</v>
      </c>
      <c r="BT48" s="110">
        <v>0</v>
      </c>
      <c r="BU48" s="110">
        <v>0</v>
      </c>
      <c r="BV48" s="110">
        <v>0</v>
      </c>
      <c r="BW48" s="110">
        <v>0</v>
      </c>
      <c r="BX48" s="110">
        <v>0</v>
      </c>
      <c r="BY48" s="110">
        <v>0</v>
      </c>
      <c r="BZ48" s="110">
        <v>0</v>
      </c>
      <c r="CA48" s="110">
        <v>0</v>
      </c>
      <c r="CB48" s="110">
        <v>0</v>
      </c>
      <c r="CC48" s="110">
        <v>0</v>
      </c>
      <c r="CD48" s="110">
        <v>0</v>
      </c>
      <c r="CE48" s="110">
        <v>0</v>
      </c>
      <c r="CF48" s="110">
        <v>0</v>
      </c>
      <c r="CG48" s="110">
        <v>0</v>
      </c>
    </row>
    <row r="49" spans="1:85" x14ac:dyDescent="0.15">
      <c r="A49" s="188" t="s">
        <v>239</v>
      </c>
      <c r="B49" s="110">
        <v>0</v>
      </c>
      <c r="C49" s="110">
        <v>0</v>
      </c>
      <c r="D49" s="110">
        <v>0</v>
      </c>
      <c r="E49" s="110">
        <v>0</v>
      </c>
      <c r="F49" s="110">
        <v>0</v>
      </c>
      <c r="G49" s="110">
        <v>0</v>
      </c>
      <c r="H49" s="110">
        <v>0</v>
      </c>
      <c r="I49" s="110">
        <v>0</v>
      </c>
      <c r="J49" s="110">
        <v>0</v>
      </c>
      <c r="K49" s="110">
        <v>1</v>
      </c>
      <c r="L49" s="110">
        <v>1</v>
      </c>
      <c r="M49" s="110">
        <v>1</v>
      </c>
      <c r="N49" s="110">
        <v>1</v>
      </c>
      <c r="O49" s="110">
        <v>1</v>
      </c>
      <c r="P49" s="110">
        <v>0</v>
      </c>
      <c r="Q49" s="110">
        <v>0</v>
      </c>
      <c r="R49" s="110">
        <v>0</v>
      </c>
      <c r="S49" s="110">
        <v>1</v>
      </c>
      <c r="T49" s="110">
        <v>1</v>
      </c>
      <c r="U49" s="110">
        <v>0</v>
      </c>
      <c r="V49" s="110">
        <v>1</v>
      </c>
      <c r="W49" s="110">
        <v>1</v>
      </c>
      <c r="X49" s="110">
        <v>1</v>
      </c>
      <c r="Y49" s="110">
        <v>1</v>
      </c>
      <c r="Z49" s="110">
        <v>1</v>
      </c>
      <c r="AA49" s="110">
        <v>1</v>
      </c>
      <c r="AB49" s="110">
        <v>1</v>
      </c>
      <c r="AC49" s="110">
        <v>0</v>
      </c>
      <c r="AD49" s="110">
        <v>0</v>
      </c>
      <c r="AE49" s="110">
        <v>1</v>
      </c>
      <c r="AF49" s="110">
        <v>1</v>
      </c>
      <c r="AG49" s="110">
        <v>0</v>
      </c>
      <c r="AH49" s="110">
        <v>0</v>
      </c>
      <c r="AI49" s="110">
        <v>1</v>
      </c>
      <c r="AJ49" s="110">
        <v>1</v>
      </c>
      <c r="AK49" s="110">
        <v>0</v>
      </c>
      <c r="AL49" s="110">
        <v>1</v>
      </c>
      <c r="AM49" s="110">
        <v>0</v>
      </c>
      <c r="AN49" s="110">
        <v>1</v>
      </c>
      <c r="AO49" s="110">
        <v>0</v>
      </c>
      <c r="AP49" s="110">
        <v>1</v>
      </c>
      <c r="AQ49" s="110">
        <v>0</v>
      </c>
      <c r="AR49" s="110">
        <v>0</v>
      </c>
      <c r="AS49" s="110">
        <v>0</v>
      </c>
      <c r="AT49" s="110">
        <v>0</v>
      </c>
      <c r="AU49" s="110">
        <v>0</v>
      </c>
      <c r="AV49" s="110">
        <v>0</v>
      </c>
      <c r="AW49" s="110">
        <v>0</v>
      </c>
      <c r="AX49" s="110">
        <v>0</v>
      </c>
      <c r="AY49" s="110">
        <v>0</v>
      </c>
      <c r="AZ49" s="110">
        <v>0</v>
      </c>
      <c r="BA49" s="110">
        <v>1</v>
      </c>
      <c r="BB49" s="110">
        <v>1</v>
      </c>
      <c r="BC49" s="110">
        <v>0</v>
      </c>
      <c r="BD49" s="110">
        <v>1</v>
      </c>
      <c r="BE49" s="110">
        <v>0</v>
      </c>
      <c r="BF49" s="110">
        <v>0</v>
      </c>
      <c r="BG49" s="110">
        <v>0</v>
      </c>
      <c r="BH49" s="110">
        <v>0</v>
      </c>
      <c r="BI49" s="110">
        <v>0</v>
      </c>
      <c r="BJ49" s="110">
        <v>0</v>
      </c>
      <c r="BK49" s="110">
        <v>0</v>
      </c>
      <c r="BL49" s="110">
        <v>0</v>
      </c>
      <c r="BM49" s="110">
        <v>0</v>
      </c>
      <c r="BN49" s="110">
        <v>0</v>
      </c>
      <c r="BO49" s="110">
        <v>0</v>
      </c>
      <c r="BP49" s="110">
        <v>0</v>
      </c>
      <c r="BQ49" s="110">
        <v>0</v>
      </c>
      <c r="BR49" s="110">
        <v>0</v>
      </c>
      <c r="BS49" s="110">
        <v>0</v>
      </c>
      <c r="BT49" s="110">
        <v>0</v>
      </c>
      <c r="BU49" s="110">
        <v>0</v>
      </c>
      <c r="BV49" s="110">
        <v>0</v>
      </c>
      <c r="BW49" s="110">
        <v>0</v>
      </c>
      <c r="BX49" s="110">
        <v>0</v>
      </c>
      <c r="BY49" s="110">
        <v>0</v>
      </c>
      <c r="BZ49" s="110">
        <v>0</v>
      </c>
      <c r="CA49" s="110">
        <v>0</v>
      </c>
      <c r="CB49" s="110">
        <v>0</v>
      </c>
      <c r="CC49" s="110">
        <v>0</v>
      </c>
      <c r="CD49" s="110">
        <v>0</v>
      </c>
      <c r="CE49" s="110">
        <v>0</v>
      </c>
      <c r="CF49" s="110">
        <v>0</v>
      </c>
      <c r="CG49" s="110">
        <v>0</v>
      </c>
    </row>
    <row r="50" spans="1:85" x14ac:dyDescent="0.15">
      <c r="A50" s="188" t="s">
        <v>240</v>
      </c>
      <c r="B50" s="110">
        <v>0</v>
      </c>
      <c r="C50" s="110">
        <v>0</v>
      </c>
      <c r="D50" s="110">
        <v>1</v>
      </c>
      <c r="E50" s="110">
        <v>0</v>
      </c>
      <c r="F50" s="110">
        <v>0</v>
      </c>
      <c r="G50" s="110">
        <v>0</v>
      </c>
      <c r="H50" s="110">
        <v>0</v>
      </c>
      <c r="I50" s="110">
        <v>0</v>
      </c>
      <c r="J50" s="110">
        <v>0</v>
      </c>
      <c r="K50" s="110">
        <v>1</v>
      </c>
      <c r="L50" s="110">
        <v>1</v>
      </c>
      <c r="M50" s="110">
        <v>1</v>
      </c>
      <c r="N50" s="110">
        <v>1</v>
      </c>
      <c r="O50" s="110">
        <v>1</v>
      </c>
      <c r="P50" s="110">
        <v>0</v>
      </c>
      <c r="Q50" s="110">
        <v>0</v>
      </c>
      <c r="R50" s="110">
        <v>0</v>
      </c>
      <c r="S50" s="110">
        <v>0</v>
      </c>
      <c r="T50" s="110">
        <v>1</v>
      </c>
      <c r="U50" s="110">
        <v>1</v>
      </c>
      <c r="V50" s="110">
        <v>1</v>
      </c>
      <c r="W50" s="110">
        <v>1</v>
      </c>
      <c r="X50" s="110">
        <v>1</v>
      </c>
      <c r="Y50" s="110">
        <v>1</v>
      </c>
      <c r="Z50" s="110">
        <v>1</v>
      </c>
      <c r="AA50" s="110">
        <v>1</v>
      </c>
      <c r="AB50" s="110">
        <v>1</v>
      </c>
      <c r="AC50" s="110">
        <v>1</v>
      </c>
      <c r="AD50" s="110">
        <v>1</v>
      </c>
      <c r="AE50" s="110">
        <v>1</v>
      </c>
      <c r="AF50" s="110">
        <v>1</v>
      </c>
      <c r="AG50" s="110">
        <v>0</v>
      </c>
      <c r="AH50" s="110">
        <v>0</v>
      </c>
      <c r="AI50" s="110">
        <v>0</v>
      </c>
      <c r="AJ50" s="110">
        <v>1</v>
      </c>
      <c r="AK50" s="110">
        <v>0</v>
      </c>
      <c r="AL50" s="110">
        <v>1</v>
      </c>
      <c r="AM50" s="110">
        <v>0</v>
      </c>
      <c r="AN50" s="110">
        <v>1</v>
      </c>
      <c r="AO50" s="110">
        <v>0</v>
      </c>
      <c r="AP50" s="110">
        <v>1</v>
      </c>
      <c r="AQ50" s="110">
        <v>0</v>
      </c>
      <c r="AR50" s="110">
        <v>0</v>
      </c>
      <c r="AS50" s="110">
        <v>0</v>
      </c>
      <c r="AT50" s="110">
        <v>0</v>
      </c>
      <c r="AU50" s="110">
        <v>0</v>
      </c>
      <c r="AV50" s="110">
        <v>0</v>
      </c>
      <c r="AW50" s="110">
        <v>0</v>
      </c>
      <c r="AX50" s="110">
        <v>0</v>
      </c>
      <c r="AY50" s="110">
        <v>0</v>
      </c>
      <c r="AZ50" s="110">
        <v>0</v>
      </c>
      <c r="BA50" s="110">
        <v>1</v>
      </c>
      <c r="BB50" s="110">
        <v>1</v>
      </c>
      <c r="BC50" s="110">
        <v>0</v>
      </c>
      <c r="BD50" s="110">
        <v>1</v>
      </c>
      <c r="BE50" s="110">
        <v>0</v>
      </c>
      <c r="BF50" s="110">
        <v>0</v>
      </c>
      <c r="BG50" s="110">
        <v>0</v>
      </c>
      <c r="BH50" s="110">
        <v>0</v>
      </c>
      <c r="BI50" s="110">
        <v>0</v>
      </c>
      <c r="BJ50" s="110">
        <v>0</v>
      </c>
      <c r="BK50" s="110">
        <v>0</v>
      </c>
      <c r="BL50" s="110">
        <v>0</v>
      </c>
      <c r="BM50" s="110">
        <v>0</v>
      </c>
      <c r="BN50" s="110">
        <v>0</v>
      </c>
      <c r="BO50" s="110">
        <v>0</v>
      </c>
      <c r="BP50" s="110">
        <v>0</v>
      </c>
      <c r="BQ50" s="110">
        <v>0</v>
      </c>
      <c r="BR50" s="110">
        <v>0</v>
      </c>
      <c r="BS50" s="110">
        <v>0</v>
      </c>
      <c r="BT50" s="110">
        <v>0</v>
      </c>
      <c r="BU50" s="110">
        <v>0</v>
      </c>
      <c r="BV50" s="110">
        <v>0</v>
      </c>
      <c r="BW50" s="110">
        <v>0</v>
      </c>
      <c r="BX50" s="110">
        <v>0</v>
      </c>
      <c r="BY50" s="110">
        <v>0</v>
      </c>
      <c r="BZ50" s="110">
        <v>0</v>
      </c>
      <c r="CA50" s="110">
        <v>0</v>
      </c>
      <c r="CB50" s="110">
        <v>0</v>
      </c>
      <c r="CC50" s="110">
        <v>0</v>
      </c>
      <c r="CD50" s="110">
        <v>0</v>
      </c>
      <c r="CE50" s="110">
        <v>0</v>
      </c>
      <c r="CF50" s="110">
        <v>0</v>
      </c>
      <c r="CG50" s="110">
        <v>0</v>
      </c>
    </row>
    <row r="51" spans="1:85" x14ac:dyDescent="0.15">
      <c r="A51" s="188" t="s">
        <v>241</v>
      </c>
      <c r="B51" s="110">
        <v>0</v>
      </c>
      <c r="C51" s="110">
        <v>0</v>
      </c>
      <c r="D51" s="110">
        <v>1</v>
      </c>
      <c r="E51" s="110">
        <v>0</v>
      </c>
      <c r="F51" s="110">
        <v>0</v>
      </c>
      <c r="G51" s="110">
        <v>0</v>
      </c>
      <c r="H51" s="110">
        <v>0</v>
      </c>
      <c r="I51" s="110">
        <v>0</v>
      </c>
      <c r="J51" s="110">
        <v>0</v>
      </c>
      <c r="K51" s="110">
        <v>1</v>
      </c>
      <c r="L51" s="110">
        <v>1</v>
      </c>
      <c r="M51" s="110">
        <v>1</v>
      </c>
      <c r="N51" s="110">
        <v>1</v>
      </c>
      <c r="O51" s="110">
        <v>1</v>
      </c>
      <c r="P51" s="110">
        <v>1</v>
      </c>
      <c r="Q51" s="110">
        <v>0</v>
      </c>
      <c r="R51" s="110">
        <v>0</v>
      </c>
      <c r="S51" s="110">
        <v>1</v>
      </c>
      <c r="T51" s="110">
        <v>1</v>
      </c>
      <c r="U51" s="110">
        <v>1</v>
      </c>
      <c r="V51" s="110">
        <v>1</v>
      </c>
      <c r="W51" s="110">
        <v>1</v>
      </c>
      <c r="X51" s="110">
        <v>1</v>
      </c>
      <c r="Y51" s="110">
        <v>1</v>
      </c>
      <c r="Z51" s="110">
        <v>1</v>
      </c>
      <c r="AA51" s="110">
        <v>1</v>
      </c>
      <c r="AB51" s="110">
        <v>1</v>
      </c>
      <c r="AC51" s="110">
        <v>1</v>
      </c>
      <c r="AD51" s="110">
        <v>1</v>
      </c>
      <c r="AE51" s="110">
        <v>1</v>
      </c>
      <c r="AF51" s="110">
        <v>1</v>
      </c>
      <c r="AG51" s="110">
        <v>0</v>
      </c>
      <c r="AH51" s="110">
        <v>0</v>
      </c>
      <c r="AI51" s="110">
        <v>1</v>
      </c>
      <c r="AJ51" s="110">
        <v>1</v>
      </c>
      <c r="AK51" s="110">
        <v>1</v>
      </c>
      <c r="AL51" s="110">
        <v>1</v>
      </c>
      <c r="AM51" s="110">
        <v>0</v>
      </c>
      <c r="AN51" s="110">
        <v>1</v>
      </c>
      <c r="AO51" s="110">
        <v>0</v>
      </c>
      <c r="AP51" s="110">
        <v>1</v>
      </c>
      <c r="AQ51" s="110">
        <v>1</v>
      </c>
      <c r="AR51" s="110">
        <v>1</v>
      </c>
      <c r="AS51" s="110">
        <v>0</v>
      </c>
      <c r="AT51" s="110">
        <v>0</v>
      </c>
      <c r="AU51" s="110">
        <v>0</v>
      </c>
      <c r="AV51" s="110">
        <v>1</v>
      </c>
      <c r="AW51" s="110">
        <v>1</v>
      </c>
      <c r="AX51" s="110">
        <v>0</v>
      </c>
      <c r="AY51" s="110">
        <v>1</v>
      </c>
      <c r="AZ51" s="110">
        <v>0</v>
      </c>
      <c r="BA51" s="110">
        <v>1</v>
      </c>
      <c r="BB51" s="110">
        <v>1</v>
      </c>
      <c r="BC51" s="110">
        <v>0</v>
      </c>
      <c r="BD51" s="110">
        <v>1</v>
      </c>
      <c r="BE51" s="110">
        <v>0</v>
      </c>
      <c r="BF51" s="110">
        <v>0</v>
      </c>
      <c r="BG51" s="110">
        <v>0</v>
      </c>
      <c r="BH51" s="110">
        <v>0</v>
      </c>
      <c r="BI51" s="110">
        <v>0</v>
      </c>
      <c r="BJ51" s="110">
        <v>0</v>
      </c>
      <c r="BK51" s="110">
        <v>0</v>
      </c>
      <c r="BL51" s="110">
        <v>0</v>
      </c>
      <c r="BM51" s="110">
        <v>0</v>
      </c>
      <c r="BN51" s="110">
        <v>0</v>
      </c>
      <c r="BO51" s="110">
        <v>0</v>
      </c>
      <c r="BP51" s="110">
        <v>0</v>
      </c>
      <c r="BQ51" s="110">
        <v>0</v>
      </c>
      <c r="BR51" s="110">
        <v>0</v>
      </c>
      <c r="BS51" s="110">
        <v>0</v>
      </c>
      <c r="BT51" s="110">
        <v>0</v>
      </c>
      <c r="BU51" s="110">
        <v>0</v>
      </c>
      <c r="BV51" s="110">
        <v>0</v>
      </c>
      <c r="BW51" s="110">
        <v>0</v>
      </c>
      <c r="BX51" s="110">
        <v>0</v>
      </c>
      <c r="BY51" s="110">
        <v>0</v>
      </c>
      <c r="BZ51" s="110">
        <v>0</v>
      </c>
      <c r="CA51" s="110">
        <v>0</v>
      </c>
      <c r="CB51" s="110">
        <v>0</v>
      </c>
      <c r="CC51" s="110">
        <v>0</v>
      </c>
      <c r="CD51" s="110">
        <v>0</v>
      </c>
      <c r="CE51" s="110">
        <v>0</v>
      </c>
      <c r="CF51" s="110">
        <v>0</v>
      </c>
      <c r="CG51" s="110">
        <v>0</v>
      </c>
    </row>
    <row r="52" spans="1:85" x14ac:dyDescent="0.15">
      <c r="A52" s="188" t="s">
        <v>242</v>
      </c>
      <c r="B52" s="110">
        <v>0</v>
      </c>
      <c r="C52" s="110">
        <v>0</v>
      </c>
      <c r="D52" s="110">
        <v>1</v>
      </c>
      <c r="E52" s="110">
        <v>0</v>
      </c>
      <c r="F52" s="110">
        <v>0</v>
      </c>
      <c r="G52" s="110">
        <v>0</v>
      </c>
      <c r="H52" s="110">
        <v>0</v>
      </c>
      <c r="I52" s="110">
        <v>0</v>
      </c>
      <c r="J52" s="110">
        <v>0</v>
      </c>
      <c r="K52" s="110">
        <v>0</v>
      </c>
      <c r="L52" s="110">
        <v>0</v>
      </c>
      <c r="M52" s="110">
        <v>1</v>
      </c>
      <c r="N52" s="110">
        <v>0</v>
      </c>
      <c r="O52" s="110">
        <v>1</v>
      </c>
      <c r="P52" s="110">
        <v>0</v>
      </c>
      <c r="Q52" s="110">
        <v>0</v>
      </c>
      <c r="R52" s="110">
        <v>0</v>
      </c>
      <c r="S52" s="110">
        <v>1</v>
      </c>
      <c r="T52" s="110">
        <v>1</v>
      </c>
      <c r="U52" s="110">
        <v>0</v>
      </c>
      <c r="V52" s="110">
        <v>1</v>
      </c>
      <c r="W52" s="110">
        <v>1</v>
      </c>
      <c r="X52" s="110">
        <v>0</v>
      </c>
      <c r="Y52" s="110">
        <v>1</v>
      </c>
      <c r="Z52" s="110">
        <v>1</v>
      </c>
      <c r="AA52" s="110">
        <v>0</v>
      </c>
      <c r="AB52" s="110">
        <v>1</v>
      </c>
      <c r="AC52" s="110">
        <v>0</v>
      </c>
      <c r="AD52" s="110">
        <v>0</v>
      </c>
      <c r="AE52" s="110">
        <v>1</v>
      </c>
      <c r="AF52" s="110">
        <v>0</v>
      </c>
      <c r="AG52" s="110">
        <v>0</v>
      </c>
      <c r="AH52" s="110">
        <v>0</v>
      </c>
      <c r="AI52" s="110">
        <v>0</v>
      </c>
      <c r="AJ52" s="110">
        <v>1</v>
      </c>
      <c r="AK52" s="110">
        <v>0</v>
      </c>
      <c r="AL52" s="110">
        <v>0</v>
      </c>
      <c r="AM52" s="110">
        <v>0</v>
      </c>
      <c r="AN52" s="110">
        <v>1</v>
      </c>
      <c r="AO52" s="110">
        <v>0</v>
      </c>
      <c r="AP52" s="110">
        <v>1</v>
      </c>
      <c r="AQ52" s="110">
        <v>0</v>
      </c>
      <c r="AR52" s="110">
        <v>0</v>
      </c>
      <c r="AS52" s="110">
        <v>0</v>
      </c>
      <c r="AT52" s="110">
        <v>0</v>
      </c>
      <c r="AU52" s="110">
        <v>0</v>
      </c>
      <c r="AV52" s="110">
        <v>0</v>
      </c>
      <c r="AW52" s="110">
        <v>0</v>
      </c>
      <c r="AX52" s="110">
        <v>0</v>
      </c>
      <c r="AY52" s="110">
        <v>0</v>
      </c>
      <c r="AZ52" s="110">
        <v>0</v>
      </c>
      <c r="BA52" s="110">
        <v>0</v>
      </c>
      <c r="BB52" s="110">
        <v>0</v>
      </c>
      <c r="BC52" s="110">
        <v>0</v>
      </c>
      <c r="BD52" s="110">
        <v>0</v>
      </c>
      <c r="BE52" s="110">
        <v>0</v>
      </c>
      <c r="BF52" s="110">
        <v>0</v>
      </c>
      <c r="BG52" s="110">
        <v>0</v>
      </c>
      <c r="BH52" s="110">
        <v>0</v>
      </c>
      <c r="BI52" s="110">
        <v>0</v>
      </c>
      <c r="BJ52" s="110">
        <v>0</v>
      </c>
      <c r="BK52" s="110">
        <v>0</v>
      </c>
      <c r="BL52" s="110">
        <v>0</v>
      </c>
      <c r="BM52" s="110">
        <v>0</v>
      </c>
      <c r="BN52" s="110">
        <v>0</v>
      </c>
      <c r="BO52" s="110">
        <v>0</v>
      </c>
      <c r="BP52" s="110">
        <v>0</v>
      </c>
      <c r="BQ52" s="110">
        <v>0</v>
      </c>
      <c r="BR52" s="110">
        <v>0</v>
      </c>
      <c r="BS52" s="110">
        <v>0</v>
      </c>
      <c r="BT52" s="110">
        <v>0</v>
      </c>
      <c r="BU52" s="110">
        <v>0</v>
      </c>
      <c r="BV52" s="110">
        <v>0</v>
      </c>
      <c r="BW52" s="110">
        <v>0</v>
      </c>
      <c r="BX52" s="110">
        <v>0</v>
      </c>
      <c r="BY52" s="110">
        <v>0</v>
      </c>
      <c r="BZ52" s="110">
        <v>0</v>
      </c>
      <c r="CA52" s="110">
        <v>0</v>
      </c>
      <c r="CB52" s="110">
        <v>0</v>
      </c>
      <c r="CC52" s="110">
        <v>0</v>
      </c>
      <c r="CD52" s="110">
        <v>0</v>
      </c>
      <c r="CE52" s="110">
        <v>0</v>
      </c>
      <c r="CF52" s="110">
        <v>0</v>
      </c>
      <c r="CG52" s="110">
        <v>0</v>
      </c>
    </row>
    <row r="53" spans="1:85" x14ac:dyDescent="0.15">
      <c r="A53" s="188" t="s">
        <v>243</v>
      </c>
      <c r="B53" s="110">
        <v>1</v>
      </c>
      <c r="C53" s="110">
        <v>0</v>
      </c>
      <c r="D53" s="110">
        <v>1</v>
      </c>
      <c r="E53" s="110">
        <v>0</v>
      </c>
      <c r="F53" s="110">
        <v>0</v>
      </c>
      <c r="G53" s="110">
        <v>0</v>
      </c>
      <c r="H53" s="110">
        <v>0</v>
      </c>
      <c r="I53" s="110">
        <v>0</v>
      </c>
      <c r="J53" s="110">
        <v>0</v>
      </c>
      <c r="K53" s="110">
        <v>0</v>
      </c>
      <c r="L53" s="110">
        <v>0</v>
      </c>
      <c r="M53" s="110">
        <v>0</v>
      </c>
      <c r="N53" s="110">
        <v>0</v>
      </c>
      <c r="O53" s="110">
        <v>0</v>
      </c>
      <c r="P53" s="110">
        <v>0</v>
      </c>
      <c r="Q53" s="110">
        <v>0</v>
      </c>
      <c r="R53" s="110">
        <v>0</v>
      </c>
      <c r="S53" s="110">
        <v>0</v>
      </c>
      <c r="T53" s="110">
        <v>0</v>
      </c>
      <c r="U53" s="110">
        <v>0</v>
      </c>
      <c r="V53" s="110">
        <v>0</v>
      </c>
      <c r="W53" s="110">
        <v>0</v>
      </c>
      <c r="X53" s="110">
        <v>0</v>
      </c>
      <c r="Y53" s="110">
        <v>0</v>
      </c>
      <c r="Z53" s="110">
        <v>0</v>
      </c>
      <c r="AA53" s="110">
        <v>0</v>
      </c>
      <c r="AB53" s="110">
        <v>0</v>
      </c>
      <c r="AC53" s="110">
        <v>0</v>
      </c>
      <c r="AD53" s="110">
        <v>0</v>
      </c>
      <c r="AE53" s="110">
        <v>0</v>
      </c>
      <c r="AF53" s="110">
        <v>0</v>
      </c>
      <c r="AG53" s="110">
        <v>0</v>
      </c>
      <c r="AH53" s="110">
        <v>0</v>
      </c>
      <c r="AI53" s="110">
        <v>0</v>
      </c>
      <c r="AJ53" s="110">
        <v>0</v>
      </c>
      <c r="AK53" s="110">
        <v>0</v>
      </c>
      <c r="AL53" s="110">
        <v>0</v>
      </c>
      <c r="AM53" s="110">
        <v>0</v>
      </c>
      <c r="AN53" s="110">
        <v>1</v>
      </c>
      <c r="AO53" s="110">
        <v>0</v>
      </c>
      <c r="AP53" s="110">
        <v>1</v>
      </c>
      <c r="AQ53" s="110">
        <v>0</v>
      </c>
      <c r="AR53" s="110">
        <v>0</v>
      </c>
      <c r="AS53" s="110">
        <v>0</v>
      </c>
      <c r="AT53" s="110">
        <v>0</v>
      </c>
      <c r="AU53" s="110">
        <v>0</v>
      </c>
      <c r="AV53" s="110">
        <v>0</v>
      </c>
      <c r="AW53" s="110">
        <v>0</v>
      </c>
      <c r="AX53" s="110">
        <v>0</v>
      </c>
      <c r="AY53" s="110">
        <v>0</v>
      </c>
      <c r="AZ53" s="110">
        <v>0</v>
      </c>
      <c r="BA53" s="110">
        <v>1</v>
      </c>
      <c r="BB53" s="110">
        <v>1</v>
      </c>
      <c r="BC53" s="110">
        <v>0</v>
      </c>
      <c r="BD53" s="110">
        <v>1</v>
      </c>
      <c r="BE53" s="110">
        <v>0</v>
      </c>
      <c r="BF53" s="110">
        <v>0</v>
      </c>
      <c r="BG53" s="110">
        <v>0</v>
      </c>
      <c r="BH53" s="110">
        <v>0</v>
      </c>
      <c r="BI53" s="110">
        <v>0</v>
      </c>
      <c r="BJ53" s="110">
        <v>0</v>
      </c>
      <c r="BK53" s="110">
        <v>0</v>
      </c>
      <c r="BL53" s="110">
        <v>0</v>
      </c>
      <c r="BM53" s="110">
        <v>0</v>
      </c>
      <c r="BN53" s="110">
        <v>0</v>
      </c>
      <c r="BO53" s="110">
        <v>0</v>
      </c>
      <c r="BP53" s="110">
        <v>0</v>
      </c>
      <c r="BQ53" s="110">
        <v>0</v>
      </c>
      <c r="BR53" s="110">
        <v>0</v>
      </c>
      <c r="BS53" s="110">
        <v>0</v>
      </c>
      <c r="BT53" s="110">
        <v>0</v>
      </c>
      <c r="BU53" s="110">
        <v>0</v>
      </c>
      <c r="BV53" s="110">
        <v>0</v>
      </c>
      <c r="BW53" s="110">
        <v>0</v>
      </c>
      <c r="BX53" s="110">
        <v>0</v>
      </c>
      <c r="BY53" s="110">
        <v>0</v>
      </c>
      <c r="BZ53" s="110">
        <v>0</v>
      </c>
      <c r="CA53" s="110">
        <v>0</v>
      </c>
      <c r="CB53" s="110">
        <v>0</v>
      </c>
      <c r="CC53" s="110">
        <v>0</v>
      </c>
      <c r="CD53" s="110">
        <v>0</v>
      </c>
      <c r="CE53" s="110">
        <v>0</v>
      </c>
      <c r="CF53" s="110">
        <v>0</v>
      </c>
      <c r="CG53" s="110">
        <v>0</v>
      </c>
    </row>
    <row r="54" spans="1:85" x14ac:dyDescent="0.15">
      <c r="A54" s="188" t="s">
        <v>244</v>
      </c>
      <c r="B54" s="110">
        <v>1</v>
      </c>
      <c r="C54" s="110">
        <v>0</v>
      </c>
      <c r="D54" s="110">
        <v>1</v>
      </c>
      <c r="E54" s="110">
        <v>0</v>
      </c>
      <c r="F54" s="110">
        <v>0</v>
      </c>
      <c r="G54" s="110">
        <v>0</v>
      </c>
      <c r="H54" s="110">
        <v>0</v>
      </c>
      <c r="I54" s="110">
        <v>0</v>
      </c>
      <c r="J54" s="110">
        <v>0</v>
      </c>
      <c r="K54" s="110">
        <v>0</v>
      </c>
      <c r="L54" s="110">
        <v>0</v>
      </c>
      <c r="M54" s="110">
        <v>0</v>
      </c>
      <c r="N54" s="110">
        <v>0</v>
      </c>
      <c r="O54" s="110">
        <v>0</v>
      </c>
      <c r="P54" s="110">
        <v>0</v>
      </c>
      <c r="Q54" s="110">
        <v>0</v>
      </c>
      <c r="R54" s="110">
        <v>0</v>
      </c>
      <c r="S54" s="110">
        <v>0</v>
      </c>
      <c r="T54" s="110">
        <v>0</v>
      </c>
      <c r="U54" s="110">
        <v>0</v>
      </c>
      <c r="V54" s="110">
        <v>0</v>
      </c>
      <c r="W54" s="110">
        <v>0</v>
      </c>
      <c r="X54" s="110">
        <v>0</v>
      </c>
      <c r="Y54" s="110">
        <v>0</v>
      </c>
      <c r="Z54" s="110">
        <v>0</v>
      </c>
      <c r="AA54" s="110">
        <v>0</v>
      </c>
      <c r="AB54" s="110">
        <v>0</v>
      </c>
      <c r="AC54" s="110">
        <v>0</v>
      </c>
      <c r="AD54" s="110">
        <v>0</v>
      </c>
      <c r="AE54" s="110">
        <v>0</v>
      </c>
      <c r="AF54" s="110">
        <v>0</v>
      </c>
      <c r="AG54" s="110">
        <v>0</v>
      </c>
      <c r="AH54" s="110">
        <v>0</v>
      </c>
      <c r="AI54" s="110">
        <v>0</v>
      </c>
      <c r="AJ54" s="110">
        <v>0</v>
      </c>
      <c r="AK54" s="110">
        <v>0</v>
      </c>
      <c r="AL54" s="110">
        <v>0</v>
      </c>
      <c r="AM54" s="110">
        <v>0</v>
      </c>
      <c r="AN54" s="110">
        <v>1</v>
      </c>
      <c r="AO54" s="110">
        <v>0</v>
      </c>
      <c r="AP54" s="110">
        <v>1</v>
      </c>
      <c r="AQ54" s="110">
        <v>0</v>
      </c>
      <c r="AR54" s="110">
        <v>0</v>
      </c>
      <c r="AS54" s="110">
        <v>0</v>
      </c>
      <c r="AT54" s="110">
        <v>0</v>
      </c>
      <c r="AU54" s="110">
        <v>0</v>
      </c>
      <c r="AV54" s="110">
        <v>0</v>
      </c>
      <c r="AW54" s="110">
        <v>0</v>
      </c>
      <c r="AX54" s="110">
        <v>0</v>
      </c>
      <c r="AY54" s="110">
        <v>0</v>
      </c>
      <c r="AZ54" s="110">
        <v>1</v>
      </c>
      <c r="BA54" s="110">
        <v>1</v>
      </c>
      <c r="BB54" s="110">
        <v>1</v>
      </c>
      <c r="BC54" s="110">
        <v>0</v>
      </c>
      <c r="BD54" s="110">
        <v>1</v>
      </c>
      <c r="BE54" s="110">
        <v>0</v>
      </c>
      <c r="BF54" s="110">
        <v>0</v>
      </c>
      <c r="BG54" s="110">
        <v>0</v>
      </c>
      <c r="BH54" s="110">
        <v>0</v>
      </c>
      <c r="BI54" s="110">
        <v>0</v>
      </c>
      <c r="BJ54" s="110">
        <v>0</v>
      </c>
      <c r="BK54" s="110">
        <v>0</v>
      </c>
      <c r="BL54" s="110">
        <v>0</v>
      </c>
      <c r="BM54" s="110">
        <v>0</v>
      </c>
      <c r="BN54" s="110">
        <v>0</v>
      </c>
      <c r="BO54" s="110">
        <v>0</v>
      </c>
      <c r="BP54" s="110">
        <v>0</v>
      </c>
      <c r="BQ54" s="110">
        <v>0</v>
      </c>
      <c r="BR54" s="110">
        <v>0</v>
      </c>
      <c r="BS54" s="110">
        <v>0</v>
      </c>
      <c r="BT54" s="110">
        <v>0</v>
      </c>
      <c r="BU54" s="110">
        <v>0</v>
      </c>
      <c r="BV54" s="110">
        <v>0</v>
      </c>
      <c r="BW54" s="110">
        <v>0</v>
      </c>
      <c r="BX54" s="110">
        <v>0</v>
      </c>
      <c r="BY54" s="110">
        <v>0</v>
      </c>
      <c r="BZ54" s="110">
        <v>0</v>
      </c>
      <c r="CA54" s="110">
        <v>0</v>
      </c>
      <c r="CB54" s="110">
        <v>0</v>
      </c>
      <c r="CC54" s="110">
        <v>0</v>
      </c>
      <c r="CD54" s="110">
        <v>0</v>
      </c>
      <c r="CE54" s="110">
        <v>0</v>
      </c>
      <c r="CF54" s="110">
        <v>0</v>
      </c>
      <c r="CG54" s="110">
        <v>0</v>
      </c>
    </row>
    <row r="55" spans="1:85" x14ac:dyDescent="0.15">
      <c r="A55" s="188" t="s">
        <v>245</v>
      </c>
      <c r="B55" s="110">
        <v>1</v>
      </c>
      <c r="C55" s="110">
        <v>0</v>
      </c>
      <c r="D55" s="110">
        <v>0</v>
      </c>
      <c r="E55" s="110">
        <v>0</v>
      </c>
      <c r="F55" s="110">
        <v>0</v>
      </c>
      <c r="G55" s="110">
        <v>0</v>
      </c>
      <c r="H55" s="110">
        <v>0</v>
      </c>
      <c r="I55" s="110">
        <v>0</v>
      </c>
      <c r="J55" s="110">
        <v>0</v>
      </c>
      <c r="K55" s="110">
        <v>0</v>
      </c>
      <c r="L55" s="110">
        <v>0</v>
      </c>
      <c r="M55" s="110">
        <v>0</v>
      </c>
      <c r="N55" s="110">
        <v>1</v>
      </c>
      <c r="O55" s="110">
        <v>1</v>
      </c>
      <c r="P55" s="110">
        <v>0</v>
      </c>
      <c r="Q55" s="110">
        <v>0</v>
      </c>
      <c r="R55" s="110">
        <v>0</v>
      </c>
      <c r="S55" s="110">
        <v>1</v>
      </c>
      <c r="T55" s="110">
        <v>1</v>
      </c>
      <c r="U55" s="110">
        <v>0</v>
      </c>
      <c r="V55" s="110">
        <v>0</v>
      </c>
      <c r="W55" s="110">
        <v>0</v>
      </c>
      <c r="X55" s="110">
        <v>1</v>
      </c>
      <c r="Y55" s="110">
        <v>0</v>
      </c>
      <c r="Z55" s="110">
        <v>1</v>
      </c>
      <c r="AA55" s="110">
        <v>0</v>
      </c>
      <c r="AB55" s="110">
        <v>0</v>
      </c>
      <c r="AC55" s="110">
        <v>0</v>
      </c>
      <c r="AD55" s="110">
        <v>0</v>
      </c>
      <c r="AE55" s="110">
        <v>0</v>
      </c>
      <c r="AF55" s="110">
        <v>0</v>
      </c>
      <c r="AG55" s="110">
        <v>0</v>
      </c>
      <c r="AH55" s="110">
        <v>0</v>
      </c>
      <c r="AI55" s="110">
        <v>0</v>
      </c>
      <c r="AJ55" s="110">
        <v>0</v>
      </c>
      <c r="AK55" s="110">
        <v>0</v>
      </c>
      <c r="AL55" s="110">
        <v>0</v>
      </c>
      <c r="AM55" s="110">
        <v>0</v>
      </c>
      <c r="AN55" s="110">
        <v>1</v>
      </c>
      <c r="AO55" s="110">
        <v>0</v>
      </c>
      <c r="AP55" s="110">
        <v>1</v>
      </c>
      <c r="AQ55" s="110">
        <v>0</v>
      </c>
      <c r="AR55" s="110">
        <v>0</v>
      </c>
      <c r="AS55" s="110">
        <v>0</v>
      </c>
      <c r="AT55" s="110">
        <v>0</v>
      </c>
      <c r="AU55" s="110">
        <v>0</v>
      </c>
      <c r="AV55" s="110">
        <v>0</v>
      </c>
      <c r="AW55" s="110">
        <v>0</v>
      </c>
      <c r="AX55" s="110">
        <v>0</v>
      </c>
      <c r="AY55" s="110">
        <v>0</v>
      </c>
      <c r="AZ55" s="110">
        <v>1</v>
      </c>
      <c r="BA55" s="110">
        <v>1</v>
      </c>
      <c r="BB55" s="110">
        <v>1</v>
      </c>
      <c r="BC55" s="110">
        <v>0</v>
      </c>
      <c r="BD55" s="110">
        <v>1</v>
      </c>
      <c r="BE55" s="110">
        <v>0</v>
      </c>
      <c r="BF55" s="110">
        <v>0</v>
      </c>
      <c r="BG55" s="110">
        <v>0</v>
      </c>
      <c r="BH55" s="110">
        <v>0</v>
      </c>
      <c r="BI55" s="110">
        <v>0</v>
      </c>
      <c r="BJ55" s="110">
        <v>0</v>
      </c>
      <c r="BK55" s="110">
        <v>0</v>
      </c>
      <c r="BL55" s="110">
        <v>0</v>
      </c>
      <c r="BM55" s="110">
        <v>0</v>
      </c>
      <c r="BN55" s="110">
        <v>0</v>
      </c>
      <c r="BO55" s="110">
        <v>0</v>
      </c>
      <c r="BP55" s="110">
        <v>0</v>
      </c>
      <c r="BQ55" s="110">
        <v>0</v>
      </c>
      <c r="BR55" s="110">
        <v>0</v>
      </c>
      <c r="BS55" s="110">
        <v>0</v>
      </c>
      <c r="BT55" s="110">
        <v>0</v>
      </c>
      <c r="BU55" s="110">
        <v>0</v>
      </c>
      <c r="BV55" s="110">
        <v>0</v>
      </c>
      <c r="BW55" s="110">
        <v>0</v>
      </c>
      <c r="BX55" s="110">
        <v>0</v>
      </c>
      <c r="BY55" s="110">
        <v>0</v>
      </c>
      <c r="BZ55" s="110">
        <v>0</v>
      </c>
      <c r="CA55" s="110">
        <v>0</v>
      </c>
      <c r="CB55" s="110">
        <v>0</v>
      </c>
      <c r="CC55" s="110">
        <v>0</v>
      </c>
      <c r="CD55" s="110">
        <v>0</v>
      </c>
      <c r="CE55" s="110">
        <v>0</v>
      </c>
      <c r="CF55" s="110">
        <v>0</v>
      </c>
      <c r="CG55" s="110">
        <v>0</v>
      </c>
    </row>
    <row r="56" spans="1:85" x14ac:dyDescent="0.15">
      <c r="A56" s="188" t="s">
        <v>246</v>
      </c>
      <c r="B56" s="110">
        <v>1</v>
      </c>
      <c r="C56" s="110">
        <v>0</v>
      </c>
      <c r="D56" s="110">
        <v>1</v>
      </c>
      <c r="E56" s="110">
        <v>0</v>
      </c>
      <c r="F56" s="110">
        <v>0</v>
      </c>
      <c r="G56" s="110">
        <v>0</v>
      </c>
      <c r="H56" s="110">
        <v>0</v>
      </c>
      <c r="I56" s="110">
        <v>0</v>
      </c>
      <c r="J56" s="110">
        <v>0</v>
      </c>
      <c r="K56" s="110">
        <v>1</v>
      </c>
      <c r="L56" s="110">
        <v>1</v>
      </c>
      <c r="M56" s="110">
        <v>1</v>
      </c>
      <c r="N56" s="110">
        <v>1</v>
      </c>
      <c r="O56" s="110">
        <v>1</v>
      </c>
      <c r="P56" s="110">
        <v>1</v>
      </c>
      <c r="Q56" s="110">
        <v>0</v>
      </c>
      <c r="R56" s="110">
        <v>0</v>
      </c>
      <c r="S56" s="110">
        <v>1</v>
      </c>
      <c r="T56" s="110">
        <v>1</v>
      </c>
      <c r="U56" s="110">
        <v>1</v>
      </c>
      <c r="V56" s="110">
        <v>1</v>
      </c>
      <c r="W56" s="110">
        <v>1</v>
      </c>
      <c r="X56" s="110">
        <v>1</v>
      </c>
      <c r="Y56" s="110">
        <v>1</v>
      </c>
      <c r="Z56" s="110">
        <v>1</v>
      </c>
      <c r="AA56" s="110">
        <v>1</v>
      </c>
      <c r="AB56" s="110">
        <v>1</v>
      </c>
      <c r="AC56" s="110">
        <v>1</v>
      </c>
      <c r="AD56" s="110">
        <v>1</v>
      </c>
      <c r="AE56" s="110">
        <v>1</v>
      </c>
      <c r="AF56" s="110">
        <v>1</v>
      </c>
      <c r="AG56" s="110">
        <v>0</v>
      </c>
      <c r="AH56" s="110">
        <v>0</v>
      </c>
      <c r="AI56" s="110">
        <v>1</v>
      </c>
      <c r="AJ56" s="110">
        <v>1</v>
      </c>
      <c r="AK56" s="110">
        <v>1</v>
      </c>
      <c r="AL56" s="110">
        <v>1</v>
      </c>
      <c r="AM56" s="110">
        <v>0</v>
      </c>
      <c r="AN56" s="110">
        <v>1</v>
      </c>
      <c r="AO56" s="110">
        <v>0</v>
      </c>
      <c r="AP56" s="110">
        <v>1</v>
      </c>
      <c r="AQ56" s="110">
        <v>0</v>
      </c>
      <c r="AR56" s="110">
        <v>0</v>
      </c>
      <c r="AS56" s="110">
        <v>0</v>
      </c>
      <c r="AT56" s="110">
        <v>0</v>
      </c>
      <c r="AU56" s="110">
        <v>0</v>
      </c>
      <c r="AV56" s="110">
        <v>0</v>
      </c>
      <c r="AW56" s="110">
        <v>0</v>
      </c>
      <c r="AX56" s="110">
        <v>0</v>
      </c>
      <c r="AY56" s="110">
        <v>0</v>
      </c>
      <c r="AZ56" s="110">
        <v>1</v>
      </c>
      <c r="BA56" s="110">
        <v>1</v>
      </c>
      <c r="BB56" s="110">
        <v>1</v>
      </c>
      <c r="BC56" s="110">
        <v>0</v>
      </c>
      <c r="BD56" s="110">
        <v>1</v>
      </c>
      <c r="BE56" s="110">
        <v>0</v>
      </c>
      <c r="BF56" s="110">
        <v>0</v>
      </c>
      <c r="BG56" s="110">
        <v>0</v>
      </c>
      <c r="BH56" s="110">
        <v>0</v>
      </c>
      <c r="BI56" s="110">
        <v>0</v>
      </c>
      <c r="BJ56" s="110">
        <v>0</v>
      </c>
      <c r="BK56" s="110">
        <v>0</v>
      </c>
      <c r="BL56" s="110">
        <v>0</v>
      </c>
      <c r="BM56" s="110">
        <v>0</v>
      </c>
      <c r="BN56" s="110">
        <v>0</v>
      </c>
      <c r="BO56" s="110">
        <v>0</v>
      </c>
      <c r="BP56" s="110">
        <v>0</v>
      </c>
      <c r="BQ56" s="110">
        <v>0</v>
      </c>
      <c r="BR56" s="110">
        <v>0</v>
      </c>
      <c r="BS56" s="110">
        <v>0</v>
      </c>
      <c r="BT56" s="110">
        <v>0</v>
      </c>
      <c r="BU56" s="110">
        <v>0</v>
      </c>
      <c r="BV56" s="110">
        <v>0</v>
      </c>
      <c r="BW56" s="110">
        <v>0</v>
      </c>
      <c r="BX56" s="110">
        <v>0</v>
      </c>
      <c r="BY56" s="110">
        <v>0</v>
      </c>
      <c r="BZ56" s="110">
        <v>0</v>
      </c>
      <c r="CA56" s="110">
        <v>0</v>
      </c>
      <c r="CB56" s="110">
        <v>0</v>
      </c>
      <c r="CC56" s="110">
        <v>0</v>
      </c>
      <c r="CD56" s="110">
        <v>0</v>
      </c>
      <c r="CE56" s="110">
        <v>0</v>
      </c>
      <c r="CF56" s="110">
        <v>0</v>
      </c>
      <c r="CG56" s="110">
        <v>0</v>
      </c>
    </row>
    <row r="57" spans="1:85" x14ac:dyDescent="0.15">
      <c r="A57" s="188" t="s">
        <v>247</v>
      </c>
      <c r="B57" s="110">
        <v>1</v>
      </c>
      <c r="C57" s="110">
        <v>0</v>
      </c>
      <c r="D57" s="110">
        <v>1</v>
      </c>
      <c r="E57" s="110">
        <v>0</v>
      </c>
      <c r="F57" s="110">
        <v>0</v>
      </c>
      <c r="G57" s="110">
        <v>0</v>
      </c>
      <c r="H57" s="110">
        <v>0</v>
      </c>
      <c r="I57" s="110">
        <v>0</v>
      </c>
      <c r="J57" s="110">
        <v>0</v>
      </c>
      <c r="K57" s="110">
        <v>0</v>
      </c>
      <c r="L57" s="110">
        <v>0</v>
      </c>
      <c r="M57" s="110">
        <v>0</v>
      </c>
      <c r="N57" s="110">
        <v>0</v>
      </c>
      <c r="O57" s="110">
        <v>0</v>
      </c>
      <c r="P57" s="110">
        <v>0</v>
      </c>
      <c r="Q57" s="110">
        <v>0</v>
      </c>
      <c r="R57" s="110">
        <v>0</v>
      </c>
      <c r="S57" s="110">
        <v>0</v>
      </c>
      <c r="T57" s="110">
        <v>0</v>
      </c>
      <c r="U57" s="110">
        <v>0</v>
      </c>
      <c r="V57" s="110">
        <v>0</v>
      </c>
      <c r="W57" s="110">
        <v>0</v>
      </c>
      <c r="X57" s="110">
        <v>0</v>
      </c>
      <c r="Y57" s="110">
        <v>0</v>
      </c>
      <c r="Z57" s="110">
        <v>0</v>
      </c>
      <c r="AA57" s="110">
        <v>0</v>
      </c>
      <c r="AB57" s="110">
        <v>0</v>
      </c>
      <c r="AC57" s="110">
        <v>0</v>
      </c>
      <c r="AD57" s="110">
        <v>0</v>
      </c>
      <c r="AE57" s="110">
        <v>0</v>
      </c>
      <c r="AF57" s="110">
        <v>0</v>
      </c>
      <c r="AG57" s="110">
        <v>0</v>
      </c>
      <c r="AH57" s="110">
        <v>0</v>
      </c>
      <c r="AI57" s="110">
        <v>0</v>
      </c>
      <c r="AJ57" s="110">
        <v>0</v>
      </c>
      <c r="AK57" s="110">
        <v>0</v>
      </c>
      <c r="AL57" s="110">
        <v>0</v>
      </c>
      <c r="AM57" s="110">
        <v>0</v>
      </c>
      <c r="AN57" s="110">
        <v>1</v>
      </c>
      <c r="AO57" s="110">
        <v>0</v>
      </c>
      <c r="AP57" s="110">
        <v>0</v>
      </c>
      <c r="AQ57" s="110">
        <v>0</v>
      </c>
      <c r="AR57" s="110">
        <v>0</v>
      </c>
      <c r="AS57" s="110">
        <v>0</v>
      </c>
      <c r="AT57" s="110">
        <v>0</v>
      </c>
      <c r="AU57" s="110">
        <v>0</v>
      </c>
      <c r="AV57" s="110">
        <v>0</v>
      </c>
      <c r="AW57" s="110">
        <v>0</v>
      </c>
      <c r="AX57" s="110">
        <v>0</v>
      </c>
      <c r="AY57" s="110">
        <v>0</v>
      </c>
      <c r="AZ57" s="110">
        <v>0</v>
      </c>
      <c r="BA57" s="110">
        <v>1</v>
      </c>
      <c r="BB57" s="110">
        <v>1</v>
      </c>
      <c r="BC57" s="110">
        <v>0</v>
      </c>
      <c r="BD57" s="110">
        <v>1</v>
      </c>
      <c r="BE57" s="110">
        <v>0</v>
      </c>
      <c r="BF57" s="110">
        <v>0</v>
      </c>
      <c r="BG57" s="110">
        <v>0</v>
      </c>
      <c r="BH57" s="110">
        <v>0</v>
      </c>
      <c r="BI57" s="110">
        <v>0</v>
      </c>
      <c r="BJ57" s="110">
        <v>0</v>
      </c>
      <c r="BK57" s="110">
        <v>0</v>
      </c>
      <c r="BL57" s="110">
        <v>0</v>
      </c>
      <c r="BM57" s="110">
        <v>0</v>
      </c>
      <c r="BN57" s="110">
        <v>0</v>
      </c>
      <c r="BO57" s="110">
        <v>0</v>
      </c>
      <c r="BP57" s="110">
        <v>0</v>
      </c>
      <c r="BQ57" s="110">
        <v>0</v>
      </c>
      <c r="BR57" s="110">
        <v>0</v>
      </c>
      <c r="BS57" s="110">
        <v>0</v>
      </c>
      <c r="BT57" s="110">
        <v>0</v>
      </c>
      <c r="BU57" s="110">
        <v>0</v>
      </c>
      <c r="BV57" s="110">
        <v>0</v>
      </c>
      <c r="BW57" s="110">
        <v>0</v>
      </c>
      <c r="BX57" s="110">
        <v>0</v>
      </c>
      <c r="BY57" s="110">
        <v>0</v>
      </c>
      <c r="BZ57" s="110">
        <v>0</v>
      </c>
      <c r="CA57" s="110">
        <v>0</v>
      </c>
      <c r="CB57" s="110">
        <v>0</v>
      </c>
      <c r="CC57" s="110">
        <v>0</v>
      </c>
      <c r="CD57" s="110">
        <v>0</v>
      </c>
      <c r="CE57" s="110">
        <v>0</v>
      </c>
      <c r="CF57" s="110">
        <v>0</v>
      </c>
      <c r="CG57" s="110">
        <v>0</v>
      </c>
    </row>
    <row r="58" spans="1:85" x14ac:dyDescent="0.15">
      <c r="A58" s="188" t="s">
        <v>248</v>
      </c>
      <c r="B58" s="110">
        <v>0</v>
      </c>
      <c r="C58" s="110">
        <v>0</v>
      </c>
      <c r="D58" s="110">
        <v>0</v>
      </c>
      <c r="E58" s="110">
        <v>0</v>
      </c>
      <c r="F58" s="110">
        <v>0</v>
      </c>
      <c r="G58" s="110">
        <v>0</v>
      </c>
      <c r="H58" s="110">
        <v>0</v>
      </c>
      <c r="I58" s="110">
        <v>0</v>
      </c>
      <c r="J58" s="110">
        <v>0</v>
      </c>
      <c r="K58" s="110">
        <v>0</v>
      </c>
      <c r="L58" s="110">
        <v>1</v>
      </c>
      <c r="M58" s="110">
        <v>0</v>
      </c>
      <c r="N58" s="110">
        <v>0</v>
      </c>
      <c r="O58" s="110">
        <v>1</v>
      </c>
      <c r="P58" s="110">
        <v>0</v>
      </c>
      <c r="Q58" s="110">
        <v>0</v>
      </c>
      <c r="R58" s="110">
        <v>0</v>
      </c>
      <c r="S58" s="110">
        <v>0</v>
      </c>
      <c r="T58" s="110">
        <v>1</v>
      </c>
      <c r="U58" s="110">
        <v>0</v>
      </c>
      <c r="V58" s="110">
        <v>1</v>
      </c>
      <c r="W58" s="110">
        <v>1</v>
      </c>
      <c r="X58" s="110">
        <v>0</v>
      </c>
      <c r="Y58" s="110">
        <v>1</v>
      </c>
      <c r="Z58" s="110">
        <v>1</v>
      </c>
      <c r="AA58" s="110">
        <v>1</v>
      </c>
      <c r="AB58" s="110">
        <v>1</v>
      </c>
      <c r="AC58" s="110">
        <v>0</v>
      </c>
      <c r="AD58" s="110">
        <v>0</v>
      </c>
      <c r="AE58" s="110">
        <v>0</v>
      </c>
      <c r="AF58" s="110">
        <v>0</v>
      </c>
      <c r="AG58" s="110">
        <v>0</v>
      </c>
      <c r="AH58" s="110">
        <v>0</v>
      </c>
      <c r="AI58" s="110">
        <v>0</v>
      </c>
      <c r="AJ58" s="110">
        <v>1</v>
      </c>
      <c r="AK58" s="110">
        <v>1</v>
      </c>
      <c r="AL58" s="110">
        <v>0</v>
      </c>
      <c r="AM58" s="110">
        <v>0</v>
      </c>
      <c r="AN58" s="110">
        <v>0</v>
      </c>
      <c r="AO58" s="110">
        <v>0</v>
      </c>
      <c r="AP58" s="110">
        <v>1</v>
      </c>
      <c r="AQ58" s="110">
        <v>0</v>
      </c>
      <c r="AR58" s="110">
        <v>0</v>
      </c>
      <c r="AS58" s="110">
        <v>0</v>
      </c>
      <c r="AT58" s="110">
        <v>0</v>
      </c>
      <c r="AU58" s="110">
        <v>0</v>
      </c>
      <c r="AV58" s="110">
        <v>0</v>
      </c>
      <c r="AW58" s="110">
        <v>0</v>
      </c>
      <c r="AX58" s="110">
        <v>0</v>
      </c>
      <c r="AY58" s="110">
        <v>0</v>
      </c>
      <c r="AZ58" s="110">
        <v>0</v>
      </c>
      <c r="BA58" s="110">
        <v>0</v>
      </c>
      <c r="BB58" s="110">
        <v>0</v>
      </c>
      <c r="BC58" s="110">
        <v>0</v>
      </c>
      <c r="BD58" s="110">
        <v>0</v>
      </c>
      <c r="BE58" s="110">
        <v>0</v>
      </c>
      <c r="BF58" s="110">
        <v>0</v>
      </c>
      <c r="BG58" s="110">
        <v>0</v>
      </c>
      <c r="BH58" s="110">
        <v>0</v>
      </c>
      <c r="BI58" s="110">
        <v>0</v>
      </c>
      <c r="BJ58" s="110">
        <v>1</v>
      </c>
      <c r="BK58" s="110">
        <v>0</v>
      </c>
      <c r="BL58" s="110">
        <v>0</v>
      </c>
      <c r="BM58" s="110">
        <v>0</v>
      </c>
      <c r="BN58" s="110">
        <v>0</v>
      </c>
      <c r="BO58" s="110">
        <v>0</v>
      </c>
      <c r="BP58" s="110">
        <v>0</v>
      </c>
      <c r="BQ58" s="110">
        <v>0</v>
      </c>
      <c r="BR58" s="110">
        <v>0</v>
      </c>
      <c r="BS58" s="110">
        <v>0</v>
      </c>
      <c r="BT58" s="110">
        <v>0</v>
      </c>
      <c r="BU58" s="110">
        <v>0</v>
      </c>
      <c r="BV58" s="110">
        <v>0</v>
      </c>
      <c r="BW58" s="110">
        <v>0</v>
      </c>
      <c r="BX58" s="110">
        <v>0</v>
      </c>
      <c r="BY58" s="110">
        <v>0</v>
      </c>
      <c r="BZ58" s="110">
        <v>0</v>
      </c>
      <c r="CA58" s="110">
        <v>0</v>
      </c>
      <c r="CB58" s="110">
        <v>0</v>
      </c>
      <c r="CC58" s="110">
        <v>0</v>
      </c>
      <c r="CD58" s="110">
        <v>0</v>
      </c>
      <c r="CE58" s="110">
        <v>0</v>
      </c>
      <c r="CF58" s="110">
        <v>0</v>
      </c>
      <c r="CG58" s="110">
        <v>0</v>
      </c>
    </row>
    <row r="59" spans="1:85" x14ac:dyDescent="0.15">
      <c r="A59" s="188" t="s">
        <v>249</v>
      </c>
      <c r="B59" s="110">
        <v>0</v>
      </c>
      <c r="C59" s="110">
        <v>0</v>
      </c>
      <c r="D59" s="110">
        <v>0</v>
      </c>
      <c r="E59" s="110">
        <v>0</v>
      </c>
      <c r="F59" s="110">
        <v>0</v>
      </c>
      <c r="G59" s="110">
        <v>0</v>
      </c>
      <c r="H59" s="110">
        <v>0</v>
      </c>
      <c r="I59" s="110">
        <v>0</v>
      </c>
      <c r="J59" s="110">
        <v>0</v>
      </c>
      <c r="K59" s="110">
        <v>0</v>
      </c>
      <c r="L59" s="110">
        <v>0</v>
      </c>
      <c r="M59" s="110">
        <v>0</v>
      </c>
      <c r="N59" s="110">
        <v>0</v>
      </c>
      <c r="O59" s="110">
        <v>0</v>
      </c>
      <c r="P59" s="110">
        <v>0</v>
      </c>
      <c r="Q59" s="110">
        <v>0</v>
      </c>
      <c r="R59" s="110">
        <v>0</v>
      </c>
      <c r="S59" s="110">
        <v>0</v>
      </c>
      <c r="T59" s="110">
        <v>0</v>
      </c>
      <c r="U59" s="110">
        <v>0</v>
      </c>
      <c r="V59" s="110">
        <v>0</v>
      </c>
      <c r="W59" s="110">
        <v>0</v>
      </c>
      <c r="X59" s="110">
        <v>0</v>
      </c>
      <c r="Y59" s="110">
        <v>0</v>
      </c>
      <c r="Z59" s="110">
        <v>0</v>
      </c>
      <c r="AA59" s="110">
        <v>0</v>
      </c>
      <c r="AB59" s="110">
        <v>0</v>
      </c>
      <c r="AC59" s="110">
        <v>0</v>
      </c>
      <c r="AD59" s="110">
        <v>0</v>
      </c>
      <c r="AE59" s="110">
        <v>0</v>
      </c>
      <c r="AF59" s="110">
        <v>0</v>
      </c>
      <c r="AG59" s="110">
        <v>0</v>
      </c>
      <c r="AH59" s="110">
        <v>0</v>
      </c>
      <c r="AI59" s="110">
        <v>0</v>
      </c>
      <c r="AJ59" s="110">
        <v>0</v>
      </c>
      <c r="AK59" s="110">
        <v>0</v>
      </c>
      <c r="AL59" s="110">
        <v>0</v>
      </c>
      <c r="AM59" s="110">
        <v>0</v>
      </c>
      <c r="AN59" s="110">
        <v>1</v>
      </c>
      <c r="AO59" s="110">
        <v>0</v>
      </c>
      <c r="AP59" s="110">
        <v>1</v>
      </c>
      <c r="AQ59" s="110">
        <v>0</v>
      </c>
      <c r="AR59" s="110">
        <v>0</v>
      </c>
      <c r="AS59" s="110">
        <v>0</v>
      </c>
      <c r="AT59" s="110">
        <v>0</v>
      </c>
      <c r="AU59" s="110">
        <v>0</v>
      </c>
      <c r="AV59" s="110">
        <v>0</v>
      </c>
      <c r="AW59" s="110">
        <v>0</v>
      </c>
      <c r="AX59" s="110">
        <v>0</v>
      </c>
      <c r="AY59" s="110">
        <v>0</v>
      </c>
      <c r="AZ59" s="110">
        <v>1</v>
      </c>
      <c r="BA59" s="110">
        <v>1</v>
      </c>
      <c r="BB59" s="110">
        <v>1</v>
      </c>
      <c r="BC59" s="110">
        <v>0</v>
      </c>
      <c r="BD59" s="110">
        <v>1</v>
      </c>
      <c r="BE59" s="110">
        <v>1</v>
      </c>
      <c r="BF59" s="110">
        <v>0</v>
      </c>
      <c r="BG59" s="110">
        <v>0</v>
      </c>
      <c r="BH59" s="110">
        <v>0</v>
      </c>
      <c r="BI59" s="110">
        <v>0</v>
      </c>
      <c r="BJ59" s="110">
        <v>0</v>
      </c>
      <c r="BK59" s="110">
        <v>0</v>
      </c>
      <c r="BL59" s="110">
        <v>0</v>
      </c>
      <c r="BM59" s="110">
        <v>0</v>
      </c>
      <c r="BN59" s="110">
        <v>0</v>
      </c>
      <c r="BO59" s="110">
        <v>0</v>
      </c>
      <c r="BP59" s="110">
        <v>0</v>
      </c>
      <c r="BQ59" s="110">
        <v>0</v>
      </c>
      <c r="BR59" s="110">
        <v>0</v>
      </c>
      <c r="BS59" s="110">
        <v>0</v>
      </c>
      <c r="BT59" s="110">
        <v>0</v>
      </c>
      <c r="BU59" s="110">
        <v>0</v>
      </c>
      <c r="BV59" s="110">
        <v>0</v>
      </c>
      <c r="BW59" s="110">
        <v>0</v>
      </c>
      <c r="BX59" s="110">
        <v>0</v>
      </c>
      <c r="BY59" s="110">
        <v>0</v>
      </c>
      <c r="BZ59" s="110">
        <v>0</v>
      </c>
      <c r="CA59" s="110">
        <v>0</v>
      </c>
      <c r="CB59" s="110">
        <v>0</v>
      </c>
      <c r="CC59" s="110">
        <v>0</v>
      </c>
      <c r="CD59" s="110">
        <v>0</v>
      </c>
      <c r="CE59" s="110">
        <v>0</v>
      </c>
      <c r="CF59" s="110">
        <v>0</v>
      </c>
      <c r="CG59" s="110">
        <v>0</v>
      </c>
    </row>
    <row r="60" spans="1:85" x14ac:dyDescent="0.15">
      <c r="A60" s="188" t="s">
        <v>250</v>
      </c>
      <c r="B60" s="110">
        <v>0</v>
      </c>
      <c r="C60" s="110">
        <v>0</v>
      </c>
      <c r="D60" s="110">
        <v>0</v>
      </c>
      <c r="E60" s="110">
        <v>0</v>
      </c>
      <c r="F60" s="110">
        <v>0</v>
      </c>
      <c r="G60" s="110">
        <v>0</v>
      </c>
      <c r="H60" s="110">
        <v>0</v>
      </c>
      <c r="I60" s="110">
        <v>0</v>
      </c>
      <c r="J60" s="110">
        <v>0</v>
      </c>
      <c r="K60" s="110">
        <v>0</v>
      </c>
      <c r="L60" s="110">
        <v>0</v>
      </c>
      <c r="M60" s="110">
        <v>0</v>
      </c>
      <c r="N60" s="110">
        <v>0</v>
      </c>
      <c r="O60" s="110">
        <v>1</v>
      </c>
      <c r="P60" s="110">
        <v>0</v>
      </c>
      <c r="Q60" s="110">
        <v>0</v>
      </c>
      <c r="R60" s="110">
        <v>0</v>
      </c>
      <c r="S60" s="110">
        <v>0</v>
      </c>
      <c r="T60" s="110">
        <v>0</v>
      </c>
      <c r="U60" s="110">
        <v>0</v>
      </c>
      <c r="V60" s="110">
        <v>1</v>
      </c>
      <c r="W60" s="110">
        <v>0</v>
      </c>
      <c r="X60" s="110">
        <v>1</v>
      </c>
      <c r="Y60" s="110">
        <v>0</v>
      </c>
      <c r="Z60" s="110">
        <v>1</v>
      </c>
      <c r="AA60" s="110">
        <v>1</v>
      </c>
      <c r="AB60" s="110">
        <v>1</v>
      </c>
      <c r="AC60" s="110">
        <v>0</v>
      </c>
      <c r="AD60" s="110">
        <v>1</v>
      </c>
      <c r="AE60" s="110">
        <v>1</v>
      </c>
      <c r="AF60" s="110">
        <v>0</v>
      </c>
      <c r="AG60" s="110">
        <v>0</v>
      </c>
      <c r="AH60" s="110">
        <v>0</v>
      </c>
      <c r="AI60" s="110">
        <v>0</v>
      </c>
      <c r="AJ60" s="110">
        <v>1</v>
      </c>
      <c r="AK60" s="110">
        <v>0</v>
      </c>
      <c r="AL60" s="110">
        <v>0</v>
      </c>
      <c r="AM60" s="110">
        <v>0</v>
      </c>
      <c r="AN60" s="110">
        <v>0</v>
      </c>
      <c r="AO60" s="110">
        <v>0</v>
      </c>
      <c r="AP60" s="110">
        <v>1</v>
      </c>
      <c r="AQ60" s="110">
        <v>0</v>
      </c>
      <c r="AR60" s="110">
        <v>0</v>
      </c>
      <c r="AS60" s="110">
        <v>0</v>
      </c>
      <c r="AT60" s="110">
        <v>0</v>
      </c>
      <c r="AU60" s="110">
        <v>0</v>
      </c>
      <c r="AV60" s="110">
        <v>0</v>
      </c>
      <c r="AW60" s="110">
        <v>0</v>
      </c>
      <c r="AX60" s="110">
        <v>0</v>
      </c>
      <c r="AY60" s="110">
        <v>0</v>
      </c>
      <c r="AZ60" s="110">
        <v>1</v>
      </c>
      <c r="BA60" s="110">
        <v>1</v>
      </c>
      <c r="BB60" s="110">
        <v>1</v>
      </c>
      <c r="BC60" s="110">
        <v>0</v>
      </c>
      <c r="BD60" s="110">
        <v>1</v>
      </c>
      <c r="BE60" s="110">
        <v>1</v>
      </c>
      <c r="BF60" s="110">
        <v>0</v>
      </c>
      <c r="BG60" s="110">
        <v>0</v>
      </c>
      <c r="BH60" s="110">
        <v>0</v>
      </c>
      <c r="BI60" s="110">
        <v>0</v>
      </c>
      <c r="BJ60" s="110">
        <v>0</v>
      </c>
      <c r="BK60" s="110">
        <v>0</v>
      </c>
      <c r="BL60" s="110">
        <v>0</v>
      </c>
      <c r="BM60" s="110">
        <v>0</v>
      </c>
      <c r="BN60" s="110">
        <v>0</v>
      </c>
      <c r="BO60" s="110">
        <v>0</v>
      </c>
      <c r="BP60" s="110">
        <v>0</v>
      </c>
      <c r="BQ60" s="110">
        <v>0</v>
      </c>
      <c r="BR60" s="110">
        <v>0</v>
      </c>
      <c r="BS60" s="110">
        <v>0</v>
      </c>
      <c r="BT60" s="110">
        <v>0</v>
      </c>
      <c r="BU60" s="110">
        <v>0</v>
      </c>
      <c r="BV60" s="110">
        <v>0</v>
      </c>
      <c r="BW60" s="110">
        <v>0</v>
      </c>
      <c r="BX60" s="110">
        <v>0</v>
      </c>
      <c r="BY60" s="110">
        <v>0</v>
      </c>
      <c r="BZ60" s="110">
        <v>0</v>
      </c>
      <c r="CA60" s="110">
        <v>0</v>
      </c>
      <c r="CB60" s="110">
        <v>0</v>
      </c>
      <c r="CC60" s="110">
        <v>0</v>
      </c>
      <c r="CD60" s="110">
        <v>0</v>
      </c>
      <c r="CE60" s="110">
        <v>0</v>
      </c>
      <c r="CF60" s="110">
        <v>0</v>
      </c>
      <c r="CG60" s="110">
        <v>0</v>
      </c>
    </row>
    <row r="61" spans="1:85" x14ac:dyDescent="0.15">
      <c r="A61" s="188" t="s">
        <v>251</v>
      </c>
      <c r="B61" s="110">
        <v>0</v>
      </c>
      <c r="C61" s="110">
        <v>0</v>
      </c>
      <c r="D61" s="110">
        <v>0</v>
      </c>
      <c r="E61" s="110">
        <v>0</v>
      </c>
      <c r="F61" s="110">
        <v>0</v>
      </c>
      <c r="G61" s="110">
        <v>0</v>
      </c>
      <c r="H61" s="110">
        <v>0</v>
      </c>
      <c r="I61" s="110">
        <v>0</v>
      </c>
      <c r="J61" s="110">
        <v>0</v>
      </c>
      <c r="K61" s="110">
        <v>0</v>
      </c>
      <c r="L61" s="110">
        <v>0</v>
      </c>
      <c r="M61" s="110">
        <v>0</v>
      </c>
      <c r="N61" s="110">
        <v>0</v>
      </c>
      <c r="O61" s="110">
        <v>1</v>
      </c>
      <c r="P61" s="110">
        <v>0</v>
      </c>
      <c r="Q61" s="110">
        <v>0</v>
      </c>
      <c r="R61" s="110">
        <v>0</v>
      </c>
      <c r="S61" s="110">
        <v>0</v>
      </c>
      <c r="T61" s="110">
        <v>1</v>
      </c>
      <c r="U61" s="110">
        <v>1</v>
      </c>
      <c r="V61" s="110">
        <v>1</v>
      </c>
      <c r="W61" s="110">
        <v>0</v>
      </c>
      <c r="X61" s="110">
        <v>1</v>
      </c>
      <c r="Y61" s="110">
        <v>0</v>
      </c>
      <c r="Z61" s="110">
        <v>1</v>
      </c>
      <c r="AA61" s="110">
        <v>1</v>
      </c>
      <c r="AB61" s="110">
        <v>1</v>
      </c>
      <c r="AC61" s="110">
        <v>1</v>
      </c>
      <c r="AD61" s="110">
        <v>1</v>
      </c>
      <c r="AE61" s="110">
        <v>1</v>
      </c>
      <c r="AF61" s="110">
        <v>0</v>
      </c>
      <c r="AG61" s="110">
        <v>0</v>
      </c>
      <c r="AH61" s="110">
        <v>0</v>
      </c>
      <c r="AI61" s="110">
        <v>0</v>
      </c>
      <c r="AJ61" s="110">
        <v>1</v>
      </c>
      <c r="AK61" s="110">
        <v>0</v>
      </c>
      <c r="AL61" s="110">
        <v>0</v>
      </c>
      <c r="AM61" s="110">
        <v>0</v>
      </c>
      <c r="AN61" s="110">
        <v>0</v>
      </c>
      <c r="AO61" s="110">
        <v>0</v>
      </c>
      <c r="AP61" s="110">
        <v>1</v>
      </c>
      <c r="AQ61" s="110">
        <v>0</v>
      </c>
      <c r="AR61" s="110">
        <v>0</v>
      </c>
      <c r="AS61" s="110">
        <v>1</v>
      </c>
      <c r="AT61" s="110">
        <v>1</v>
      </c>
      <c r="AU61" s="110">
        <v>1</v>
      </c>
      <c r="AV61" s="110">
        <v>1</v>
      </c>
      <c r="AW61" s="110">
        <v>1</v>
      </c>
      <c r="AX61" s="110">
        <v>1</v>
      </c>
      <c r="AY61" s="110">
        <v>1</v>
      </c>
      <c r="AZ61" s="110">
        <v>1</v>
      </c>
      <c r="BA61" s="110">
        <v>1</v>
      </c>
      <c r="BB61" s="110">
        <v>1</v>
      </c>
      <c r="BC61" s="110">
        <v>1</v>
      </c>
      <c r="BD61" s="110">
        <v>1</v>
      </c>
      <c r="BE61" s="110">
        <v>0</v>
      </c>
      <c r="BF61" s="110">
        <v>0</v>
      </c>
      <c r="BG61" s="110">
        <v>0</v>
      </c>
      <c r="BH61" s="110">
        <v>0</v>
      </c>
      <c r="BI61" s="110">
        <v>0</v>
      </c>
      <c r="BJ61" s="110">
        <v>1</v>
      </c>
      <c r="BK61" s="110">
        <v>0</v>
      </c>
      <c r="BL61" s="110">
        <v>0</v>
      </c>
      <c r="BM61" s="110">
        <v>0</v>
      </c>
      <c r="BN61" s="110">
        <v>0</v>
      </c>
      <c r="BO61" s="110">
        <v>0</v>
      </c>
      <c r="BP61" s="110">
        <v>0</v>
      </c>
      <c r="BQ61" s="110">
        <v>0</v>
      </c>
      <c r="BR61" s="110">
        <v>0</v>
      </c>
      <c r="BS61" s="110">
        <v>0</v>
      </c>
      <c r="BT61" s="110">
        <v>0</v>
      </c>
      <c r="BU61" s="110">
        <v>0</v>
      </c>
      <c r="BV61" s="110">
        <v>0</v>
      </c>
      <c r="BW61" s="110">
        <v>0</v>
      </c>
      <c r="BX61" s="110">
        <v>0</v>
      </c>
      <c r="BY61" s="110">
        <v>0</v>
      </c>
      <c r="BZ61" s="110">
        <v>0</v>
      </c>
      <c r="CA61" s="110">
        <v>0</v>
      </c>
      <c r="CB61" s="110">
        <v>0</v>
      </c>
      <c r="CC61" s="110">
        <v>0</v>
      </c>
      <c r="CD61" s="110">
        <v>0</v>
      </c>
      <c r="CE61" s="110">
        <v>0</v>
      </c>
      <c r="CF61" s="110">
        <v>0</v>
      </c>
      <c r="CG61" s="110">
        <v>0</v>
      </c>
    </row>
    <row r="62" spans="1:85" x14ac:dyDescent="0.15">
      <c r="A62" s="188" t="s">
        <v>252</v>
      </c>
      <c r="B62" s="110">
        <v>0</v>
      </c>
      <c r="C62" s="110">
        <v>0</v>
      </c>
      <c r="D62" s="110">
        <v>0</v>
      </c>
      <c r="E62" s="110">
        <v>0</v>
      </c>
      <c r="F62" s="110">
        <v>0</v>
      </c>
      <c r="G62" s="110">
        <v>0</v>
      </c>
      <c r="H62" s="110">
        <v>0</v>
      </c>
      <c r="I62" s="110">
        <v>0</v>
      </c>
      <c r="J62" s="110">
        <v>0</v>
      </c>
      <c r="K62" s="110">
        <v>0</v>
      </c>
      <c r="L62" s="110">
        <v>0</v>
      </c>
      <c r="M62" s="110">
        <v>0</v>
      </c>
      <c r="N62" s="110">
        <v>0</v>
      </c>
      <c r="O62" s="110">
        <v>0</v>
      </c>
      <c r="P62" s="110">
        <v>0</v>
      </c>
      <c r="Q62" s="110">
        <v>0</v>
      </c>
      <c r="R62" s="110">
        <v>0</v>
      </c>
      <c r="S62" s="110">
        <v>0</v>
      </c>
      <c r="T62" s="110">
        <v>0</v>
      </c>
      <c r="U62" s="110">
        <v>0</v>
      </c>
      <c r="V62" s="110">
        <v>1</v>
      </c>
      <c r="W62" s="110">
        <v>0</v>
      </c>
      <c r="X62" s="110">
        <v>0</v>
      </c>
      <c r="Y62" s="110">
        <v>0</v>
      </c>
      <c r="Z62" s="110">
        <v>0</v>
      </c>
      <c r="AA62" s="110">
        <v>0</v>
      </c>
      <c r="AB62" s="110">
        <v>1</v>
      </c>
      <c r="AC62" s="110">
        <v>0</v>
      </c>
      <c r="AD62" s="110">
        <v>0</v>
      </c>
      <c r="AE62" s="110">
        <v>0</v>
      </c>
      <c r="AF62" s="110">
        <v>0</v>
      </c>
      <c r="AG62" s="110">
        <v>0</v>
      </c>
      <c r="AH62" s="110">
        <v>0</v>
      </c>
      <c r="AI62" s="110">
        <v>0</v>
      </c>
      <c r="AJ62" s="110">
        <v>0</v>
      </c>
      <c r="AK62" s="110">
        <v>0</v>
      </c>
      <c r="AL62" s="110">
        <v>0</v>
      </c>
      <c r="AM62" s="110">
        <v>0</v>
      </c>
      <c r="AN62" s="110">
        <v>0</v>
      </c>
      <c r="AO62" s="110">
        <v>0</v>
      </c>
      <c r="AP62" s="110">
        <v>1</v>
      </c>
      <c r="AQ62" s="110">
        <v>0</v>
      </c>
      <c r="AR62" s="110">
        <v>0</v>
      </c>
      <c r="AS62" s="110">
        <v>0</v>
      </c>
      <c r="AT62" s="110">
        <v>0</v>
      </c>
      <c r="AU62" s="110">
        <v>0</v>
      </c>
      <c r="AV62" s="110">
        <v>0</v>
      </c>
      <c r="AW62" s="110">
        <v>0</v>
      </c>
      <c r="AX62" s="110">
        <v>0</v>
      </c>
      <c r="AY62" s="110">
        <v>0</v>
      </c>
      <c r="AZ62" s="110">
        <v>1</v>
      </c>
      <c r="BA62" s="110">
        <v>0</v>
      </c>
      <c r="BB62" s="110">
        <v>0</v>
      </c>
      <c r="BC62" s="110">
        <v>0</v>
      </c>
      <c r="BD62" s="110">
        <v>0</v>
      </c>
      <c r="BE62" s="110">
        <v>0</v>
      </c>
      <c r="BF62" s="110">
        <v>0</v>
      </c>
      <c r="BG62" s="110">
        <v>0</v>
      </c>
      <c r="BH62" s="110">
        <v>0</v>
      </c>
      <c r="BI62" s="110">
        <v>0</v>
      </c>
      <c r="BJ62" s="110">
        <v>0</v>
      </c>
      <c r="BK62" s="110">
        <v>0</v>
      </c>
      <c r="BL62" s="110">
        <v>0</v>
      </c>
      <c r="BM62" s="110">
        <v>0</v>
      </c>
      <c r="BN62" s="110">
        <v>0</v>
      </c>
      <c r="BO62" s="110">
        <v>0</v>
      </c>
      <c r="BP62" s="110">
        <v>0</v>
      </c>
      <c r="BQ62" s="110">
        <v>0</v>
      </c>
      <c r="BR62" s="110">
        <v>0</v>
      </c>
      <c r="BS62" s="110">
        <v>0</v>
      </c>
      <c r="BT62" s="110">
        <v>0</v>
      </c>
      <c r="BU62" s="110">
        <v>0</v>
      </c>
      <c r="BV62" s="110">
        <v>0</v>
      </c>
      <c r="BW62" s="110">
        <v>0</v>
      </c>
      <c r="BX62" s="110">
        <v>0</v>
      </c>
      <c r="BY62" s="110">
        <v>0</v>
      </c>
      <c r="BZ62" s="110">
        <v>0</v>
      </c>
      <c r="CA62" s="110">
        <v>0</v>
      </c>
      <c r="CB62" s="110">
        <v>0</v>
      </c>
      <c r="CC62" s="110">
        <v>0</v>
      </c>
      <c r="CD62" s="110">
        <v>0</v>
      </c>
      <c r="CE62" s="110">
        <v>0</v>
      </c>
      <c r="CF62" s="110">
        <v>0</v>
      </c>
      <c r="CG62" s="110">
        <v>0</v>
      </c>
    </row>
    <row r="63" spans="1:85" x14ac:dyDescent="0.15">
      <c r="A63" s="188" t="s">
        <v>253</v>
      </c>
      <c r="B63" s="110">
        <v>0</v>
      </c>
      <c r="C63" s="110">
        <v>0</v>
      </c>
      <c r="D63" s="110">
        <v>0</v>
      </c>
      <c r="E63" s="110">
        <v>1</v>
      </c>
      <c r="F63" s="110">
        <v>0</v>
      </c>
      <c r="G63" s="110">
        <v>0</v>
      </c>
      <c r="H63" s="110">
        <v>0</v>
      </c>
      <c r="I63" s="110">
        <v>0</v>
      </c>
      <c r="J63" s="110">
        <v>0</v>
      </c>
      <c r="K63" s="110">
        <v>0</v>
      </c>
      <c r="L63" s="110">
        <v>1</v>
      </c>
      <c r="M63" s="110">
        <v>0</v>
      </c>
      <c r="N63" s="110">
        <v>0</v>
      </c>
      <c r="O63" s="110">
        <v>1</v>
      </c>
      <c r="P63" s="110">
        <v>0</v>
      </c>
      <c r="Q63" s="110">
        <v>0</v>
      </c>
      <c r="R63" s="110">
        <v>0</v>
      </c>
      <c r="S63" s="110">
        <v>0</v>
      </c>
      <c r="T63" s="110">
        <v>1</v>
      </c>
      <c r="U63" s="110">
        <v>1</v>
      </c>
      <c r="V63" s="110">
        <v>1</v>
      </c>
      <c r="W63" s="110">
        <v>1</v>
      </c>
      <c r="X63" s="110">
        <v>1</v>
      </c>
      <c r="Y63" s="110">
        <v>1</v>
      </c>
      <c r="Z63" s="110">
        <v>1</v>
      </c>
      <c r="AA63" s="110">
        <v>1</v>
      </c>
      <c r="AB63" s="110">
        <v>1</v>
      </c>
      <c r="AC63" s="110">
        <v>0</v>
      </c>
      <c r="AD63" s="110">
        <v>1</v>
      </c>
      <c r="AE63" s="110">
        <v>1</v>
      </c>
      <c r="AF63" s="110">
        <v>0</v>
      </c>
      <c r="AG63" s="110">
        <v>0</v>
      </c>
      <c r="AH63" s="110">
        <v>0</v>
      </c>
      <c r="AI63" s="110">
        <v>0</v>
      </c>
      <c r="AJ63" s="110">
        <v>1</v>
      </c>
      <c r="AK63" s="110">
        <v>0</v>
      </c>
      <c r="AL63" s="110">
        <v>0</v>
      </c>
      <c r="AM63" s="110">
        <v>0</v>
      </c>
      <c r="AN63" s="110">
        <v>1</v>
      </c>
      <c r="AO63" s="110">
        <v>0</v>
      </c>
      <c r="AP63" s="110">
        <v>0</v>
      </c>
      <c r="AQ63" s="110">
        <v>1</v>
      </c>
      <c r="AR63" s="110">
        <v>0</v>
      </c>
      <c r="AS63" s="110">
        <v>0</v>
      </c>
      <c r="AT63" s="110">
        <v>1</v>
      </c>
      <c r="AU63" s="110">
        <v>1</v>
      </c>
      <c r="AV63" s="110">
        <v>0</v>
      </c>
      <c r="AW63" s="110">
        <v>0</v>
      </c>
      <c r="AX63" s="110">
        <v>0</v>
      </c>
      <c r="AY63" s="110">
        <v>0</v>
      </c>
      <c r="AZ63" s="110">
        <v>1</v>
      </c>
      <c r="BA63" s="110">
        <v>1</v>
      </c>
      <c r="BB63" s="110">
        <v>1</v>
      </c>
      <c r="BC63" s="110">
        <v>0</v>
      </c>
      <c r="BD63" s="110">
        <v>1</v>
      </c>
      <c r="BE63" s="110">
        <v>1</v>
      </c>
      <c r="BF63" s="110">
        <v>0</v>
      </c>
      <c r="BG63" s="110">
        <v>0</v>
      </c>
      <c r="BH63" s="110">
        <v>1</v>
      </c>
      <c r="BI63" s="110">
        <v>0</v>
      </c>
      <c r="BJ63" s="110">
        <v>1</v>
      </c>
      <c r="BK63" s="110">
        <v>0</v>
      </c>
      <c r="BL63" s="110">
        <v>0</v>
      </c>
      <c r="BM63" s="110">
        <v>0</v>
      </c>
      <c r="BN63" s="110">
        <v>0</v>
      </c>
      <c r="BO63" s="110">
        <v>0</v>
      </c>
      <c r="BP63" s="110">
        <v>0</v>
      </c>
      <c r="BQ63" s="110">
        <v>0</v>
      </c>
      <c r="BR63" s="110">
        <v>0</v>
      </c>
      <c r="BS63" s="110">
        <v>0</v>
      </c>
      <c r="BT63" s="110">
        <v>0</v>
      </c>
      <c r="BU63" s="110">
        <v>0</v>
      </c>
      <c r="BV63" s="110">
        <v>0</v>
      </c>
      <c r="BW63" s="110">
        <v>0</v>
      </c>
      <c r="BX63" s="110">
        <v>0</v>
      </c>
      <c r="BY63" s="110">
        <v>0</v>
      </c>
      <c r="BZ63" s="110">
        <v>0</v>
      </c>
      <c r="CA63" s="110">
        <v>0</v>
      </c>
      <c r="CB63" s="110">
        <v>0</v>
      </c>
      <c r="CC63" s="110">
        <v>0</v>
      </c>
      <c r="CD63" s="110">
        <v>0</v>
      </c>
      <c r="CE63" s="110">
        <v>0</v>
      </c>
      <c r="CF63" s="110">
        <v>0</v>
      </c>
      <c r="CG63" s="110">
        <v>0</v>
      </c>
    </row>
    <row r="64" spans="1:85" x14ac:dyDescent="0.15">
      <c r="A64" s="188" t="s">
        <v>254</v>
      </c>
      <c r="B64" s="110">
        <v>1</v>
      </c>
      <c r="C64" s="110">
        <v>0</v>
      </c>
      <c r="D64" s="110">
        <v>0</v>
      </c>
      <c r="E64" s="110">
        <v>1</v>
      </c>
      <c r="F64" s="110">
        <v>0</v>
      </c>
      <c r="G64" s="110">
        <v>0</v>
      </c>
      <c r="H64" s="110">
        <v>0</v>
      </c>
      <c r="I64" s="110">
        <v>0</v>
      </c>
      <c r="J64" s="110">
        <v>0</v>
      </c>
      <c r="K64" s="110">
        <v>1</v>
      </c>
      <c r="L64" s="110">
        <v>1</v>
      </c>
      <c r="M64" s="110">
        <v>1</v>
      </c>
      <c r="N64" s="110">
        <v>1</v>
      </c>
      <c r="O64" s="110">
        <v>1</v>
      </c>
      <c r="P64" s="110">
        <v>0</v>
      </c>
      <c r="Q64" s="110">
        <v>1</v>
      </c>
      <c r="R64" s="110">
        <v>0</v>
      </c>
      <c r="S64" s="110">
        <v>0</v>
      </c>
      <c r="T64" s="110">
        <v>1</v>
      </c>
      <c r="U64" s="110">
        <v>1</v>
      </c>
      <c r="V64" s="110">
        <v>1</v>
      </c>
      <c r="W64" s="110">
        <v>1</v>
      </c>
      <c r="X64" s="110">
        <v>1</v>
      </c>
      <c r="Y64" s="110">
        <v>1</v>
      </c>
      <c r="Z64" s="110">
        <v>1</v>
      </c>
      <c r="AA64" s="110">
        <v>1</v>
      </c>
      <c r="AB64" s="110">
        <v>1</v>
      </c>
      <c r="AC64" s="110">
        <v>1</v>
      </c>
      <c r="AD64" s="110">
        <v>1</v>
      </c>
      <c r="AE64" s="110">
        <v>1</v>
      </c>
      <c r="AF64" s="110">
        <v>1</v>
      </c>
      <c r="AG64" s="110">
        <v>0</v>
      </c>
      <c r="AH64" s="110">
        <v>0</v>
      </c>
      <c r="AI64" s="110">
        <v>0</v>
      </c>
      <c r="AJ64" s="110">
        <v>1</v>
      </c>
      <c r="AK64" s="110">
        <v>1</v>
      </c>
      <c r="AL64" s="110">
        <v>1</v>
      </c>
      <c r="AM64" s="110">
        <v>0</v>
      </c>
      <c r="AN64" s="110">
        <v>1</v>
      </c>
      <c r="AO64" s="110">
        <v>0</v>
      </c>
      <c r="AP64" s="110">
        <v>1</v>
      </c>
      <c r="AQ64" s="110">
        <v>1</v>
      </c>
      <c r="AR64" s="110">
        <v>1</v>
      </c>
      <c r="AS64" s="110">
        <v>1</v>
      </c>
      <c r="AT64" s="110">
        <v>1</v>
      </c>
      <c r="AU64" s="110">
        <v>1</v>
      </c>
      <c r="AV64" s="110">
        <v>1</v>
      </c>
      <c r="AW64" s="110">
        <v>1</v>
      </c>
      <c r="AX64" s="110">
        <v>1</v>
      </c>
      <c r="AY64" s="110">
        <v>1</v>
      </c>
      <c r="AZ64" s="110">
        <v>1</v>
      </c>
      <c r="BA64" s="110">
        <v>1</v>
      </c>
      <c r="BB64" s="110">
        <v>1</v>
      </c>
      <c r="BC64" s="110">
        <v>1</v>
      </c>
      <c r="BD64" s="110">
        <v>1</v>
      </c>
      <c r="BE64" s="110">
        <v>1</v>
      </c>
      <c r="BF64" s="110">
        <v>0</v>
      </c>
      <c r="BG64" s="110">
        <v>0</v>
      </c>
      <c r="BH64" s="110">
        <v>0</v>
      </c>
      <c r="BI64" s="110">
        <v>0</v>
      </c>
      <c r="BJ64" s="110">
        <v>0</v>
      </c>
      <c r="BK64" s="110">
        <v>0</v>
      </c>
      <c r="BL64" s="110">
        <v>0</v>
      </c>
      <c r="BM64" s="110">
        <v>0</v>
      </c>
      <c r="BN64" s="110">
        <v>0</v>
      </c>
      <c r="BO64" s="110">
        <v>0</v>
      </c>
      <c r="BP64" s="110">
        <v>0</v>
      </c>
      <c r="BQ64" s="110">
        <v>0</v>
      </c>
      <c r="BR64" s="110">
        <v>0</v>
      </c>
      <c r="BS64" s="110">
        <v>0</v>
      </c>
      <c r="BT64" s="110">
        <v>0</v>
      </c>
      <c r="BU64" s="110">
        <v>0</v>
      </c>
      <c r="BV64" s="110">
        <v>0</v>
      </c>
      <c r="BW64" s="110">
        <v>0</v>
      </c>
      <c r="BX64" s="110">
        <v>0</v>
      </c>
      <c r="BY64" s="110">
        <v>0</v>
      </c>
      <c r="BZ64" s="110">
        <v>0</v>
      </c>
      <c r="CA64" s="110">
        <v>0</v>
      </c>
      <c r="CB64" s="110">
        <v>0</v>
      </c>
      <c r="CC64" s="110">
        <v>0</v>
      </c>
      <c r="CD64" s="110">
        <v>0</v>
      </c>
      <c r="CE64" s="110">
        <v>0</v>
      </c>
      <c r="CF64" s="110">
        <v>0</v>
      </c>
      <c r="CG64" s="110">
        <v>0</v>
      </c>
    </row>
    <row r="65" spans="1:85" x14ac:dyDescent="0.15">
      <c r="A65" s="188" t="s">
        <v>255</v>
      </c>
      <c r="B65" s="110">
        <v>0</v>
      </c>
      <c r="C65" s="110">
        <v>0</v>
      </c>
      <c r="D65" s="110">
        <v>0</v>
      </c>
      <c r="E65" s="110">
        <v>0</v>
      </c>
      <c r="F65" s="110">
        <v>0</v>
      </c>
      <c r="G65" s="110">
        <v>0</v>
      </c>
      <c r="H65" s="110">
        <v>0</v>
      </c>
      <c r="I65" s="110">
        <v>0</v>
      </c>
      <c r="J65" s="110">
        <v>0</v>
      </c>
      <c r="K65" s="110">
        <v>1</v>
      </c>
      <c r="L65" s="110">
        <v>1</v>
      </c>
      <c r="M65" s="110">
        <v>1</v>
      </c>
      <c r="N65" s="110">
        <v>1</v>
      </c>
      <c r="O65" s="110">
        <v>1</v>
      </c>
      <c r="P65" s="110">
        <v>1</v>
      </c>
      <c r="Q65" s="110">
        <v>0</v>
      </c>
      <c r="R65" s="110">
        <v>0</v>
      </c>
      <c r="S65" s="110">
        <v>1</v>
      </c>
      <c r="T65" s="110">
        <v>1</v>
      </c>
      <c r="U65" s="110">
        <v>1</v>
      </c>
      <c r="V65" s="110">
        <v>1</v>
      </c>
      <c r="W65" s="110">
        <v>1</v>
      </c>
      <c r="X65" s="110">
        <v>1</v>
      </c>
      <c r="Y65" s="110">
        <v>1</v>
      </c>
      <c r="Z65" s="110">
        <v>1</v>
      </c>
      <c r="AA65" s="110">
        <v>1</v>
      </c>
      <c r="AB65" s="110">
        <v>1</v>
      </c>
      <c r="AC65" s="110">
        <v>1</v>
      </c>
      <c r="AD65" s="110">
        <v>1</v>
      </c>
      <c r="AE65" s="110">
        <v>1</v>
      </c>
      <c r="AF65" s="110">
        <v>1</v>
      </c>
      <c r="AG65" s="110">
        <v>1</v>
      </c>
      <c r="AH65" s="110">
        <v>1</v>
      </c>
      <c r="AI65" s="110">
        <v>1</v>
      </c>
      <c r="AJ65" s="110">
        <v>1</v>
      </c>
      <c r="AK65" s="110">
        <v>1</v>
      </c>
      <c r="AL65" s="110">
        <v>0</v>
      </c>
      <c r="AM65" s="110">
        <v>0</v>
      </c>
      <c r="AN65" s="110">
        <v>1</v>
      </c>
      <c r="AO65" s="110">
        <v>1</v>
      </c>
      <c r="AP65" s="110">
        <v>1</v>
      </c>
      <c r="AQ65" s="110">
        <v>1</v>
      </c>
      <c r="AR65" s="110">
        <v>1</v>
      </c>
      <c r="AS65" s="110">
        <v>1</v>
      </c>
      <c r="AT65" s="110">
        <v>1</v>
      </c>
      <c r="AU65" s="110">
        <v>1</v>
      </c>
      <c r="AV65" s="110">
        <v>1</v>
      </c>
      <c r="AW65" s="110">
        <v>1</v>
      </c>
      <c r="AX65" s="110">
        <v>1</v>
      </c>
      <c r="AY65" s="110">
        <v>1</v>
      </c>
      <c r="AZ65" s="110">
        <v>0</v>
      </c>
      <c r="BA65" s="110">
        <v>1</v>
      </c>
      <c r="BB65" s="110">
        <v>1</v>
      </c>
      <c r="BC65" s="110">
        <v>1</v>
      </c>
      <c r="BD65" s="110">
        <v>1</v>
      </c>
      <c r="BE65" s="110">
        <v>0</v>
      </c>
      <c r="BF65" s="110">
        <v>0</v>
      </c>
      <c r="BG65" s="110">
        <v>0</v>
      </c>
      <c r="BH65" s="110">
        <v>0</v>
      </c>
      <c r="BI65" s="110">
        <v>0</v>
      </c>
      <c r="BJ65" s="110">
        <v>1</v>
      </c>
      <c r="BK65" s="110">
        <v>1</v>
      </c>
      <c r="BL65" s="110">
        <v>0</v>
      </c>
      <c r="BM65" s="110">
        <v>1</v>
      </c>
      <c r="BN65" s="110">
        <v>1</v>
      </c>
      <c r="BO65" s="110">
        <v>0</v>
      </c>
      <c r="BP65" s="110">
        <v>0</v>
      </c>
      <c r="BQ65" s="110">
        <v>0</v>
      </c>
      <c r="BR65" s="110">
        <v>0</v>
      </c>
      <c r="BS65" s="110">
        <v>0</v>
      </c>
      <c r="BT65" s="110">
        <v>0</v>
      </c>
      <c r="BU65" s="110">
        <v>0</v>
      </c>
      <c r="BV65" s="110">
        <v>0</v>
      </c>
      <c r="BW65" s="110">
        <v>0</v>
      </c>
      <c r="BX65" s="110">
        <v>0</v>
      </c>
      <c r="BY65" s="110">
        <v>0</v>
      </c>
      <c r="BZ65" s="110">
        <v>0</v>
      </c>
      <c r="CA65" s="110">
        <v>0</v>
      </c>
      <c r="CB65" s="110">
        <v>0</v>
      </c>
      <c r="CC65" s="110">
        <v>0</v>
      </c>
      <c r="CD65" s="110">
        <v>0</v>
      </c>
      <c r="CE65" s="110">
        <v>0</v>
      </c>
      <c r="CF65" s="110">
        <v>0</v>
      </c>
      <c r="CG65" s="110">
        <v>0</v>
      </c>
    </row>
    <row r="66" spans="1:85" x14ac:dyDescent="0.15">
      <c r="A66" s="188" t="s">
        <v>256</v>
      </c>
      <c r="B66" s="110">
        <v>0</v>
      </c>
      <c r="C66" s="110">
        <v>0</v>
      </c>
      <c r="D66" s="110">
        <v>0</v>
      </c>
      <c r="E66" s="110">
        <v>0</v>
      </c>
      <c r="F66" s="110">
        <v>0</v>
      </c>
      <c r="G66" s="110">
        <v>0</v>
      </c>
      <c r="H66" s="110">
        <v>0</v>
      </c>
      <c r="I66" s="110">
        <v>0</v>
      </c>
      <c r="J66" s="110">
        <v>0</v>
      </c>
      <c r="K66" s="110">
        <v>0</v>
      </c>
      <c r="L66" s="110">
        <v>0</v>
      </c>
      <c r="M66" s="110">
        <v>0</v>
      </c>
      <c r="N66" s="110">
        <v>0</v>
      </c>
      <c r="O66" s="110">
        <v>0</v>
      </c>
      <c r="P66" s="110">
        <v>0</v>
      </c>
      <c r="Q66" s="110">
        <v>0</v>
      </c>
      <c r="R66" s="110">
        <v>0</v>
      </c>
      <c r="S66" s="110">
        <v>1</v>
      </c>
      <c r="T66" s="110">
        <v>1</v>
      </c>
      <c r="U66" s="110">
        <v>1</v>
      </c>
      <c r="V66" s="110">
        <v>1</v>
      </c>
      <c r="W66" s="110">
        <v>1</v>
      </c>
      <c r="X66" s="110">
        <v>1</v>
      </c>
      <c r="Y66" s="110">
        <v>1</v>
      </c>
      <c r="Z66" s="110">
        <v>1</v>
      </c>
      <c r="AA66" s="110">
        <v>1</v>
      </c>
      <c r="AB66" s="110">
        <v>1</v>
      </c>
      <c r="AC66" s="110">
        <v>1</v>
      </c>
      <c r="AD66" s="110">
        <v>1</v>
      </c>
      <c r="AE66" s="110">
        <v>0</v>
      </c>
      <c r="AF66" s="110">
        <v>1</v>
      </c>
      <c r="AG66" s="110">
        <v>1</v>
      </c>
      <c r="AH66" s="110">
        <v>0</v>
      </c>
      <c r="AI66" s="110">
        <v>1</v>
      </c>
      <c r="AJ66" s="110">
        <v>1</v>
      </c>
      <c r="AK66" s="110">
        <v>1</v>
      </c>
      <c r="AL66" s="110">
        <v>1</v>
      </c>
      <c r="AM66" s="110">
        <v>0</v>
      </c>
      <c r="AN66" s="110">
        <v>1</v>
      </c>
      <c r="AO66" s="110">
        <v>1</v>
      </c>
      <c r="AP66" s="110">
        <v>1</v>
      </c>
      <c r="AQ66" s="110">
        <v>1</v>
      </c>
      <c r="AR66" s="110">
        <v>1</v>
      </c>
      <c r="AS66" s="110">
        <v>1</v>
      </c>
      <c r="AT66" s="110">
        <v>1</v>
      </c>
      <c r="AU66" s="110">
        <v>1</v>
      </c>
      <c r="AV66" s="110">
        <v>1</v>
      </c>
      <c r="AW66" s="110">
        <v>1</v>
      </c>
      <c r="AX66" s="110">
        <v>1</v>
      </c>
      <c r="AY66" s="110">
        <v>1</v>
      </c>
      <c r="AZ66" s="110">
        <v>1</v>
      </c>
      <c r="BA66" s="110">
        <v>1</v>
      </c>
      <c r="BB66" s="110">
        <v>1</v>
      </c>
      <c r="BC66" s="110">
        <v>1</v>
      </c>
      <c r="BD66" s="110">
        <v>1</v>
      </c>
      <c r="BE66" s="110">
        <v>1</v>
      </c>
      <c r="BF66" s="110">
        <v>0</v>
      </c>
      <c r="BG66" s="110">
        <v>1</v>
      </c>
      <c r="BH66" s="110">
        <v>0</v>
      </c>
      <c r="BI66" s="110">
        <v>0</v>
      </c>
      <c r="BJ66" s="110">
        <v>1</v>
      </c>
      <c r="BK66" s="110">
        <v>1</v>
      </c>
      <c r="BL66" s="110">
        <v>0</v>
      </c>
      <c r="BM66" s="110">
        <v>1</v>
      </c>
      <c r="BN66" s="110">
        <v>1</v>
      </c>
      <c r="BO66" s="110">
        <v>0</v>
      </c>
      <c r="BP66" s="110">
        <v>0</v>
      </c>
      <c r="BQ66" s="110">
        <v>0</v>
      </c>
      <c r="BR66" s="110">
        <v>0</v>
      </c>
      <c r="BS66" s="110">
        <v>0</v>
      </c>
      <c r="BT66" s="110">
        <v>0</v>
      </c>
      <c r="BU66" s="110">
        <v>0</v>
      </c>
      <c r="BV66" s="110">
        <v>0</v>
      </c>
      <c r="BW66" s="110">
        <v>0</v>
      </c>
      <c r="BX66" s="110">
        <v>0</v>
      </c>
      <c r="BY66" s="110">
        <v>0</v>
      </c>
      <c r="BZ66" s="110">
        <v>0</v>
      </c>
      <c r="CA66" s="110">
        <v>0</v>
      </c>
      <c r="CB66" s="110">
        <v>0</v>
      </c>
      <c r="CC66" s="110">
        <v>0</v>
      </c>
      <c r="CD66" s="110">
        <v>0</v>
      </c>
      <c r="CE66" s="110">
        <v>0</v>
      </c>
      <c r="CF66" s="110">
        <v>0</v>
      </c>
      <c r="CG66" s="110">
        <v>0</v>
      </c>
    </row>
    <row r="67" spans="1:85" x14ac:dyDescent="0.15">
      <c r="A67" s="188" t="s">
        <v>257</v>
      </c>
      <c r="B67" s="110">
        <v>0</v>
      </c>
      <c r="C67" s="110">
        <v>0</v>
      </c>
      <c r="D67" s="110">
        <v>0</v>
      </c>
      <c r="E67" s="110">
        <v>0</v>
      </c>
      <c r="F67" s="110">
        <v>0</v>
      </c>
      <c r="G67" s="110">
        <v>0</v>
      </c>
      <c r="H67" s="110">
        <v>0</v>
      </c>
      <c r="I67" s="110">
        <v>0</v>
      </c>
      <c r="J67" s="110">
        <v>0</v>
      </c>
      <c r="K67" s="110">
        <v>1</v>
      </c>
      <c r="L67" s="110">
        <v>1</v>
      </c>
      <c r="M67" s="110">
        <v>1</v>
      </c>
      <c r="N67" s="110">
        <v>1</v>
      </c>
      <c r="O67" s="110">
        <v>1</v>
      </c>
      <c r="P67" s="110">
        <v>0</v>
      </c>
      <c r="Q67" s="110">
        <v>0</v>
      </c>
      <c r="R67" s="110">
        <v>0</v>
      </c>
      <c r="S67" s="110">
        <v>1</v>
      </c>
      <c r="T67" s="110">
        <v>1</v>
      </c>
      <c r="U67" s="110">
        <v>0</v>
      </c>
      <c r="V67" s="110">
        <v>1</v>
      </c>
      <c r="W67" s="110">
        <v>1</v>
      </c>
      <c r="X67" s="110">
        <v>1</v>
      </c>
      <c r="Y67" s="110">
        <v>1</v>
      </c>
      <c r="Z67" s="110">
        <v>1</v>
      </c>
      <c r="AA67" s="110">
        <v>1</v>
      </c>
      <c r="AB67" s="110">
        <v>1</v>
      </c>
      <c r="AC67" s="110">
        <v>1</v>
      </c>
      <c r="AD67" s="110">
        <v>1</v>
      </c>
      <c r="AE67" s="110">
        <v>1</v>
      </c>
      <c r="AF67" s="110">
        <v>1</v>
      </c>
      <c r="AG67" s="110">
        <v>1</v>
      </c>
      <c r="AH67" s="110">
        <v>0</v>
      </c>
      <c r="AI67" s="110">
        <v>0</v>
      </c>
      <c r="AJ67" s="110">
        <v>1</v>
      </c>
      <c r="AK67" s="110">
        <v>1</v>
      </c>
      <c r="AL67" s="110">
        <v>1</v>
      </c>
      <c r="AM67" s="110">
        <v>0</v>
      </c>
      <c r="AN67" s="110">
        <v>1</v>
      </c>
      <c r="AO67" s="110">
        <v>0</v>
      </c>
      <c r="AP67" s="110">
        <v>1</v>
      </c>
      <c r="AQ67" s="110">
        <v>1</v>
      </c>
      <c r="AR67" s="110">
        <v>1</v>
      </c>
      <c r="AS67" s="110">
        <v>1</v>
      </c>
      <c r="AT67" s="110">
        <v>1</v>
      </c>
      <c r="AU67" s="110">
        <v>1</v>
      </c>
      <c r="AV67" s="110">
        <v>1</v>
      </c>
      <c r="AW67" s="110">
        <v>1</v>
      </c>
      <c r="AX67" s="110">
        <v>1</v>
      </c>
      <c r="AY67" s="110">
        <v>1</v>
      </c>
      <c r="AZ67" s="110">
        <v>1</v>
      </c>
      <c r="BA67" s="110">
        <v>0</v>
      </c>
      <c r="BB67" s="110">
        <v>0</v>
      </c>
      <c r="BC67" s="110">
        <v>1</v>
      </c>
      <c r="BD67" s="110">
        <v>0</v>
      </c>
      <c r="BE67" s="110">
        <v>1</v>
      </c>
      <c r="BF67" s="110">
        <v>0</v>
      </c>
      <c r="BG67" s="110">
        <v>0</v>
      </c>
      <c r="BH67" s="110">
        <v>0</v>
      </c>
      <c r="BI67" s="110">
        <v>0</v>
      </c>
      <c r="BJ67" s="110">
        <v>1</v>
      </c>
      <c r="BK67" s="110">
        <v>0</v>
      </c>
      <c r="BL67" s="110">
        <v>0</v>
      </c>
      <c r="BM67" s="110">
        <v>0</v>
      </c>
      <c r="BN67" s="110">
        <v>0</v>
      </c>
      <c r="BO67" s="110">
        <v>0</v>
      </c>
      <c r="BP67" s="110">
        <v>0</v>
      </c>
      <c r="BQ67" s="110">
        <v>0</v>
      </c>
      <c r="BR67" s="110">
        <v>0</v>
      </c>
      <c r="BS67" s="110">
        <v>0</v>
      </c>
      <c r="BT67" s="110">
        <v>0</v>
      </c>
      <c r="BU67" s="110">
        <v>0</v>
      </c>
      <c r="BV67" s="110">
        <v>0</v>
      </c>
      <c r="BW67" s="110">
        <v>0</v>
      </c>
      <c r="BX67" s="110">
        <v>0</v>
      </c>
      <c r="BY67" s="110">
        <v>0</v>
      </c>
      <c r="BZ67" s="110">
        <v>0</v>
      </c>
      <c r="CA67" s="110">
        <v>0</v>
      </c>
      <c r="CB67" s="110">
        <v>0</v>
      </c>
      <c r="CC67" s="110">
        <v>0</v>
      </c>
      <c r="CD67" s="110">
        <v>0</v>
      </c>
      <c r="CE67" s="110">
        <v>0</v>
      </c>
      <c r="CF67" s="110">
        <v>0</v>
      </c>
      <c r="CG67" s="110">
        <v>0</v>
      </c>
    </row>
    <row r="68" spans="1:85" x14ac:dyDescent="0.15">
      <c r="A68" s="188" t="s">
        <v>258</v>
      </c>
      <c r="B68" s="110">
        <v>0</v>
      </c>
      <c r="C68" s="110">
        <v>0</v>
      </c>
      <c r="D68" s="110">
        <v>0</v>
      </c>
      <c r="E68" s="110">
        <v>0</v>
      </c>
      <c r="F68" s="110">
        <v>0</v>
      </c>
      <c r="G68" s="110">
        <v>0</v>
      </c>
      <c r="H68" s="110">
        <v>0</v>
      </c>
      <c r="I68" s="110">
        <v>0</v>
      </c>
      <c r="J68" s="110">
        <v>0</v>
      </c>
      <c r="K68" s="110">
        <v>0</v>
      </c>
      <c r="L68" s="110">
        <v>0</v>
      </c>
      <c r="M68" s="110">
        <v>0</v>
      </c>
      <c r="N68" s="110">
        <v>0</v>
      </c>
      <c r="O68" s="110">
        <v>0</v>
      </c>
      <c r="P68" s="110">
        <v>0</v>
      </c>
      <c r="Q68" s="110">
        <v>0</v>
      </c>
      <c r="R68" s="110">
        <v>0</v>
      </c>
      <c r="S68" s="110">
        <v>0</v>
      </c>
      <c r="T68" s="110">
        <v>0</v>
      </c>
      <c r="U68" s="110">
        <v>0</v>
      </c>
      <c r="V68" s="110">
        <v>0</v>
      </c>
      <c r="W68" s="110">
        <v>0</v>
      </c>
      <c r="X68" s="110">
        <v>0</v>
      </c>
      <c r="Y68" s="110">
        <v>0</v>
      </c>
      <c r="Z68" s="110">
        <v>0</v>
      </c>
      <c r="AA68" s="110">
        <v>0</v>
      </c>
      <c r="AB68" s="110">
        <v>0</v>
      </c>
      <c r="AC68" s="110">
        <v>0</v>
      </c>
      <c r="AD68" s="110">
        <v>0</v>
      </c>
      <c r="AE68" s="110">
        <v>0</v>
      </c>
      <c r="AF68" s="110">
        <v>0</v>
      </c>
      <c r="AG68" s="110">
        <v>0</v>
      </c>
      <c r="AH68" s="110">
        <v>0</v>
      </c>
      <c r="AI68" s="110">
        <v>0</v>
      </c>
      <c r="AJ68" s="110">
        <v>0</v>
      </c>
      <c r="AK68" s="110">
        <v>0</v>
      </c>
      <c r="AL68" s="110">
        <v>0</v>
      </c>
      <c r="AM68" s="110">
        <v>0</v>
      </c>
      <c r="AN68" s="110">
        <v>1</v>
      </c>
      <c r="AO68" s="110">
        <v>0</v>
      </c>
      <c r="AP68" s="110">
        <v>0</v>
      </c>
      <c r="AQ68" s="110">
        <v>1</v>
      </c>
      <c r="AR68" s="110">
        <v>1</v>
      </c>
      <c r="AS68" s="110">
        <v>0</v>
      </c>
      <c r="AT68" s="110">
        <v>1</v>
      </c>
      <c r="AU68" s="110">
        <v>1</v>
      </c>
      <c r="AV68" s="110">
        <v>1</v>
      </c>
      <c r="AW68" s="110">
        <v>1</v>
      </c>
      <c r="AX68" s="110">
        <v>1</v>
      </c>
      <c r="AY68" s="110">
        <v>1</v>
      </c>
      <c r="AZ68" s="110">
        <v>0</v>
      </c>
      <c r="BA68" s="110">
        <v>1</v>
      </c>
      <c r="BB68" s="110">
        <v>1</v>
      </c>
      <c r="BC68" s="110">
        <v>0</v>
      </c>
      <c r="BD68" s="110">
        <v>1</v>
      </c>
      <c r="BE68" s="110">
        <v>0</v>
      </c>
      <c r="BF68" s="110">
        <v>1</v>
      </c>
      <c r="BG68" s="110">
        <v>1</v>
      </c>
      <c r="BH68" s="110">
        <v>0</v>
      </c>
      <c r="BI68" s="110">
        <v>0</v>
      </c>
      <c r="BJ68" s="110">
        <v>0</v>
      </c>
      <c r="BK68" s="110">
        <v>1</v>
      </c>
      <c r="BL68" s="110">
        <v>1</v>
      </c>
      <c r="BM68" s="110">
        <v>1</v>
      </c>
      <c r="BN68" s="110">
        <v>1</v>
      </c>
      <c r="BO68" s="110">
        <v>1</v>
      </c>
      <c r="BP68" s="110">
        <v>0</v>
      </c>
      <c r="BQ68" s="110">
        <v>0</v>
      </c>
      <c r="BR68" s="110">
        <v>0</v>
      </c>
      <c r="BS68" s="110">
        <v>0</v>
      </c>
      <c r="BT68" s="110">
        <v>0</v>
      </c>
      <c r="BU68" s="110">
        <v>0</v>
      </c>
      <c r="BV68" s="110">
        <v>0</v>
      </c>
      <c r="BW68" s="110">
        <v>0</v>
      </c>
      <c r="BX68" s="110">
        <v>0</v>
      </c>
      <c r="BY68" s="110">
        <v>0</v>
      </c>
      <c r="BZ68" s="110">
        <v>0</v>
      </c>
      <c r="CA68" s="110">
        <v>0</v>
      </c>
      <c r="CB68" s="110">
        <v>0</v>
      </c>
      <c r="CC68" s="110">
        <v>0</v>
      </c>
      <c r="CD68" s="110">
        <v>0</v>
      </c>
      <c r="CE68" s="110">
        <v>0</v>
      </c>
      <c r="CF68" s="110">
        <v>0</v>
      </c>
      <c r="CG68" s="110">
        <v>0</v>
      </c>
    </row>
    <row r="69" spans="1:85" x14ac:dyDescent="0.15">
      <c r="A69" s="188" t="s">
        <v>259</v>
      </c>
      <c r="B69" s="110">
        <v>0</v>
      </c>
      <c r="C69" s="110">
        <v>0</v>
      </c>
      <c r="D69" s="110">
        <v>0</v>
      </c>
      <c r="E69" s="110">
        <v>0</v>
      </c>
      <c r="F69" s="110">
        <v>0</v>
      </c>
      <c r="G69" s="110">
        <v>0</v>
      </c>
      <c r="H69" s="110">
        <v>0</v>
      </c>
      <c r="I69" s="110">
        <v>0</v>
      </c>
      <c r="J69" s="110">
        <v>0</v>
      </c>
      <c r="K69" s="110">
        <v>0</v>
      </c>
      <c r="L69" s="110">
        <v>0</v>
      </c>
      <c r="M69" s="110">
        <v>0</v>
      </c>
      <c r="N69" s="110">
        <v>0</v>
      </c>
      <c r="O69" s="110">
        <v>0</v>
      </c>
      <c r="P69" s="110">
        <v>0</v>
      </c>
      <c r="Q69" s="110">
        <v>0</v>
      </c>
      <c r="R69" s="110">
        <v>0</v>
      </c>
      <c r="S69" s="110">
        <v>0</v>
      </c>
      <c r="T69" s="110">
        <v>1</v>
      </c>
      <c r="U69" s="110">
        <v>0</v>
      </c>
      <c r="V69" s="110">
        <v>1</v>
      </c>
      <c r="W69" s="110">
        <v>0</v>
      </c>
      <c r="X69" s="110">
        <v>0</v>
      </c>
      <c r="Y69" s="110">
        <v>0</v>
      </c>
      <c r="Z69" s="110">
        <v>1</v>
      </c>
      <c r="AA69" s="110">
        <v>1</v>
      </c>
      <c r="AB69" s="110">
        <v>1</v>
      </c>
      <c r="AC69" s="110">
        <v>0</v>
      </c>
      <c r="AD69" s="110">
        <v>0</v>
      </c>
      <c r="AE69" s="110">
        <v>0</v>
      </c>
      <c r="AF69" s="110">
        <v>0</v>
      </c>
      <c r="AG69" s="110">
        <v>0</v>
      </c>
      <c r="AH69" s="110">
        <v>0</v>
      </c>
      <c r="AI69" s="110">
        <v>0</v>
      </c>
      <c r="AJ69" s="110">
        <v>0</v>
      </c>
      <c r="AK69" s="110">
        <v>0</v>
      </c>
      <c r="AL69" s="110">
        <v>0</v>
      </c>
      <c r="AM69" s="110">
        <v>0</v>
      </c>
      <c r="AN69" s="110">
        <v>0</v>
      </c>
      <c r="AO69" s="110">
        <v>0</v>
      </c>
      <c r="AP69" s="110">
        <v>0</v>
      </c>
      <c r="AQ69" s="110">
        <v>1</v>
      </c>
      <c r="AR69" s="110">
        <v>1</v>
      </c>
      <c r="AS69" s="110">
        <v>1</v>
      </c>
      <c r="AT69" s="110">
        <v>1</v>
      </c>
      <c r="AU69" s="110">
        <v>1</v>
      </c>
      <c r="AV69" s="110">
        <v>1</v>
      </c>
      <c r="AW69" s="110">
        <v>1</v>
      </c>
      <c r="AX69" s="110">
        <v>1</v>
      </c>
      <c r="AY69" s="110">
        <v>1</v>
      </c>
      <c r="AZ69" s="110">
        <v>0</v>
      </c>
      <c r="BA69" s="110">
        <v>0</v>
      </c>
      <c r="BB69" s="110">
        <v>0</v>
      </c>
      <c r="BC69" s="110">
        <v>0</v>
      </c>
      <c r="BD69" s="110">
        <v>0</v>
      </c>
      <c r="BE69" s="110">
        <v>0</v>
      </c>
      <c r="BF69" s="110">
        <v>1</v>
      </c>
      <c r="BG69" s="110">
        <v>1</v>
      </c>
      <c r="BH69" s="110">
        <v>0</v>
      </c>
      <c r="BI69" s="110">
        <v>0</v>
      </c>
      <c r="BJ69" s="110">
        <v>0</v>
      </c>
      <c r="BK69" s="110">
        <v>0</v>
      </c>
      <c r="BL69" s="110">
        <v>0</v>
      </c>
      <c r="BM69" s="110">
        <v>0</v>
      </c>
      <c r="BN69" s="110">
        <v>0</v>
      </c>
      <c r="BO69" s="110">
        <v>1</v>
      </c>
      <c r="BP69" s="110">
        <v>0</v>
      </c>
      <c r="BQ69" s="110">
        <v>0</v>
      </c>
      <c r="BR69" s="110">
        <v>0</v>
      </c>
      <c r="BS69" s="110">
        <v>0</v>
      </c>
      <c r="BT69" s="110">
        <v>0</v>
      </c>
      <c r="BU69" s="110">
        <v>0</v>
      </c>
      <c r="BV69" s="110">
        <v>0</v>
      </c>
      <c r="BW69" s="110">
        <v>0</v>
      </c>
      <c r="BX69" s="110">
        <v>0</v>
      </c>
      <c r="BY69" s="110">
        <v>0</v>
      </c>
      <c r="BZ69" s="110">
        <v>0</v>
      </c>
      <c r="CA69" s="110">
        <v>0</v>
      </c>
      <c r="CB69" s="110">
        <v>0</v>
      </c>
      <c r="CC69" s="110">
        <v>0</v>
      </c>
      <c r="CD69" s="110">
        <v>0</v>
      </c>
      <c r="CE69" s="110">
        <v>0</v>
      </c>
      <c r="CF69" s="110">
        <v>0</v>
      </c>
      <c r="CG69" s="110">
        <v>0</v>
      </c>
    </row>
    <row r="70" spans="1:85" x14ac:dyDescent="0.15">
      <c r="A70" s="188" t="s">
        <v>260</v>
      </c>
      <c r="B70" s="110">
        <v>0</v>
      </c>
      <c r="C70" s="110">
        <v>0</v>
      </c>
      <c r="D70" s="110">
        <v>0</v>
      </c>
      <c r="E70" s="110">
        <v>1</v>
      </c>
      <c r="F70" s="110">
        <v>0</v>
      </c>
      <c r="G70" s="110">
        <v>0</v>
      </c>
      <c r="H70" s="110">
        <v>0</v>
      </c>
      <c r="I70" s="110">
        <v>0</v>
      </c>
      <c r="J70" s="110">
        <v>0</v>
      </c>
      <c r="K70" s="110">
        <v>0</v>
      </c>
      <c r="L70" s="110">
        <v>1</v>
      </c>
      <c r="M70" s="110">
        <v>0</v>
      </c>
      <c r="N70" s="110">
        <v>0</v>
      </c>
      <c r="O70" s="110">
        <v>0</v>
      </c>
      <c r="P70" s="110">
        <v>0</v>
      </c>
      <c r="Q70" s="110">
        <v>0</v>
      </c>
      <c r="R70" s="110">
        <v>0</v>
      </c>
      <c r="S70" s="110">
        <v>0</v>
      </c>
      <c r="T70" s="110">
        <v>0</v>
      </c>
      <c r="U70" s="110">
        <v>0</v>
      </c>
      <c r="V70" s="110">
        <v>0</v>
      </c>
      <c r="W70" s="110">
        <v>0</v>
      </c>
      <c r="X70" s="110">
        <v>0</v>
      </c>
      <c r="Y70" s="110">
        <v>0</v>
      </c>
      <c r="Z70" s="110">
        <v>0</v>
      </c>
      <c r="AA70" s="110">
        <v>0</v>
      </c>
      <c r="AB70" s="110">
        <v>0</v>
      </c>
      <c r="AC70" s="110">
        <v>0</v>
      </c>
      <c r="AD70" s="110">
        <v>0</v>
      </c>
      <c r="AE70" s="110">
        <v>0</v>
      </c>
      <c r="AF70" s="110">
        <v>0</v>
      </c>
      <c r="AG70" s="110">
        <v>0</v>
      </c>
      <c r="AH70" s="110">
        <v>0</v>
      </c>
      <c r="AI70" s="110">
        <v>0</v>
      </c>
      <c r="AJ70" s="110">
        <v>0</v>
      </c>
      <c r="AK70" s="110">
        <v>0</v>
      </c>
      <c r="AL70" s="110">
        <v>0</v>
      </c>
      <c r="AM70" s="110">
        <v>0</v>
      </c>
      <c r="AN70" s="110">
        <v>0</v>
      </c>
      <c r="AO70" s="110">
        <v>1</v>
      </c>
      <c r="AP70" s="110">
        <v>0</v>
      </c>
      <c r="AQ70" s="110">
        <v>0</v>
      </c>
      <c r="AR70" s="110">
        <v>0</v>
      </c>
      <c r="AS70" s="110">
        <v>0</v>
      </c>
      <c r="AT70" s="110">
        <v>0</v>
      </c>
      <c r="AU70" s="110">
        <v>0</v>
      </c>
      <c r="AV70" s="110">
        <v>0</v>
      </c>
      <c r="AW70" s="110">
        <v>0</v>
      </c>
      <c r="AX70" s="110">
        <v>0</v>
      </c>
      <c r="AY70" s="110">
        <v>0</v>
      </c>
      <c r="AZ70" s="110">
        <v>0</v>
      </c>
      <c r="BA70" s="110">
        <v>0</v>
      </c>
      <c r="BB70" s="110">
        <v>0</v>
      </c>
      <c r="BC70" s="110">
        <v>0</v>
      </c>
      <c r="BD70" s="110">
        <v>0</v>
      </c>
      <c r="BE70" s="110">
        <v>0</v>
      </c>
      <c r="BF70" s="110">
        <v>0</v>
      </c>
      <c r="BG70" s="110">
        <v>0</v>
      </c>
      <c r="BH70" s="110">
        <v>0</v>
      </c>
      <c r="BI70" s="110">
        <v>0</v>
      </c>
      <c r="BJ70" s="110">
        <v>0</v>
      </c>
      <c r="BK70" s="110">
        <v>1</v>
      </c>
      <c r="BL70" s="110">
        <v>0</v>
      </c>
      <c r="BM70" s="110">
        <v>0</v>
      </c>
      <c r="BN70" s="110">
        <v>0</v>
      </c>
      <c r="BO70" s="110">
        <v>0</v>
      </c>
      <c r="BP70" s="110">
        <v>0</v>
      </c>
      <c r="BQ70" s="110">
        <v>0</v>
      </c>
      <c r="BR70" s="110">
        <v>0</v>
      </c>
      <c r="BS70" s="110">
        <v>0</v>
      </c>
      <c r="BT70" s="110">
        <v>0</v>
      </c>
      <c r="BU70" s="110">
        <v>0</v>
      </c>
      <c r="BV70" s="110">
        <v>0</v>
      </c>
      <c r="BW70" s="110">
        <v>0</v>
      </c>
      <c r="BX70" s="110">
        <v>0</v>
      </c>
      <c r="BY70" s="110">
        <v>0</v>
      </c>
      <c r="BZ70" s="110">
        <v>0</v>
      </c>
      <c r="CA70" s="110">
        <v>0</v>
      </c>
      <c r="CB70" s="110">
        <v>0</v>
      </c>
      <c r="CC70" s="110">
        <v>0</v>
      </c>
      <c r="CD70" s="110">
        <v>0</v>
      </c>
      <c r="CE70" s="110">
        <v>0</v>
      </c>
      <c r="CF70" s="110">
        <v>0</v>
      </c>
      <c r="CG70" s="110">
        <v>0</v>
      </c>
    </row>
    <row r="71" spans="1:85" x14ac:dyDescent="0.15">
      <c r="A71" s="188" t="s">
        <v>261</v>
      </c>
      <c r="B71" s="110">
        <v>0</v>
      </c>
      <c r="C71" s="110">
        <v>0</v>
      </c>
      <c r="D71" s="110">
        <v>0</v>
      </c>
      <c r="E71" s="110">
        <v>1</v>
      </c>
      <c r="F71" s="110">
        <v>0</v>
      </c>
      <c r="G71" s="110">
        <v>0</v>
      </c>
      <c r="H71" s="110">
        <v>0</v>
      </c>
      <c r="I71" s="110">
        <v>0</v>
      </c>
      <c r="J71" s="110">
        <v>0</v>
      </c>
      <c r="K71" s="110">
        <v>0</v>
      </c>
      <c r="L71" s="110">
        <v>0</v>
      </c>
      <c r="M71" s="110">
        <v>0</v>
      </c>
      <c r="N71" s="110">
        <v>0</v>
      </c>
      <c r="O71" s="110">
        <v>0</v>
      </c>
      <c r="P71" s="110">
        <v>0</v>
      </c>
      <c r="Q71" s="110">
        <v>0</v>
      </c>
      <c r="R71" s="110">
        <v>0</v>
      </c>
      <c r="S71" s="110">
        <v>0</v>
      </c>
      <c r="T71" s="110">
        <v>0</v>
      </c>
      <c r="U71" s="110">
        <v>0</v>
      </c>
      <c r="V71" s="110">
        <v>0</v>
      </c>
      <c r="W71" s="110">
        <v>0</v>
      </c>
      <c r="X71" s="110">
        <v>0</v>
      </c>
      <c r="Y71" s="110">
        <v>0</v>
      </c>
      <c r="Z71" s="110">
        <v>0</v>
      </c>
      <c r="AA71" s="110">
        <v>0</v>
      </c>
      <c r="AB71" s="110">
        <v>1</v>
      </c>
      <c r="AC71" s="110">
        <v>0</v>
      </c>
      <c r="AD71" s="110">
        <v>0</v>
      </c>
      <c r="AE71" s="110">
        <v>0</v>
      </c>
      <c r="AF71" s="110">
        <v>0</v>
      </c>
      <c r="AG71" s="110">
        <v>0</v>
      </c>
      <c r="AH71" s="110">
        <v>0</v>
      </c>
      <c r="AI71" s="110">
        <v>0</v>
      </c>
      <c r="AJ71" s="110">
        <v>0</v>
      </c>
      <c r="AK71" s="110">
        <v>0</v>
      </c>
      <c r="AL71" s="110">
        <v>0</v>
      </c>
      <c r="AM71" s="110">
        <v>1</v>
      </c>
      <c r="AN71" s="110">
        <v>0</v>
      </c>
      <c r="AO71" s="110">
        <v>1</v>
      </c>
      <c r="AP71" s="110">
        <v>0</v>
      </c>
      <c r="AQ71" s="110">
        <v>0</v>
      </c>
      <c r="AR71" s="110">
        <v>0</v>
      </c>
      <c r="AS71" s="110">
        <v>0</v>
      </c>
      <c r="AT71" s="110">
        <v>0</v>
      </c>
      <c r="AU71" s="110">
        <v>0</v>
      </c>
      <c r="AV71" s="110">
        <v>0</v>
      </c>
      <c r="AW71" s="110">
        <v>0</v>
      </c>
      <c r="AX71" s="110">
        <v>0</v>
      </c>
      <c r="AY71" s="110">
        <v>0</v>
      </c>
      <c r="AZ71" s="110">
        <v>0</v>
      </c>
      <c r="BA71" s="110">
        <v>0</v>
      </c>
      <c r="BB71" s="110">
        <v>0</v>
      </c>
      <c r="BC71" s="110">
        <v>0</v>
      </c>
      <c r="BD71" s="110">
        <v>0</v>
      </c>
      <c r="BE71" s="110">
        <v>0</v>
      </c>
      <c r="BF71" s="110">
        <v>0</v>
      </c>
      <c r="BG71" s="110">
        <v>0</v>
      </c>
      <c r="BH71" s="110">
        <v>0</v>
      </c>
      <c r="BI71" s="110">
        <v>0</v>
      </c>
      <c r="BJ71" s="110">
        <v>0</v>
      </c>
      <c r="BK71" s="110">
        <v>1</v>
      </c>
      <c r="BL71" s="110">
        <v>0</v>
      </c>
      <c r="BM71" s="110">
        <v>0</v>
      </c>
      <c r="BN71" s="110">
        <v>0</v>
      </c>
      <c r="BO71" s="110">
        <v>0</v>
      </c>
      <c r="BP71" s="110">
        <v>0</v>
      </c>
      <c r="BQ71" s="110">
        <v>0</v>
      </c>
      <c r="BR71" s="110">
        <v>1</v>
      </c>
      <c r="BS71" s="110">
        <v>0</v>
      </c>
      <c r="BT71" s="110">
        <v>0</v>
      </c>
      <c r="BU71" s="110">
        <v>0</v>
      </c>
      <c r="BV71" s="110">
        <v>0</v>
      </c>
      <c r="BW71" s="110">
        <v>0</v>
      </c>
      <c r="BX71" s="110">
        <v>0</v>
      </c>
      <c r="BY71" s="110">
        <v>0</v>
      </c>
      <c r="BZ71" s="110">
        <v>0</v>
      </c>
      <c r="CA71" s="110">
        <v>0</v>
      </c>
      <c r="CB71" s="110">
        <v>0</v>
      </c>
      <c r="CC71" s="110">
        <v>0</v>
      </c>
      <c r="CD71" s="110">
        <v>0</v>
      </c>
      <c r="CE71" s="110">
        <v>0</v>
      </c>
      <c r="CF71" s="110">
        <v>0</v>
      </c>
      <c r="CG71" s="110">
        <v>0</v>
      </c>
    </row>
    <row r="72" spans="1:85" x14ac:dyDescent="0.15">
      <c r="A72" s="188" t="s">
        <v>262</v>
      </c>
      <c r="B72" s="110">
        <v>0</v>
      </c>
      <c r="C72" s="110">
        <v>0</v>
      </c>
      <c r="D72" s="110">
        <v>0</v>
      </c>
      <c r="E72" s="110">
        <v>0</v>
      </c>
      <c r="F72" s="110">
        <v>0</v>
      </c>
      <c r="G72" s="110">
        <v>0</v>
      </c>
      <c r="H72" s="110">
        <v>0</v>
      </c>
      <c r="I72" s="110">
        <v>0</v>
      </c>
      <c r="J72" s="110">
        <v>0</v>
      </c>
      <c r="K72" s="110">
        <v>0</v>
      </c>
      <c r="L72" s="110">
        <v>0</v>
      </c>
      <c r="M72" s="110">
        <v>0</v>
      </c>
      <c r="N72" s="110">
        <v>0</v>
      </c>
      <c r="O72" s="110">
        <v>0</v>
      </c>
      <c r="P72" s="110">
        <v>0</v>
      </c>
      <c r="Q72" s="110">
        <v>0</v>
      </c>
      <c r="R72" s="110">
        <v>0</v>
      </c>
      <c r="S72" s="110">
        <v>1</v>
      </c>
      <c r="T72" s="110">
        <v>1</v>
      </c>
      <c r="U72" s="110">
        <v>1</v>
      </c>
      <c r="V72" s="110">
        <v>1</v>
      </c>
      <c r="W72" s="110">
        <v>1</v>
      </c>
      <c r="X72" s="110">
        <v>1</v>
      </c>
      <c r="Y72" s="110">
        <v>1</v>
      </c>
      <c r="Z72" s="110">
        <v>1</v>
      </c>
      <c r="AA72" s="110">
        <v>1</v>
      </c>
      <c r="AB72" s="110">
        <v>1</v>
      </c>
      <c r="AC72" s="110">
        <v>1</v>
      </c>
      <c r="AD72" s="110">
        <v>1</v>
      </c>
      <c r="AE72" s="110">
        <v>1</v>
      </c>
      <c r="AF72" s="110">
        <v>1</v>
      </c>
      <c r="AG72" s="110">
        <v>0</v>
      </c>
      <c r="AH72" s="110">
        <v>0</v>
      </c>
      <c r="AI72" s="110">
        <v>1</v>
      </c>
      <c r="AJ72" s="110">
        <v>1</v>
      </c>
      <c r="AK72" s="110">
        <v>1</v>
      </c>
      <c r="AL72" s="110">
        <v>1</v>
      </c>
      <c r="AM72" s="110">
        <v>1</v>
      </c>
      <c r="AN72" s="110">
        <v>0</v>
      </c>
      <c r="AO72" s="110">
        <v>1</v>
      </c>
      <c r="AP72" s="110">
        <v>0</v>
      </c>
      <c r="AQ72" s="110">
        <v>0</v>
      </c>
      <c r="AR72" s="110">
        <v>0</v>
      </c>
      <c r="AS72" s="110">
        <v>0</v>
      </c>
      <c r="AT72" s="110">
        <v>0</v>
      </c>
      <c r="AU72" s="110">
        <v>0</v>
      </c>
      <c r="AV72" s="110">
        <v>0</v>
      </c>
      <c r="AW72" s="110">
        <v>0</v>
      </c>
      <c r="AX72" s="110">
        <v>0</v>
      </c>
      <c r="AY72" s="110">
        <v>0</v>
      </c>
      <c r="AZ72" s="110">
        <v>0</v>
      </c>
      <c r="BA72" s="110">
        <v>0</v>
      </c>
      <c r="BB72" s="110">
        <v>0</v>
      </c>
      <c r="BC72" s="110">
        <v>0</v>
      </c>
      <c r="BD72" s="110">
        <v>0</v>
      </c>
      <c r="BE72" s="110">
        <v>0</v>
      </c>
      <c r="BF72" s="110">
        <v>0</v>
      </c>
      <c r="BG72" s="110">
        <v>0</v>
      </c>
      <c r="BH72" s="110">
        <v>0</v>
      </c>
      <c r="BI72" s="110">
        <v>1</v>
      </c>
      <c r="BJ72" s="110">
        <v>0</v>
      </c>
      <c r="BK72" s="110">
        <v>1</v>
      </c>
      <c r="BL72" s="110">
        <v>0</v>
      </c>
      <c r="BM72" s="110">
        <v>0</v>
      </c>
      <c r="BN72" s="110">
        <v>0</v>
      </c>
      <c r="BO72" s="110">
        <v>0</v>
      </c>
      <c r="BP72" s="110">
        <v>0</v>
      </c>
      <c r="BQ72" s="110">
        <v>1</v>
      </c>
      <c r="BR72" s="110">
        <v>1</v>
      </c>
      <c r="BS72" s="110">
        <v>1</v>
      </c>
      <c r="BT72" s="110">
        <v>1</v>
      </c>
      <c r="BU72" s="110">
        <v>1</v>
      </c>
      <c r="BV72" s="110">
        <v>0</v>
      </c>
      <c r="BW72" s="110">
        <v>0</v>
      </c>
      <c r="BX72" s="110">
        <v>0</v>
      </c>
      <c r="BY72" s="110">
        <v>0</v>
      </c>
      <c r="BZ72" s="110">
        <v>0</v>
      </c>
      <c r="CA72" s="110">
        <v>0</v>
      </c>
      <c r="CB72" s="110">
        <v>0</v>
      </c>
      <c r="CC72" s="110">
        <v>0</v>
      </c>
      <c r="CD72" s="110">
        <v>0</v>
      </c>
      <c r="CE72" s="110">
        <v>0</v>
      </c>
      <c r="CF72" s="110">
        <v>0</v>
      </c>
      <c r="CG72" s="110">
        <v>0</v>
      </c>
    </row>
    <row r="73" spans="1:85" x14ac:dyDescent="0.15">
      <c r="A73" s="188" t="s">
        <v>263</v>
      </c>
      <c r="B73" s="110">
        <v>0</v>
      </c>
      <c r="C73" s="110">
        <v>0</v>
      </c>
      <c r="D73" s="110">
        <v>0</v>
      </c>
      <c r="E73" s="110">
        <v>0</v>
      </c>
      <c r="F73" s="110">
        <v>0</v>
      </c>
      <c r="G73" s="110">
        <v>0</v>
      </c>
      <c r="H73" s="110">
        <v>0</v>
      </c>
      <c r="I73" s="110">
        <v>0</v>
      </c>
      <c r="J73" s="110">
        <v>0</v>
      </c>
      <c r="K73" s="110">
        <v>0</v>
      </c>
      <c r="L73" s="110">
        <v>0</v>
      </c>
      <c r="M73" s="110">
        <v>0</v>
      </c>
      <c r="N73" s="110">
        <v>0</v>
      </c>
      <c r="O73" s="110">
        <v>0</v>
      </c>
      <c r="P73" s="110">
        <v>0</v>
      </c>
      <c r="Q73" s="110">
        <v>0</v>
      </c>
      <c r="R73" s="110">
        <v>0</v>
      </c>
      <c r="S73" s="110">
        <v>0</v>
      </c>
      <c r="T73" s="110">
        <v>0</v>
      </c>
      <c r="U73" s="110">
        <v>0</v>
      </c>
      <c r="V73" s="110">
        <v>0</v>
      </c>
      <c r="W73" s="110">
        <v>0</v>
      </c>
      <c r="X73" s="110">
        <v>0</v>
      </c>
      <c r="Y73" s="110">
        <v>0</v>
      </c>
      <c r="Z73" s="110">
        <v>0</v>
      </c>
      <c r="AA73" s="110">
        <v>0</v>
      </c>
      <c r="AB73" s="110">
        <v>1</v>
      </c>
      <c r="AC73" s="110">
        <v>1</v>
      </c>
      <c r="AD73" s="110">
        <v>0</v>
      </c>
      <c r="AE73" s="110">
        <v>1</v>
      </c>
      <c r="AF73" s="110">
        <v>0</v>
      </c>
      <c r="AG73" s="110">
        <v>0</v>
      </c>
      <c r="AH73" s="110">
        <v>0</v>
      </c>
      <c r="AI73" s="110">
        <v>0</v>
      </c>
      <c r="AJ73" s="110">
        <v>0</v>
      </c>
      <c r="AK73" s="110">
        <v>0</v>
      </c>
      <c r="AL73" s="110">
        <v>0</v>
      </c>
      <c r="AM73" s="110">
        <v>1</v>
      </c>
      <c r="AN73" s="110">
        <v>0</v>
      </c>
      <c r="AO73" s="110">
        <v>1</v>
      </c>
      <c r="AP73" s="110">
        <v>0</v>
      </c>
      <c r="AQ73" s="110">
        <v>0</v>
      </c>
      <c r="AR73" s="110">
        <v>0</v>
      </c>
      <c r="AS73" s="110">
        <v>0</v>
      </c>
      <c r="AT73" s="110">
        <v>0</v>
      </c>
      <c r="AU73" s="110">
        <v>0</v>
      </c>
      <c r="AV73" s="110">
        <v>0</v>
      </c>
      <c r="AW73" s="110">
        <v>0</v>
      </c>
      <c r="AX73" s="110">
        <v>0</v>
      </c>
      <c r="AY73" s="110">
        <v>0</v>
      </c>
      <c r="AZ73" s="110">
        <v>0</v>
      </c>
      <c r="BA73" s="110">
        <v>0</v>
      </c>
      <c r="BB73" s="110">
        <v>0</v>
      </c>
      <c r="BC73" s="110">
        <v>0</v>
      </c>
      <c r="BD73" s="110">
        <v>0</v>
      </c>
      <c r="BE73" s="110">
        <v>0</v>
      </c>
      <c r="BF73" s="110">
        <v>0</v>
      </c>
      <c r="BG73" s="110">
        <v>0</v>
      </c>
      <c r="BH73" s="110">
        <v>0</v>
      </c>
      <c r="BI73" s="110">
        <v>0</v>
      </c>
      <c r="BJ73" s="110">
        <v>0</v>
      </c>
      <c r="BK73" s="110">
        <v>1</v>
      </c>
      <c r="BL73" s="110">
        <v>0</v>
      </c>
      <c r="BM73" s="110">
        <v>0</v>
      </c>
      <c r="BN73" s="110">
        <v>0</v>
      </c>
      <c r="BO73" s="110">
        <v>0</v>
      </c>
      <c r="BP73" s="110">
        <v>0</v>
      </c>
      <c r="BQ73" s="110">
        <v>0</v>
      </c>
      <c r="BR73" s="110">
        <v>1</v>
      </c>
      <c r="BS73" s="110">
        <v>1</v>
      </c>
      <c r="BT73" s="110">
        <v>0</v>
      </c>
      <c r="BU73" s="110">
        <v>0</v>
      </c>
      <c r="BV73" s="110">
        <v>0</v>
      </c>
      <c r="BW73" s="110">
        <v>0</v>
      </c>
      <c r="BX73" s="110">
        <v>0</v>
      </c>
      <c r="BY73" s="110">
        <v>0</v>
      </c>
      <c r="BZ73" s="110">
        <v>0</v>
      </c>
      <c r="CA73" s="110">
        <v>0</v>
      </c>
      <c r="CB73" s="110">
        <v>0</v>
      </c>
      <c r="CC73" s="110">
        <v>0</v>
      </c>
      <c r="CD73" s="110">
        <v>0</v>
      </c>
      <c r="CE73" s="110">
        <v>0</v>
      </c>
      <c r="CF73" s="110">
        <v>0</v>
      </c>
      <c r="CG73" s="110">
        <v>0</v>
      </c>
    </row>
    <row r="74" spans="1:85" x14ac:dyDescent="0.15">
      <c r="A74" s="188" t="s">
        <v>264</v>
      </c>
      <c r="B74" s="110">
        <v>0</v>
      </c>
      <c r="C74" s="110">
        <v>0</v>
      </c>
      <c r="D74" s="110">
        <v>0</v>
      </c>
      <c r="E74" s="110">
        <v>0</v>
      </c>
      <c r="F74" s="110">
        <v>0</v>
      </c>
      <c r="G74" s="110">
        <v>0</v>
      </c>
      <c r="H74" s="110">
        <v>0</v>
      </c>
      <c r="I74" s="110">
        <v>0</v>
      </c>
      <c r="J74" s="110">
        <v>0</v>
      </c>
      <c r="K74" s="110">
        <v>0</v>
      </c>
      <c r="L74" s="110">
        <v>0</v>
      </c>
      <c r="M74" s="110">
        <v>0</v>
      </c>
      <c r="N74" s="110">
        <v>0</v>
      </c>
      <c r="O74" s="110">
        <v>0</v>
      </c>
      <c r="P74" s="110">
        <v>0</v>
      </c>
      <c r="Q74" s="110">
        <v>0</v>
      </c>
      <c r="R74" s="110">
        <v>0</v>
      </c>
      <c r="S74" s="110">
        <v>1</v>
      </c>
      <c r="T74" s="110">
        <v>1</v>
      </c>
      <c r="U74" s="110">
        <v>0</v>
      </c>
      <c r="V74" s="110">
        <v>1</v>
      </c>
      <c r="W74" s="110">
        <v>1</v>
      </c>
      <c r="X74" s="110">
        <v>1</v>
      </c>
      <c r="Y74" s="110">
        <v>1</v>
      </c>
      <c r="Z74" s="110">
        <v>0</v>
      </c>
      <c r="AA74" s="110">
        <v>1</v>
      </c>
      <c r="AB74" s="110">
        <v>1</v>
      </c>
      <c r="AC74" s="110">
        <v>1</v>
      </c>
      <c r="AD74" s="110">
        <v>0</v>
      </c>
      <c r="AE74" s="110">
        <v>1</v>
      </c>
      <c r="AF74" s="110">
        <v>1</v>
      </c>
      <c r="AG74" s="110">
        <v>0</v>
      </c>
      <c r="AH74" s="110">
        <v>0</v>
      </c>
      <c r="AI74" s="110">
        <v>0</v>
      </c>
      <c r="AJ74" s="110">
        <v>0</v>
      </c>
      <c r="AK74" s="110">
        <v>0</v>
      </c>
      <c r="AL74" s="110">
        <v>0</v>
      </c>
      <c r="AM74" s="110">
        <v>0</v>
      </c>
      <c r="AN74" s="110">
        <v>0</v>
      </c>
      <c r="AO74" s="110">
        <v>0</v>
      </c>
      <c r="AP74" s="110">
        <v>0</v>
      </c>
      <c r="AQ74" s="110">
        <v>1</v>
      </c>
      <c r="AR74" s="110">
        <v>0</v>
      </c>
      <c r="AS74" s="110">
        <v>0</v>
      </c>
      <c r="AT74" s="110">
        <v>0</v>
      </c>
      <c r="AU74" s="110">
        <v>0</v>
      </c>
      <c r="AV74" s="110">
        <v>0</v>
      </c>
      <c r="AW74" s="110">
        <v>0</v>
      </c>
      <c r="AX74" s="110">
        <v>0</v>
      </c>
      <c r="AY74" s="110">
        <v>0</v>
      </c>
      <c r="AZ74" s="110">
        <v>1</v>
      </c>
      <c r="BA74" s="110">
        <v>0</v>
      </c>
      <c r="BB74" s="110">
        <v>0</v>
      </c>
      <c r="BC74" s="110">
        <v>0</v>
      </c>
      <c r="BD74" s="110">
        <v>0</v>
      </c>
      <c r="BE74" s="110">
        <v>0</v>
      </c>
      <c r="BF74" s="110">
        <v>0</v>
      </c>
      <c r="BG74" s="110">
        <v>0</v>
      </c>
      <c r="BH74" s="110">
        <v>0</v>
      </c>
      <c r="BI74" s="110">
        <v>0</v>
      </c>
      <c r="BJ74" s="110">
        <v>0</v>
      </c>
      <c r="BK74" s="110">
        <v>0</v>
      </c>
      <c r="BL74" s="110">
        <v>0</v>
      </c>
      <c r="BM74" s="110">
        <v>0</v>
      </c>
      <c r="BN74" s="110">
        <v>0</v>
      </c>
      <c r="BO74" s="110">
        <v>0</v>
      </c>
      <c r="BP74" s="110">
        <v>0</v>
      </c>
      <c r="BQ74" s="110">
        <v>0</v>
      </c>
      <c r="BR74" s="110">
        <v>0</v>
      </c>
      <c r="BS74" s="110">
        <v>0</v>
      </c>
      <c r="BT74" s="110">
        <v>0</v>
      </c>
      <c r="BU74" s="110">
        <v>0</v>
      </c>
      <c r="BV74" s="110">
        <v>0</v>
      </c>
      <c r="BW74" s="110">
        <v>0</v>
      </c>
      <c r="BX74" s="110">
        <v>0</v>
      </c>
      <c r="BY74" s="110">
        <v>0</v>
      </c>
      <c r="BZ74" s="110">
        <v>0</v>
      </c>
      <c r="CA74" s="110">
        <v>0</v>
      </c>
      <c r="CB74" s="110">
        <v>0</v>
      </c>
      <c r="CC74" s="110">
        <v>0</v>
      </c>
      <c r="CD74" s="110">
        <v>0</v>
      </c>
      <c r="CE74" s="110">
        <v>0</v>
      </c>
      <c r="CF74" s="110">
        <v>0</v>
      </c>
      <c r="CG74" s="110">
        <v>0</v>
      </c>
    </row>
    <row r="75" spans="1:85" x14ac:dyDescent="0.15">
      <c r="A75" s="188" t="s">
        <v>265</v>
      </c>
      <c r="B75" s="110">
        <v>0</v>
      </c>
      <c r="C75" s="110">
        <v>0</v>
      </c>
      <c r="D75" s="110">
        <v>0</v>
      </c>
      <c r="E75" s="110">
        <v>0</v>
      </c>
      <c r="F75" s="110">
        <v>0</v>
      </c>
      <c r="G75" s="110">
        <v>0</v>
      </c>
      <c r="H75" s="110">
        <v>0</v>
      </c>
      <c r="I75" s="110">
        <v>0</v>
      </c>
      <c r="J75" s="110">
        <v>0</v>
      </c>
      <c r="K75" s="110">
        <v>0</v>
      </c>
      <c r="L75" s="110">
        <v>0</v>
      </c>
      <c r="M75" s="110">
        <v>0</v>
      </c>
      <c r="N75" s="110">
        <v>0</v>
      </c>
      <c r="O75" s="110">
        <v>0</v>
      </c>
      <c r="P75" s="110">
        <v>0</v>
      </c>
      <c r="Q75" s="110">
        <v>0</v>
      </c>
      <c r="R75" s="110">
        <v>0</v>
      </c>
      <c r="S75" s="110">
        <v>0</v>
      </c>
      <c r="T75" s="110">
        <v>0</v>
      </c>
      <c r="U75" s="110">
        <v>0</v>
      </c>
      <c r="V75" s="110">
        <v>0</v>
      </c>
      <c r="W75" s="110">
        <v>0</v>
      </c>
      <c r="X75" s="110">
        <v>0</v>
      </c>
      <c r="Y75" s="110">
        <v>0</v>
      </c>
      <c r="Z75" s="110">
        <v>0</v>
      </c>
      <c r="AA75" s="110">
        <v>1</v>
      </c>
      <c r="AB75" s="110">
        <v>0</v>
      </c>
      <c r="AC75" s="110">
        <v>0</v>
      </c>
      <c r="AD75" s="110">
        <v>0</v>
      </c>
      <c r="AE75" s="110">
        <v>1</v>
      </c>
      <c r="AF75" s="110">
        <v>0</v>
      </c>
      <c r="AG75" s="110">
        <v>0</v>
      </c>
      <c r="AH75" s="110">
        <v>0</v>
      </c>
      <c r="AI75" s="110">
        <v>0</v>
      </c>
      <c r="AJ75" s="110">
        <v>0</v>
      </c>
      <c r="AK75" s="110">
        <v>0</v>
      </c>
      <c r="AL75" s="110">
        <v>0</v>
      </c>
      <c r="AM75" s="110">
        <v>0</v>
      </c>
      <c r="AN75" s="110">
        <v>0</v>
      </c>
      <c r="AO75" s="110">
        <v>0</v>
      </c>
      <c r="AP75" s="110">
        <v>1</v>
      </c>
      <c r="AQ75" s="110">
        <v>0</v>
      </c>
      <c r="AR75" s="110">
        <v>0</v>
      </c>
      <c r="AS75" s="110">
        <v>0</v>
      </c>
      <c r="AT75" s="110">
        <v>0</v>
      </c>
      <c r="AU75" s="110">
        <v>0</v>
      </c>
      <c r="AV75" s="110">
        <v>0</v>
      </c>
      <c r="AW75" s="110">
        <v>0</v>
      </c>
      <c r="AX75" s="110">
        <v>1</v>
      </c>
      <c r="AY75" s="110">
        <v>1</v>
      </c>
      <c r="AZ75" s="110">
        <v>0</v>
      </c>
      <c r="BA75" s="110">
        <v>1</v>
      </c>
      <c r="BB75" s="110">
        <v>1</v>
      </c>
      <c r="BC75" s="110">
        <v>0</v>
      </c>
      <c r="BD75" s="110">
        <v>1</v>
      </c>
      <c r="BE75" s="110">
        <v>0</v>
      </c>
      <c r="BF75" s="110">
        <v>1</v>
      </c>
      <c r="BG75" s="110">
        <v>1</v>
      </c>
      <c r="BH75" s="110">
        <v>0</v>
      </c>
      <c r="BI75" s="110">
        <v>1</v>
      </c>
      <c r="BJ75" s="110">
        <v>0</v>
      </c>
      <c r="BK75" s="110">
        <v>1</v>
      </c>
      <c r="BL75" s="110">
        <v>1</v>
      </c>
      <c r="BM75" s="110">
        <v>1</v>
      </c>
      <c r="BN75" s="110">
        <v>1</v>
      </c>
      <c r="BO75" s="110">
        <v>1</v>
      </c>
      <c r="BP75" s="110">
        <v>1</v>
      </c>
      <c r="BQ75" s="110">
        <v>1</v>
      </c>
      <c r="BR75" s="110">
        <v>1</v>
      </c>
      <c r="BS75" s="110">
        <v>1</v>
      </c>
      <c r="BT75" s="110">
        <v>1</v>
      </c>
      <c r="BU75" s="110">
        <v>1</v>
      </c>
      <c r="BV75" s="110">
        <v>0</v>
      </c>
      <c r="BW75" s="110">
        <v>0</v>
      </c>
      <c r="BX75" s="110">
        <v>0</v>
      </c>
      <c r="BY75" s="110">
        <v>0</v>
      </c>
      <c r="BZ75" s="110">
        <v>0</v>
      </c>
      <c r="CA75" s="110">
        <v>0</v>
      </c>
      <c r="CB75" s="110">
        <v>0</v>
      </c>
      <c r="CC75" s="110">
        <v>0</v>
      </c>
      <c r="CD75" s="110">
        <v>0</v>
      </c>
      <c r="CE75" s="110">
        <v>0</v>
      </c>
      <c r="CF75" s="110">
        <v>0</v>
      </c>
      <c r="CG75" s="110">
        <v>0</v>
      </c>
    </row>
    <row r="76" spans="1:85" x14ac:dyDescent="0.15">
      <c r="A76" s="188" t="s">
        <v>266</v>
      </c>
      <c r="B76" s="110">
        <v>0</v>
      </c>
      <c r="C76" s="110">
        <v>0</v>
      </c>
      <c r="D76" s="110">
        <v>0</v>
      </c>
      <c r="E76" s="110">
        <v>0</v>
      </c>
      <c r="F76" s="110">
        <v>0</v>
      </c>
      <c r="G76" s="110">
        <v>0</v>
      </c>
      <c r="H76" s="110">
        <v>0</v>
      </c>
      <c r="I76" s="110">
        <v>0</v>
      </c>
      <c r="J76" s="110">
        <v>0</v>
      </c>
      <c r="K76" s="110">
        <v>0</v>
      </c>
      <c r="L76" s="110">
        <v>0</v>
      </c>
      <c r="M76" s="110">
        <v>0</v>
      </c>
      <c r="N76" s="110">
        <v>0</v>
      </c>
      <c r="O76" s="110">
        <v>0</v>
      </c>
      <c r="P76" s="110">
        <v>0</v>
      </c>
      <c r="Q76" s="110">
        <v>0</v>
      </c>
      <c r="R76" s="110">
        <v>0</v>
      </c>
      <c r="S76" s="110">
        <v>0</v>
      </c>
      <c r="T76" s="110">
        <v>0</v>
      </c>
      <c r="U76" s="110">
        <v>0</v>
      </c>
      <c r="V76" s="110">
        <v>0</v>
      </c>
      <c r="W76" s="110">
        <v>0</v>
      </c>
      <c r="X76" s="110">
        <v>0</v>
      </c>
      <c r="Y76" s="110">
        <v>0</v>
      </c>
      <c r="Z76" s="110">
        <v>0</v>
      </c>
      <c r="AA76" s="110">
        <v>0</v>
      </c>
      <c r="AB76" s="110">
        <v>0</v>
      </c>
      <c r="AC76" s="110">
        <v>0</v>
      </c>
      <c r="AD76" s="110">
        <v>0</v>
      </c>
      <c r="AE76" s="110">
        <v>0</v>
      </c>
      <c r="AF76" s="110">
        <v>1</v>
      </c>
      <c r="AG76" s="110">
        <v>0</v>
      </c>
      <c r="AH76" s="110">
        <v>0</v>
      </c>
      <c r="AI76" s="110">
        <v>0</v>
      </c>
      <c r="AJ76" s="110">
        <v>0</v>
      </c>
      <c r="AK76" s="110">
        <v>0</v>
      </c>
      <c r="AL76" s="110">
        <v>0</v>
      </c>
      <c r="AM76" s="110">
        <v>0</v>
      </c>
      <c r="AN76" s="110">
        <v>0</v>
      </c>
      <c r="AO76" s="110">
        <v>0</v>
      </c>
      <c r="AP76" s="110">
        <v>0</v>
      </c>
      <c r="AQ76" s="110">
        <v>0</v>
      </c>
      <c r="AR76" s="110">
        <v>0</v>
      </c>
      <c r="AS76" s="110">
        <v>0</v>
      </c>
      <c r="AT76" s="110">
        <v>0</v>
      </c>
      <c r="AU76" s="110">
        <v>0</v>
      </c>
      <c r="AV76" s="110">
        <v>0</v>
      </c>
      <c r="AW76" s="110">
        <v>0</v>
      </c>
      <c r="AX76" s="110">
        <v>1</v>
      </c>
      <c r="AY76" s="110">
        <v>1</v>
      </c>
      <c r="AZ76" s="110">
        <v>0</v>
      </c>
      <c r="BA76" s="110">
        <v>0</v>
      </c>
      <c r="BB76" s="110">
        <v>0</v>
      </c>
      <c r="BC76" s="110">
        <v>0</v>
      </c>
      <c r="BD76" s="110">
        <v>0</v>
      </c>
      <c r="BE76" s="110">
        <v>0</v>
      </c>
      <c r="BF76" s="110">
        <v>0</v>
      </c>
      <c r="BG76" s="110">
        <v>0</v>
      </c>
      <c r="BH76" s="110">
        <v>0</v>
      </c>
      <c r="BI76" s="110">
        <v>1</v>
      </c>
      <c r="BJ76" s="110">
        <v>0</v>
      </c>
      <c r="BK76" s="110">
        <v>1</v>
      </c>
      <c r="BL76" s="110">
        <v>1</v>
      </c>
      <c r="BM76" s="110">
        <v>1</v>
      </c>
      <c r="BN76" s="110">
        <v>1</v>
      </c>
      <c r="BO76" s="110">
        <v>0</v>
      </c>
      <c r="BP76" s="110">
        <v>0</v>
      </c>
      <c r="BQ76" s="110">
        <v>0</v>
      </c>
      <c r="BR76" s="110">
        <v>1</v>
      </c>
      <c r="BS76" s="110">
        <v>1</v>
      </c>
      <c r="BT76" s="110">
        <v>1</v>
      </c>
      <c r="BU76" s="110">
        <v>1</v>
      </c>
      <c r="BV76" s="110">
        <v>0</v>
      </c>
      <c r="BW76" s="110">
        <v>1</v>
      </c>
      <c r="BX76" s="110">
        <v>0</v>
      </c>
      <c r="BY76" s="110">
        <v>0</v>
      </c>
      <c r="BZ76" s="110">
        <v>0</v>
      </c>
      <c r="CA76" s="110">
        <v>0</v>
      </c>
      <c r="CB76" s="110">
        <v>0</v>
      </c>
      <c r="CC76" s="110">
        <v>0</v>
      </c>
      <c r="CD76" s="110">
        <v>0</v>
      </c>
      <c r="CE76" s="110">
        <v>0</v>
      </c>
      <c r="CF76" s="110">
        <v>0</v>
      </c>
      <c r="CG76" s="110">
        <v>0</v>
      </c>
    </row>
    <row r="77" spans="1:85" x14ac:dyDescent="0.15">
      <c r="A77" s="188" t="s">
        <v>267</v>
      </c>
      <c r="B77" s="110">
        <v>0</v>
      </c>
      <c r="C77" s="110">
        <v>0</v>
      </c>
      <c r="D77" s="110">
        <v>0</v>
      </c>
      <c r="E77" s="110">
        <v>1</v>
      </c>
      <c r="F77" s="110">
        <v>0</v>
      </c>
      <c r="G77" s="110">
        <v>0</v>
      </c>
      <c r="H77" s="110">
        <v>0</v>
      </c>
      <c r="I77" s="110">
        <v>0</v>
      </c>
      <c r="J77" s="110">
        <v>0</v>
      </c>
      <c r="K77" s="110">
        <v>0</v>
      </c>
      <c r="L77" s="110">
        <v>0</v>
      </c>
      <c r="M77" s="110">
        <v>0</v>
      </c>
      <c r="N77" s="110">
        <v>0</v>
      </c>
      <c r="O77" s="110">
        <v>0</v>
      </c>
      <c r="P77" s="110">
        <v>0</v>
      </c>
      <c r="Q77" s="110">
        <v>0</v>
      </c>
      <c r="R77" s="110">
        <v>0</v>
      </c>
      <c r="S77" s="110">
        <v>0</v>
      </c>
      <c r="T77" s="110">
        <v>0</v>
      </c>
      <c r="U77" s="110">
        <v>0</v>
      </c>
      <c r="V77" s="110">
        <v>0</v>
      </c>
      <c r="W77" s="110">
        <v>0</v>
      </c>
      <c r="X77" s="110">
        <v>0</v>
      </c>
      <c r="Y77" s="110">
        <v>0</v>
      </c>
      <c r="Z77" s="110">
        <v>0</v>
      </c>
      <c r="AA77" s="110">
        <v>0</v>
      </c>
      <c r="AB77" s="110">
        <v>0</v>
      </c>
      <c r="AC77" s="110">
        <v>0</v>
      </c>
      <c r="AD77" s="110">
        <v>0</v>
      </c>
      <c r="AE77" s="110">
        <v>0</v>
      </c>
      <c r="AF77" s="110">
        <v>0</v>
      </c>
      <c r="AG77" s="110">
        <v>0</v>
      </c>
      <c r="AH77" s="110">
        <v>0</v>
      </c>
      <c r="AI77" s="110">
        <v>0</v>
      </c>
      <c r="AJ77" s="110">
        <v>0</v>
      </c>
      <c r="AK77" s="110">
        <v>0</v>
      </c>
      <c r="AL77" s="110">
        <v>0</v>
      </c>
      <c r="AM77" s="110">
        <v>0</v>
      </c>
      <c r="AN77" s="110">
        <v>0</v>
      </c>
      <c r="AO77" s="110">
        <v>0</v>
      </c>
      <c r="AP77" s="110">
        <v>1</v>
      </c>
      <c r="AQ77" s="110">
        <v>1</v>
      </c>
      <c r="AR77" s="110">
        <v>0</v>
      </c>
      <c r="AS77" s="110">
        <v>0</v>
      </c>
      <c r="AT77" s="110">
        <v>0</v>
      </c>
      <c r="AU77" s="110">
        <v>0</v>
      </c>
      <c r="AV77" s="110">
        <v>0</v>
      </c>
      <c r="AW77" s="110">
        <v>0</v>
      </c>
      <c r="AX77" s="110">
        <v>1</v>
      </c>
      <c r="AY77" s="110">
        <v>1</v>
      </c>
      <c r="AZ77" s="110">
        <v>1</v>
      </c>
      <c r="BA77" s="110">
        <v>1</v>
      </c>
      <c r="BB77" s="110">
        <v>1</v>
      </c>
      <c r="BC77" s="110">
        <v>0</v>
      </c>
      <c r="BD77" s="110">
        <v>1</v>
      </c>
      <c r="BE77" s="110">
        <v>0</v>
      </c>
      <c r="BF77" s="110">
        <v>1</v>
      </c>
      <c r="BG77" s="110">
        <v>0</v>
      </c>
      <c r="BH77" s="110">
        <v>1</v>
      </c>
      <c r="BI77" s="110">
        <v>0</v>
      </c>
      <c r="BJ77" s="110">
        <v>1</v>
      </c>
      <c r="BK77" s="110">
        <v>1</v>
      </c>
      <c r="BL77" s="110">
        <v>1</v>
      </c>
      <c r="BM77" s="110">
        <v>1</v>
      </c>
      <c r="BN77" s="110">
        <v>1</v>
      </c>
      <c r="BO77" s="110">
        <v>1</v>
      </c>
      <c r="BP77" s="110">
        <v>1</v>
      </c>
      <c r="BQ77" s="110">
        <v>0</v>
      </c>
      <c r="BR77" s="110">
        <v>0</v>
      </c>
      <c r="BS77" s="110">
        <v>0</v>
      </c>
      <c r="BT77" s="110">
        <v>1</v>
      </c>
      <c r="BU77" s="110">
        <v>1</v>
      </c>
      <c r="BV77" s="110">
        <v>1</v>
      </c>
      <c r="BW77" s="110">
        <v>1</v>
      </c>
      <c r="BX77" s="110">
        <v>0</v>
      </c>
      <c r="BY77" s="110">
        <v>0</v>
      </c>
      <c r="BZ77" s="110">
        <v>0</v>
      </c>
      <c r="CA77" s="110">
        <v>0</v>
      </c>
      <c r="CB77" s="110">
        <v>0</v>
      </c>
      <c r="CC77" s="110">
        <v>0</v>
      </c>
      <c r="CD77" s="110">
        <v>0</v>
      </c>
      <c r="CE77" s="110">
        <v>0</v>
      </c>
      <c r="CF77" s="110">
        <v>0</v>
      </c>
      <c r="CG77" s="110">
        <v>0</v>
      </c>
    </row>
    <row r="78" spans="1:85" x14ac:dyDescent="0.15">
      <c r="A78" s="188" t="s">
        <v>268</v>
      </c>
      <c r="B78" s="110">
        <v>0</v>
      </c>
      <c r="C78" s="110">
        <v>1</v>
      </c>
      <c r="D78" s="110">
        <v>0</v>
      </c>
      <c r="E78" s="110">
        <v>1</v>
      </c>
      <c r="F78" s="110">
        <v>0</v>
      </c>
      <c r="G78" s="110">
        <v>0</v>
      </c>
      <c r="H78" s="110">
        <v>0</v>
      </c>
      <c r="I78" s="110">
        <v>0</v>
      </c>
      <c r="J78" s="110">
        <v>0</v>
      </c>
      <c r="K78" s="110">
        <v>0</v>
      </c>
      <c r="L78" s="110">
        <v>0</v>
      </c>
      <c r="M78" s="110">
        <v>0</v>
      </c>
      <c r="N78" s="110">
        <v>0</v>
      </c>
      <c r="O78" s="110">
        <v>0</v>
      </c>
      <c r="P78" s="110">
        <v>0</v>
      </c>
      <c r="Q78" s="110">
        <v>0</v>
      </c>
      <c r="R78" s="110">
        <v>0</v>
      </c>
      <c r="S78" s="110">
        <v>1</v>
      </c>
      <c r="T78" s="110">
        <v>1</v>
      </c>
      <c r="U78" s="110">
        <v>0</v>
      </c>
      <c r="V78" s="110">
        <v>1</v>
      </c>
      <c r="W78" s="110">
        <v>0</v>
      </c>
      <c r="X78" s="110">
        <v>1</v>
      </c>
      <c r="Y78" s="110">
        <v>0</v>
      </c>
      <c r="Z78" s="110">
        <v>1</v>
      </c>
      <c r="AA78" s="110">
        <v>1</v>
      </c>
      <c r="AB78" s="110">
        <v>0</v>
      </c>
      <c r="AC78" s="110">
        <v>1</v>
      </c>
      <c r="AD78" s="110">
        <v>0</v>
      </c>
      <c r="AE78" s="110">
        <v>0</v>
      </c>
      <c r="AF78" s="110">
        <v>1</v>
      </c>
      <c r="AG78" s="110">
        <v>0</v>
      </c>
      <c r="AH78" s="110">
        <v>0</v>
      </c>
      <c r="AI78" s="110">
        <v>0</v>
      </c>
      <c r="AJ78" s="110">
        <v>0</v>
      </c>
      <c r="AK78" s="110">
        <v>1</v>
      </c>
      <c r="AL78" s="110">
        <v>0</v>
      </c>
      <c r="AM78" s="110">
        <v>0</v>
      </c>
      <c r="AN78" s="110">
        <v>0</v>
      </c>
      <c r="AO78" s="110">
        <v>0</v>
      </c>
      <c r="AP78" s="110">
        <v>0</v>
      </c>
      <c r="AQ78" s="110">
        <v>0</v>
      </c>
      <c r="AR78" s="110">
        <v>0</v>
      </c>
      <c r="AS78" s="110">
        <v>0</v>
      </c>
      <c r="AT78" s="110">
        <v>1</v>
      </c>
      <c r="AU78" s="110">
        <v>0</v>
      </c>
      <c r="AV78" s="110">
        <v>0</v>
      </c>
      <c r="AW78" s="110">
        <v>0</v>
      </c>
      <c r="AX78" s="110">
        <v>0</v>
      </c>
      <c r="AY78" s="110">
        <v>0</v>
      </c>
      <c r="AZ78" s="110">
        <v>0</v>
      </c>
      <c r="BA78" s="110">
        <v>0</v>
      </c>
      <c r="BB78" s="110">
        <v>0</v>
      </c>
      <c r="BC78" s="110">
        <v>0</v>
      </c>
      <c r="BD78" s="110">
        <v>0</v>
      </c>
      <c r="BE78" s="110">
        <v>0</v>
      </c>
      <c r="BF78" s="110">
        <v>0</v>
      </c>
      <c r="BG78" s="110">
        <v>0</v>
      </c>
      <c r="BH78" s="110">
        <v>0</v>
      </c>
      <c r="BI78" s="110">
        <v>0</v>
      </c>
      <c r="BJ78" s="110">
        <v>0</v>
      </c>
      <c r="BK78" s="110">
        <v>0</v>
      </c>
      <c r="BL78" s="110">
        <v>0</v>
      </c>
      <c r="BM78" s="110">
        <v>1</v>
      </c>
      <c r="BN78" s="110">
        <v>0</v>
      </c>
      <c r="BO78" s="110">
        <v>0</v>
      </c>
      <c r="BP78" s="110">
        <v>0</v>
      </c>
      <c r="BQ78" s="110">
        <v>0</v>
      </c>
      <c r="BR78" s="110">
        <v>0</v>
      </c>
      <c r="BS78" s="110">
        <v>0</v>
      </c>
      <c r="BT78" s="110">
        <v>0</v>
      </c>
      <c r="BU78" s="110">
        <v>0</v>
      </c>
      <c r="BV78" s="110">
        <v>1</v>
      </c>
      <c r="BW78" s="110">
        <v>0</v>
      </c>
      <c r="BX78" s="110">
        <v>0</v>
      </c>
      <c r="BY78" s="110">
        <v>0</v>
      </c>
      <c r="BZ78" s="110">
        <v>0</v>
      </c>
      <c r="CA78" s="110">
        <v>0</v>
      </c>
      <c r="CB78" s="110">
        <v>0</v>
      </c>
      <c r="CC78" s="110">
        <v>0</v>
      </c>
      <c r="CD78" s="110">
        <v>0</v>
      </c>
      <c r="CE78" s="110">
        <v>0</v>
      </c>
      <c r="CF78" s="110">
        <v>0</v>
      </c>
      <c r="CG78" s="110">
        <v>0</v>
      </c>
    </row>
    <row r="79" spans="1:85" x14ac:dyDescent="0.15">
      <c r="A79" s="188" t="s">
        <v>269</v>
      </c>
      <c r="B79" s="110">
        <v>0</v>
      </c>
      <c r="C79" s="110">
        <v>0</v>
      </c>
      <c r="D79" s="110">
        <v>0</v>
      </c>
      <c r="E79" s="110">
        <v>1</v>
      </c>
      <c r="F79" s="110">
        <v>0</v>
      </c>
      <c r="G79" s="110">
        <v>0</v>
      </c>
      <c r="H79" s="110">
        <v>0</v>
      </c>
      <c r="I79" s="110">
        <v>0</v>
      </c>
      <c r="J79" s="110">
        <v>0</v>
      </c>
      <c r="K79" s="110">
        <v>0</v>
      </c>
      <c r="L79" s="110">
        <v>0</v>
      </c>
      <c r="M79" s="110">
        <v>0</v>
      </c>
      <c r="N79" s="110">
        <v>0</v>
      </c>
      <c r="O79" s="110">
        <v>0</v>
      </c>
      <c r="P79" s="110">
        <v>0</v>
      </c>
      <c r="Q79" s="110">
        <v>0</v>
      </c>
      <c r="R79" s="110">
        <v>0</v>
      </c>
      <c r="S79" s="110">
        <v>0</v>
      </c>
      <c r="T79" s="110">
        <v>0</v>
      </c>
      <c r="U79" s="110">
        <v>0</v>
      </c>
      <c r="V79" s="110">
        <v>0</v>
      </c>
      <c r="W79" s="110">
        <v>0</v>
      </c>
      <c r="X79" s="110">
        <v>0</v>
      </c>
      <c r="Y79" s="110">
        <v>0</v>
      </c>
      <c r="Z79" s="110">
        <v>0</v>
      </c>
      <c r="AA79" s="110">
        <v>0</v>
      </c>
      <c r="AB79" s="110">
        <v>0</v>
      </c>
      <c r="AC79" s="110">
        <v>0</v>
      </c>
      <c r="AD79" s="110">
        <v>0</v>
      </c>
      <c r="AE79" s="110">
        <v>0</v>
      </c>
      <c r="AF79" s="110">
        <v>0</v>
      </c>
      <c r="AG79" s="110">
        <v>0</v>
      </c>
      <c r="AH79" s="110">
        <v>0</v>
      </c>
      <c r="AI79" s="110">
        <v>0</v>
      </c>
      <c r="AJ79" s="110">
        <v>0</v>
      </c>
      <c r="AK79" s="110">
        <v>0</v>
      </c>
      <c r="AL79" s="110">
        <v>0</v>
      </c>
      <c r="AM79" s="110">
        <v>0</v>
      </c>
      <c r="AN79" s="110">
        <v>0</v>
      </c>
      <c r="AO79" s="110">
        <v>0</v>
      </c>
      <c r="AP79" s="110">
        <v>1</v>
      </c>
      <c r="AQ79" s="110">
        <v>0</v>
      </c>
      <c r="AR79" s="110">
        <v>0</v>
      </c>
      <c r="AS79" s="110">
        <v>0</v>
      </c>
      <c r="AT79" s="110">
        <v>0</v>
      </c>
      <c r="AU79" s="110">
        <v>0</v>
      </c>
      <c r="AV79" s="110">
        <v>0</v>
      </c>
      <c r="AW79" s="110">
        <v>0</v>
      </c>
      <c r="AX79" s="110">
        <v>0</v>
      </c>
      <c r="AY79" s="110">
        <v>0</v>
      </c>
      <c r="AZ79" s="110">
        <v>1</v>
      </c>
      <c r="BA79" s="110">
        <v>0</v>
      </c>
      <c r="BB79" s="110">
        <v>0</v>
      </c>
      <c r="BC79" s="110">
        <v>0</v>
      </c>
      <c r="BD79" s="110">
        <v>0</v>
      </c>
      <c r="BE79" s="110">
        <v>0</v>
      </c>
      <c r="BF79" s="110">
        <v>0</v>
      </c>
      <c r="BG79" s="110">
        <v>0</v>
      </c>
      <c r="BH79" s="110">
        <v>1</v>
      </c>
      <c r="BI79" s="110">
        <v>0</v>
      </c>
      <c r="BJ79" s="110">
        <v>1</v>
      </c>
      <c r="BK79" s="110">
        <v>0</v>
      </c>
      <c r="BL79" s="110">
        <v>0</v>
      </c>
      <c r="BM79" s="110">
        <v>1</v>
      </c>
      <c r="BN79" s="110">
        <v>0</v>
      </c>
      <c r="BO79" s="110">
        <v>1</v>
      </c>
      <c r="BP79" s="110">
        <v>0</v>
      </c>
      <c r="BQ79" s="110">
        <v>0</v>
      </c>
      <c r="BR79" s="110">
        <v>0</v>
      </c>
      <c r="BS79" s="110">
        <v>0</v>
      </c>
      <c r="BT79" s="110">
        <v>0</v>
      </c>
      <c r="BU79" s="110">
        <v>0</v>
      </c>
      <c r="BV79" s="110">
        <v>0</v>
      </c>
      <c r="BW79" s="110">
        <v>0</v>
      </c>
      <c r="BX79" s="110">
        <v>0</v>
      </c>
      <c r="BY79" s="110">
        <v>0</v>
      </c>
      <c r="BZ79" s="110">
        <v>0</v>
      </c>
      <c r="CA79" s="110">
        <v>0</v>
      </c>
      <c r="CB79" s="110">
        <v>0</v>
      </c>
      <c r="CC79" s="110">
        <v>0</v>
      </c>
      <c r="CD79" s="110">
        <v>0</v>
      </c>
      <c r="CE79" s="110">
        <v>0</v>
      </c>
      <c r="CF79" s="110">
        <v>0</v>
      </c>
      <c r="CG79" s="110">
        <v>0</v>
      </c>
    </row>
    <row r="80" spans="1:85" x14ac:dyDescent="0.15">
      <c r="A80" s="188" t="s">
        <v>270</v>
      </c>
      <c r="B80" s="110">
        <v>0</v>
      </c>
      <c r="C80" s="110">
        <v>0</v>
      </c>
      <c r="D80" s="110">
        <v>0</v>
      </c>
      <c r="E80" s="110">
        <v>0</v>
      </c>
      <c r="F80" s="110">
        <v>0</v>
      </c>
      <c r="G80" s="110">
        <v>0</v>
      </c>
      <c r="H80" s="110">
        <v>0</v>
      </c>
      <c r="I80" s="110">
        <v>0</v>
      </c>
      <c r="J80" s="110">
        <v>0</v>
      </c>
      <c r="K80" s="110">
        <v>0</v>
      </c>
      <c r="L80" s="110">
        <v>0</v>
      </c>
      <c r="M80" s="110">
        <v>0</v>
      </c>
      <c r="N80" s="110">
        <v>0</v>
      </c>
      <c r="O80" s="110">
        <v>0</v>
      </c>
      <c r="P80" s="110">
        <v>0</v>
      </c>
      <c r="Q80" s="110">
        <v>0</v>
      </c>
      <c r="R80" s="110">
        <v>0</v>
      </c>
      <c r="S80" s="110">
        <v>0</v>
      </c>
      <c r="T80" s="110">
        <v>1</v>
      </c>
      <c r="U80" s="110">
        <v>0</v>
      </c>
      <c r="V80" s="110">
        <v>1</v>
      </c>
      <c r="W80" s="110">
        <v>0</v>
      </c>
      <c r="X80" s="110">
        <v>1</v>
      </c>
      <c r="Y80" s="110">
        <v>0</v>
      </c>
      <c r="Z80" s="110">
        <v>1</v>
      </c>
      <c r="AA80" s="110">
        <v>1</v>
      </c>
      <c r="AB80" s="110">
        <v>1</v>
      </c>
      <c r="AC80" s="110">
        <v>1</v>
      </c>
      <c r="AD80" s="110">
        <v>1</v>
      </c>
      <c r="AE80" s="110">
        <v>0</v>
      </c>
      <c r="AF80" s="110">
        <v>1</v>
      </c>
      <c r="AG80" s="110">
        <v>1</v>
      </c>
      <c r="AH80" s="110">
        <v>0</v>
      </c>
      <c r="AI80" s="110">
        <v>1</v>
      </c>
      <c r="AJ80" s="110">
        <v>1</v>
      </c>
      <c r="AK80" s="110">
        <v>1</v>
      </c>
      <c r="AL80" s="110">
        <v>0</v>
      </c>
      <c r="AM80" s="110">
        <v>0</v>
      </c>
      <c r="AN80" s="110">
        <v>0</v>
      </c>
      <c r="AO80" s="110">
        <v>0</v>
      </c>
      <c r="AP80" s="110">
        <v>0</v>
      </c>
      <c r="AQ80" s="110">
        <v>0</v>
      </c>
      <c r="AR80" s="110">
        <v>0</v>
      </c>
      <c r="AS80" s="110">
        <v>0</v>
      </c>
      <c r="AT80" s="110">
        <v>0</v>
      </c>
      <c r="AU80" s="110">
        <v>0</v>
      </c>
      <c r="AV80" s="110">
        <v>0</v>
      </c>
      <c r="AW80" s="110">
        <v>0</v>
      </c>
      <c r="AX80" s="110">
        <v>0</v>
      </c>
      <c r="AY80" s="110">
        <v>0</v>
      </c>
      <c r="AZ80" s="110">
        <v>0</v>
      </c>
      <c r="BA80" s="110">
        <v>0</v>
      </c>
      <c r="BB80" s="110">
        <v>0</v>
      </c>
      <c r="BC80" s="110">
        <v>0</v>
      </c>
      <c r="BD80" s="110">
        <v>0</v>
      </c>
      <c r="BE80" s="110">
        <v>0</v>
      </c>
      <c r="BF80" s="110">
        <v>0</v>
      </c>
      <c r="BG80" s="110">
        <v>0</v>
      </c>
      <c r="BH80" s="110">
        <v>0</v>
      </c>
      <c r="BI80" s="110">
        <v>0</v>
      </c>
      <c r="BJ80" s="110">
        <v>0</v>
      </c>
      <c r="BK80" s="110">
        <v>0</v>
      </c>
      <c r="BL80" s="110">
        <v>0</v>
      </c>
      <c r="BM80" s="110">
        <v>0</v>
      </c>
      <c r="BN80" s="110">
        <v>0</v>
      </c>
      <c r="BO80" s="110">
        <v>0</v>
      </c>
      <c r="BP80" s="110">
        <v>0</v>
      </c>
      <c r="BQ80" s="110">
        <v>0</v>
      </c>
      <c r="BR80" s="110">
        <v>0</v>
      </c>
      <c r="BS80" s="110">
        <v>0</v>
      </c>
      <c r="BT80" s="110">
        <v>0</v>
      </c>
      <c r="BU80" s="110">
        <v>0</v>
      </c>
      <c r="BV80" s="110">
        <v>0</v>
      </c>
      <c r="BW80" s="110">
        <v>0</v>
      </c>
      <c r="BX80" s="110">
        <v>0</v>
      </c>
      <c r="BY80" s="110">
        <v>0</v>
      </c>
      <c r="BZ80" s="110">
        <v>0</v>
      </c>
      <c r="CA80" s="110">
        <v>0</v>
      </c>
      <c r="CB80" s="110">
        <v>0</v>
      </c>
      <c r="CC80" s="110">
        <v>0</v>
      </c>
      <c r="CD80" s="110">
        <v>0</v>
      </c>
      <c r="CE80" s="110">
        <v>0</v>
      </c>
      <c r="CF80" s="110">
        <v>0</v>
      </c>
      <c r="CG80" s="110">
        <v>0</v>
      </c>
    </row>
    <row r="81" spans="1:85" x14ac:dyDescent="0.15">
      <c r="A81" s="188" t="s">
        <v>271</v>
      </c>
      <c r="B81" s="110">
        <v>1</v>
      </c>
      <c r="C81" s="110">
        <v>0</v>
      </c>
      <c r="D81" s="110">
        <v>0</v>
      </c>
      <c r="E81" s="110">
        <v>0</v>
      </c>
      <c r="F81" s="110">
        <v>0</v>
      </c>
      <c r="G81" s="110">
        <v>0</v>
      </c>
      <c r="H81" s="110">
        <v>0</v>
      </c>
      <c r="I81" s="110">
        <v>0</v>
      </c>
      <c r="J81" s="110">
        <v>0</v>
      </c>
      <c r="K81" s="110">
        <v>0</v>
      </c>
      <c r="L81" s="110">
        <v>0</v>
      </c>
      <c r="M81" s="110">
        <v>0</v>
      </c>
      <c r="N81" s="110">
        <v>0</v>
      </c>
      <c r="O81" s="110">
        <v>0</v>
      </c>
      <c r="P81" s="110">
        <v>0</v>
      </c>
      <c r="Q81" s="110">
        <v>0</v>
      </c>
      <c r="R81" s="110">
        <v>0</v>
      </c>
      <c r="S81" s="110">
        <v>0</v>
      </c>
      <c r="T81" s="110">
        <v>0</v>
      </c>
      <c r="U81" s="110">
        <v>0</v>
      </c>
      <c r="V81" s="110">
        <v>0</v>
      </c>
      <c r="W81" s="110">
        <v>0</v>
      </c>
      <c r="X81" s="110">
        <v>0</v>
      </c>
      <c r="Y81" s="110">
        <v>0</v>
      </c>
      <c r="Z81" s="110">
        <v>0</v>
      </c>
      <c r="AA81" s="110">
        <v>0</v>
      </c>
      <c r="AB81" s="110">
        <v>0</v>
      </c>
      <c r="AC81" s="110">
        <v>0</v>
      </c>
      <c r="AD81" s="110">
        <v>0</v>
      </c>
      <c r="AE81" s="110">
        <v>0</v>
      </c>
      <c r="AF81" s="110">
        <v>0</v>
      </c>
      <c r="AG81" s="110">
        <v>0</v>
      </c>
      <c r="AH81" s="110">
        <v>0</v>
      </c>
      <c r="AI81" s="110">
        <v>0</v>
      </c>
      <c r="AJ81" s="110">
        <v>0</v>
      </c>
      <c r="AK81" s="110">
        <v>0</v>
      </c>
      <c r="AL81" s="110">
        <v>0</v>
      </c>
      <c r="AM81" s="110">
        <v>0</v>
      </c>
      <c r="AN81" s="110">
        <v>1</v>
      </c>
      <c r="AO81" s="110">
        <v>0</v>
      </c>
      <c r="AP81" s="110">
        <v>0</v>
      </c>
      <c r="AQ81" s="110">
        <v>0</v>
      </c>
      <c r="AR81" s="110">
        <v>1</v>
      </c>
      <c r="AS81" s="110">
        <v>1</v>
      </c>
      <c r="AT81" s="110">
        <v>0</v>
      </c>
      <c r="AU81" s="110">
        <v>0</v>
      </c>
      <c r="AV81" s="110">
        <v>0</v>
      </c>
      <c r="AW81" s="110">
        <v>1</v>
      </c>
      <c r="AX81" s="110">
        <v>1</v>
      </c>
      <c r="AY81" s="110">
        <v>1</v>
      </c>
      <c r="AZ81" s="110">
        <v>0</v>
      </c>
      <c r="BA81" s="110">
        <v>1</v>
      </c>
      <c r="BB81" s="110">
        <v>1</v>
      </c>
      <c r="BC81" s="110">
        <v>1</v>
      </c>
      <c r="BD81" s="110">
        <v>1</v>
      </c>
      <c r="BE81" s="110">
        <v>1</v>
      </c>
      <c r="BF81" s="110">
        <v>0</v>
      </c>
      <c r="BG81" s="110">
        <v>0</v>
      </c>
      <c r="BH81" s="110">
        <v>1</v>
      </c>
      <c r="BI81" s="110">
        <v>0</v>
      </c>
      <c r="BJ81" s="110">
        <v>1</v>
      </c>
      <c r="BK81" s="110">
        <v>1</v>
      </c>
      <c r="BL81" s="110">
        <v>0</v>
      </c>
      <c r="BM81" s="110">
        <v>1</v>
      </c>
      <c r="BN81" s="110">
        <v>0</v>
      </c>
      <c r="BO81" s="110">
        <v>0</v>
      </c>
      <c r="BP81" s="110">
        <v>0</v>
      </c>
      <c r="BQ81" s="110">
        <v>0</v>
      </c>
      <c r="BR81" s="110">
        <v>0</v>
      </c>
      <c r="BS81" s="110">
        <v>0</v>
      </c>
      <c r="BT81" s="110">
        <v>0</v>
      </c>
      <c r="BU81" s="110">
        <v>0</v>
      </c>
      <c r="BV81" s="110">
        <v>0</v>
      </c>
      <c r="BW81" s="110">
        <v>1</v>
      </c>
      <c r="BX81" s="110">
        <v>0</v>
      </c>
      <c r="BY81" s="110">
        <v>0</v>
      </c>
      <c r="BZ81" s="110">
        <v>0</v>
      </c>
      <c r="CA81" s="110">
        <v>0</v>
      </c>
      <c r="CB81" s="110">
        <v>0</v>
      </c>
      <c r="CC81" s="110">
        <v>0</v>
      </c>
      <c r="CD81" s="110">
        <v>0</v>
      </c>
      <c r="CE81" s="110">
        <v>0</v>
      </c>
      <c r="CF81" s="110">
        <v>0</v>
      </c>
      <c r="CG81" s="110">
        <v>0</v>
      </c>
    </row>
    <row r="82" spans="1:85" x14ac:dyDescent="0.15">
      <c r="A82" s="188" t="s">
        <v>272</v>
      </c>
      <c r="B82" s="110">
        <v>0</v>
      </c>
      <c r="C82" s="110">
        <v>0</v>
      </c>
      <c r="D82" s="110">
        <v>0</v>
      </c>
      <c r="E82" s="110">
        <v>0</v>
      </c>
      <c r="F82" s="110">
        <v>0</v>
      </c>
      <c r="G82" s="110">
        <v>0</v>
      </c>
      <c r="H82" s="110">
        <v>0</v>
      </c>
      <c r="I82" s="110">
        <v>0</v>
      </c>
      <c r="J82" s="110">
        <v>0</v>
      </c>
      <c r="K82" s="110">
        <v>0</v>
      </c>
      <c r="L82" s="110">
        <v>0</v>
      </c>
      <c r="M82" s="110">
        <v>0</v>
      </c>
      <c r="N82" s="110">
        <v>0</v>
      </c>
      <c r="O82" s="110">
        <v>0</v>
      </c>
      <c r="P82" s="110">
        <v>0</v>
      </c>
      <c r="Q82" s="110">
        <v>0</v>
      </c>
      <c r="R82" s="110">
        <v>0</v>
      </c>
      <c r="S82" s="110">
        <v>0</v>
      </c>
      <c r="T82" s="110">
        <v>0</v>
      </c>
      <c r="U82" s="110">
        <v>0</v>
      </c>
      <c r="V82" s="110">
        <v>0</v>
      </c>
      <c r="W82" s="110">
        <v>0</v>
      </c>
      <c r="X82" s="110">
        <v>0</v>
      </c>
      <c r="Y82" s="110">
        <v>0</v>
      </c>
      <c r="Z82" s="110">
        <v>0</v>
      </c>
      <c r="AA82" s="110">
        <v>0</v>
      </c>
      <c r="AB82" s="110">
        <v>0</v>
      </c>
      <c r="AC82" s="110">
        <v>0</v>
      </c>
      <c r="AD82" s="110">
        <v>0</v>
      </c>
      <c r="AE82" s="110">
        <v>0</v>
      </c>
      <c r="AF82" s="110">
        <v>0</v>
      </c>
      <c r="AG82" s="110">
        <v>0</v>
      </c>
      <c r="AH82" s="110">
        <v>0</v>
      </c>
      <c r="AI82" s="110">
        <v>0</v>
      </c>
      <c r="AJ82" s="110">
        <v>0</v>
      </c>
      <c r="AK82" s="110">
        <v>0</v>
      </c>
      <c r="AL82" s="110">
        <v>0</v>
      </c>
      <c r="AM82" s="110">
        <v>0</v>
      </c>
      <c r="AN82" s="110">
        <v>0</v>
      </c>
      <c r="AO82" s="110">
        <v>0</v>
      </c>
      <c r="AP82" s="110">
        <v>0</v>
      </c>
      <c r="AQ82" s="110">
        <v>0</v>
      </c>
      <c r="AR82" s="110">
        <v>0</v>
      </c>
      <c r="AS82" s="110">
        <v>0</v>
      </c>
      <c r="AT82" s="110">
        <v>0</v>
      </c>
      <c r="AU82" s="110">
        <v>0</v>
      </c>
      <c r="AV82" s="110">
        <v>0</v>
      </c>
      <c r="AW82" s="110">
        <v>0</v>
      </c>
      <c r="AX82" s="110">
        <v>1</v>
      </c>
      <c r="AY82" s="110">
        <v>0</v>
      </c>
      <c r="AZ82" s="110">
        <v>0</v>
      </c>
      <c r="BA82" s="110">
        <v>1</v>
      </c>
      <c r="BB82" s="110">
        <v>1</v>
      </c>
      <c r="BC82" s="110">
        <v>0</v>
      </c>
      <c r="BD82" s="110">
        <v>1</v>
      </c>
      <c r="BE82" s="110">
        <v>0</v>
      </c>
      <c r="BF82" s="110">
        <v>0</v>
      </c>
      <c r="BG82" s="110">
        <v>0</v>
      </c>
      <c r="BH82" s="110">
        <v>1</v>
      </c>
      <c r="BI82" s="110">
        <v>0</v>
      </c>
      <c r="BJ82" s="110">
        <v>1</v>
      </c>
      <c r="BK82" s="110">
        <v>0</v>
      </c>
      <c r="BL82" s="110">
        <v>0</v>
      </c>
      <c r="BM82" s="110">
        <v>1</v>
      </c>
      <c r="BN82" s="110">
        <v>1</v>
      </c>
      <c r="BO82" s="110">
        <v>0</v>
      </c>
      <c r="BP82" s="110">
        <v>0</v>
      </c>
      <c r="BQ82" s="110">
        <v>0</v>
      </c>
      <c r="BR82" s="110">
        <v>0</v>
      </c>
      <c r="BS82" s="110">
        <v>0</v>
      </c>
      <c r="BT82" s="110">
        <v>0</v>
      </c>
      <c r="BU82" s="110">
        <v>0</v>
      </c>
      <c r="BV82" s="110">
        <v>0</v>
      </c>
      <c r="BW82" s="110">
        <v>0</v>
      </c>
      <c r="BX82" s="110">
        <v>0</v>
      </c>
      <c r="BY82" s="110">
        <v>0</v>
      </c>
      <c r="BZ82" s="110">
        <v>0</v>
      </c>
      <c r="CA82" s="110">
        <v>0</v>
      </c>
      <c r="CB82" s="110">
        <v>0</v>
      </c>
      <c r="CC82" s="110">
        <v>0</v>
      </c>
      <c r="CD82" s="110">
        <v>0</v>
      </c>
      <c r="CE82" s="110">
        <v>0</v>
      </c>
      <c r="CF82" s="110">
        <v>0</v>
      </c>
      <c r="CG82" s="110">
        <v>0</v>
      </c>
    </row>
    <row r="83" spans="1:85" x14ac:dyDescent="0.15">
      <c r="A83" s="188" t="s">
        <v>273</v>
      </c>
      <c r="B83" s="110">
        <v>0</v>
      </c>
      <c r="C83" s="110">
        <v>0</v>
      </c>
      <c r="D83" s="110">
        <v>0</v>
      </c>
      <c r="E83" s="110">
        <v>0</v>
      </c>
      <c r="F83" s="110">
        <v>0</v>
      </c>
      <c r="G83" s="110">
        <v>0</v>
      </c>
      <c r="H83" s="110">
        <v>0</v>
      </c>
      <c r="I83" s="110">
        <v>0</v>
      </c>
      <c r="J83" s="110">
        <v>0</v>
      </c>
      <c r="K83" s="110">
        <v>0</v>
      </c>
      <c r="L83" s="110">
        <v>0</v>
      </c>
      <c r="M83" s="110">
        <v>0</v>
      </c>
      <c r="N83" s="110">
        <v>0</v>
      </c>
      <c r="O83" s="110">
        <v>0</v>
      </c>
      <c r="P83" s="110">
        <v>0</v>
      </c>
      <c r="Q83" s="110">
        <v>0</v>
      </c>
      <c r="R83" s="110">
        <v>0</v>
      </c>
      <c r="S83" s="110">
        <v>1</v>
      </c>
      <c r="T83" s="110">
        <v>1</v>
      </c>
      <c r="U83" s="110">
        <v>0</v>
      </c>
      <c r="V83" s="110">
        <v>1</v>
      </c>
      <c r="W83" s="110">
        <v>0</v>
      </c>
      <c r="X83" s="110">
        <v>0</v>
      </c>
      <c r="Y83" s="110">
        <v>0</v>
      </c>
      <c r="Z83" s="110">
        <v>1</v>
      </c>
      <c r="AA83" s="110">
        <v>0</v>
      </c>
      <c r="AB83" s="110">
        <v>0</v>
      </c>
      <c r="AC83" s="110">
        <v>1</v>
      </c>
      <c r="AD83" s="110">
        <v>0</v>
      </c>
      <c r="AE83" s="110">
        <v>0</v>
      </c>
      <c r="AF83" s="110">
        <v>1</v>
      </c>
      <c r="AG83" s="110">
        <v>0</v>
      </c>
      <c r="AH83" s="110">
        <v>0</v>
      </c>
      <c r="AI83" s="110">
        <v>0</v>
      </c>
      <c r="AJ83" s="110">
        <v>0</v>
      </c>
      <c r="AK83" s="110">
        <v>0</v>
      </c>
      <c r="AL83" s="110">
        <v>0</v>
      </c>
      <c r="AM83" s="110">
        <v>0</v>
      </c>
      <c r="AN83" s="110">
        <v>0</v>
      </c>
      <c r="AO83" s="110">
        <v>0</v>
      </c>
      <c r="AP83" s="110">
        <v>0</v>
      </c>
      <c r="AQ83" s="110">
        <v>0</v>
      </c>
      <c r="AR83" s="110">
        <v>0</v>
      </c>
      <c r="AS83" s="110">
        <v>0</v>
      </c>
      <c r="AT83" s="110">
        <v>0</v>
      </c>
      <c r="AU83" s="110">
        <v>0</v>
      </c>
      <c r="AV83" s="110">
        <v>0</v>
      </c>
      <c r="AW83" s="110">
        <v>0</v>
      </c>
      <c r="AX83" s="110">
        <v>1</v>
      </c>
      <c r="AY83" s="110">
        <v>1</v>
      </c>
      <c r="AZ83" s="110">
        <v>0</v>
      </c>
      <c r="BA83" s="110">
        <v>0</v>
      </c>
      <c r="BB83" s="110">
        <v>0</v>
      </c>
      <c r="BC83" s="110">
        <v>0</v>
      </c>
      <c r="BD83" s="110">
        <v>0</v>
      </c>
      <c r="BE83" s="110">
        <v>0</v>
      </c>
      <c r="BF83" s="110">
        <v>0</v>
      </c>
      <c r="BG83" s="110">
        <v>0</v>
      </c>
      <c r="BH83" s="110">
        <v>0</v>
      </c>
      <c r="BI83" s="110">
        <v>1</v>
      </c>
      <c r="BJ83" s="110">
        <v>0</v>
      </c>
      <c r="BK83" s="110">
        <v>1</v>
      </c>
      <c r="BL83" s="110">
        <v>1</v>
      </c>
      <c r="BM83" s="110">
        <v>1</v>
      </c>
      <c r="BN83" s="110">
        <v>1</v>
      </c>
      <c r="BO83" s="110">
        <v>0</v>
      </c>
      <c r="BP83" s="110">
        <v>0</v>
      </c>
      <c r="BQ83" s="110">
        <v>0</v>
      </c>
      <c r="BR83" s="110">
        <v>1</v>
      </c>
      <c r="BS83" s="110">
        <v>1</v>
      </c>
      <c r="BT83" s="110">
        <v>1</v>
      </c>
      <c r="BU83" s="110">
        <v>1</v>
      </c>
      <c r="BV83" s="110">
        <v>0</v>
      </c>
      <c r="BW83" s="110">
        <v>1</v>
      </c>
      <c r="BX83" s="110">
        <v>0</v>
      </c>
      <c r="BY83" s="110">
        <v>0</v>
      </c>
      <c r="BZ83" s="110">
        <v>0</v>
      </c>
      <c r="CA83" s="110">
        <v>0</v>
      </c>
      <c r="CB83" s="110">
        <v>0</v>
      </c>
      <c r="CC83" s="110">
        <v>0</v>
      </c>
      <c r="CD83" s="110">
        <v>0</v>
      </c>
      <c r="CE83" s="110">
        <v>0</v>
      </c>
      <c r="CF83" s="110">
        <v>0</v>
      </c>
      <c r="CG83" s="110">
        <v>0</v>
      </c>
    </row>
    <row r="84" spans="1:85" x14ac:dyDescent="0.15">
      <c r="A84" s="188" t="s">
        <v>274</v>
      </c>
      <c r="B84" s="110">
        <v>0</v>
      </c>
      <c r="C84" s="110">
        <v>0</v>
      </c>
      <c r="D84" s="110">
        <v>0</v>
      </c>
      <c r="E84" s="110">
        <v>0</v>
      </c>
      <c r="F84" s="110">
        <v>0</v>
      </c>
      <c r="G84" s="110">
        <v>0</v>
      </c>
      <c r="H84" s="110">
        <v>0</v>
      </c>
      <c r="I84" s="110">
        <v>0</v>
      </c>
      <c r="J84" s="110">
        <v>0</v>
      </c>
      <c r="K84" s="110">
        <v>0</v>
      </c>
      <c r="L84" s="110">
        <v>0</v>
      </c>
      <c r="M84" s="110">
        <v>0</v>
      </c>
      <c r="N84" s="110">
        <v>1</v>
      </c>
      <c r="O84" s="110">
        <v>0</v>
      </c>
      <c r="P84" s="110">
        <v>0</v>
      </c>
      <c r="Q84" s="110">
        <v>0</v>
      </c>
      <c r="R84" s="110">
        <v>0</v>
      </c>
      <c r="S84" s="110">
        <v>0</v>
      </c>
      <c r="T84" s="110">
        <v>1</v>
      </c>
      <c r="U84" s="110">
        <v>0</v>
      </c>
      <c r="V84" s="110">
        <v>1</v>
      </c>
      <c r="W84" s="110">
        <v>0</v>
      </c>
      <c r="X84" s="110">
        <v>1</v>
      </c>
      <c r="Y84" s="110">
        <v>1</v>
      </c>
      <c r="Z84" s="110">
        <v>1</v>
      </c>
      <c r="AA84" s="110">
        <v>1</v>
      </c>
      <c r="AB84" s="110">
        <v>1</v>
      </c>
      <c r="AC84" s="110">
        <v>0</v>
      </c>
      <c r="AD84" s="110">
        <v>0</v>
      </c>
      <c r="AE84" s="110">
        <v>1</v>
      </c>
      <c r="AF84" s="110">
        <v>1</v>
      </c>
      <c r="AG84" s="110">
        <v>0</v>
      </c>
      <c r="AH84" s="110">
        <v>0</v>
      </c>
      <c r="AI84" s="110">
        <v>0</v>
      </c>
      <c r="AJ84" s="110">
        <v>0</v>
      </c>
      <c r="AK84" s="110">
        <v>0</v>
      </c>
      <c r="AL84" s="110">
        <v>0</v>
      </c>
      <c r="AM84" s="110">
        <v>0</v>
      </c>
      <c r="AN84" s="110">
        <v>0</v>
      </c>
      <c r="AO84" s="110">
        <v>0</v>
      </c>
      <c r="AP84" s="110">
        <v>0</v>
      </c>
      <c r="AQ84" s="110">
        <v>0</v>
      </c>
      <c r="AR84" s="110">
        <v>0</v>
      </c>
      <c r="AS84" s="110">
        <v>0</v>
      </c>
      <c r="AT84" s="110">
        <v>0</v>
      </c>
      <c r="AU84" s="110">
        <v>0</v>
      </c>
      <c r="AV84" s="110">
        <v>0</v>
      </c>
      <c r="AW84" s="110">
        <v>1</v>
      </c>
      <c r="AX84" s="110">
        <v>1</v>
      </c>
      <c r="AY84" s="110">
        <v>1</v>
      </c>
      <c r="AZ84" s="110">
        <v>0</v>
      </c>
      <c r="BA84" s="110">
        <v>1</v>
      </c>
      <c r="BB84" s="110">
        <v>1</v>
      </c>
      <c r="BC84" s="110">
        <v>1</v>
      </c>
      <c r="BD84" s="110">
        <v>1</v>
      </c>
      <c r="BE84" s="110">
        <v>0</v>
      </c>
      <c r="BF84" s="110">
        <v>1</v>
      </c>
      <c r="BG84" s="110">
        <v>1</v>
      </c>
      <c r="BH84" s="110">
        <v>1</v>
      </c>
      <c r="BI84" s="110">
        <v>1</v>
      </c>
      <c r="BJ84" s="110">
        <v>1</v>
      </c>
      <c r="BK84" s="110">
        <v>1</v>
      </c>
      <c r="BL84" s="110">
        <v>1</v>
      </c>
      <c r="BM84" s="110">
        <v>1</v>
      </c>
      <c r="BN84" s="110">
        <v>1</v>
      </c>
      <c r="BO84" s="110">
        <v>1</v>
      </c>
      <c r="BP84" s="110">
        <v>1</v>
      </c>
      <c r="BQ84" s="110">
        <v>0</v>
      </c>
      <c r="BR84" s="110">
        <v>0</v>
      </c>
      <c r="BS84" s="110">
        <v>0</v>
      </c>
      <c r="BT84" s="110">
        <v>0</v>
      </c>
      <c r="BU84" s="110">
        <v>1</v>
      </c>
      <c r="BV84" s="110">
        <v>0</v>
      </c>
      <c r="BW84" s="110">
        <v>1</v>
      </c>
      <c r="BX84" s="110">
        <v>0</v>
      </c>
      <c r="BY84" s="110">
        <v>0</v>
      </c>
      <c r="BZ84" s="110">
        <v>0</v>
      </c>
      <c r="CA84" s="110">
        <v>0</v>
      </c>
      <c r="CB84" s="110">
        <v>0</v>
      </c>
      <c r="CC84" s="110">
        <v>0</v>
      </c>
      <c r="CD84" s="110">
        <v>0</v>
      </c>
      <c r="CE84" s="110">
        <v>0</v>
      </c>
      <c r="CF84" s="110">
        <v>0</v>
      </c>
      <c r="CG84" s="110">
        <v>0</v>
      </c>
    </row>
    <row r="85" spans="1:85" x14ac:dyDescent="0.15">
      <c r="A85" s="188" t="s">
        <v>275</v>
      </c>
      <c r="B85" s="110">
        <v>0</v>
      </c>
      <c r="C85" s="110">
        <v>0</v>
      </c>
      <c r="D85" s="110">
        <v>0</v>
      </c>
      <c r="E85" s="110">
        <v>0</v>
      </c>
      <c r="F85" s="110">
        <v>0</v>
      </c>
      <c r="G85" s="110">
        <v>0</v>
      </c>
      <c r="H85" s="110">
        <v>0</v>
      </c>
      <c r="I85" s="110">
        <v>0</v>
      </c>
      <c r="J85" s="110">
        <v>0</v>
      </c>
      <c r="K85" s="110">
        <v>0</v>
      </c>
      <c r="L85" s="110">
        <v>0</v>
      </c>
      <c r="M85" s="110">
        <v>0</v>
      </c>
      <c r="N85" s="110">
        <v>0</v>
      </c>
      <c r="O85" s="110">
        <v>0</v>
      </c>
      <c r="P85" s="110">
        <v>0</v>
      </c>
      <c r="Q85" s="110">
        <v>0</v>
      </c>
      <c r="R85" s="110">
        <v>0</v>
      </c>
      <c r="S85" s="110">
        <v>0</v>
      </c>
      <c r="T85" s="110">
        <v>0</v>
      </c>
      <c r="U85" s="110">
        <v>0</v>
      </c>
      <c r="V85" s="110">
        <v>0</v>
      </c>
      <c r="W85" s="110">
        <v>0</v>
      </c>
      <c r="X85" s="110">
        <v>0</v>
      </c>
      <c r="Y85" s="110">
        <v>0</v>
      </c>
      <c r="Z85" s="110">
        <v>0</v>
      </c>
      <c r="AA85" s="110">
        <v>0</v>
      </c>
      <c r="AB85" s="110">
        <v>0</v>
      </c>
      <c r="AC85" s="110">
        <v>0</v>
      </c>
      <c r="AD85" s="110">
        <v>0</v>
      </c>
      <c r="AE85" s="110">
        <v>0</v>
      </c>
      <c r="AF85" s="110">
        <v>0</v>
      </c>
      <c r="AG85" s="110">
        <v>0</v>
      </c>
      <c r="AH85" s="110">
        <v>0</v>
      </c>
      <c r="AI85" s="110">
        <v>0</v>
      </c>
      <c r="AJ85" s="110">
        <v>0</v>
      </c>
      <c r="AK85" s="110">
        <v>0</v>
      </c>
      <c r="AL85" s="110">
        <v>0</v>
      </c>
      <c r="AM85" s="110">
        <v>0</v>
      </c>
      <c r="AN85" s="110">
        <v>0</v>
      </c>
      <c r="AO85" s="110">
        <v>0</v>
      </c>
      <c r="AP85" s="110">
        <v>0</v>
      </c>
      <c r="AQ85" s="110">
        <v>0</v>
      </c>
      <c r="AR85" s="110">
        <v>0</v>
      </c>
      <c r="AS85" s="110">
        <v>0</v>
      </c>
      <c r="AT85" s="110">
        <v>0</v>
      </c>
      <c r="AU85" s="110">
        <v>0</v>
      </c>
      <c r="AV85" s="110">
        <v>0</v>
      </c>
      <c r="AW85" s="110">
        <v>0</v>
      </c>
      <c r="AX85" s="110">
        <v>0</v>
      </c>
      <c r="AY85" s="110">
        <v>0</v>
      </c>
      <c r="AZ85" s="110">
        <v>0</v>
      </c>
      <c r="BA85" s="110">
        <v>0</v>
      </c>
      <c r="BB85" s="110">
        <v>0</v>
      </c>
      <c r="BC85" s="110">
        <v>0</v>
      </c>
      <c r="BD85" s="110">
        <v>0</v>
      </c>
      <c r="BE85" s="110">
        <v>0</v>
      </c>
      <c r="BF85" s="110">
        <v>0</v>
      </c>
      <c r="BG85" s="110">
        <v>0</v>
      </c>
      <c r="BH85" s="110">
        <v>0</v>
      </c>
      <c r="BI85" s="110">
        <v>0</v>
      </c>
      <c r="BJ85" s="110">
        <v>0</v>
      </c>
      <c r="BK85" s="110">
        <v>0</v>
      </c>
      <c r="BL85" s="110">
        <v>0</v>
      </c>
      <c r="BM85" s="110">
        <v>0</v>
      </c>
      <c r="BN85" s="110">
        <v>0</v>
      </c>
      <c r="BO85" s="110">
        <v>0</v>
      </c>
      <c r="BP85" s="110">
        <v>0</v>
      </c>
      <c r="BQ85" s="110">
        <v>0</v>
      </c>
      <c r="BR85" s="110">
        <v>0</v>
      </c>
      <c r="BS85" s="110">
        <v>0</v>
      </c>
      <c r="BT85" s="110">
        <v>0</v>
      </c>
      <c r="BU85" s="110">
        <v>0</v>
      </c>
      <c r="BV85" s="110">
        <v>0</v>
      </c>
      <c r="BW85" s="110">
        <v>0</v>
      </c>
      <c r="BX85" s="110">
        <v>0</v>
      </c>
      <c r="BY85" s="110">
        <v>0</v>
      </c>
      <c r="BZ85" s="110">
        <v>0</v>
      </c>
      <c r="CA85" s="110">
        <v>0</v>
      </c>
      <c r="CB85" s="110">
        <v>0</v>
      </c>
      <c r="CC85" s="110">
        <v>0</v>
      </c>
      <c r="CD85" s="110">
        <v>0</v>
      </c>
      <c r="CE85" s="110">
        <v>0</v>
      </c>
      <c r="CF85" s="110">
        <v>0</v>
      </c>
      <c r="CG85" s="110">
        <v>0</v>
      </c>
    </row>
    <row r="86" spans="1:85" x14ac:dyDescent="0.15">
      <c r="A86" s="188" t="s">
        <v>286</v>
      </c>
      <c r="B86" s="110">
        <v>1</v>
      </c>
      <c r="C86" s="110">
        <v>0</v>
      </c>
      <c r="D86" s="110">
        <v>1</v>
      </c>
      <c r="E86" s="110">
        <v>0</v>
      </c>
      <c r="F86" s="110">
        <v>0</v>
      </c>
      <c r="G86" s="110">
        <v>0</v>
      </c>
      <c r="H86" s="110">
        <v>0</v>
      </c>
      <c r="I86" s="110">
        <v>0</v>
      </c>
      <c r="J86" s="110">
        <v>0</v>
      </c>
      <c r="K86" s="110">
        <v>0</v>
      </c>
      <c r="L86" s="110">
        <v>0</v>
      </c>
      <c r="M86" s="110">
        <v>0</v>
      </c>
      <c r="N86" s="110">
        <v>0</v>
      </c>
      <c r="O86" s="110">
        <v>1</v>
      </c>
      <c r="P86" s="110">
        <v>0</v>
      </c>
      <c r="Q86" s="110">
        <v>0</v>
      </c>
      <c r="R86" s="110">
        <v>0</v>
      </c>
      <c r="S86" s="110">
        <v>0</v>
      </c>
      <c r="T86" s="110">
        <v>0</v>
      </c>
      <c r="U86" s="110">
        <v>0</v>
      </c>
      <c r="V86" s="110">
        <v>0</v>
      </c>
      <c r="W86" s="110">
        <v>0</v>
      </c>
      <c r="X86" s="110">
        <v>0</v>
      </c>
      <c r="Y86" s="110">
        <v>0</v>
      </c>
      <c r="Z86" s="110">
        <v>0</v>
      </c>
      <c r="AA86" s="110">
        <v>0</v>
      </c>
      <c r="AB86" s="110">
        <v>0</v>
      </c>
      <c r="AC86" s="110">
        <v>0</v>
      </c>
      <c r="AD86" s="110">
        <v>0</v>
      </c>
      <c r="AE86" s="110">
        <v>0</v>
      </c>
      <c r="AF86" s="110">
        <v>0</v>
      </c>
      <c r="AG86" s="110">
        <v>0</v>
      </c>
      <c r="AH86" s="110">
        <v>0</v>
      </c>
      <c r="AI86" s="110">
        <v>0</v>
      </c>
      <c r="AJ86" s="110">
        <v>0</v>
      </c>
      <c r="AK86" s="110">
        <v>0</v>
      </c>
      <c r="AL86" s="110">
        <v>0</v>
      </c>
      <c r="AM86" s="110">
        <v>0</v>
      </c>
      <c r="AN86" s="110">
        <v>1</v>
      </c>
      <c r="AO86" s="110">
        <v>1</v>
      </c>
      <c r="AP86" s="110">
        <v>0</v>
      </c>
      <c r="AQ86" s="110">
        <v>0</v>
      </c>
      <c r="AR86" s="110">
        <v>0</v>
      </c>
      <c r="AS86" s="110">
        <v>0</v>
      </c>
      <c r="AT86" s="110">
        <v>0</v>
      </c>
      <c r="AU86" s="110">
        <v>0</v>
      </c>
      <c r="AV86" s="110">
        <v>0</v>
      </c>
      <c r="AW86" s="110">
        <v>1</v>
      </c>
      <c r="AX86" s="110">
        <v>1</v>
      </c>
      <c r="AY86" s="110">
        <v>1</v>
      </c>
      <c r="AZ86" s="110">
        <v>0</v>
      </c>
      <c r="BA86" s="110">
        <v>1</v>
      </c>
      <c r="BB86" s="110">
        <v>1</v>
      </c>
      <c r="BC86" s="110">
        <v>1</v>
      </c>
      <c r="BD86" s="110">
        <v>1</v>
      </c>
      <c r="BE86" s="110">
        <v>1</v>
      </c>
      <c r="BF86" s="110">
        <v>0</v>
      </c>
      <c r="BG86" s="110">
        <v>0</v>
      </c>
      <c r="BH86" s="110">
        <v>1</v>
      </c>
      <c r="BI86" s="110">
        <v>0</v>
      </c>
      <c r="BJ86" s="110">
        <v>0</v>
      </c>
      <c r="BK86" s="110">
        <v>1</v>
      </c>
      <c r="BL86" s="110">
        <v>0</v>
      </c>
      <c r="BM86" s="110">
        <v>1</v>
      </c>
      <c r="BN86" s="110">
        <v>0</v>
      </c>
      <c r="BO86" s="110">
        <v>0</v>
      </c>
      <c r="BP86" s="110">
        <v>0</v>
      </c>
      <c r="BQ86" s="110">
        <v>0</v>
      </c>
      <c r="BR86" s="110">
        <v>0</v>
      </c>
      <c r="BS86" s="110">
        <v>0</v>
      </c>
      <c r="BT86" s="110">
        <v>0</v>
      </c>
      <c r="BU86" s="110">
        <v>0</v>
      </c>
      <c r="BV86" s="110">
        <v>0</v>
      </c>
      <c r="BW86" s="110">
        <v>0</v>
      </c>
      <c r="BX86" s="110">
        <v>0</v>
      </c>
      <c r="BY86" s="110">
        <v>0</v>
      </c>
      <c r="BZ86" s="110">
        <v>0</v>
      </c>
      <c r="CA86" s="110">
        <v>0</v>
      </c>
      <c r="CB86" s="110">
        <v>0</v>
      </c>
      <c r="CC86" s="110">
        <v>0</v>
      </c>
      <c r="CD86" s="110">
        <v>0</v>
      </c>
      <c r="CE86" s="110">
        <v>0</v>
      </c>
      <c r="CF86" s="110">
        <v>0</v>
      </c>
      <c r="CG86" s="110">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L185"/>
  <sheetViews>
    <sheetView workbookViewId="0">
      <selection activeCell="A3" sqref="A3"/>
    </sheetView>
  </sheetViews>
  <sheetFormatPr baseColWidth="10" defaultRowHeight="13" x14ac:dyDescent="0.15"/>
  <cols>
    <col min="1" max="1" width="3.33203125" customWidth="1"/>
    <col min="2" max="2" width="31.33203125" bestFit="1" customWidth="1"/>
    <col min="3" max="4" width="3.83203125" bestFit="1" customWidth="1"/>
    <col min="5" max="12" width="3.83203125" customWidth="1"/>
  </cols>
  <sheetData>
    <row r="1" spans="1:12" ht="112" x14ac:dyDescent="0.15">
      <c r="A1" s="5" t="s">
        <v>83</v>
      </c>
      <c r="B1" s="3" t="s">
        <v>0</v>
      </c>
      <c r="C1" s="191" t="s">
        <v>276</v>
      </c>
      <c r="D1" s="191" t="s">
        <v>277</v>
      </c>
      <c r="E1" s="191" t="s">
        <v>278</v>
      </c>
      <c r="F1" s="191" t="s">
        <v>279</v>
      </c>
      <c r="G1" s="191" t="s">
        <v>280</v>
      </c>
      <c r="H1" s="191" t="s">
        <v>281</v>
      </c>
      <c r="I1" s="191" t="s">
        <v>282</v>
      </c>
      <c r="J1" s="191" t="s">
        <v>283</v>
      </c>
      <c r="K1" s="191" t="s">
        <v>284</v>
      </c>
      <c r="L1" s="191" t="s">
        <v>285</v>
      </c>
    </row>
    <row r="2" spans="1:12" x14ac:dyDescent="0.15">
      <c r="A2">
        <v>1</v>
      </c>
      <c r="B2" s="190" t="s">
        <v>192</v>
      </c>
      <c r="C2">
        <v>0</v>
      </c>
      <c r="D2">
        <v>0</v>
      </c>
      <c r="E2">
        <v>0</v>
      </c>
      <c r="F2">
        <v>0.8</v>
      </c>
      <c r="G2">
        <v>0</v>
      </c>
      <c r="H2">
        <v>0</v>
      </c>
      <c r="I2">
        <v>0</v>
      </c>
      <c r="J2">
        <v>0</v>
      </c>
      <c r="K2">
        <v>0</v>
      </c>
      <c r="L2">
        <v>0</v>
      </c>
    </row>
    <row r="3" spans="1:12" x14ac:dyDescent="0.15">
      <c r="A3">
        <v>2</v>
      </c>
      <c r="B3" s="190" t="s">
        <v>193</v>
      </c>
      <c r="C3">
        <v>0</v>
      </c>
      <c r="D3">
        <v>0</v>
      </c>
      <c r="E3">
        <v>0</v>
      </c>
      <c r="F3">
        <v>0</v>
      </c>
      <c r="G3">
        <v>0</v>
      </c>
      <c r="H3">
        <v>0</v>
      </c>
      <c r="I3">
        <v>0.8</v>
      </c>
      <c r="J3">
        <v>0</v>
      </c>
      <c r="K3">
        <v>0</v>
      </c>
      <c r="L3">
        <v>0</v>
      </c>
    </row>
    <row r="4" spans="1:12" x14ac:dyDescent="0.15">
      <c r="A4">
        <v>3</v>
      </c>
      <c r="B4" s="190" t="s">
        <v>194</v>
      </c>
      <c r="C4">
        <v>0</v>
      </c>
      <c r="D4">
        <v>0</v>
      </c>
      <c r="E4">
        <v>0</v>
      </c>
      <c r="F4">
        <v>0</v>
      </c>
      <c r="G4">
        <v>0</v>
      </c>
      <c r="H4">
        <v>0</v>
      </c>
      <c r="I4">
        <v>0</v>
      </c>
      <c r="J4">
        <v>0</v>
      </c>
      <c r="K4">
        <v>0</v>
      </c>
      <c r="L4">
        <v>0</v>
      </c>
    </row>
    <row r="5" spans="1:12" x14ac:dyDescent="0.15">
      <c r="A5">
        <v>4</v>
      </c>
      <c r="B5" s="190" t="s">
        <v>195</v>
      </c>
      <c r="C5">
        <v>0</v>
      </c>
      <c r="D5">
        <v>0</v>
      </c>
      <c r="E5">
        <v>0</v>
      </c>
      <c r="F5">
        <v>0</v>
      </c>
      <c r="G5">
        <v>0</v>
      </c>
      <c r="H5">
        <v>0</v>
      </c>
      <c r="I5">
        <v>0.8</v>
      </c>
      <c r="J5">
        <v>0</v>
      </c>
      <c r="K5">
        <v>0</v>
      </c>
      <c r="L5">
        <v>0</v>
      </c>
    </row>
    <row r="6" spans="1:12" x14ac:dyDescent="0.15">
      <c r="A6">
        <v>5</v>
      </c>
      <c r="B6" s="190" t="s">
        <v>196</v>
      </c>
      <c r="C6">
        <v>0.8</v>
      </c>
      <c r="D6">
        <v>0.8</v>
      </c>
      <c r="E6">
        <v>0</v>
      </c>
      <c r="F6">
        <v>0</v>
      </c>
      <c r="G6">
        <v>0</v>
      </c>
      <c r="H6">
        <v>0</v>
      </c>
      <c r="I6">
        <v>0</v>
      </c>
      <c r="J6">
        <v>0</v>
      </c>
      <c r="K6">
        <v>0</v>
      </c>
      <c r="L6">
        <v>0.8</v>
      </c>
    </row>
    <row r="7" spans="1:12" x14ac:dyDescent="0.15">
      <c r="A7">
        <v>6</v>
      </c>
      <c r="B7" s="190" t="s">
        <v>197</v>
      </c>
      <c r="C7">
        <v>0</v>
      </c>
      <c r="D7">
        <v>0</v>
      </c>
      <c r="E7">
        <v>0</v>
      </c>
      <c r="F7">
        <v>0</v>
      </c>
      <c r="G7">
        <v>0</v>
      </c>
      <c r="H7">
        <v>0</v>
      </c>
      <c r="I7">
        <v>0</v>
      </c>
      <c r="J7">
        <v>0</v>
      </c>
      <c r="K7">
        <v>0</v>
      </c>
      <c r="L7">
        <v>0</v>
      </c>
    </row>
    <row r="8" spans="1:12" x14ac:dyDescent="0.15">
      <c r="A8">
        <v>7</v>
      </c>
      <c r="B8" s="190" t="s">
        <v>198</v>
      </c>
      <c r="C8">
        <v>0</v>
      </c>
      <c r="D8">
        <v>0</v>
      </c>
      <c r="E8">
        <v>0</v>
      </c>
      <c r="F8">
        <v>0</v>
      </c>
      <c r="G8">
        <v>0</v>
      </c>
      <c r="H8">
        <v>0</v>
      </c>
      <c r="I8">
        <v>0</v>
      </c>
      <c r="J8">
        <v>0</v>
      </c>
      <c r="K8">
        <v>0</v>
      </c>
      <c r="L8">
        <v>0</v>
      </c>
    </row>
    <row r="9" spans="1:12" x14ac:dyDescent="0.15">
      <c r="A9">
        <v>8</v>
      </c>
      <c r="B9" s="190" t="s">
        <v>199</v>
      </c>
      <c r="C9">
        <v>0</v>
      </c>
      <c r="D9">
        <v>0</v>
      </c>
      <c r="E9">
        <v>0</v>
      </c>
      <c r="F9">
        <v>0</v>
      </c>
      <c r="G9">
        <v>0</v>
      </c>
      <c r="H9">
        <v>0</v>
      </c>
      <c r="I9">
        <v>0</v>
      </c>
      <c r="J9">
        <v>0</v>
      </c>
      <c r="K9">
        <v>0</v>
      </c>
      <c r="L9">
        <v>0</v>
      </c>
    </row>
    <row r="10" spans="1:12" x14ac:dyDescent="0.15">
      <c r="A10">
        <v>9</v>
      </c>
      <c r="B10" s="190" t="s">
        <v>200</v>
      </c>
      <c r="C10">
        <v>0</v>
      </c>
      <c r="D10">
        <v>0</v>
      </c>
      <c r="E10">
        <v>0</v>
      </c>
      <c r="F10">
        <v>0</v>
      </c>
      <c r="G10">
        <v>0</v>
      </c>
      <c r="H10">
        <v>0</v>
      </c>
      <c r="I10">
        <v>0</v>
      </c>
      <c r="J10">
        <v>0</v>
      </c>
      <c r="K10">
        <v>0</v>
      </c>
      <c r="L10">
        <v>0</v>
      </c>
    </row>
    <row r="11" spans="1:12" x14ac:dyDescent="0.15">
      <c r="A11">
        <v>10</v>
      </c>
      <c r="B11" s="190" t="s">
        <v>201</v>
      </c>
      <c r="C11">
        <v>0.8</v>
      </c>
      <c r="D11">
        <v>0.8</v>
      </c>
      <c r="E11">
        <v>0.8</v>
      </c>
      <c r="F11">
        <v>0.8</v>
      </c>
      <c r="G11">
        <v>0</v>
      </c>
      <c r="H11">
        <v>0.8</v>
      </c>
      <c r="I11">
        <v>0</v>
      </c>
      <c r="J11">
        <v>0</v>
      </c>
      <c r="K11">
        <v>0.8</v>
      </c>
      <c r="L11">
        <v>0.8</v>
      </c>
    </row>
    <row r="12" spans="1:12" x14ac:dyDescent="0.15">
      <c r="A12">
        <v>11</v>
      </c>
      <c r="B12" s="190" t="s">
        <v>202</v>
      </c>
      <c r="C12">
        <v>0</v>
      </c>
      <c r="D12">
        <v>0</v>
      </c>
      <c r="E12">
        <v>0.8</v>
      </c>
      <c r="F12">
        <v>0.8</v>
      </c>
      <c r="G12">
        <v>0</v>
      </c>
      <c r="H12">
        <v>0</v>
      </c>
      <c r="I12">
        <v>0</v>
      </c>
      <c r="J12">
        <v>0.8</v>
      </c>
      <c r="K12">
        <v>0.8</v>
      </c>
      <c r="L12">
        <v>0</v>
      </c>
    </row>
    <row r="13" spans="1:12" x14ac:dyDescent="0.15">
      <c r="A13">
        <v>12</v>
      </c>
      <c r="B13" s="190" t="s">
        <v>203</v>
      </c>
      <c r="C13">
        <v>0</v>
      </c>
      <c r="D13">
        <v>0</v>
      </c>
      <c r="E13">
        <v>0.8</v>
      </c>
      <c r="F13">
        <v>0.8</v>
      </c>
      <c r="G13">
        <v>0</v>
      </c>
      <c r="H13">
        <v>0.8</v>
      </c>
      <c r="I13">
        <v>0</v>
      </c>
      <c r="J13">
        <v>0.8</v>
      </c>
      <c r="K13">
        <v>0.8</v>
      </c>
      <c r="L13">
        <v>0</v>
      </c>
    </row>
    <row r="14" spans="1:12" x14ac:dyDescent="0.15">
      <c r="A14">
        <v>13</v>
      </c>
      <c r="B14" s="190" t="s">
        <v>204</v>
      </c>
      <c r="C14">
        <v>0.8</v>
      </c>
      <c r="D14">
        <v>0.8</v>
      </c>
      <c r="E14">
        <v>0.8</v>
      </c>
      <c r="F14">
        <v>0.8</v>
      </c>
      <c r="G14">
        <v>0</v>
      </c>
      <c r="H14">
        <v>0</v>
      </c>
      <c r="I14">
        <v>0.8</v>
      </c>
      <c r="J14">
        <v>0.8</v>
      </c>
      <c r="K14">
        <v>0.8</v>
      </c>
      <c r="L14">
        <v>0.8</v>
      </c>
    </row>
    <row r="15" spans="1:12" x14ac:dyDescent="0.15">
      <c r="A15">
        <v>14</v>
      </c>
      <c r="B15" s="190" t="s">
        <v>205</v>
      </c>
      <c r="C15">
        <v>0.8</v>
      </c>
      <c r="D15">
        <v>0.8</v>
      </c>
      <c r="E15">
        <v>0.8</v>
      </c>
      <c r="F15">
        <v>0.8</v>
      </c>
      <c r="G15">
        <v>0</v>
      </c>
      <c r="H15">
        <v>0</v>
      </c>
      <c r="I15">
        <v>0</v>
      </c>
      <c r="J15">
        <v>0.8</v>
      </c>
      <c r="K15">
        <v>0.8</v>
      </c>
      <c r="L15">
        <v>0.8</v>
      </c>
    </row>
    <row r="16" spans="1:12" x14ac:dyDescent="0.15">
      <c r="A16">
        <v>15</v>
      </c>
      <c r="B16" s="190" t="s">
        <v>206</v>
      </c>
      <c r="C16">
        <v>0.8</v>
      </c>
      <c r="D16">
        <v>0.8</v>
      </c>
      <c r="E16">
        <v>0.8</v>
      </c>
      <c r="F16">
        <v>0.8</v>
      </c>
      <c r="G16">
        <v>0</v>
      </c>
      <c r="H16">
        <v>0</v>
      </c>
      <c r="I16">
        <v>0</v>
      </c>
      <c r="J16">
        <v>0.8</v>
      </c>
      <c r="K16">
        <v>0.8</v>
      </c>
      <c r="L16">
        <v>0.8</v>
      </c>
    </row>
    <row r="17" spans="1:12" x14ac:dyDescent="0.15">
      <c r="A17">
        <v>16</v>
      </c>
      <c r="B17" s="190" t="s">
        <v>207</v>
      </c>
      <c r="C17">
        <v>0.8</v>
      </c>
      <c r="D17">
        <v>0.8</v>
      </c>
      <c r="E17">
        <v>0</v>
      </c>
      <c r="F17">
        <v>0.8</v>
      </c>
      <c r="G17">
        <v>0</v>
      </c>
      <c r="H17">
        <v>0</v>
      </c>
      <c r="I17">
        <v>0</v>
      </c>
      <c r="J17">
        <v>0</v>
      </c>
      <c r="K17">
        <v>0.8</v>
      </c>
      <c r="L17">
        <v>0.8</v>
      </c>
    </row>
    <row r="18" spans="1:12" x14ac:dyDescent="0.15">
      <c r="A18">
        <v>17</v>
      </c>
      <c r="B18" s="190" t="s">
        <v>208</v>
      </c>
      <c r="C18">
        <v>0</v>
      </c>
      <c r="D18">
        <v>0</v>
      </c>
      <c r="E18">
        <v>0</v>
      </c>
      <c r="F18">
        <v>0.8</v>
      </c>
      <c r="G18">
        <v>0</v>
      </c>
      <c r="H18">
        <v>0.8</v>
      </c>
      <c r="I18">
        <v>0</v>
      </c>
      <c r="J18">
        <v>0.8</v>
      </c>
      <c r="K18">
        <v>0.8</v>
      </c>
      <c r="L18">
        <v>0</v>
      </c>
    </row>
    <row r="19" spans="1:12" x14ac:dyDescent="0.15">
      <c r="A19">
        <v>18</v>
      </c>
      <c r="B19" s="190" t="s">
        <v>209</v>
      </c>
      <c r="C19">
        <v>0.8</v>
      </c>
      <c r="D19">
        <v>0.8</v>
      </c>
      <c r="E19">
        <v>0.8</v>
      </c>
      <c r="F19">
        <v>0.8</v>
      </c>
      <c r="G19">
        <v>0</v>
      </c>
      <c r="H19">
        <v>0.8</v>
      </c>
      <c r="I19">
        <v>0.8</v>
      </c>
      <c r="J19">
        <v>0.8</v>
      </c>
      <c r="K19">
        <v>0.8</v>
      </c>
      <c r="L19">
        <v>0.8</v>
      </c>
    </row>
    <row r="20" spans="1:12" x14ac:dyDescent="0.15">
      <c r="A20">
        <v>19</v>
      </c>
      <c r="B20" s="190" t="s">
        <v>210</v>
      </c>
      <c r="C20">
        <v>0.8</v>
      </c>
      <c r="D20">
        <v>0.8</v>
      </c>
      <c r="E20">
        <v>0.8</v>
      </c>
      <c r="F20">
        <v>0.8</v>
      </c>
      <c r="G20">
        <v>0</v>
      </c>
      <c r="H20">
        <v>0.8</v>
      </c>
      <c r="I20">
        <v>0.8</v>
      </c>
      <c r="J20">
        <v>0.8</v>
      </c>
      <c r="K20">
        <v>0.8</v>
      </c>
      <c r="L20">
        <v>0.8</v>
      </c>
    </row>
    <row r="21" spans="1:12" x14ac:dyDescent="0.15">
      <c r="A21">
        <v>20</v>
      </c>
      <c r="B21" s="190" t="s">
        <v>211</v>
      </c>
      <c r="C21">
        <v>0.8</v>
      </c>
      <c r="D21">
        <v>0.8</v>
      </c>
      <c r="E21">
        <v>0</v>
      </c>
      <c r="F21">
        <v>0.8</v>
      </c>
      <c r="G21">
        <v>0</v>
      </c>
      <c r="H21">
        <v>0.8</v>
      </c>
      <c r="I21">
        <v>0</v>
      </c>
      <c r="J21">
        <v>0.8</v>
      </c>
      <c r="K21">
        <v>0.8</v>
      </c>
      <c r="L21">
        <v>0.8</v>
      </c>
    </row>
    <row r="22" spans="1:12" x14ac:dyDescent="0.15">
      <c r="A22">
        <v>21</v>
      </c>
      <c r="B22" s="190" t="s">
        <v>212</v>
      </c>
      <c r="C22">
        <v>0.8</v>
      </c>
      <c r="D22">
        <v>0.8</v>
      </c>
      <c r="E22">
        <v>0.8</v>
      </c>
      <c r="F22">
        <v>0.8</v>
      </c>
      <c r="G22">
        <v>0</v>
      </c>
      <c r="H22">
        <v>0.8</v>
      </c>
      <c r="I22">
        <v>0.8</v>
      </c>
      <c r="J22">
        <v>0.8</v>
      </c>
      <c r="K22">
        <v>0.8</v>
      </c>
      <c r="L22">
        <v>0.8</v>
      </c>
    </row>
    <row r="23" spans="1:12" x14ac:dyDescent="0.15">
      <c r="A23">
        <v>22</v>
      </c>
      <c r="B23" s="190" t="s">
        <v>213</v>
      </c>
      <c r="C23">
        <v>0.8</v>
      </c>
      <c r="D23">
        <v>0.8</v>
      </c>
      <c r="E23">
        <v>0</v>
      </c>
      <c r="F23">
        <v>0.8</v>
      </c>
      <c r="G23">
        <v>0</v>
      </c>
      <c r="H23">
        <v>0.8</v>
      </c>
      <c r="I23">
        <v>0</v>
      </c>
      <c r="J23">
        <v>0.8</v>
      </c>
      <c r="K23">
        <v>0</v>
      </c>
      <c r="L23">
        <v>0.8</v>
      </c>
    </row>
    <row r="24" spans="1:12" x14ac:dyDescent="0.15">
      <c r="A24">
        <v>23</v>
      </c>
      <c r="B24" s="190" t="s">
        <v>214</v>
      </c>
      <c r="C24">
        <v>0.8</v>
      </c>
      <c r="D24">
        <v>0.8</v>
      </c>
      <c r="E24">
        <v>0.8</v>
      </c>
      <c r="F24">
        <v>0.8</v>
      </c>
      <c r="G24">
        <v>0</v>
      </c>
      <c r="H24">
        <v>0.8</v>
      </c>
      <c r="I24">
        <v>0.8</v>
      </c>
      <c r="J24">
        <v>0.8</v>
      </c>
      <c r="K24">
        <v>0.8</v>
      </c>
      <c r="L24">
        <v>0.8</v>
      </c>
    </row>
    <row r="25" spans="1:12" x14ac:dyDescent="0.15">
      <c r="A25">
        <v>24</v>
      </c>
      <c r="B25" s="190" t="s">
        <v>215</v>
      </c>
      <c r="C25">
        <v>0.8</v>
      </c>
      <c r="D25">
        <v>0.8</v>
      </c>
      <c r="E25">
        <v>0.8</v>
      </c>
      <c r="F25">
        <v>0</v>
      </c>
      <c r="G25">
        <v>0</v>
      </c>
      <c r="H25">
        <v>0.8</v>
      </c>
      <c r="I25">
        <v>0.8</v>
      </c>
      <c r="J25">
        <v>0.8</v>
      </c>
      <c r="K25">
        <v>0.8</v>
      </c>
      <c r="L25">
        <v>0.8</v>
      </c>
    </row>
    <row r="26" spans="1:12" x14ac:dyDescent="0.15">
      <c r="A26">
        <v>25</v>
      </c>
      <c r="B26" s="190" t="s">
        <v>216</v>
      </c>
      <c r="C26">
        <v>0.8</v>
      </c>
      <c r="D26">
        <v>0.8</v>
      </c>
      <c r="E26">
        <v>0.8</v>
      </c>
      <c r="F26">
        <v>0.8</v>
      </c>
      <c r="G26">
        <v>0</v>
      </c>
      <c r="H26">
        <v>0.8</v>
      </c>
      <c r="I26">
        <v>0.8</v>
      </c>
      <c r="J26">
        <v>0.8</v>
      </c>
      <c r="K26">
        <v>0</v>
      </c>
      <c r="L26">
        <v>0.8</v>
      </c>
    </row>
    <row r="27" spans="1:12" x14ac:dyDescent="0.15">
      <c r="A27">
        <v>26</v>
      </c>
      <c r="B27" s="190" t="s">
        <v>217</v>
      </c>
      <c r="C27">
        <v>0.8</v>
      </c>
      <c r="D27">
        <v>0.8</v>
      </c>
      <c r="E27">
        <v>0.8</v>
      </c>
      <c r="F27">
        <v>0.8</v>
      </c>
      <c r="G27">
        <v>0</v>
      </c>
      <c r="H27">
        <v>0.8</v>
      </c>
      <c r="I27">
        <v>0.8</v>
      </c>
      <c r="J27">
        <v>0.8</v>
      </c>
      <c r="K27">
        <v>0</v>
      </c>
      <c r="L27">
        <v>0.8</v>
      </c>
    </row>
    <row r="28" spans="1:12" x14ac:dyDescent="0.15">
      <c r="A28">
        <v>27</v>
      </c>
      <c r="B28" s="190" t="s">
        <v>218</v>
      </c>
      <c r="C28">
        <v>0.8</v>
      </c>
      <c r="D28">
        <v>0.8</v>
      </c>
      <c r="E28">
        <v>0.8</v>
      </c>
      <c r="F28">
        <v>0.8</v>
      </c>
      <c r="G28">
        <v>0</v>
      </c>
      <c r="H28">
        <v>0.8</v>
      </c>
      <c r="I28">
        <v>0.8</v>
      </c>
      <c r="J28">
        <v>0.8</v>
      </c>
      <c r="K28">
        <v>0.8</v>
      </c>
      <c r="L28">
        <v>0.8</v>
      </c>
    </row>
    <row r="29" spans="1:12" x14ac:dyDescent="0.15">
      <c r="A29">
        <v>28</v>
      </c>
      <c r="B29" s="190" t="s">
        <v>219</v>
      </c>
      <c r="C29">
        <v>0.8</v>
      </c>
      <c r="D29">
        <v>0.8</v>
      </c>
      <c r="E29">
        <v>0</v>
      </c>
      <c r="F29">
        <v>0</v>
      </c>
      <c r="G29">
        <v>0</v>
      </c>
      <c r="H29">
        <v>0</v>
      </c>
      <c r="I29">
        <v>0</v>
      </c>
      <c r="J29">
        <v>0</v>
      </c>
      <c r="K29">
        <v>0</v>
      </c>
      <c r="L29">
        <v>0.8</v>
      </c>
    </row>
    <row r="30" spans="1:12" x14ac:dyDescent="0.15">
      <c r="A30">
        <v>29</v>
      </c>
      <c r="B30" s="190" t="s">
        <v>220</v>
      </c>
      <c r="C30">
        <v>0.8</v>
      </c>
      <c r="D30">
        <v>0.8</v>
      </c>
      <c r="E30">
        <v>0</v>
      </c>
      <c r="F30">
        <v>0.8</v>
      </c>
      <c r="G30">
        <v>0</v>
      </c>
      <c r="H30">
        <v>0.8</v>
      </c>
      <c r="I30">
        <v>0</v>
      </c>
      <c r="J30">
        <v>0</v>
      </c>
      <c r="K30">
        <v>0.8</v>
      </c>
      <c r="L30">
        <v>0.8</v>
      </c>
    </row>
    <row r="31" spans="1:12" x14ac:dyDescent="0.15">
      <c r="A31">
        <v>30</v>
      </c>
      <c r="B31" s="190" t="s">
        <v>221</v>
      </c>
      <c r="C31">
        <v>0.8</v>
      </c>
      <c r="D31">
        <v>0.8</v>
      </c>
      <c r="E31">
        <v>0.8</v>
      </c>
      <c r="F31">
        <v>0.8</v>
      </c>
      <c r="G31">
        <v>0</v>
      </c>
      <c r="H31">
        <v>0.8</v>
      </c>
      <c r="I31">
        <v>0</v>
      </c>
      <c r="J31">
        <v>0.8</v>
      </c>
      <c r="K31">
        <v>0.8</v>
      </c>
      <c r="L31">
        <v>0.8</v>
      </c>
    </row>
    <row r="32" spans="1:12" x14ac:dyDescent="0.15">
      <c r="A32">
        <v>31</v>
      </c>
      <c r="B32" s="190" t="s">
        <v>222</v>
      </c>
      <c r="C32">
        <v>0.8</v>
      </c>
      <c r="D32">
        <v>0.8</v>
      </c>
      <c r="E32">
        <v>0</v>
      </c>
      <c r="F32">
        <v>0</v>
      </c>
      <c r="G32">
        <v>0</v>
      </c>
      <c r="H32">
        <v>0.8</v>
      </c>
      <c r="I32">
        <v>0.8</v>
      </c>
      <c r="J32">
        <v>0.8</v>
      </c>
      <c r="K32">
        <v>0</v>
      </c>
      <c r="L32">
        <v>0.8</v>
      </c>
    </row>
    <row r="33" spans="1:12" x14ac:dyDescent="0.15">
      <c r="A33">
        <v>32</v>
      </c>
      <c r="B33" s="190" t="s">
        <v>223</v>
      </c>
      <c r="C33">
        <v>0.8</v>
      </c>
      <c r="D33">
        <v>0.8</v>
      </c>
      <c r="E33">
        <v>0</v>
      </c>
      <c r="F33">
        <v>0</v>
      </c>
      <c r="G33">
        <v>0</v>
      </c>
      <c r="H33">
        <v>0.8</v>
      </c>
      <c r="I33">
        <v>0.8</v>
      </c>
      <c r="J33">
        <v>0.8</v>
      </c>
      <c r="K33">
        <v>0</v>
      </c>
      <c r="L33">
        <v>0.8</v>
      </c>
    </row>
    <row r="34" spans="1:12" x14ac:dyDescent="0.15">
      <c r="A34">
        <v>33</v>
      </c>
      <c r="B34" s="190" t="s">
        <v>224</v>
      </c>
      <c r="C34">
        <v>0.8</v>
      </c>
      <c r="D34">
        <v>0.8</v>
      </c>
      <c r="E34">
        <v>0</v>
      </c>
      <c r="F34">
        <v>0.8</v>
      </c>
      <c r="G34">
        <v>0</v>
      </c>
      <c r="H34">
        <v>0.8</v>
      </c>
      <c r="I34">
        <v>0.8</v>
      </c>
      <c r="J34">
        <v>0.8</v>
      </c>
      <c r="K34">
        <v>0.8</v>
      </c>
      <c r="L34">
        <v>0.8</v>
      </c>
    </row>
    <row r="35" spans="1:12" x14ac:dyDescent="0.15">
      <c r="A35">
        <v>34</v>
      </c>
      <c r="B35" s="190" t="s">
        <v>225</v>
      </c>
      <c r="C35">
        <v>0.8</v>
      </c>
      <c r="D35">
        <v>0.8</v>
      </c>
      <c r="E35">
        <v>0</v>
      </c>
      <c r="F35">
        <v>0</v>
      </c>
      <c r="G35">
        <v>0</v>
      </c>
      <c r="H35">
        <v>0.8</v>
      </c>
      <c r="I35">
        <v>0</v>
      </c>
      <c r="J35">
        <v>0.8</v>
      </c>
      <c r="K35">
        <v>0</v>
      </c>
      <c r="L35">
        <v>0.8</v>
      </c>
    </row>
    <row r="36" spans="1:12" x14ac:dyDescent="0.15">
      <c r="A36">
        <v>35</v>
      </c>
      <c r="B36" s="190" t="s">
        <v>226</v>
      </c>
      <c r="C36">
        <v>0.8</v>
      </c>
      <c r="D36">
        <v>0.8</v>
      </c>
      <c r="E36">
        <v>0</v>
      </c>
      <c r="F36">
        <v>0</v>
      </c>
      <c r="G36">
        <v>0</v>
      </c>
      <c r="H36">
        <v>0</v>
      </c>
      <c r="I36">
        <v>0</v>
      </c>
      <c r="J36">
        <v>0</v>
      </c>
      <c r="K36">
        <v>0</v>
      </c>
      <c r="L36">
        <v>0.8</v>
      </c>
    </row>
    <row r="37" spans="1:12" x14ac:dyDescent="0.15">
      <c r="A37">
        <v>36</v>
      </c>
      <c r="B37" s="190" t="s">
        <v>227</v>
      </c>
      <c r="C37">
        <v>0</v>
      </c>
      <c r="D37">
        <v>0.8</v>
      </c>
      <c r="E37">
        <v>0</v>
      </c>
      <c r="F37">
        <v>0</v>
      </c>
      <c r="G37">
        <v>0</v>
      </c>
      <c r="H37">
        <v>0</v>
      </c>
      <c r="I37">
        <v>0</v>
      </c>
      <c r="J37">
        <v>0</v>
      </c>
      <c r="K37">
        <v>0</v>
      </c>
      <c r="L37">
        <v>0</v>
      </c>
    </row>
    <row r="38" spans="1:12" x14ac:dyDescent="0.15">
      <c r="A38">
        <v>37</v>
      </c>
      <c r="B38" s="190" t="s">
        <v>228</v>
      </c>
      <c r="C38">
        <v>0.8</v>
      </c>
      <c r="D38">
        <v>0.8</v>
      </c>
      <c r="E38">
        <v>0</v>
      </c>
      <c r="F38">
        <v>0</v>
      </c>
      <c r="G38">
        <v>0</v>
      </c>
      <c r="H38">
        <v>0</v>
      </c>
      <c r="I38">
        <v>0</v>
      </c>
      <c r="J38">
        <v>0</v>
      </c>
      <c r="K38">
        <v>0</v>
      </c>
      <c r="L38">
        <v>0.8</v>
      </c>
    </row>
    <row r="39" spans="1:12" x14ac:dyDescent="0.15">
      <c r="A39">
        <v>38</v>
      </c>
      <c r="B39" s="190" t="s">
        <v>229</v>
      </c>
      <c r="C39">
        <v>0</v>
      </c>
      <c r="D39">
        <v>0</v>
      </c>
      <c r="E39">
        <v>0</v>
      </c>
      <c r="F39">
        <v>0</v>
      </c>
      <c r="G39">
        <v>0</v>
      </c>
      <c r="H39">
        <v>0</v>
      </c>
      <c r="I39">
        <v>0</v>
      </c>
      <c r="J39">
        <v>0</v>
      </c>
      <c r="K39">
        <v>0</v>
      </c>
      <c r="L39">
        <v>0</v>
      </c>
    </row>
    <row r="40" spans="1:12" x14ac:dyDescent="0.15">
      <c r="A40">
        <v>39</v>
      </c>
      <c r="B40" s="190" t="s">
        <v>230</v>
      </c>
      <c r="C40">
        <v>0.8</v>
      </c>
      <c r="D40">
        <v>0.8</v>
      </c>
      <c r="E40">
        <v>0</v>
      </c>
      <c r="F40">
        <v>0</v>
      </c>
      <c r="G40">
        <v>0</v>
      </c>
      <c r="H40">
        <v>0</v>
      </c>
      <c r="I40">
        <v>0</v>
      </c>
      <c r="J40">
        <v>0</v>
      </c>
      <c r="K40">
        <v>0</v>
      </c>
      <c r="L40">
        <v>0.8</v>
      </c>
    </row>
    <row r="41" spans="1:12" x14ac:dyDescent="0.15">
      <c r="A41">
        <v>40</v>
      </c>
      <c r="B41" s="190" t="s">
        <v>231</v>
      </c>
      <c r="C41">
        <v>0.8</v>
      </c>
      <c r="D41">
        <v>0.8</v>
      </c>
      <c r="E41">
        <v>0</v>
      </c>
      <c r="F41">
        <v>0</v>
      </c>
      <c r="G41">
        <v>0</v>
      </c>
      <c r="H41">
        <v>0</v>
      </c>
      <c r="I41">
        <v>0</v>
      </c>
      <c r="J41">
        <v>0</v>
      </c>
      <c r="K41">
        <v>0</v>
      </c>
      <c r="L41">
        <v>0.8</v>
      </c>
    </row>
    <row r="42" spans="1:12" x14ac:dyDescent="0.15">
      <c r="A42">
        <v>41</v>
      </c>
      <c r="B42" s="190" t="s">
        <v>232</v>
      </c>
      <c r="C42">
        <v>0.8</v>
      </c>
      <c r="D42">
        <v>0.8</v>
      </c>
      <c r="E42">
        <v>0</v>
      </c>
      <c r="F42">
        <v>0</v>
      </c>
      <c r="G42">
        <v>0</v>
      </c>
      <c r="H42">
        <v>0</v>
      </c>
      <c r="I42">
        <v>0</v>
      </c>
      <c r="J42">
        <v>0</v>
      </c>
      <c r="K42">
        <v>0</v>
      </c>
      <c r="L42">
        <v>0.8</v>
      </c>
    </row>
    <row r="43" spans="1:12" x14ac:dyDescent="0.15">
      <c r="A43">
        <v>42</v>
      </c>
      <c r="B43" s="190" t="s">
        <v>233</v>
      </c>
      <c r="C43">
        <v>0</v>
      </c>
      <c r="D43">
        <v>0</v>
      </c>
      <c r="E43">
        <v>0</v>
      </c>
      <c r="F43">
        <v>0</v>
      </c>
      <c r="G43">
        <v>0</v>
      </c>
      <c r="H43">
        <v>0</v>
      </c>
      <c r="I43">
        <v>0.8</v>
      </c>
      <c r="J43">
        <v>0</v>
      </c>
      <c r="K43">
        <v>0</v>
      </c>
      <c r="L43">
        <v>0</v>
      </c>
    </row>
    <row r="44" spans="1:12" x14ac:dyDescent="0.15">
      <c r="A44">
        <v>43</v>
      </c>
      <c r="B44" s="190" t="s">
        <v>234</v>
      </c>
      <c r="C44">
        <v>0</v>
      </c>
      <c r="D44">
        <v>0</v>
      </c>
      <c r="E44">
        <v>0</v>
      </c>
      <c r="F44">
        <v>0</v>
      </c>
      <c r="G44">
        <v>0</v>
      </c>
      <c r="H44">
        <v>0</v>
      </c>
      <c r="I44">
        <v>0</v>
      </c>
      <c r="J44">
        <v>0</v>
      </c>
      <c r="K44">
        <v>0</v>
      </c>
      <c r="L44">
        <v>0</v>
      </c>
    </row>
    <row r="45" spans="1:12" x14ac:dyDescent="0.15">
      <c r="A45">
        <v>44</v>
      </c>
      <c r="B45" s="190" t="s">
        <v>235</v>
      </c>
      <c r="C45">
        <v>0.8</v>
      </c>
      <c r="D45">
        <v>0.8</v>
      </c>
      <c r="E45">
        <v>0</v>
      </c>
      <c r="F45">
        <v>0</v>
      </c>
      <c r="G45">
        <v>0</v>
      </c>
      <c r="H45">
        <v>0</v>
      </c>
      <c r="I45">
        <v>0</v>
      </c>
      <c r="J45">
        <v>0</v>
      </c>
      <c r="K45">
        <v>0</v>
      </c>
      <c r="L45">
        <v>0</v>
      </c>
    </row>
    <row r="46" spans="1:12" x14ac:dyDescent="0.15">
      <c r="A46">
        <v>45</v>
      </c>
      <c r="B46" s="190" t="s">
        <v>236</v>
      </c>
      <c r="C46">
        <v>0</v>
      </c>
      <c r="D46">
        <v>0</v>
      </c>
      <c r="E46">
        <v>0</v>
      </c>
      <c r="F46">
        <v>0</v>
      </c>
      <c r="G46">
        <v>0</v>
      </c>
      <c r="H46">
        <v>0</v>
      </c>
      <c r="I46">
        <v>0</v>
      </c>
      <c r="J46">
        <v>0</v>
      </c>
      <c r="K46">
        <v>0</v>
      </c>
      <c r="L46">
        <v>0</v>
      </c>
    </row>
    <row r="47" spans="1:12" x14ac:dyDescent="0.15">
      <c r="A47">
        <v>46</v>
      </c>
      <c r="B47" s="190" t="s">
        <v>237</v>
      </c>
      <c r="C47">
        <v>0</v>
      </c>
      <c r="D47">
        <v>0</v>
      </c>
      <c r="E47">
        <v>0</v>
      </c>
      <c r="F47">
        <v>0</v>
      </c>
      <c r="G47">
        <v>0</v>
      </c>
      <c r="H47">
        <v>0</v>
      </c>
      <c r="I47">
        <v>0</v>
      </c>
      <c r="J47">
        <v>0</v>
      </c>
      <c r="K47">
        <v>0</v>
      </c>
      <c r="L47">
        <v>0</v>
      </c>
    </row>
    <row r="48" spans="1:12" x14ac:dyDescent="0.15">
      <c r="A48">
        <v>47</v>
      </c>
      <c r="B48" s="190" t="s">
        <v>238</v>
      </c>
      <c r="C48">
        <v>0</v>
      </c>
      <c r="D48">
        <v>0.8</v>
      </c>
      <c r="E48">
        <v>0</v>
      </c>
      <c r="F48">
        <v>0</v>
      </c>
      <c r="G48">
        <v>0</v>
      </c>
      <c r="H48">
        <v>0</v>
      </c>
      <c r="I48">
        <v>0</v>
      </c>
      <c r="J48">
        <v>0</v>
      </c>
      <c r="K48">
        <v>0</v>
      </c>
      <c r="L48">
        <v>0</v>
      </c>
    </row>
    <row r="49" spans="1:12" x14ac:dyDescent="0.15">
      <c r="A49">
        <v>48</v>
      </c>
      <c r="B49" s="190" t="s">
        <v>239</v>
      </c>
      <c r="C49">
        <v>0</v>
      </c>
      <c r="D49">
        <v>0.8</v>
      </c>
      <c r="E49">
        <v>0</v>
      </c>
      <c r="F49">
        <v>0</v>
      </c>
      <c r="G49">
        <v>0</v>
      </c>
      <c r="H49">
        <v>0</v>
      </c>
      <c r="I49">
        <v>0</v>
      </c>
      <c r="J49">
        <v>0</v>
      </c>
      <c r="K49">
        <v>0</v>
      </c>
      <c r="L49">
        <v>0</v>
      </c>
    </row>
    <row r="50" spans="1:12" x14ac:dyDescent="0.15">
      <c r="A50">
        <v>49</v>
      </c>
      <c r="B50" s="190" t="s">
        <v>240</v>
      </c>
      <c r="C50">
        <v>0</v>
      </c>
      <c r="D50">
        <v>0</v>
      </c>
      <c r="E50">
        <v>0</v>
      </c>
      <c r="F50">
        <v>0</v>
      </c>
      <c r="G50">
        <v>0</v>
      </c>
      <c r="H50">
        <v>0</v>
      </c>
      <c r="I50">
        <v>0</v>
      </c>
      <c r="J50">
        <v>0</v>
      </c>
      <c r="K50">
        <v>0</v>
      </c>
      <c r="L50">
        <v>0</v>
      </c>
    </row>
    <row r="51" spans="1:12" x14ac:dyDescent="0.15">
      <c r="A51">
        <v>50</v>
      </c>
      <c r="B51" s="190" t="s">
        <v>241</v>
      </c>
      <c r="C51">
        <v>0.8</v>
      </c>
      <c r="D51">
        <v>0.8</v>
      </c>
      <c r="E51">
        <v>0</v>
      </c>
      <c r="F51">
        <v>0</v>
      </c>
      <c r="G51">
        <v>0</v>
      </c>
      <c r="H51">
        <v>0</v>
      </c>
      <c r="I51">
        <v>0</v>
      </c>
      <c r="J51">
        <v>0</v>
      </c>
      <c r="K51">
        <v>0</v>
      </c>
      <c r="L51">
        <v>0.8</v>
      </c>
    </row>
    <row r="52" spans="1:12" x14ac:dyDescent="0.15">
      <c r="A52">
        <v>51</v>
      </c>
      <c r="B52" s="190" t="s">
        <v>242</v>
      </c>
      <c r="C52">
        <v>0</v>
      </c>
      <c r="D52">
        <v>0.8</v>
      </c>
      <c r="E52">
        <v>0</v>
      </c>
      <c r="F52">
        <v>0</v>
      </c>
      <c r="G52">
        <v>0</v>
      </c>
      <c r="H52">
        <v>0</v>
      </c>
      <c r="I52">
        <v>0.8</v>
      </c>
      <c r="J52">
        <v>0</v>
      </c>
      <c r="K52">
        <v>0</v>
      </c>
      <c r="L52">
        <v>0</v>
      </c>
    </row>
    <row r="53" spans="1:12" x14ac:dyDescent="0.15">
      <c r="A53">
        <v>52</v>
      </c>
      <c r="B53" s="190" t="s">
        <v>243</v>
      </c>
      <c r="C53">
        <v>0.8</v>
      </c>
      <c r="D53">
        <v>0.8</v>
      </c>
      <c r="E53">
        <v>0</v>
      </c>
      <c r="F53">
        <v>0</v>
      </c>
      <c r="G53">
        <v>0</v>
      </c>
      <c r="H53">
        <v>0</v>
      </c>
      <c r="I53">
        <v>0</v>
      </c>
      <c r="J53">
        <v>0</v>
      </c>
      <c r="K53">
        <v>0</v>
      </c>
      <c r="L53">
        <v>0.8</v>
      </c>
    </row>
    <row r="54" spans="1:12" x14ac:dyDescent="0.15">
      <c r="A54">
        <v>53</v>
      </c>
      <c r="B54" s="190" t="s">
        <v>244</v>
      </c>
      <c r="C54">
        <v>0</v>
      </c>
      <c r="D54">
        <v>0</v>
      </c>
      <c r="E54">
        <v>0</v>
      </c>
      <c r="F54">
        <v>0</v>
      </c>
      <c r="G54">
        <v>0.8</v>
      </c>
      <c r="H54">
        <v>0.8</v>
      </c>
      <c r="I54">
        <v>0.8</v>
      </c>
      <c r="J54">
        <v>0</v>
      </c>
      <c r="K54">
        <v>0</v>
      </c>
      <c r="L54">
        <v>0</v>
      </c>
    </row>
    <row r="55" spans="1:12" x14ac:dyDescent="0.15">
      <c r="A55">
        <v>54</v>
      </c>
      <c r="B55" s="190" t="s">
        <v>245</v>
      </c>
      <c r="C55">
        <v>0.8</v>
      </c>
      <c r="D55">
        <v>0.8</v>
      </c>
      <c r="E55">
        <v>0</v>
      </c>
      <c r="F55">
        <v>0</v>
      </c>
      <c r="G55">
        <v>0.8</v>
      </c>
      <c r="H55">
        <v>0</v>
      </c>
      <c r="I55">
        <v>0.8</v>
      </c>
      <c r="J55">
        <v>0</v>
      </c>
      <c r="K55">
        <v>0</v>
      </c>
      <c r="L55">
        <v>0.8</v>
      </c>
    </row>
    <row r="56" spans="1:12" x14ac:dyDescent="0.15">
      <c r="A56">
        <v>55</v>
      </c>
      <c r="B56" s="190" t="s">
        <v>246</v>
      </c>
      <c r="C56">
        <v>0.8</v>
      </c>
      <c r="D56">
        <v>0.8</v>
      </c>
      <c r="E56">
        <v>0</v>
      </c>
      <c r="F56">
        <v>0</v>
      </c>
      <c r="G56">
        <v>0.8</v>
      </c>
      <c r="H56">
        <v>0</v>
      </c>
      <c r="I56">
        <v>0.8</v>
      </c>
      <c r="J56">
        <v>0</v>
      </c>
      <c r="K56">
        <v>0</v>
      </c>
      <c r="L56">
        <v>0.8</v>
      </c>
    </row>
    <row r="57" spans="1:12" x14ac:dyDescent="0.15">
      <c r="A57">
        <v>56</v>
      </c>
      <c r="B57" s="190" t="s">
        <v>247</v>
      </c>
      <c r="C57">
        <v>0.8</v>
      </c>
      <c r="D57">
        <v>0.8</v>
      </c>
      <c r="E57">
        <v>0</v>
      </c>
      <c r="F57">
        <v>0</v>
      </c>
      <c r="G57">
        <v>0</v>
      </c>
      <c r="H57">
        <v>0</v>
      </c>
      <c r="I57">
        <v>0</v>
      </c>
      <c r="J57">
        <v>0</v>
      </c>
      <c r="K57">
        <v>0</v>
      </c>
      <c r="L57">
        <v>0.8</v>
      </c>
    </row>
    <row r="58" spans="1:12" x14ac:dyDescent="0.15">
      <c r="A58">
        <v>57</v>
      </c>
      <c r="B58" s="190" t="s">
        <v>248</v>
      </c>
      <c r="C58">
        <v>0.8</v>
      </c>
      <c r="D58">
        <v>0.8</v>
      </c>
      <c r="E58">
        <v>0</v>
      </c>
      <c r="F58">
        <v>0</v>
      </c>
      <c r="G58">
        <v>0</v>
      </c>
      <c r="H58">
        <v>0</v>
      </c>
      <c r="I58">
        <v>0</v>
      </c>
      <c r="J58">
        <v>0</v>
      </c>
      <c r="K58">
        <v>0</v>
      </c>
      <c r="L58">
        <v>0.8</v>
      </c>
    </row>
    <row r="59" spans="1:12" x14ac:dyDescent="0.15">
      <c r="A59">
        <v>58</v>
      </c>
      <c r="B59" s="190" t="s">
        <v>249</v>
      </c>
      <c r="C59">
        <v>0.8</v>
      </c>
      <c r="D59">
        <v>0.8</v>
      </c>
      <c r="E59">
        <v>0</v>
      </c>
      <c r="F59">
        <v>0</v>
      </c>
      <c r="G59">
        <v>0</v>
      </c>
      <c r="H59">
        <v>0</v>
      </c>
      <c r="I59">
        <v>0</v>
      </c>
      <c r="J59">
        <v>0</v>
      </c>
      <c r="K59">
        <v>0</v>
      </c>
      <c r="L59">
        <v>0.8</v>
      </c>
    </row>
    <row r="60" spans="1:12" x14ac:dyDescent="0.15">
      <c r="A60">
        <v>59</v>
      </c>
      <c r="B60" s="190" t="s">
        <v>250</v>
      </c>
      <c r="C60">
        <v>0.8</v>
      </c>
      <c r="D60">
        <v>0.8</v>
      </c>
      <c r="E60">
        <v>0</v>
      </c>
      <c r="F60">
        <v>0</v>
      </c>
      <c r="G60">
        <v>0</v>
      </c>
      <c r="H60">
        <v>0</v>
      </c>
      <c r="I60">
        <v>0</v>
      </c>
      <c r="J60">
        <v>0</v>
      </c>
      <c r="K60">
        <v>0</v>
      </c>
      <c r="L60">
        <v>0.8</v>
      </c>
    </row>
    <row r="61" spans="1:12" x14ac:dyDescent="0.15">
      <c r="A61">
        <v>60</v>
      </c>
      <c r="B61" s="190" t="s">
        <v>251</v>
      </c>
      <c r="C61">
        <v>0.8</v>
      </c>
      <c r="D61">
        <v>0.8</v>
      </c>
      <c r="E61">
        <v>0</v>
      </c>
      <c r="F61">
        <v>0</v>
      </c>
      <c r="G61">
        <v>0</v>
      </c>
      <c r="H61">
        <v>0</v>
      </c>
      <c r="I61">
        <v>0</v>
      </c>
      <c r="J61">
        <v>0</v>
      </c>
      <c r="K61">
        <v>0</v>
      </c>
      <c r="L61">
        <v>0.8</v>
      </c>
    </row>
    <row r="62" spans="1:12" x14ac:dyDescent="0.15">
      <c r="A62">
        <v>61</v>
      </c>
      <c r="B62" s="190" t="s">
        <v>252</v>
      </c>
      <c r="C62">
        <v>0.8</v>
      </c>
      <c r="D62">
        <v>0.8</v>
      </c>
      <c r="E62">
        <v>0</v>
      </c>
      <c r="F62">
        <v>0</v>
      </c>
      <c r="G62">
        <v>0</v>
      </c>
      <c r="H62">
        <v>0</v>
      </c>
      <c r="I62">
        <v>0</v>
      </c>
      <c r="J62">
        <v>0</v>
      </c>
      <c r="K62">
        <v>0</v>
      </c>
      <c r="L62">
        <v>0.8</v>
      </c>
    </row>
    <row r="63" spans="1:12" x14ac:dyDescent="0.15">
      <c r="A63">
        <v>62</v>
      </c>
      <c r="B63" s="190" t="s">
        <v>253</v>
      </c>
      <c r="C63">
        <v>0.8</v>
      </c>
      <c r="D63">
        <v>0.8</v>
      </c>
      <c r="E63">
        <v>0</v>
      </c>
      <c r="F63">
        <v>0</v>
      </c>
      <c r="G63">
        <v>0</v>
      </c>
      <c r="H63">
        <v>0</v>
      </c>
      <c r="I63">
        <v>0</v>
      </c>
      <c r="J63">
        <v>0</v>
      </c>
      <c r="K63">
        <v>0</v>
      </c>
      <c r="L63">
        <v>0.8</v>
      </c>
    </row>
    <row r="64" spans="1:12" x14ac:dyDescent="0.15">
      <c r="A64">
        <v>63</v>
      </c>
      <c r="B64" s="190" t="s">
        <v>254</v>
      </c>
      <c r="C64">
        <v>0.8</v>
      </c>
      <c r="D64">
        <v>0.8</v>
      </c>
      <c r="E64">
        <v>0</v>
      </c>
      <c r="F64">
        <v>0</v>
      </c>
      <c r="G64">
        <v>0</v>
      </c>
      <c r="H64">
        <v>0</v>
      </c>
      <c r="I64">
        <v>0.8</v>
      </c>
      <c r="J64">
        <v>0</v>
      </c>
      <c r="K64">
        <v>0</v>
      </c>
      <c r="L64">
        <v>0.8</v>
      </c>
    </row>
    <row r="65" spans="1:12" x14ac:dyDescent="0.15">
      <c r="A65">
        <v>64</v>
      </c>
      <c r="B65" s="190" t="s">
        <v>255</v>
      </c>
      <c r="C65">
        <v>0.8</v>
      </c>
      <c r="D65">
        <v>0.8</v>
      </c>
      <c r="E65">
        <v>0</v>
      </c>
      <c r="F65">
        <v>0</v>
      </c>
      <c r="G65">
        <v>0</v>
      </c>
      <c r="H65">
        <v>0</v>
      </c>
      <c r="I65">
        <v>0</v>
      </c>
      <c r="J65">
        <v>0</v>
      </c>
      <c r="K65">
        <v>0</v>
      </c>
      <c r="L65">
        <v>0.8</v>
      </c>
    </row>
    <row r="66" spans="1:12" x14ac:dyDescent="0.15">
      <c r="A66">
        <v>65</v>
      </c>
      <c r="B66" s="190" t="s">
        <v>256</v>
      </c>
      <c r="C66">
        <v>0</v>
      </c>
      <c r="D66">
        <v>0.8</v>
      </c>
      <c r="E66">
        <v>0</v>
      </c>
      <c r="F66">
        <v>0</v>
      </c>
      <c r="G66">
        <v>0</v>
      </c>
      <c r="H66">
        <v>0</v>
      </c>
      <c r="I66">
        <v>0</v>
      </c>
      <c r="J66">
        <v>0</v>
      </c>
      <c r="K66">
        <v>0</v>
      </c>
      <c r="L66">
        <v>0</v>
      </c>
    </row>
    <row r="67" spans="1:12" x14ac:dyDescent="0.15">
      <c r="A67">
        <v>66</v>
      </c>
      <c r="B67" s="190" t="s">
        <v>257</v>
      </c>
      <c r="C67">
        <v>0.8</v>
      </c>
      <c r="D67">
        <v>0.8</v>
      </c>
      <c r="E67">
        <v>0</v>
      </c>
      <c r="F67">
        <v>0</v>
      </c>
      <c r="G67">
        <v>0</v>
      </c>
      <c r="H67">
        <v>0</v>
      </c>
      <c r="I67">
        <v>0</v>
      </c>
      <c r="J67">
        <v>0</v>
      </c>
      <c r="K67">
        <v>0</v>
      </c>
      <c r="L67">
        <v>0.8</v>
      </c>
    </row>
    <row r="68" spans="1:12" x14ac:dyDescent="0.15">
      <c r="A68">
        <v>67</v>
      </c>
      <c r="B68" s="190" t="s">
        <v>258</v>
      </c>
      <c r="C68">
        <v>0</v>
      </c>
      <c r="D68">
        <v>0</v>
      </c>
      <c r="E68">
        <v>0</v>
      </c>
      <c r="F68">
        <v>0</v>
      </c>
      <c r="G68">
        <v>0</v>
      </c>
      <c r="H68">
        <v>0</v>
      </c>
      <c r="I68">
        <v>0</v>
      </c>
      <c r="J68">
        <v>0</v>
      </c>
      <c r="K68">
        <v>0</v>
      </c>
      <c r="L68">
        <v>0</v>
      </c>
    </row>
    <row r="69" spans="1:12" x14ac:dyDescent="0.15">
      <c r="A69">
        <v>68</v>
      </c>
      <c r="B69" s="190" t="s">
        <v>259</v>
      </c>
      <c r="C69">
        <v>0</v>
      </c>
      <c r="D69">
        <v>0</v>
      </c>
      <c r="E69">
        <v>0</v>
      </c>
      <c r="F69">
        <v>0</v>
      </c>
      <c r="G69">
        <v>0</v>
      </c>
      <c r="H69">
        <v>0</v>
      </c>
      <c r="I69">
        <v>0</v>
      </c>
      <c r="J69">
        <v>0</v>
      </c>
      <c r="K69">
        <v>0</v>
      </c>
      <c r="L69">
        <v>0</v>
      </c>
    </row>
    <row r="70" spans="1:12" x14ac:dyDescent="0.15">
      <c r="A70">
        <v>69</v>
      </c>
      <c r="B70" s="190" t="s">
        <v>260</v>
      </c>
      <c r="C70">
        <v>0.8</v>
      </c>
      <c r="D70">
        <v>0.8</v>
      </c>
      <c r="E70">
        <v>0</v>
      </c>
      <c r="F70">
        <v>0</v>
      </c>
      <c r="G70">
        <v>0</v>
      </c>
      <c r="H70">
        <v>0</v>
      </c>
      <c r="I70">
        <v>0</v>
      </c>
      <c r="J70">
        <v>0</v>
      </c>
      <c r="K70">
        <v>0</v>
      </c>
      <c r="L70">
        <v>0.8</v>
      </c>
    </row>
    <row r="71" spans="1:12" x14ac:dyDescent="0.15">
      <c r="A71">
        <v>70</v>
      </c>
      <c r="B71" s="190" t="s">
        <v>261</v>
      </c>
      <c r="C71">
        <v>0.8</v>
      </c>
      <c r="D71">
        <v>0.8</v>
      </c>
      <c r="E71">
        <v>0</v>
      </c>
      <c r="F71">
        <v>0</v>
      </c>
      <c r="G71">
        <v>0</v>
      </c>
      <c r="H71">
        <v>0</v>
      </c>
      <c r="I71">
        <v>0</v>
      </c>
      <c r="J71">
        <v>0</v>
      </c>
      <c r="K71">
        <v>0</v>
      </c>
      <c r="L71">
        <v>0.8</v>
      </c>
    </row>
    <row r="72" spans="1:12" x14ac:dyDescent="0.15">
      <c r="A72">
        <v>71</v>
      </c>
      <c r="B72" s="190" t="s">
        <v>262</v>
      </c>
      <c r="C72">
        <v>0</v>
      </c>
      <c r="D72">
        <v>0</v>
      </c>
      <c r="E72">
        <v>0</v>
      </c>
      <c r="F72">
        <v>0</v>
      </c>
      <c r="G72">
        <v>0</v>
      </c>
      <c r="H72">
        <v>0</v>
      </c>
      <c r="I72">
        <v>0</v>
      </c>
      <c r="J72">
        <v>0</v>
      </c>
      <c r="K72">
        <v>0</v>
      </c>
      <c r="L72">
        <v>0</v>
      </c>
    </row>
    <row r="73" spans="1:12" x14ac:dyDescent="0.15">
      <c r="A73">
        <v>72</v>
      </c>
      <c r="B73" s="190" t="s">
        <v>263</v>
      </c>
      <c r="C73">
        <v>0</v>
      </c>
      <c r="D73">
        <v>0</v>
      </c>
      <c r="E73">
        <v>0</v>
      </c>
      <c r="F73">
        <v>0</v>
      </c>
      <c r="G73">
        <v>0</v>
      </c>
      <c r="H73">
        <v>0</v>
      </c>
      <c r="I73">
        <v>0</v>
      </c>
      <c r="J73">
        <v>0</v>
      </c>
      <c r="K73">
        <v>0</v>
      </c>
      <c r="L73">
        <v>0</v>
      </c>
    </row>
    <row r="74" spans="1:12" x14ac:dyDescent="0.15">
      <c r="A74">
        <v>73</v>
      </c>
      <c r="B74" s="190" t="s">
        <v>264</v>
      </c>
      <c r="C74">
        <v>0</v>
      </c>
      <c r="D74">
        <v>0</v>
      </c>
      <c r="E74">
        <v>0</v>
      </c>
      <c r="F74">
        <v>0</v>
      </c>
      <c r="G74">
        <v>0</v>
      </c>
      <c r="H74">
        <v>0</v>
      </c>
      <c r="I74">
        <v>0</v>
      </c>
      <c r="J74">
        <v>0</v>
      </c>
      <c r="K74">
        <v>0</v>
      </c>
      <c r="L74">
        <v>0</v>
      </c>
    </row>
    <row r="75" spans="1:12" x14ac:dyDescent="0.15">
      <c r="A75">
        <v>74</v>
      </c>
      <c r="B75" s="190" t="s">
        <v>265</v>
      </c>
      <c r="C75">
        <v>0</v>
      </c>
      <c r="D75">
        <v>0</v>
      </c>
      <c r="E75">
        <v>0</v>
      </c>
      <c r="F75">
        <v>0</v>
      </c>
      <c r="G75">
        <v>0</v>
      </c>
      <c r="H75">
        <v>0</v>
      </c>
      <c r="I75">
        <v>0</v>
      </c>
      <c r="J75">
        <v>0</v>
      </c>
      <c r="K75">
        <v>0</v>
      </c>
      <c r="L75">
        <v>0</v>
      </c>
    </row>
    <row r="76" spans="1:12" x14ac:dyDescent="0.15">
      <c r="A76">
        <v>75</v>
      </c>
      <c r="B76" s="190" t="s">
        <v>266</v>
      </c>
      <c r="C76">
        <v>0</v>
      </c>
      <c r="D76">
        <v>0</v>
      </c>
      <c r="E76">
        <v>0</v>
      </c>
      <c r="F76">
        <v>0</v>
      </c>
      <c r="G76">
        <v>0</v>
      </c>
      <c r="H76">
        <v>0</v>
      </c>
      <c r="I76">
        <v>0</v>
      </c>
      <c r="J76">
        <v>0</v>
      </c>
      <c r="K76">
        <v>0</v>
      </c>
      <c r="L76">
        <v>0</v>
      </c>
    </row>
    <row r="77" spans="1:12" x14ac:dyDescent="0.15">
      <c r="A77">
        <v>76</v>
      </c>
      <c r="B77" s="190" t="s">
        <v>267</v>
      </c>
      <c r="C77">
        <v>0</v>
      </c>
      <c r="D77">
        <v>0</v>
      </c>
      <c r="E77">
        <v>0</v>
      </c>
      <c r="F77">
        <v>0</v>
      </c>
      <c r="G77">
        <v>0</v>
      </c>
      <c r="H77">
        <v>0</v>
      </c>
      <c r="I77">
        <v>0</v>
      </c>
      <c r="J77">
        <v>0</v>
      </c>
      <c r="K77">
        <v>0</v>
      </c>
      <c r="L77">
        <v>0</v>
      </c>
    </row>
    <row r="78" spans="1:12" x14ac:dyDescent="0.15">
      <c r="A78">
        <v>77</v>
      </c>
      <c r="B78" s="190" t="s">
        <v>268</v>
      </c>
      <c r="C78">
        <v>0</v>
      </c>
      <c r="D78">
        <v>0</v>
      </c>
      <c r="E78">
        <v>0</v>
      </c>
      <c r="F78">
        <v>0</v>
      </c>
      <c r="G78">
        <v>0</v>
      </c>
      <c r="H78">
        <v>0</v>
      </c>
      <c r="I78">
        <v>0</v>
      </c>
      <c r="J78">
        <v>0</v>
      </c>
      <c r="K78">
        <v>0</v>
      </c>
      <c r="L78">
        <v>0</v>
      </c>
    </row>
    <row r="79" spans="1:12" x14ac:dyDescent="0.15">
      <c r="A79">
        <v>78</v>
      </c>
      <c r="B79" s="190" t="s">
        <v>269</v>
      </c>
      <c r="C79">
        <v>0</v>
      </c>
      <c r="D79">
        <v>0.8</v>
      </c>
      <c r="E79">
        <v>0</v>
      </c>
      <c r="F79">
        <v>0</v>
      </c>
      <c r="G79">
        <v>0</v>
      </c>
      <c r="H79">
        <v>0</v>
      </c>
      <c r="I79">
        <v>0</v>
      </c>
      <c r="J79">
        <v>0</v>
      </c>
      <c r="K79">
        <v>0</v>
      </c>
      <c r="L79">
        <v>0</v>
      </c>
    </row>
    <row r="80" spans="1:12" x14ac:dyDescent="0.15">
      <c r="A80">
        <v>79</v>
      </c>
      <c r="B80" s="190" t="s">
        <v>270</v>
      </c>
      <c r="C80">
        <v>0</v>
      </c>
      <c r="D80">
        <v>0</v>
      </c>
      <c r="E80">
        <v>0</v>
      </c>
      <c r="F80">
        <v>0</v>
      </c>
      <c r="G80">
        <v>0</v>
      </c>
      <c r="H80">
        <v>0</v>
      </c>
      <c r="I80">
        <v>0</v>
      </c>
      <c r="J80">
        <v>0</v>
      </c>
      <c r="K80">
        <v>0</v>
      </c>
      <c r="L80">
        <v>0</v>
      </c>
    </row>
    <row r="81" spans="1:12" x14ac:dyDescent="0.15">
      <c r="A81">
        <v>80</v>
      </c>
      <c r="B81" s="190" t="s">
        <v>271</v>
      </c>
      <c r="C81">
        <v>0</v>
      </c>
      <c r="D81">
        <v>0</v>
      </c>
      <c r="E81">
        <v>0</v>
      </c>
      <c r="F81">
        <v>0</v>
      </c>
      <c r="G81">
        <v>0</v>
      </c>
      <c r="H81">
        <v>0</v>
      </c>
      <c r="I81">
        <v>0</v>
      </c>
      <c r="J81">
        <v>0</v>
      </c>
      <c r="K81">
        <v>0</v>
      </c>
      <c r="L81">
        <v>0</v>
      </c>
    </row>
    <row r="82" spans="1:12" x14ac:dyDescent="0.15">
      <c r="A82">
        <v>81</v>
      </c>
      <c r="B82" s="190" t="s">
        <v>272</v>
      </c>
      <c r="C82">
        <v>0</v>
      </c>
      <c r="D82">
        <v>0</v>
      </c>
      <c r="E82">
        <v>0</v>
      </c>
      <c r="F82">
        <v>0</v>
      </c>
      <c r="G82">
        <v>0</v>
      </c>
      <c r="H82">
        <v>0</v>
      </c>
      <c r="I82">
        <v>0</v>
      </c>
      <c r="J82">
        <v>0</v>
      </c>
      <c r="K82">
        <v>0</v>
      </c>
      <c r="L82">
        <v>0</v>
      </c>
    </row>
    <row r="83" spans="1:12" x14ac:dyDescent="0.15">
      <c r="A83">
        <v>82</v>
      </c>
      <c r="B83" s="190" t="s">
        <v>273</v>
      </c>
      <c r="C83">
        <v>0</v>
      </c>
      <c r="D83">
        <v>0</v>
      </c>
      <c r="E83">
        <v>0</v>
      </c>
      <c r="F83">
        <v>0</v>
      </c>
      <c r="G83">
        <v>0</v>
      </c>
      <c r="H83">
        <v>0</v>
      </c>
      <c r="I83">
        <v>0</v>
      </c>
      <c r="J83">
        <v>0</v>
      </c>
      <c r="K83">
        <v>0</v>
      </c>
      <c r="L83">
        <v>0</v>
      </c>
    </row>
    <row r="84" spans="1:12" x14ac:dyDescent="0.15">
      <c r="A84">
        <v>83</v>
      </c>
      <c r="B84" s="190" t="s">
        <v>274</v>
      </c>
      <c r="C84">
        <v>0</v>
      </c>
      <c r="D84">
        <v>0</v>
      </c>
      <c r="E84">
        <v>0</v>
      </c>
      <c r="F84">
        <v>0</v>
      </c>
      <c r="G84">
        <v>0</v>
      </c>
      <c r="H84">
        <v>0</v>
      </c>
      <c r="I84">
        <v>0</v>
      </c>
      <c r="J84">
        <v>0</v>
      </c>
      <c r="K84">
        <v>0</v>
      </c>
      <c r="L84">
        <v>0</v>
      </c>
    </row>
    <row r="85" spans="1:12" x14ac:dyDescent="0.15">
      <c r="A85">
        <v>84</v>
      </c>
      <c r="B85" s="190" t="s">
        <v>275</v>
      </c>
      <c r="C85">
        <v>0</v>
      </c>
      <c r="D85">
        <v>0</v>
      </c>
      <c r="E85">
        <v>0</v>
      </c>
      <c r="F85">
        <v>0</v>
      </c>
      <c r="G85">
        <v>0</v>
      </c>
      <c r="H85">
        <v>0</v>
      </c>
      <c r="I85">
        <v>0</v>
      </c>
      <c r="J85">
        <v>0</v>
      </c>
      <c r="K85">
        <v>0</v>
      </c>
      <c r="L85">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L85"/>
  <sheetViews>
    <sheetView workbookViewId="0">
      <selection activeCell="A3" sqref="A3"/>
    </sheetView>
  </sheetViews>
  <sheetFormatPr baseColWidth="10" defaultRowHeight="13" x14ac:dyDescent="0.15"/>
  <cols>
    <col min="1" max="1" width="3.33203125" customWidth="1"/>
    <col min="2" max="2" width="31.33203125" bestFit="1" customWidth="1"/>
    <col min="3" max="4" width="3.83203125" bestFit="1" customWidth="1"/>
    <col min="5" max="12" width="3.83203125" customWidth="1"/>
  </cols>
  <sheetData>
    <row r="1" spans="1:12" ht="112" x14ac:dyDescent="0.15">
      <c r="A1" s="5" t="s">
        <v>82</v>
      </c>
      <c r="B1" s="3" t="s">
        <v>0</v>
      </c>
      <c r="C1" s="193" t="s">
        <v>276</v>
      </c>
      <c r="D1" s="193" t="s">
        <v>277</v>
      </c>
      <c r="E1" s="193" t="s">
        <v>278</v>
      </c>
      <c r="F1" s="193" t="s">
        <v>279</v>
      </c>
      <c r="G1" s="193" t="s">
        <v>280</v>
      </c>
      <c r="H1" s="193" t="s">
        <v>281</v>
      </c>
      <c r="I1" s="193" t="s">
        <v>282</v>
      </c>
      <c r="J1" s="193" t="s">
        <v>283</v>
      </c>
      <c r="K1" s="193" t="s">
        <v>284</v>
      </c>
      <c r="L1" s="193" t="s">
        <v>285</v>
      </c>
    </row>
    <row r="2" spans="1:12" x14ac:dyDescent="0.15">
      <c r="A2">
        <v>1</v>
      </c>
      <c r="B2" s="192" t="s">
        <v>192</v>
      </c>
      <c r="C2">
        <v>0</v>
      </c>
      <c r="D2">
        <v>0</v>
      </c>
      <c r="E2">
        <v>0</v>
      </c>
      <c r="F2">
        <v>0.8</v>
      </c>
      <c r="G2">
        <v>0</v>
      </c>
      <c r="H2">
        <v>0</v>
      </c>
      <c r="I2">
        <v>0</v>
      </c>
      <c r="J2">
        <v>0</v>
      </c>
      <c r="K2">
        <v>0</v>
      </c>
      <c r="L2">
        <v>0</v>
      </c>
    </row>
    <row r="3" spans="1:12" x14ac:dyDescent="0.15">
      <c r="A3">
        <v>2</v>
      </c>
      <c r="B3" s="192" t="s">
        <v>193</v>
      </c>
      <c r="C3">
        <v>0</v>
      </c>
      <c r="D3">
        <v>0</v>
      </c>
      <c r="E3">
        <v>0</v>
      </c>
      <c r="F3">
        <v>0</v>
      </c>
      <c r="G3">
        <v>0</v>
      </c>
      <c r="H3">
        <v>0</v>
      </c>
      <c r="I3">
        <v>0.8</v>
      </c>
      <c r="J3">
        <v>0</v>
      </c>
      <c r="K3">
        <v>0</v>
      </c>
      <c r="L3">
        <v>0</v>
      </c>
    </row>
    <row r="4" spans="1:12" x14ac:dyDescent="0.15">
      <c r="A4">
        <v>3</v>
      </c>
      <c r="B4" s="192" t="s">
        <v>194</v>
      </c>
      <c r="C4">
        <v>0</v>
      </c>
      <c r="D4">
        <v>0</v>
      </c>
      <c r="E4">
        <v>0</v>
      </c>
      <c r="F4">
        <v>0</v>
      </c>
      <c r="G4">
        <v>0</v>
      </c>
      <c r="H4">
        <v>0</v>
      </c>
      <c r="I4">
        <v>0</v>
      </c>
      <c r="J4">
        <v>0</v>
      </c>
      <c r="K4">
        <v>0</v>
      </c>
      <c r="L4">
        <v>0</v>
      </c>
    </row>
    <row r="5" spans="1:12" x14ac:dyDescent="0.15">
      <c r="A5">
        <v>4</v>
      </c>
      <c r="B5" s="192" t="s">
        <v>195</v>
      </c>
      <c r="C5">
        <v>0</v>
      </c>
      <c r="D5">
        <v>0</v>
      </c>
      <c r="E5">
        <v>0</v>
      </c>
      <c r="F5">
        <v>0</v>
      </c>
      <c r="G5">
        <v>0</v>
      </c>
      <c r="H5">
        <v>0</v>
      </c>
      <c r="I5">
        <v>0.8</v>
      </c>
      <c r="J5">
        <v>0</v>
      </c>
      <c r="K5">
        <v>0</v>
      </c>
      <c r="L5">
        <v>0</v>
      </c>
    </row>
    <row r="6" spans="1:12" x14ac:dyDescent="0.15">
      <c r="A6">
        <v>5</v>
      </c>
      <c r="B6" s="192" t="s">
        <v>196</v>
      </c>
      <c r="C6">
        <v>0.8</v>
      </c>
      <c r="D6">
        <v>0.8</v>
      </c>
      <c r="E6">
        <v>0</v>
      </c>
      <c r="F6">
        <v>0</v>
      </c>
      <c r="G6">
        <v>0</v>
      </c>
      <c r="H6">
        <v>0</v>
      </c>
      <c r="I6">
        <v>0</v>
      </c>
      <c r="J6">
        <v>0</v>
      </c>
      <c r="K6">
        <v>0</v>
      </c>
      <c r="L6">
        <v>0.8</v>
      </c>
    </row>
    <row r="7" spans="1:12" x14ac:dyDescent="0.15">
      <c r="A7">
        <v>6</v>
      </c>
      <c r="B7" s="192" t="s">
        <v>197</v>
      </c>
      <c r="C7">
        <v>0</v>
      </c>
      <c r="D7">
        <v>0</v>
      </c>
      <c r="E7">
        <v>0</v>
      </c>
      <c r="F7">
        <v>0</v>
      </c>
      <c r="G7">
        <v>0</v>
      </c>
      <c r="H7">
        <v>0</v>
      </c>
      <c r="I7">
        <v>0</v>
      </c>
      <c r="J7">
        <v>0</v>
      </c>
      <c r="K7">
        <v>0</v>
      </c>
      <c r="L7">
        <v>0</v>
      </c>
    </row>
    <row r="8" spans="1:12" x14ac:dyDescent="0.15">
      <c r="A8">
        <v>7</v>
      </c>
      <c r="B8" s="192" t="s">
        <v>198</v>
      </c>
      <c r="C8">
        <v>0</v>
      </c>
      <c r="D8">
        <v>0</v>
      </c>
      <c r="E8">
        <v>0</v>
      </c>
      <c r="F8">
        <v>0</v>
      </c>
      <c r="G8">
        <v>0</v>
      </c>
      <c r="H8">
        <v>0</v>
      </c>
      <c r="I8">
        <v>0</v>
      </c>
      <c r="J8">
        <v>0</v>
      </c>
      <c r="K8">
        <v>0</v>
      </c>
      <c r="L8">
        <v>0</v>
      </c>
    </row>
    <row r="9" spans="1:12" x14ac:dyDescent="0.15">
      <c r="A9">
        <v>8</v>
      </c>
      <c r="B9" s="192" t="s">
        <v>199</v>
      </c>
      <c r="C9">
        <v>0</v>
      </c>
      <c r="D9">
        <v>0</v>
      </c>
      <c r="E9">
        <v>0</v>
      </c>
      <c r="F9">
        <v>0</v>
      </c>
      <c r="G9">
        <v>0</v>
      </c>
      <c r="H9">
        <v>0</v>
      </c>
      <c r="I9">
        <v>0</v>
      </c>
      <c r="J9">
        <v>0</v>
      </c>
      <c r="K9">
        <v>0</v>
      </c>
      <c r="L9">
        <v>0</v>
      </c>
    </row>
    <row r="10" spans="1:12" x14ac:dyDescent="0.15">
      <c r="A10">
        <v>9</v>
      </c>
      <c r="B10" s="192" t="s">
        <v>200</v>
      </c>
      <c r="C10">
        <v>0</v>
      </c>
      <c r="D10">
        <v>0</v>
      </c>
      <c r="E10">
        <v>0</v>
      </c>
      <c r="F10">
        <v>0</v>
      </c>
      <c r="G10">
        <v>0</v>
      </c>
      <c r="H10">
        <v>0</v>
      </c>
      <c r="I10">
        <v>0</v>
      </c>
      <c r="J10">
        <v>0</v>
      </c>
      <c r="K10">
        <v>0</v>
      </c>
      <c r="L10">
        <v>0</v>
      </c>
    </row>
    <row r="11" spans="1:12" x14ac:dyDescent="0.15">
      <c r="A11">
        <v>10</v>
      </c>
      <c r="B11" s="192" t="s">
        <v>201</v>
      </c>
      <c r="C11">
        <v>0.8</v>
      </c>
      <c r="D11">
        <v>0.8</v>
      </c>
      <c r="E11">
        <v>0.8</v>
      </c>
      <c r="F11">
        <v>0.8</v>
      </c>
      <c r="G11">
        <v>0</v>
      </c>
      <c r="H11">
        <v>0.8</v>
      </c>
      <c r="I11">
        <v>0</v>
      </c>
      <c r="J11">
        <v>0</v>
      </c>
      <c r="K11">
        <v>0.8</v>
      </c>
      <c r="L11">
        <v>0.8</v>
      </c>
    </row>
    <row r="12" spans="1:12" x14ac:dyDescent="0.15">
      <c r="A12">
        <v>11</v>
      </c>
      <c r="B12" s="192" t="s">
        <v>202</v>
      </c>
      <c r="C12">
        <v>0</v>
      </c>
      <c r="D12">
        <v>0</v>
      </c>
      <c r="E12">
        <v>0.8</v>
      </c>
      <c r="F12">
        <v>0.8</v>
      </c>
      <c r="G12">
        <v>0</v>
      </c>
      <c r="H12">
        <v>0</v>
      </c>
      <c r="I12">
        <v>0</v>
      </c>
      <c r="J12">
        <v>0.8</v>
      </c>
      <c r="K12">
        <v>0.8</v>
      </c>
      <c r="L12">
        <v>0</v>
      </c>
    </row>
    <row r="13" spans="1:12" x14ac:dyDescent="0.15">
      <c r="A13">
        <v>12</v>
      </c>
      <c r="B13" s="192" t="s">
        <v>203</v>
      </c>
      <c r="C13">
        <v>0</v>
      </c>
      <c r="D13">
        <v>0</v>
      </c>
      <c r="E13">
        <v>0.8</v>
      </c>
      <c r="F13">
        <v>0.8</v>
      </c>
      <c r="G13">
        <v>0</v>
      </c>
      <c r="H13">
        <v>0.8</v>
      </c>
      <c r="I13">
        <v>0</v>
      </c>
      <c r="J13">
        <v>0.8</v>
      </c>
      <c r="K13">
        <v>0.8</v>
      </c>
      <c r="L13">
        <v>0</v>
      </c>
    </row>
    <row r="14" spans="1:12" x14ac:dyDescent="0.15">
      <c r="A14">
        <v>13</v>
      </c>
      <c r="B14" s="192" t="s">
        <v>204</v>
      </c>
      <c r="C14">
        <v>0.8</v>
      </c>
      <c r="D14">
        <v>0.8</v>
      </c>
      <c r="E14">
        <v>0.8</v>
      </c>
      <c r="F14">
        <v>0.8</v>
      </c>
      <c r="G14">
        <v>0</v>
      </c>
      <c r="H14">
        <v>0</v>
      </c>
      <c r="I14">
        <v>0.8</v>
      </c>
      <c r="J14">
        <v>0.8</v>
      </c>
      <c r="K14">
        <v>0.8</v>
      </c>
      <c r="L14">
        <v>0.8</v>
      </c>
    </row>
    <row r="15" spans="1:12" x14ac:dyDescent="0.15">
      <c r="A15">
        <v>14</v>
      </c>
      <c r="B15" s="192" t="s">
        <v>205</v>
      </c>
      <c r="C15">
        <v>0.8</v>
      </c>
      <c r="D15">
        <v>0.8</v>
      </c>
      <c r="E15">
        <v>0.8</v>
      </c>
      <c r="F15">
        <v>0.8</v>
      </c>
      <c r="G15">
        <v>0</v>
      </c>
      <c r="H15">
        <v>0</v>
      </c>
      <c r="I15">
        <v>0</v>
      </c>
      <c r="J15">
        <v>0.8</v>
      </c>
      <c r="K15">
        <v>0.8</v>
      </c>
      <c r="L15">
        <v>0.8</v>
      </c>
    </row>
    <row r="16" spans="1:12" x14ac:dyDescent="0.15">
      <c r="A16">
        <v>15</v>
      </c>
      <c r="B16" s="192" t="s">
        <v>206</v>
      </c>
      <c r="C16">
        <v>0.8</v>
      </c>
      <c r="D16">
        <v>0.8</v>
      </c>
      <c r="E16">
        <v>0.8</v>
      </c>
      <c r="F16">
        <v>0.8</v>
      </c>
      <c r="G16">
        <v>0</v>
      </c>
      <c r="H16">
        <v>0</v>
      </c>
      <c r="I16">
        <v>0</v>
      </c>
      <c r="J16">
        <v>0.8</v>
      </c>
      <c r="K16">
        <v>0.8</v>
      </c>
      <c r="L16">
        <v>0.8</v>
      </c>
    </row>
    <row r="17" spans="1:12" x14ac:dyDescent="0.15">
      <c r="A17">
        <v>16</v>
      </c>
      <c r="B17" s="192" t="s">
        <v>207</v>
      </c>
      <c r="C17">
        <v>0.8</v>
      </c>
      <c r="D17">
        <v>0.8</v>
      </c>
      <c r="E17">
        <v>0</v>
      </c>
      <c r="F17">
        <v>0.8</v>
      </c>
      <c r="G17">
        <v>0</v>
      </c>
      <c r="H17">
        <v>0</v>
      </c>
      <c r="I17">
        <v>0</v>
      </c>
      <c r="J17">
        <v>0</v>
      </c>
      <c r="K17">
        <v>0.8</v>
      </c>
      <c r="L17">
        <v>0.8</v>
      </c>
    </row>
    <row r="18" spans="1:12" x14ac:dyDescent="0.15">
      <c r="A18">
        <v>17</v>
      </c>
      <c r="B18" s="192" t="s">
        <v>208</v>
      </c>
      <c r="C18">
        <v>0</v>
      </c>
      <c r="D18">
        <v>0</v>
      </c>
      <c r="E18">
        <v>0</v>
      </c>
      <c r="F18">
        <v>0.8</v>
      </c>
      <c r="G18">
        <v>0</v>
      </c>
      <c r="H18">
        <v>0.8</v>
      </c>
      <c r="I18">
        <v>0</v>
      </c>
      <c r="J18">
        <v>0.8</v>
      </c>
      <c r="K18">
        <v>0.8</v>
      </c>
      <c r="L18">
        <v>0</v>
      </c>
    </row>
    <row r="19" spans="1:12" x14ac:dyDescent="0.15">
      <c r="A19">
        <v>18</v>
      </c>
      <c r="B19" s="192" t="s">
        <v>209</v>
      </c>
      <c r="C19">
        <v>0.8</v>
      </c>
      <c r="D19">
        <v>0.8</v>
      </c>
      <c r="E19">
        <v>0.8</v>
      </c>
      <c r="F19">
        <v>0.8</v>
      </c>
      <c r="G19">
        <v>0</v>
      </c>
      <c r="H19">
        <v>0.8</v>
      </c>
      <c r="I19">
        <v>0.8</v>
      </c>
      <c r="J19">
        <v>0.8</v>
      </c>
      <c r="K19">
        <v>0.8</v>
      </c>
      <c r="L19">
        <v>0.8</v>
      </c>
    </row>
    <row r="20" spans="1:12" x14ac:dyDescent="0.15">
      <c r="A20">
        <v>19</v>
      </c>
      <c r="B20" s="192" t="s">
        <v>210</v>
      </c>
      <c r="C20">
        <v>0.8</v>
      </c>
      <c r="D20">
        <v>0.8</v>
      </c>
      <c r="E20">
        <v>0.8</v>
      </c>
      <c r="F20">
        <v>0.8</v>
      </c>
      <c r="G20">
        <v>0</v>
      </c>
      <c r="H20">
        <v>0.8</v>
      </c>
      <c r="I20">
        <v>0.8</v>
      </c>
      <c r="J20">
        <v>0.8</v>
      </c>
      <c r="K20">
        <v>0.8</v>
      </c>
      <c r="L20">
        <v>0.8</v>
      </c>
    </row>
    <row r="21" spans="1:12" x14ac:dyDescent="0.15">
      <c r="A21">
        <v>20</v>
      </c>
      <c r="B21" s="192" t="s">
        <v>211</v>
      </c>
      <c r="C21">
        <v>0.8</v>
      </c>
      <c r="D21">
        <v>0.8</v>
      </c>
      <c r="E21">
        <v>0</v>
      </c>
      <c r="F21">
        <v>0.8</v>
      </c>
      <c r="G21">
        <v>0</v>
      </c>
      <c r="H21">
        <v>0.8</v>
      </c>
      <c r="I21">
        <v>0</v>
      </c>
      <c r="J21">
        <v>0.8</v>
      </c>
      <c r="K21">
        <v>0.8</v>
      </c>
      <c r="L21">
        <v>0.8</v>
      </c>
    </row>
    <row r="22" spans="1:12" x14ac:dyDescent="0.15">
      <c r="A22">
        <v>21</v>
      </c>
      <c r="B22" s="192" t="s">
        <v>212</v>
      </c>
      <c r="C22">
        <v>0.8</v>
      </c>
      <c r="D22">
        <v>0.8</v>
      </c>
      <c r="E22">
        <v>0.8</v>
      </c>
      <c r="F22">
        <v>0.8</v>
      </c>
      <c r="G22">
        <v>0</v>
      </c>
      <c r="H22">
        <v>0.8</v>
      </c>
      <c r="I22">
        <v>0.8</v>
      </c>
      <c r="J22">
        <v>0.8</v>
      </c>
      <c r="K22">
        <v>0.8</v>
      </c>
      <c r="L22">
        <v>0.8</v>
      </c>
    </row>
    <row r="23" spans="1:12" x14ac:dyDescent="0.15">
      <c r="A23">
        <v>22</v>
      </c>
      <c r="B23" s="192" t="s">
        <v>213</v>
      </c>
      <c r="C23">
        <v>0.8</v>
      </c>
      <c r="D23">
        <v>0.8</v>
      </c>
      <c r="E23">
        <v>0</v>
      </c>
      <c r="F23">
        <v>0.8</v>
      </c>
      <c r="G23">
        <v>0</v>
      </c>
      <c r="H23">
        <v>0.8</v>
      </c>
      <c r="I23">
        <v>0</v>
      </c>
      <c r="J23">
        <v>0.8</v>
      </c>
      <c r="K23">
        <v>0</v>
      </c>
      <c r="L23">
        <v>0.8</v>
      </c>
    </row>
    <row r="24" spans="1:12" x14ac:dyDescent="0.15">
      <c r="A24">
        <v>23</v>
      </c>
      <c r="B24" s="192" t="s">
        <v>214</v>
      </c>
      <c r="C24">
        <v>0.8</v>
      </c>
      <c r="D24">
        <v>0.8</v>
      </c>
      <c r="E24">
        <v>0.8</v>
      </c>
      <c r="F24">
        <v>0.8</v>
      </c>
      <c r="G24">
        <v>0</v>
      </c>
      <c r="H24">
        <v>0.8</v>
      </c>
      <c r="I24">
        <v>0.8</v>
      </c>
      <c r="J24">
        <v>0.8</v>
      </c>
      <c r="K24">
        <v>0.8</v>
      </c>
      <c r="L24">
        <v>0.8</v>
      </c>
    </row>
    <row r="25" spans="1:12" x14ac:dyDescent="0.15">
      <c r="A25">
        <v>24</v>
      </c>
      <c r="B25" s="192" t="s">
        <v>215</v>
      </c>
      <c r="C25">
        <v>0.8</v>
      </c>
      <c r="D25">
        <v>0.8</v>
      </c>
      <c r="E25">
        <v>0.8</v>
      </c>
      <c r="F25">
        <v>0</v>
      </c>
      <c r="G25">
        <v>0</v>
      </c>
      <c r="H25">
        <v>0.8</v>
      </c>
      <c r="I25">
        <v>0.8</v>
      </c>
      <c r="J25">
        <v>0.8</v>
      </c>
      <c r="K25">
        <v>0.8</v>
      </c>
      <c r="L25">
        <v>0.8</v>
      </c>
    </row>
    <row r="26" spans="1:12" x14ac:dyDescent="0.15">
      <c r="A26">
        <v>25</v>
      </c>
      <c r="B26" s="192" t="s">
        <v>216</v>
      </c>
      <c r="C26">
        <v>0.8</v>
      </c>
      <c r="D26">
        <v>0.8</v>
      </c>
      <c r="E26">
        <v>0.8</v>
      </c>
      <c r="F26">
        <v>0.8</v>
      </c>
      <c r="G26">
        <v>0</v>
      </c>
      <c r="H26">
        <v>0.8</v>
      </c>
      <c r="I26">
        <v>0.8</v>
      </c>
      <c r="J26">
        <v>0.8</v>
      </c>
      <c r="K26">
        <v>0</v>
      </c>
      <c r="L26">
        <v>0.8</v>
      </c>
    </row>
    <row r="27" spans="1:12" x14ac:dyDescent="0.15">
      <c r="A27">
        <v>26</v>
      </c>
      <c r="B27" s="192" t="s">
        <v>217</v>
      </c>
      <c r="C27">
        <v>0.8</v>
      </c>
      <c r="D27">
        <v>0.8</v>
      </c>
      <c r="E27">
        <v>0.8</v>
      </c>
      <c r="F27">
        <v>0.8</v>
      </c>
      <c r="G27">
        <v>0</v>
      </c>
      <c r="H27">
        <v>0.8</v>
      </c>
      <c r="I27">
        <v>0.8</v>
      </c>
      <c r="J27">
        <v>0.8</v>
      </c>
      <c r="K27">
        <v>0</v>
      </c>
      <c r="L27">
        <v>0.8</v>
      </c>
    </row>
    <row r="28" spans="1:12" x14ac:dyDescent="0.15">
      <c r="A28">
        <v>27</v>
      </c>
      <c r="B28" s="192" t="s">
        <v>218</v>
      </c>
      <c r="C28">
        <v>0.8</v>
      </c>
      <c r="D28">
        <v>0.8</v>
      </c>
      <c r="E28">
        <v>0.8</v>
      </c>
      <c r="F28">
        <v>0.8</v>
      </c>
      <c r="G28">
        <v>0</v>
      </c>
      <c r="H28">
        <v>0.8</v>
      </c>
      <c r="I28">
        <v>0.8</v>
      </c>
      <c r="J28">
        <v>0.8</v>
      </c>
      <c r="K28">
        <v>0.8</v>
      </c>
      <c r="L28">
        <v>0.8</v>
      </c>
    </row>
    <row r="29" spans="1:12" x14ac:dyDescent="0.15">
      <c r="A29">
        <v>28</v>
      </c>
      <c r="B29" s="192" t="s">
        <v>219</v>
      </c>
      <c r="C29">
        <v>0.8</v>
      </c>
      <c r="D29">
        <v>0.8</v>
      </c>
      <c r="E29">
        <v>0</v>
      </c>
      <c r="F29">
        <v>0</v>
      </c>
      <c r="G29">
        <v>0</v>
      </c>
      <c r="H29">
        <v>0</v>
      </c>
      <c r="I29">
        <v>0</v>
      </c>
      <c r="J29">
        <v>0</v>
      </c>
      <c r="K29">
        <v>0</v>
      </c>
      <c r="L29">
        <v>0.8</v>
      </c>
    </row>
    <row r="30" spans="1:12" x14ac:dyDescent="0.15">
      <c r="A30">
        <v>29</v>
      </c>
      <c r="B30" s="192" t="s">
        <v>220</v>
      </c>
      <c r="C30">
        <v>0.8</v>
      </c>
      <c r="D30">
        <v>0.8</v>
      </c>
      <c r="E30">
        <v>0</v>
      </c>
      <c r="F30">
        <v>0.8</v>
      </c>
      <c r="G30">
        <v>0</v>
      </c>
      <c r="H30">
        <v>0.8</v>
      </c>
      <c r="I30">
        <v>0</v>
      </c>
      <c r="J30">
        <v>0</v>
      </c>
      <c r="K30">
        <v>0.8</v>
      </c>
      <c r="L30">
        <v>0.8</v>
      </c>
    </row>
    <row r="31" spans="1:12" x14ac:dyDescent="0.15">
      <c r="A31">
        <v>30</v>
      </c>
      <c r="B31" s="192" t="s">
        <v>221</v>
      </c>
      <c r="C31">
        <v>0.8</v>
      </c>
      <c r="D31">
        <v>0.8</v>
      </c>
      <c r="E31">
        <v>0.8</v>
      </c>
      <c r="F31">
        <v>0.8</v>
      </c>
      <c r="G31">
        <v>0</v>
      </c>
      <c r="H31">
        <v>0.8</v>
      </c>
      <c r="I31">
        <v>0</v>
      </c>
      <c r="J31">
        <v>0.8</v>
      </c>
      <c r="K31">
        <v>0.8</v>
      </c>
      <c r="L31">
        <v>0.8</v>
      </c>
    </row>
    <row r="32" spans="1:12" x14ac:dyDescent="0.15">
      <c r="A32">
        <v>31</v>
      </c>
      <c r="B32" s="192" t="s">
        <v>222</v>
      </c>
      <c r="C32">
        <v>0.8</v>
      </c>
      <c r="D32">
        <v>0.8</v>
      </c>
      <c r="E32">
        <v>0</v>
      </c>
      <c r="F32">
        <v>0</v>
      </c>
      <c r="G32">
        <v>0</v>
      </c>
      <c r="H32">
        <v>0.8</v>
      </c>
      <c r="I32">
        <v>0.8</v>
      </c>
      <c r="J32">
        <v>0.8</v>
      </c>
      <c r="K32">
        <v>0</v>
      </c>
      <c r="L32">
        <v>0.8</v>
      </c>
    </row>
    <row r="33" spans="1:12" x14ac:dyDescent="0.15">
      <c r="A33">
        <v>32</v>
      </c>
      <c r="B33" s="192" t="s">
        <v>223</v>
      </c>
      <c r="C33">
        <v>0.8</v>
      </c>
      <c r="D33">
        <v>0.8</v>
      </c>
      <c r="E33">
        <v>0</v>
      </c>
      <c r="F33">
        <v>0</v>
      </c>
      <c r="G33">
        <v>0</v>
      </c>
      <c r="H33">
        <v>0.8</v>
      </c>
      <c r="I33">
        <v>0.8</v>
      </c>
      <c r="J33">
        <v>0.8</v>
      </c>
      <c r="K33">
        <v>0</v>
      </c>
      <c r="L33">
        <v>0.8</v>
      </c>
    </row>
    <row r="34" spans="1:12" x14ac:dyDescent="0.15">
      <c r="A34">
        <v>33</v>
      </c>
      <c r="B34" s="192" t="s">
        <v>224</v>
      </c>
      <c r="C34">
        <v>0.8</v>
      </c>
      <c r="D34">
        <v>0.8</v>
      </c>
      <c r="E34">
        <v>0</v>
      </c>
      <c r="F34">
        <v>0.8</v>
      </c>
      <c r="G34">
        <v>0</v>
      </c>
      <c r="H34">
        <v>0.8</v>
      </c>
      <c r="I34">
        <v>0.8</v>
      </c>
      <c r="J34">
        <v>0.8</v>
      </c>
      <c r="K34">
        <v>0.8</v>
      </c>
      <c r="L34">
        <v>0.8</v>
      </c>
    </row>
    <row r="35" spans="1:12" x14ac:dyDescent="0.15">
      <c r="A35">
        <v>34</v>
      </c>
      <c r="B35" s="192" t="s">
        <v>225</v>
      </c>
      <c r="C35">
        <v>0.8</v>
      </c>
      <c r="D35">
        <v>0.8</v>
      </c>
      <c r="E35">
        <v>0</v>
      </c>
      <c r="F35">
        <v>0</v>
      </c>
      <c r="G35">
        <v>0</v>
      </c>
      <c r="H35">
        <v>0.8</v>
      </c>
      <c r="I35">
        <v>0</v>
      </c>
      <c r="J35">
        <v>0.8</v>
      </c>
      <c r="K35">
        <v>0</v>
      </c>
      <c r="L35">
        <v>0.8</v>
      </c>
    </row>
    <row r="36" spans="1:12" x14ac:dyDescent="0.15">
      <c r="A36">
        <v>35</v>
      </c>
      <c r="B36" s="192" t="s">
        <v>226</v>
      </c>
      <c r="C36">
        <v>0.8</v>
      </c>
      <c r="D36">
        <v>0.8</v>
      </c>
      <c r="E36">
        <v>0</v>
      </c>
      <c r="F36">
        <v>0</v>
      </c>
      <c r="G36">
        <v>0</v>
      </c>
      <c r="H36">
        <v>0</v>
      </c>
      <c r="I36">
        <v>0</v>
      </c>
      <c r="J36">
        <v>0</v>
      </c>
      <c r="K36">
        <v>0</v>
      </c>
      <c r="L36">
        <v>0.8</v>
      </c>
    </row>
    <row r="37" spans="1:12" x14ac:dyDescent="0.15">
      <c r="A37">
        <v>36</v>
      </c>
      <c r="B37" s="192" t="s">
        <v>227</v>
      </c>
      <c r="C37">
        <v>0</v>
      </c>
      <c r="D37">
        <v>0.8</v>
      </c>
      <c r="E37">
        <v>0</v>
      </c>
      <c r="F37">
        <v>0</v>
      </c>
      <c r="G37">
        <v>0</v>
      </c>
      <c r="H37">
        <v>0</v>
      </c>
      <c r="I37">
        <v>0</v>
      </c>
      <c r="J37">
        <v>0</v>
      </c>
      <c r="K37">
        <v>0</v>
      </c>
      <c r="L37">
        <v>0</v>
      </c>
    </row>
    <row r="38" spans="1:12" x14ac:dyDescent="0.15">
      <c r="A38">
        <v>37</v>
      </c>
      <c r="B38" s="192" t="s">
        <v>228</v>
      </c>
      <c r="C38">
        <v>0.8</v>
      </c>
      <c r="D38">
        <v>0.8</v>
      </c>
      <c r="E38">
        <v>0</v>
      </c>
      <c r="F38">
        <v>0</v>
      </c>
      <c r="G38">
        <v>0</v>
      </c>
      <c r="H38">
        <v>0</v>
      </c>
      <c r="I38">
        <v>0</v>
      </c>
      <c r="J38">
        <v>0</v>
      </c>
      <c r="K38">
        <v>0</v>
      </c>
      <c r="L38">
        <v>0.8</v>
      </c>
    </row>
    <row r="39" spans="1:12" x14ac:dyDescent="0.15">
      <c r="A39">
        <v>38</v>
      </c>
      <c r="B39" s="192" t="s">
        <v>229</v>
      </c>
      <c r="C39">
        <v>0</v>
      </c>
      <c r="D39">
        <v>0</v>
      </c>
      <c r="E39">
        <v>0</v>
      </c>
      <c r="F39">
        <v>0</v>
      </c>
      <c r="G39">
        <v>0</v>
      </c>
      <c r="H39">
        <v>0</v>
      </c>
      <c r="I39">
        <v>0</v>
      </c>
      <c r="J39">
        <v>0</v>
      </c>
      <c r="K39">
        <v>0</v>
      </c>
      <c r="L39">
        <v>0</v>
      </c>
    </row>
    <row r="40" spans="1:12" x14ac:dyDescent="0.15">
      <c r="A40">
        <v>39</v>
      </c>
      <c r="B40" s="192" t="s">
        <v>230</v>
      </c>
      <c r="C40">
        <v>0.8</v>
      </c>
      <c r="D40">
        <v>0.8</v>
      </c>
      <c r="E40">
        <v>0</v>
      </c>
      <c r="F40">
        <v>0</v>
      </c>
      <c r="G40">
        <v>0</v>
      </c>
      <c r="H40">
        <v>0</v>
      </c>
      <c r="I40">
        <v>0</v>
      </c>
      <c r="J40">
        <v>0</v>
      </c>
      <c r="K40">
        <v>0</v>
      </c>
      <c r="L40">
        <v>0.8</v>
      </c>
    </row>
    <row r="41" spans="1:12" x14ac:dyDescent="0.15">
      <c r="A41">
        <v>40</v>
      </c>
      <c r="B41" s="192" t="s">
        <v>231</v>
      </c>
      <c r="C41">
        <v>0.8</v>
      </c>
      <c r="D41">
        <v>0.8</v>
      </c>
      <c r="E41">
        <v>0</v>
      </c>
      <c r="F41">
        <v>0</v>
      </c>
      <c r="G41">
        <v>0</v>
      </c>
      <c r="H41">
        <v>0</v>
      </c>
      <c r="I41">
        <v>0</v>
      </c>
      <c r="J41">
        <v>0</v>
      </c>
      <c r="K41">
        <v>0</v>
      </c>
      <c r="L41">
        <v>0.8</v>
      </c>
    </row>
    <row r="42" spans="1:12" x14ac:dyDescent="0.15">
      <c r="A42">
        <v>41</v>
      </c>
      <c r="B42" s="192" t="s">
        <v>232</v>
      </c>
      <c r="C42">
        <v>0.8</v>
      </c>
      <c r="D42">
        <v>0.8</v>
      </c>
      <c r="E42">
        <v>0</v>
      </c>
      <c r="F42">
        <v>0</v>
      </c>
      <c r="G42">
        <v>0</v>
      </c>
      <c r="H42">
        <v>0</v>
      </c>
      <c r="I42">
        <v>0</v>
      </c>
      <c r="J42">
        <v>0</v>
      </c>
      <c r="K42">
        <v>0</v>
      </c>
      <c r="L42">
        <v>0.8</v>
      </c>
    </row>
    <row r="43" spans="1:12" x14ac:dyDescent="0.15">
      <c r="A43">
        <v>42</v>
      </c>
      <c r="B43" s="192" t="s">
        <v>233</v>
      </c>
      <c r="C43">
        <v>0</v>
      </c>
      <c r="D43">
        <v>0</v>
      </c>
      <c r="E43">
        <v>0</v>
      </c>
      <c r="F43">
        <v>0</v>
      </c>
      <c r="G43">
        <v>0</v>
      </c>
      <c r="H43">
        <v>0</v>
      </c>
      <c r="I43">
        <v>0.8</v>
      </c>
      <c r="J43">
        <v>0</v>
      </c>
      <c r="K43">
        <v>0</v>
      </c>
      <c r="L43">
        <v>0</v>
      </c>
    </row>
    <row r="44" spans="1:12" x14ac:dyDescent="0.15">
      <c r="A44">
        <v>43</v>
      </c>
      <c r="B44" s="192" t="s">
        <v>234</v>
      </c>
      <c r="C44">
        <v>0</v>
      </c>
      <c r="D44">
        <v>0</v>
      </c>
      <c r="E44">
        <v>0</v>
      </c>
      <c r="F44">
        <v>0</v>
      </c>
      <c r="G44">
        <v>0</v>
      </c>
      <c r="H44">
        <v>0</v>
      </c>
      <c r="I44">
        <v>0</v>
      </c>
      <c r="J44">
        <v>0</v>
      </c>
      <c r="K44">
        <v>0</v>
      </c>
      <c r="L44">
        <v>0</v>
      </c>
    </row>
    <row r="45" spans="1:12" x14ac:dyDescent="0.15">
      <c r="A45">
        <v>44</v>
      </c>
      <c r="B45" s="192" t="s">
        <v>235</v>
      </c>
      <c r="C45">
        <v>0.8</v>
      </c>
      <c r="D45">
        <v>0.8</v>
      </c>
      <c r="E45">
        <v>0</v>
      </c>
      <c r="F45">
        <v>0</v>
      </c>
      <c r="G45">
        <v>0</v>
      </c>
      <c r="H45">
        <v>0</v>
      </c>
      <c r="I45">
        <v>0</v>
      </c>
      <c r="J45">
        <v>0</v>
      </c>
      <c r="K45">
        <v>0</v>
      </c>
      <c r="L45">
        <v>0</v>
      </c>
    </row>
    <row r="46" spans="1:12" x14ac:dyDescent="0.15">
      <c r="A46">
        <v>45</v>
      </c>
      <c r="B46" s="192" t="s">
        <v>236</v>
      </c>
      <c r="C46">
        <v>0</v>
      </c>
      <c r="D46">
        <v>0</v>
      </c>
      <c r="E46">
        <v>0</v>
      </c>
      <c r="F46">
        <v>0</v>
      </c>
      <c r="G46">
        <v>0</v>
      </c>
      <c r="H46">
        <v>0</v>
      </c>
      <c r="I46">
        <v>0</v>
      </c>
      <c r="J46">
        <v>0</v>
      </c>
      <c r="K46">
        <v>0</v>
      </c>
      <c r="L46">
        <v>0</v>
      </c>
    </row>
    <row r="47" spans="1:12" x14ac:dyDescent="0.15">
      <c r="A47">
        <v>46</v>
      </c>
      <c r="B47" s="192" t="s">
        <v>237</v>
      </c>
      <c r="C47">
        <v>0</v>
      </c>
      <c r="D47">
        <v>0</v>
      </c>
      <c r="E47">
        <v>0</v>
      </c>
      <c r="F47">
        <v>0</v>
      </c>
      <c r="G47">
        <v>0</v>
      </c>
      <c r="H47">
        <v>0</v>
      </c>
      <c r="I47">
        <v>0</v>
      </c>
      <c r="J47">
        <v>0</v>
      </c>
      <c r="K47">
        <v>0</v>
      </c>
      <c r="L47">
        <v>0</v>
      </c>
    </row>
    <row r="48" spans="1:12" x14ac:dyDescent="0.15">
      <c r="A48">
        <v>47</v>
      </c>
      <c r="B48" s="192" t="s">
        <v>238</v>
      </c>
      <c r="C48">
        <v>0</v>
      </c>
      <c r="D48">
        <v>0.8</v>
      </c>
      <c r="E48">
        <v>0</v>
      </c>
      <c r="F48">
        <v>0</v>
      </c>
      <c r="G48">
        <v>0</v>
      </c>
      <c r="H48">
        <v>0</v>
      </c>
      <c r="I48">
        <v>0</v>
      </c>
      <c r="J48">
        <v>0</v>
      </c>
      <c r="K48">
        <v>0</v>
      </c>
      <c r="L48">
        <v>0</v>
      </c>
    </row>
    <row r="49" spans="1:12" x14ac:dyDescent="0.15">
      <c r="A49">
        <v>48</v>
      </c>
      <c r="B49" s="192" t="s">
        <v>239</v>
      </c>
      <c r="C49">
        <v>0</v>
      </c>
      <c r="D49">
        <v>0.8</v>
      </c>
      <c r="E49">
        <v>0</v>
      </c>
      <c r="F49">
        <v>0</v>
      </c>
      <c r="G49">
        <v>0</v>
      </c>
      <c r="H49">
        <v>0</v>
      </c>
      <c r="I49">
        <v>0</v>
      </c>
      <c r="J49">
        <v>0</v>
      </c>
      <c r="K49">
        <v>0</v>
      </c>
      <c r="L49">
        <v>0</v>
      </c>
    </row>
    <row r="50" spans="1:12" x14ac:dyDescent="0.15">
      <c r="A50">
        <v>49</v>
      </c>
      <c r="B50" s="192" t="s">
        <v>240</v>
      </c>
      <c r="C50">
        <v>0</v>
      </c>
      <c r="D50">
        <v>0</v>
      </c>
      <c r="E50">
        <v>0</v>
      </c>
      <c r="F50">
        <v>0</v>
      </c>
      <c r="G50">
        <v>0</v>
      </c>
      <c r="H50">
        <v>0</v>
      </c>
      <c r="I50">
        <v>0</v>
      </c>
      <c r="J50">
        <v>0</v>
      </c>
      <c r="K50">
        <v>0</v>
      </c>
      <c r="L50">
        <v>0</v>
      </c>
    </row>
    <row r="51" spans="1:12" x14ac:dyDescent="0.15">
      <c r="A51">
        <v>50</v>
      </c>
      <c r="B51" s="192" t="s">
        <v>241</v>
      </c>
      <c r="C51">
        <v>0.8</v>
      </c>
      <c r="D51">
        <v>0.8</v>
      </c>
      <c r="E51">
        <v>0</v>
      </c>
      <c r="F51">
        <v>0</v>
      </c>
      <c r="G51">
        <v>0</v>
      </c>
      <c r="H51">
        <v>0</v>
      </c>
      <c r="I51">
        <v>0</v>
      </c>
      <c r="J51">
        <v>0</v>
      </c>
      <c r="K51">
        <v>0</v>
      </c>
      <c r="L51">
        <v>0.8</v>
      </c>
    </row>
    <row r="52" spans="1:12" x14ac:dyDescent="0.15">
      <c r="A52">
        <v>51</v>
      </c>
      <c r="B52" s="192" t="s">
        <v>242</v>
      </c>
      <c r="C52">
        <v>0</v>
      </c>
      <c r="D52">
        <v>0.8</v>
      </c>
      <c r="E52">
        <v>0</v>
      </c>
      <c r="F52">
        <v>0</v>
      </c>
      <c r="G52">
        <v>0</v>
      </c>
      <c r="H52">
        <v>0</v>
      </c>
      <c r="I52">
        <v>0.8</v>
      </c>
      <c r="J52">
        <v>0</v>
      </c>
      <c r="K52">
        <v>0</v>
      </c>
      <c r="L52">
        <v>0</v>
      </c>
    </row>
    <row r="53" spans="1:12" x14ac:dyDescent="0.15">
      <c r="A53">
        <v>52</v>
      </c>
      <c r="B53" s="192" t="s">
        <v>243</v>
      </c>
      <c r="C53">
        <v>0.8</v>
      </c>
      <c r="D53">
        <v>0.8</v>
      </c>
      <c r="E53">
        <v>0</v>
      </c>
      <c r="F53">
        <v>0</v>
      </c>
      <c r="G53">
        <v>0</v>
      </c>
      <c r="H53">
        <v>0</v>
      </c>
      <c r="I53">
        <v>0</v>
      </c>
      <c r="J53">
        <v>0</v>
      </c>
      <c r="K53">
        <v>0</v>
      </c>
      <c r="L53">
        <v>0.8</v>
      </c>
    </row>
    <row r="54" spans="1:12" x14ac:dyDescent="0.15">
      <c r="A54">
        <v>53</v>
      </c>
      <c r="B54" s="192" t="s">
        <v>244</v>
      </c>
      <c r="C54">
        <v>0</v>
      </c>
      <c r="D54">
        <v>0</v>
      </c>
      <c r="E54">
        <v>0</v>
      </c>
      <c r="F54">
        <v>0</v>
      </c>
      <c r="G54">
        <v>0.8</v>
      </c>
      <c r="H54">
        <v>0.8</v>
      </c>
      <c r="I54">
        <v>0.8</v>
      </c>
      <c r="J54">
        <v>0</v>
      </c>
      <c r="K54">
        <v>0</v>
      </c>
      <c r="L54">
        <v>0</v>
      </c>
    </row>
    <row r="55" spans="1:12" x14ac:dyDescent="0.15">
      <c r="A55">
        <v>54</v>
      </c>
      <c r="B55" s="192" t="s">
        <v>245</v>
      </c>
      <c r="C55">
        <v>0.8</v>
      </c>
      <c r="D55">
        <v>0.8</v>
      </c>
      <c r="E55">
        <v>0</v>
      </c>
      <c r="F55">
        <v>0</v>
      </c>
      <c r="G55">
        <v>0.8</v>
      </c>
      <c r="H55">
        <v>0</v>
      </c>
      <c r="I55">
        <v>0.8</v>
      </c>
      <c r="J55">
        <v>0</v>
      </c>
      <c r="K55">
        <v>0</v>
      </c>
      <c r="L55">
        <v>0.8</v>
      </c>
    </row>
    <row r="56" spans="1:12" x14ac:dyDescent="0.15">
      <c r="A56">
        <v>55</v>
      </c>
      <c r="B56" s="192" t="s">
        <v>246</v>
      </c>
      <c r="C56">
        <v>0.8</v>
      </c>
      <c r="D56">
        <v>0.8</v>
      </c>
      <c r="E56">
        <v>0</v>
      </c>
      <c r="F56">
        <v>0</v>
      </c>
      <c r="G56">
        <v>0.8</v>
      </c>
      <c r="H56">
        <v>0</v>
      </c>
      <c r="I56">
        <v>0.8</v>
      </c>
      <c r="J56">
        <v>0</v>
      </c>
      <c r="K56">
        <v>0</v>
      </c>
      <c r="L56">
        <v>0.8</v>
      </c>
    </row>
    <row r="57" spans="1:12" x14ac:dyDescent="0.15">
      <c r="A57">
        <v>56</v>
      </c>
      <c r="B57" s="192" t="s">
        <v>247</v>
      </c>
      <c r="C57">
        <v>0.8</v>
      </c>
      <c r="D57">
        <v>0.8</v>
      </c>
      <c r="E57">
        <v>0</v>
      </c>
      <c r="F57">
        <v>0</v>
      </c>
      <c r="G57">
        <v>0</v>
      </c>
      <c r="H57">
        <v>0</v>
      </c>
      <c r="I57">
        <v>0</v>
      </c>
      <c r="J57">
        <v>0</v>
      </c>
      <c r="K57">
        <v>0</v>
      </c>
      <c r="L57">
        <v>0.8</v>
      </c>
    </row>
    <row r="58" spans="1:12" x14ac:dyDescent="0.15">
      <c r="A58">
        <v>57</v>
      </c>
      <c r="B58" s="192" t="s">
        <v>248</v>
      </c>
      <c r="C58">
        <v>0.8</v>
      </c>
      <c r="D58">
        <v>0.8</v>
      </c>
      <c r="E58">
        <v>0</v>
      </c>
      <c r="F58">
        <v>0</v>
      </c>
      <c r="G58">
        <v>0</v>
      </c>
      <c r="H58">
        <v>0</v>
      </c>
      <c r="I58">
        <v>0</v>
      </c>
      <c r="J58">
        <v>0</v>
      </c>
      <c r="K58">
        <v>0</v>
      </c>
      <c r="L58">
        <v>0.8</v>
      </c>
    </row>
    <row r="59" spans="1:12" x14ac:dyDescent="0.15">
      <c r="A59">
        <v>58</v>
      </c>
      <c r="B59" s="192" t="s">
        <v>249</v>
      </c>
      <c r="C59">
        <v>0.8</v>
      </c>
      <c r="D59">
        <v>0.8</v>
      </c>
      <c r="E59">
        <v>0</v>
      </c>
      <c r="F59">
        <v>0</v>
      </c>
      <c r="G59">
        <v>0</v>
      </c>
      <c r="H59">
        <v>0</v>
      </c>
      <c r="I59">
        <v>0</v>
      </c>
      <c r="J59">
        <v>0</v>
      </c>
      <c r="K59">
        <v>0</v>
      </c>
      <c r="L59">
        <v>0.8</v>
      </c>
    </row>
    <row r="60" spans="1:12" x14ac:dyDescent="0.15">
      <c r="A60">
        <v>59</v>
      </c>
      <c r="B60" s="192" t="s">
        <v>250</v>
      </c>
      <c r="C60">
        <v>0.8</v>
      </c>
      <c r="D60">
        <v>0.8</v>
      </c>
      <c r="E60">
        <v>0</v>
      </c>
      <c r="F60">
        <v>0</v>
      </c>
      <c r="G60">
        <v>0</v>
      </c>
      <c r="H60">
        <v>0</v>
      </c>
      <c r="I60">
        <v>0</v>
      </c>
      <c r="J60">
        <v>0</v>
      </c>
      <c r="K60">
        <v>0</v>
      </c>
      <c r="L60">
        <v>0.8</v>
      </c>
    </row>
    <row r="61" spans="1:12" x14ac:dyDescent="0.15">
      <c r="A61">
        <v>60</v>
      </c>
      <c r="B61" s="192" t="s">
        <v>251</v>
      </c>
      <c r="C61">
        <v>0.8</v>
      </c>
      <c r="D61">
        <v>0.8</v>
      </c>
      <c r="E61">
        <v>0</v>
      </c>
      <c r="F61">
        <v>0</v>
      </c>
      <c r="G61">
        <v>0</v>
      </c>
      <c r="H61">
        <v>0</v>
      </c>
      <c r="I61">
        <v>0</v>
      </c>
      <c r="J61">
        <v>0</v>
      </c>
      <c r="K61">
        <v>0</v>
      </c>
      <c r="L61">
        <v>0.8</v>
      </c>
    </row>
    <row r="62" spans="1:12" x14ac:dyDescent="0.15">
      <c r="A62">
        <v>61</v>
      </c>
      <c r="B62" s="192" t="s">
        <v>252</v>
      </c>
      <c r="C62">
        <v>0.8</v>
      </c>
      <c r="D62">
        <v>0.8</v>
      </c>
      <c r="E62">
        <v>0</v>
      </c>
      <c r="F62">
        <v>0</v>
      </c>
      <c r="G62">
        <v>0</v>
      </c>
      <c r="H62">
        <v>0</v>
      </c>
      <c r="I62">
        <v>0</v>
      </c>
      <c r="J62">
        <v>0</v>
      </c>
      <c r="K62">
        <v>0</v>
      </c>
      <c r="L62">
        <v>0.8</v>
      </c>
    </row>
    <row r="63" spans="1:12" x14ac:dyDescent="0.15">
      <c r="A63">
        <v>62</v>
      </c>
      <c r="B63" s="192" t="s">
        <v>253</v>
      </c>
      <c r="C63">
        <v>0.8</v>
      </c>
      <c r="D63">
        <v>0.8</v>
      </c>
      <c r="E63">
        <v>0</v>
      </c>
      <c r="F63">
        <v>0</v>
      </c>
      <c r="G63">
        <v>0</v>
      </c>
      <c r="H63">
        <v>0</v>
      </c>
      <c r="I63">
        <v>0</v>
      </c>
      <c r="J63">
        <v>0</v>
      </c>
      <c r="K63">
        <v>0</v>
      </c>
      <c r="L63">
        <v>0.8</v>
      </c>
    </row>
    <row r="64" spans="1:12" x14ac:dyDescent="0.15">
      <c r="A64">
        <v>63</v>
      </c>
      <c r="B64" s="192" t="s">
        <v>254</v>
      </c>
      <c r="C64">
        <v>0.8</v>
      </c>
      <c r="D64">
        <v>0.8</v>
      </c>
      <c r="E64">
        <v>0</v>
      </c>
      <c r="F64">
        <v>0</v>
      </c>
      <c r="G64">
        <v>0</v>
      </c>
      <c r="H64">
        <v>0</v>
      </c>
      <c r="I64">
        <v>0.8</v>
      </c>
      <c r="J64">
        <v>0</v>
      </c>
      <c r="K64">
        <v>0</v>
      </c>
      <c r="L64">
        <v>0.8</v>
      </c>
    </row>
    <row r="65" spans="1:12" x14ac:dyDescent="0.15">
      <c r="A65">
        <v>64</v>
      </c>
      <c r="B65" s="192" t="s">
        <v>255</v>
      </c>
      <c r="C65">
        <v>0.8</v>
      </c>
      <c r="D65">
        <v>0.8</v>
      </c>
      <c r="E65">
        <v>0</v>
      </c>
      <c r="F65">
        <v>0</v>
      </c>
      <c r="G65">
        <v>0</v>
      </c>
      <c r="H65">
        <v>0</v>
      </c>
      <c r="I65">
        <v>0</v>
      </c>
      <c r="J65">
        <v>0</v>
      </c>
      <c r="K65">
        <v>0</v>
      </c>
      <c r="L65">
        <v>0.8</v>
      </c>
    </row>
    <row r="66" spans="1:12" x14ac:dyDescent="0.15">
      <c r="A66">
        <v>65</v>
      </c>
      <c r="B66" s="192" t="s">
        <v>256</v>
      </c>
      <c r="C66">
        <v>0</v>
      </c>
      <c r="D66">
        <v>0.8</v>
      </c>
      <c r="E66">
        <v>0</v>
      </c>
      <c r="F66">
        <v>0</v>
      </c>
      <c r="G66">
        <v>0</v>
      </c>
      <c r="H66">
        <v>0</v>
      </c>
      <c r="I66">
        <v>0</v>
      </c>
      <c r="J66">
        <v>0</v>
      </c>
      <c r="K66">
        <v>0</v>
      </c>
      <c r="L66">
        <v>0</v>
      </c>
    </row>
    <row r="67" spans="1:12" x14ac:dyDescent="0.15">
      <c r="A67">
        <v>66</v>
      </c>
      <c r="B67" s="192" t="s">
        <v>257</v>
      </c>
      <c r="C67">
        <v>0.8</v>
      </c>
      <c r="D67">
        <v>0.8</v>
      </c>
      <c r="E67">
        <v>0</v>
      </c>
      <c r="F67">
        <v>0</v>
      </c>
      <c r="G67">
        <v>0</v>
      </c>
      <c r="H67">
        <v>0</v>
      </c>
      <c r="I67">
        <v>0</v>
      </c>
      <c r="J67">
        <v>0</v>
      </c>
      <c r="K67">
        <v>0</v>
      </c>
      <c r="L67">
        <v>0.8</v>
      </c>
    </row>
    <row r="68" spans="1:12" x14ac:dyDescent="0.15">
      <c r="A68">
        <v>67</v>
      </c>
      <c r="B68" s="192" t="s">
        <v>258</v>
      </c>
      <c r="C68">
        <v>0</v>
      </c>
      <c r="D68">
        <v>0</v>
      </c>
      <c r="E68">
        <v>0</v>
      </c>
      <c r="F68">
        <v>0</v>
      </c>
      <c r="G68">
        <v>0</v>
      </c>
      <c r="H68">
        <v>0</v>
      </c>
      <c r="I68">
        <v>0</v>
      </c>
      <c r="J68">
        <v>0</v>
      </c>
      <c r="K68">
        <v>0</v>
      </c>
      <c r="L68">
        <v>0</v>
      </c>
    </row>
    <row r="69" spans="1:12" x14ac:dyDescent="0.15">
      <c r="A69">
        <v>68</v>
      </c>
      <c r="B69" s="192" t="s">
        <v>259</v>
      </c>
      <c r="C69">
        <v>0</v>
      </c>
      <c r="D69">
        <v>0</v>
      </c>
      <c r="E69">
        <v>0</v>
      </c>
      <c r="F69">
        <v>0</v>
      </c>
      <c r="G69">
        <v>0</v>
      </c>
      <c r="H69">
        <v>0</v>
      </c>
      <c r="I69">
        <v>0</v>
      </c>
      <c r="J69">
        <v>0</v>
      </c>
      <c r="K69">
        <v>0</v>
      </c>
      <c r="L69">
        <v>0</v>
      </c>
    </row>
    <row r="70" spans="1:12" x14ac:dyDescent="0.15">
      <c r="A70">
        <v>69</v>
      </c>
      <c r="B70" s="192" t="s">
        <v>260</v>
      </c>
      <c r="C70">
        <v>0.8</v>
      </c>
      <c r="D70">
        <v>0.8</v>
      </c>
      <c r="E70">
        <v>0</v>
      </c>
      <c r="F70">
        <v>0</v>
      </c>
      <c r="G70">
        <v>0</v>
      </c>
      <c r="H70">
        <v>0</v>
      </c>
      <c r="I70">
        <v>0</v>
      </c>
      <c r="J70">
        <v>0</v>
      </c>
      <c r="K70">
        <v>0</v>
      </c>
      <c r="L70">
        <v>0.8</v>
      </c>
    </row>
    <row r="71" spans="1:12" x14ac:dyDescent="0.15">
      <c r="A71">
        <v>70</v>
      </c>
      <c r="B71" s="192" t="s">
        <v>261</v>
      </c>
      <c r="C71">
        <v>0.8</v>
      </c>
      <c r="D71">
        <v>0.8</v>
      </c>
      <c r="E71">
        <v>0</v>
      </c>
      <c r="F71">
        <v>0</v>
      </c>
      <c r="G71">
        <v>0</v>
      </c>
      <c r="H71">
        <v>0</v>
      </c>
      <c r="I71">
        <v>0</v>
      </c>
      <c r="J71">
        <v>0</v>
      </c>
      <c r="K71">
        <v>0</v>
      </c>
      <c r="L71">
        <v>0.8</v>
      </c>
    </row>
    <row r="72" spans="1:12" x14ac:dyDescent="0.15">
      <c r="A72">
        <v>71</v>
      </c>
      <c r="B72" s="192" t="s">
        <v>262</v>
      </c>
      <c r="C72">
        <v>0</v>
      </c>
      <c r="D72">
        <v>0</v>
      </c>
      <c r="E72">
        <v>0</v>
      </c>
      <c r="F72">
        <v>0</v>
      </c>
      <c r="G72">
        <v>0</v>
      </c>
      <c r="H72">
        <v>0</v>
      </c>
      <c r="I72">
        <v>0</v>
      </c>
      <c r="J72">
        <v>0</v>
      </c>
      <c r="K72">
        <v>0</v>
      </c>
      <c r="L72">
        <v>0</v>
      </c>
    </row>
    <row r="73" spans="1:12" x14ac:dyDescent="0.15">
      <c r="A73">
        <v>72</v>
      </c>
      <c r="B73" s="192" t="s">
        <v>263</v>
      </c>
      <c r="C73">
        <v>0</v>
      </c>
      <c r="D73">
        <v>0</v>
      </c>
      <c r="E73">
        <v>0</v>
      </c>
      <c r="F73">
        <v>0</v>
      </c>
      <c r="G73">
        <v>0</v>
      </c>
      <c r="H73">
        <v>0</v>
      </c>
      <c r="I73">
        <v>0</v>
      </c>
      <c r="J73">
        <v>0</v>
      </c>
      <c r="K73">
        <v>0</v>
      </c>
      <c r="L73">
        <v>0</v>
      </c>
    </row>
    <row r="74" spans="1:12" x14ac:dyDescent="0.15">
      <c r="A74">
        <v>73</v>
      </c>
      <c r="B74" s="192" t="s">
        <v>264</v>
      </c>
      <c r="C74">
        <v>0</v>
      </c>
      <c r="D74">
        <v>0</v>
      </c>
      <c r="E74">
        <v>0</v>
      </c>
      <c r="F74">
        <v>0</v>
      </c>
      <c r="G74">
        <v>0</v>
      </c>
      <c r="H74">
        <v>0</v>
      </c>
      <c r="I74">
        <v>0</v>
      </c>
      <c r="J74">
        <v>0</v>
      </c>
      <c r="K74">
        <v>0</v>
      </c>
      <c r="L74">
        <v>0</v>
      </c>
    </row>
    <row r="75" spans="1:12" x14ac:dyDescent="0.15">
      <c r="A75">
        <v>74</v>
      </c>
      <c r="B75" s="192" t="s">
        <v>265</v>
      </c>
      <c r="C75">
        <v>0</v>
      </c>
      <c r="D75">
        <v>0</v>
      </c>
      <c r="E75">
        <v>0</v>
      </c>
      <c r="F75">
        <v>0</v>
      </c>
      <c r="G75">
        <v>0</v>
      </c>
      <c r="H75">
        <v>0</v>
      </c>
      <c r="I75">
        <v>0</v>
      </c>
      <c r="J75">
        <v>0</v>
      </c>
      <c r="K75">
        <v>0</v>
      </c>
      <c r="L75">
        <v>0</v>
      </c>
    </row>
    <row r="76" spans="1:12" x14ac:dyDescent="0.15">
      <c r="A76">
        <v>75</v>
      </c>
      <c r="B76" s="192" t="s">
        <v>266</v>
      </c>
      <c r="C76">
        <v>0</v>
      </c>
      <c r="D76">
        <v>0</v>
      </c>
      <c r="E76">
        <v>0</v>
      </c>
      <c r="F76">
        <v>0</v>
      </c>
      <c r="G76">
        <v>0</v>
      </c>
      <c r="H76">
        <v>0</v>
      </c>
      <c r="I76">
        <v>0</v>
      </c>
      <c r="J76">
        <v>0</v>
      </c>
      <c r="K76">
        <v>0</v>
      </c>
      <c r="L76">
        <v>0</v>
      </c>
    </row>
    <row r="77" spans="1:12" x14ac:dyDescent="0.15">
      <c r="A77">
        <v>76</v>
      </c>
      <c r="B77" s="192" t="s">
        <v>267</v>
      </c>
      <c r="C77">
        <v>0</v>
      </c>
      <c r="D77">
        <v>0</v>
      </c>
      <c r="E77">
        <v>0</v>
      </c>
      <c r="F77">
        <v>0</v>
      </c>
      <c r="G77">
        <v>0</v>
      </c>
      <c r="H77">
        <v>0</v>
      </c>
      <c r="I77">
        <v>0</v>
      </c>
      <c r="J77">
        <v>0</v>
      </c>
      <c r="K77">
        <v>0</v>
      </c>
      <c r="L77">
        <v>0</v>
      </c>
    </row>
    <row r="78" spans="1:12" x14ac:dyDescent="0.15">
      <c r="A78">
        <v>77</v>
      </c>
      <c r="B78" s="192" t="s">
        <v>268</v>
      </c>
      <c r="C78">
        <v>0</v>
      </c>
      <c r="D78">
        <v>0</v>
      </c>
      <c r="E78">
        <v>0</v>
      </c>
      <c r="F78">
        <v>0</v>
      </c>
      <c r="G78">
        <v>0</v>
      </c>
      <c r="H78">
        <v>0</v>
      </c>
      <c r="I78">
        <v>0</v>
      </c>
      <c r="J78">
        <v>0</v>
      </c>
      <c r="K78">
        <v>0</v>
      </c>
      <c r="L78">
        <v>0</v>
      </c>
    </row>
    <row r="79" spans="1:12" x14ac:dyDescent="0.15">
      <c r="A79">
        <v>78</v>
      </c>
      <c r="B79" s="192" t="s">
        <v>269</v>
      </c>
      <c r="C79">
        <v>0</v>
      </c>
      <c r="D79">
        <v>0.8</v>
      </c>
      <c r="E79">
        <v>0</v>
      </c>
      <c r="F79">
        <v>0</v>
      </c>
      <c r="G79">
        <v>0</v>
      </c>
      <c r="H79">
        <v>0</v>
      </c>
      <c r="I79">
        <v>0</v>
      </c>
      <c r="J79">
        <v>0</v>
      </c>
      <c r="K79">
        <v>0</v>
      </c>
      <c r="L79">
        <v>0</v>
      </c>
    </row>
    <row r="80" spans="1:12" x14ac:dyDescent="0.15">
      <c r="A80">
        <v>79</v>
      </c>
      <c r="B80" s="192" t="s">
        <v>270</v>
      </c>
      <c r="C80">
        <v>0</v>
      </c>
      <c r="D80">
        <v>0</v>
      </c>
      <c r="E80">
        <v>0</v>
      </c>
      <c r="F80">
        <v>0</v>
      </c>
      <c r="G80">
        <v>0</v>
      </c>
      <c r="H80">
        <v>0</v>
      </c>
      <c r="I80">
        <v>0</v>
      </c>
      <c r="J80">
        <v>0</v>
      </c>
      <c r="K80">
        <v>0</v>
      </c>
      <c r="L80">
        <v>0</v>
      </c>
    </row>
    <row r="81" spans="1:12" x14ac:dyDescent="0.15">
      <c r="A81">
        <v>80</v>
      </c>
      <c r="B81" s="192" t="s">
        <v>271</v>
      </c>
      <c r="C81">
        <v>0</v>
      </c>
      <c r="D81">
        <v>0</v>
      </c>
      <c r="E81">
        <v>0</v>
      </c>
      <c r="F81">
        <v>0</v>
      </c>
      <c r="G81">
        <v>0</v>
      </c>
      <c r="H81">
        <v>0</v>
      </c>
      <c r="I81">
        <v>0</v>
      </c>
      <c r="J81">
        <v>0</v>
      </c>
      <c r="K81">
        <v>0</v>
      </c>
      <c r="L81">
        <v>0</v>
      </c>
    </row>
    <row r="82" spans="1:12" x14ac:dyDescent="0.15">
      <c r="A82">
        <v>81</v>
      </c>
      <c r="B82" s="192" t="s">
        <v>272</v>
      </c>
      <c r="C82">
        <v>0</v>
      </c>
      <c r="D82">
        <v>0</v>
      </c>
      <c r="E82">
        <v>0</v>
      </c>
      <c r="F82">
        <v>0</v>
      </c>
      <c r="G82">
        <v>0</v>
      </c>
      <c r="H82">
        <v>0</v>
      </c>
      <c r="I82">
        <v>0</v>
      </c>
      <c r="J82">
        <v>0</v>
      </c>
      <c r="K82">
        <v>0</v>
      </c>
      <c r="L82">
        <v>0</v>
      </c>
    </row>
    <row r="83" spans="1:12" x14ac:dyDescent="0.15">
      <c r="A83">
        <v>82</v>
      </c>
      <c r="B83" s="192" t="s">
        <v>273</v>
      </c>
      <c r="C83">
        <v>0</v>
      </c>
      <c r="D83">
        <v>0</v>
      </c>
      <c r="E83">
        <v>0</v>
      </c>
      <c r="F83">
        <v>0</v>
      </c>
      <c r="G83">
        <v>0</v>
      </c>
      <c r="H83">
        <v>0</v>
      </c>
      <c r="I83">
        <v>0</v>
      </c>
      <c r="J83">
        <v>0</v>
      </c>
      <c r="K83">
        <v>0</v>
      </c>
      <c r="L83">
        <v>0</v>
      </c>
    </row>
    <row r="84" spans="1:12" x14ac:dyDescent="0.15">
      <c r="A84">
        <v>83</v>
      </c>
      <c r="B84" s="192" t="s">
        <v>274</v>
      </c>
      <c r="C84">
        <v>0</v>
      </c>
      <c r="D84">
        <v>0</v>
      </c>
      <c r="E84">
        <v>0</v>
      </c>
      <c r="F84">
        <v>0</v>
      </c>
      <c r="G84">
        <v>0</v>
      </c>
      <c r="H84">
        <v>0</v>
      </c>
      <c r="I84">
        <v>0</v>
      </c>
      <c r="J84">
        <v>0</v>
      </c>
      <c r="K84">
        <v>0</v>
      </c>
      <c r="L84">
        <v>0</v>
      </c>
    </row>
    <row r="85" spans="1:12" x14ac:dyDescent="0.15">
      <c r="A85">
        <v>84</v>
      </c>
      <c r="B85" s="192" t="s">
        <v>275</v>
      </c>
      <c r="C85">
        <v>0</v>
      </c>
      <c r="D85">
        <v>0</v>
      </c>
      <c r="E85">
        <v>0</v>
      </c>
      <c r="F85">
        <v>0</v>
      </c>
      <c r="G85">
        <v>0</v>
      </c>
      <c r="H85">
        <v>0</v>
      </c>
      <c r="I85">
        <v>0</v>
      </c>
      <c r="J85">
        <v>0</v>
      </c>
      <c r="K85">
        <v>0</v>
      </c>
      <c r="L85">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tabSelected="1" workbookViewId="0">
      <pane xSplit="2" ySplit="1" topLeftCell="C2" activePane="bottomRight" state="frozen"/>
      <selection pane="topRight" activeCell="C1" sqref="C1"/>
      <selection pane="bottomLeft" activeCell="A3" sqref="A3"/>
      <selection pane="bottomRight" activeCell="K3" sqref="K3"/>
    </sheetView>
  </sheetViews>
  <sheetFormatPr baseColWidth="10" defaultColWidth="8.83203125" defaultRowHeight="15" customHeight="1" x14ac:dyDescent="0.15"/>
  <cols>
    <col min="1" max="1" width="8.83203125" style="84"/>
    <col min="2" max="2" width="41.83203125" style="84" bestFit="1" customWidth="1"/>
    <col min="3" max="3" width="9.33203125" style="84" bestFit="1" customWidth="1"/>
    <col min="4" max="4" width="13" style="84" bestFit="1" customWidth="1"/>
    <col min="5" max="6" width="9.33203125" style="84" bestFit="1" customWidth="1"/>
    <col min="7" max="7" width="9.33203125" style="99" bestFit="1" customWidth="1"/>
    <col min="8" max="8" width="9.33203125" style="84" bestFit="1" customWidth="1"/>
    <col min="9" max="9" width="11" style="84" customWidth="1"/>
    <col min="10" max="10" width="8.83203125" style="84"/>
    <col min="15" max="16384" width="8.83203125" style="84"/>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145">
        <v>1</v>
      </c>
      <c r="B2" s="145" t="s">
        <v>192</v>
      </c>
      <c r="C2" s="8">
        <v>4.7643284797668457</v>
      </c>
      <c r="D2" s="9">
        <v>1.449999981559813E-3</v>
      </c>
      <c r="E2" s="9">
        <v>0.10000000149011612</v>
      </c>
      <c r="F2" s="9">
        <v>41.069999694824219</v>
      </c>
      <c r="G2" s="9">
        <v>2.3142413701862097E-3</v>
      </c>
      <c r="H2" s="9">
        <v>2.4348674342036247E-3</v>
      </c>
      <c r="I2">
        <v>3.3556500511622289E-7</v>
      </c>
      <c r="J2"/>
    </row>
    <row r="3" spans="1:10" ht="15" customHeight="1" x14ac:dyDescent="0.15">
      <c r="A3" s="146">
        <v>2</v>
      </c>
      <c r="B3" s="146" t="s">
        <v>193</v>
      </c>
      <c r="C3" s="8">
        <v>2</v>
      </c>
      <c r="D3" s="9">
        <v>3.1999999191612005E-4</v>
      </c>
      <c r="E3" s="9">
        <v>7.9999998211860657E-2</v>
      </c>
      <c r="F3" s="9">
        <v>36.5</v>
      </c>
      <c r="G3" s="9">
        <v>0.70312505960464478</v>
      </c>
      <c r="H3" s="9">
        <v>2.1917808335274458E-3</v>
      </c>
      <c r="I3">
        <v>1.8000000636675395E-5</v>
      </c>
      <c r="J3"/>
    </row>
    <row r="4" spans="1:10" ht="15" customHeight="1" x14ac:dyDescent="0.15">
      <c r="A4" s="147">
        <v>3</v>
      </c>
      <c r="B4" s="147" t="s">
        <v>194</v>
      </c>
      <c r="C4" s="8">
        <v>4.8548765182495117</v>
      </c>
      <c r="D4" s="9">
        <v>1.0299999848939478E-4</v>
      </c>
      <c r="E4" s="9">
        <v>0.31799998879432678</v>
      </c>
      <c r="F4" s="9">
        <v>2.0799999237060547</v>
      </c>
      <c r="G4" s="7">
        <v>0</v>
      </c>
      <c r="H4" s="9">
        <v>0.15288461744785309</v>
      </c>
      <c r="I4">
        <v>0</v>
      </c>
      <c r="J4"/>
    </row>
    <row r="5" spans="1:10" ht="15" customHeight="1" x14ac:dyDescent="0.15">
      <c r="A5" s="148">
        <v>4</v>
      </c>
      <c r="B5" s="148" t="s">
        <v>195</v>
      </c>
      <c r="C5" s="8">
        <v>2.8875973224639893</v>
      </c>
      <c r="D5" s="9">
        <v>2.3000000510364771E-4</v>
      </c>
      <c r="E5" s="9">
        <v>0.19200000166893005</v>
      </c>
      <c r="F5" s="9">
        <v>3.5</v>
      </c>
      <c r="G5" s="9">
        <v>0.71906590461730957</v>
      </c>
      <c r="H5" s="9">
        <v>5.4857142269611359E-2</v>
      </c>
      <c r="I5">
        <v>2.9999999242136255E-5</v>
      </c>
      <c r="J5"/>
    </row>
    <row r="6" spans="1:10" ht="15" customHeight="1" x14ac:dyDescent="0.15">
      <c r="A6" s="149">
        <v>5</v>
      </c>
      <c r="B6" s="149" t="s">
        <v>196</v>
      </c>
      <c r="C6" s="8">
        <v>5.0407781600952148</v>
      </c>
      <c r="D6" s="9">
        <v>2.099999925121665E-3</v>
      </c>
      <c r="E6" s="9">
        <v>0.69999998807907104</v>
      </c>
      <c r="F6" s="9">
        <v>6.3000001907348633</v>
      </c>
      <c r="G6" s="9">
        <v>4.4213607907295227E-2</v>
      </c>
      <c r="H6" s="9">
        <v>0.1111111044883728</v>
      </c>
      <c r="I6">
        <v>6.4993997511919588E-5</v>
      </c>
      <c r="J6"/>
    </row>
    <row r="7" spans="1:10" ht="15" customHeight="1" x14ac:dyDescent="0.15">
      <c r="A7" s="150">
        <v>6</v>
      </c>
      <c r="B7" s="150" t="s">
        <v>197</v>
      </c>
      <c r="C7" s="8">
        <v>5.0058693885803223</v>
      </c>
      <c r="D7" s="9">
        <v>2.9999999242136255E-5</v>
      </c>
      <c r="E7" s="9">
        <v>7.9999998211860657E-2</v>
      </c>
      <c r="F7" s="9">
        <v>36.700000762939453</v>
      </c>
      <c r="G7" s="7">
        <v>0</v>
      </c>
      <c r="H7" s="9">
        <v>2.1798363886773586E-3</v>
      </c>
      <c r="I7">
        <v>0</v>
      </c>
      <c r="J7"/>
    </row>
    <row r="8" spans="1:10" ht="15" customHeight="1" x14ac:dyDescent="0.15">
      <c r="A8" s="151">
        <v>7</v>
      </c>
      <c r="B8" s="151" t="s">
        <v>198</v>
      </c>
      <c r="C8" s="8">
        <v>4.8841462135314941</v>
      </c>
      <c r="D8" s="9">
        <v>2.0200000144541264E-3</v>
      </c>
      <c r="E8" s="9">
        <v>7.9999998211860657E-2</v>
      </c>
      <c r="F8" s="9">
        <v>33.799999237060547</v>
      </c>
      <c r="G8" s="7">
        <v>0</v>
      </c>
      <c r="H8" s="9">
        <v>2.3668638896197081E-3</v>
      </c>
      <c r="I8">
        <v>0</v>
      </c>
      <c r="J8"/>
    </row>
    <row r="9" spans="1:10" ht="15" customHeight="1" x14ac:dyDescent="0.15">
      <c r="A9" s="152">
        <v>8</v>
      </c>
      <c r="B9" s="152" t="s">
        <v>199</v>
      </c>
      <c r="C9" s="8">
        <v>4.6930780410766602</v>
      </c>
      <c r="D9" s="9">
        <v>3.3999999868683517E-4</v>
      </c>
      <c r="E9" s="9">
        <v>0.20399999618530273</v>
      </c>
      <c r="F9" s="9">
        <v>47.5</v>
      </c>
      <c r="G9" s="7">
        <v>0</v>
      </c>
      <c r="H9" s="9">
        <v>4.2947367765009403E-3</v>
      </c>
      <c r="I9">
        <v>0</v>
      </c>
      <c r="J9"/>
    </row>
    <row r="10" spans="1:10" ht="15" customHeight="1" x14ac:dyDescent="0.15">
      <c r="A10" s="153">
        <v>9</v>
      </c>
      <c r="B10" s="153" t="s">
        <v>200</v>
      </c>
      <c r="C10" s="8">
        <v>4.5707383155822754</v>
      </c>
      <c r="D10" s="9">
        <v>3.6000000545755029E-4</v>
      </c>
      <c r="E10" s="9">
        <v>0.15999999642372131</v>
      </c>
      <c r="F10" s="9">
        <v>65.099998474121094</v>
      </c>
      <c r="G10" s="7">
        <v>0</v>
      </c>
      <c r="H10" s="9">
        <v>2.4577572476118803E-3</v>
      </c>
      <c r="I10">
        <v>0</v>
      </c>
      <c r="J10"/>
    </row>
    <row r="11" spans="1:10" ht="15" customHeight="1" x14ac:dyDescent="0.15">
      <c r="A11" s="154">
        <v>10</v>
      </c>
      <c r="B11" s="154" t="s">
        <v>201</v>
      </c>
      <c r="C11" s="8">
        <v>4.6836934089660645</v>
      </c>
      <c r="D11" s="9">
        <v>0.17709335684776306</v>
      </c>
      <c r="E11" s="9">
        <v>0.32600000500679016</v>
      </c>
      <c r="F11" s="9">
        <v>4.0479545593261719</v>
      </c>
      <c r="G11" s="9">
        <v>1.4152823016047478E-2</v>
      </c>
      <c r="H11" s="9">
        <v>8.0534502863883972E-2</v>
      </c>
      <c r="I11">
        <v>8.170769433490932E-4</v>
      </c>
      <c r="J11"/>
    </row>
    <row r="12" spans="1:10" ht="15" customHeight="1" x14ac:dyDescent="0.15">
      <c r="A12" s="155">
        <v>11</v>
      </c>
      <c r="B12" s="155" t="s">
        <v>202</v>
      </c>
      <c r="C12" s="8">
        <v>4.6617074012756348</v>
      </c>
      <c r="D12" s="9">
        <v>1.8155999481678009E-2</v>
      </c>
      <c r="E12" s="9">
        <v>0.57899999618530273</v>
      </c>
      <c r="F12" s="9">
        <v>4.9000000953674316</v>
      </c>
      <c r="G12" s="9">
        <v>0.8874174952507019</v>
      </c>
      <c r="H12" s="9">
        <v>0.11816326528787613</v>
      </c>
      <c r="I12">
        <v>1.317999931416125E-6</v>
      </c>
      <c r="J12"/>
    </row>
    <row r="13" spans="1:10" ht="15" customHeight="1" x14ac:dyDescent="0.15">
      <c r="A13" s="156">
        <v>12</v>
      </c>
      <c r="B13" s="156" t="s">
        <v>203</v>
      </c>
      <c r="C13" s="8">
        <v>4.7084226608276367</v>
      </c>
      <c r="D13" s="9">
        <v>0.24951200187206268</v>
      </c>
      <c r="E13" s="9">
        <v>0.43500000238418579</v>
      </c>
      <c r="F13" s="9">
        <v>4.5999999046325684</v>
      </c>
      <c r="G13" s="9">
        <v>1.3555655023083091E-3</v>
      </c>
      <c r="H13" s="9">
        <v>9.4565220177173615E-2</v>
      </c>
      <c r="I13">
        <v>1.4712999109178782E-4</v>
      </c>
      <c r="J13"/>
    </row>
    <row r="14" spans="1:10" ht="15" customHeight="1" x14ac:dyDescent="0.15">
      <c r="A14" s="157">
        <v>13</v>
      </c>
      <c r="B14" s="157" t="s">
        <v>204</v>
      </c>
      <c r="C14" s="8">
        <v>4.6781020164489746</v>
      </c>
      <c r="D14" s="9">
        <v>3.38962790556252E-3</v>
      </c>
      <c r="E14" s="9">
        <v>0.59799998998641968</v>
      </c>
      <c r="F14" s="9">
        <v>8.5780000686645508</v>
      </c>
      <c r="G14" s="9">
        <v>0.43095991015434265</v>
      </c>
      <c r="H14" s="9">
        <v>6.9713220000267029E-2</v>
      </c>
      <c r="I14">
        <v>8.7355461437255144E-4</v>
      </c>
      <c r="J14"/>
    </row>
    <row r="15" spans="1:10" ht="15" customHeight="1" x14ac:dyDescent="0.15">
      <c r="A15" s="158">
        <v>14</v>
      </c>
      <c r="B15" s="158" t="s">
        <v>205</v>
      </c>
      <c r="C15" s="8">
        <v>4.5510249137878418</v>
      </c>
      <c r="D15" s="9">
        <v>0.48165103793144226</v>
      </c>
      <c r="E15" s="9">
        <v>1.3049999475479126</v>
      </c>
      <c r="F15" s="9">
        <v>7.4843001365661621</v>
      </c>
      <c r="G15" s="9">
        <v>1.6942366492003202E-3</v>
      </c>
      <c r="H15" s="9">
        <v>0.17436499893665314</v>
      </c>
      <c r="I15">
        <v>1.0649202158674598E-3</v>
      </c>
      <c r="J15"/>
    </row>
    <row r="16" spans="1:10" ht="15" customHeight="1" x14ac:dyDescent="0.15">
      <c r="A16" s="159">
        <v>15</v>
      </c>
      <c r="B16" s="159" t="s">
        <v>206</v>
      </c>
      <c r="C16" s="8">
        <v>4.6761288642883301</v>
      </c>
      <c r="D16" s="9">
        <v>3.3614695072174072E-2</v>
      </c>
      <c r="E16" s="9">
        <v>0.55900001525878906</v>
      </c>
      <c r="F16" s="9">
        <v>4.6500000953674316</v>
      </c>
      <c r="G16" s="9">
        <v>1.1930943466722965E-2</v>
      </c>
      <c r="H16" s="9">
        <v>0.12021505087614059</v>
      </c>
      <c r="I16">
        <v>2.2418977459892631E-4</v>
      </c>
      <c r="J16"/>
    </row>
    <row r="17" spans="1:10" ht="15" customHeight="1" x14ac:dyDescent="0.15">
      <c r="A17" s="160">
        <v>16</v>
      </c>
      <c r="B17" s="160" t="s">
        <v>207</v>
      </c>
      <c r="C17" s="8">
        <v>4.5521516799926758</v>
      </c>
      <c r="D17" s="9">
        <v>5.000000074505806E-2</v>
      </c>
      <c r="E17" s="9">
        <v>0.26199999451637268</v>
      </c>
      <c r="F17" s="9">
        <v>2.6600000858306885</v>
      </c>
      <c r="G17" s="9">
        <v>0.17124424874782562</v>
      </c>
      <c r="H17" s="9">
        <v>9.8496235907077789E-2</v>
      </c>
      <c r="I17">
        <v>2.2432997357100248E-3</v>
      </c>
      <c r="J17"/>
    </row>
    <row r="18" spans="1:10" ht="15" customHeight="1" x14ac:dyDescent="0.15">
      <c r="A18" s="161">
        <v>17</v>
      </c>
      <c r="B18" s="161" t="s">
        <v>208</v>
      </c>
      <c r="C18" s="8">
        <v>4.6295766830444336</v>
      </c>
      <c r="D18" s="9">
        <v>2.8000000747852027E-4</v>
      </c>
      <c r="E18" s="9">
        <v>0.37000000476837158</v>
      </c>
      <c r="F18" s="9">
        <v>7.7666668891906738</v>
      </c>
      <c r="G18" s="9">
        <v>0.61422508955001831</v>
      </c>
      <c r="H18" s="9">
        <v>4.7639485448598862E-2</v>
      </c>
      <c r="I18">
        <v>6.3633720856159925E-5</v>
      </c>
      <c r="J18"/>
    </row>
    <row r="19" spans="1:10" ht="15" customHeight="1" x14ac:dyDescent="0.15">
      <c r="A19" s="162">
        <v>18</v>
      </c>
      <c r="B19" s="162" t="s">
        <v>209</v>
      </c>
      <c r="C19" s="8">
        <v>4.5952544212341309</v>
      </c>
      <c r="D19" s="9">
        <v>1.4999999664723873E-2</v>
      </c>
      <c r="E19" s="9">
        <v>0.70300000905990601</v>
      </c>
      <c r="F19" s="9">
        <v>12.904571533203125</v>
      </c>
      <c r="G19" s="9">
        <v>0.89841914176940918</v>
      </c>
      <c r="H19" s="9">
        <v>5.4476819932460785E-2</v>
      </c>
      <c r="I19">
        <v>2.4858755059540272E-3</v>
      </c>
      <c r="J19"/>
    </row>
    <row r="20" spans="1:10" ht="15" customHeight="1" x14ac:dyDescent="0.15">
      <c r="A20" s="163">
        <v>19</v>
      </c>
      <c r="B20" s="163" t="s">
        <v>210</v>
      </c>
      <c r="C20" s="8">
        <v>4.5238556861877441</v>
      </c>
      <c r="D20" s="9">
        <v>0.30000001192092896</v>
      </c>
      <c r="E20" s="9">
        <v>0.93800002336502075</v>
      </c>
      <c r="F20" s="9">
        <v>9.3500003814697266</v>
      </c>
      <c r="G20" s="9">
        <v>0.87416493892669678</v>
      </c>
      <c r="H20" s="9">
        <v>0.10032085329294205</v>
      </c>
      <c r="I20">
        <v>5.7290871627628803E-3</v>
      </c>
      <c r="J20"/>
    </row>
    <row r="21" spans="1:10" ht="15" customHeight="1" x14ac:dyDescent="0.15">
      <c r="A21" s="164">
        <v>20</v>
      </c>
      <c r="B21" s="164" t="s">
        <v>211</v>
      </c>
      <c r="C21" s="8">
        <v>4.4545755386352539</v>
      </c>
      <c r="D21" s="9">
        <v>0.12999999523162842</v>
      </c>
      <c r="E21" s="9">
        <v>1.0160000324249268</v>
      </c>
      <c r="F21" s="9">
        <v>16.151687622070312</v>
      </c>
      <c r="G21" s="9">
        <v>0.85498446226119995</v>
      </c>
      <c r="H21" s="9">
        <v>6.2903642654418945E-2</v>
      </c>
      <c r="I21">
        <v>1.6442631022073328E-4</v>
      </c>
      <c r="J21"/>
    </row>
    <row r="22" spans="1:10" ht="15" customHeight="1" x14ac:dyDescent="0.15">
      <c r="A22" s="165">
        <v>21</v>
      </c>
      <c r="B22" s="165" t="s">
        <v>212</v>
      </c>
      <c r="C22" s="8">
        <v>3.894406795501709</v>
      </c>
      <c r="D22" s="9">
        <v>0.69999998807907104</v>
      </c>
      <c r="E22" s="9">
        <v>1.1699999570846558</v>
      </c>
      <c r="F22" s="9">
        <v>7.2166666984558105</v>
      </c>
      <c r="G22" s="9">
        <v>0.94636601209640503</v>
      </c>
      <c r="H22" s="9">
        <v>0.16212470829486847</v>
      </c>
      <c r="I22">
        <v>1.9703442230820656E-3</v>
      </c>
      <c r="J22"/>
    </row>
    <row r="23" spans="1:10" ht="15" customHeight="1" x14ac:dyDescent="0.15">
      <c r="A23" s="166">
        <v>22</v>
      </c>
      <c r="B23" s="166" t="s">
        <v>213</v>
      </c>
      <c r="C23" s="8">
        <v>4.3458538055419922</v>
      </c>
      <c r="D23" s="9">
        <v>0.93821662664413452</v>
      </c>
      <c r="E23" s="9">
        <v>0.99500000476837158</v>
      </c>
      <c r="F23" s="9">
        <v>10.649999618530273</v>
      </c>
      <c r="G23" s="9">
        <v>0.2330871969461441</v>
      </c>
      <c r="H23" s="9">
        <v>9.3427233397960663E-2</v>
      </c>
      <c r="I23">
        <v>2.1836766973137856E-3</v>
      </c>
      <c r="J23"/>
    </row>
    <row r="24" spans="1:10" ht="15" customHeight="1" x14ac:dyDescent="0.15">
      <c r="A24" s="167">
        <v>23</v>
      </c>
      <c r="B24" s="167" t="s">
        <v>214</v>
      </c>
      <c r="C24" s="8">
        <v>4.340766429901123</v>
      </c>
      <c r="D24" s="9">
        <v>0.4734625518321991</v>
      </c>
      <c r="E24" s="9">
        <v>0.65200001001358032</v>
      </c>
      <c r="F24" s="9">
        <v>7.9854998588562012</v>
      </c>
      <c r="G24" s="9">
        <v>0.52420681715011597</v>
      </c>
      <c r="H24" s="9">
        <v>8.1647992134094238E-2</v>
      </c>
      <c r="I24">
        <v>5.5173464352265E-4</v>
      </c>
      <c r="J24"/>
    </row>
    <row r="25" spans="1:10" ht="15" customHeight="1" x14ac:dyDescent="0.15">
      <c r="A25" s="168">
        <v>24</v>
      </c>
      <c r="B25" s="168" t="s">
        <v>215</v>
      </c>
      <c r="C25" s="8">
        <v>4.4406194686889648</v>
      </c>
      <c r="D25" s="9">
        <v>1.1679999828338623</v>
      </c>
      <c r="E25" s="9">
        <v>0.88700002431869507</v>
      </c>
      <c r="F25" s="9">
        <v>5.1599998474121094</v>
      </c>
      <c r="G25" s="9">
        <v>1.4246125938370824E-3</v>
      </c>
      <c r="H25" s="9">
        <v>0.1718992292881012</v>
      </c>
      <c r="I25">
        <v>1.4759214827790856E-3</v>
      </c>
      <c r="J25"/>
    </row>
    <row r="26" spans="1:10" ht="15" customHeight="1" x14ac:dyDescent="0.15">
      <c r="A26" s="169">
        <v>25</v>
      </c>
      <c r="B26" s="169" t="s">
        <v>216</v>
      </c>
      <c r="C26" s="8">
        <v>3.7992842197418213</v>
      </c>
      <c r="D26" s="9">
        <v>1.6638855934143066</v>
      </c>
      <c r="E26" s="9">
        <v>1.2220000028610229</v>
      </c>
      <c r="F26" s="9">
        <v>6.4600000381469727</v>
      </c>
      <c r="G26" s="9">
        <v>4.8851240426301956E-2</v>
      </c>
      <c r="H26" s="9">
        <v>0.18916408717632294</v>
      </c>
      <c r="I26">
        <v>4.7554257325828075E-3</v>
      </c>
      <c r="J26"/>
    </row>
    <row r="27" spans="1:10" ht="15" customHeight="1" x14ac:dyDescent="0.15">
      <c r="A27" s="170">
        <v>26</v>
      </c>
      <c r="B27" s="170" t="s">
        <v>217</v>
      </c>
      <c r="C27" s="8">
        <v>3.6445727348327637</v>
      </c>
      <c r="D27" s="9">
        <v>3.2000000476837158</v>
      </c>
      <c r="E27" s="9">
        <v>2.25</v>
      </c>
      <c r="F27" s="9">
        <v>9.9411764144897461</v>
      </c>
      <c r="G27" s="9">
        <v>0.99328315258026123</v>
      </c>
      <c r="H27" s="9">
        <v>0.22633136808872223</v>
      </c>
      <c r="I27">
        <v>2.0587168633937836E-2</v>
      </c>
      <c r="J27"/>
    </row>
    <row r="28" spans="1:10" ht="15" customHeight="1" x14ac:dyDescent="0.15">
      <c r="A28" s="171">
        <v>27</v>
      </c>
      <c r="B28" s="171" t="s">
        <v>218</v>
      </c>
      <c r="C28" s="8">
        <v>3.760361909866333</v>
      </c>
      <c r="D28" s="9">
        <v>3.2000000476837158</v>
      </c>
      <c r="E28" s="9">
        <v>2.25</v>
      </c>
      <c r="F28" s="9">
        <v>13.081818580627441</v>
      </c>
      <c r="G28" s="9">
        <v>0.99365007877349854</v>
      </c>
      <c r="H28" s="9">
        <v>0.17199443280696869</v>
      </c>
      <c r="I28">
        <v>2.8802964836359024E-2</v>
      </c>
      <c r="J28"/>
    </row>
    <row r="29" spans="1:10" ht="15" customHeight="1" x14ac:dyDescent="0.15">
      <c r="A29" s="172">
        <v>28</v>
      </c>
      <c r="B29" s="172" t="s">
        <v>219</v>
      </c>
      <c r="C29" s="8">
        <v>3.3813056945800781</v>
      </c>
      <c r="D29" s="9">
        <v>1.2999999523162842</v>
      </c>
      <c r="E29" s="9">
        <v>1.9129999876022339</v>
      </c>
      <c r="F29" s="9">
        <v>12.100000381469727</v>
      </c>
      <c r="G29" s="9">
        <v>0.9007907509803772</v>
      </c>
      <c r="H29" s="9">
        <v>0.15809917449951172</v>
      </c>
      <c r="I29">
        <v>1.9977469928562641E-3</v>
      </c>
      <c r="J29"/>
    </row>
    <row r="30" spans="1:10" ht="15" customHeight="1" x14ac:dyDescent="0.15">
      <c r="A30" s="173">
        <v>29</v>
      </c>
      <c r="B30" s="173" t="s">
        <v>220</v>
      </c>
      <c r="C30" s="8">
        <v>4.5598797798156738</v>
      </c>
      <c r="D30" s="9">
        <v>0.43000000715255737</v>
      </c>
      <c r="E30" s="9">
        <v>1.684999942779541</v>
      </c>
      <c r="F30" s="9">
        <v>10.824999809265137</v>
      </c>
      <c r="G30" s="9">
        <v>0.74438118934631348</v>
      </c>
      <c r="H30" s="9">
        <v>0.15565820038318634</v>
      </c>
      <c r="I30">
        <v>1.179966889321804E-2</v>
      </c>
      <c r="J30"/>
    </row>
    <row r="31" spans="1:10" ht="15" customHeight="1" x14ac:dyDescent="0.15">
      <c r="A31" s="174">
        <v>30</v>
      </c>
      <c r="B31" s="174" t="s">
        <v>221</v>
      </c>
      <c r="C31" s="8">
        <v>3.8344545364379883</v>
      </c>
      <c r="D31" s="9">
        <v>1.5848468542098999</v>
      </c>
      <c r="E31" s="9">
        <v>1.5659999847412109</v>
      </c>
      <c r="F31" s="9">
        <v>11.493000030517578</v>
      </c>
      <c r="G31" s="9">
        <v>0.33559525012969971</v>
      </c>
      <c r="H31" s="9">
        <v>0.13625684380531311</v>
      </c>
      <c r="I31">
        <v>2.5724570732563734E-3</v>
      </c>
      <c r="J31"/>
    </row>
    <row r="32" spans="1:10" ht="15" customHeight="1" x14ac:dyDescent="0.15">
      <c r="A32" s="202">
        <v>31</v>
      </c>
      <c r="B32" s="202" t="s">
        <v>222</v>
      </c>
      <c r="C32" s="8">
        <v>3.5607578754425049</v>
      </c>
      <c r="D32" s="9">
        <v>10</v>
      </c>
      <c r="E32" s="9">
        <v>4.0999999046325684</v>
      </c>
      <c r="F32" s="9">
        <v>16.483333587646484</v>
      </c>
      <c r="G32" s="9">
        <v>0.98564183712005615</v>
      </c>
      <c r="H32" s="9">
        <v>0.24873608350753784</v>
      </c>
      <c r="I32">
        <v>2.0468349102884531E-3</v>
      </c>
      <c r="J32"/>
    </row>
    <row r="33" spans="1:10" ht="15" customHeight="1" x14ac:dyDescent="0.15">
      <c r="A33" s="203">
        <v>32</v>
      </c>
      <c r="B33" s="203" t="s">
        <v>223</v>
      </c>
      <c r="C33" s="8">
        <v>4.3174834251403809</v>
      </c>
      <c r="D33" s="9">
        <v>0.30065479874610901</v>
      </c>
      <c r="E33" s="9">
        <v>1.7979999780654907</v>
      </c>
      <c r="F33" s="9">
        <v>35.142856597900391</v>
      </c>
      <c r="G33" s="9">
        <v>0.2409750372171402</v>
      </c>
      <c r="H33" s="9">
        <v>5.1162600517272949E-2</v>
      </c>
      <c r="I33">
        <v>4.6203937381505966E-4</v>
      </c>
      <c r="J33"/>
    </row>
    <row r="34" spans="1:10" ht="15" customHeight="1" x14ac:dyDescent="0.15">
      <c r="A34" s="204">
        <v>33</v>
      </c>
      <c r="B34" s="204" t="s">
        <v>224</v>
      </c>
      <c r="C34" s="8">
        <v>3.4424746036529541</v>
      </c>
      <c r="D34" s="9">
        <v>0.21950000524520874</v>
      </c>
      <c r="E34" s="9">
        <v>3.2999999523162842</v>
      </c>
      <c r="F34" s="9">
        <v>17.440000534057617</v>
      </c>
      <c r="G34" s="9">
        <v>0.9653242826461792</v>
      </c>
      <c r="H34" s="9">
        <v>0.18922017514705658</v>
      </c>
      <c r="I34">
        <v>4.4890897697769105E-4</v>
      </c>
      <c r="J34"/>
    </row>
    <row r="35" spans="1:10" ht="15" customHeight="1" x14ac:dyDescent="0.15">
      <c r="A35" s="205">
        <v>34</v>
      </c>
      <c r="B35" s="205" t="s">
        <v>225</v>
      </c>
      <c r="C35" s="8">
        <v>4.1062159538269043</v>
      </c>
      <c r="D35" s="9">
        <v>0.89999997615814209</v>
      </c>
      <c r="E35" s="9">
        <v>0.50700002908706665</v>
      </c>
      <c r="F35" s="9">
        <v>3.5166666507720947</v>
      </c>
      <c r="G35" s="9">
        <v>2.6817091275006533E-3</v>
      </c>
      <c r="H35" s="9">
        <v>0.14417062699794769</v>
      </c>
      <c r="I35">
        <v>1.2148800306022167E-3</v>
      </c>
      <c r="J35"/>
    </row>
    <row r="36" spans="1:10" ht="15" customHeight="1" x14ac:dyDescent="0.15">
      <c r="A36" s="206">
        <v>35</v>
      </c>
      <c r="B36" s="206" t="s">
        <v>226</v>
      </c>
      <c r="C36" s="8">
        <v>4.0853271484375</v>
      </c>
      <c r="D36" s="9">
        <v>2.5</v>
      </c>
      <c r="E36" s="9">
        <v>0.92199999094009399</v>
      </c>
      <c r="F36" s="9">
        <v>6.4285712242126465</v>
      </c>
      <c r="G36" s="9">
        <v>0.15141493082046509</v>
      </c>
      <c r="H36" s="9">
        <v>0.14342223107814789</v>
      </c>
      <c r="I36">
        <v>1.0673677315935493E-3</v>
      </c>
      <c r="J36"/>
    </row>
    <row r="37" spans="1:10" ht="15" customHeight="1" x14ac:dyDescent="0.15">
      <c r="A37" s="207">
        <v>36</v>
      </c>
      <c r="B37" s="207" t="s">
        <v>227</v>
      </c>
      <c r="C37" s="8">
        <v>3.9490959644317627</v>
      </c>
      <c r="D37" s="9">
        <v>4.9255032539367676</v>
      </c>
      <c r="E37" s="9">
        <v>0.32800000905990601</v>
      </c>
      <c r="F37" s="9">
        <v>3.0999999046325684</v>
      </c>
      <c r="G37" s="9">
        <v>7.4679747922345996E-4</v>
      </c>
      <c r="H37" s="9">
        <v>0.10580645501613617</v>
      </c>
      <c r="I37">
        <v>1.2064999900758266E-3</v>
      </c>
      <c r="J37"/>
    </row>
    <row r="38" spans="1:10" ht="15" customHeight="1" x14ac:dyDescent="0.15">
      <c r="A38" s="208">
        <v>37</v>
      </c>
      <c r="B38" s="208" t="s">
        <v>228</v>
      </c>
      <c r="C38" s="8">
        <v>4.1692042350769043</v>
      </c>
      <c r="D38" s="9">
        <v>8.1655003130435944E-2</v>
      </c>
      <c r="E38" s="9">
        <v>0.5899999737739563</v>
      </c>
      <c r="F38" s="9">
        <v>4.8000001907348633</v>
      </c>
      <c r="G38" s="9">
        <v>4.4863331131637096E-3</v>
      </c>
      <c r="H38" s="9">
        <v>0.12291665375232697</v>
      </c>
      <c r="I38">
        <v>2.1613560966216028E-4</v>
      </c>
      <c r="J38"/>
    </row>
    <row r="39" spans="1:10" ht="15" customHeight="1" x14ac:dyDescent="0.15">
      <c r="A39" s="209">
        <v>38</v>
      </c>
      <c r="B39" s="209" t="s">
        <v>229</v>
      </c>
      <c r="C39" s="8">
        <v>3.1522388458251953</v>
      </c>
      <c r="D39" s="9">
        <v>0.15199999511241913</v>
      </c>
      <c r="E39" s="9">
        <v>0.15899999439716339</v>
      </c>
      <c r="F39" s="9">
        <v>3.4000000953674316</v>
      </c>
      <c r="G39" s="7">
        <v>0</v>
      </c>
      <c r="H39" s="9">
        <v>4.676470160484314E-2</v>
      </c>
      <c r="I39">
        <v>0</v>
      </c>
      <c r="J39"/>
    </row>
    <row r="40" spans="1:10" ht="15" customHeight="1" x14ac:dyDescent="0.15">
      <c r="A40" s="210">
        <v>39</v>
      </c>
      <c r="B40" s="210" t="s">
        <v>230</v>
      </c>
      <c r="C40" s="8">
        <v>3.7357797622680664</v>
      </c>
      <c r="D40" s="9">
        <v>0.55063587427139282</v>
      </c>
      <c r="E40" s="9">
        <v>1.7779999971389771</v>
      </c>
      <c r="F40" s="9">
        <v>7.9000000953674316</v>
      </c>
      <c r="G40" s="9">
        <v>0.90002882480621338</v>
      </c>
      <c r="H40" s="9">
        <v>0.22506329417228699</v>
      </c>
      <c r="I40">
        <v>3.0994348344393075E-4</v>
      </c>
      <c r="J40"/>
    </row>
    <row r="41" spans="1:10" ht="15" customHeight="1" x14ac:dyDescent="0.15">
      <c r="A41" s="211">
        <v>40</v>
      </c>
      <c r="B41" s="211" t="s">
        <v>231</v>
      </c>
      <c r="C41" s="8">
        <v>3.4062182903289795</v>
      </c>
      <c r="D41" s="9">
        <v>3.8880691528320312</v>
      </c>
      <c r="E41" s="9">
        <v>1.7779999971389771</v>
      </c>
      <c r="F41" s="9">
        <v>7.9000000953674316</v>
      </c>
      <c r="G41" s="9">
        <v>0.97000771760940552</v>
      </c>
      <c r="H41" s="9">
        <v>0.22506329417228699</v>
      </c>
      <c r="I41">
        <v>5.2691687596961856E-4</v>
      </c>
      <c r="J41"/>
    </row>
    <row r="42" spans="1:10" ht="15" customHeight="1" x14ac:dyDescent="0.15">
      <c r="A42" s="212">
        <v>41</v>
      </c>
      <c r="B42" s="212" t="s">
        <v>232</v>
      </c>
      <c r="C42" s="8">
        <v>3.2578542232513428</v>
      </c>
      <c r="D42" s="9">
        <v>2.802593469619751</v>
      </c>
      <c r="E42" s="9">
        <v>2.7000000476837158</v>
      </c>
      <c r="F42" s="9">
        <v>7.4320001602172852</v>
      </c>
      <c r="G42" s="9">
        <v>0.97007238864898682</v>
      </c>
      <c r="H42" s="9">
        <v>0.36329385638237</v>
      </c>
      <c r="I42">
        <v>1.1624876060523093E-4</v>
      </c>
      <c r="J42"/>
    </row>
    <row r="43" spans="1:10" ht="15" customHeight="1" x14ac:dyDescent="0.15">
      <c r="A43" s="213">
        <v>42</v>
      </c>
      <c r="B43" s="213" t="s">
        <v>233</v>
      </c>
      <c r="C43" s="8">
        <v>3.3095393180847168</v>
      </c>
      <c r="D43" s="9">
        <v>2.1386047825217247E-2</v>
      </c>
      <c r="E43" s="9">
        <v>3.7200000286102295</v>
      </c>
      <c r="F43" s="9">
        <v>43.888015747070312</v>
      </c>
      <c r="G43" s="9">
        <v>0.74982559680938721</v>
      </c>
      <c r="H43" s="9">
        <v>8.4761179983615875E-2</v>
      </c>
      <c r="I43">
        <v>2.9000000267842552E-7</v>
      </c>
      <c r="J43"/>
    </row>
    <row r="44" spans="1:10" ht="15" customHeight="1" x14ac:dyDescent="0.15">
      <c r="A44" s="214">
        <v>43</v>
      </c>
      <c r="B44" s="214" t="s">
        <v>234</v>
      </c>
      <c r="C44" s="8">
        <v>3.441476583480835</v>
      </c>
      <c r="D44" s="9">
        <v>3.7821948528289795E-2</v>
      </c>
      <c r="E44" s="9">
        <v>3.119999885559082</v>
      </c>
      <c r="F44" s="9">
        <v>27.180801391601562</v>
      </c>
      <c r="G44" s="9">
        <v>0.85665690898895264</v>
      </c>
      <c r="H44" s="9">
        <v>0.11478690057992935</v>
      </c>
      <c r="I44">
        <v>0</v>
      </c>
      <c r="J44"/>
    </row>
    <row r="45" spans="1:10" ht="15" customHeight="1" x14ac:dyDescent="0.15">
      <c r="A45" s="215">
        <v>44</v>
      </c>
      <c r="B45" s="215" t="s">
        <v>235</v>
      </c>
      <c r="C45" s="8">
        <v>3.3476026058197021</v>
      </c>
      <c r="D45" s="9">
        <v>0.15000000596046448</v>
      </c>
      <c r="E45" s="9">
        <v>3.2000000476837158</v>
      </c>
      <c r="F45" s="9">
        <v>19.200000762939453</v>
      </c>
      <c r="G45" s="9">
        <v>0.73921912908554077</v>
      </c>
      <c r="H45" s="9">
        <v>0.1666666567325592</v>
      </c>
      <c r="I45">
        <v>2.8722800780087709E-3</v>
      </c>
      <c r="J45"/>
    </row>
    <row r="46" spans="1:10" ht="15" customHeight="1" x14ac:dyDescent="0.15">
      <c r="A46" s="216">
        <v>45</v>
      </c>
      <c r="B46" s="216" t="s">
        <v>236</v>
      </c>
      <c r="C46" s="8">
        <v>3.2880151271820068</v>
      </c>
      <c r="D46" s="9">
        <v>1.3935689814388752E-2</v>
      </c>
      <c r="E46" s="9">
        <v>3.5</v>
      </c>
      <c r="F46" s="9">
        <v>45.304042816162109</v>
      </c>
      <c r="G46" s="9">
        <v>0.85386806726455688</v>
      </c>
      <c r="H46" s="9">
        <v>7.7255800366401672E-2</v>
      </c>
      <c r="I46">
        <v>0</v>
      </c>
      <c r="J46"/>
    </row>
    <row r="47" spans="1:10" ht="15" customHeight="1" x14ac:dyDescent="0.15">
      <c r="A47" s="217">
        <v>46</v>
      </c>
      <c r="B47" s="217" t="s">
        <v>237</v>
      </c>
      <c r="C47" s="8">
        <v>3.3106119632720947</v>
      </c>
      <c r="D47" s="9">
        <v>2.500000037252903E-2</v>
      </c>
      <c r="E47" s="9">
        <v>3.4000000953674316</v>
      </c>
      <c r="F47" s="9">
        <v>28.17662239074707</v>
      </c>
      <c r="G47" s="9">
        <v>0.79697251319885254</v>
      </c>
      <c r="H47" s="9">
        <v>0.12066741287708282</v>
      </c>
      <c r="I47">
        <v>0</v>
      </c>
      <c r="J47"/>
    </row>
    <row r="48" spans="1:10" ht="15" customHeight="1" x14ac:dyDescent="0.15">
      <c r="A48" s="218">
        <v>47</v>
      </c>
      <c r="B48" s="218" t="s">
        <v>238</v>
      </c>
      <c r="C48" s="8">
        <v>3.3061316013336182</v>
      </c>
      <c r="D48" s="9">
        <v>0.13979724049568176</v>
      </c>
      <c r="E48" s="9">
        <v>2.3399999141693115</v>
      </c>
      <c r="F48" s="9">
        <v>19.200000762939453</v>
      </c>
      <c r="G48" s="9">
        <v>0.89612597227096558</v>
      </c>
      <c r="H48" s="9">
        <v>0.12187498807907104</v>
      </c>
      <c r="I48">
        <v>1.0331399738788605E-2</v>
      </c>
      <c r="J48"/>
    </row>
    <row r="49" spans="1:10" ht="15" customHeight="1" x14ac:dyDescent="0.15">
      <c r="A49" s="219">
        <v>48</v>
      </c>
      <c r="B49" s="219" t="s">
        <v>239</v>
      </c>
      <c r="C49" s="8">
        <v>3.2929878234863281</v>
      </c>
      <c r="D49" s="9">
        <v>3.7298815250396729</v>
      </c>
      <c r="E49" s="9">
        <v>1.875</v>
      </c>
      <c r="F49" s="9">
        <v>25</v>
      </c>
      <c r="G49" s="9">
        <v>0.97033190727233887</v>
      </c>
      <c r="H49" s="9">
        <v>7.5000002980232239E-2</v>
      </c>
      <c r="I49">
        <v>2.4051300715655088E-3</v>
      </c>
      <c r="J49"/>
    </row>
    <row r="50" spans="1:10" ht="15" customHeight="1" x14ac:dyDescent="0.15">
      <c r="A50" s="220">
        <v>49</v>
      </c>
      <c r="B50" s="220" t="s">
        <v>240</v>
      </c>
      <c r="C50" s="8">
        <v>3.189584493637085</v>
      </c>
      <c r="D50" s="9">
        <v>3.4147543907165527</v>
      </c>
      <c r="E50" s="9">
        <v>2.5</v>
      </c>
      <c r="F50" s="9">
        <v>25</v>
      </c>
      <c r="G50" s="9">
        <v>0.97021853923797607</v>
      </c>
      <c r="H50" s="9">
        <v>0.10000000149011612</v>
      </c>
      <c r="I50">
        <v>0</v>
      </c>
      <c r="J50"/>
    </row>
    <row r="51" spans="1:10" ht="15" customHeight="1" x14ac:dyDescent="0.15">
      <c r="A51" s="221">
        <v>50</v>
      </c>
      <c r="B51" s="221" t="s">
        <v>241</v>
      </c>
      <c r="C51" s="8">
        <v>3.1911282539367676</v>
      </c>
      <c r="D51" s="9">
        <v>35.273807525634766</v>
      </c>
      <c r="E51" s="9">
        <v>2.2999999523162842</v>
      </c>
      <c r="F51" s="9">
        <v>25</v>
      </c>
      <c r="G51" s="9">
        <v>0.95040285587310791</v>
      </c>
      <c r="H51" s="9">
        <v>9.2000000178813934E-2</v>
      </c>
      <c r="I51">
        <v>5.0739594735205173E-4</v>
      </c>
      <c r="J51"/>
    </row>
    <row r="52" spans="1:10" ht="15" customHeight="1" x14ac:dyDescent="0.15">
      <c r="A52" s="222">
        <v>51</v>
      </c>
      <c r="B52" s="222" t="s">
        <v>242</v>
      </c>
      <c r="C52" s="8">
        <v>3.3287222385406494</v>
      </c>
      <c r="D52" s="9">
        <v>3.9999999105930328E-2</v>
      </c>
      <c r="E52" s="9">
        <v>0.89999997615814209</v>
      </c>
      <c r="F52" s="9">
        <v>7.4000000953674316</v>
      </c>
      <c r="G52" s="9">
        <v>0.59045958518981934</v>
      </c>
      <c r="H52" s="9">
        <v>0.12162161618471146</v>
      </c>
      <c r="I52">
        <v>1.5355999494204298E-5</v>
      </c>
      <c r="J52"/>
    </row>
    <row r="53" spans="1:10" ht="15" customHeight="1" x14ac:dyDescent="0.15">
      <c r="A53" s="223">
        <v>52</v>
      </c>
      <c r="B53" s="223" t="s">
        <v>243</v>
      </c>
      <c r="C53" s="8">
        <v>3.1373443603515625</v>
      </c>
      <c r="D53" s="9">
        <v>1.6431810855865479</v>
      </c>
      <c r="E53" s="9">
        <v>0.89999997615814209</v>
      </c>
      <c r="F53" s="9">
        <v>7.4000000953674316</v>
      </c>
      <c r="G53" s="9">
        <v>0.89981371164321899</v>
      </c>
      <c r="H53" s="9">
        <v>0.12162161618471146</v>
      </c>
      <c r="I53">
        <v>1.3602387625724077E-3</v>
      </c>
      <c r="J53"/>
    </row>
    <row r="54" spans="1:10" ht="15" customHeight="1" x14ac:dyDescent="0.15">
      <c r="A54" s="224">
        <v>53</v>
      </c>
      <c r="B54" s="224" t="s">
        <v>244</v>
      </c>
      <c r="C54" s="8">
        <v>3.139413595199585</v>
      </c>
      <c r="D54" s="9">
        <v>0.46879035234451294</v>
      </c>
      <c r="E54" s="9">
        <v>2.7999999523162842</v>
      </c>
      <c r="F54" s="9">
        <v>10.949999809265137</v>
      </c>
      <c r="G54" s="9">
        <v>0.84983384609222412</v>
      </c>
      <c r="H54" s="9">
        <v>0.25570777058601379</v>
      </c>
      <c r="I54">
        <v>4.2231698171235621E-4</v>
      </c>
      <c r="J54"/>
    </row>
    <row r="55" spans="1:10" ht="15" customHeight="1" x14ac:dyDescent="0.15">
      <c r="A55" s="225">
        <v>54</v>
      </c>
      <c r="B55" s="225" t="s">
        <v>245</v>
      </c>
      <c r="C55" s="8">
        <v>3.1616392135620117</v>
      </c>
      <c r="D55" s="9">
        <v>0.58726853132247925</v>
      </c>
      <c r="E55" s="9">
        <v>3.2000000476837158</v>
      </c>
      <c r="F55" s="9">
        <v>10.949999809265137</v>
      </c>
      <c r="G55" s="9">
        <v>0.89997434616088867</v>
      </c>
      <c r="H55" s="9">
        <v>0.29223746061325073</v>
      </c>
      <c r="I55">
        <v>1.8395457416772842E-2</v>
      </c>
      <c r="J55"/>
    </row>
    <row r="56" spans="1:10" ht="15" customHeight="1" x14ac:dyDescent="0.15">
      <c r="A56" s="226">
        <v>55</v>
      </c>
      <c r="B56" s="226" t="s">
        <v>246</v>
      </c>
      <c r="C56" s="8">
        <v>2.95819091796875</v>
      </c>
      <c r="D56" s="9">
        <v>16.507192611694336</v>
      </c>
      <c r="E56" s="9">
        <v>2.7999999523162842</v>
      </c>
      <c r="F56" s="9">
        <v>10.949999809265137</v>
      </c>
      <c r="G56" s="9">
        <v>0.95006453990936279</v>
      </c>
      <c r="H56" s="9">
        <v>0.25570777058601379</v>
      </c>
      <c r="I56">
        <v>4.9614190356805921E-4</v>
      </c>
      <c r="J56"/>
    </row>
    <row r="57" spans="1:10" ht="15" customHeight="1" x14ac:dyDescent="0.15">
      <c r="A57" s="227">
        <v>56</v>
      </c>
      <c r="B57" s="227" t="s">
        <v>247</v>
      </c>
      <c r="C57" s="8">
        <v>3.3075680732727051</v>
      </c>
      <c r="D57" s="9">
        <v>9.2828691005706787E-2</v>
      </c>
      <c r="E57" s="9">
        <v>2.7999999523162842</v>
      </c>
      <c r="F57" s="9">
        <v>14</v>
      </c>
      <c r="G57" s="9">
        <v>0.79986810684204102</v>
      </c>
      <c r="H57" s="9">
        <v>0.20000000298023224</v>
      </c>
      <c r="I57">
        <v>4.0131850255420431E-5</v>
      </c>
      <c r="J57"/>
    </row>
    <row r="58" spans="1:10" ht="15" customHeight="1" x14ac:dyDescent="0.15">
      <c r="A58" s="228">
        <v>57</v>
      </c>
      <c r="B58" s="228" t="s">
        <v>248</v>
      </c>
      <c r="C58" s="8">
        <v>2.1242868900299072</v>
      </c>
      <c r="D58" s="9">
        <v>0.64999997615814209</v>
      </c>
      <c r="E58" s="9">
        <v>0.61000001430511475</v>
      </c>
      <c r="F58" s="9">
        <v>3.3599998950958252</v>
      </c>
      <c r="G58" s="9">
        <v>0.69748973846435547</v>
      </c>
      <c r="H58" s="9">
        <v>0.1815476268529892</v>
      </c>
      <c r="I58">
        <v>4.6846616896800697E-4</v>
      </c>
      <c r="J58"/>
    </row>
    <row r="59" spans="1:10" ht="15" customHeight="1" x14ac:dyDescent="0.15">
      <c r="A59" s="229">
        <v>58</v>
      </c>
      <c r="B59" s="229" t="s">
        <v>249</v>
      </c>
      <c r="C59" s="8">
        <v>2.9290454387664795</v>
      </c>
      <c r="D59" s="9">
        <v>2.2999999523162842</v>
      </c>
      <c r="E59" s="9">
        <v>1.5</v>
      </c>
      <c r="F59" s="9">
        <v>2.809999942779541</v>
      </c>
      <c r="G59" s="9">
        <v>0.96872764825820923</v>
      </c>
      <c r="H59" s="9">
        <v>0.53380781412124634</v>
      </c>
      <c r="I59">
        <v>3.9463774301111698E-3</v>
      </c>
      <c r="J59"/>
    </row>
    <row r="60" spans="1:10" ht="15" customHeight="1" x14ac:dyDescent="0.15">
      <c r="A60" s="230">
        <v>59</v>
      </c>
      <c r="B60" s="230" t="s">
        <v>250</v>
      </c>
      <c r="C60" s="8">
        <v>2.0158822536468506</v>
      </c>
      <c r="D60" s="9">
        <v>0.62170237302780151</v>
      </c>
      <c r="E60" s="9">
        <v>1.6499999761581421</v>
      </c>
      <c r="F60" s="9">
        <v>2.809999942779541</v>
      </c>
      <c r="G60" s="9">
        <v>0.79988890886306763</v>
      </c>
      <c r="H60" s="9">
        <v>0.58718860149383545</v>
      </c>
      <c r="I60">
        <v>1.0411000112071633E-3</v>
      </c>
      <c r="J60"/>
    </row>
    <row r="61" spans="1:10" ht="15" customHeight="1" x14ac:dyDescent="0.15">
      <c r="A61" s="231">
        <v>60</v>
      </c>
      <c r="B61" s="231" t="s">
        <v>251</v>
      </c>
      <c r="C61" s="8">
        <v>2.1216666698455811</v>
      </c>
      <c r="D61" s="9">
        <v>40.968643188476562</v>
      </c>
      <c r="E61" s="9">
        <v>1.6000000238418579</v>
      </c>
      <c r="F61" s="9">
        <v>2.809999942779541</v>
      </c>
      <c r="G61" s="9">
        <v>0.97984462976455688</v>
      </c>
      <c r="H61" s="9">
        <v>0.56939506530761719</v>
      </c>
      <c r="I61">
        <v>4.1537541619618423E-6</v>
      </c>
      <c r="J61"/>
    </row>
    <row r="62" spans="1:10" ht="15" customHeight="1" x14ac:dyDescent="0.15">
      <c r="A62" s="232">
        <v>61</v>
      </c>
      <c r="B62" s="232" t="s">
        <v>252</v>
      </c>
      <c r="C62" s="8">
        <v>2.5474879741668701</v>
      </c>
      <c r="D62" s="9">
        <v>6.4999997615814209E-2</v>
      </c>
      <c r="E62" s="9">
        <v>0.49000000953674316</v>
      </c>
      <c r="F62" s="9">
        <v>3.2400000095367432</v>
      </c>
      <c r="G62" s="9">
        <v>0.75894629955291748</v>
      </c>
      <c r="H62" s="9">
        <v>0.15123456716537476</v>
      </c>
      <c r="I62">
        <v>1.0276492685079575E-4</v>
      </c>
      <c r="J62"/>
    </row>
    <row r="63" spans="1:10" ht="15" customHeight="1" x14ac:dyDescent="0.15">
      <c r="A63" s="233">
        <v>62</v>
      </c>
      <c r="B63" s="233" t="s">
        <v>253</v>
      </c>
      <c r="C63" s="8">
        <v>2.4322874546051025</v>
      </c>
      <c r="D63" s="9">
        <v>30.942850112915039</v>
      </c>
      <c r="E63" s="9">
        <v>0.80000001192092896</v>
      </c>
      <c r="F63" s="9">
        <v>9</v>
      </c>
      <c r="G63" s="9">
        <v>0.79986751079559326</v>
      </c>
      <c r="H63" s="9">
        <v>8.8888891041278839E-2</v>
      </c>
      <c r="I63">
        <v>2.5684190914034843E-3</v>
      </c>
      <c r="J63"/>
    </row>
    <row r="64" spans="1:10" ht="15" customHeight="1" x14ac:dyDescent="0.15">
      <c r="A64" s="234">
        <v>63</v>
      </c>
      <c r="B64" s="234" t="s">
        <v>254</v>
      </c>
      <c r="C64" s="8">
        <v>2.1136000156402588</v>
      </c>
      <c r="D64" s="9">
        <v>197.82687377929688</v>
      </c>
      <c r="E64" s="9">
        <v>1.2690000534057617</v>
      </c>
      <c r="F64" s="9">
        <v>23</v>
      </c>
      <c r="G64" s="9">
        <v>0.89981943368911743</v>
      </c>
      <c r="H64" s="9">
        <v>5.5173914879560471E-2</v>
      </c>
      <c r="I64">
        <v>3.9221331826411188E-4</v>
      </c>
      <c r="J64"/>
    </row>
    <row r="65" spans="1:10" ht="15" customHeight="1" x14ac:dyDescent="0.15">
      <c r="A65" s="235">
        <v>64</v>
      </c>
      <c r="B65" s="235" t="s">
        <v>255</v>
      </c>
      <c r="C65" s="8">
        <v>2.442474365234375</v>
      </c>
      <c r="D65" s="9">
        <v>44.707843780517578</v>
      </c>
      <c r="E65" s="9">
        <v>7.0100002288818359</v>
      </c>
      <c r="F65" s="9">
        <v>27.139999389648438</v>
      </c>
      <c r="G65" s="9">
        <v>0.98987197875976562</v>
      </c>
      <c r="H65" s="9">
        <v>0.25829035043716431</v>
      </c>
      <c r="I65">
        <v>9.7702094353735447E-4</v>
      </c>
      <c r="J65"/>
    </row>
    <row r="66" spans="1:10" ht="15" customHeight="1" x14ac:dyDescent="0.15">
      <c r="A66" s="236">
        <v>65</v>
      </c>
      <c r="B66" s="236" t="s">
        <v>256</v>
      </c>
      <c r="C66" s="8">
        <v>2.3135602474212646</v>
      </c>
      <c r="D66" s="9">
        <v>72.376617431640625</v>
      </c>
      <c r="E66" s="9">
        <v>6.8499999046325684</v>
      </c>
      <c r="F66" s="9">
        <v>27.399999618530273</v>
      </c>
      <c r="G66" s="9">
        <v>0.97979539632797241</v>
      </c>
      <c r="H66" s="9">
        <v>0.25</v>
      </c>
      <c r="I66">
        <v>6.0093998399679549E-7</v>
      </c>
      <c r="J66"/>
    </row>
    <row r="67" spans="1:10" ht="15" customHeight="1" x14ac:dyDescent="0.15">
      <c r="A67" s="237">
        <v>66</v>
      </c>
      <c r="B67" s="237" t="s">
        <v>257</v>
      </c>
      <c r="C67" s="8">
        <v>2.6430001258850098</v>
      </c>
      <c r="D67" s="9">
        <v>45.6710205078125</v>
      </c>
      <c r="E67" s="9">
        <v>2.5</v>
      </c>
      <c r="F67" s="9">
        <v>14</v>
      </c>
      <c r="G67" s="9">
        <v>0.97977274656295776</v>
      </c>
      <c r="H67" s="9">
        <v>0.1785714328289032</v>
      </c>
      <c r="I67">
        <v>4.8590692358629894E-7</v>
      </c>
      <c r="J67"/>
    </row>
    <row r="68" spans="1:10" ht="15" customHeight="1" x14ac:dyDescent="0.15">
      <c r="A68" s="238">
        <v>67</v>
      </c>
      <c r="B68" s="238" t="s">
        <v>258</v>
      </c>
      <c r="C68" s="8">
        <v>2.3600001335144043</v>
      </c>
      <c r="D68" s="9">
        <v>35.003749847412109</v>
      </c>
      <c r="E68" s="9">
        <v>12.5</v>
      </c>
      <c r="F68" s="9">
        <v>25</v>
      </c>
      <c r="G68" s="9">
        <v>0.94993549585342407</v>
      </c>
      <c r="H68" s="9">
        <v>0.5</v>
      </c>
      <c r="I68">
        <v>0</v>
      </c>
      <c r="J68"/>
    </row>
    <row r="69" spans="1:10" ht="15" customHeight="1" x14ac:dyDescent="0.15">
      <c r="A69" s="239">
        <v>68</v>
      </c>
      <c r="B69" s="239" t="s">
        <v>259</v>
      </c>
      <c r="C69" s="8">
        <v>3.0466666221618652</v>
      </c>
      <c r="D69" s="9">
        <v>10.786850929260254</v>
      </c>
      <c r="E69" s="9">
        <v>12.5</v>
      </c>
      <c r="F69" s="9">
        <v>25</v>
      </c>
      <c r="G69" s="9">
        <v>0.94994074106216431</v>
      </c>
      <c r="H69" s="9">
        <v>0.5</v>
      </c>
      <c r="I69">
        <v>0</v>
      </c>
      <c r="J69"/>
    </row>
    <row r="70" spans="1:10" ht="15" customHeight="1" x14ac:dyDescent="0.15">
      <c r="A70" s="240">
        <v>69</v>
      </c>
      <c r="B70" s="240" t="s">
        <v>260</v>
      </c>
      <c r="C70" s="8">
        <v>2.7159559726715088</v>
      </c>
      <c r="D70" s="9">
        <v>0.15053492784500122</v>
      </c>
      <c r="E70" s="9">
        <v>30</v>
      </c>
      <c r="F70" s="9">
        <v>80</v>
      </c>
      <c r="G70" s="9">
        <v>0.49980154633522034</v>
      </c>
      <c r="H70" s="9">
        <v>0.375</v>
      </c>
      <c r="I70">
        <v>1.3701766729354858E-3</v>
      </c>
      <c r="J70"/>
    </row>
    <row r="71" spans="1:10" ht="15" customHeight="1" x14ac:dyDescent="0.15">
      <c r="A71" s="241">
        <v>70</v>
      </c>
      <c r="B71" s="241" t="s">
        <v>261</v>
      </c>
      <c r="C71" s="8">
        <v>2.447235107421875</v>
      </c>
      <c r="D71" s="9">
        <v>0.23588725924491882</v>
      </c>
      <c r="E71" s="9">
        <v>40</v>
      </c>
      <c r="F71" s="9">
        <v>80</v>
      </c>
      <c r="G71" s="9">
        <v>0.4999050498008728</v>
      </c>
      <c r="H71" s="9">
        <v>0.5</v>
      </c>
      <c r="I71">
        <v>8.9729996398091316E-4</v>
      </c>
      <c r="J71"/>
    </row>
    <row r="72" spans="1:10" ht="15" customHeight="1" x14ac:dyDescent="0.15">
      <c r="A72" s="242">
        <v>71</v>
      </c>
      <c r="B72" s="242" t="s">
        <v>262</v>
      </c>
      <c r="C72" s="8">
        <v>2.0606060028076172</v>
      </c>
      <c r="D72" s="9">
        <v>11.743499755859375</v>
      </c>
      <c r="E72" s="9">
        <v>52</v>
      </c>
      <c r="F72" s="9">
        <v>173.33332824707031</v>
      </c>
      <c r="G72" s="9">
        <v>0.54916054010391235</v>
      </c>
      <c r="H72" s="9">
        <v>0.30000001192092896</v>
      </c>
      <c r="I72">
        <v>0</v>
      </c>
      <c r="J72"/>
    </row>
    <row r="73" spans="1:10" ht="15" customHeight="1" x14ac:dyDescent="0.15">
      <c r="A73" s="243">
        <v>72</v>
      </c>
      <c r="B73" s="243" t="s">
        <v>263</v>
      </c>
      <c r="C73" s="8">
        <v>2.5903029441833496</v>
      </c>
      <c r="D73" s="9">
        <v>0.44879806041717529</v>
      </c>
      <c r="E73" s="9">
        <v>52</v>
      </c>
      <c r="F73" s="9">
        <v>132.1300048828125</v>
      </c>
      <c r="G73" s="9">
        <v>0.9903569221496582</v>
      </c>
      <c r="H73" s="9">
        <v>0.39355179667472839</v>
      </c>
      <c r="I73">
        <v>0</v>
      </c>
      <c r="J73"/>
    </row>
    <row r="74" spans="1:10" ht="15" customHeight="1" x14ac:dyDescent="0.15">
      <c r="A74" s="244">
        <v>73</v>
      </c>
      <c r="B74" s="244" t="s">
        <v>264</v>
      </c>
      <c r="C74" s="8">
        <v>2</v>
      </c>
      <c r="D74" s="9">
        <v>2.790934219956398E-2</v>
      </c>
      <c r="E74" s="9">
        <v>12.600000381469727</v>
      </c>
      <c r="F74" s="9">
        <v>51.930000305175781</v>
      </c>
      <c r="G74" s="9">
        <v>0.98029327392578125</v>
      </c>
      <c r="H74" s="9">
        <v>0.24263432621955872</v>
      </c>
      <c r="I74">
        <v>0</v>
      </c>
      <c r="J74"/>
    </row>
    <row r="75" spans="1:10" ht="15" customHeight="1" x14ac:dyDescent="0.15">
      <c r="A75" s="245">
        <v>74</v>
      </c>
      <c r="B75" s="245" t="s">
        <v>265</v>
      </c>
      <c r="C75" s="8">
        <v>2</v>
      </c>
      <c r="D75" s="9">
        <v>19.412790298461914</v>
      </c>
      <c r="E75" s="9">
        <v>100</v>
      </c>
      <c r="F75" s="9">
        <v>215</v>
      </c>
      <c r="G75" s="9">
        <v>0.94993096590042114</v>
      </c>
      <c r="H75" s="9">
        <v>0.46511629223823547</v>
      </c>
      <c r="I75">
        <v>0</v>
      </c>
      <c r="J75"/>
    </row>
    <row r="76" spans="1:10" ht="15" customHeight="1" x14ac:dyDescent="0.15">
      <c r="A76" s="246">
        <v>75</v>
      </c>
      <c r="B76" s="246" t="s">
        <v>266</v>
      </c>
      <c r="C76" s="8">
        <v>1</v>
      </c>
      <c r="D76" s="9">
        <v>4.1999998092651367</v>
      </c>
      <c r="E76" s="9">
        <v>760</v>
      </c>
      <c r="F76" s="10"/>
      <c r="G76" s="9">
        <v>0.99153614044189453</v>
      </c>
      <c r="H76" s="10"/>
      <c r="I76">
        <v>0</v>
      </c>
      <c r="J76"/>
    </row>
    <row r="77" spans="1:10" ht="15" customHeight="1" x14ac:dyDescent="0.15">
      <c r="A77" s="247">
        <v>76</v>
      </c>
      <c r="B77" s="247" t="s">
        <v>267</v>
      </c>
      <c r="C77" s="8">
        <v>1</v>
      </c>
      <c r="D77" s="9">
        <v>3.772061824798584</v>
      </c>
      <c r="E77" s="9">
        <v>529.87200927734375</v>
      </c>
      <c r="F77" s="10"/>
      <c r="G77" s="9">
        <v>0.949928879737854</v>
      </c>
      <c r="H77" s="10"/>
      <c r="I77">
        <v>0</v>
      </c>
      <c r="J77"/>
    </row>
    <row r="78" spans="1:10" ht="15" customHeight="1" x14ac:dyDescent="0.15">
      <c r="A78" s="248">
        <v>77</v>
      </c>
      <c r="B78" s="248" t="s">
        <v>268</v>
      </c>
      <c r="C78" s="8">
        <v>1</v>
      </c>
      <c r="D78" s="9">
        <v>0.62599998712539673</v>
      </c>
      <c r="E78" s="9">
        <v>8.3170003890991211</v>
      </c>
      <c r="F78" s="10"/>
      <c r="G78" s="9">
        <v>0.39500987529754639</v>
      </c>
      <c r="H78" s="10"/>
      <c r="I78">
        <v>0</v>
      </c>
      <c r="J78"/>
    </row>
    <row r="79" spans="1:10" ht="15" customHeight="1" x14ac:dyDescent="0.15">
      <c r="A79" s="249">
        <v>78</v>
      </c>
      <c r="B79" s="249" t="s">
        <v>269</v>
      </c>
      <c r="C79" s="8">
        <v>1</v>
      </c>
      <c r="D79" s="9">
        <v>14.290604591369629</v>
      </c>
      <c r="E79" s="9">
        <v>8.3170003890991211</v>
      </c>
      <c r="F79" s="10"/>
      <c r="G79" s="9">
        <v>0.97982358932495117</v>
      </c>
      <c r="H79" s="10"/>
      <c r="I79">
        <v>6.1715002175333211E-7</v>
      </c>
      <c r="J79"/>
    </row>
    <row r="80" spans="1:10" ht="15" customHeight="1" x14ac:dyDescent="0.15">
      <c r="A80" s="250">
        <v>79</v>
      </c>
      <c r="B80" s="250" t="s">
        <v>270</v>
      </c>
      <c r="C80" s="8">
        <v>1</v>
      </c>
      <c r="D80" s="9">
        <v>16.399999618530273</v>
      </c>
      <c r="E80" s="9">
        <v>0.17200000584125519</v>
      </c>
      <c r="F80" s="10"/>
      <c r="G80" s="9">
        <v>0.24827797710895538</v>
      </c>
      <c r="H80" s="10"/>
      <c r="I80">
        <v>0</v>
      </c>
      <c r="J80"/>
    </row>
    <row r="81" spans="1:10" ht="15" customHeight="1" x14ac:dyDescent="0.15">
      <c r="A81" s="251">
        <v>80</v>
      </c>
      <c r="B81" s="251" t="s">
        <v>271</v>
      </c>
      <c r="C81" s="8">
        <v>1</v>
      </c>
      <c r="D81" s="9">
        <v>0.69999998807907104</v>
      </c>
      <c r="E81" s="10"/>
      <c r="F81" s="10"/>
      <c r="G81" s="9">
        <v>0.39315792918205261</v>
      </c>
      <c r="H81" s="10"/>
      <c r="I81">
        <v>0</v>
      </c>
      <c r="J81"/>
    </row>
    <row r="82" spans="1:10" ht="15" customHeight="1" x14ac:dyDescent="0.15">
      <c r="A82" s="252">
        <v>81</v>
      </c>
      <c r="B82" s="252" t="s">
        <v>272</v>
      </c>
      <c r="C82" s="8">
        <v>1</v>
      </c>
      <c r="D82" s="9">
        <v>5</v>
      </c>
      <c r="E82" s="10"/>
      <c r="F82" s="10"/>
      <c r="G82" s="9">
        <v>0.97313660383224487</v>
      </c>
      <c r="H82" s="10"/>
      <c r="I82">
        <v>0</v>
      </c>
      <c r="J82"/>
    </row>
    <row r="83" spans="1:10" ht="15" customHeight="1" x14ac:dyDescent="0.15">
      <c r="A83" s="253">
        <v>82</v>
      </c>
      <c r="B83" s="253" t="s">
        <v>273</v>
      </c>
      <c r="C83" s="8">
        <v>1</v>
      </c>
      <c r="D83" s="9">
        <v>33.351001739501953</v>
      </c>
      <c r="E83" s="10"/>
      <c r="F83" s="10"/>
      <c r="G83" s="9">
        <v>0.94758075475692749</v>
      </c>
      <c r="H83" s="10"/>
      <c r="I83">
        <v>0</v>
      </c>
      <c r="J83"/>
    </row>
    <row r="84" spans="1:10" ht="15" customHeight="1" x14ac:dyDescent="0.15">
      <c r="A84" s="254">
        <v>83</v>
      </c>
      <c r="B84" s="254" t="s">
        <v>274</v>
      </c>
      <c r="C84" s="8">
        <v>1</v>
      </c>
      <c r="D84" s="9">
        <v>250</v>
      </c>
      <c r="E84" s="10"/>
      <c r="F84" s="10"/>
      <c r="G84" s="7">
        <v>0.97338593006134033</v>
      </c>
      <c r="H84" s="10"/>
      <c r="I84">
        <v>0</v>
      </c>
      <c r="J84"/>
    </row>
    <row r="85" spans="1:10" ht="15" customHeight="1" x14ac:dyDescent="0.15">
      <c r="A85" s="255">
        <v>84</v>
      </c>
      <c r="B85" s="255" t="s">
        <v>275</v>
      </c>
      <c r="C85" s="8">
        <v>1</v>
      </c>
      <c r="D85" s="9">
        <v>5</v>
      </c>
      <c r="E85" s="10"/>
      <c r="F85" s="10"/>
      <c r="G85" s="7">
        <v>0</v>
      </c>
      <c r="H85" s="10"/>
      <c r="I85">
        <v>0</v>
      </c>
      <c r="J85"/>
    </row>
    <row r="86" spans="1:10" ht="15" customHeight="1" x14ac:dyDescent="0.15">
      <c r="A86" s="256">
        <v>85</v>
      </c>
      <c r="B86" s="256" t="s">
        <v>276</v>
      </c>
      <c r="C86" s="8">
        <v>4.6790132522583008</v>
      </c>
      <c r="D86" s="10"/>
      <c r="E86" s="10"/>
      <c r="F86" s="10"/>
      <c r="G86" s="10"/>
      <c r="H86" s="10"/>
      <c r="I86">
        <v>8.1906495615839958E-3</v>
      </c>
      <c r="J86"/>
    </row>
    <row r="87" spans="1:10" ht="15" customHeight="1" x14ac:dyDescent="0.15">
      <c r="A87" s="257">
        <v>86</v>
      </c>
      <c r="B87" s="257" t="s">
        <v>277</v>
      </c>
      <c r="C87" s="8">
        <v>4.616121768951416</v>
      </c>
      <c r="D87" s="10"/>
      <c r="E87" s="10"/>
      <c r="F87" s="10"/>
      <c r="G87" s="10"/>
      <c r="H87" s="10"/>
      <c r="I87">
        <v>0.1276312917470932</v>
      </c>
      <c r="J87"/>
    </row>
    <row r="88" spans="1:10" ht="15" customHeight="1" x14ac:dyDescent="0.15">
      <c r="A88" s="258">
        <v>87</v>
      </c>
      <c r="B88" s="258" t="s">
        <v>278</v>
      </c>
      <c r="C88" s="8">
        <v>5.5639510154724121</v>
      </c>
      <c r="D88" s="10"/>
      <c r="E88" s="10"/>
      <c r="F88" s="10"/>
      <c r="G88" s="10"/>
      <c r="H88" s="10"/>
      <c r="I88">
        <v>9.8887004423886538E-4</v>
      </c>
      <c r="J88"/>
    </row>
    <row r="89" spans="1:10" ht="15" customHeight="1" x14ac:dyDescent="0.15">
      <c r="A89" s="259">
        <v>88</v>
      </c>
      <c r="B89" s="259" t="s">
        <v>279</v>
      </c>
      <c r="C89" s="8">
        <v>5.5295510292053223</v>
      </c>
      <c r="D89" s="10"/>
      <c r="E89" s="10"/>
      <c r="F89" s="10"/>
      <c r="G89" s="10"/>
      <c r="H89" s="10"/>
      <c r="I89">
        <v>5.1824157126247883E-3</v>
      </c>
      <c r="J89"/>
    </row>
    <row r="90" spans="1:10" ht="15" customHeight="1" x14ac:dyDescent="0.15">
      <c r="A90" s="260">
        <v>89</v>
      </c>
      <c r="B90" s="260" t="s">
        <v>280</v>
      </c>
      <c r="C90" s="8">
        <v>4.1375517845153809</v>
      </c>
      <c r="D90" s="10"/>
      <c r="E90" s="10"/>
      <c r="F90" s="10"/>
      <c r="G90" s="10"/>
      <c r="H90" s="10"/>
      <c r="I90">
        <v>1.6667836462147534E-4</v>
      </c>
      <c r="J90"/>
    </row>
    <row r="91" spans="1:10" ht="15" customHeight="1" x14ac:dyDescent="0.15">
      <c r="A91" s="261">
        <v>90</v>
      </c>
      <c r="B91" s="261" t="s">
        <v>281</v>
      </c>
      <c r="C91" s="8">
        <v>5.2347092628479004</v>
      </c>
      <c r="D91" s="10"/>
      <c r="E91" s="10"/>
      <c r="F91" s="10"/>
      <c r="G91" s="10"/>
      <c r="H91" s="10"/>
      <c r="I91">
        <v>2.2014940623193979E-3</v>
      </c>
      <c r="J91"/>
    </row>
    <row r="92" spans="1:10" ht="15" customHeight="1" x14ac:dyDescent="0.15">
      <c r="A92" s="262">
        <v>91</v>
      </c>
      <c r="B92" s="262" t="s">
        <v>282</v>
      </c>
      <c r="C92" s="8">
        <v>4.9445157051086426</v>
      </c>
      <c r="D92" s="10"/>
      <c r="E92" s="10"/>
      <c r="F92" s="10"/>
      <c r="G92" s="10"/>
      <c r="H92" s="10"/>
      <c r="I92">
        <v>3.1739997211843729E-4</v>
      </c>
      <c r="J92"/>
    </row>
    <row r="93" spans="1:10" ht="15" customHeight="1" x14ac:dyDescent="0.15">
      <c r="A93" s="263">
        <v>92</v>
      </c>
      <c r="B93" s="263" t="s">
        <v>283</v>
      </c>
      <c r="C93" s="8">
        <v>5.3683757781982422</v>
      </c>
      <c r="D93" s="10"/>
      <c r="E93" s="10"/>
      <c r="F93" s="10"/>
      <c r="G93" s="10"/>
      <c r="H93" s="10"/>
      <c r="I93">
        <v>1.8198504403699189E-4</v>
      </c>
      <c r="J93"/>
    </row>
    <row r="94" spans="1:10" ht="15" customHeight="1" x14ac:dyDescent="0.15">
      <c r="A94" s="264">
        <v>93</v>
      </c>
      <c r="B94" s="264" t="s">
        <v>284</v>
      </c>
      <c r="C94" s="8">
        <v>5.5632476806640625</v>
      </c>
      <c r="D94" s="10"/>
      <c r="E94" s="10"/>
      <c r="F94" s="10"/>
      <c r="G94" s="10"/>
      <c r="H94" s="10"/>
      <c r="I94">
        <v>3.18628124659881E-4</v>
      </c>
      <c r="J94"/>
    </row>
    <row r="95" spans="1:10" ht="15" customHeight="1" x14ac:dyDescent="0.15">
      <c r="A95" s="265">
        <v>94</v>
      </c>
      <c r="B95" s="265" t="s">
        <v>285</v>
      </c>
      <c r="C95" s="8">
        <v>4.9853997230529785</v>
      </c>
      <c r="D95" s="10"/>
      <c r="E95" s="10"/>
      <c r="F95" s="10"/>
      <c r="G95" s="10"/>
      <c r="H95" s="10"/>
      <c r="I95">
        <v>1.6771274385973811E-3</v>
      </c>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4" bestFit="1" customWidth="1"/>
    <col min="2" max="4" width="9.5" style="84" bestFit="1" customWidth="1"/>
    <col min="5" max="7" width="9" style="84" bestFit="1" customWidth="1"/>
    <col min="8" max="16" width="12.6640625" style="84" bestFit="1" customWidth="1"/>
    <col min="17" max="17" width="12.33203125" style="84" bestFit="1" customWidth="1"/>
    <col min="18" max="18" width="8.83203125" style="84"/>
    <col min="19" max="21" width="9.33203125" style="84" bestFit="1" customWidth="1"/>
    <col min="22" max="23" width="8.83203125" style="84"/>
    <col min="24" max="24" width="9.33203125" style="84" bestFit="1" customWidth="1"/>
    <col min="25" max="27" width="8.83203125" style="84"/>
    <col min="28" max="58" width="9" style="84" bestFit="1" customWidth="1"/>
    <col min="59" max="59" width="12.33203125" style="84" bestFit="1" customWidth="1"/>
    <col min="60" max="60" width="9" style="84" bestFit="1" customWidth="1"/>
    <col min="61" max="61" width="11.33203125" style="84" bestFit="1" customWidth="1"/>
    <col min="62" max="77" width="9" style="84" bestFit="1" customWidth="1"/>
    <col min="78" max="78" width="12.33203125" style="84" bestFit="1" customWidth="1"/>
    <col min="79" max="79" width="9" style="84" bestFit="1" customWidth="1"/>
    <col min="80" max="80" width="12.33203125" style="84" bestFit="1" customWidth="1"/>
    <col min="81" max="107" width="9" style="84" bestFit="1" customWidth="1"/>
    <col min="108" max="108" width="11.33203125" style="84" bestFit="1" customWidth="1"/>
    <col min="109" max="124" width="9" style="84" bestFit="1" customWidth="1"/>
    <col min="125" max="125" width="10.33203125" style="84" bestFit="1" customWidth="1"/>
    <col min="126" max="129" width="9.33203125" style="84" bestFit="1" customWidth="1"/>
    <col min="130" max="130" width="9" style="84" bestFit="1" customWidth="1"/>
    <col min="131" max="134" width="9.33203125" style="84" bestFit="1" customWidth="1"/>
    <col min="135" max="165" width="9" style="84" bestFit="1" customWidth="1"/>
    <col min="166" max="166" width="12.33203125" style="84" bestFit="1" customWidth="1"/>
    <col min="167" max="170" width="9" style="84" bestFit="1" customWidth="1"/>
    <col min="171" max="176" width="8.83203125" style="84"/>
    <col min="177" max="177" width="13.83203125" style="84" bestFit="1" customWidth="1"/>
    <col min="178" max="16384" width="8.83203125" style="84"/>
  </cols>
  <sheetData>
    <row r="1" spans="1:209" ht="15" customHeight="1" x14ac:dyDescent="0.15">
      <c r="A1" t="s">
        <v>15</v>
      </c>
      <c r="B1" t="s">
        <v>1</v>
      </c>
      <c r="C1" t="s">
        <v>16</v>
      </c>
      <c r="D1" t="s">
        <v>290</v>
      </c>
      <c r="E1" t="s">
        <v>291</v>
      </c>
      <c r="F1" t="s">
        <v>292</v>
      </c>
      <c r="G1" t="s">
        <v>293</v>
      </c>
      <c r="H1" t="s">
        <v>294</v>
      </c>
      <c r="I1" t="s">
        <v>295</v>
      </c>
      <c r="J1" t="s">
        <v>296</v>
      </c>
      <c r="K1" t="s">
        <v>297</v>
      </c>
      <c r="L1" t="s">
        <v>298</v>
      </c>
      <c r="M1" t="s">
        <v>299</v>
      </c>
      <c r="N1" t="s">
        <v>192</v>
      </c>
      <c r="O1" t="s">
        <v>193</v>
      </c>
      <c r="P1" t="s">
        <v>194</v>
      </c>
      <c r="Q1" t="s">
        <v>195</v>
      </c>
      <c r="R1" t="s">
        <v>196</v>
      </c>
      <c r="S1" t="s">
        <v>197</v>
      </c>
      <c r="T1" t="s">
        <v>198</v>
      </c>
      <c r="U1" t="s">
        <v>199</v>
      </c>
      <c r="V1" t="s">
        <v>200</v>
      </c>
      <c r="W1" t="s">
        <v>201</v>
      </c>
      <c r="X1" t="s">
        <v>202</v>
      </c>
      <c r="Y1" t="s">
        <v>203</v>
      </c>
      <c r="Z1" t="s">
        <v>204</v>
      </c>
      <c r="AA1" t="s">
        <v>205</v>
      </c>
      <c r="AB1" t="s">
        <v>206</v>
      </c>
      <c r="AC1" t="s">
        <v>207</v>
      </c>
      <c r="AD1" t="s">
        <v>208</v>
      </c>
      <c r="AE1" t="s">
        <v>209</v>
      </c>
      <c r="AF1" t="s">
        <v>210</v>
      </c>
      <c r="AG1" t="s">
        <v>211</v>
      </c>
      <c r="AH1" t="s">
        <v>212</v>
      </c>
      <c r="AI1" t="s">
        <v>213</v>
      </c>
      <c r="AJ1" t="s">
        <v>214</v>
      </c>
      <c r="AK1" t="s">
        <v>215</v>
      </c>
      <c r="AL1" t="s">
        <v>216</v>
      </c>
      <c r="AM1" t="s">
        <v>217</v>
      </c>
      <c r="AN1" t="s">
        <v>218</v>
      </c>
      <c r="AO1" t="s">
        <v>219</v>
      </c>
      <c r="AP1" t="s">
        <v>220</v>
      </c>
      <c r="AQ1" t="s">
        <v>221</v>
      </c>
      <c r="AR1" t="s">
        <v>222</v>
      </c>
      <c r="AS1" t="s">
        <v>223</v>
      </c>
      <c r="AT1" t="s">
        <v>224</v>
      </c>
      <c r="AU1" t="s">
        <v>225</v>
      </c>
      <c r="AV1" t="s">
        <v>226</v>
      </c>
      <c r="AW1" t="s">
        <v>227</v>
      </c>
      <c r="AX1" t="s">
        <v>228</v>
      </c>
      <c r="AY1" t="s">
        <v>229</v>
      </c>
      <c r="AZ1" t="s">
        <v>230</v>
      </c>
      <c r="BA1" t="s">
        <v>231</v>
      </c>
      <c r="BB1" t="s">
        <v>232</v>
      </c>
      <c r="BC1" t="s">
        <v>233</v>
      </c>
      <c r="BD1" t="s">
        <v>234</v>
      </c>
      <c r="BE1" t="s">
        <v>235</v>
      </c>
      <c r="BF1" t="s">
        <v>236</v>
      </c>
      <c r="BG1" t="s">
        <v>237</v>
      </c>
      <c r="BH1" t="s">
        <v>238</v>
      </c>
      <c r="BI1" t="s">
        <v>239</v>
      </c>
      <c r="BJ1" t="s">
        <v>240</v>
      </c>
      <c r="BK1" t="s">
        <v>241</v>
      </c>
      <c r="BL1" t="s">
        <v>242</v>
      </c>
      <c r="BM1" t="s">
        <v>243</v>
      </c>
      <c r="BN1" t="s">
        <v>244</v>
      </c>
      <c r="BO1" t="s">
        <v>245</v>
      </c>
      <c r="BP1" t="s">
        <v>246</v>
      </c>
      <c r="BQ1" t="s">
        <v>247</v>
      </c>
      <c r="BR1" t="s">
        <v>248</v>
      </c>
      <c r="BS1" t="s">
        <v>249</v>
      </c>
      <c r="BT1" t="s">
        <v>250</v>
      </c>
      <c r="BU1" t="s">
        <v>251</v>
      </c>
      <c r="BV1" t="s">
        <v>252</v>
      </c>
      <c r="BW1" t="s">
        <v>253</v>
      </c>
      <c r="BX1" t="s">
        <v>254</v>
      </c>
      <c r="BY1" t="s">
        <v>255</v>
      </c>
      <c r="BZ1" t="s">
        <v>256</v>
      </c>
      <c r="CA1" t="s">
        <v>257</v>
      </c>
      <c r="CB1" t="s">
        <v>258</v>
      </c>
      <c r="CC1" t="s">
        <v>259</v>
      </c>
      <c r="CD1" t="s">
        <v>260</v>
      </c>
      <c r="CE1" t="s">
        <v>261</v>
      </c>
      <c r="CF1" t="s">
        <v>262</v>
      </c>
      <c r="CG1" t="s">
        <v>263</v>
      </c>
      <c r="CH1" t="s">
        <v>264</v>
      </c>
      <c r="CI1" t="s">
        <v>265</v>
      </c>
      <c r="CJ1" t="s">
        <v>266</v>
      </c>
      <c r="CK1" t="s">
        <v>267</v>
      </c>
      <c r="CL1" t="s">
        <v>268</v>
      </c>
      <c r="CM1" t="s">
        <v>269</v>
      </c>
      <c r="CN1" t="s">
        <v>270</v>
      </c>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0.10000000149011612</v>
      </c>
      <c r="C2">
        <v>9.9768579006195068E-2</v>
      </c>
      <c r="D2"/>
      <c r="E2"/>
      <c r="F2"/>
      <c r="G2" s="14">
        <v>2.3142414283938706E-4</v>
      </c>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7.9999998211860657E-2</v>
      </c>
      <c r="C3">
        <v>2.3749994114041328E-2</v>
      </c>
      <c r="D3"/>
      <c r="E3"/>
      <c r="F3"/>
      <c r="G3"/>
      <c r="H3"/>
      <c r="I3"/>
      <c r="J3" s="272">
        <v>5.6250002235174179E-2</v>
      </c>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0.31799998879432678</v>
      </c>
      <c r="C4">
        <v>0.31799998879432678</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0.19200000166893005</v>
      </c>
      <c r="C5">
        <v>5.3939346224069595E-2</v>
      </c>
      <c r="D5"/>
      <c r="E5"/>
      <c r="F5"/>
      <c r="G5"/>
      <c r="H5"/>
      <c r="I5"/>
      <c r="J5" s="273">
        <v>0.1304347813129425</v>
      </c>
      <c r="K5"/>
      <c r="L5"/>
      <c r="M5"/>
      <c r="N5"/>
      <c r="O5"/>
      <c r="P5" s="274">
        <v>4.6573909930884838E-3</v>
      </c>
      <c r="Q5"/>
      <c r="R5"/>
      <c r="S5"/>
      <c r="T5" s="16">
        <v>2.9684917535632849E-3</v>
      </c>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0.69999998807907104</v>
      </c>
      <c r="C6">
        <v>0.66905045509338379</v>
      </c>
      <c r="D6" s="19">
        <v>1.2367619201540947E-2</v>
      </c>
      <c r="E6" s="65">
        <v>1.5724761411547661E-2</v>
      </c>
      <c r="F6"/>
      <c r="G6"/>
      <c r="H6"/>
      <c r="I6"/>
      <c r="J6"/>
      <c r="K6"/>
      <c r="L6"/>
      <c r="M6" s="12">
        <v>2.8571430593729019E-3</v>
      </c>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7.9999998211860657E-2</v>
      </c>
      <c r="C7">
        <v>7.9999998211860657E-2</v>
      </c>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7.9999998211860657E-2</v>
      </c>
      <c r="C8">
        <v>7.9999998211860657E-2</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0.20399999618530273</v>
      </c>
      <c r="C9">
        <v>0.20399999618530273</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0.15999999642372131</v>
      </c>
      <c r="C10">
        <v>0.15999999642372131</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0.32600000500679016</v>
      </c>
      <c r="C11">
        <v>0.3213861882686615</v>
      </c>
      <c r="D11" s="11">
        <v>8.7434113083872944E-5</v>
      </c>
      <c r="E11" s="17">
        <v>4.3770698830485344E-3</v>
      </c>
      <c r="F11" s="11">
        <v>7.5101634138263762E-6</v>
      </c>
      <c r="G11" s="11">
        <v>7.7360324212349951E-5</v>
      </c>
      <c r="H11"/>
      <c r="I11" s="11">
        <v>3.662475137389265E-5</v>
      </c>
      <c r="J11"/>
      <c r="K11"/>
      <c r="L11" s="11">
        <v>7.623098099429626E-6</v>
      </c>
      <c r="M11" s="11">
        <v>2.0197934645693749E-5</v>
      </c>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0.57899999618530273</v>
      </c>
      <c r="C12">
        <v>6.5185271203517914E-2</v>
      </c>
      <c r="D12"/>
      <c r="E12"/>
      <c r="F12" s="11">
        <v>4.9570389819564298E-6</v>
      </c>
      <c r="G12" s="11">
        <v>4.9570389819564298E-5</v>
      </c>
      <c r="H12"/>
      <c r="I12"/>
      <c r="J12"/>
      <c r="K12" s="11">
        <v>1.3108614439261146E-5</v>
      </c>
      <c r="L12" s="11">
        <v>4.9570389819564298E-6</v>
      </c>
      <c r="M12"/>
      <c r="N12"/>
      <c r="O12"/>
      <c r="P12"/>
      <c r="Q12"/>
      <c r="R12"/>
      <c r="S12"/>
      <c r="T12"/>
      <c r="U12"/>
      <c r="V12"/>
      <c r="W12"/>
      <c r="X12"/>
      <c r="Y12" s="280">
        <v>0.50559782981872559</v>
      </c>
      <c r="Z12"/>
      <c r="AA12" s="17">
        <v>8.1443134695291519E-3</v>
      </c>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0.43500000238418579</v>
      </c>
      <c r="C13">
        <v>0.43441033363342285</v>
      </c>
      <c r="D13"/>
      <c r="E13"/>
      <c r="F13" s="11">
        <v>8.0156461024216696E-8</v>
      </c>
      <c r="G13" s="11">
        <v>8.0156468129644054E-7</v>
      </c>
      <c r="H13"/>
      <c r="I13" s="14">
        <v>5.8775529032573104E-4</v>
      </c>
      <c r="J13"/>
      <c r="K13" s="11">
        <v>9.5386189968849067E-7</v>
      </c>
      <c r="L13" s="11">
        <v>8.0156461024216696E-8</v>
      </c>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0.59799998998641968</v>
      </c>
      <c r="C14">
        <v>0.34028595685958862</v>
      </c>
      <c r="D14" s="266">
        <v>0.10535964369773865</v>
      </c>
      <c r="E14" s="15">
        <v>6.0897544026374817E-3</v>
      </c>
      <c r="F14" s="16">
        <v>9.5585715025663376E-3</v>
      </c>
      <c r="G14" s="269">
        <v>9.8830901086330414E-2</v>
      </c>
      <c r="H14"/>
      <c r="I14"/>
      <c r="J14" s="23">
        <v>3.7939269095659256E-3</v>
      </c>
      <c r="K14" s="11">
        <v>7.0214198785834014E-5</v>
      </c>
      <c r="L14" s="16">
        <v>9.7060799598693848E-3</v>
      </c>
      <c r="M14" s="66">
        <v>2.4304909631609917E-2</v>
      </c>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1.3049999475479126</v>
      </c>
      <c r="C15">
        <v>1.3027889728546143</v>
      </c>
      <c r="D15" s="11">
        <v>2.764657256193459E-4</v>
      </c>
      <c r="E15" s="11">
        <v>9.1773911844938993E-4</v>
      </c>
      <c r="F15" s="11">
        <v>7.3081951995845884E-5</v>
      </c>
      <c r="G15" s="11">
        <v>7.9102913150563836E-4</v>
      </c>
      <c r="H15"/>
      <c r="I15"/>
      <c r="J15"/>
      <c r="K15" s="11">
        <v>4.9413370106776711E-7</v>
      </c>
      <c r="L15" s="11">
        <v>7.5988624303136021E-5</v>
      </c>
      <c r="M15" s="11">
        <v>7.6180258474778384E-5</v>
      </c>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0.55900001525878906</v>
      </c>
      <c r="C16">
        <v>0.5523306131362915</v>
      </c>
      <c r="D16" s="12">
        <v>2.3888659197837114E-3</v>
      </c>
      <c r="E16" s="23">
        <v>3.7150417920202017E-3</v>
      </c>
      <c r="F16" s="11">
        <v>5.9497784832274192E-7</v>
      </c>
      <c r="G16" s="11">
        <v>5.9497788242879324E-6</v>
      </c>
      <c r="H16"/>
      <c r="I16"/>
      <c r="J16"/>
      <c r="K16" s="11">
        <v>7.0802366280986462E-6</v>
      </c>
      <c r="L16" s="11">
        <v>5.9497784832274192E-7</v>
      </c>
      <c r="M16" s="14">
        <v>5.5127078667283058E-4</v>
      </c>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0.26199999451637268</v>
      </c>
      <c r="C17">
        <v>0.21713399887084961</v>
      </c>
      <c r="D17" s="28">
        <v>9.0747997164726257E-3</v>
      </c>
      <c r="E17" s="267">
        <v>2.1931998431682587E-2</v>
      </c>
      <c r="F17"/>
      <c r="G17" s="66">
        <v>1.0694378986954689E-2</v>
      </c>
      <c r="H17"/>
      <c r="I17"/>
      <c r="J17"/>
      <c r="K17"/>
      <c r="L17" s="12">
        <v>1.0694379452615976E-3</v>
      </c>
      <c r="M17" s="22">
        <v>2.0953800994902849E-3</v>
      </c>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0.37000000476837158</v>
      </c>
      <c r="C18">
        <v>0.14273671805858612</v>
      </c>
      <c r="D18"/>
      <c r="E18"/>
      <c r="F18"/>
      <c r="G18" s="270">
        <v>0.20566141605377197</v>
      </c>
      <c r="H18"/>
      <c r="I18" s="14">
        <v>1.0071428259834647E-3</v>
      </c>
      <c r="J18"/>
      <c r="K18" s="11">
        <v>2.857142681023106E-5</v>
      </c>
      <c r="L18" s="64">
        <v>2.0566141232848167E-2</v>
      </c>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0.70300000905990601</v>
      </c>
      <c r="C19">
        <v>7.1411341428756714E-2</v>
      </c>
      <c r="D19" s="23">
        <v>3.6650667898356915E-3</v>
      </c>
      <c r="E19" s="22">
        <v>4.8968666233122349E-3</v>
      </c>
      <c r="F19" s="268">
        <v>5.2000001072883606E-2</v>
      </c>
      <c r="G19" s="271">
        <v>8.5853271186351776E-2</v>
      </c>
      <c r="H19"/>
      <c r="I19" s="18">
        <v>8.3143999800086021E-3</v>
      </c>
      <c r="J19" s="14">
        <v>7.6466664904728532E-4</v>
      </c>
      <c r="K19" s="14">
        <v>8.0726668238639832E-4</v>
      </c>
      <c r="L19" s="18">
        <v>8.4440000355243683E-3</v>
      </c>
      <c r="M19" s="14">
        <v>9.7948662005364895E-4</v>
      </c>
      <c r="N19" s="275">
        <v>7.9401999711990356E-2</v>
      </c>
      <c r="O19"/>
      <c r="P19"/>
      <c r="Q19"/>
      <c r="R19"/>
      <c r="S19"/>
      <c r="T19"/>
      <c r="U19"/>
      <c r="V19"/>
      <c r="W19" s="64">
        <v>3.9187021553516388E-2</v>
      </c>
      <c r="X19"/>
      <c r="Y19"/>
      <c r="Z19"/>
      <c r="AA19" s="279">
        <v>0.2163923978805542</v>
      </c>
      <c r="AB19"/>
      <c r="AC19"/>
      <c r="AD19"/>
      <c r="AE19"/>
      <c r="AF19" s="277">
        <v>0.13088221848011017</v>
      </c>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0.93800002336502075</v>
      </c>
      <c r="C20">
        <v>0.11803328990936279</v>
      </c>
      <c r="D20" s="11">
        <v>6.2840001191943884E-4</v>
      </c>
      <c r="E20" s="22">
        <v>8.1049995496869087E-3</v>
      </c>
      <c r="F20" s="11">
        <v>2.9999998514540493E-4</v>
      </c>
      <c r="G20" s="22">
        <v>7.6126931235194206E-3</v>
      </c>
      <c r="H20"/>
      <c r="I20" s="14">
        <v>1.6394632402807474E-3</v>
      </c>
      <c r="J20" s="11">
        <v>2.0769998081959784E-4</v>
      </c>
      <c r="K20" s="11">
        <v>3.1371330260299146E-4</v>
      </c>
      <c r="L20" s="11">
        <v>1.4460267266258597E-4</v>
      </c>
      <c r="M20" s="11">
        <v>1.4538466348312795E-4</v>
      </c>
      <c r="N20" s="14">
        <v>1.9850500393658876E-3</v>
      </c>
      <c r="O20"/>
      <c r="P20" s="11">
        <v>5.9273057559039444E-5</v>
      </c>
      <c r="Q20"/>
      <c r="R20"/>
      <c r="S20"/>
      <c r="T20"/>
      <c r="U20"/>
      <c r="V20"/>
      <c r="W20" s="303">
        <v>0.23416632413864136</v>
      </c>
      <c r="X20" s="17">
        <v>1.3644726015627384E-2</v>
      </c>
      <c r="Y20" s="308">
        <v>0.32128718495368958</v>
      </c>
      <c r="Z20" s="23">
        <v>5.9139998629689217E-3</v>
      </c>
      <c r="AA20" s="293">
        <v>0.12021799385547638</v>
      </c>
      <c r="AB20"/>
      <c r="AC20"/>
      <c r="AD20"/>
      <c r="AE20" s="14">
        <v>2.5804690085351467E-3</v>
      </c>
      <c r="AF20"/>
      <c r="AG20"/>
      <c r="AH20" s="289">
        <v>0.10101474076509476</v>
      </c>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1.0160000324249268</v>
      </c>
      <c r="C21">
        <v>0.14733579754829407</v>
      </c>
      <c r="D21" s="11">
        <v>6.083077096263878E-5</v>
      </c>
      <c r="E21" s="11">
        <v>8.3684618584811687E-4</v>
      </c>
      <c r="F21"/>
      <c r="G21" s="11">
        <v>2.3835615138523281E-4</v>
      </c>
      <c r="H21"/>
      <c r="I21" s="11">
        <v>1.2923077292725793E-6</v>
      </c>
      <c r="J21"/>
      <c r="K21" s="11">
        <v>8.9615386968944222E-5</v>
      </c>
      <c r="L21" s="11">
        <v>2.3835616957512684E-5</v>
      </c>
      <c r="M21" s="11">
        <v>1.4041384929441847E-5</v>
      </c>
      <c r="N21" s="140">
        <v>0.10077948123216629</v>
      </c>
      <c r="O21"/>
      <c r="P21"/>
      <c r="Q21"/>
      <c r="R21" s="14">
        <v>1.3229999458417296E-3</v>
      </c>
      <c r="S21" s="12">
        <v>3.9805388078093529E-3</v>
      </c>
      <c r="T21" s="269">
        <v>0.16806232929229736</v>
      </c>
      <c r="U21"/>
      <c r="V21"/>
      <c r="W21"/>
      <c r="X21"/>
      <c r="Y21" s="14">
        <v>2.7362371329218149E-3</v>
      </c>
      <c r="Z21" s="274">
        <v>2.3491930216550827E-2</v>
      </c>
      <c r="AA21" s="269">
        <v>0.16645568609237671</v>
      </c>
      <c r="AB21"/>
      <c r="AC21"/>
      <c r="AD21"/>
      <c r="AE21" s="17">
        <v>1.3398589566349983E-2</v>
      </c>
      <c r="AF21" s="68">
        <v>6.4721979200839996E-2</v>
      </c>
      <c r="AG21"/>
      <c r="AH21"/>
      <c r="AI21"/>
      <c r="AJ21" s="281">
        <v>8.7276935577392578E-2</v>
      </c>
      <c r="AK21"/>
      <c r="AL21"/>
      <c r="AM21"/>
      <c r="AN21" s="291">
        <v>0.23517277836799622</v>
      </c>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1.1699999570846558</v>
      </c>
      <c r="C22">
        <v>6.2751762568950653E-2</v>
      </c>
      <c r="D22" s="11">
        <v>2.732714347075671E-5</v>
      </c>
      <c r="E22" s="14">
        <v>2.5277142412960529E-3</v>
      </c>
      <c r="F22" s="11">
        <v>8.7285716290352866E-6</v>
      </c>
      <c r="G22" s="11">
        <v>8.9263294285046868E-6</v>
      </c>
      <c r="H22"/>
      <c r="I22" s="11">
        <v>1.2707286805380136E-4</v>
      </c>
      <c r="J22" s="11">
        <v>9.0928566351067275E-5</v>
      </c>
      <c r="K22" s="11">
        <v>1.4847142665530555E-5</v>
      </c>
      <c r="L22" s="11">
        <v>7.8347142107304535E-8</v>
      </c>
      <c r="M22" s="11">
        <v>9.1538431661319919E-6</v>
      </c>
      <c r="N22" s="14">
        <v>1.7014715122058988E-3</v>
      </c>
      <c r="O22"/>
      <c r="P22" s="11">
        <v>2.5402741812285967E-5</v>
      </c>
      <c r="Q22"/>
      <c r="R22"/>
      <c r="S22"/>
      <c r="T22"/>
      <c r="U22"/>
      <c r="V22"/>
      <c r="W22" s="29">
        <v>5.4274704307317734E-2</v>
      </c>
      <c r="X22" s="14">
        <v>2.7967453934252262E-3</v>
      </c>
      <c r="Y22" s="29">
        <v>5.5733490735292435E-2</v>
      </c>
      <c r="Z22"/>
      <c r="AA22" s="278">
        <v>4.6369802206754684E-2</v>
      </c>
      <c r="AB22"/>
      <c r="AC22"/>
      <c r="AD22"/>
      <c r="AE22" s="11">
        <v>8.294364670291543E-4</v>
      </c>
      <c r="AF22" s="17">
        <v>1.6026394441723824E-2</v>
      </c>
      <c r="AG22" s="11">
        <v>3.6009034374728799E-4</v>
      </c>
      <c r="AH22"/>
      <c r="AI22" s="11">
        <v>5.1390082808211446E-4</v>
      </c>
      <c r="AJ22" s="286">
        <v>8.1042863428592682E-2</v>
      </c>
      <c r="AK22" s="65">
        <v>2.5834031403064728E-2</v>
      </c>
      <c r="AL22" s="278">
        <v>4.6054944396018982E-2</v>
      </c>
      <c r="AM22" s="326">
        <v>0.54549127817153931</v>
      </c>
      <c r="AN22" s="307">
        <v>0.11965738236904144</v>
      </c>
      <c r="AO22" s="21">
        <v>2.247990295290947E-2</v>
      </c>
      <c r="AP22" s="18">
        <v>1.329571008682251E-2</v>
      </c>
      <c r="AQ22" s="65">
        <v>2.6024393737316132E-2</v>
      </c>
      <c r="AR22"/>
      <c r="AS22"/>
      <c r="AT22"/>
      <c r="AU22"/>
      <c r="AV22" s="278">
        <v>4.5921489596366882E-2</v>
      </c>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0.99500000476837158</v>
      </c>
      <c r="C23">
        <v>0.76307827234268188</v>
      </c>
      <c r="D23" s="11">
        <v>7.0320646045729518E-5</v>
      </c>
      <c r="E23" s="14">
        <v>2.0877907518297434E-3</v>
      </c>
      <c r="F23"/>
      <c r="G23" s="11">
        <v>6.7255255999043584E-5</v>
      </c>
      <c r="H23"/>
      <c r="I23" s="11">
        <v>8.3526552771218121E-5</v>
      </c>
      <c r="J23"/>
      <c r="K23" s="11">
        <v>2.3491377305617789E-6</v>
      </c>
      <c r="L23"/>
      <c r="M23" s="11">
        <v>1.6233778296737E-5</v>
      </c>
      <c r="N23" s="14">
        <v>1.2694617034867406E-3</v>
      </c>
      <c r="O23"/>
      <c r="P23"/>
      <c r="Q23"/>
      <c r="R23"/>
      <c r="S23"/>
      <c r="T23"/>
      <c r="U23"/>
      <c r="V23"/>
      <c r="W23" s="17">
        <v>1.2988691218197346E-2</v>
      </c>
      <c r="X23" s="22">
        <v>6.8290084600448608E-3</v>
      </c>
      <c r="Y23" s="29">
        <v>4.7697633504867554E-2</v>
      </c>
      <c r="Z23"/>
      <c r="AA23" s="16">
        <v>1.537614967674017E-2</v>
      </c>
      <c r="AB23"/>
      <c r="AC23"/>
      <c r="AD23"/>
      <c r="AE23" s="11">
        <v>1.5264707542428368E-7</v>
      </c>
      <c r="AF23" s="14">
        <v>1.8832645146176219E-3</v>
      </c>
      <c r="AG23"/>
      <c r="AH23"/>
      <c r="AI23"/>
      <c r="AJ23" s="22">
        <v>8.062104694545269E-3</v>
      </c>
      <c r="AK23" s="309">
        <v>0.1156480684876442</v>
      </c>
      <c r="AL23"/>
      <c r="AM23"/>
      <c r="AN23"/>
      <c r="AO23"/>
      <c r="AP23" s="21">
        <v>1.9839761778712273E-2</v>
      </c>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0.65200001001358032</v>
      </c>
      <c r="C24">
        <v>0.31021717190742493</v>
      </c>
      <c r="D24" s="11">
        <v>1.7385746104991995E-5</v>
      </c>
      <c r="E24" s="11">
        <v>3.4520152257755399E-4</v>
      </c>
      <c r="F24" s="11">
        <v>1.4446760360442568E-5</v>
      </c>
      <c r="G24" s="11">
        <v>3.9962611481314525E-5</v>
      </c>
      <c r="H24"/>
      <c r="I24" s="11">
        <v>6.3330034026876092E-4</v>
      </c>
      <c r="J24" s="11">
        <v>8.4357256127987057E-5</v>
      </c>
      <c r="K24" s="11">
        <v>2.2656489818473347E-5</v>
      </c>
      <c r="L24" s="11">
        <v>3.9962610571819823E-6</v>
      </c>
      <c r="M24" s="11">
        <v>4.0113627619575709E-6</v>
      </c>
      <c r="N24" s="11">
        <v>1.2577870802488178E-4</v>
      </c>
      <c r="O24"/>
      <c r="P24" s="11">
        <v>3.7557179894065484E-5</v>
      </c>
      <c r="Q24"/>
      <c r="R24"/>
      <c r="S24"/>
      <c r="T24"/>
      <c r="U24"/>
      <c r="V24"/>
      <c r="W24"/>
      <c r="X24"/>
      <c r="Y24"/>
      <c r="Z24"/>
      <c r="AA24"/>
      <c r="AB24"/>
      <c r="AC24"/>
      <c r="AD24"/>
      <c r="AE24"/>
      <c r="AF24"/>
      <c r="AG24"/>
      <c r="AH24"/>
      <c r="AI24"/>
      <c r="AJ24"/>
      <c r="AK24"/>
      <c r="AL24" s="313">
        <v>0.34045419096946716</v>
      </c>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0.88700002431869507</v>
      </c>
      <c r="C25">
        <v>0.88573640584945679</v>
      </c>
      <c r="D25" s="11">
        <v>3.1408392260345863E-6</v>
      </c>
      <c r="E25" s="11">
        <v>4.210017214063555E-4</v>
      </c>
      <c r="F25" s="11">
        <v>1.3784247130388394E-5</v>
      </c>
      <c r="G25"/>
      <c r="H25"/>
      <c r="I25" s="11">
        <v>4.3856338015757501E-4</v>
      </c>
      <c r="J25" s="11">
        <v>3.2405823731096461E-5</v>
      </c>
      <c r="K25" s="11">
        <v>1.4070204997551627E-5</v>
      </c>
      <c r="L25" s="11">
        <v>6.892123565194197E-6</v>
      </c>
      <c r="M25" s="11">
        <v>3.3377305953763425E-4</v>
      </c>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1.2220000028610229</v>
      </c>
      <c r="C26">
        <v>1.1623038053512573</v>
      </c>
      <c r="D26" s="11">
        <v>1.0897984793700743E-5</v>
      </c>
      <c r="E26" s="14">
        <v>2.7342024259269238E-3</v>
      </c>
      <c r="F26" s="11">
        <v>8.5342408056021668E-6</v>
      </c>
      <c r="G26" s="11">
        <v>3.2694555557100102E-5</v>
      </c>
      <c r="H26"/>
      <c r="I26" s="11">
        <v>5.0412123528076336E-5</v>
      </c>
      <c r="J26" s="11">
        <v>1.1599355502767139E-6</v>
      </c>
      <c r="K26" s="11">
        <v>7.9969440776039846E-6</v>
      </c>
      <c r="L26"/>
      <c r="M26" s="11">
        <v>1.2126386536692735E-5</v>
      </c>
      <c r="N26" s="11">
        <v>1.0737187694758177E-3</v>
      </c>
      <c r="O26"/>
      <c r="P26"/>
      <c r="Q26"/>
      <c r="R26"/>
      <c r="S26"/>
      <c r="T26"/>
      <c r="U26"/>
      <c r="V26"/>
      <c r="W26" s="12">
        <v>4.7390232793986797E-3</v>
      </c>
      <c r="X26" s="11">
        <v>1.0696330718928948E-4</v>
      </c>
      <c r="Y26" s="18">
        <v>1.4482089318335056E-2</v>
      </c>
      <c r="Z26"/>
      <c r="AA26" s="16">
        <v>1.9507868215441704E-2</v>
      </c>
      <c r="AB26"/>
      <c r="AC26"/>
      <c r="AD26"/>
      <c r="AE26"/>
      <c r="AF26" s="18">
        <v>1.3484672643244267E-2</v>
      </c>
      <c r="AG26"/>
      <c r="AH26" s="11">
        <v>1.3963335368316621E-4</v>
      </c>
      <c r="AI26"/>
      <c r="AJ26" s="11">
        <v>1.5001754218246788E-4</v>
      </c>
      <c r="AK26" s="11">
        <v>1.4491238107439131E-4</v>
      </c>
      <c r="AL26"/>
      <c r="AM26"/>
      <c r="AN26" s="11">
        <v>6.0408108402043581E-4</v>
      </c>
      <c r="AO26"/>
      <c r="AP26" s="14">
        <v>2.4052185472100973E-3</v>
      </c>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v>2.25</v>
      </c>
      <c r="C27">
        <v>1.5112906694412231E-2</v>
      </c>
      <c r="D27" s="11">
        <v>6.1618752079084516E-4</v>
      </c>
      <c r="E27" s="14">
        <v>5.632499698549509E-3</v>
      </c>
      <c r="F27" s="11">
        <v>1.3375000662563252E-6</v>
      </c>
      <c r="G27" s="11">
        <v>1.5749999874969944E-5</v>
      </c>
      <c r="H27"/>
      <c r="I27" s="11">
        <v>1.790281203284394E-5</v>
      </c>
      <c r="J27" s="11">
        <v>5.2781251724809408E-6</v>
      </c>
      <c r="K27" s="11">
        <v>2.4665623641340062E-6</v>
      </c>
      <c r="L27"/>
      <c r="M27" s="11">
        <v>1.4206717605702579E-4</v>
      </c>
      <c r="N27" s="11">
        <v>3.721968678291887E-4</v>
      </c>
      <c r="O27"/>
      <c r="P27" s="11">
        <v>5.4898996495467145E-6</v>
      </c>
      <c r="Q27"/>
      <c r="R27" s="11">
        <v>1.6289436025545001E-3</v>
      </c>
      <c r="S27" s="11">
        <v>2.64928112301277E-5</v>
      </c>
      <c r="T27" s="14">
        <v>6.0594337992370129E-3</v>
      </c>
      <c r="U27" s="11">
        <v>1.5493907267227769E-3</v>
      </c>
      <c r="V27"/>
      <c r="W27" s="22">
        <v>1.8368912860751152E-2</v>
      </c>
      <c r="X27" s="11">
        <v>7.7863928163424134E-4</v>
      </c>
      <c r="Y27" s="12">
        <v>1.03988042101264E-2</v>
      </c>
      <c r="Z27" s="11">
        <v>3.181198553647846E-4</v>
      </c>
      <c r="AA27" s="18">
        <v>2.5922005996108055E-2</v>
      </c>
      <c r="AB27"/>
      <c r="AC27" s="11">
        <v>2.2028125822544098E-3</v>
      </c>
      <c r="AD27"/>
      <c r="AE27" s="11">
        <v>5.4431764874607325E-4</v>
      </c>
      <c r="AF27" s="21">
        <v>4.2069282382726669E-2</v>
      </c>
      <c r="AG27" s="23">
        <v>1.3784707523882389E-2</v>
      </c>
      <c r="AH27" s="14">
        <v>4.7350660897791386E-3</v>
      </c>
      <c r="AI27" s="17">
        <v>3.1226610764861107E-2</v>
      </c>
      <c r="AJ27" s="28">
        <v>7.8003756701946259E-2</v>
      </c>
      <c r="AK27" s="266">
        <v>0.39558357000350952</v>
      </c>
      <c r="AL27" s="15">
        <v>2.3507213220000267E-2</v>
      </c>
      <c r="AM27"/>
      <c r="AN27" s="333">
        <v>0.36645069718360901</v>
      </c>
      <c r="AO27"/>
      <c r="AP27" s="143">
        <v>6.398560106754303E-2</v>
      </c>
      <c r="AQ27" s="14">
        <v>2.9033462051302195E-3</v>
      </c>
      <c r="AR27" s="286">
        <v>0.15460485219955444</v>
      </c>
      <c r="AS27" s="343">
        <v>0.92451357841491699</v>
      </c>
      <c r="AT27"/>
      <c r="AU27" s="11">
        <v>7.121036178432405E-4</v>
      </c>
      <c r="AV27" s="26">
        <v>5.5249292403459549E-2</v>
      </c>
      <c r="AW27" s="14">
        <v>2.8624644037336111E-3</v>
      </c>
      <c r="AX27" s="11">
        <v>8.5763487732037902E-5</v>
      </c>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v>2.25</v>
      </c>
      <c r="C28">
        <v>1.4287322759628296E-2</v>
      </c>
      <c r="D28" s="11">
        <v>1.1791875294875354E-4</v>
      </c>
      <c r="E28" s="12">
        <v>8.839375339448452E-3</v>
      </c>
      <c r="F28" s="11">
        <v>6.968750199121132E-7</v>
      </c>
      <c r="G28" s="11">
        <v>1.0882905598919024E-6</v>
      </c>
      <c r="H28"/>
      <c r="I28" s="11">
        <v>1.4539687072101515E-5</v>
      </c>
      <c r="J28" s="11">
        <v>6.2500000730381089E-9</v>
      </c>
      <c r="K28" s="11">
        <v>4.6874997217116743E-9</v>
      </c>
      <c r="L28" s="11">
        <v>1.088290630946176E-7</v>
      </c>
      <c r="M28" s="11">
        <v>2.7187499654246494E-5</v>
      </c>
      <c r="N28" s="11">
        <v>1.86098459380446E-5</v>
      </c>
      <c r="O28"/>
      <c r="P28" s="11">
        <v>2.7449498247733572E-6</v>
      </c>
      <c r="Q28"/>
      <c r="R28" s="11">
        <v>7.4005313217639923E-4</v>
      </c>
      <c r="S28" s="11">
        <v>3.1997813493944705E-5</v>
      </c>
      <c r="T28" s="11">
        <v>1.4508503954857588E-3</v>
      </c>
      <c r="U28" s="14">
        <v>2.6950309984385967E-3</v>
      </c>
      <c r="V28" s="11">
        <v>3.6618747981265187E-4</v>
      </c>
      <c r="W28" s="23">
        <v>1.1424568481743336E-2</v>
      </c>
      <c r="X28" s="11">
        <v>7.7863928163424134E-4</v>
      </c>
      <c r="Y28" s="22">
        <v>1.7570391297340393E-2</v>
      </c>
      <c r="Z28" s="11">
        <v>1.0816074209287763E-3</v>
      </c>
      <c r="AA28" s="284">
        <v>7.4384890496730804E-2</v>
      </c>
      <c r="AB28"/>
      <c r="AC28" s="14">
        <v>2.9093751218169928E-3</v>
      </c>
      <c r="AD28"/>
      <c r="AE28" s="14">
        <v>3.0844667926430702E-3</v>
      </c>
      <c r="AF28" s="16">
        <v>3.6810625344514847E-2</v>
      </c>
      <c r="AG28" s="22">
        <v>1.9036024808883667E-2</v>
      </c>
      <c r="AH28" s="14">
        <v>4.7350660897791386E-3</v>
      </c>
      <c r="AI28" s="16">
        <v>3.7471931427717209E-2</v>
      </c>
      <c r="AJ28" s="26">
        <v>5.6730005890130997E-2</v>
      </c>
      <c r="AK28" s="266">
        <v>0.39558357000350952</v>
      </c>
      <c r="AL28" s="332">
        <v>0.36268270015716553</v>
      </c>
      <c r="AM28" s="79">
        <v>0.49719256162643433</v>
      </c>
      <c r="AN28"/>
      <c r="AO28"/>
      <c r="AP28" s="268">
        <v>0.16723509132862091</v>
      </c>
      <c r="AQ28" s="14">
        <v>2.2771342191845179E-3</v>
      </c>
      <c r="AR28" s="336">
        <v>0.51534950733184814</v>
      </c>
      <c r="AS28"/>
      <c r="AT28"/>
      <c r="AU28"/>
      <c r="AV28" s="23">
        <v>1.5067988075315952E-2</v>
      </c>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219</v>
      </c>
      <c r="B29">
        <v>1.9129999876022339</v>
      </c>
      <c r="C29">
        <v>0.18978729844093323</v>
      </c>
      <c r="D29" s="11">
        <v>2.0154615413048305E-5</v>
      </c>
      <c r="E29" s="11">
        <v>1.5119230374693871E-3</v>
      </c>
      <c r="F29"/>
      <c r="G29"/>
      <c r="H29"/>
      <c r="I29"/>
      <c r="J29"/>
      <c r="K29"/>
      <c r="L29"/>
      <c r="M29" s="11">
        <v>4.6508844206982758E-6</v>
      </c>
      <c r="N29"/>
      <c r="O29"/>
      <c r="P29" s="11">
        <v>6.7568003032647539E-6</v>
      </c>
      <c r="Q29"/>
      <c r="R29"/>
      <c r="S29"/>
      <c r="T29"/>
      <c r="U29"/>
      <c r="V29"/>
      <c r="W29" s="12">
        <v>6.6169449128210545E-3</v>
      </c>
      <c r="X29" s="11">
        <v>1.5059398720040917E-3</v>
      </c>
      <c r="Y29" s="14">
        <v>5.2959425374865532E-3</v>
      </c>
      <c r="Z29" s="11">
        <v>4.4746531784767285E-5</v>
      </c>
      <c r="AA29" s="23">
        <v>1.1097046546638012E-2</v>
      </c>
      <c r="AB29"/>
      <c r="AC29"/>
      <c r="AD29"/>
      <c r="AE29"/>
      <c r="AF29" s="22">
        <v>1.5101796016097069E-2</v>
      </c>
      <c r="AG29"/>
      <c r="AH29" s="11">
        <v>5.8277742937207222E-4</v>
      </c>
      <c r="AI29"/>
      <c r="AJ29" s="21">
        <v>3.7820003926753998E-2</v>
      </c>
      <c r="AK29" s="298">
        <v>0.2503913938999176</v>
      </c>
      <c r="AL29" s="76">
        <v>0.14879290759563446</v>
      </c>
      <c r="AM29" s="299">
        <v>0.171340212225914</v>
      </c>
      <c r="AN29" s="321">
        <v>0.2577235996723175</v>
      </c>
      <c r="AO29"/>
      <c r="AP29" s="276">
        <v>8.591073751449585E-2</v>
      </c>
      <c r="AQ29"/>
      <c r="AR29"/>
      <c r="AS29"/>
      <c r="AT29"/>
      <c r="AU29"/>
      <c r="AV29" s="328">
        <v>0.72944521903991699</v>
      </c>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220</v>
      </c>
      <c r="B30">
        <v>1.684999942779541</v>
      </c>
      <c r="C30">
        <v>0.43071767687797546</v>
      </c>
      <c r="D30" s="11">
        <v>9.6860465419013053E-5</v>
      </c>
      <c r="E30" s="16">
        <v>2.7320930734276772E-2</v>
      </c>
      <c r="F30"/>
      <c r="G30" s="11">
        <v>6.3770932001716574E-7</v>
      </c>
      <c r="H30"/>
      <c r="I30" s="11">
        <v>2.2093023233082931E-7</v>
      </c>
      <c r="J30"/>
      <c r="K30"/>
      <c r="L30" s="11">
        <v>6.3770926317374688E-8</v>
      </c>
      <c r="M30" s="11">
        <v>2.2379254005500115E-5</v>
      </c>
      <c r="N30" s="14">
        <v>2.7698371559381485E-3</v>
      </c>
      <c r="O30"/>
      <c r="P30"/>
      <c r="Q30"/>
      <c r="R30" s="22">
        <v>1.230697613209486E-2</v>
      </c>
      <c r="S30"/>
      <c r="T30"/>
      <c r="U30"/>
      <c r="V30"/>
      <c r="W30" s="23">
        <v>8.3352988585829735E-3</v>
      </c>
      <c r="X30"/>
      <c r="Y30" s="65">
        <v>3.7358973175287247E-2</v>
      </c>
      <c r="Z30"/>
      <c r="AA30" s="278">
        <v>6.7098416388034821E-2</v>
      </c>
      <c r="AB30"/>
      <c r="AC30"/>
      <c r="AD30"/>
      <c r="AE30"/>
      <c r="AF30" s="22">
        <v>1.304473914206028E-2</v>
      </c>
      <c r="AG30"/>
      <c r="AH30" s="11">
        <v>2.3491801402997226E-4</v>
      </c>
      <c r="AI30" s="14">
        <v>3.9505292661488056E-3</v>
      </c>
      <c r="AJ30" s="25">
        <v>5.2772097289562225E-2</v>
      </c>
      <c r="AK30" s="317">
        <v>0.47662782669067383</v>
      </c>
      <c r="AL30" s="18">
        <v>1.874329149723053E-2</v>
      </c>
      <c r="AM30" s="24">
        <v>4.6620473265647888E-2</v>
      </c>
      <c r="AN30" s="318">
        <v>0.48697766661643982</v>
      </c>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221</v>
      </c>
      <c r="B31">
        <v>1.5659999847412109</v>
      </c>
      <c r="C31">
        <v>1.0404578447341919</v>
      </c>
      <c r="D31" s="11">
        <v>4.3445208575576544E-5</v>
      </c>
      <c r="E31" s="11">
        <v>1.5284125693142414E-3</v>
      </c>
      <c r="F31" s="11">
        <v>3.1548790246915814E-8</v>
      </c>
      <c r="G31" s="11">
        <v>3.736638609552756E-5</v>
      </c>
      <c r="H31"/>
      <c r="I31" s="11">
        <v>4.5367158918452333E-7</v>
      </c>
      <c r="J31"/>
      <c r="K31" s="11">
        <v>3.2936935667748912E-7</v>
      </c>
      <c r="L31" s="11">
        <v>3.0867336135997903E-6</v>
      </c>
      <c r="M31" s="11">
        <v>1.0032514182967134E-5</v>
      </c>
      <c r="N31"/>
      <c r="O31"/>
      <c r="P31"/>
      <c r="Q31" s="11">
        <v>5.0793555601558182E-6</v>
      </c>
      <c r="R31"/>
      <c r="S31"/>
      <c r="T31"/>
      <c r="U31"/>
      <c r="V31"/>
      <c r="W31" s="12">
        <v>6.7845894955098629E-3</v>
      </c>
      <c r="X31" s="14">
        <v>2.3021034430712461E-3</v>
      </c>
      <c r="Y31" s="12">
        <v>5.0681107677519321E-3</v>
      </c>
      <c r="Z31"/>
      <c r="AA31" s="17">
        <v>2.2756393998861313E-2</v>
      </c>
      <c r="AB31"/>
      <c r="AC31"/>
      <c r="AD31" s="11">
        <v>4.1164865251630545E-4</v>
      </c>
      <c r="AE31" s="14">
        <v>3.5413643345236778E-3</v>
      </c>
      <c r="AF31" s="19">
        <v>2.8314348310232162E-2</v>
      </c>
      <c r="AG31" s="69">
        <v>0.14446660876274109</v>
      </c>
      <c r="AH31"/>
      <c r="AI31"/>
      <c r="AJ31" s="29">
        <v>7.3976874351501465E-2</v>
      </c>
      <c r="AK31" s="67">
        <v>9.1283634305000305E-2</v>
      </c>
      <c r="AL31" s="22">
        <v>1.3561125844717026E-2</v>
      </c>
      <c r="AM31" s="70">
        <v>8.0311417579650879E-2</v>
      </c>
      <c r="AN31" s="11">
        <v>1.1891393223777413E-3</v>
      </c>
      <c r="AO31"/>
      <c r="AP31" s="25">
        <v>4.9916159361600876E-2</v>
      </c>
      <c r="AQ31"/>
      <c r="AR31"/>
      <c r="AS31"/>
      <c r="AT31"/>
      <c r="AU31"/>
      <c r="AV31" s="11">
        <v>3.0424114811467007E-5</v>
      </c>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222</v>
      </c>
      <c r="B32">
        <v>4.0999999046325684</v>
      </c>
      <c r="C32">
        <v>5.8868467807769775E-2</v>
      </c>
      <c r="D32" s="11">
        <v>3.4188000427093357E-5</v>
      </c>
      <c r="E32" s="11">
        <v>1.6245999722741544E-4</v>
      </c>
      <c r="F32"/>
      <c r="G32"/>
      <c r="H32"/>
      <c r="I32" s="11">
        <v>5.1699998948606662E-8</v>
      </c>
      <c r="J32" s="11">
        <v>6.9999996910041773E-9</v>
      </c>
      <c r="K32" s="11">
        <v>8.4500001662490831E-8</v>
      </c>
      <c r="L32"/>
      <c r="M32" s="11">
        <v>7.8923094406491145E-6</v>
      </c>
      <c r="N32" s="11">
        <v>1.2386713642627001E-3</v>
      </c>
      <c r="O32"/>
      <c r="P32"/>
      <c r="Q32" s="11">
        <v>8.0500001331529347E-7</v>
      </c>
      <c r="R32" s="11">
        <v>1.8521999663789757E-5</v>
      </c>
      <c r="S32" s="11">
        <v>3.9636001019971445E-5</v>
      </c>
      <c r="T32" s="11">
        <v>2.2394305560737848E-3</v>
      </c>
      <c r="U32" s="11">
        <v>2.5678498786874115E-4</v>
      </c>
      <c r="V32" s="11">
        <v>2.2264199797064066E-3</v>
      </c>
      <c r="W32" s="22">
        <v>2.9820363968610764E-2</v>
      </c>
      <c r="X32" s="11">
        <v>3.2035447657108307E-3</v>
      </c>
      <c r="Y32" s="17">
        <v>5.9552870690822601E-2</v>
      </c>
      <c r="Z32" s="11">
        <v>1.0587029391899705E-3</v>
      </c>
      <c r="AA32" s="340">
        <v>0.19835971295833588</v>
      </c>
      <c r="AB32" s="11">
        <v>5.1557563710957766E-4</v>
      </c>
      <c r="AC32" s="14">
        <v>1.1358199641108513E-2</v>
      </c>
      <c r="AD32" s="11">
        <v>1.3352454698178917E-4</v>
      </c>
      <c r="AE32" s="12">
        <v>1.5424753539264202E-2</v>
      </c>
      <c r="AF32" s="20">
        <v>0.17921516299247742</v>
      </c>
      <c r="AG32" s="143">
        <v>0.12015014886856079</v>
      </c>
      <c r="AH32" s="24">
        <v>0.10960099846124649</v>
      </c>
      <c r="AI32" s="315">
        <v>0.77841699123382568</v>
      </c>
      <c r="AJ32" s="17">
        <v>5.9755604714155197E-2</v>
      </c>
      <c r="AK32" s="21">
        <v>7.8363224864006042E-2</v>
      </c>
      <c r="AL32" s="17">
        <v>5.373077467083931E-2</v>
      </c>
      <c r="AM32" s="278">
        <v>0.15910162031650543</v>
      </c>
      <c r="AN32" s="70">
        <v>0.20940038561820984</v>
      </c>
      <c r="AO32" s="21">
        <v>7.8679665923118591E-2</v>
      </c>
      <c r="AP32" s="346">
        <v>0.33458653092384338</v>
      </c>
      <c r="AQ32" s="331">
        <v>0.54651224613189697</v>
      </c>
      <c r="AR32"/>
      <c r="AS32" s="137">
        <v>0.53040659427642822</v>
      </c>
      <c r="AT32"/>
      <c r="AU32" s="17">
        <v>5.601881816983223E-2</v>
      </c>
      <c r="AV32" s="15">
        <v>4.3395806103944778E-2</v>
      </c>
      <c r="AW32" s="14">
        <v>6.106590386480093E-3</v>
      </c>
      <c r="AX32" s="12">
        <v>1.2663590721786022E-2</v>
      </c>
      <c r="AY32"/>
      <c r="AZ32"/>
      <c r="BA32" s="347">
        <v>0.35937425494194031</v>
      </c>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223</v>
      </c>
      <c r="B33">
        <v>1.7979999780654907</v>
      </c>
      <c r="C33">
        <v>1.3647269010543823</v>
      </c>
      <c r="D33" s="11">
        <v>5.7847071730066091E-5</v>
      </c>
      <c r="E33" s="11">
        <v>1.4611441874876618E-3</v>
      </c>
      <c r="F33"/>
      <c r="G33"/>
      <c r="H33"/>
      <c r="I33" s="11">
        <v>2.2284693841356784E-6</v>
      </c>
      <c r="J33" s="11">
        <v>1.6630368691039621E-6</v>
      </c>
      <c r="K33" s="11">
        <v>5.3882394013271551E-7</v>
      </c>
      <c r="L33"/>
      <c r="M33" s="11">
        <v>1.3355449482332915E-5</v>
      </c>
      <c r="N33"/>
      <c r="O33"/>
      <c r="P33" s="11">
        <v>5.8431396610103548E-5</v>
      </c>
      <c r="Q33"/>
      <c r="R33"/>
      <c r="S33"/>
      <c r="T33"/>
      <c r="U33"/>
      <c r="V33"/>
      <c r="W33" s="15">
        <v>1.6689738258719444E-2</v>
      </c>
      <c r="X33" s="12">
        <v>7.6954406686127186E-3</v>
      </c>
      <c r="Y33" s="284">
        <v>6.1064276844263077E-2</v>
      </c>
      <c r="Z33" s="11">
        <v>1.5478346031159163E-3</v>
      </c>
      <c r="AA33" s="288">
        <v>9.5964938402175903E-2</v>
      </c>
      <c r="AB33"/>
      <c r="AC33"/>
      <c r="AD33"/>
      <c r="AE33" s="22">
        <v>1.4805383048951626E-2</v>
      </c>
      <c r="AF33" s="70">
        <v>9.3283697962760925E-2</v>
      </c>
      <c r="AG33" s="20">
        <v>7.6851584017276764E-2</v>
      </c>
      <c r="AH33" s="23">
        <v>9.7434921190142632E-3</v>
      </c>
      <c r="AI33"/>
      <c r="AJ33" s="24">
        <v>5.0316847860813141E-2</v>
      </c>
      <c r="AK33"/>
      <c r="AL33"/>
      <c r="AM33"/>
      <c r="AN33"/>
      <c r="AO33"/>
      <c r="AP33" s="14">
        <v>3.7146906834095716E-3</v>
      </c>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224</v>
      </c>
      <c r="B34">
        <v>3.2999999523162842</v>
      </c>
      <c r="C34">
        <v>0.11442986875772476</v>
      </c>
      <c r="D34" s="11">
        <v>1.9062413775827736E-4</v>
      </c>
      <c r="E34" s="11">
        <v>1.7339863115921617E-3</v>
      </c>
      <c r="F34"/>
      <c r="G34" s="11">
        <v>6.2463783478960977E-7</v>
      </c>
      <c r="H34"/>
      <c r="I34" s="11">
        <v>1.4578587581581814E-7</v>
      </c>
      <c r="J34" s="11">
        <v>7.3895214882213622E-5</v>
      </c>
      <c r="K34" s="11">
        <v>1.8587699059935403E-6</v>
      </c>
      <c r="L34" s="11">
        <v>6.2463776373533619E-8</v>
      </c>
      <c r="M34" s="11">
        <v>4.3946012738160789E-5</v>
      </c>
      <c r="N34"/>
      <c r="O34"/>
      <c r="P34" s="11">
        <v>8.0034988059196621E-5</v>
      </c>
      <c r="Q34"/>
      <c r="R34"/>
      <c r="S34"/>
      <c r="T34"/>
      <c r="U34"/>
      <c r="V34"/>
      <c r="W34" s="312">
        <v>0.65315324068069458</v>
      </c>
      <c r="X34" s="18">
        <v>3.8919296115636826E-2</v>
      </c>
      <c r="Y34" s="286">
        <v>0.22478601336479187</v>
      </c>
      <c r="Z34" s="23">
        <v>2.0008526742458344E-2</v>
      </c>
      <c r="AA34" s="275">
        <v>0.37790623307228088</v>
      </c>
      <c r="AB34"/>
      <c r="AC34"/>
      <c r="AD34"/>
      <c r="AE34" s="15">
        <v>3.5268370062112808E-2</v>
      </c>
      <c r="AF34" s="319">
        <v>1.0605165958404541</v>
      </c>
      <c r="AG34"/>
      <c r="AH34" s="22">
        <v>2.3010190576314926E-2</v>
      </c>
      <c r="AI34"/>
      <c r="AJ34" s="15">
        <v>3.4460138529539108E-2</v>
      </c>
      <c r="AK34"/>
      <c r="AL34"/>
      <c r="AM34" s="20">
        <v>0.14496730268001556</v>
      </c>
      <c r="AN34" s="297">
        <v>0.19079764187335968</v>
      </c>
      <c r="AO34"/>
      <c r="AP34" s="72">
        <v>0.2332049161195755</v>
      </c>
      <c r="AQ34"/>
      <c r="AR34"/>
      <c r="AS34"/>
      <c r="AT34"/>
      <c r="AU34"/>
      <c r="AV34" s="276">
        <v>0.14644666016101837</v>
      </c>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225</v>
      </c>
      <c r="B35">
        <v>0.50700002908706665</v>
      </c>
      <c r="C35">
        <v>0.50564038753509521</v>
      </c>
      <c r="D35" s="11">
        <v>1.945777739820187E-6</v>
      </c>
      <c r="E35" s="14">
        <v>1.3420000905171037E-3</v>
      </c>
      <c r="F35"/>
      <c r="G35"/>
      <c r="H35"/>
      <c r="I35" s="11">
        <v>5.466666607389925E-6</v>
      </c>
      <c r="J35"/>
      <c r="K35" s="11">
        <v>5.5555555711350735E-9</v>
      </c>
      <c r="L35"/>
      <c r="M35" s="11">
        <v>4.4871779891764163E-7</v>
      </c>
      <c r="N35"/>
      <c r="O35"/>
      <c r="P35" s="11">
        <v>9.7598222055239603E-6</v>
      </c>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226</v>
      </c>
      <c r="B36">
        <v>0.92199999094009399</v>
      </c>
      <c r="C36">
        <v>0.78239542245864868</v>
      </c>
      <c r="D36" s="11">
        <v>6.6360000346321613E-5</v>
      </c>
      <c r="E36" s="11">
        <v>3.4526400850154459E-4</v>
      </c>
      <c r="F36"/>
      <c r="G36"/>
      <c r="H36"/>
      <c r="I36"/>
      <c r="J36"/>
      <c r="K36"/>
      <c r="L36"/>
      <c r="M36" s="11">
        <v>1.5323079423978925E-5</v>
      </c>
      <c r="N36"/>
      <c r="O36"/>
      <c r="P36"/>
      <c r="Q36"/>
      <c r="R36"/>
      <c r="S36"/>
      <c r="T36"/>
      <c r="U36"/>
      <c r="V36"/>
      <c r="W36"/>
      <c r="X36"/>
      <c r="Y36"/>
      <c r="Z36"/>
      <c r="AA36"/>
      <c r="AB36"/>
      <c r="AC36"/>
      <c r="AD36"/>
      <c r="AE36"/>
      <c r="AF36"/>
      <c r="AG36"/>
      <c r="AH36"/>
      <c r="AI36"/>
      <c r="AJ36" s="322">
        <v>0.13917762041091919</v>
      </c>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227</v>
      </c>
      <c r="B37">
        <v>0.32800000905990601</v>
      </c>
      <c r="C37">
        <v>0.32775506377220154</v>
      </c>
      <c r="D37"/>
      <c r="E37" s="11">
        <v>2.4494959507137537E-4</v>
      </c>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228</v>
      </c>
      <c r="B38">
        <v>0.5899999737739563</v>
      </c>
      <c r="C38">
        <v>0.58735305070877075</v>
      </c>
      <c r="D38" s="11">
        <v>2.6429488207213581E-4</v>
      </c>
      <c r="E38" s="12">
        <v>2.3215967230498791E-3</v>
      </c>
      <c r="F38"/>
      <c r="G38"/>
      <c r="H38"/>
      <c r="I38"/>
      <c r="J38"/>
      <c r="K38"/>
      <c r="L38"/>
      <c r="M38" s="11">
        <v>6.1044876929372549E-5</v>
      </c>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229</v>
      </c>
      <c r="B39">
        <v>0.15899999439716339</v>
      </c>
      <c r="C39">
        <v>0.15899999439716339</v>
      </c>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230</v>
      </c>
      <c r="B40">
        <v>1.7779999971389771</v>
      </c>
      <c r="C40">
        <v>0.17774875462055206</v>
      </c>
      <c r="D40" s="11">
        <v>3.5050386213697493E-4</v>
      </c>
      <c r="E40" s="11">
        <v>1.3149341975804418E-4</v>
      </c>
      <c r="F40"/>
      <c r="G40"/>
      <c r="H40"/>
      <c r="I40"/>
      <c r="J40"/>
      <c r="K40"/>
      <c r="L40"/>
      <c r="M40" s="11">
        <v>8.088557660812512E-5</v>
      </c>
      <c r="N40" s="11">
        <v>1.0815043060574681E-4</v>
      </c>
      <c r="O40"/>
      <c r="P40"/>
      <c r="Q40"/>
      <c r="R40"/>
      <c r="S40"/>
      <c r="T40"/>
      <c r="U40"/>
      <c r="V40"/>
      <c r="W40" s="11">
        <v>1.9527486074366607E-5</v>
      </c>
      <c r="X40" s="22">
        <v>1.5352791175246239E-2</v>
      </c>
      <c r="Y40" s="274">
        <v>4.1677422821521759E-2</v>
      </c>
      <c r="Z40"/>
      <c r="AA40" s="26">
        <v>4.5848410576581955E-2</v>
      </c>
      <c r="AB40" s="137">
        <v>0.22897471487522125</v>
      </c>
      <c r="AC40"/>
      <c r="AD40"/>
      <c r="AE40"/>
      <c r="AF40" s="11">
        <v>1.5280256047844887E-3</v>
      </c>
      <c r="AG40" s="11">
        <v>5.722094647353515E-5</v>
      </c>
      <c r="AH40" s="11">
        <v>1.1007064022123814E-3</v>
      </c>
      <c r="AI40" s="11">
        <v>6.3515303190797567E-4</v>
      </c>
      <c r="AJ40" s="64">
        <v>9.6157930791378021E-2</v>
      </c>
      <c r="AK40" s="13">
        <v>6.5683417022228241E-2</v>
      </c>
      <c r="AL40" s="65">
        <v>3.9031796157360077E-2</v>
      </c>
      <c r="AM40" s="26">
        <v>4.5074895024299622E-2</v>
      </c>
      <c r="AN40" s="281">
        <v>0.1521153450012207</v>
      </c>
      <c r="AO40"/>
      <c r="AP40" s="11">
        <v>4.6481243771268055E-5</v>
      </c>
      <c r="AQ40" s="277">
        <v>0.33083704113960266</v>
      </c>
      <c r="AR40"/>
      <c r="AS40"/>
      <c r="AT40"/>
      <c r="AU40" s="320">
        <v>0.47706139087677002</v>
      </c>
      <c r="AV40" s="284">
        <v>5.8378037065267563E-2</v>
      </c>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231</v>
      </c>
      <c r="B41">
        <v>1.7779999971389771</v>
      </c>
      <c r="C41">
        <v>5.3326278924942017E-2</v>
      </c>
      <c r="D41" s="11">
        <v>1.7568360135555849E-6</v>
      </c>
      <c r="E41" s="11">
        <v>1.3335925177671015E-4</v>
      </c>
      <c r="F41"/>
      <c r="G41"/>
      <c r="H41"/>
      <c r="I41"/>
      <c r="J41"/>
      <c r="K41"/>
      <c r="L41"/>
      <c r="M41" s="11">
        <v>4.0538117218602565E-7</v>
      </c>
      <c r="N41" s="12">
        <v>6.1419056728482246E-3</v>
      </c>
      <c r="O41"/>
      <c r="P41"/>
      <c r="Q41"/>
      <c r="R41"/>
      <c r="S41"/>
      <c r="T41"/>
      <c r="U41"/>
      <c r="V41"/>
      <c r="W41" s="14">
        <v>1.8436803948134184E-3</v>
      </c>
      <c r="X41" s="14">
        <v>2.5862634647637606E-3</v>
      </c>
      <c r="Y41" s="18">
        <v>2.1839017048478127E-2</v>
      </c>
      <c r="Z41" s="11">
        <v>4.4883840018883348E-4</v>
      </c>
      <c r="AA41" s="65">
        <v>3.8031257688999176E-2</v>
      </c>
      <c r="AB41" s="12">
        <v>6.3489456661045551E-3</v>
      </c>
      <c r="AC41"/>
      <c r="AD41" s="11">
        <v>4.81013412354514E-5</v>
      </c>
      <c r="AE41" s="11">
        <v>1.1448637815192342E-3</v>
      </c>
      <c r="AF41" s="12">
        <v>7.9347379505634308E-3</v>
      </c>
      <c r="AG41" s="12">
        <v>5.4024937562644482E-3</v>
      </c>
      <c r="AH41" s="14">
        <v>2.5980696082115173E-3</v>
      </c>
      <c r="AI41" s="14">
        <v>5.1400917582213879E-3</v>
      </c>
      <c r="AJ41" s="12">
        <v>7.7817551791667938E-3</v>
      </c>
      <c r="AK41" s="16">
        <v>2.7906637638807297E-2</v>
      </c>
      <c r="AL41" s="276">
        <v>8.0152504146099091E-2</v>
      </c>
      <c r="AM41" s="13">
        <v>6.547275185585022E-2</v>
      </c>
      <c r="AN41" s="331">
        <v>0.23697154223918915</v>
      </c>
      <c r="AO41"/>
      <c r="AP41" s="21">
        <v>3.351224958896637E-2</v>
      </c>
      <c r="AQ41" s="337">
        <v>0.468537837266922</v>
      </c>
      <c r="AR41"/>
      <c r="AS41"/>
      <c r="AT41"/>
      <c r="AU41" s="278">
        <v>6.8376354873180389E-2</v>
      </c>
      <c r="AV41" s="14">
        <v>4.1338051669299603E-3</v>
      </c>
      <c r="AW41"/>
      <c r="AX41" s="11">
        <v>2.0167420734651387E-4</v>
      </c>
      <c r="AY41"/>
      <c r="AZ41"/>
      <c r="BA41"/>
      <c r="BB41" s="341">
        <v>0.63198280334472656</v>
      </c>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232</v>
      </c>
      <c r="B42">
        <v>2.7000000476837158</v>
      </c>
      <c r="C42">
        <v>8.0804549157619476E-2</v>
      </c>
      <c r="D42" s="11">
        <v>4.8976062316796742E-7</v>
      </c>
      <c r="E42" s="11">
        <v>4.0876424463931471E-5</v>
      </c>
      <c r="F42"/>
      <c r="G42"/>
      <c r="H42"/>
      <c r="I42"/>
      <c r="J42"/>
      <c r="K42"/>
      <c r="L42"/>
      <c r="M42" s="11">
        <v>1.1280765477295063E-7</v>
      </c>
      <c r="N42"/>
      <c r="O42"/>
      <c r="P42"/>
      <c r="Q42"/>
      <c r="R42"/>
      <c r="S42"/>
      <c r="T42"/>
      <c r="U42"/>
      <c r="V42"/>
      <c r="W42" s="14">
        <v>3.069309750571847E-3</v>
      </c>
      <c r="X42" s="11">
        <v>3.048171492991969E-5</v>
      </c>
      <c r="Y42" s="14">
        <v>6.5508140251040459E-3</v>
      </c>
      <c r="Z42" s="11">
        <v>6.2267848988994956E-5</v>
      </c>
      <c r="AA42" s="21">
        <v>5.1474321633577347E-2</v>
      </c>
      <c r="AB42"/>
      <c r="AC42"/>
      <c r="AD42"/>
      <c r="AE42" s="11">
        <v>6.9055742642376572E-5</v>
      </c>
      <c r="AF42" s="14">
        <v>3.0021681450307369E-3</v>
      </c>
      <c r="AG42" s="278">
        <v>0.10417965799570084</v>
      </c>
      <c r="AH42" s="22">
        <v>2.342815138399601E-2</v>
      </c>
      <c r="AI42" s="23">
        <v>1.4261812902987003E-2</v>
      </c>
      <c r="AJ42" s="18">
        <v>3.2387148588895798E-2</v>
      </c>
      <c r="AK42" s="18">
        <v>3.0111812055110931E-2</v>
      </c>
      <c r="AL42" s="22">
        <v>2.3006163537502289E-2</v>
      </c>
      <c r="AM42" s="66">
        <v>0.11353885382413864</v>
      </c>
      <c r="AN42" s="64">
        <v>0.14943329989910126</v>
      </c>
      <c r="AO42" s="14">
        <v>5.5586271919310093E-3</v>
      </c>
      <c r="AP42" s="14">
        <v>3.3208515960723162E-3</v>
      </c>
      <c r="AQ42" s="18">
        <v>3.2500386238098145E-2</v>
      </c>
      <c r="AR42"/>
      <c r="AS42"/>
      <c r="AT42"/>
      <c r="AU42"/>
      <c r="AV42" s="344">
        <v>1.0781563520431519</v>
      </c>
      <c r="AW42" s="298">
        <v>0.35407236218452454</v>
      </c>
      <c r="AX42" s="16">
        <v>3.9869345724582672E-2</v>
      </c>
      <c r="AY42"/>
      <c r="AZ42"/>
      <c r="BA42" s="335">
        <v>0.54798793792724609</v>
      </c>
      <c r="BB42"/>
      <c r="BC42"/>
      <c r="BD42"/>
      <c r="BE42" s="14">
        <v>3.0828590970486403E-3</v>
      </c>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t="s">
        <v>233</v>
      </c>
      <c r="B43">
        <v>3.7200000286102295</v>
      </c>
      <c r="C43">
        <v>0.9306488037109375</v>
      </c>
      <c r="D43"/>
      <c r="E43"/>
      <c r="F43"/>
      <c r="G43"/>
      <c r="H43"/>
      <c r="I43"/>
      <c r="J43" s="11">
        <v>1.3560243132815231E-5</v>
      </c>
      <c r="K43"/>
      <c r="L43"/>
      <c r="M43"/>
      <c r="N43"/>
      <c r="O43"/>
      <c r="P43"/>
      <c r="Q43"/>
      <c r="R43"/>
      <c r="S43"/>
      <c r="T43"/>
      <c r="U43"/>
      <c r="V43"/>
      <c r="W43"/>
      <c r="X43"/>
      <c r="Y43"/>
      <c r="Z43"/>
      <c r="AA43"/>
      <c r="AB43"/>
      <c r="AC43"/>
      <c r="AD43"/>
      <c r="AE43"/>
      <c r="AF43"/>
      <c r="AG43"/>
      <c r="AH43"/>
      <c r="AI43"/>
      <c r="AJ43"/>
      <c r="AK43"/>
      <c r="AL43"/>
      <c r="AM43" s="278">
        <v>0.14879010617733002</v>
      </c>
      <c r="AN43" s="14">
        <v>7.8331595286726952E-3</v>
      </c>
      <c r="AO43"/>
      <c r="AP43"/>
      <c r="AQ43"/>
      <c r="AR43"/>
      <c r="AS43"/>
      <c r="AT43"/>
      <c r="AU43"/>
      <c r="AV43" s="21">
        <v>7.5154237449169159E-2</v>
      </c>
      <c r="AW43"/>
      <c r="AX43"/>
      <c r="AY43"/>
      <c r="AZ43" s="269">
        <v>0.61015325784683228</v>
      </c>
      <c r="BA43"/>
      <c r="BB43" s="295">
        <v>1.9474071264266968</v>
      </c>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t="s">
        <v>234</v>
      </c>
      <c r="B44">
        <v>3.119999885559082</v>
      </c>
      <c r="C44">
        <v>0.44723042845726013</v>
      </c>
      <c r="D44"/>
      <c r="E44"/>
      <c r="F44"/>
      <c r="G44"/>
      <c r="H44"/>
      <c r="I44"/>
      <c r="J44"/>
      <c r="K44"/>
      <c r="L44"/>
      <c r="M44"/>
      <c r="N44"/>
      <c r="O44"/>
      <c r="P44"/>
      <c r="Q44"/>
      <c r="R44"/>
      <c r="S44"/>
      <c r="T44"/>
      <c r="U44"/>
      <c r="V44"/>
      <c r="W44"/>
      <c r="X44"/>
      <c r="Y44"/>
      <c r="Z44"/>
      <c r="AA44"/>
      <c r="AB44"/>
      <c r="AC44" s="14">
        <v>3.516476834192872E-3</v>
      </c>
      <c r="AD44"/>
      <c r="AE44"/>
      <c r="AF44" s="287">
        <v>0.74153214693069458</v>
      </c>
      <c r="AG44"/>
      <c r="AH44"/>
      <c r="AI44"/>
      <c r="AJ44" s="25">
        <v>9.9994860589504242E-2</v>
      </c>
      <c r="AK44"/>
      <c r="AL44"/>
      <c r="AM44" s="24">
        <v>8.4131896495819092E-2</v>
      </c>
      <c r="AN44" s="14">
        <v>4.4291829690337181E-3</v>
      </c>
      <c r="AO44"/>
      <c r="AP44" s="278">
        <v>0.12303698807954788</v>
      </c>
      <c r="AQ44"/>
      <c r="AR44"/>
      <c r="AS44"/>
      <c r="AT44"/>
      <c r="AU44"/>
      <c r="AV44" s="64">
        <v>0.16998088359832764</v>
      </c>
      <c r="AW44"/>
      <c r="AX44"/>
      <c r="AY44"/>
      <c r="AZ44" s="283">
        <v>0.34500512480735779</v>
      </c>
      <c r="BA44"/>
      <c r="BB44" s="296">
        <v>1.1011421680450439</v>
      </c>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t="s">
        <v>235</v>
      </c>
      <c r="B45">
        <v>3.2000000476837158</v>
      </c>
      <c r="C45">
        <v>0.8344988226890564</v>
      </c>
      <c r="D45" s="23">
        <v>1.8133332952857018E-2</v>
      </c>
      <c r="E45" s="11">
        <v>1.0151999304071069E-3</v>
      </c>
      <c r="F45"/>
      <c r="G45"/>
      <c r="H45"/>
      <c r="I45"/>
      <c r="J45"/>
      <c r="K45"/>
      <c r="L45"/>
      <c r="M45"/>
      <c r="N45" s="11">
        <v>3.9701003697700799E-4</v>
      </c>
      <c r="O45"/>
      <c r="P45"/>
      <c r="Q45"/>
      <c r="R45"/>
      <c r="S45"/>
      <c r="T45"/>
      <c r="U45"/>
      <c r="V45"/>
      <c r="W45"/>
      <c r="X45" s="11">
        <v>1.957721688086167E-4</v>
      </c>
      <c r="Y45" s="11">
        <v>1.070957281626761E-3</v>
      </c>
      <c r="Z45" s="11">
        <v>8.919474930735305E-5</v>
      </c>
      <c r="AA45" s="65">
        <v>7.2130791842937469E-2</v>
      </c>
      <c r="AB45"/>
      <c r="AC45" s="14">
        <v>3.5466668196022511E-3</v>
      </c>
      <c r="AD45"/>
      <c r="AE45" s="11">
        <v>1.2902345042675734E-3</v>
      </c>
      <c r="AF45" s="290">
        <v>0.37394919991493225</v>
      </c>
      <c r="AG45"/>
      <c r="AH45" s="11">
        <v>3.703873953782022E-4</v>
      </c>
      <c r="AI45"/>
      <c r="AJ45" s="68">
        <v>0.20170667767524719</v>
      </c>
      <c r="AK45"/>
      <c r="AL45"/>
      <c r="AM45" s="284">
        <v>0.10818910598754883</v>
      </c>
      <c r="AN45" s="11">
        <v>2.7920054271817207E-3</v>
      </c>
      <c r="AO45"/>
      <c r="AP45" s="143">
        <v>9.3069963157176971E-2</v>
      </c>
      <c r="AQ45" s="27">
        <v>0.24289433658123016</v>
      </c>
      <c r="AR45"/>
      <c r="AS45"/>
      <c r="AT45"/>
      <c r="AU45"/>
      <c r="AV45" s="19">
        <v>5.3575068712234497E-2</v>
      </c>
      <c r="AW45"/>
      <c r="AX45"/>
      <c r="AY45"/>
      <c r="AZ45" s="299">
        <v>0.28997257351875305</v>
      </c>
      <c r="BA45"/>
      <c r="BB45" s="305">
        <v>0.5552978515625</v>
      </c>
      <c r="BC45"/>
      <c r="BD45"/>
      <c r="BE45"/>
      <c r="BF45"/>
      <c r="BG45"/>
      <c r="BH45"/>
      <c r="BI45"/>
      <c r="BJ45"/>
      <c r="BK45"/>
      <c r="BL45"/>
      <c r="BM45" s="27">
        <v>0.24319079518318176</v>
      </c>
      <c r="BN45" s="25">
        <v>0.10262403637170792</v>
      </c>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t="s">
        <v>236</v>
      </c>
      <c r="B46">
        <v>3.5</v>
      </c>
      <c r="C46">
        <v>0.51146173477172852</v>
      </c>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s="294">
        <v>2.9885382652282715</v>
      </c>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t="s">
        <v>237</v>
      </c>
      <c r="B47">
        <v>3.4000000953674316</v>
      </c>
      <c r="C47">
        <v>0.69029349088668823</v>
      </c>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s="302">
        <v>2.609752893447876</v>
      </c>
      <c r="BA47"/>
      <c r="BB47" s="143">
        <v>9.9953606724739075E-2</v>
      </c>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t="s">
        <v>238</v>
      </c>
      <c r="B48">
        <v>2.3399999141693115</v>
      </c>
      <c r="C48">
        <v>0.24306522309780121</v>
      </c>
      <c r="D48"/>
      <c r="E48" s="25">
        <v>7.390274852514267E-2</v>
      </c>
      <c r="F48"/>
      <c r="G48"/>
      <c r="H48"/>
      <c r="I48"/>
      <c r="J48"/>
      <c r="K48"/>
      <c r="L48"/>
      <c r="M48"/>
      <c r="N48" s="11">
        <v>4.2598485015332699E-4</v>
      </c>
      <c r="O48"/>
      <c r="P48"/>
      <c r="Q48"/>
      <c r="R48"/>
      <c r="S48"/>
      <c r="T48"/>
      <c r="U48"/>
      <c r="V48"/>
      <c r="W48" s="11">
        <v>6.1532174004241824E-4</v>
      </c>
      <c r="X48" s="11">
        <v>1.2730917660519481E-3</v>
      </c>
      <c r="Y48" s="19">
        <v>4.1039947420358658E-2</v>
      </c>
      <c r="Z48" s="14">
        <v>3.9530079811811447E-3</v>
      </c>
      <c r="AA48" s="20">
        <v>0.10319345444440842</v>
      </c>
      <c r="AB48"/>
      <c r="AC48"/>
      <c r="AD48"/>
      <c r="AE48" s="11">
        <v>1.2044272152706981E-3</v>
      </c>
      <c r="AF48" s="286">
        <v>0.16049638390541077</v>
      </c>
      <c r="AG48"/>
      <c r="AH48" s="12">
        <v>9.0322541072964668E-3</v>
      </c>
      <c r="AI48" s="12">
        <v>7.8626498579978943E-3</v>
      </c>
      <c r="AJ48" s="29">
        <v>0.1082138791680336</v>
      </c>
      <c r="AK48"/>
      <c r="AL48" s="298">
        <v>0.30747827887535095</v>
      </c>
      <c r="AM48" s="15">
        <v>2.2761767730116844E-2</v>
      </c>
      <c r="AN48" s="65">
        <v>5.0928141921758652E-2</v>
      </c>
      <c r="AO48"/>
      <c r="AP48"/>
      <c r="AQ48"/>
      <c r="AR48"/>
      <c r="AS48"/>
      <c r="AT48"/>
      <c r="AU48" s="67">
        <v>0.13583549857139587</v>
      </c>
      <c r="AV48" s="310">
        <v>0.91976183652877808</v>
      </c>
      <c r="AW48"/>
      <c r="AX48"/>
      <c r="AY48"/>
      <c r="AZ48"/>
      <c r="BA48"/>
      <c r="BB48" s="68">
        <v>0.14895623922348022</v>
      </c>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t="s">
        <v>239</v>
      </c>
      <c r="B49">
        <v>1.875</v>
      </c>
      <c r="C49">
        <v>5.5627673864364624E-2</v>
      </c>
      <c r="D49"/>
      <c r="E49" s="11">
        <v>6.4482743619009852E-4</v>
      </c>
      <c r="F49"/>
      <c r="G49"/>
      <c r="H49"/>
      <c r="I49"/>
      <c r="J49"/>
      <c r="K49"/>
      <c r="L49"/>
      <c r="M49"/>
      <c r="N49"/>
      <c r="O49"/>
      <c r="P49"/>
      <c r="Q49"/>
      <c r="R49"/>
      <c r="S49"/>
      <c r="T49"/>
      <c r="U49"/>
      <c r="V49"/>
      <c r="W49" s="11">
        <v>1.0570298763923347E-4</v>
      </c>
      <c r="X49" s="11">
        <v>7.1573864261154085E-5</v>
      </c>
      <c r="Y49" s="11">
        <v>9.5367853646166623E-5</v>
      </c>
      <c r="Z49" s="11">
        <v>3.8989503082120791E-5</v>
      </c>
      <c r="AA49" s="23">
        <v>1.063624769449234E-2</v>
      </c>
      <c r="AB49"/>
      <c r="AC49"/>
      <c r="AD49"/>
      <c r="AE49" s="11">
        <v>6.2265303313324694E-6</v>
      </c>
      <c r="AF49" s="14">
        <v>2.2557973861694336E-3</v>
      </c>
      <c r="AG49"/>
      <c r="AH49" s="11">
        <v>1.2051740486640483E-4</v>
      </c>
      <c r="AI49" s="11">
        <v>4.5543740270659328E-4</v>
      </c>
      <c r="AJ49" s="14">
        <v>2.0279467571526766E-3</v>
      </c>
      <c r="AK49" s="11">
        <v>3.5554665373638272E-4</v>
      </c>
      <c r="AL49" s="11">
        <v>1.0083842789754272E-3</v>
      </c>
      <c r="AM49" s="12">
        <v>8.5311885923147202E-3</v>
      </c>
      <c r="AN49" s="12">
        <v>6.5123913809657097E-3</v>
      </c>
      <c r="AO49"/>
      <c r="AP49"/>
      <c r="AQ49" s="14">
        <v>3.1258170492947102E-3</v>
      </c>
      <c r="AR49" s="348">
        <v>1.4148383140563965</v>
      </c>
      <c r="AS49"/>
      <c r="AT49"/>
      <c r="AU49" s="17">
        <v>2.5455806404352188E-2</v>
      </c>
      <c r="AV49" s="19">
        <v>3.4472990781068802E-2</v>
      </c>
      <c r="AW49"/>
      <c r="AX49" s="11">
        <v>1.3664781581610441E-3</v>
      </c>
      <c r="AY49"/>
      <c r="AZ49" s="22">
        <v>1.3993759639561176E-2</v>
      </c>
      <c r="BA49"/>
      <c r="BB49" s="72">
        <v>0.1339903324842453</v>
      </c>
      <c r="BC49"/>
      <c r="BD49"/>
      <c r="BE49"/>
      <c r="BF49"/>
      <c r="BG49"/>
      <c r="BH49"/>
      <c r="BI49"/>
      <c r="BJ49"/>
      <c r="BK49"/>
      <c r="BL49"/>
      <c r="BM49" s="23">
        <v>9.780101478099823E-3</v>
      </c>
      <c r="BN49" s="14">
        <v>4.1271033696830273E-3</v>
      </c>
      <c r="BO49"/>
      <c r="BP49" s="76">
        <v>0.14535537362098694</v>
      </c>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t="s">
        <v>240</v>
      </c>
      <c r="B50">
        <v>2.5</v>
      </c>
      <c r="C50">
        <v>7.4453651905059814E-2</v>
      </c>
      <c r="D50"/>
      <c r="E50"/>
      <c r="F50"/>
      <c r="G50"/>
      <c r="H50"/>
      <c r="I50"/>
      <c r="J50"/>
      <c r="K50"/>
      <c r="L50"/>
      <c r="M50"/>
      <c r="N50"/>
      <c r="O50"/>
      <c r="P50" s="11">
        <v>5.6465552233930794E-7</v>
      </c>
      <c r="Q50"/>
      <c r="R50"/>
      <c r="S50"/>
      <c r="T50"/>
      <c r="U50"/>
      <c r="V50"/>
      <c r="W50" s="11">
        <v>1.0706074817790068E-6</v>
      </c>
      <c r="X50" s="11">
        <v>5.2119330575806089E-6</v>
      </c>
      <c r="Y50" s="11">
        <v>8.7367361629731022E-6</v>
      </c>
      <c r="Z50" s="11">
        <v>8.5175215644994751E-6</v>
      </c>
      <c r="AA50" s="11">
        <v>7.921227952465415E-4</v>
      </c>
      <c r="AB50"/>
      <c r="AC50"/>
      <c r="AD50"/>
      <c r="AE50"/>
      <c r="AF50" s="14">
        <v>2.4639712646603584E-3</v>
      </c>
      <c r="AG50" s="12">
        <v>7.3815919458866119E-3</v>
      </c>
      <c r="AH50" s="23">
        <v>1.6270015388727188E-2</v>
      </c>
      <c r="AI50" s="65">
        <v>5.5599253624677658E-2</v>
      </c>
      <c r="AJ50" s="11">
        <v>2.2150937002152205E-3</v>
      </c>
      <c r="AK50" s="18">
        <v>3.1774740666151047E-2</v>
      </c>
      <c r="AL50" s="289">
        <v>0.2706400454044342</v>
      </c>
      <c r="AM50" s="13">
        <v>9.3184813857078552E-2</v>
      </c>
      <c r="AN50" s="345">
        <v>0.89530479907989502</v>
      </c>
      <c r="AO50" s="25">
        <v>7.8339710831642151E-2</v>
      </c>
      <c r="AP50" s="11">
        <v>1.3627622975036502E-3</v>
      </c>
      <c r="AQ50" s="17">
        <v>3.200887143611908E-2</v>
      </c>
      <c r="AR50" s="301">
        <v>0.3863513171672821</v>
      </c>
      <c r="AS50"/>
      <c r="AT50"/>
      <c r="AU50"/>
      <c r="AV50" s="309">
        <v>0.28711399435997009</v>
      </c>
      <c r="AW50"/>
      <c r="AX50" s="11">
        <v>2.2962801158428192E-3</v>
      </c>
      <c r="AY50"/>
      <c r="AZ50" s="23">
        <v>1.5285159461200237E-2</v>
      </c>
      <c r="BA50"/>
      <c r="BB50" s="143">
        <v>7.3177747428417206E-2</v>
      </c>
      <c r="BC50"/>
      <c r="BD50"/>
      <c r="BE50"/>
      <c r="BF50"/>
      <c r="BG50"/>
      <c r="BH50"/>
      <c r="BI50"/>
      <c r="BJ50"/>
      <c r="BK50"/>
      <c r="BL50"/>
      <c r="BM50" s="12">
        <v>1.0682648047804832E-2</v>
      </c>
      <c r="BN50" s="14">
        <v>4.5079686678946018E-3</v>
      </c>
      <c r="BO50"/>
      <c r="BP50" s="68">
        <v>0.15876933932304382</v>
      </c>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t="s">
        <v>241</v>
      </c>
      <c r="B51">
        <v>2.2999999523162842</v>
      </c>
      <c r="C51">
        <v>0.11407342553138733</v>
      </c>
      <c r="D51" s="11">
        <v>4.0520151678435923E-9</v>
      </c>
      <c r="E51" s="11">
        <v>1.4379507774719968E-5</v>
      </c>
      <c r="F51"/>
      <c r="G51"/>
      <c r="H51"/>
      <c r="I51"/>
      <c r="J51"/>
      <c r="K51"/>
      <c r="L51"/>
      <c r="M51" s="9">
        <v>9.3553831348458516E-10</v>
      </c>
      <c r="N51"/>
      <c r="O51"/>
      <c r="P51" s="11">
        <v>5.4662653070636225E-8</v>
      </c>
      <c r="Q51"/>
      <c r="R51"/>
      <c r="S51"/>
      <c r="T51"/>
      <c r="U51"/>
      <c r="V51"/>
      <c r="W51" s="11">
        <v>1.2193224392831326E-5</v>
      </c>
      <c r="X51" s="11">
        <v>2.5227600417565554E-6</v>
      </c>
      <c r="Y51" s="11">
        <v>6.5059844928327948E-5</v>
      </c>
      <c r="Z51" s="11">
        <v>1.6491128462803317E-6</v>
      </c>
      <c r="AA51" s="14">
        <v>2.862835768610239E-3</v>
      </c>
      <c r="AB51" s="11">
        <v>1.9488520592858549E-6</v>
      </c>
      <c r="AC51"/>
      <c r="AD51"/>
      <c r="AE51" s="11">
        <v>3.2919924706220627E-5</v>
      </c>
      <c r="AF51" s="14">
        <v>3.6574583500623703E-3</v>
      </c>
      <c r="AG51" s="11">
        <v>3.5729518276639283E-4</v>
      </c>
      <c r="AH51" s="11">
        <v>7.1593309985473752E-4</v>
      </c>
      <c r="AI51" s="14">
        <v>3.1161273363977671E-3</v>
      </c>
      <c r="AJ51" s="14">
        <v>6.4331027679145336E-3</v>
      </c>
      <c r="AK51" s="11">
        <v>8.5444992873817682E-4</v>
      </c>
      <c r="AL51" s="12">
        <v>7.9208910465240479E-3</v>
      </c>
      <c r="AM51" s="22">
        <v>1.7139805480837822E-2</v>
      </c>
      <c r="AN51" s="17">
        <v>3.3243995159864426E-2</v>
      </c>
      <c r="AO51" s="14">
        <v>4.9071894027292728E-3</v>
      </c>
      <c r="AP51" s="11">
        <v>7.9155020648613572E-4</v>
      </c>
      <c r="AQ51" s="14">
        <v>2.5822382885962725E-3</v>
      </c>
      <c r="AR51" s="357">
        <v>1.9121537208557129</v>
      </c>
      <c r="AS51"/>
      <c r="AT51"/>
      <c r="AU51" s="22">
        <v>1.8393406644463539E-2</v>
      </c>
      <c r="AV51" s="20">
        <v>0.10115437209606171</v>
      </c>
      <c r="AW51" s="18">
        <v>2.7699150145053864E-2</v>
      </c>
      <c r="AX51" s="11">
        <v>1.2226289254613221E-4</v>
      </c>
      <c r="AY51"/>
      <c r="AZ51" s="11">
        <v>1.4797116164118052E-3</v>
      </c>
      <c r="BA51"/>
      <c r="BB51" s="12">
        <v>7.0841237902641296E-3</v>
      </c>
      <c r="BC51" s="14">
        <v>3.6453958600759506E-3</v>
      </c>
      <c r="BD51" s="14">
        <v>2.9144312720745802E-3</v>
      </c>
      <c r="BE51"/>
      <c r="BF51"/>
      <c r="BG51"/>
      <c r="BH51" s="11">
        <v>5.3265441238181666E-5</v>
      </c>
      <c r="BI51" s="11">
        <v>9.2569499975070357E-4</v>
      </c>
      <c r="BJ51"/>
      <c r="BK51" s="12">
        <v>8.7469397112727165E-3</v>
      </c>
      <c r="BL51"/>
      <c r="BM51" s="11">
        <v>1.0341559536755085E-3</v>
      </c>
      <c r="BN51" s="11">
        <v>4.3640332296490669E-4</v>
      </c>
      <c r="BO51"/>
      <c r="BP51" s="23">
        <v>1.5369996428489685E-2</v>
      </c>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t="s">
        <v>242</v>
      </c>
      <c r="B52">
        <v>0.89999997615814209</v>
      </c>
      <c r="C52">
        <v>0.36858636140823364</v>
      </c>
      <c r="D52"/>
      <c r="E52" s="11">
        <v>2.906500012613833E-4</v>
      </c>
      <c r="F52"/>
      <c r="G52"/>
      <c r="H52"/>
      <c r="I52"/>
      <c r="J52" s="11">
        <v>9.3249997007660568E-5</v>
      </c>
      <c r="K52"/>
      <c r="L52"/>
      <c r="M52"/>
      <c r="N52"/>
      <c r="O52"/>
      <c r="P52" s="11">
        <v>2.19595996895805E-4</v>
      </c>
      <c r="Q52"/>
      <c r="R52"/>
      <c r="S52"/>
      <c r="T52"/>
      <c r="U52"/>
      <c r="V52"/>
      <c r="W52"/>
      <c r="X52"/>
      <c r="Y52" s="11">
        <v>1.8072404782287776E-4</v>
      </c>
      <c r="Z52"/>
      <c r="AA52" s="14">
        <v>1.8934336258098483E-3</v>
      </c>
      <c r="AB52"/>
      <c r="AC52"/>
      <c r="AD52"/>
      <c r="AE52" s="11">
        <v>5.806055196444504E-5</v>
      </c>
      <c r="AF52" s="14">
        <v>2.5942728389054537E-3</v>
      </c>
      <c r="AG52"/>
      <c r="AH52" s="76">
        <v>7.0710323750972748E-2</v>
      </c>
      <c r="AI52" s="16">
        <v>1.3489896431565285E-2</v>
      </c>
      <c r="AJ52"/>
      <c r="AK52" s="282">
        <v>0.30139702558517456</v>
      </c>
      <c r="AL52" s="143">
        <v>2.6865385472774506E-2</v>
      </c>
      <c r="AM52"/>
      <c r="AN52" s="67">
        <v>5.235009640455246E-2</v>
      </c>
      <c r="AO52"/>
      <c r="AP52"/>
      <c r="AQ52" s="23">
        <v>5.0096958875656128E-3</v>
      </c>
      <c r="AR52"/>
      <c r="AS52"/>
      <c r="AT52"/>
      <c r="AU52"/>
      <c r="AV52" s="276">
        <v>4.0181301534175873E-2</v>
      </c>
      <c r="AW52"/>
      <c r="AX52"/>
      <c r="AY52"/>
      <c r="AZ52" s="18">
        <v>1.0873971506953239E-2</v>
      </c>
      <c r="BA52"/>
      <c r="BB52" s="23">
        <v>5.2059171721339226E-3</v>
      </c>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t="s">
        <v>243</v>
      </c>
      <c r="B53">
        <v>0.89999997615814209</v>
      </c>
      <c r="C53">
        <v>9.0167656540870667E-2</v>
      </c>
      <c r="D53" s="11">
        <v>3.1343470254796557E-6</v>
      </c>
      <c r="E53" s="11">
        <v>8.2395056961104274E-4</v>
      </c>
      <c r="F53"/>
      <c r="G53"/>
      <c r="H53"/>
      <c r="I53"/>
      <c r="J53"/>
      <c r="K53"/>
      <c r="L53"/>
      <c r="M53" s="11">
        <v>7.2326781719311839E-7</v>
      </c>
      <c r="N53" s="11">
        <v>3.6241599445929751E-5</v>
      </c>
      <c r="O53"/>
      <c r="P53" s="11">
        <v>1.1734312010958092E-6</v>
      </c>
      <c r="Q53"/>
      <c r="R53"/>
      <c r="S53"/>
      <c r="T53"/>
      <c r="U53"/>
      <c r="V53"/>
      <c r="W53"/>
      <c r="X53"/>
      <c r="Y53"/>
      <c r="Z53"/>
      <c r="AA53"/>
      <c r="AB53"/>
      <c r="AC53"/>
      <c r="AD53"/>
      <c r="AE53"/>
      <c r="AF53"/>
      <c r="AG53"/>
      <c r="AH53"/>
      <c r="AI53"/>
      <c r="AJ53"/>
      <c r="AK53"/>
      <c r="AL53"/>
      <c r="AM53"/>
      <c r="AN53"/>
      <c r="AO53"/>
      <c r="AP53"/>
      <c r="AQ53"/>
      <c r="AR53"/>
      <c r="AS53"/>
      <c r="AT53"/>
      <c r="AU53"/>
      <c r="AV53"/>
      <c r="AW53"/>
      <c r="AX53"/>
      <c r="AY53"/>
      <c r="AZ53" s="316">
        <v>0.12441151589155197</v>
      </c>
      <c r="BA53"/>
      <c r="BB53" s="330">
        <v>0.44354724884033203</v>
      </c>
      <c r="BC53"/>
      <c r="BD53"/>
      <c r="BE53"/>
      <c r="BF53"/>
      <c r="BG53"/>
      <c r="BH53"/>
      <c r="BI53"/>
      <c r="BJ53"/>
      <c r="BK53"/>
      <c r="BL53"/>
      <c r="BM53" s="16">
        <v>1.4800000004470348E-2</v>
      </c>
      <c r="BN53" s="22">
        <v>6.2454496510326862E-3</v>
      </c>
      <c r="BO53"/>
      <c r="BP53" s="325">
        <v>0.21996290981769562</v>
      </c>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t="s">
        <v>244</v>
      </c>
      <c r="B54">
        <v>2.7999999523162842</v>
      </c>
      <c r="C54">
        <v>0.42046523094177246</v>
      </c>
      <c r="D54"/>
      <c r="E54"/>
      <c r="F54"/>
      <c r="G54"/>
      <c r="H54" s="11">
        <v>3.5160279367119074E-4</v>
      </c>
      <c r="I54" s="11">
        <v>5.4885726422071457E-4</v>
      </c>
      <c r="J54" s="11">
        <v>4.0529843658987375E-7</v>
      </c>
      <c r="K54"/>
      <c r="L54"/>
      <c r="M54"/>
      <c r="N54" s="11">
        <v>1.2703228276222944E-4</v>
      </c>
      <c r="O54"/>
      <c r="P54" s="11">
        <v>4.1130538193101529E-6</v>
      </c>
      <c r="Q54"/>
      <c r="R54"/>
      <c r="S54"/>
      <c r="T54"/>
      <c r="U54"/>
      <c r="V54"/>
      <c r="W54"/>
      <c r="X54"/>
      <c r="Y54"/>
      <c r="Z54"/>
      <c r="AA54"/>
      <c r="AB54"/>
      <c r="AC54"/>
      <c r="AD54"/>
      <c r="AE54"/>
      <c r="AF54"/>
      <c r="AG54"/>
      <c r="AH54"/>
      <c r="AI54"/>
      <c r="AJ54"/>
      <c r="AK54"/>
      <c r="AL54"/>
      <c r="AM54"/>
      <c r="AN54"/>
      <c r="AO54"/>
      <c r="AP54"/>
      <c r="AQ54"/>
      <c r="AR54"/>
      <c r="AS54"/>
      <c r="AT54"/>
      <c r="AU54"/>
      <c r="AV54"/>
      <c r="AW54"/>
      <c r="AX54"/>
      <c r="AY54"/>
      <c r="AZ54" s="301">
        <v>0.43608120083808899</v>
      </c>
      <c r="BA54"/>
      <c r="BB54" s="328">
        <v>1.0660800933837891</v>
      </c>
      <c r="BC54"/>
      <c r="BD54"/>
      <c r="BE54"/>
      <c r="BF54"/>
      <c r="BG54"/>
      <c r="BH54"/>
      <c r="BI54"/>
      <c r="BJ54"/>
      <c r="BK54"/>
      <c r="BL54" s="18">
        <v>3.1570617109537125E-2</v>
      </c>
      <c r="BM54" s="19">
        <v>5.1876239478588104E-2</v>
      </c>
      <c r="BN54" s="22">
        <v>2.1891245618462563E-2</v>
      </c>
      <c r="BO54"/>
      <c r="BP54" s="323">
        <v>0.77100330591201782</v>
      </c>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t="s">
        <v>245</v>
      </c>
      <c r="B55">
        <v>3.2000000476837158</v>
      </c>
      <c r="C55">
        <v>0.32008209824562073</v>
      </c>
      <c r="D55" s="11">
        <v>1.2074544792994857E-3</v>
      </c>
      <c r="E55" s="15">
        <v>2.9837457463145256E-2</v>
      </c>
      <c r="F55"/>
      <c r="G55"/>
      <c r="H55" s="11">
        <v>2.0901408959161927E-7</v>
      </c>
      <c r="I55"/>
      <c r="J55" s="11">
        <v>3.4055972264468437E-8</v>
      </c>
      <c r="K55"/>
      <c r="L55"/>
      <c r="M55" s="11">
        <v>2.7860337286256254E-4</v>
      </c>
      <c r="N55" s="11">
        <v>1.0140422091353685E-4</v>
      </c>
      <c r="O55"/>
      <c r="P55"/>
      <c r="Q55"/>
      <c r="R55"/>
      <c r="S55"/>
      <c r="T55"/>
      <c r="U55"/>
      <c r="V55"/>
      <c r="W55"/>
      <c r="X55"/>
      <c r="Y55"/>
      <c r="Z55" s="11">
        <v>3.4668418811634183E-4</v>
      </c>
      <c r="AA55" s="11">
        <v>2.7021327987313271E-3</v>
      </c>
      <c r="AB55"/>
      <c r="AC55"/>
      <c r="AD55"/>
      <c r="AE55" s="11">
        <v>1.8784429994411767E-4</v>
      </c>
      <c r="AF55" s="11">
        <v>2.3400934878736734E-3</v>
      </c>
      <c r="AG55"/>
      <c r="AH55"/>
      <c r="AI55"/>
      <c r="AJ55" s="329">
        <v>0.94023776054382324</v>
      </c>
      <c r="AK55"/>
      <c r="AL55" s="14">
        <v>4.0256781503558159E-3</v>
      </c>
      <c r="AM55"/>
      <c r="AN55"/>
      <c r="AO55"/>
      <c r="AP55"/>
      <c r="AQ55"/>
      <c r="AR55"/>
      <c r="AS55"/>
      <c r="AT55"/>
      <c r="AU55"/>
      <c r="AV55"/>
      <c r="AW55"/>
      <c r="AX55"/>
      <c r="AY55"/>
      <c r="AZ55" s="289">
        <v>0.34810420870780945</v>
      </c>
      <c r="BA55"/>
      <c r="BB55" s="327">
        <v>0.85100430250167847</v>
      </c>
      <c r="BC55"/>
      <c r="BD55"/>
      <c r="BE55"/>
      <c r="BF55"/>
      <c r="BG55"/>
      <c r="BH55"/>
      <c r="BI55"/>
      <c r="BJ55"/>
      <c r="BK55"/>
      <c r="BL55" s="22">
        <v>2.5201419368386269E-2</v>
      </c>
      <c r="BM55" s="17">
        <v>4.1410494595766068E-2</v>
      </c>
      <c r="BN55" s="23">
        <v>1.7474807798862457E-2</v>
      </c>
      <c r="BO55"/>
      <c r="BP55" s="324">
        <v>0.61545765399932861</v>
      </c>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t="s">
        <v>246</v>
      </c>
      <c r="B56">
        <v>2.7999999523162842</v>
      </c>
      <c r="C56">
        <v>0.13981927931308746</v>
      </c>
      <c r="D56" s="11">
        <v>8.0885951092568575E-7</v>
      </c>
      <c r="E56" s="11">
        <v>2.888680319301784E-5</v>
      </c>
      <c r="F56"/>
      <c r="G56"/>
      <c r="H56" s="11">
        <v>1.0465837618767182E-7</v>
      </c>
      <c r="I56"/>
      <c r="J56" s="11">
        <v>6.8455008772616566E-8</v>
      </c>
      <c r="K56"/>
      <c r="L56"/>
      <c r="M56" s="11">
        <v>1.8733106799118104E-7</v>
      </c>
      <c r="N56" s="11">
        <v>3.6076096421311377E-6</v>
      </c>
      <c r="O56"/>
      <c r="P56" s="11">
        <v>1.1680725719998009E-7</v>
      </c>
      <c r="Q56"/>
      <c r="R56"/>
      <c r="S56"/>
      <c r="T56"/>
      <c r="U56"/>
      <c r="V56"/>
      <c r="W56" s="11">
        <v>3.4740523551590741E-4</v>
      </c>
      <c r="X56" s="11">
        <v>1.9946043903473765E-4</v>
      </c>
      <c r="Y56" s="11">
        <v>9.0366089716553688E-4</v>
      </c>
      <c r="Z56" s="11">
        <v>7.4002906330861151E-5</v>
      </c>
      <c r="AA56" s="12">
        <v>9.3947667628526688E-3</v>
      </c>
      <c r="AB56" s="11">
        <v>1.8929331417893991E-5</v>
      </c>
      <c r="AC56"/>
      <c r="AD56"/>
      <c r="AE56" s="11">
        <v>1.1724293472070713E-5</v>
      </c>
      <c r="AF56" s="14">
        <v>3.3980570733547211E-3</v>
      </c>
      <c r="AG56" s="14">
        <v>4.7082202509045601E-3</v>
      </c>
      <c r="AH56" s="288">
        <v>0.14686651527881622</v>
      </c>
      <c r="AI56" s="22">
        <v>2.3608380928635597E-2</v>
      </c>
      <c r="AJ56" s="21">
        <v>5.3383160382509232E-2</v>
      </c>
      <c r="AK56" s="65">
        <v>6.1348650604486465E-2</v>
      </c>
      <c r="AL56" s="65">
        <v>6.0542840510606766E-2</v>
      </c>
      <c r="AM56" s="332">
        <v>0.45107343792915344</v>
      </c>
      <c r="AN56" s="349">
        <v>0.40847000479698181</v>
      </c>
      <c r="AO56" s="22">
        <v>2.192537859082222E-2</v>
      </c>
      <c r="AP56" s="11">
        <v>2.5371660012751818E-3</v>
      </c>
      <c r="AQ56" s="28">
        <v>0.10042615234851837</v>
      </c>
      <c r="AR56" s="12">
        <v>9.9903028458356857E-3</v>
      </c>
      <c r="AS56"/>
      <c r="AT56"/>
      <c r="AU56" s="18">
        <v>3.5469833761453629E-2</v>
      </c>
      <c r="AV56" s="275">
        <v>0.31936299800872803</v>
      </c>
      <c r="AW56" s="327">
        <v>0.7472689151763916</v>
      </c>
      <c r="AX56" s="14">
        <v>4.7501916997134686E-3</v>
      </c>
      <c r="AY56"/>
      <c r="AZ56" s="284">
        <v>9.1696806252002716E-2</v>
      </c>
      <c r="BA56"/>
      <c r="BB56" s="24">
        <v>7.5689442455768585E-2</v>
      </c>
      <c r="BC56"/>
      <c r="BD56"/>
      <c r="BE56"/>
      <c r="BF56"/>
      <c r="BG56"/>
      <c r="BH56"/>
      <c r="BI56"/>
      <c r="BJ56"/>
      <c r="BK56"/>
      <c r="BL56" s="11">
        <v>2.689736895263195E-3</v>
      </c>
      <c r="BM56" s="11">
        <v>1.4732414856553078E-3</v>
      </c>
      <c r="BN56" s="11">
        <v>6.2169291777536273E-4</v>
      </c>
      <c r="BO56"/>
      <c r="BP56" s="22">
        <v>2.1895842626690865E-2</v>
      </c>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t="s">
        <v>247</v>
      </c>
      <c r="B57">
        <v>2.7999999523162842</v>
      </c>
      <c r="C57">
        <v>0.56036931276321411</v>
      </c>
      <c r="D57" s="11">
        <v>1.3870710802166286E-7</v>
      </c>
      <c r="E57" s="11">
        <v>4.3215087498538196E-4</v>
      </c>
      <c r="F57"/>
      <c r="G57"/>
      <c r="H57"/>
      <c r="I57"/>
      <c r="J57"/>
      <c r="K57"/>
      <c r="L57"/>
      <c r="M57" s="11">
        <v>3.2068964372911068E-8</v>
      </c>
      <c r="N57" s="11">
        <v>6.415204843506217E-4</v>
      </c>
      <c r="O57"/>
      <c r="P57" s="11">
        <v>5.7697670854395255E-5</v>
      </c>
      <c r="Q57"/>
      <c r="R57"/>
      <c r="S57"/>
      <c r="T57"/>
      <c r="U57"/>
      <c r="V57"/>
      <c r="W57"/>
      <c r="X57"/>
      <c r="Y57"/>
      <c r="Z57"/>
      <c r="AA57"/>
      <c r="AB57"/>
      <c r="AC57"/>
      <c r="AD57"/>
      <c r="AE57"/>
      <c r="AF57"/>
      <c r="AG57"/>
      <c r="AH57"/>
      <c r="AI57"/>
      <c r="AJ57"/>
      <c r="AK57"/>
      <c r="AL57"/>
      <c r="AM57"/>
      <c r="AN57"/>
      <c r="AO57"/>
      <c r="AP57"/>
      <c r="AQ57"/>
      <c r="AR57"/>
      <c r="AS57"/>
      <c r="AT57"/>
      <c r="AU57"/>
      <c r="AV57"/>
      <c r="AW57"/>
      <c r="AX57"/>
      <c r="AY57"/>
      <c r="AZ57" s="290">
        <v>0.32799252867698669</v>
      </c>
      <c r="BA57"/>
      <c r="BB57"/>
      <c r="BC57"/>
      <c r="BD57"/>
      <c r="BE57"/>
      <c r="BF57"/>
      <c r="BG57"/>
      <c r="BH57"/>
      <c r="BI57"/>
      <c r="BJ57"/>
      <c r="BK57"/>
      <c r="BL57"/>
      <c r="BM57" s="75">
        <v>0.26197806000709534</v>
      </c>
      <c r="BN57" s="278">
        <v>0.11055207997560501</v>
      </c>
      <c r="BO57"/>
      <c r="BP57" s="311">
        <v>1.5379766225814819</v>
      </c>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t="s">
        <v>248</v>
      </c>
      <c r="B58">
        <v>0.61000001430511475</v>
      </c>
      <c r="C58">
        <v>0.18453125655651093</v>
      </c>
      <c r="D58" s="11">
        <v>2.3076925117493374E-6</v>
      </c>
      <c r="E58" s="14">
        <v>7.1787694469094276E-4</v>
      </c>
      <c r="F58"/>
      <c r="G58"/>
      <c r="H58"/>
      <c r="I58"/>
      <c r="J58"/>
      <c r="K58"/>
      <c r="L58"/>
      <c r="M58" s="11">
        <v>5.3254461818141863E-7</v>
      </c>
      <c r="N58"/>
      <c r="O58"/>
      <c r="P58"/>
      <c r="Q58"/>
      <c r="R58"/>
      <c r="S58"/>
      <c r="T58"/>
      <c r="U58"/>
      <c r="V58"/>
      <c r="W58"/>
      <c r="X58" s="11">
        <v>4.1071083978749812E-4</v>
      </c>
      <c r="Y58"/>
      <c r="Z58"/>
      <c r="AA58" s="11">
        <v>3.2736288267187774E-4</v>
      </c>
      <c r="AB58"/>
      <c r="AC58"/>
      <c r="AD58"/>
      <c r="AE58"/>
      <c r="AF58" s="11">
        <v>1.1218476720387116E-4</v>
      </c>
      <c r="AG58"/>
      <c r="AH58" s="300">
        <v>8.5474014282226562E-2</v>
      </c>
      <c r="AI58" s="22">
        <v>5.380585789680481E-3</v>
      </c>
      <c r="AJ58"/>
      <c r="AK58" s="23">
        <v>3.5240270663052797E-3</v>
      </c>
      <c r="AL58" s="23">
        <v>4.1331364773213863E-3</v>
      </c>
      <c r="AM58" s="292">
        <v>4.8954345285892487E-2</v>
      </c>
      <c r="AN58" s="306">
        <v>0.12886179983615875</v>
      </c>
      <c r="AO58"/>
      <c r="AP58"/>
      <c r="AQ58"/>
      <c r="AR58"/>
      <c r="AS58"/>
      <c r="AT58"/>
      <c r="AU58"/>
      <c r="AV58" s="292">
        <v>4.9453914165496826E-2</v>
      </c>
      <c r="AW58" s="301">
        <v>9.3947552144527435E-2</v>
      </c>
      <c r="AX58"/>
      <c r="AY58"/>
      <c r="AZ58"/>
      <c r="BA58"/>
      <c r="BB58" s="23">
        <v>3.8443696685135365E-3</v>
      </c>
      <c r="BC58"/>
      <c r="BD58"/>
      <c r="BE58"/>
      <c r="BF58"/>
      <c r="BG58"/>
      <c r="BH58"/>
      <c r="BI58"/>
      <c r="BJ58"/>
      <c r="BK58"/>
      <c r="BL58"/>
      <c r="BM58"/>
      <c r="BN58"/>
      <c r="BO58"/>
      <c r="BP58"/>
      <c r="BQ58"/>
      <c r="BR58"/>
      <c r="BS58"/>
      <c r="BT58"/>
      <c r="BU58"/>
      <c r="BV58" s="11">
        <v>3.2400002237409353E-4</v>
      </c>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t="s">
        <v>249</v>
      </c>
      <c r="B59">
        <v>1.5</v>
      </c>
      <c r="C59">
        <v>4.6908527612686157E-2</v>
      </c>
      <c r="D59" s="11">
        <v>2.7260435686571327E-8</v>
      </c>
      <c r="E59" s="14">
        <v>1.7157826805487275E-3</v>
      </c>
      <c r="F59"/>
      <c r="G59"/>
      <c r="H59"/>
      <c r="I59"/>
      <c r="J59"/>
      <c r="K59"/>
      <c r="L59"/>
      <c r="M59" s="11">
        <v>6.2909566445057408E-9</v>
      </c>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s="16">
        <v>2.2693507373332977E-2</v>
      </c>
      <c r="BA59"/>
      <c r="BB59" s="274">
        <v>3.6215081810951233E-2</v>
      </c>
      <c r="BC59"/>
      <c r="BD59"/>
      <c r="BE59"/>
      <c r="BF59"/>
      <c r="BG59"/>
      <c r="BH59"/>
      <c r="BI59"/>
      <c r="BJ59"/>
      <c r="BK59"/>
      <c r="BL59" s="14">
        <v>2.5739131961017847E-3</v>
      </c>
      <c r="BM59" s="297">
        <v>8.4588110446929932E-2</v>
      </c>
      <c r="BN59" s="274">
        <v>3.569532185792923E-2</v>
      </c>
      <c r="BO59"/>
      <c r="BP59" s="342">
        <v>1.257178783416748</v>
      </c>
      <c r="BQ59" s="22">
        <v>1.2430972419679165E-2</v>
      </c>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t="s">
        <v>250</v>
      </c>
      <c r="B60">
        <v>1.6499999761581421</v>
      </c>
      <c r="C60">
        <v>0.33018329739570618</v>
      </c>
      <c r="D60" s="11">
        <v>8.3641307355719618E-6</v>
      </c>
      <c r="E60" s="14">
        <v>1.6643011476844549E-3</v>
      </c>
      <c r="F60"/>
      <c r="G60"/>
      <c r="H60"/>
      <c r="I60"/>
      <c r="J60"/>
      <c r="K60"/>
      <c r="L60"/>
      <c r="M60" s="11">
        <v>1.9301839984109392E-6</v>
      </c>
      <c r="N60"/>
      <c r="O60"/>
      <c r="P60"/>
      <c r="Q60"/>
      <c r="R60"/>
      <c r="S60"/>
      <c r="T60"/>
      <c r="U60"/>
      <c r="V60"/>
      <c r="W60"/>
      <c r="X60"/>
      <c r="Y60"/>
      <c r="Z60"/>
      <c r="AA60" s="11">
        <v>1.2762356782332063E-3</v>
      </c>
      <c r="AB60"/>
      <c r="AC60"/>
      <c r="AD60"/>
      <c r="AE60"/>
      <c r="AF60"/>
      <c r="AG60"/>
      <c r="AH60" s="11">
        <v>7.9615630966145545E-5</v>
      </c>
      <c r="AI60"/>
      <c r="AJ60" s="11">
        <v>1.1558264959603548E-3</v>
      </c>
      <c r="AK60"/>
      <c r="AL60" s="75">
        <v>0.15556542575359344</v>
      </c>
      <c r="AM60" s="12">
        <v>5.118256900459528E-3</v>
      </c>
      <c r="AN60" s="25">
        <v>5.186992883682251E-2</v>
      </c>
      <c r="AO60"/>
      <c r="AP60" s="11">
        <v>1.4970180018281098E-5</v>
      </c>
      <c r="AQ60" s="11">
        <v>8.2045386079698801E-5</v>
      </c>
      <c r="AR60"/>
      <c r="AS60"/>
      <c r="AT60"/>
      <c r="AU60"/>
      <c r="AV60" s="11">
        <v>1.085802330635488E-3</v>
      </c>
      <c r="AW60"/>
      <c r="AX60"/>
      <c r="AY60"/>
      <c r="AZ60"/>
      <c r="BA60"/>
      <c r="BB60" s="21">
        <v>3.3494595438241959E-2</v>
      </c>
      <c r="BC60"/>
      <c r="BD60"/>
      <c r="BE60"/>
      <c r="BF60"/>
      <c r="BG60"/>
      <c r="BH60"/>
      <c r="BI60"/>
      <c r="BJ60"/>
      <c r="BK60"/>
      <c r="BL60" s="18">
        <v>1.9044483080506325E-2</v>
      </c>
      <c r="BM60" s="315">
        <v>0.31293535232543945</v>
      </c>
      <c r="BN60" s="292">
        <v>0.13205553591251373</v>
      </c>
      <c r="BO60"/>
      <c r="BP60" s="296">
        <v>0.58136963844299316</v>
      </c>
      <c r="BQ60" s="17">
        <v>2.2994311526417732E-2</v>
      </c>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t="s">
        <v>251</v>
      </c>
      <c r="B61">
        <v>1.6000000238418579</v>
      </c>
      <c r="C61">
        <v>3.2248593866825104E-2</v>
      </c>
      <c r="D61" s="9">
        <v>9.5514507414407035E-10</v>
      </c>
      <c r="E61" s="11">
        <v>1.0021322793818399E-7</v>
      </c>
      <c r="F61"/>
      <c r="G61"/>
      <c r="H61"/>
      <c r="I61"/>
      <c r="J61"/>
      <c r="K61"/>
      <c r="L61"/>
      <c r="M61" s="9">
        <v>2.2024355950112096E-10</v>
      </c>
      <c r="N61"/>
      <c r="O61"/>
      <c r="P61"/>
      <c r="Q61"/>
      <c r="R61"/>
      <c r="S61"/>
      <c r="T61"/>
      <c r="U61"/>
      <c r="V61"/>
      <c r="W61"/>
      <c r="X61"/>
      <c r="Y61"/>
      <c r="Z61"/>
      <c r="AA61" s="11">
        <v>3.5212688089814037E-5</v>
      </c>
      <c r="AB61"/>
      <c r="AC61"/>
      <c r="AD61"/>
      <c r="AE61"/>
      <c r="AF61" s="11">
        <v>3.2859694329090416E-5</v>
      </c>
      <c r="AG61" s="11">
        <v>1.0254315384372603E-5</v>
      </c>
      <c r="AH61" s="11">
        <v>8.1366778204028378E-7</v>
      </c>
      <c r="AI61"/>
      <c r="AJ61" s="11">
        <v>1.0154596566280816E-5</v>
      </c>
      <c r="AK61"/>
      <c r="AL61" s="11">
        <v>1.0492077562958002E-3</v>
      </c>
      <c r="AM61" s="11">
        <v>4.8932066420093179E-4</v>
      </c>
      <c r="AN61" s="14">
        <v>2.0444944966584444E-3</v>
      </c>
      <c r="AO61" s="11">
        <v>2.0357139874249697E-5</v>
      </c>
      <c r="AP61" s="11">
        <v>7.4967300633943523E-7</v>
      </c>
      <c r="AQ61" s="11">
        <v>2.9347490908548934E-6</v>
      </c>
      <c r="AR61"/>
      <c r="AS61"/>
      <c r="AT61"/>
      <c r="AU61"/>
      <c r="AV61" s="11">
        <v>5.1000656640098896E-6</v>
      </c>
      <c r="AW61"/>
      <c r="AX61"/>
      <c r="AY61"/>
      <c r="AZ61"/>
      <c r="BA61"/>
      <c r="BB61" s="11">
        <v>1.0165662970393896E-3</v>
      </c>
      <c r="BC61"/>
      <c r="BD61"/>
      <c r="BE61" s="12">
        <v>5.202027503401041E-3</v>
      </c>
      <c r="BF61" s="11">
        <v>4.621732841769699E-6</v>
      </c>
      <c r="BG61" s="14">
        <v>2.9229831416159868E-3</v>
      </c>
      <c r="BH61" s="22">
        <v>1.1399807408452034E-2</v>
      </c>
      <c r="BI61" s="266">
        <v>0.28237247467041016</v>
      </c>
      <c r="BJ61" s="78">
        <v>0.10418805480003357</v>
      </c>
      <c r="BK61" s="353">
        <v>1.075867772102356</v>
      </c>
      <c r="BL61" s="11">
        <v>7.225038280012086E-5</v>
      </c>
      <c r="BM61" s="12">
        <v>4.748818464577198E-3</v>
      </c>
      <c r="BN61" s="14">
        <v>2.003953093662858E-3</v>
      </c>
      <c r="BO61" s="14">
        <v>3.610165324062109E-3</v>
      </c>
      <c r="BP61" s="20">
        <v>7.0578642189502716E-2</v>
      </c>
      <c r="BQ61"/>
      <c r="BR61"/>
      <c r="BS61"/>
      <c r="BT61"/>
      <c r="BU61"/>
      <c r="BV61" s="11">
        <v>6.1686201661359519E-5</v>
      </c>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t="s">
        <v>252</v>
      </c>
      <c r="B62">
        <v>0.49000000953674316</v>
      </c>
      <c r="C62">
        <v>0.11811631917953491</v>
      </c>
      <c r="D62" s="11">
        <v>1.0616615782055305E-6</v>
      </c>
      <c r="E62" s="12">
        <v>1.5796923544257879E-3</v>
      </c>
      <c r="F62"/>
      <c r="G62"/>
      <c r="H62"/>
      <c r="I62"/>
      <c r="J62"/>
      <c r="K62"/>
      <c r="L62"/>
      <c r="M62" s="11">
        <v>2.4497077788510069E-7</v>
      </c>
      <c r="N62"/>
      <c r="O62"/>
      <c r="P62"/>
      <c r="Q62"/>
      <c r="R62"/>
      <c r="S62"/>
      <c r="T62"/>
      <c r="U62"/>
      <c r="V62"/>
      <c r="W62"/>
      <c r="X62"/>
      <c r="Y62"/>
      <c r="Z62"/>
      <c r="AA62"/>
      <c r="AB62"/>
      <c r="AC62"/>
      <c r="AD62"/>
      <c r="AE62"/>
      <c r="AF62"/>
      <c r="AG62"/>
      <c r="AH62" s="11">
        <v>1.4763693616259843E-4</v>
      </c>
      <c r="AI62"/>
      <c r="AJ62"/>
      <c r="AK62"/>
      <c r="AL62"/>
      <c r="AM62"/>
      <c r="AN62" s="22">
        <v>4.2524393647909164E-3</v>
      </c>
      <c r="AO62"/>
      <c r="AP62"/>
      <c r="AQ62"/>
      <c r="AR62"/>
      <c r="AS62"/>
      <c r="AT62"/>
      <c r="AU62"/>
      <c r="AV62"/>
      <c r="AW62"/>
      <c r="AX62"/>
      <c r="AY62"/>
      <c r="AZ62"/>
      <c r="BA62"/>
      <c r="BB62" s="285">
        <v>0.32036417722702026</v>
      </c>
      <c r="BC62"/>
      <c r="BD62"/>
      <c r="BE62"/>
      <c r="BF62"/>
      <c r="BG62"/>
      <c r="BH62"/>
      <c r="BI62"/>
      <c r="BJ62"/>
      <c r="BK62"/>
      <c r="BL62" s="69">
        <v>4.5538466423749924E-2</v>
      </c>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t="s">
        <v>253</v>
      </c>
      <c r="B63">
        <v>0.80000001192092896</v>
      </c>
      <c r="C63">
        <v>0.16010598838329315</v>
      </c>
      <c r="D63" s="11">
        <v>1.7905912841342797E-7</v>
      </c>
      <c r="E63" s="11">
        <v>8.2784870755858719E-5</v>
      </c>
      <c r="F63"/>
      <c r="G63"/>
      <c r="H63"/>
      <c r="I63"/>
      <c r="J63"/>
      <c r="K63"/>
      <c r="L63"/>
      <c r="M63" s="11">
        <v>4.1316813081948567E-8</v>
      </c>
      <c r="N63"/>
      <c r="O63"/>
      <c r="P63"/>
      <c r="Q63" s="11">
        <v>8.0648678704164922E-6</v>
      </c>
      <c r="R63"/>
      <c r="S63"/>
      <c r="T63"/>
      <c r="U63"/>
      <c r="V63"/>
      <c r="W63"/>
      <c r="X63" s="11">
        <v>2.559516687483665E-8</v>
      </c>
      <c r="Y63"/>
      <c r="Z63"/>
      <c r="AA63" s="11">
        <v>2.6807620656654763E-7</v>
      </c>
      <c r="AB63"/>
      <c r="AC63"/>
      <c r="AD63"/>
      <c r="AE63"/>
      <c r="AF63" s="11">
        <v>1.903412226056389E-6</v>
      </c>
      <c r="AG63" s="11">
        <v>3.4620882161107147E-8</v>
      </c>
      <c r="AH63" s="11">
        <v>1.3221461267676204E-4</v>
      </c>
      <c r="AI63" s="11">
        <v>3.2293457934429171E-6</v>
      </c>
      <c r="AJ63" s="11">
        <v>7.4557450716383755E-5</v>
      </c>
      <c r="AK63" s="11">
        <v>4.0909853851189837E-6</v>
      </c>
      <c r="AL63" s="11">
        <v>1.5280777006410062E-4</v>
      </c>
      <c r="AM63" s="11">
        <v>2.8794020181521773E-4</v>
      </c>
      <c r="AN63" s="11">
        <v>2.9776239534839988E-4</v>
      </c>
      <c r="AO63"/>
      <c r="AP63" s="11">
        <v>7.3691143143150839E-7</v>
      </c>
      <c r="AQ63" s="11">
        <v>1.8250721041113138E-5</v>
      </c>
      <c r="AR63"/>
      <c r="AS63"/>
      <c r="AT63"/>
      <c r="AU63"/>
      <c r="AV63" s="11">
        <v>1.9218762463424355E-4</v>
      </c>
      <c r="AW63"/>
      <c r="AX63"/>
      <c r="AY63"/>
      <c r="AZ63" s="274">
        <v>1.8976740539073944E-2</v>
      </c>
      <c r="BA63"/>
      <c r="BB63"/>
      <c r="BC63" s="11">
        <v>6.066611604182981E-5</v>
      </c>
      <c r="BD63"/>
      <c r="BE63"/>
      <c r="BF63" s="11">
        <v>6.1192206339910626E-4</v>
      </c>
      <c r="BG63" s="11">
        <v>6.8295153323560953E-4</v>
      </c>
      <c r="BH63"/>
      <c r="BI63"/>
      <c r="BJ63"/>
      <c r="BK63"/>
      <c r="BL63" s="14">
        <v>1.2435830431059003E-3</v>
      </c>
      <c r="BM63" s="138">
        <v>9.509817510843277E-2</v>
      </c>
      <c r="BN63" s="70">
        <v>4.1291262954473495E-2</v>
      </c>
      <c r="BO63"/>
      <c r="BP63" s="350">
        <v>0.46139368414878845</v>
      </c>
      <c r="BQ63" s="65">
        <v>1.67580246925354E-2</v>
      </c>
      <c r="BR63"/>
      <c r="BS63"/>
      <c r="BT63" s="11">
        <v>6.2104227254167199E-4</v>
      </c>
      <c r="BU63"/>
      <c r="BV63" s="14">
        <v>1.8989007221534848E-3</v>
      </c>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t="s">
        <v>254</v>
      </c>
      <c r="B64">
        <v>1.2690000534057617</v>
      </c>
      <c r="C64">
        <v>0.12712913751602173</v>
      </c>
      <c r="D64" s="11">
        <v>8.4311091441691133E-9</v>
      </c>
      <c r="E64" s="11">
        <v>1.9705614704434993E-6</v>
      </c>
      <c r="F64"/>
      <c r="G64"/>
      <c r="H64"/>
      <c r="I64"/>
      <c r="J64" s="11">
        <v>1.6681253045547351E-9</v>
      </c>
      <c r="K64"/>
      <c r="L64"/>
      <c r="M64" s="11">
        <v>1.9480921320536027E-9</v>
      </c>
      <c r="N64" s="11">
        <v>3.0102839332357689E-7</v>
      </c>
      <c r="O64"/>
      <c r="P64"/>
      <c r="Q64" s="11">
        <v>4.0692145830689697E-7</v>
      </c>
      <c r="R64"/>
      <c r="S64"/>
      <c r="T64"/>
      <c r="U64"/>
      <c r="V64"/>
      <c r="W64" s="11">
        <v>1.7030688468366861E-6</v>
      </c>
      <c r="X64" s="11">
        <v>4.4982439817431441E-7</v>
      </c>
      <c r="Y64" s="11">
        <v>1.0440530786581803E-6</v>
      </c>
      <c r="Z64" s="11">
        <v>1.2202968946439796E-7</v>
      </c>
      <c r="AA64" s="11">
        <v>9.4800116130500101E-6</v>
      </c>
      <c r="AB64"/>
      <c r="AC64" s="11">
        <v>1.2101490938221104E-5</v>
      </c>
      <c r="AD64"/>
      <c r="AE64"/>
      <c r="AF64" s="11">
        <v>1.4177138837112579E-5</v>
      </c>
      <c r="AG64" s="11">
        <v>1.1679806630127132E-4</v>
      </c>
      <c r="AH64" s="11">
        <v>2.0424877584446222E-4</v>
      </c>
      <c r="AI64" s="11">
        <v>1.5153424465097487E-4</v>
      </c>
      <c r="AJ64" s="11">
        <v>6.3088501337915659E-4</v>
      </c>
      <c r="AK64" s="11">
        <v>6.094157652114518E-5</v>
      </c>
      <c r="AL64" s="23">
        <v>6.4641996286809444E-3</v>
      </c>
      <c r="AM64" s="21">
        <v>2.3966552689671516E-2</v>
      </c>
      <c r="AN64" s="14">
        <v>1.6936053289100528E-3</v>
      </c>
      <c r="AO64" s="11">
        <v>3.181758220307529E-4</v>
      </c>
      <c r="AP64" s="11">
        <v>1.8818467651726678E-5</v>
      </c>
      <c r="AQ64" s="11">
        <v>1.8417190585751086E-4</v>
      </c>
      <c r="AR64" s="11">
        <v>1.6672341735102236E-4</v>
      </c>
      <c r="AS64"/>
      <c r="AT64"/>
      <c r="AU64"/>
      <c r="AV64" s="11">
        <v>8.1245387264061719E-5</v>
      </c>
      <c r="AW64" s="11">
        <v>2.3151266213972121E-4</v>
      </c>
      <c r="AX64" s="11">
        <v>1.1692869156831875E-4</v>
      </c>
      <c r="AY64"/>
      <c r="AZ64" s="14">
        <v>2.7043817099183798E-3</v>
      </c>
      <c r="BA64"/>
      <c r="BB64" s="18">
        <v>1.5999836847186089E-2</v>
      </c>
      <c r="BC64" s="11">
        <v>8.0656638601794839E-4</v>
      </c>
      <c r="BD64" s="11">
        <v>8.8342517847195268E-4</v>
      </c>
      <c r="BE64" s="14">
        <v>2.1837276872247458E-3</v>
      </c>
      <c r="BF64" s="11">
        <v>6.3808693084865808E-4</v>
      </c>
      <c r="BG64" s="11">
        <v>7.1215356001630425E-4</v>
      </c>
      <c r="BH64" s="14">
        <v>2.7135920245200396E-3</v>
      </c>
      <c r="BI64" s="268">
        <v>9.4318516552448273E-2</v>
      </c>
      <c r="BJ64" s="70">
        <v>6.4729981124401093E-2</v>
      </c>
      <c r="BK64" s="360">
        <v>0.66841542720794678</v>
      </c>
      <c r="BL64" s="11">
        <v>3.5910189035348594E-4</v>
      </c>
      <c r="BM64" s="15">
        <v>1.2293113395571709E-2</v>
      </c>
      <c r="BN64" s="12">
        <v>5.1875687204301357E-3</v>
      </c>
      <c r="BO64" s="15">
        <v>1.2092288583517075E-2</v>
      </c>
      <c r="BP64" s="305">
        <v>0.22107259929180145</v>
      </c>
      <c r="BQ64" s="14">
        <v>2.3124248255044222E-3</v>
      </c>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t="s">
        <v>255</v>
      </c>
      <c r="B65">
        <v>7.0100002288818359</v>
      </c>
      <c r="C65">
        <v>7.0997431874275208E-2</v>
      </c>
      <c r="D65" s="11">
        <v>3.1793078392183816E-7</v>
      </c>
      <c r="E65" s="11">
        <v>2.1462228687596507E-5</v>
      </c>
      <c r="F65"/>
      <c r="G65"/>
      <c r="H65"/>
      <c r="I65"/>
      <c r="J65"/>
      <c r="K65"/>
      <c r="L65"/>
      <c r="M65" s="11">
        <v>7.3296313019000081E-8</v>
      </c>
      <c r="N65"/>
      <c r="O65"/>
      <c r="P65"/>
      <c r="Q65"/>
      <c r="R65"/>
      <c r="S65"/>
      <c r="T65"/>
      <c r="U65"/>
      <c r="V65"/>
      <c r="W65" s="11">
        <v>6.5738495322875679E-6</v>
      </c>
      <c r="X65" s="11">
        <v>1.4331017439417337E-7</v>
      </c>
      <c r="Y65" s="11">
        <v>4.3631544031086378E-6</v>
      </c>
      <c r="Z65" s="11">
        <v>1.3011249677674641E-7</v>
      </c>
      <c r="AA65" s="11">
        <v>8.0669065937399864E-5</v>
      </c>
      <c r="AB65" s="11">
        <v>1.0134277772522182E-7</v>
      </c>
      <c r="AC65"/>
      <c r="AD65"/>
      <c r="AE65" s="11">
        <v>1.3852436495653819E-6</v>
      </c>
      <c r="AF65" s="11">
        <v>2.5092859868891537E-4</v>
      </c>
      <c r="AG65" s="11">
        <v>1.315535519097466E-5</v>
      </c>
      <c r="AH65" s="11">
        <v>7.9080444993451238E-4</v>
      </c>
      <c r="AI65" s="11">
        <v>1.341041992418468E-3</v>
      </c>
      <c r="AJ65" s="11">
        <v>1.776467077434063E-3</v>
      </c>
      <c r="AK65" s="11">
        <v>4.0448879008181393E-4</v>
      </c>
      <c r="AL65" s="12">
        <v>2.9805129393935204E-2</v>
      </c>
      <c r="AM65" s="18">
        <v>8.327348530292511E-2</v>
      </c>
      <c r="AN65" s="15">
        <v>7.306651771068573E-2</v>
      </c>
      <c r="AO65" s="14">
        <v>1.0207203216850758E-2</v>
      </c>
      <c r="AP65" s="11">
        <v>2.7062578737968579E-5</v>
      </c>
      <c r="AQ65" s="12">
        <v>2.4855628609657288E-2</v>
      </c>
      <c r="AR65" s="283">
        <v>0.77092903852462769</v>
      </c>
      <c r="AS65" s="14">
        <v>1.6543200239539146E-2</v>
      </c>
      <c r="AT65" s="18">
        <v>8.5624352097511292E-2</v>
      </c>
      <c r="AU65" s="14">
        <v>1.5220026485621929E-2</v>
      </c>
      <c r="AV65" s="14">
        <v>7.909025065600872E-3</v>
      </c>
      <c r="AW65" s="11">
        <v>4.0976637974381447E-3</v>
      </c>
      <c r="AX65"/>
      <c r="AY65"/>
      <c r="AZ65" s="11">
        <v>2.7240964118391275E-3</v>
      </c>
      <c r="BA65" s="12">
        <v>2.7481306344270706E-2</v>
      </c>
      <c r="BB65" s="14">
        <v>1.8630886450409889E-2</v>
      </c>
      <c r="BC65" s="11">
        <v>2.5192657485604286E-3</v>
      </c>
      <c r="BD65" s="11">
        <v>4.5988839119672775E-3</v>
      </c>
      <c r="BE65" s="14">
        <v>1.2883646413683891E-2</v>
      </c>
      <c r="BF65" s="11">
        <v>2.823458518832922E-3</v>
      </c>
      <c r="BG65" s="11">
        <v>3.1511946581304073E-3</v>
      </c>
      <c r="BH65" s="14">
        <v>1.2007321231067181E-2</v>
      </c>
      <c r="BI65" s="67">
        <v>0.41734817624092102</v>
      </c>
      <c r="BJ65" s="64">
        <v>0.38189658522605896</v>
      </c>
      <c r="BK65" s="361">
        <v>3.9435446262359619</v>
      </c>
      <c r="BL65"/>
      <c r="BM65" s="12">
        <v>3.1549420207738876E-2</v>
      </c>
      <c r="BN65" s="14">
        <v>1.262490451335907E-2</v>
      </c>
      <c r="BO65" s="23">
        <v>3.4808274358510971E-2</v>
      </c>
      <c r="BP65" s="15">
        <v>6.4675703644752502E-2</v>
      </c>
      <c r="BQ65"/>
      <c r="BR65"/>
      <c r="BS65"/>
      <c r="BT65"/>
      <c r="BU65"/>
      <c r="BV65" s="11">
        <v>5.6526991102145985E-5</v>
      </c>
      <c r="BW65" s="19">
        <v>0.12452293932437897</v>
      </c>
      <c r="BX65"/>
      <c r="BY65" s="278">
        <v>0.27133220434188843</v>
      </c>
      <c r="BZ65" s="68">
        <v>0.443572998046875</v>
      </c>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t="s">
        <v>256</v>
      </c>
      <c r="B66">
        <v>6.8499999046325684</v>
      </c>
      <c r="C66">
        <v>0.13840153813362122</v>
      </c>
      <c r="D66"/>
      <c r="E66" s="11">
        <v>8.302957432704261E-9</v>
      </c>
      <c r="F66"/>
      <c r="G66"/>
      <c r="H66"/>
      <c r="I66"/>
      <c r="J66"/>
      <c r="K66"/>
      <c r="L66"/>
      <c r="M66"/>
      <c r="N66"/>
      <c r="O66"/>
      <c r="P66"/>
      <c r="Q66"/>
      <c r="R66"/>
      <c r="S66"/>
      <c r="T66"/>
      <c r="U66"/>
      <c r="V66"/>
      <c r="W66"/>
      <c r="X66"/>
      <c r="Y66"/>
      <c r="Z66"/>
      <c r="AA66"/>
      <c r="AB66"/>
      <c r="AC66"/>
      <c r="AD66"/>
      <c r="AE66" s="11">
        <v>1.3904807474318659E-6</v>
      </c>
      <c r="AF66" s="11">
        <v>2.5187725896103075E-6</v>
      </c>
      <c r="AG66" s="11">
        <v>2.9022177841397934E-5</v>
      </c>
      <c r="AH66" s="11">
        <v>2.8611482121050358E-3</v>
      </c>
      <c r="AI66" s="11">
        <v>2.7612553094513714E-4</v>
      </c>
      <c r="AJ66" s="11">
        <v>1.3063612641417421E-5</v>
      </c>
      <c r="AK66" s="11">
        <v>5.8300024829804897E-3</v>
      </c>
      <c r="AL66" s="14">
        <v>1.8707910552620888E-2</v>
      </c>
      <c r="AM66" s="22">
        <v>5.2318256348371506E-2</v>
      </c>
      <c r="AN66" s="22">
        <v>5.902138352394104E-2</v>
      </c>
      <c r="AO66" s="18">
        <v>7.6313488185405731E-2</v>
      </c>
      <c r="AP66" s="11">
        <v>6.4295605989173055E-4</v>
      </c>
      <c r="AQ66"/>
      <c r="AR66" s="14">
        <v>1.1392619460821152E-2</v>
      </c>
      <c r="AS66" s="14">
        <v>1.0218920186161995E-2</v>
      </c>
      <c r="AT66"/>
      <c r="AU66" s="11">
        <v>5.6846759980544448E-4</v>
      </c>
      <c r="AV66" s="11">
        <v>2.6648142375051975E-3</v>
      </c>
      <c r="AW66" s="11">
        <v>1.1390276631573215E-4</v>
      </c>
      <c r="AX66" s="11">
        <v>1.625089680601377E-5</v>
      </c>
      <c r="AY66"/>
      <c r="AZ66" s="11">
        <v>4.2668585665524006E-3</v>
      </c>
      <c r="BA66" s="14">
        <v>1.6975509002804756E-2</v>
      </c>
      <c r="BB66" s="12">
        <v>2.56064273416996E-2</v>
      </c>
      <c r="BC66" s="11">
        <v>2.723312471061945E-3</v>
      </c>
      <c r="BD66" s="11">
        <v>4.4032121077179909E-3</v>
      </c>
      <c r="BE66" s="14">
        <v>1.5916744247078896E-2</v>
      </c>
      <c r="BF66" s="11">
        <v>3.6364106927067041E-3</v>
      </c>
      <c r="BG66" s="11">
        <v>2.8127329424023628E-3</v>
      </c>
      <c r="BH66" s="14">
        <v>1.1718949303030968E-2</v>
      </c>
      <c r="BI66" s="67">
        <v>0.40474694967269897</v>
      </c>
      <c r="BJ66" s="64">
        <v>0.37744283676147461</v>
      </c>
      <c r="BK66" s="364">
        <v>3.8975539207458496</v>
      </c>
      <c r="BL66" s="11">
        <v>8.1794380093924701E-5</v>
      </c>
      <c r="BM66" s="12">
        <v>2.1000463515520096E-2</v>
      </c>
      <c r="BN66" s="14">
        <v>8.8619822636246681E-3</v>
      </c>
      <c r="BO66" s="12">
        <v>2.3456135764718056E-2</v>
      </c>
      <c r="BP66" s="140">
        <v>0.68166226148605347</v>
      </c>
      <c r="BQ66" s="11">
        <v>1.5801365952938795E-3</v>
      </c>
      <c r="BR66"/>
      <c r="BS66" s="14">
        <v>1.7859358340501785E-2</v>
      </c>
      <c r="BT66"/>
      <c r="BU66"/>
      <c r="BV66" s="11">
        <v>3.4917353332275525E-5</v>
      </c>
      <c r="BW66" s="11">
        <v>3.8459603674709797E-3</v>
      </c>
      <c r="BX66"/>
      <c r="BY66" s="355">
        <v>0.67041969299316406</v>
      </c>
      <c r="BZ66" s="278">
        <v>0.27399998903274536</v>
      </c>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t="s">
        <v>257</v>
      </c>
      <c r="B67">
        <v>2.5</v>
      </c>
      <c r="C67">
        <v>5.0568133592605591E-2</v>
      </c>
      <c r="D67" s="9">
        <v>2.189572301247722E-9</v>
      </c>
      <c r="E67" s="11">
        <v>7.9444255618454918E-9</v>
      </c>
      <c r="F67"/>
      <c r="G67"/>
      <c r="H67"/>
      <c r="I67"/>
      <c r="J67"/>
      <c r="K67"/>
      <c r="L67"/>
      <c r="M67" s="9">
        <v>5.0528542461236725E-10</v>
      </c>
      <c r="N67"/>
      <c r="O67"/>
      <c r="P67"/>
      <c r="Q67"/>
      <c r="R67"/>
      <c r="S67"/>
      <c r="T67"/>
      <c r="U67"/>
      <c r="V67"/>
      <c r="W67" s="11">
        <v>8.1617304203973617E-7</v>
      </c>
      <c r="X67" s="11">
        <v>3.3123521347988572E-7</v>
      </c>
      <c r="Y67" s="11">
        <v>3.0149208214425016E-6</v>
      </c>
      <c r="Z67" s="11">
        <v>1.2736849441807863E-7</v>
      </c>
      <c r="AA67" s="11">
        <v>1.3424526514427271E-5</v>
      </c>
      <c r="AB67"/>
      <c r="AC67"/>
      <c r="AD67"/>
      <c r="AE67" s="11">
        <v>3.7290813992285621E-8</v>
      </c>
      <c r="AF67" s="11">
        <v>2.82482124021044E-5</v>
      </c>
      <c r="AG67"/>
      <c r="AH67" s="11">
        <v>1.1058953532483429E-4</v>
      </c>
      <c r="AI67" s="11">
        <v>3.0631067602371331E-6</v>
      </c>
      <c r="AJ67" s="11">
        <v>8.2809630839619786E-5</v>
      </c>
      <c r="AK67" s="11">
        <v>1.2802653145627119E-5</v>
      </c>
      <c r="AL67" s="22">
        <v>2.000005915760994E-2</v>
      </c>
      <c r="AM67" s="21">
        <v>4.8771031200885773E-2</v>
      </c>
      <c r="AN67" s="11">
        <v>6.9691584212705493E-4</v>
      </c>
      <c r="AO67" s="11">
        <v>7.5800919148605317E-5</v>
      </c>
      <c r="AP67" s="11">
        <v>6.9286356847442221E-6</v>
      </c>
      <c r="AQ67" s="11">
        <v>1.0370777454227209E-4</v>
      </c>
      <c r="AR67" s="11">
        <v>6.138468743301928E-4</v>
      </c>
      <c r="AS67" s="23">
        <v>1.3880840502679348E-2</v>
      </c>
      <c r="AT67"/>
      <c r="AU67"/>
      <c r="AV67" s="11">
        <v>1.3724858581554145E-4</v>
      </c>
      <c r="AW67" s="11">
        <v>6.6854106262326241E-4</v>
      </c>
      <c r="AX67" s="11">
        <v>6.5241992706432939E-4</v>
      </c>
      <c r="AY67"/>
      <c r="AZ67" s="11">
        <v>2.2856972645968199E-3</v>
      </c>
      <c r="BA67"/>
      <c r="BB67" s="23">
        <v>1.5958225354552269E-2</v>
      </c>
      <c r="BC67" s="11">
        <v>2.0551132038235664E-3</v>
      </c>
      <c r="BD67" s="11">
        <v>2.2509479895234108E-3</v>
      </c>
      <c r="BE67" s="14">
        <v>6.305968388915062E-3</v>
      </c>
      <c r="BF67" s="11">
        <v>1.3819567393511534E-3</v>
      </c>
      <c r="BG67" s="11">
        <v>1.5423687873408198E-3</v>
      </c>
      <c r="BH67" s="14">
        <v>5.8770463801920414E-3</v>
      </c>
      <c r="BI67" s="346">
        <v>0.20427326858043671</v>
      </c>
      <c r="BJ67" s="268">
        <v>0.18692129850387573</v>
      </c>
      <c r="BK67" s="358">
        <v>1.9301886558532715</v>
      </c>
      <c r="BL67" s="11">
        <v>6.481134332716465E-4</v>
      </c>
      <c r="BM67"/>
      <c r="BN67"/>
      <c r="BO67" s="11">
        <v>1.408024225383997E-3</v>
      </c>
      <c r="BP67"/>
      <c r="BQ67" s="11">
        <v>2.1910902578383684E-3</v>
      </c>
      <c r="BR67"/>
      <c r="BS67"/>
      <c r="BT67"/>
      <c r="BU67"/>
      <c r="BV67" s="11">
        <v>2.8128558187745512E-4</v>
      </c>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t="s">
        <v>258</v>
      </c>
      <c r="B68">
        <v>12.5</v>
      </c>
      <c r="C68">
        <v>0.62580633163452148</v>
      </c>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s="11">
        <v>1.9881704356521368E-3</v>
      </c>
      <c r="BA68"/>
      <c r="BB68"/>
      <c r="BC68" s="11">
        <v>2.6814016746357083E-4</v>
      </c>
      <c r="BD68" s="11">
        <v>1.5271966112777591E-3</v>
      </c>
      <c r="BE68"/>
      <c r="BF68" s="11">
        <v>1.8031030776910484E-5</v>
      </c>
      <c r="BG68" s="11">
        <v>2.0124003640376031E-5</v>
      </c>
      <c r="BH68" s="11">
        <v>2.3004167815088294E-5</v>
      </c>
      <c r="BI68" s="11">
        <v>3.9978724089451134E-4</v>
      </c>
      <c r="BJ68" s="14">
        <v>2.4388490244746208E-2</v>
      </c>
      <c r="BK68" s="21">
        <v>0.25184068083763123</v>
      </c>
      <c r="BL68"/>
      <c r="BM68" s="11">
        <v>8.3370767533779144E-3</v>
      </c>
      <c r="BN68" s="11">
        <v>3.5181615967303514E-3</v>
      </c>
      <c r="BO68"/>
      <c r="BP68" s="23">
        <v>8.2605756819248199E-2</v>
      </c>
      <c r="BQ68"/>
      <c r="BR68" s="11">
        <v>8.1111304461956024E-4</v>
      </c>
      <c r="BS68" s="23">
        <v>7.3854938149452209E-2</v>
      </c>
      <c r="BT68"/>
      <c r="BU68"/>
      <c r="BV68"/>
      <c r="BW68" s="16">
        <v>0.2067577987909317</v>
      </c>
      <c r="BX68" s="354">
        <v>1.2998658418655396</v>
      </c>
      <c r="BY68" s="109">
        <v>2.4258756637573242</v>
      </c>
      <c r="BZ68" s="363">
        <v>5.6654481887817383</v>
      </c>
      <c r="CA68" s="356">
        <v>1.8266451358795166</v>
      </c>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t="s">
        <v>259</v>
      </c>
      <c r="B69">
        <v>12.5</v>
      </c>
      <c r="C69">
        <v>0.62574076652526855</v>
      </c>
      <c r="D69"/>
      <c r="E69"/>
      <c r="F69"/>
      <c r="G69"/>
      <c r="H69"/>
      <c r="I69"/>
      <c r="J69"/>
      <c r="K69"/>
      <c r="L69"/>
      <c r="M69"/>
      <c r="N69"/>
      <c r="O69"/>
      <c r="P69"/>
      <c r="Q69"/>
      <c r="R69"/>
      <c r="S69"/>
      <c r="T69"/>
      <c r="U69"/>
      <c r="V69"/>
      <c r="W69"/>
      <c r="X69"/>
      <c r="Y69"/>
      <c r="Z69"/>
      <c r="AA69"/>
      <c r="AB69"/>
      <c r="AC69"/>
      <c r="AD69"/>
      <c r="AE69"/>
      <c r="AF69" s="11">
        <v>3.6400493286237179E-7</v>
      </c>
      <c r="AG69"/>
      <c r="AH69" s="11">
        <v>2.2006852304912172E-6</v>
      </c>
      <c r="AI69"/>
      <c r="AJ69"/>
      <c r="AK69"/>
      <c r="AL69" s="11">
        <v>3.1879269954515621E-5</v>
      </c>
      <c r="AM69" s="11">
        <v>4.1298847645521164E-4</v>
      </c>
      <c r="AN69" s="11">
        <v>3.571910838218173E-7</v>
      </c>
      <c r="AO69"/>
      <c r="AP69"/>
      <c r="AQ69"/>
      <c r="AR69"/>
      <c r="AS69"/>
      <c r="AT69"/>
      <c r="AU69"/>
      <c r="AV69"/>
      <c r="AW69"/>
      <c r="AX69"/>
      <c r="AY69"/>
      <c r="AZ69"/>
      <c r="BA69"/>
      <c r="BB69"/>
      <c r="BC69" s="11">
        <v>4.3506263755261898E-3</v>
      </c>
      <c r="BD69" s="11">
        <v>4.7652041539549828E-3</v>
      </c>
      <c r="BE69" s="14">
        <v>1.4684546738862991E-2</v>
      </c>
      <c r="BF69" s="11">
        <v>5.8511400129646063E-4</v>
      </c>
      <c r="BG69" s="11">
        <v>6.5303168958052993E-4</v>
      </c>
      <c r="BH69" s="11">
        <v>2.2394824773073196E-3</v>
      </c>
      <c r="BI69" s="21">
        <v>0.23351852595806122</v>
      </c>
      <c r="BJ69" s="21">
        <v>0.23742477595806122</v>
      </c>
      <c r="BK69" s="352">
        <v>2.4516983032226562</v>
      </c>
      <c r="BL69"/>
      <c r="BM69"/>
      <c r="BN69"/>
      <c r="BO69"/>
      <c r="BP69"/>
      <c r="BQ69"/>
      <c r="BR69" s="11">
        <v>2.632093382999301E-3</v>
      </c>
      <c r="BS69" s="14">
        <v>2.9957767575979233E-2</v>
      </c>
      <c r="BT69"/>
      <c r="BU69"/>
      <c r="BV69"/>
      <c r="BW69"/>
      <c r="BX69"/>
      <c r="BY69"/>
      <c r="BZ69"/>
      <c r="CA69" s="359">
        <v>8.8913021087646484</v>
      </c>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t="s">
        <v>260</v>
      </c>
      <c r="B70">
        <v>30</v>
      </c>
      <c r="C70">
        <v>15.005953788757324</v>
      </c>
      <c r="D70" s="11">
        <v>5.8108776102017146E-6</v>
      </c>
      <c r="E70" s="11">
        <v>9.0948985889554024E-3</v>
      </c>
      <c r="F70"/>
      <c r="G70"/>
      <c r="H70"/>
      <c r="I70"/>
      <c r="J70"/>
      <c r="K70"/>
      <c r="L70"/>
      <c r="M70" s="11">
        <v>1.3413697388386936E-6</v>
      </c>
      <c r="N70"/>
      <c r="O70"/>
      <c r="P70"/>
      <c r="Q70" s="11">
        <v>6.417115218937397E-4</v>
      </c>
      <c r="R70"/>
      <c r="S70"/>
      <c r="T70"/>
      <c r="U70"/>
      <c r="V70"/>
      <c r="W70"/>
      <c r="X70" s="11">
        <v>7.0936908969088108E-7</v>
      </c>
      <c r="Y70"/>
      <c r="Z70"/>
      <c r="AA70"/>
      <c r="AB70"/>
      <c r="AC70"/>
      <c r="AD70"/>
      <c r="AE70"/>
      <c r="AF70"/>
      <c r="AG70"/>
      <c r="AH70"/>
      <c r="AI70"/>
      <c r="AJ70"/>
      <c r="AK70"/>
      <c r="AL70"/>
      <c r="AM70"/>
      <c r="AN70"/>
      <c r="AO70"/>
      <c r="AP70"/>
      <c r="AQ70"/>
      <c r="AR70"/>
      <c r="AS70"/>
      <c r="AT70"/>
      <c r="AU70"/>
      <c r="AV70"/>
      <c r="AW70"/>
      <c r="AX70"/>
      <c r="AY70"/>
      <c r="AZ70"/>
      <c r="BA70" s="286">
        <v>2.0404400825500488</v>
      </c>
      <c r="BB70"/>
      <c r="BC70"/>
      <c r="BD70"/>
      <c r="BE70"/>
      <c r="BF70"/>
      <c r="BG70"/>
      <c r="BH70"/>
      <c r="BI70"/>
      <c r="BJ70"/>
      <c r="BK70"/>
      <c r="BL70"/>
      <c r="BM70"/>
      <c r="BN70"/>
      <c r="BO70"/>
      <c r="BP70"/>
      <c r="BQ70"/>
      <c r="BR70"/>
      <c r="BS70"/>
      <c r="BT70"/>
      <c r="BU70"/>
      <c r="BV70"/>
      <c r="BW70" s="338">
        <v>12.943861961364746</v>
      </c>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t="s">
        <v>261</v>
      </c>
      <c r="B71">
        <v>40</v>
      </c>
      <c r="C71">
        <v>20.00379753112793</v>
      </c>
      <c r="D71" s="11">
        <v>1.6533322195755318E-5</v>
      </c>
      <c r="E71" s="11">
        <v>3.7835871335119009E-3</v>
      </c>
      <c r="F71"/>
      <c r="G71"/>
      <c r="H71"/>
      <c r="I71"/>
      <c r="J71"/>
      <c r="K71"/>
      <c r="L71"/>
      <c r="M71" s="11">
        <v>3.8153816603880841E-6</v>
      </c>
      <c r="N71"/>
      <c r="O71"/>
      <c r="P71"/>
      <c r="Q71" s="11">
        <v>1.7063236737158149E-4</v>
      </c>
      <c r="R71"/>
      <c r="S71"/>
      <c r="T71"/>
      <c r="U71"/>
      <c r="V71"/>
      <c r="W71"/>
      <c r="X71"/>
      <c r="Y71"/>
      <c r="Z71"/>
      <c r="AA71"/>
      <c r="AB71"/>
      <c r="AC71"/>
      <c r="AD71"/>
      <c r="AE71"/>
      <c r="AF71"/>
      <c r="AG71"/>
      <c r="AH71"/>
      <c r="AI71"/>
      <c r="AJ71"/>
      <c r="AK71"/>
      <c r="AL71"/>
      <c r="AM71"/>
      <c r="AN71" s="11">
        <v>4.9711983592715114E-5</v>
      </c>
      <c r="AO71"/>
      <c r="AP71"/>
      <c r="AQ71"/>
      <c r="AR71"/>
      <c r="AS71"/>
      <c r="AT71"/>
      <c r="AU71"/>
      <c r="AV71"/>
      <c r="AW71"/>
      <c r="AX71"/>
      <c r="AY71" s="23">
        <v>0.21908771991729736</v>
      </c>
      <c r="AZ71"/>
      <c r="BA71" s="284">
        <v>1.3021367788314819</v>
      </c>
      <c r="BB71"/>
      <c r="BC71"/>
      <c r="BD71"/>
      <c r="BE71"/>
      <c r="BF71"/>
      <c r="BG71"/>
      <c r="BH71"/>
      <c r="BI71"/>
      <c r="BJ71"/>
      <c r="BK71"/>
      <c r="BL71"/>
      <c r="BM71"/>
      <c r="BN71"/>
      <c r="BO71"/>
      <c r="BP71"/>
      <c r="BQ71"/>
      <c r="BR71"/>
      <c r="BS71"/>
      <c r="BT71"/>
      <c r="BU71"/>
      <c r="BV71"/>
      <c r="BW71" s="339">
        <v>8.2603158950805664</v>
      </c>
      <c r="BX71"/>
      <c r="BY71"/>
      <c r="BZ71"/>
      <c r="CA71"/>
      <c r="CB71"/>
      <c r="CC71"/>
      <c r="CD71" s="144">
        <v>10.210635185241699</v>
      </c>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t="s">
        <v>262</v>
      </c>
      <c r="B72">
        <v>52</v>
      </c>
      <c r="C72">
        <v>23.44365119934082</v>
      </c>
      <c r="D72"/>
      <c r="E72"/>
      <c r="F72"/>
      <c r="G72"/>
      <c r="H72"/>
      <c r="I72"/>
      <c r="J72"/>
      <c r="K72"/>
      <c r="L72"/>
      <c r="M72"/>
      <c r="N72"/>
      <c r="O72"/>
      <c r="P72"/>
      <c r="Q72"/>
      <c r="R72"/>
      <c r="S72"/>
      <c r="T72"/>
      <c r="U72"/>
      <c r="V72"/>
      <c r="W72"/>
      <c r="X72"/>
      <c r="Y72"/>
      <c r="Z72"/>
      <c r="AA72"/>
      <c r="AB72"/>
      <c r="AC72"/>
      <c r="AD72"/>
      <c r="AE72" s="11">
        <v>5.7680686040839646E-6</v>
      </c>
      <c r="AF72" s="11">
        <v>9.5529243117198348E-4</v>
      </c>
      <c r="AG72" s="11">
        <v>7.3335552588105202E-3</v>
      </c>
      <c r="AH72" s="14">
        <v>7.9136177897453308E-2</v>
      </c>
      <c r="AI72" s="14">
        <v>9.5300525426864624E-2</v>
      </c>
      <c r="AJ72" s="11">
        <v>2.6730194804258645E-4</v>
      </c>
      <c r="AK72" s="11">
        <v>5.1330015994608402E-3</v>
      </c>
      <c r="AL72" s="14">
        <v>7.5035944581031799E-2</v>
      </c>
      <c r="AM72" s="14">
        <v>8.1288352608680725E-2</v>
      </c>
      <c r="AN72" s="12">
        <v>0.17831175029277802</v>
      </c>
      <c r="AO72" s="22">
        <v>0.38725119829177856</v>
      </c>
      <c r="AP72" s="11">
        <v>7.9252326395362616E-4</v>
      </c>
      <c r="AQ72" s="14">
        <v>0.12099731713533401</v>
      </c>
      <c r="AR72" s="297">
        <v>2.9911203384399414</v>
      </c>
      <c r="AS72"/>
      <c r="AT72"/>
      <c r="AU72" s="11">
        <v>1.6439665341749787E-4</v>
      </c>
      <c r="AV72" s="14">
        <v>5.3376618772745132E-2</v>
      </c>
      <c r="AW72" s="11">
        <v>4.8099767416715622E-2</v>
      </c>
      <c r="AX72" s="11">
        <v>2.3369793780148029E-4</v>
      </c>
      <c r="AY72" s="11">
        <v>3.5205859690904617E-2</v>
      </c>
      <c r="AZ72"/>
      <c r="BA72" s="26">
        <v>1.3679343461990356</v>
      </c>
      <c r="BB72"/>
      <c r="BC72"/>
      <c r="BD72"/>
      <c r="BE72"/>
      <c r="BF72"/>
      <c r="BG72"/>
      <c r="BH72"/>
      <c r="BI72"/>
      <c r="BJ72"/>
      <c r="BK72"/>
      <c r="BL72"/>
      <c r="BM72"/>
      <c r="BN72"/>
      <c r="BO72"/>
      <c r="BP72"/>
      <c r="BQ72"/>
      <c r="BR72"/>
      <c r="BS72"/>
      <c r="BT72"/>
      <c r="BU72" s="14">
        <v>0.10783333331346512</v>
      </c>
      <c r="BV72"/>
      <c r="BW72" s="14">
        <v>7.1109369397163391E-2</v>
      </c>
      <c r="BX72"/>
      <c r="BY72"/>
      <c r="BZ72"/>
      <c r="CA72"/>
      <c r="CB72"/>
      <c r="CC72" s="139">
        <v>17.681856155395508</v>
      </c>
      <c r="CD72" s="23">
        <v>0.34866523742675781</v>
      </c>
      <c r="CE72" s="18">
        <v>0.56081855297088623</v>
      </c>
      <c r="CF72" s="284">
        <v>1.7333332300186157</v>
      </c>
      <c r="CG72" s="340">
        <v>2.5247879028320312</v>
      </c>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t="s">
        <v>263</v>
      </c>
      <c r="B73">
        <v>52</v>
      </c>
      <c r="C73">
        <v>0.50144004821777344</v>
      </c>
      <c r="D73"/>
      <c r="E73"/>
      <c r="F73"/>
      <c r="G73"/>
      <c r="H73"/>
      <c r="I73"/>
      <c r="J73"/>
      <c r="K73"/>
      <c r="L73"/>
      <c r="M73"/>
      <c r="N73"/>
      <c r="O73"/>
      <c r="P73"/>
      <c r="Q73"/>
      <c r="R73"/>
      <c r="S73"/>
      <c r="T73"/>
      <c r="U73"/>
      <c r="V73"/>
      <c r="W73"/>
      <c r="X73"/>
      <c r="Y73"/>
      <c r="Z73"/>
      <c r="AA73"/>
      <c r="AB73"/>
      <c r="AC73"/>
      <c r="AD73"/>
      <c r="AE73"/>
      <c r="AF73"/>
      <c r="AG73"/>
      <c r="AH73"/>
      <c r="AI73"/>
      <c r="AJ73"/>
      <c r="AK73"/>
      <c r="AL73"/>
      <c r="AM73"/>
      <c r="AN73" s="351">
        <v>33.687110900878906</v>
      </c>
      <c r="AO73" s="316">
        <v>7.1877903938293457</v>
      </c>
      <c r="AP73"/>
      <c r="AQ73" s="108">
        <v>8.9705677032470703</v>
      </c>
      <c r="AR73"/>
      <c r="AS73"/>
      <c r="AT73"/>
      <c r="AU73"/>
      <c r="AV73"/>
      <c r="AW73"/>
      <c r="AX73"/>
      <c r="AY73" s="14">
        <v>0.1151520162820816</v>
      </c>
      <c r="AZ73"/>
      <c r="BA73" s="17">
        <v>0.68440020084381104</v>
      </c>
      <c r="BB73"/>
      <c r="BC73"/>
      <c r="BD73"/>
      <c r="BE73"/>
      <c r="BF73"/>
      <c r="BG73"/>
      <c r="BH73"/>
      <c r="BI73"/>
      <c r="BJ73"/>
      <c r="BK73"/>
      <c r="BL73"/>
      <c r="BM73"/>
      <c r="BN73"/>
      <c r="BO73"/>
      <c r="BP73"/>
      <c r="BQ73"/>
      <c r="BR73"/>
      <c r="BS73"/>
      <c r="BT73"/>
      <c r="BU73"/>
      <c r="BV73"/>
      <c r="BW73" s="14">
        <v>8.0629773437976837E-2</v>
      </c>
      <c r="BX73"/>
      <c r="BY73"/>
      <c r="BZ73"/>
      <c r="CA73"/>
      <c r="CB73"/>
      <c r="CC73"/>
      <c r="CD73" s="23">
        <v>0.26833435893058777</v>
      </c>
      <c r="CE73" s="15">
        <v>0.50457388162612915</v>
      </c>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t="s">
        <v>264</v>
      </c>
      <c r="B74">
        <v>12.600000381469727</v>
      </c>
      <c r="C74">
        <v>0.24830475449562073</v>
      </c>
      <c r="D74"/>
      <c r="E74"/>
      <c r="F74"/>
      <c r="G74"/>
      <c r="H74"/>
      <c r="I74"/>
      <c r="J74"/>
      <c r="K74"/>
      <c r="L74"/>
      <c r="M74"/>
      <c r="N74"/>
      <c r="O74"/>
      <c r="P74"/>
      <c r="Q74"/>
      <c r="R74"/>
      <c r="S74"/>
      <c r="T74"/>
      <c r="U74"/>
      <c r="V74"/>
      <c r="W74"/>
      <c r="X74"/>
      <c r="Y74"/>
      <c r="Z74"/>
      <c r="AA74"/>
      <c r="AB74"/>
      <c r="AC74"/>
      <c r="AD74"/>
      <c r="AE74" s="11">
        <v>7.6278647611616179E-6</v>
      </c>
      <c r="AF74" s="11">
        <v>3.5171615309081972E-4</v>
      </c>
      <c r="AG74"/>
      <c r="AH74" s="143">
        <v>0.36193880438804626</v>
      </c>
      <c r="AI74" s="11">
        <v>5.0124872359447181E-5</v>
      </c>
      <c r="AJ74" s="11">
        <v>2.5746936444193125E-4</v>
      </c>
      <c r="AK74" s="11">
        <v>2.5917948223650455E-3</v>
      </c>
      <c r="AL74"/>
      <c r="AM74" s="26">
        <v>0.33063817024230957</v>
      </c>
      <c r="AN74" s="138">
        <v>1.5005757808685303</v>
      </c>
      <c r="AO74" s="20">
        <v>0.54127019643783569</v>
      </c>
      <c r="AP74"/>
      <c r="AQ74" s="11">
        <v>3.3288882113993168E-3</v>
      </c>
      <c r="AR74" s="314">
        <v>5.9088406562805176</v>
      </c>
      <c r="AS74"/>
      <c r="AT74"/>
      <c r="AU74"/>
      <c r="AV74"/>
      <c r="AW74"/>
      <c r="AX74"/>
      <c r="AY74"/>
      <c r="AZ74"/>
      <c r="BA74"/>
      <c r="BB74"/>
      <c r="BC74" s="304">
        <v>2.9594399929046631</v>
      </c>
      <c r="BD74"/>
      <c r="BE74"/>
      <c r="BF74"/>
      <c r="BG74"/>
      <c r="BH74"/>
      <c r="BI74"/>
      <c r="BJ74"/>
      <c r="BK74"/>
      <c r="BL74" s="67">
        <v>0.74240380525588989</v>
      </c>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t="s">
        <v>265</v>
      </c>
      <c r="B75">
        <v>100</v>
      </c>
      <c r="C75">
        <v>5.0069036483764648</v>
      </c>
      <c r="D75"/>
      <c r="E75"/>
      <c r="F75"/>
      <c r="G75"/>
      <c r="H75"/>
      <c r="I75"/>
      <c r="J75"/>
      <c r="K75"/>
      <c r="L75"/>
      <c r="M75"/>
      <c r="N75"/>
      <c r="O75"/>
      <c r="P75"/>
      <c r="Q75"/>
      <c r="R75"/>
      <c r="S75"/>
      <c r="T75"/>
      <c r="U75"/>
      <c r="V75"/>
      <c r="W75"/>
      <c r="X75"/>
      <c r="Y75"/>
      <c r="Z75"/>
      <c r="AA75"/>
      <c r="AB75"/>
      <c r="AC75"/>
      <c r="AD75"/>
      <c r="AE75"/>
      <c r="AF75"/>
      <c r="AG75"/>
      <c r="AH75"/>
      <c r="AI75"/>
      <c r="AJ75"/>
      <c r="AK75"/>
      <c r="AL75"/>
      <c r="AM75" s="14">
        <v>0.16391421854496002</v>
      </c>
      <c r="AN75"/>
      <c r="AO75"/>
      <c r="AP75"/>
      <c r="AQ75" s="11">
        <v>4.5043472200632095E-2</v>
      </c>
      <c r="AR75"/>
      <c r="AS75"/>
      <c r="AT75"/>
      <c r="AU75"/>
      <c r="AV75"/>
      <c r="AW75"/>
      <c r="AX75"/>
      <c r="AY75"/>
      <c r="AZ75"/>
      <c r="BA75"/>
      <c r="BB75" s="14">
        <v>0.14052079617977142</v>
      </c>
      <c r="BC75"/>
      <c r="BD75"/>
      <c r="BE75"/>
      <c r="BF75"/>
      <c r="BG75"/>
      <c r="BH75"/>
      <c r="BI75"/>
      <c r="BJ75" s="11">
        <v>4.3975573033094406E-2</v>
      </c>
      <c r="BK75" s="12">
        <v>0.45410099625587463</v>
      </c>
      <c r="BL75"/>
      <c r="BM75" s="11">
        <v>4.9483031034469604E-2</v>
      </c>
      <c r="BN75" s="11">
        <v>2.0881336182355881E-2</v>
      </c>
      <c r="BO75"/>
      <c r="BP75" s="22">
        <v>0.73543447256088257</v>
      </c>
      <c r="BQ75"/>
      <c r="BR75" s="11">
        <v>9.0002510696649551E-3</v>
      </c>
      <c r="BS75" s="11">
        <v>6.6584963351488113E-3</v>
      </c>
      <c r="BT75"/>
      <c r="BU75" s="23">
        <v>0.65232288837432861</v>
      </c>
      <c r="BV75"/>
      <c r="BW75" s="340">
        <v>4.8895564079284668</v>
      </c>
      <c r="BX75" s="304">
        <v>23.438249588012695</v>
      </c>
      <c r="BY75" s="305">
        <v>17.496658325195312</v>
      </c>
      <c r="BZ75" s="365">
        <v>15.323293685913086</v>
      </c>
      <c r="CA75" s="107">
        <v>6.5873508453369141</v>
      </c>
      <c r="CB75" s="333">
        <v>16.228153228759766</v>
      </c>
      <c r="CC75" s="25">
        <v>3.1950273513793945</v>
      </c>
      <c r="CD75" s="11">
        <v>3.101767972111702E-2</v>
      </c>
      <c r="CE75" s="11">
        <v>5.63812255859375E-2</v>
      </c>
      <c r="CF75" s="288">
        <v>5.2427802085876465</v>
      </c>
      <c r="CG75" s="14">
        <v>0.18328025937080383</v>
      </c>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t="s">
        <v>266</v>
      </c>
      <c r="B76">
        <v>760</v>
      </c>
      <c r="C76">
        <v>6.4325332641601562</v>
      </c>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s="23">
        <v>4.2013254165649414</v>
      </c>
      <c r="AS76"/>
      <c r="AT76"/>
      <c r="AU76"/>
      <c r="AV76"/>
      <c r="AW76"/>
      <c r="AX76"/>
      <c r="AY76"/>
      <c r="AZ76"/>
      <c r="BA76"/>
      <c r="BB76"/>
      <c r="BC76"/>
      <c r="BD76"/>
      <c r="BE76"/>
      <c r="BF76"/>
      <c r="BG76"/>
      <c r="BH76"/>
      <c r="BI76"/>
      <c r="BJ76" s="11">
        <v>0.20325919985771179</v>
      </c>
      <c r="BK76" s="14">
        <v>2.0988972187042236</v>
      </c>
      <c r="BL76"/>
      <c r="BM76"/>
      <c r="BN76"/>
      <c r="BO76"/>
      <c r="BP76"/>
      <c r="BQ76"/>
      <c r="BR76"/>
      <c r="BS76"/>
      <c r="BT76"/>
      <c r="BU76" s="14">
        <v>1.5075485706329346</v>
      </c>
      <c r="BV76"/>
      <c r="BW76" s="274">
        <v>18.292072296142578</v>
      </c>
      <c r="BX76" s="368">
        <v>249.16766357421875</v>
      </c>
      <c r="BY76" s="13">
        <v>28.882564544677734</v>
      </c>
      <c r="BZ76" s="316">
        <v>103.877685546875</v>
      </c>
      <c r="CA76"/>
      <c r="CB76"/>
      <c r="CC76"/>
      <c r="CD76" s="14">
        <v>0.8601996898651123</v>
      </c>
      <c r="CE76" s="14">
        <v>1.5680887699127197</v>
      </c>
      <c r="CF76" s="369">
        <v>334.41015625</v>
      </c>
      <c r="CG76" s="12">
        <v>3.5297436714172363</v>
      </c>
      <c r="CH76"/>
      <c r="CI76" s="23">
        <v>4.9682531356811523</v>
      </c>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t="s">
        <v>267</v>
      </c>
      <c r="B77">
        <v>529.87200927734375</v>
      </c>
      <c r="C77">
        <v>26.531284332275391</v>
      </c>
      <c r="D77"/>
      <c r="E77"/>
      <c r="F77"/>
      <c r="G77"/>
      <c r="H77"/>
      <c r="I77"/>
      <c r="J77"/>
      <c r="K77"/>
      <c r="L77"/>
      <c r="M77"/>
      <c r="N77"/>
      <c r="O77"/>
      <c r="P77"/>
      <c r="Q77" s="11">
        <v>2.1341114916140214E-5</v>
      </c>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s="14">
        <v>1.1758666038513184</v>
      </c>
      <c r="BC77" s="11">
        <v>2.8117461130023003E-2</v>
      </c>
      <c r="BD77"/>
      <c r="BE77"/>
      <c r="BF77"/>
      <c r="BG77"/>
      <c r="BH77"/>
      <c r="BI77"/>
      <c r="BJ77" s="14">
        <v>1.131594181060791</v>
      </c>
      <c r="BK77" s="278">
        <v>20.799440383911133</v>
      </c>
      <c r="BL77" s="11">
        <v>6.2777344137430191E-3</v>
      </c>
      <c r="BM77" s="11">
        <v>0.20308549702167511</v>
      </c>
      <c r="BN77" s="11">
        <v>8.570002019405365E-2</v>
      </c>
      <c r="BO77"/>
      <c r="BP77" s="23">
        <v>3.018329381942749</v>
      </c>
      <c r="BQ77"/>
      <c r="BR77" s="11">
        <v>5.3846411406993866E-2</v>
      </c>
      <c r="BS77"/>
      <c r="BT77" s="11">
        <v>0.15190912783145905</v>
      </c>
      <c r="BU77"/>
      <c r="BV77" s="11">
        <v>2.0434340462088585E-2</v>
      </c>
      <c r="BW77" s="22">
        <v>3.8373167514801025</v>
      </c>
      <c r="BX77" s="367">
        <v>144.74899291992188</v>
      </c>
      <c r="BY77" s="339">
        <v>108.69834136962891</v>
      </c>
      <c r="BZ77" s="366">
        <v>88.324119567871094</v>
      </c>
      <c r="CA77" s="362">
        <v>50.852375030517578</v>
      </c>
      <c r="CB77" s="347">
        <v>46.398696899414062</v>
      </c>
      <c r="CC77"/>
      <c r="CD77"/>
      <c r="CE77"/>
      <c r="CF77" s="70">
        <v>26.981792449951172</v>
      </c>
      <c r="CG77" s="14">
        <v>1.1004533767700195</v>
      </c>
      <c r="CH77" s="11">
        <v>0.19211404025554657</v>
      </c>
      <c r="CI77" s="15">
        <v>5.5318984985351562</v>
      </c>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t="s">
        <v>268</v>
      </c>
      <c r="B78">
        <v>8.3170003890991211</v>
      </c>
      <c r="C78">
        <v>5.031702995300293</v>
      </c>
      <c r="D78"/>
      <c r="E78"/>
      <c r="F78"/>
      <c r="G78"/>
      <c r="H78"/>
      <c r="I78"/>
      <c r="J78"/>
      <c r="K78"/>
      <c r="L78"/>
      <c r="M78"/>
      <c r="N78"/>
      <c r="O78" s="14">
        <v>1.8658146262168884E-2</v>
      </c>
      <c r="P78"/>
      <c r="Q78" s="11">
        <v>1.9289139891043305E-4</v>
      </c>
      <c r="R78"/>
      <c r="S78"/>
      <c r="T78"/>
      <c r="U78"/>
      <c r="V78"/>
      <c r="W78"/>
      <c r="X78"/>
      <c r="Y78"/>
      <c r="Z78"/>
      <c r="AA78"/>
      <c r="AB78"/>
      <c r="AC78"/>
      <c r="AD78"/>
      <c r="AE78" s="11">
        <v>4.6374243538593873E-5</v>
      </c>
      <c r="AF78" s="11">
        <v>4.4802222400903702E-3</v>
      </c>
      <c r="AG78"/>
      <c r="AH78" s="11">
        <v>1.0488751577213407E-3</v>
      </c>
      <c r="AI78"/>
      <c r="AJ78" s="11">
        <v>8.4581479313783348E-5</v>
      </c>
      <c r="AK78"/>
      <c r="AL78" s="11">
        <v>2.7466208848636597E-5</v>
      </c>
      <c r="AM78" s="18">
        <v>0.10166237503290176</v>
      </c>
      <c r="AN78"/>
      <c r="AO78" s="14">
        <v>1.4830990694463253E-2</v>
      </c>
      <c r="AP78"/>
      <c r="AQ78"/>
      <c r="AR78" s="11">
        <v>6.3224993646144867E-3</v>
      </c>
      <c r="AS78"/>
      <c r="AT78"/>
      <c r="AU78"/>
      <c r="AV78"/>
      <c r="AW78" s="11">
        <v>1.7558886611368507E-4</v>
      </c>
      <c r="AX78"/>
      <c r="AY78"/>
      <c r="AZ78"/>
      <c r="BA78"/>
      <c r="BB78"/>
      <c r="BC78"/>
      <c r="BD78"/>
      <c r="BE78"/>
      <c r="BF78" s="23">
        <v>4.2345780879259109E-2</v>
      </c>
      <c r="BG78"/>
      <c r="BH78"/>
      <c r="BI78"/>
      <c r="BJ78"/>
      <c r="BK78"/>
      <c r="BL78"/>
      <c r="BM78"/>
      <c r="BN78"/>
      <c r="BO78"/>
      <c r="BP78"/>
      <c r="BQ78"/>
      <c r="BR78"/>
      <c r="BS78"/>
      <c r="BT78"/>
      <c r="BU78"/>
      <c r="BV78"/>
      <c r="BW78"/>
      <c r="BX78"/>
      <c r="BY78" s="334">
        <v>1.9378080368041992</v>
      </c>
      <c r="BZ78"/>
      <c r="CA78"/>
      <c r="CB78"/>
      <c r="CC78"/>
      <c r="CD78"/>
      <c r="CE78"/>
      <c r="CF78"/>
      <c r="CG78"/>
      <c r="CH78" s="300">
        <v>1.1576135158538818</v>
      </c>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t="s">
        <v>269</v>
      </c>
      <c r="B79">
        <v>8.3170003890991211</v>
      </c>
      <c r="C79">
        <v>0.16780722141265869</v>
      </c>
      <c r="D79"/>
      <c r="E79" s="11">
        <v>4.318571811268157E-8</v>
      </c>
      <c r="F79"/>
      <c r="G79"/>
      <c r="H79"/>
      <c r="I79"/>
      <c r="J79"/>
      <c r="K79"/>
      <c r="L79"/>
      <c r="M79"/>
      <c r="N79"/>
      <c r="O79"/>
      <c r="P79"/>
      <c r="Q79" s="11">
        <v>8.449607776128687E-6</v>
      </c>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s="14">
        <v>1.7485896125435829E-2</v>
      </c>
      <c r="BC79"/>
      <c r="BD79"/>
      <c r="BE79"/>
      <c r="BF79"/>
      <c r="BG79"/>
      <c r="BH79"/>
      <c r="BI79"/>
      <c r="BJ79"/>
      <c r="BK79"/>
      <c r="BL79" s="11">
        <v>6.2138732755556703E-4</v>
      </c>
      <c r="BM79"/>
      <c r="BN79"/>
      <c r="BO79"/>
      <c r="BP79"/>
      <c r="BQ79"/>
      <c r="BR79"/>
      <c r="BS79"/>
      <c r="BT79" s="12">
        <v>3.6674100905656815E-2</v>
      </c>
      <c r="BU79"/>
      <c r="BV79" s="11">
        <v>1.7684345948509872E-4</v>
      </c>
      <c r="BW79"/>
      <c r="BX79"/>
      <c r="BY79" s="272">
        <v>5.8571124076843262</v>
      </c>
      <c r="BZ79"/>
      <c r="CA79" s="320">
        <v>2.2371141910552979</v>
      </c>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t="s">
        <v>270</v>
      </c>
      <c r="B80">
        <v>0.17200000584125519</v>
      </c>
      <c r="C80">
        <v>0.1292961984872818</v>
      </c>
      <c r="D80"/>
      <c r="E80"/>
      <c r="F80"/>
      <c r="G80"/>
      <c r="H80"/>
      <c r="I80"/>
      <c r="J80"/>
      <c r="K80"/>
      <c r="L80"/>
      <c r="M80"/>
      <c r="N80"/>
      <c r="O80"/>
      <c r="P80"/>
      <c r="Q80"/>
      <c r="R80"/>
      <c r="S80"/>
      <c r="T80"/>
      <c r="U80"/>
      <c r="V80"/>
      <c r="W80"/>
      <c r="X80"/>
      <c r="Y80"/>
      <c r="Z80"/>
      <c r="AA80"/>
      <c r="AB80"/>
      <c r="AC80"/>
      <c r="AD80"/>
      <c r="AE80"/>
      <c r="AF80" s="11">
        <v>1.1799921776400879E-4</v>
      </c>
      <c r="AG80"/>
      <c r="AH80" s="12">
        <v>6.1594357248395681E-4</v>
      </c>
      <c r="AI80"/>
      <c r="AJ80" s="11">
        <v>2.3060978492139839E-5</v>
      </c>
      <c r="AK80"/>
      <c r="AL80" s="11">
        <v>2.3589118427480571E-6</v>
      </c>
      <c r="AM80" s="274">
        <v>3.8805273361504078E-3</v>
      </c>
      <c r="AN80" s="143">
        <v>5.107327364385128E-3</v>
      </c>
      <c r="AO80" s="299">
        <v>1.5352129004895687E-2</v>
      </c>
      <c r="AP80" s="11">
        <v>6.2424974203167949E-6</v>
      </c>
      <c r="AQ80"/>
      <c r="AR80" s="284">
        <v>5.832248367369175E-3</v>
      </c>
      <c r="AS80" s="107">
        <v>1.1596686206758022E-2</v>
      </c>
      <c r="AT80"/>
      <c r="AU80" s="11">
        <v>1.3508742267731577E-4</v>
      </c>
      <c r="AV80" s="11">
        <v>1.3720446077059023E-5</v>
      </c>
      <c r="AW80" s="11">
        <v>2.0479419617913663E-5</v>
      </c>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t="s">
        <v>271</v>
      </c>
      <c r="B81"/>
      <c r="C81">
        <v>0.39315792918205261</v>
      </c>
      <c r="D81"/>
      <c r="E81"/>
      <c r="F81"/>
      <c r="G81"/>
      <c r="H81"/>
      <c r="I81"/>
      <c r="J81"/>
      <c r="K81"/>
      <c r="L81"/>
      <c r="M81"/>
      <c r="N81" s="9">
        <v>2.9775750590488315E-4</v>
      </c>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s="9">
        <v>3.4796711057424545E-2</v>
      </c>
      <c r="BA81"/>
      <c r="BB81"/>
      <c r="BC81"/>
      <c r="BD81" s="9">
        <v>1.8504554405808449E-2</v>
      </c>
      <c r="BE81" s="9">
        <v>5.1840003579854965E-2</v>
      </c>
      <c r="BF81"/>
      <c r="BG81"/>
      <c r="BH81"/>
      <c r="BI81" s="9">
        <v>0.2798810601234436</v>
      </c>
      <c r="BJ81" s="9">
        <v>0.25610658526420593</v>
      </c>
      <c r="BK81" s="9">
        <v>0.88153684139251709</v>
      </c>
      <c r="BL81"/>
      <c r="BM81" s="9">
        <v>2.4319080635905266E-2</v>
      </c>
      <c r="BN81" s="9">
        <v>2.0524808205664158E-3</v>
      </c>
      <c r="BO81" s="9">
        <v>1.9291771575808525E-2</v>
      </c>
      <c r="BP81" s="9">
        <v>7.2287775576114655E-2</v>
      </c>
      <c r="BQ81" s="9">
        <v>1.8194423988461494E-2</v>
      </c>
      <c r="BR81"/>
      <c r="BS81"/>
      <c r="BT81" s="9">
        <v>5.2409502677619457E-3</v>
      </c>
      <c r="BU81"/>
      <c r="BV81" s="9">
        <v>2.5693198665976524E-2</v>
      </c>
      <c r="BW81" s="9">
        <v>9.185800701379776E-2</v>
      </c>
      <c r="BX81"/>
      <c r="BY81" s="9">
        <v>0.30326694250106812</v>
      </c>
      <c r="BZ81"/>
      <c r="CA81"/>
      <c r="CB81"/>
      <c r="CC81"/>
      <c r="CD81"/>
      <c r="CE81"/>
      <c r="CF81"/>
      <c r="CG81"/>
      <c r="CH81"/>
      <c r="CI81" s="9">
        <v>0.41733324527740479</v>
      </c>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t="s">
        <v>272</v>
      </c>
      <c r="B82"/>
      <c r="C82">
        <v>0.97313660383224487</v>
      </c>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s="9">
        <v>0.42684429883956909</v>
      </c>
      <c r="BK82"/>
      <c r="BL82"/>
      <c r="BM82" s="9">
        <v>7.2957240045070648E-2</v>
      </c>
      <c r="BN82" s="9">
        <v>3.0787212774157524E-2</v>
      </c>
      <c r="BO82"/>
      <c r="BP82" s="9">
        <v>0.72287780046463013</v>
      </c>
      <c r="BQ82"/>
      <c r="BR82"/>
      <c r="BS82"/>
      <c r="BT82" s="9">
        <v>5.5903472006320953E-2</v>
      </c>
      <c r="BU82"/>
      <c r="BV82" s="9">
        <v>2.5271999184042215E-3</v>
      </c>
      <c r="BW82"/>
      <c r="BX82"/>
      <c r="BY82" s="9">
        <v>1.2130677700042725</v>
      </c>
      <c r="BZ82" s="9">
        <v>1.9831193685531616</v>
      </c>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t="s">
        <v>273</v>
      </c>
      <c r="B83"/>
      <c r="C83">
        <v>0.94758075475692749</v>
      </c>
      <c r="D83"/>
      <c r="E83"/>
      <c r="F83"/>
      <c r="G83"/>
      <c r="H83"/>
      <c r="I83"/>
      <c r="J83"/>
      <c r="K83"/>
      <c r="L83"/>
      <c r="M83"/>
      <c r="N83"/>
      <c r="O83"/>
      <c r="P83"/>
      <c r="Q83"/>
      <c r="R83"/>
      <c r="S83"/>
      <c r="T83"/>
      <c r="U83"/>
      <c r="V83"/>
      <c r="W83"/>
      <c r="X83"/>
      <c r="Y83"/>
      <c r="Z83"/>
      <c r="AA83"/>
      <c r="AB83"/>
      <c r="AC83"/>
      <c r="AD83"/>
      <c r="AE83" s="9">
        <v>4.8383793910034001E-5</v>
      </c>
      <c r="AF83" s="9">
        <v>3.3655429433565587E-5</v>
      </c>
      <c r="AG83"/>
      <c r="AH83" s="9">
        <v>2.5253686544601806E-5</v>
      </c>
      <c r="AI83"/>
      <c r="AJ83"/>
      <c r="AK83"/>
      <c r="AL83" s="9">
        <v>8.4894618339603767E-6</v>
      </c>
      <c r="AM83"/>
      <c r="AN83"/>
      <c r="AO83" s="9">
        <v>1.2746104970574379E-2</v>
      </c>
      <c r="AP83"/>
      <c r="AQ83"/>
      <c r="AR83" s="9">
        <v>3.2982371747493744E-2</v>
      </c>
      <c r="AS83"/>
      <c r="AT83"/>
      <c r="AU83"/>
      <c r="AV83"/>
      <c r="AW83"/>
      <c r="AX83"/>
      <c r="AY83"/>
      <c r="AZ83"/>
      <c r="BA83"/>
      <c r="BB83"/>
      <c r="BC83"/>
      <c r="BD83"/>
      <c r="BE83"/>
      <c r="BF83"/>
      <c r="BG83"/>
      <c r="BH83"/>
      <c r="BI83"/>
      <c r="BJ83" s="9">
        <v>0.85368859767913818</v>
      </c>
      <c r="BK83" s="9">
        <v>8.8153676986694336</v>
      </c>
      <c r="BL83"/>
      <c r="BM83"/>
      <c r="BN83"/>
      <c r="BO83"/>
      <c r="BP83"/>
      <c r="BQ83"/>
      <c r="BR83"/>
      <c r="BS83"/>
      <c r="BT83"/>
      <c r="BU83" s="9">
        <v>31.658519744873047</v>
      </c>
      <c r="BV83"/>
      <c r="BW83" s="9">
        <v>36.464847564697266</v>
      </c>
      <c r="BX83" s="9">
        <v>591.5023193359375</v>
      </c>
      <c r="BY83" s="9">
        <v>24.261354446411133</v>
      </c>
      <c r="BZ83" s="9">
        <v>39.662384033203125</v>
      </c>
      <c r="CA83"/>
      <c r="CB83"/>
      <c r="CC83"/>
      <c r="CD83" s="9">
        <v>1.2042794227600098</v>
      </c>
      <c r="CE83" s="9">
        <v>4.3780674934387207</v>
      </c>
      <c r="CF83" s="9">
        <v>407.10797119140625</v>
      </c>
      <c r="CG83" s="9">
        <v>3.5579812526702881</v>
      </c>
      <c r="CH83"/>
      <c r="CI83" s="9">
        <v>2086.666259765625</v>
      </c>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t="s">
        <v>274</v>
      </c>
      <c r="B84"/>
      <c r="C84">
        <v>0.97338593006134033</v>
      </c>
      <c r="D84"/>
      <c r="E84"/>
      <c r="F84"/>
      <c r="G84"/>
      <c r="H84"/>
      <c r="I84"/>
      <c r="J84"/>
      <c r="K84"/>
      <c r="L84"/>
      <c r="M84"/>
      <c r="N84"/>
      <c r="O84"/>
      <c r="P84"/>
      <c r="Q84"/>
      <c r="R84"/>
      <c r="S84"/>
      <c r="T84"/>
      <c r="U84"/>
      <c r="V84"/>
      <c r="W84"/>
      <c r="X84"/>
      <c r="Y84"/>
      <c r="Z84" s="9">
        <v>8.7255728431046009E-5</v>
      </c>
      <c r="AA84"/>
      <c r="AB84"/>
      <c r="AC84"/>
      <c r="AD84"/>
      <c r="AE84"/>
      <c r="AF84" s="9">
        <v>6.1701622325927019E-4</v>
      </c>
      <c r="AG84"/>
      <c r="AH84" s="9">
        <v>1.9697875250130892E-3</v>
      </c>
      <c r="AI84"/>
      <c r="AJ84" s="9">
        <v>1.9666401203721762E-3</v>
      </c>
      <c r="AK84" s="9">
        <v>3.2550879404880106E-4</v>
      </c>
      <c r="AL84" s="9">
        <v>9.5640774816274643E-4</v>
      </c>
      <c r="AM84" s="9">
        <v>2.2592430468648672E-3</v>
      </c>
      <c r="AN84" s="9">
        <v>7.9572144895792007E-3</v>
      </c>
      <c r="AO84"/>
      <c r="AP84"/>
      <c r="AQ84" s="9">
        <v>1.2387610673904419</v>
      </c>
      <c r="AR84" s="9">
        <v>5.7719144970178604E-2</v>
      </c>
      <c r="AS84"/>
      <c r="AT84"/>
      <c r="AU84"/>
      <c r="AV84"/>
      <c r="AW84"/>
      <c r="AX84"/>
      <c r="AY84"/>
      <c r="AZ84"/>
      <c r="BA84"/>
      <c r="BB84"/>
      <c r="BC84"/>
      <c r="BD84"/>
      <c r="BE84"/>
      <c r="BF84"/>
      <c r="BG84"/>
      <c r="BH84"/>
      <c r="BI84" s="9">
        <v>2.2390484809875488</v>
      </c>
      <c r="BJ84" s="9">
        <v>3.8415987491607666</v>
      </c>
      <c r="BK84" s="9">
        <v>10.578442573547363</v>
      </c>
      <c r="BL84"/>
      <c r="BM84" s="9">
        <v>0.76605105400085449</v>
      </c>
      <c r="BN84" s="9">
        <v>0.32326576113700867</v>
      </c>
      <c r="BO84" s="9">
        <v>0.50158607959747314</v>
      </c>
      <c r="BP84" s="9">
        <v>31.083742141723633</v>
      </c>
      <c r="BQ84"/>
      <c r="BR84" s="9">
        <v>1.7493839263916016</v>
      </c>
      <c r="BS84" s="9">
        <v>2.1327900886535645</v>
      </c>
      <c r="BT84" s="9">
        <v>0.55554074048995972</v>
      </c>
      <c r="BU84" s="9">
        <v>63.201919555664062</v>
      </c>
      <c r="BV84" s="9">
        <v>2.3376598954200745E-2</v>
      </c>
      <c r="BW84" s="9">
        <v>37.578277587890625</v>
      </c>
      <c r="BX84" s="9">
        <v>1865.5074462890625</v>
      </c>
      <c r="BY84" s="9">
        <v>84.914741516113281</v>
      </c>
      <c r="BZ84" s="9">
        <v>636.581298828125</v>
      </c>
      <c r="CA84" s="9">
        <v>127.87886047363281</v>
      </c>
      <c r="CB84" s="9">
        <v>385.041259765625</v>
      </c>
      <c r="CC84"/>
      <c r="CD84"/>
      <c r="CE84"/>
      <c r="CF84"/>
      <c r="CG84" s="9">
        <v>3.5579812526702881</v>
      </c>
      <c r="CH84"/>
      <c r="CI84" s="9">
        <v>2044.9329833984375</v>
      </c>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t="s">
        <v>275</v>
      </c>
      <c r="B85"/>
      <c r="C85">
        <v>0</v>
      </c>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32" bestFit="1" customWidth="1"/>
    <col min="5" max="5" width="3.33203125" bestFit="1" customWidth="1"/>
    <col min="6" max="6" width="5.83203125" bestFit="1" customWidth="1"/>
    <col min="7" max="7" width="3.33203125" bestFit="1" customWidth="1"/>
    <col min="8" max="8" width="32"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94" t="s">
        <v>192</v>
      </c>
      <c r="E5">
        <v>4</v>
      </c>
      <c r="F5">
        <v>3.16</v>
      </c>
      <c r="G5">
        <v>4</v>
      </c>
      <c r="H5" s="195" t="s">
        <v>192</v>
      </c>
      <c r="J5" s="57"/>
      <c r="K5" s="58"/>
    </row>
    <row r="6" spans="1:12" ht="14" thickBot="1" x14ac:dyDescent="0.2">
      <c r="A6" s="41" t="s">
        <v>121</v>
      </c>
      <c r="D6" s="194" t="s">
        <v>193</v>
      </c>
      <c r="E6">
        <v>5</v>
      </c>
      <c r="F6">
        <v>3.16</v>
      </c>
      <c r="G6">
        <v>5</v>
      </c>
      <c r="H6" s="195" t="s">
        <v>193</v>
      </c>
      <c r="J6" s="57"/>
      <c r="K6" s="58"/>
    </row>
    <row r="7" spans="1:12" x14ac:dyDescent="0.15">
      <c r="A7" s="36" t="s">
        <v>126</v>
      </c>
      <c r="B7" s="43">
        <v>1</v>
      </c>
      <c r="C7" s="38"/>
      <c r="D7" s="194" t="s">
        <v>194</v>
      </c>
      <c r="E7">
        <v>6</v>
      </c>
      <c r="F7">
        <v>3.15</v>
      </c>
      <c r="G7">
        <v>6</v>
      </c>
      <c r="H7" s="195" t="s">
        <v>194</v>
      </c>
      <c r="J7" s="57"/>
      <c r="K7" s="58"/>
    </row>
    <row r="8" spans="1:12" x14ac:dyDescent="0.15">
      <c r="A8" s="36" t="s">
        <v>38</v>
      </c>
      <c r="B8" s="44">
        <v>1</v>
      </c>
      <c r="C8" s="38"/>
      <c r="D8" s="194" t="s">
        <v>195</v>
      </c>
      <c r="E8">
        <v>7</v>
      </c>
      <c r="F8">
        <v>3.15</v>
      </c>
      <c r="G8">
        <v>7</v>
      </c>
      <c r="H8" s="195" t="s">
        <v>195</v>
      </c>
      <c r="J8" s="57"/>
      <c r="K8" s="58"/>
    </row>
    <row r="9" spans="1:12" x14ac:dyDescent="0.15">
      <c r="A9" s="36" t="s">
        <v>40</v>
      </c>
      <c r="B9" s="44">
        <v>1.1000000000000001</v>
      </c>
      <c r="C9" s="38"/>
      <c r="D9" s="194" t="s">
        <v>196</v>
      </c>
      <c r="E9">
        <v>8</v>
      </c>
      <c r="F9">
        <v>3.15</v>
      </c>
      <c r="G9">
        <v>8</v>
      </c>
      <c r="H9" s="195" t="s">
        <v>196</v>
      </c>
      <c r="J9" s="57"/>
      <c r="K9" s="58"/>
    </row>
    <row r="10" spans="1:12" x14ac:dyDescent="0.15">
      <c r="A10" s="36" t="s">
        <v>41</v>
      </c>
      <c r="B10" s="44">
        <v>1.2</v>
      </c>
      <c r="C10" s="38"/>
      <c r="D10" s="194" t="s">
        <v>197</v>
      </c>
      <c r="E10">
        <v>9</v>
      </c>
      <c r="F10">
        <v>3.16</v>
      </c>
      <c r="G10">
        <v>9</v>
      </c>
      <c r="H10" s="195" t="s">
        <v>197</v>
      </c>
      <c r="J10" s="57"/>
      <c r="K10" s="58"/>
    </row>
    <row r="11" spans="1:12" ht="12" customHeight="1" x14ac:dyDescent="0.15">
      <c r="A11" s="42" t="s">
        <v>127</v>
      </c>
      <c r="B11" s="44">
        <v>2</v>
      </c>
      <c r="C11" s="38"/>
      <c r="D11" s="194" t="s">
        <v>198</v>
      </c>
      <c r="E11">
        <v>10</v>
      </c>
      <c r="F11">
        <v>3.16</v>
      </c>
      <c r="G11">
        <v>10</v>
      </c>
      <c r="H11" s="195" t="s">
        <v>198</v>
      </c>
      <c r="J11" s="57"/>
      <c r="K11" s="58"/>
    </row>
    <row r="12" spans="1:12" x14ac:dyDescent="0.15">
      <c r="A12" s="36" t="s">
        <v>42</v>
      </c>
      <c r="B12" s="44">
        <v>2.1</v>
      </c>
      <c r="C12" s="38"/>
      <c r="D12" s="194" t="s">
        <v>199</v>
      </c>
      <c r="E12">
        <v>11</v>
      </c>
      <c r="F12">
        <v>3.16</v>
      </c>
      <c r="G12">
        <v>11</v>
      </c>
      <c r="H12" s="195" t="s">
        <v>199</v>
      </c>
      <c r="J12" s="57"/>
      <c r="K12" s="58"/>
    </row>
    <row r="13" spans="1:12" x14ac:dyDescent="0.15">
      <c r="A13" s="36" t="s">
        <v>43</v>
      </c>
      <c r="B13" s="44">
        <v>2.2000000000000002</v>
      </c>
      <c r="C13" s="38"/>
      <c r="D13" s="194" t="s">
        <v>200</v>
      </c>
      <c r="E13">
        <v>12</v>
      </c>
      <c r="F13">
        <v>3.16</v>
      </c>
      <c r="G13">
        <v>12</v>
      </c>
      <c r="H13" s="195" t="s">
        <v>200</v>
      </c>
      <c r="J13" s="57"/>
      <c r="K13" s="58"/>
    </row>
    <row r="14" spans="1:12" x14ac:dyDescent="0.15">
      <c r="A14" s="36" t="s">
        <v>67</v>
      </c>
      <c r="B14" s="44">
        <v>2.2999999999999998</v>
      </c>
      <c r="C14" s="38"/>
      <c r="D14" s="194" t="s">
        <v>201</v>
      </c>
      <c r="E14">
        <v>13</v>
      </c>
      <c r="F14">
        <v>3.14</v>
      </c>
      <c r="G14">
        <v>13</v>
      </c>
      <c r="H14" s="195" t="s">
        <v>201</v>
      </c>
      <c r="J14" s="57"/>
      <c r="K14" s="58"/>
    </row>
    <row r="15" spans="1:12" x14ac:dyDescent="0.15">
      <c r="A15" s="42" t="s">
        <v>128</v>
      </c>
      <c r="B15" s="44">
        <v>3</v>
      </c>
      <c r="C15" s="38"/>
      <c r="D15" s="194" t="s">
        <v>202</v>
      </c>
      <c r="E15">
        <v>14</v>
      </c>
      <c r="F15">
        <v>3.14</v>
      </c>
      <c r="G15">
        <v>14</v>
      </c>
      <c r="H15" s="195" t="s">
        <v>202</v>
      </c>
      <c r="J15" s="57"/>
      <c r="K15" s="58"/>
    </row>
    <row r="16" spans="1:12" x14ac:dyDescent="0.15">
      <c r="A16" s="36" t="s">
        <v>62</v>
      </c>
      <c r="B16" s="44">
        <v>3.11</v>
      </c>
      <c r="C16" s="38"/>
      <c r="D16" s="194" t="s">
        <v>203</v>
      </c>
      <c r="E16">
        <v>15</v>
      </c>
      <c r="F16">
        <v>3.14</v>
      </c>
      <c r="G16">
        <v>15</v>
      </c>
      <c r="H16" s="195" t="s">
        <v>203</v>
      </c>
      <c r="J16" s="57"/>
      <c r="K16" s="58"/>
    </row>
    <row r="17" spans="1:12" x14ac:dyDescent="0.15">
      <c r="A17" s="36" t="s">
        <v>61</v>
      </c>
      <c r="B17" s="44">
        <v>3.12</v>
      </c>
      <c r="C17" s="38"/>
      <c r="D17" s="194" t="s">
        <v>204</v>
      </c>
      <c r="E17">
        <v>16</v>
      </c>
      <c r="F17">
        <v>3.14</v>
      </c>
      <c r="G17">
        <v>16</v>
      </c>
      <c r="H17" s="195" t="s">
        <v>204</v>
      </c>
      <c r="J17" s="57"/>
      <c r="K17" s="58"/>
    </row>
    <row r="18" spans="1:12" x14ac:dyDescent="0.15">
      <c r="A18" s="36" t="s">
        <v>68</v>
      </c>
      <c r="B18" s="44">
        <v>3.13</v>
      </c>
      <c r="C18" s="38"/>
      <c r="D18" s="194" t="s">
        <v>205</v>
      </c>
      <c r="E18">
        <v>17</v>
      </c>
      <c r="F18">
        <v>3.14</v>
      </c>
      <c r="G18">
        <v>17</v>
      </c>
      <c r="H18" s="195" t="s">
        <v>205</v>
      </c>
      <c r="J18" s="57"/>
      <c r="K18" s="58"/>
    </row>
    <row r="19" spans="1:12" x14ac:dyDescent="0.15">
      <c r="A19" s="36" t="s">
        <v>66</v>
      </c>
      <c r="B19" s="44">
        <v>3.21</v>
      </c>
      <c r="C19" s="38"/>
      <c r="D19" s="194" t="s">
        <v>206</v>
      </c>
      <c r="E19">
        <v>18</v>
      </c>
      <c r="F19">
        <v>3.14</v>
      </c>
      <c r="G19">
        <v>18</v>
      </c>
      <c r="H19" s="195" t="s">
        <v>206</v>
      </c>
      <c r="J19" s="57"/>
      <c r="K19" s="58"/>
    </row>
    <row r="20" spans="1:12" x14ac:dyDescent="0.15">
      <c r="A20" s="36" t="s">
        <v>63</v>
      </c>
      <c r="B20" s="44">
        <v>3.22</v>
      </c>
      <c r="C20" s="38"/>
      <c r="D20" s="194" t="s">
        <v>207</v>
      </c>
      <c r="E20">
        <v>19</v>
      </c>
      <c r="F20">
        <v>3.24</v>
      </c>
      <c r="G20">
        <v>19</v>
      </c>
      <c r="H20" s="195" t="s">
        <v>207</v>
      </c>
      <c r="J20" s="57"/>
      <c r="K20" s="58"/>
    </row>
    <row r="21" spans="1:12" ht="14" thickBot="1" x14ac:dyDescent="0.2">
      <c r="A21" s="36" t="s">
        <v>69</v>
      </c>
      <c r="B21" s="44">
        <v>3.23</v>
      </c>
      <c r="C21" s="38"/>
      <c r="D21" s="194" t="s">
        <v>208</v>
      </c>
      <c r="E21">
        <v>20</v>
      </c>
      <c r="F21">
        <v>3.14</v>
      </c>
      <c r="G21">
        <v>20</v>
      </c>
      <c r="H21" s="195" t="s">
        <v>208</v>
      </c>
      <c r="J21" s="59"/>
      <c r="K21" s="60"/>
      <c r="L21" s="62" t="s">
        <v>152</v>
      </c>
    </row>
    <row r="22" spans="1:12" x14ac:dyDescent="0.15">
      <c r="A22" s="36" t="s">
        <v>64</v>
      </c>
      <c r="B22" s="44">
        <v>8</v>
      </c>
      <c r="C22" s="38"/>
      <c r="D22" s="194" t="s">
        <v>209</v>
      </c>
      <c r="E22">
        <v>21</v>
      </c>
      <c r="F22">
        <v>3.14</v>
      </c>
      <c r="G22">
        <v>21</v>
      </c>
      <c r="H22" s="195" t="s">
        <v>209</v>
      </c>
    </row>
    <row r="23" spans="1:12" x14ac:dyDescent="0.15">
      <c r="A23" s="36" t="s">
        <v>129</v>
      </c>
      <c r="B23" s="44">
        <v>4</v>
      </c>
      <c r="C23" s="38"/>
      <c r="D23" s="194" t="s">
        <v>210</v>
      </c>
      <c r="E23">
        <v>22</v>
      </c>
      <c r="F23">
        <v>3.14</v>
      </c>
      <c r="G23">
        <v>22</v>
      </c>
      <c r="H23" s="195" t="s">
        <v>210</v>
      </c>
    </row>
    <row r="24" spans="1:12" x14ac:dyDescent="0.15">
      <c r="A24" s="36" t="s">
        <v>122</v>
      </c>
      <c r="B24" s="44">
        <v>4.0999999999999996</v>
      </c>
      <c r="C24" s="38"/>
      <c r="D24" s="194" t="s">
        <v>211</v>
      </c>
      <c r="E24">
        <v>23</v>
      </c>
      <c r="F24">
        <v>3.14</v>
      </c>
      <c r="G24">
        <v>23</v>
      </c>
      <c r="H24" s="195" t="s">
        <v>211</v>
      </c>
    </row>
    <row r="25" spans="1:12" x14ac:dyDescent="0.15">
      <c r="A25" s="36" t="s">
        <v>70</v>
      </c>
      <c r="B25" s="44">
        <v>4.2</v>
      </c>
      <c r="C25" s="38"/>
      <c r="D25" s="194" t="s">
        <v>212</v>
      </c>
      <c r="E25">
        <v>24</v>
      </c>
      <c r="F25">
        <v>3.24</v>
      </c>
      <c r="G25">
        <v>24</v>
      </c>
      <c r="H25" s="195" t="s">
        <v>212</v>
      </c>
    </row>
    <row r="26" spans="1:12" x14ac:dyDescent="0.15">
      <c r="A26" s="36" t="s">
        <v>123</v>
      </c>
      <c r="B26" s="44">
        <v>4.3</v>
      </c>
      <c r="C26" s="38"/>
      <c r="D26" s="194" t="s">
        <v>213</v>
      </c>
      <c r="E26">
        <v>25</v>
      </c>
      <c r="F26">
        <v>3.24</v>
      </c>
      <c r="G26">
        <v>25</v>
      </c>
      <c r="H26" s="195" t="s">
        <v>213</v>
      </c>
    </row>
    <row r="27" spans="1:12" x14ac:dyDescent="0.15">
      <c r="A27" s="36" t="s">
        <v>125</v>
      </c>
      <c r="B27" s="44">
        <v>6.1</v>
      </c>
      <c r="D27" s="194" t="s">
        <v>214</v>
      </c>
      <c r="E27">
        <v>26</v>
      </c>
      <c r="F27">
        <v>3.24</v>
      </c>
      <c r="G27">
        <v>26</v>
      </c>
      <c r="H27" s="195" t="s">
        <v>214</v>
      </c>
    </row>
    <row r="28" spans="1:12" x14ac:dyDescent="0.15">
      <c r="A28" s="36" t="s">
        <v>124</v>
      </c>
      <c r="B28" s="44">
        <v>6.2</v>
      </c>
      <c r="D28" s="194" t="s">
        <v>215</v>
      </c>
      <c r="E28">
        <v>27</v>
      </c>
      <c r="F28">
        <v>3.24</v>
      </c>
      <c r="G28">
        <v>27</v>
      </c>
      <c r="H28" s="195" t="s">
        <v>215</v>
      </c>
    </row>
    <row r="29" spans="1:12" x14ac:dyDescent="0.15">
      <c r="A29" s="36" t="s">
        <v>44</v>
      </c>
      <c r="B29" s="44">
        <v>5</v>
      </c>
      <c r="D29" s="194" t="s">
        <v>216</v>
      </c>
      <c r="E29">
        <v>28</v>
      </c>
      <c r="F29">
        <v>3.24</v>
      </c>
      <c r="G29">
        <v>28</v>
      </c>
      <c r="H29" s="195" t="s">
        <v>216</v>
      </c>
    </row>
    <row r="30" spans="1:12" x14ac:dyDescent="0.15">
      <c r="A30" s="36" t="s">
        <v>73</v>
      </c>
      <c r="B30" s="44">
        <v>7</v>
      </c>
      <c r="D30" s="194" t="s">
        <v>217</v>
      </c>
      <c r="E30">
        <v>29</v>
      </c>
      <c r="F30">
        <v>3.14</v>
      </c>
      <c r="G30">
        <v>29</v>
      </c>
      <c r="H30" s="195" t="s">
        <v>217</v>
      </c>
    </row>
    <row r="31" spans="1:12" x14ac:dyDescent="0.15">
      <c r="A31" s="36" t="s">
        <v>169</v>
      </c>
      <c r="B31" s="44">
        <v>3.14</v>
      </c>
      <c r="D31" s="194" t="s">
        <v>218</v>
      </c>
      <c r="E31">
        <v>30</v>
      </c>
      <c r="F31">
        <v>3.04</v>
      </c>
      <c r="G31">
        <v>30</v>
      </c>
      <c r="H31" s="195" t="s">
        <v>218</v>
      </c>
    </row>
    <row r="32" spans="1:12" ht="12" customHeight="1" thickBot="1" x14ac:dyDescent="0.2">
      <c r="A32" s="42" t="s">
        <v>170</v>
      </c>
      <c r="B32" s="45">
        <v>9</v>
      </c>
      <c r="D32" s="194" t="s">
        <v>219</v>
      </c>
      <c r="E32">
        <v>31</v>
      </c>
      <c r="F32">
        <v>3.24</v>
      </c>
      <c r="G32">
        <v>31</v>
      </c>
      <c r="H32" s="195" t="s">
        <v>219</v>
      </c>
    </row>
    <row r="33" spans="4:8" customFormat="1" ht="12" customHeight="1" x14ac:dyDescent="0.15">
      <c r="D33" s="194" t="s">
        <v>220</v>
      </c>
      <c r="E33">
        <v>32</v>
      </c>
      <c r="F33">
        <v>3.24</v>
      </c>
      <c r="G33">
        <v>32</v>
      </c>
      <c r="H33" s="195" t="s">
        <v>220</v>
      </c>
    </row>
    <row r="34" spans="4:8" customFormat="1" ht="12" customHeight="1" x14ac:dyDescent="0.15">
      <c r="D34" s="194" t="s">
        <v>221</v>
      </c>
      <c r="E34">
        <v>33</v>
      </c>
      <c r="F34">
        <v>3.14</v>
      </c>
      <c r="G34">
        <v>33</v>
      </c>
      <c r="H34" s="195" t="s">
        <v>221</v>
      </c>
    </row>
    <row r="35" spans="4:8" customFormat="1" x14ac:dyDescent="0.15">
      <c r="D35" s="194" t="s">
        <v>222</v>
      </c>
      <c r="E35">
        <v>34</v>
      </c>
      <c r="F35">
        <v>3.14</v>
      </c>
      <c r="G35">
        <v>34</v>
      </c>
      <c r="H35" s="195" t="s">
        <v>222</v>
      </c>
    </row>
    <row r="36" spans="4:8" customFormat="1" x14ac:dyDescent="0.15">
      <c r="D36" s="194" t="s">
        <v>223</v>
      </c>
      <c r="E36">
        <v>35</v>
      </c>
      <c r="F36">
        <v>3.04</v>
      </c>
      <c r="G36">
        <v>35</v>
      </c>
      <c r="H36" s="195" t="s">
        <v>223</v>
      </c>
    </row>
    <row r="37" spans="4:8" customFormat="1" ht="12" customHeight="1" x14ac:dyDescent="0.15">
      <c r="D37" s="194" t="s">
        <v>224</v>
      </c>
      <c r="E37">
        <v>36</v>
      </c>
      <c r="F37">
        <v>3.14</v>
      </c>
      <c r="G37">
        <v>36</v>
      </c>
      <c r="H37" s="195" t="s">
        <v>224</v>
      </c>
    </row>
    <row r="38" spans="4:8" customFormat="1" x14ac:dyDescent="0.15">
      <c r="D38" s="194" t="s">
        <v>225</v>
      </c>
      <c r="E38">
        <v>37</v>
      </c>
      <c r="F38">
        <v>3.24</v>
      </c>
      <c r="G38">
        <v>37</v>
      </c>
      <c r="H38" s="195" t="s">
        <v>225</v>
      </c>
    </row>
    <row r="39" spans="4:8" customFormat="1" x14ac:dyDescent="0.15">
      <c r="D39" s="194" t="s">
        <v>226</v>
      </c>
      <c r="E39">
        <v>38</v>
      </c>
      <c r="F39">
        <v>3.24</v>
      </c>
      <c r="G39">
        <v>38</v>
      </c>
      <c r="H39" s="195" t="s">
        <v>226</v>
      </c>
    </row>
    <row r="40" spans="4:8" customFormat="1" x14ac:dyDescent="0.15">
      <c r="D40" s="194" t="s">
        <v>227</v>
      </c>
      <c r="E40">
        <v>39</v>
      </c>
      <c r="F40">
        <v>3.24</v>
      </c>
      <c r="G40">
        <v>39</v>
      </c>
      <c r="H40" s="195" t="s">
        <v>227</v>
      </c>
    </row>
    <row r="41" spans="4:8" customFormat="1" x14ac:dyDescent="0.15">
      <c r="D41" s="194" t="s">
        <v>228</v>
      </c>
      <c r="E41">
        <v>40</v>
      </c>
      <c r="F41">
        <v>3.24</v>
      </c>
      <c r="G41">
        <v>40</v>
      </c>
      <c r="H41" s="195" t="s">
        <v>228</v>
      </c>
    </row>
    <row r="42" spans="4:8" customFormat="1" x14ac:dyDescent="0.15">
      <c r="D42" s="194" t="s">
        <v>229</v>
      </c>
      <c r="E42">
        <v>41</v>
      </c>
      <c r="F42">
        <v>3.14</v>
      </c>
      <c r="G42">
        <v>41</v>
      </c>
      <c r="H42" s="195" t="s">
        <v>229</v>
      </c>
    </row>
    <row r="43" spans="4:8" customFormat="1" x14ac:dyDescent="0.15">
      <c r="D43" s="194" t="s">
        <v>230</v>
      </c>
      <c r="E43">
        <v>42</v>
      </c>
      <c r="F43">
        <v>3.23</v>
      </c>
      <c r="G43">
        <v>42</v>
      </c>
      <c r="H43" s="195" t="s">
        <v>230</v>
      </c>
    </row>
    <row r="44" spans="4:8" customFormat="1" x14ac:dyDescent="0.15">
      <c r="D44" s="194" t="s">
        <v>231</v>
      </c>
      <c r="E44">
        <v>43</v>
      </c>
      <c r="F44">
        <v>3.13</v>
      </c>
      <c r="G44">
        <v>43</v>
      </c>
      <c r="H44" s="195" t="s">
        <v>231</v>
      </c>
    </row>
    <row r="45" spans="4:8" customFormat="1" x14ac:dyDescent="0.15">
      <c r="D45" s="194" t="s">
        <v>232</v>
      </c>
      <c r="E45">
        <v>44</v>
      </c>
      <c r="F45">
        <v>3.21</v>
      </c>
      <c r="G45">
        <v>44</v>
      </c>
      <c r="H45" s="195" t="s">
        <v>232</v>
      </c>
    </row>
    <row r="46" spans="4:8" customFormat="1" x14ac:dyDescent="0.15">
      <c r="D46" s="194" t="s">
        <v>233</v>
      </c>
      <c r="E46">
        <v>45</v>
      </c>
      <c r="F46">
        <v>3.02</v>
      </c>
      <c r="G46">
        <v>45</v>
      </c>
      <c r="H46" s="195" t="s">
        <v>233</v>
      </c>
    </row>
    <row r="47" spans="4:8" customFormat="1" x14ac:dyDescent="0.15">
      <c r="D47" s="194" t="s">
        <v>234</v>
      </c>
      <c r="E47">
        <v>46</v>
      </c>
      <c r="F47">
        <v>3.02</v>
      </c>
      <c r="G47">
        <v>46</v>
      </c>
      <c r="H47" s="195" t="s">
        <v>234</v>
      </c>
    </row>
    <row r="48" spans="4:8" customFormat="1" x14ac:dyDescent="0.15">
      <c r="D48" s="194" t="s">
        <v>235</v>
      </c>
      <c r="E48">
        <v>47</v>
      </c>
      <c r="F48">
        <v>3.02</v>
      </c>
      <c r="G48">
        <v>47</v>
      </c>
      <c r="H48" s="195" t="s">
        <v>235</v>
      </c>
    </row>
    <row r="49" spans="4:8" customFormat="1" x14ac:dyDescent="0.15">
      <c r="D49" s="194" t="s">
        <v>236</v>
      </c>
      <c r="E49">
        <v>48</v>
      </c>
      <c r="F49">
        <v>3.02</v>
      </c>
      <c r="G49">
        <v>48</v>
      </c>
      <c r="H49" s="195" t="s">
        <v>236</v>
      </c>
    </row>
    <row r="50" spans="4:8" customFormat="1" ht="12" customHeight="1" x14ac:dyDescent="0.15">
      <c r="D50" s="194" t="s">
        <v>237</v>
      </c>
      <c r="E50">
        <v>49</v>
      </c>
      <c r="F50">
        <v>3.02</v>
      </c>
      <c r="G50">
        <v>49</v>
      </c>
      <c r="H50" s="195" t="s">
        <v>237</v>
      </c>
    </row>
    <row r="51" spans="4:8" customFormat="1" x14ac:dyDescent="0.15">
      <c r="D51" s="194" t="s">
        <v>238</v>
      </c>
      <c r="E51">
        <v>50</v>
      </c>
      <c r="F51">
        <v>3.02</v>
      </c>
      <c r="G51">
        <v>50</v>
      </c>
      <c r="H51" s="195" t="s">
        <v>238</v>
      </c>
    </row>
    <row r="52" spans="4:8" customFormat="1" ht="12" customHeight="1" x14ac:dyDescent="0.15">
      <c r="D52" s="194" t="s">
        <v>239</v>
      </c>
      <c r="E52">
        <v>51</v>
      </c>
      <c r="F52">
        <v>3.02</v>
      </c>
      <c r="G52">
        <v>51</v>
      </c>
      <c r="H52" s="195" t="s">
        <v>239</v>
      </c>
    </row>
    <row r="53" spans="4:8" customFormat="1" x14ac:dyDescent="0.15">
      <c r="D53" s="194" t="s">
        <v>240</v>
      </c>
      <c r="E53">
        <v>52</v>
      </c>
      <c r="F53">
        <v>3.02</v>
      </c>
      <c r="G53">
        <v>52</v>
      </c>
      <c r="H53" s="195" t="s">
        <v>240</v>
      </c>
    </row>
    <row r="54" spans="4:8" customFormat="1" ht="12" customHeight="1" x14ac:dyDescent="0.15">
      <c r="D54" s="194" t="s">
        <v>241</v>
      </c>
      <c r="E54">
        <v>53</v>
      </c>
      <c r="F54">
        <v>3.02</v>
      </c>
      <c r="G54">
        <v>53</v>
      </c>
      <c r="H54" s="195" t="s">
        <v>241</v>
      </c>
    </row>
    <row r="55" spans="4:8" customFormat="1" ht="12" customHeight="1" x14ac:dyDescent="0.15">
      <c r="D55" s="194" t="s">
        <v>242</v>
      </c>
      <c r="E55">
        <v>54</v>
      </c>
      <c r="F55">
        <v>3.21</v>
      </c>
      <c r="G55">
        <v>54</v>
      </c>
      <c r="H55" s="195" t="s">
        <v>242</v>
      </c>
    </row>
    <row r="56" spans="4:8" customFormat="1" x14ac:dyDescent="0.15">
      <c r="D56" s="194" t="s">
        <v>243</v>
      </c>
      <c r="E56">
        <v>55</v>
      </c>
      <c r="F56">
        <v>3.21</v>
      </c>
      <c r="G56">
        <v>55</v>
      </c>
      <c r="H56" s="195" t="s">
        <v>243</v>
      </c>
    </row>
    <row r="57" spans="4:8" customFormat="1" x14ac:dyDescent="0.15">
      <c r="D57" s="194" t="s">
        <v>244</v>
      </c>
      <c r="E57">
        <v>56</v>
      </c>
      <c r="F57">
        <v>3.21</v>
      </c>
      <c r="G57">
        <v>56</v>
      </c>
      <c r="H57" s="195" t="s">
        <v>244</v>
      </c>
    </row>
    <row r="58" spans="4:8" customFormat="1" x14ac:dyDescent="0.15">
      <c r="D58" s="194" t="s">
        <v>245</v>
      </c>
      <c r="E58">
        <v>57</v>
      </c>
      <c r="F58">
        <v>3.21</v>
      </c>
      <c r="G58">
        <v>57</v>
      </c>
      <c r="H58" s="195" t="s">
        <v>245</v>
      </c>
    </row>
    <row r="59" spans="4:8" customFormat="1" x14ac:dyDescent="0.15">
      <c r="D59" s="194" t="s">
        <v>246</v>
      </c>
      <c r="E59">
        <v>58</v>
      </c>
      <c r="F59">
        <v>3.21</v>
      </c>
      <c r="G59">
        <v>58</v>
      </c>
      <c r="H59" s="195" t="s">
        <v>246</v>
      </c>
    </row>
    <row r="60" spans="4:8" customFormat="1" x14ac:dyDescent="0.15">
      <c r="D60" s="194" t="s">
        <v>247</v>
      </c>
      <c r="E60">
        <v>59</v>
      </c>
      <c r="F60">
        <v>3.21</v>
      </c>
      <c r="G60">
        <v>59</v>
      </c>
      <c r="H60" s="195" t="s">
        <v>247</v>
      </c>
    </row>
    <row r="61" spans="4:8" customFormat="1" x14ac:dyDescent="0.15">
      <c r="D61" s="194" t="s">
        <v>248</v>
      </c>
      <c r="E61">
        <v>60</v>
      </c>
      <c r="F61">
        <v>3.21</v>
      </c>
      <c r="G61">
        <v>60</v>
      </c>
      <c r="H61" s="195" t="s">
        <v>248</v>
      </c>
    </row>
    <row r="62" spans="4:8" customFormat="1" x14ac:dyDescent="0.15">
      <c r="D62" s="194" t="s">
        <v>249</v>
      </c>
      <c r="E62">
        <v>61</v>
      </c>
      <c r="F62">
        <v>3.21</v>
      </c>
      <c r="G62">
        <v>61</v>
      </c>
      <c r="H62" s="195" t="s">
        <v>249</v>
      </c>
    </row>
    <row r="63" spans="4:8" customFormat="1" x14ac:dyDescent="0.15">
      <c r="D63" s="194" t="s">
        <v>250</v>
      </c>
      <c r="E63">
        <v>62</v>
      </c>
      <c r="F63">
        <v>3.21</v>
      </c>
      <c r="G63">
        <v>62</v>
      </c>
      <c r="H63" s="195" t="s">
        <v>250</v>
      </c>
    </row>
    <row r="64" spans="4:8" customFormat="1" x14ac:dyDescent="0.15">
      <c r="D64" s="194" t="s">
        <v>251</v>
      </c>
      <c r="E64">
        <v>63</v>
      </c>
      <c r="F64">
        <v>3.21</v>
      </c>
      <c r="G64">
        <v>63</v>
      </c>
      <c r="H64" s="195" t="s">
        <v>251</v>
      </c>
    </row>
    <row r="65" spans="4:8" customFormat="1" x14ac:dyDescent="0.15">
      <c r="D65" s="194" t="s">
        <v>252</v>
      </c>
      <c r="E65">
        <v>64</v>
      </c>
      <c r="F65">
        <v>3.21</v>
      </c>
      <c r="G65">
        <v>64</v>
      </c>
      <c r="H65" s="195" t="s">
        <v>252</v>
      </c>
    </row>
    <row r="66" spans="4:8" customFormat="1" x14ac:dyDescent="0.15">
      <c r="D66" s="194" t="s">
        <v>253</v>
      </c>
      <c r="E66">
        <v>65</v>
      </c>
      <c r="F66">
        <v>3.21</v>
      </c>
      <c r="G66">
        <v>65</v>
      </c>
      <c r="H66" s="195" t="s">
        <v>253</v>
      </c>
    </row>
    <row r="67" spans="4:8" customFormat="1" x14ac:dyDescent="0.15">
      <c r="D67" s="194" t="s">
        <v>254</v>
      </c>
      <c r="E67">
        <v>66</v>
      </c>
      <c r="F67">
        <v>3.21</v>
      </c>
      <c r="G67">
        <v>66</v>
      </c>
      <c r="H67" s="195" t="s">
        <v>254</v>
      </c>
    </row>
    <row r="68" spans="4:8" customFormat="1" x14ac:dyDescent="0.15">
      <c r="D68" s="194" t="s">
        <v>255</v>
      </c>
      <c r="E68">
        <v>67</v>
      </c>
      <c r="F68">
        <v>3.01</v>
      </c>
      <c r="G68">
        <v>67</v>
      </c>
      <c r="H68" s="195" t="s">
        <v>255</v>
      </c>
    </row>
    <row r="69" spans="4:8" customFormat="1" x14ac:dyDescent="0.15">
      <c r="D69" s="194" t="s">
        <v>256</v>
      </c>
      <c r="E69">
        <v>68</v>
      </c>
      <c r="F69">
        <v>3.01</v>
      </c>
      <c r="G69">
        <v>68</v>
      </c>
      <c r="H69" s="195" t="s">
        <v>256</v>
      </c>
    </row>
    <row r="70" spans="4:8" customFormat="1" x14ac:dyDescent="0.15">
      <c r="D70" s="194" t="s">
        <v>257</v>
      </c>
      <c r="E70">
        <v>69</v>
      </c>
      <c r="F70">
        <v>3.21</v>
      </c>
      <c r="G70">
        <v>69</v>
      </c>
      <c r="H70" s="195" t="s">
        <v>257</v>
      </c>
    </row>
    <row r="71" spans="4:8" customFormat="1" x14ac:dyDescent="0.15">
      <c r="D71" s="194" t="s">
        <v>258</v>
      </c>
      <c r="E71">
        <v>70</v>
      </c>
      <c r="F71">
        <v>3.21</v>
      </c>
      <c r="G71">
        <v>70</v>
      </c>
      <c r="H71" s="195" t="s">
        <v>258</v>
      </c>
    </row>
    <row r="72" spans="4:8" customFormat="1" x14ac:dyDescent="0.15">
      <c r="D72" s="194" t="s">
        <v>259</v>
      </c>
      <c r="E72">
        <v>71</v>
      </c>
      <c r="F72">
        <v>3.21</v>
      </c>
      <c r="G72">
        <v>71</v>
      </c>
      <c r="H72" s="195" t="s">
        <v>259</v>
      </c>
    </row>
    <row r="73" spans="4:8" customFormat="1" x14ac:dyDescent="0.15">
      <c r="D73" s="194" t="s">
        <v>260</v>
      </c>
      <c r="E73">
        <v>72</v>
      </c>
      <c r="F73">
        <v>3.11</v>
      </c>
      <c r="G73">
        <v>72</v>
      </c>
      <c r="H73" s="195" t="s">
        <v>260</v>
      </c>
    </row>
    <row r="74" spans="4:8" customFormat="1" x14ac:dyDescent="0.15">
      <c r="D74" s="194" t="s">
        <v>261</v>
      </c>
      <c r="E74">
        <v>73</v>
      </c>
      <c r="F74">
        <v>3.11</v>
      </c>
      <c r="G74">
        <v>73</v>
      </c>
      <c r="H74" s="195" t="s">
        <v>261</v>
      </c>
    </row>
    <row r="75" spans="4:8" customFormat="1" x14ac:dyDescent="0.15">
      <c r="D75" s="194" t="s">
        <v>262</v>
      </c>
      <c r="E75">
        <v>74</v>
      </c>
      <c r="F75">
        <v>3.11</v>
      </c>
      <c r="G75">
        <v>74</v>
      </c>
      <c r="H75" s="195" t="s">
        <v>262</v>
      </c>
    </row>
    <row r="76" spans="4:8" customFormat="1" x14ac:dyDescent="0.15">
      <c r="D76" s="194" t="s">
        <v>263</v>
      </c>
      <c r="E76">
        <v>75</v>
      </c>
      <c r="F76">
        <v>3.11</v>
      </c>
      <c r="G76">
        <v>75</v>
      </c>
      <c r="H76" s="195" t="s">
        <v>263</v>
      </c>
    </row>
    <row r="77" spans="4:8" customFormat="1" x14ac:dyDescent="0.15">
      <c r="D77" s="194" t="s">
        <v>264</v>
      </c>
      <c r="E77">
        <v>76</v>
      </c>
      <c r="F77">
        <v>3.01</v>
      </c>
      <c r="G77">
        <v>76</v>
      </c>
      <c r="H77" s="195" t="s">
        <v>264</v>
      </c>
    </row>
    <row r="78" spans="4:8" customFormat="1" x14ac:dyDescent="0.15">
      <c r="D78" s="194" t="s">
        <v>265</v>
      </c>
      <c r="E78">
        <v>77</v>
      </c>
      <c r="F78">
        <v>3.0110000000000001</v>
      </c>
      <c r="G78">
        <v>77</v>
      </c>
      <c r="H78" s="195" t="s">
        <v>265</v>
      </c>
    </row>
    <row r="79" spans="4:8" customFormat="1" x14ac:dyDescent="0.15">
      <c r="D79" s="194" t="s">
        <v>266</v>
      </c>
      <c r="E79">
        <v>78</v>
      </c>
      <c r="F79">
        <v>2.1</v>
      </c>
      <c r="G79">
        <v>78</v>
      </c>
      <c r="H79" s="195" t="s">
        <v>266</v>
      </c>
    </row>
    <row r="80" spans="4:8" customFormat="1" x14ac:dyDescent="0.15">
      <c r="D80" s="194" t="s">
        <v>267</v>
      </c>
      <c r="E80">
        <v>79</v>
      </c>
      <c r="F80">
        <v>2.21</v>
      </c>
      <c r="G80">
        <v>79</v>
      </c>
      <c r="H80" s="195" t="s">
        <v>267</v>
      </c>
    </row>
    <row r="81" spans="4:8" customFormat="1" x14ac:dyDescent="0.15">
      <c r="D81" s="194" t="s">
        <v>268</v>
      </c>
      <c r="E81">
        <v>80</v>
      </c>
      <c r="F81">
        <v>2.2200000000000002</v>
      </c>
      <c r="G81">
        <v>80</v>
      </c>
      <c r="H81" s="195" t="s">
        <v>268</v>
      </c>
    </row>
    <row r="82" spans="4:8" customFormat="1" x14ac:dyDescent="0.15">
      <c r="D82" s="194" t="s">
        <v>269</v>
      </c>
      <c r="E82">
        <v>81</v>
      </c>
      <c r="F82">
        <v>2.2200000000000002</v>
      </c>
      <c r="G82">
        <v>81</v>
      </c>
      <c r="H82" s="195" t="s">
        <v>269</v>
      </c>
    </row>
    <row r="83" spans="4:8" customFormat="1" x14ac:dyDescent="0.15">
      <c r="D83" s="194" t="s">
        <v>270</v>
      </c>
      <c r="E83">
        <v>82</v>
      </c>
      <c r="F83">
        <v>2.2200000000000002</v>
      </c>
      <c r="G83">
        <v>82</v>
      </c>
      <c r="H83" s="195" t="s">
        <v>270</v>
      </c>
    </row>
    <row r="84" spans="4:8" customFormat="1" x14ac:dyDescent="0.15">
      <c r="D84" s="194" t="s">
        <v>271</v>
      </c>
      <c r="E84">
        <v>83</v>
      </c>
      <c r="F84">
        <v>4.22</v>
      </c>
      <c r="G84">
        <v>83</v>
      </c>
      <c r="H84" s="195" t="s">
        <v>271</v>
      </c>
    </row>
    <row r="85" spans="4:8" customFormat="1" x14ac:dyDescent="0.15">
      <c r="D85" s="194" t="s">
        <v>272</v>
      </c>
      <c r="E85">
        <v>84</v>
      </c>
      <c r="F85">
        <v>4.2</v>
      </c>
      <c r="G85">
        <v>84</v>
      </c>
      <c r="H85" s="195" t="s">
        <v>272</v>
      </c>
    </row>
    <row r="86" spans="4:8" customFormat="1" x14ac:dyDescent="0.15">
      <c r="D86" s="194" t="s">
        <v>273</v>
      </c>
      <c r="E86">
        <v>85</v>
      </c>
      <c r="F86">
        <v>4.0999999999999996</v>
      </c>
      <c r="G86">
        <v>85</v>
      </c>
      <c r="H86" s="195" t="s">
        <v>273</v>
      </c>
    </row>
    <row r="87" spans="4:8" customFormat="1" x14ac:dyDescent="0.15">
      <c r="D87" s="194" t="s">
        <v>274</v>
      </c>
      <c r="E87">
        <v>86</v>
      </c>
      <c r="F87">
        <v>4.2</v>
      </c>
      <c r="G87">
        <v>86</v>
      </c>
      <c r="H87" s="195" t="s">
        <v>274</v>
      </c>
    </row>
    <row r="88" spans="4:8" customFormat="1" x14ac:dyDescent="0.15">
      <c r="D88" s="194" t="s">
        <v>275</v>
      </c>
      <c r="E88">
        <v>87</v>
      </c>
      <c r="F88">
        <v>4.3</v>
      </c>
      <c r="G88">
        <v>87</v>
      </c>
      <c r="H88" s="195" t="s">
        <v>275</v>
      </c>
    </row>
    <row r="89" spans="4:8" customFormat="1" x14ac:dyDescent="0.15">
      <c r="D89" s="194" t="s">
        <v>276</v>
      </c>
      <c r="E89">
        <v>88</v>
      </c>
      <c r="F89">
        <v>5</v>
      </c>
      <c r="G89">
        <v>88</v>
      </c>
      <c r="H89" s="195" t="s">
        <v>276</v>
      </c>
    </row>
    <row r="90" spans="4:8" customFormat="1" x14ac:dyDescent="0.15">
      <c r="D90" s="194" t="s">
        <v>277</v>
      </c>
      <c r="E90">
        <v>89</v>
      </c>
      <c r="F90">
        <v>5</v>
      </c>
      <c r="G90">
        <v>89</v>
      </c>
      <c r="H90" s="195" t="s">
        <v>277</v>
      </c>
    </row>
    <row r="91" spans="4:8" customFormat="1" x14ac:dyDescent="0.15">
      <c r="D91" s="194" t="s">
        <v>278</v>
      </c>
      <c r="E91">
        <v>90</v>
      </c>
      <c r="F91">
        <v>5</v>
      </c>
      <c r="G91">
        <v>90</v>
      </c>
      <c r="H91" s="195" t="s">
        <v>278</v>
      </c>
    </row>
    <row r="92" spans="4:8" customFormat="1" x14ac:dyDescent="0.15">
      <c r="D92" s="194" t="s">
        <v>279</v>
      </c>
      <c r="E92">
        <v>91</v>
      </c>
      <c r="F92">
        <v>5</v>
      </c>
      <c r="G92">
        <v>91</v>
      </c>
      <c r="H92" s="195" t="s">
        <v>279</v>
      </c>
    </row>
    <row r="93" spans="4:8" customFormat="1" x14ac:dyDescent="0.15">
      <c r="D93" s="194" t="s">
        <v>280</v>
      </c>
      <c r="E93">
        <v>92</v>
      </c>
      <c r="F93">
        <v>5</v>
      </c>
      <c r="G93">
        <v>92</v>
      </c>
      <c r="H93" s="195" t="s">
        <v>280</v>
      </c>
    </row>
    <row r="94" spans="4:8" customFormat="1" x14ac:dyDescent="0.15">
      <c r="D94" s="194" t="s">
        <v>281</v>
      </c>
      <c r="E94">
        <v>93</v>
      </c>
      <c r="F94">
        <v>5</v>
      </c>
      <c r="G94">
        <v>93</v>
      </c>
      <c r="H94" s="195" t="s">
        <v>281</v>
      </c>
    </row>
    <row r="95" spans="4:8" customFormat="1" x14ac:dyDescent="0.15">
      <c r="D95" s="194" t="s">
        <v>282</v>
      </c>
      <c r="E95">
        <v>94</v>
      </c>
      <c r="F95">
        <v>5</v>
      </c>
      <c r="G95">
        <v>94</v>
      </c>
      <c r="H95" s="195" t="s">
        <v>282</v>
      </c>
    </row>
    <row r="96" spans="4:8" customFormat="1" x14ac:dyDescent="0.15">
      <c r="D96" s="194" t="s">
        <v>283</v>
      </c>
      <c r="E96">
        <v>95</v>
      </c>
      <c r="F96">
        <v>5</v>
      </c>
      <c r="G96">
        <v>95</v>
      </c>
      <c r="H96" s="195" t="s">
        <v>283</v>
      </c>
    </row>
    <row r="97" spans="4:8" customFormat="1" x14ac:dyDescent="0.15">
      <c r="D97" s="194" t="s">
        <v>284</v>
      </c>
      <c r="E97">
        <v>96</v>
      </c>
      <c r="F97">
        <v>5</v>
      </c>
      <c r="G97">
        <v>96</v>
      </c>
      <c r="H97" s="195" t="s">
        <v>284</v>
      </c>
    </row>
    <row r="98" spans="4:8" customFormat="1" x14ac:dyDescent="0.15">
      <c r="D98" s="194" t="s">
        <v>285</v>
      </c>
      <c r="E98">
        <v>97</v>
      </c>
      <c r="F98">
        <v>5</v>
      </c>
      <c r="G98">
        <v>97</v>
      </c>
      <c r="H98" s="195" t="s">
        <v>285</v>
      </c>
    </row>
    <row r="99" spans="4:8" customFormat="1" x14ac:dyDescent="0.15">
      <c r="D99" s="194" t="s">
        <v>138</v>
      </c>
      <c r="E99">
        <v>98</v>
      </c>
      <c r="F99">
        <v>6.1</v>
      </c>
      <c r="G99">
        <v>98</v>
      </c>
      <c r="H99" s="195" t="s">
        <v>138</v>
      </c>
    </row>
    <row r="100" spans="4:8" customFormat="1" x14ac:dyDescent="0.15">
      <c r="D100" s="194" t="s">
        <v>45</v>
      </c>
      <c r="E100">
        <v>99</v>
      </c>
      <c r="F100">
        <v>6.2</v>
      </c>
      <c r="G100">
        <v>99</v>
      </c>
      <c r="H100" s="195" t="s">
        <v>45</v>
      </c>
    </row>
    <row r="101" spans="4:8" customFormat="1" x14ac:dyDescent="0.15"/>
    <row r="102" spans="4:8" customFormat="1" x14ac:dyDescent="0.15"/>
    <row r="103" spans="4:8" customFormat="1" x14ac:dyDescent="0.15"/>
    <row r="104" spans="4:8" customFormat="1" x14ac:dyDescent="0.15"/>
    <row r="105" spans="4:8" customFormat="1" x14ac:dyDescent="0.15"/>
    <row r="106" spans="4:8" customFormat="1" x14ac:dyDescent="0.15"/>
    <row r="107" spans="4:8" customFormat="1" x14ac:dyDescent="0.15"/>
    <row r="108" spans="4:8" customFormat="1" x14ac:dyDescent="0.15"/>
    <row r="109" spans="4:8" customFormat="1" x14ac:dyDescent="0.15"/>
    <row r="110" spans="4:8" customFormat="1" x14ac:dyDescent="0.15"/>
    <row r="111" spans="4:8" customFormat="1" x14ac:dyDescent="0.15"/>
    <row r="112" spans="4:8"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7" style="85" bestFit="1" customWidth="1"/>
    <col min="2" max="2" width="15.83203125" style="84" customWidth="1"/>
    <col min="3" max="3" width="17" style="84" customWidth="1"/>
    <col min="4" max="4" width="11.83203125" style="84" customWidth="1"/>
    <col min="5" max="5" width="15.83203125" style="84" customWidth="1"/>
    <col min="6" max="6" width="32" style="84" bestFit="1" customWidth="1"/>
    <col min="7" max="9" width="2.33203125" style="84" customWidth="1"/>
    <col min="10" max="10" width="2.33203125" style="84" bestFit="1" customWidth="1"/>
    <col min="11" max="15" width="3.83203125" style="84" customWidth="1"/>
    <col min="16" max="16" width="3.83203125" style="73" customWidth="1"/>
    <col min="17" max="17" width="2.33203125" style="84" customWidth="1"/>
    <col min="18" max="18" width="2.33203125" style="74" customWidth="1"/>
    <col min="19" max="16384" width="11.5" style="84"/>
  </cols>
  <sheetData>
    <row r="1" spans="1:23" ht="15" customHeight="1" thickBot="1" x14ac:dyDescent="0.2">
      <c r="F1" s="1"/>
      <c r="G1" s="71" t="s">
        <v>46</v>
      </c>
      <c r="H1" s="71" t="s">
        <v>47</v>
      </c>
      <c r="I1" s="71" t="s">
        <v>120</v>
      </c>
      <c r="J1" s="71" t="s">
        <v>132</v>
      </c>
      <c r="K1" s="86" t="s">
        <v>48</v>
      </c>
      <c r="L1" s="74"/>
      <c r="M1" s="86" t="s">
        <v>119</v>
      </c>
      <c r="N1" s="74"/>
      <c r="O1" s="86" t="s">
        <v>49</v>
      </c>
      <c r="P1" s="77"/>
      <c r="Q1" s="86" t="s">
        <v>50</v>
      </c>
      <c r="R1" s="71" t="s">
        <v>154</v>
      </c>
    </row>
    <row r="2" spans="1:23" ht="15" customHeight="1" x14ac:dyDescent="0.15">
      <c r="A2" s="86" t="s">
        <v>51</v>
      </c>
      <c r="B2" s="87">
        <v>0.5</v>
      </c>
      <c r="C2" s="85" t="s">
        <v>52</v>
      </c>
      <c r="D2" s="88"/>
      <c r="F2" s="1"/>
      <c r="G2" s="89"/>
      <c r="H2" s="89"/>
      <c r="I2" s="89" t="s">
        <v>133</v>
      </c>
      <c r="J2" s="89" t="s">
        <v>133</v>
      </c>
      <c r="K2" s="89" t="s">
        <v>52</v>
      </c>
      <c r="L2" s="89" t="s">
        <v>53</v>
      </c>
      <c r="M2" s="89" t="s">
        <v>52</v>
      </c>
      <c r="N2" s="89" t="s">
        <v>53</v>
      </c>
      <c r="O2" s="89" t="s">
        <v>52</v>
      </c>
      <c r="P2" s="90" t="s">
        <v>53</v>
      </c>
      <c r="Q2" s="89"/>
      <c r="R2" s="91" t="s">
        <v>155</v>
      </c>
    </row>
    <row r="3" spans="1:23" ht="15" customHeight="1" thickBot="1" x14ac:dyDescent="0.2">
      <c r="A3" s="86" t="s">
        <v>54</v>
      </c>
      <c r="B3" s="92">
        <v>0.5</v>
      </c>
      <c r="C3" s="85" t="s">
        <v>53</v>
      </c>
      <c r="D3" s="88"/>
      <c r="F3" t="s">
        <v>38</v>
      </c>
      <c r="G3">
        <v>0</v>
      </c>
      <c r="H3">
        <v>0</v>
      </c>
      <c r="I3">
        <v>0</v>
      </c>
      <c r="J3">
        <v>0</v>
      </c>
      <c r="K3">
        <v>0</v>
      </c>
      <c r="L3">
        <v>0</v>
      </c>
      <c r="M3">
        <v>0</v>
      </c>
      <c r="N3">
        <v>0</v>
      </c>
      <c r="O3">
        <v>0</v>
      </c>
      <c r="P3">
        <v>0</v>
      </c>
      <c r="Q3" s="136">
        <v>0</v>
      </c>
      <c r="R3" s="38">
        <v>0</v>
      </c>
    </row>
    <row r="4" spans="1:23" ht="15" customHeight="1" thickBot="1" x14ac:dyDescent="0.2">
      <c r="F4" t="s">
        <v>40</v>
      </c>
      <c r="G4">
        <v>0</v>
      </c>
      <c r="H4">
        <v>0</v>
      </c>
      <c r="I4">
        <v>0</v>
      </c>
      <c r="J4">
        <v>0</v>
      </c>
      <c r="K4">
        <v>0</v>
      </c>
      <c r="L4">
        <v>0</v>
      </c>
      <c r="M4">
        <v>0</v>
      </c>
      <c r="N4">
        <v>0</v>
      </c>
      <c r="O4">
        <v>0</v>
      </c>
      <c r="P4">
        <v>0</v>
      </c>
      <c r="Q4" s="136">
        <v>0</v>
      </c>
      <c r="R4" s="111">
        <v>0</v>
      </c>
    </row>
    <row r="5" spans="1:23" ht="15" customHeight="1" x14ac:dyDescent="0.15">
      <c r="A5" s="86" t="s">
        <v>55</v>
      </c>
      <c r="B5" s="93">
        <v>0.5</v>
      </c>
      <c r="C5" s="85" t="s">
        <v>52</v>
      </c>
      <c r="D5" s="88"/>
      <c r="F5" t="s">
        <v>41</v>
      </c>
      <c r="G5">
        <v>0</v>
      </c>
      <c r="H5">
        <v>0</v>
      </c>
      <c r="I5">
        <v>0</v>
      </c>
      <c r="J5">
        <v>0</v>
      </c>
      <c r="K5">
        <v>0</v>
      </c>
      <c r="L5">
        <v>0</v>
      </c>
      <c r="M5">
        <v>0</v>
      </c>
      <c r="N5">
        <v>0</v>
      </c>
      <c r="O5">
        <v>0</v>
      </c>
      <c r="P5">
        <v>0</v>
      </c>
      <c r="Q5" s="136">
        <v>0</v>
      </c>
      <c r="R5" s="111">
        <v>0</v>
      </c>
    </row>
    <row r="6" spans="1:23" ht="15" customHeight="1" thickBot="1" x14ac:dyDescent="0.2">
      <c r="A6" s="86"/>
      <c r="B6" s="94">
        <v>0.5</v>
      </c>
      <c r="C6" s="85" t="s">
        <v>53</v>
      </c>
      <c r="D6" s="88"/>
      <c r="F6" s="196" t="s">
        <v>192</v>
      </c>
      <c r="G6" s="84">
        <v>0</v>
      </c>
      <c r="H6" s="84">
        <v>0</v>
      </c>
      <c r="I6" s="84">
        <v>0</v>
      </c>
      <c r="J6" s="84">
        <v>0</v>
      </c>
      <c r="K6" s="84">
        <v>0.4</v>
      </c>
      <c r="L6" s="84">
        <v>0.6</v>
      </c>
      <c r="M6" s="84">
        <v>0.4</v>
      </c>
      <c r="N6" s="84">
        <v>0.6</v>
      </c>
      <c r="O6" s="84">
        <v>0.4</v>
      </c>
      <c r="P6" s="73">
        <v>0.6</v>
      </c>
      <c r="Q6" s="84">
        <v>0</v>
      </c>
      <c r="R6" s="74">
        <v>1</v>
      </c>
      <c r="S6"/>
      <c r="T6"/>
    </row>
    <row r="7" spans="1:23" ht="15" customHeight="1" thickBot="1" x14ac:dyDescent="0.2">
      <c r="F7" s="196" t="s">
        <v>193</v>
      </c>
      <c r="G7" s="84">
        <v>0</v>
      </c>
      <c r="H7" s="84">
        <v>0</v>
      </c>
      <c r="I7" s="84">
        <v>0</v>
      </c>
      <c r="J7" s="84">
        <v>0</v>
      </c>
      <c r="K7" s="84">
        <v>0.2</v>
      </c>
      <c r="L7" s="84">
        <v>0.8</v>
      </c>
      <c r="M7" s="84">
        <v>0.2</v>
      </c>
      <c r="N7" s="84">
        <v>0.8</v>
      </c>
      <c r="O7" s="84">
        <v>0.2</v>
      </c>
      <c r="P7" s="73">
        <v>0.8</v>
      </c>
      <c r="Q7" s="84">
        <v>0</v>
      </c>
      <c r="R7" s="74">
        <v>1</v>
      </c>
      <c r="S7"/>
      <c r="T7"/>
    </row>
    <row r="8" spans="1:23" ht="15" customHeight="1" x14ac:dyDescent="0.15">
      <c r="A8" s="86" t="s">
        <v>56</v>
      </c>
      <c r="B8" s="93">
        <v>0.60027168599518521</v>
      </c>
      <c r="C8" s="197" t="s">
        <v>266</v>
      </c>
      <c r="D8" s="88" t="s">
        <v>160</v>
      </c>
      <c r="F8" s="196" t="s">
        <v>194</v>
      </c>
      <c r="G8" s="84">
        <v>0</v>
      </c>
      <c r="H8" s="84">
        <v>0</v>
      </c>
      <c r="I8" s="84">
        <v>0</v>
      </c>
      <c r="J8" s="84">
        <v>0</v>
      </c>
      <c r="K8" s="84">
        <v>0</v>
      </c>
      <c r="L8" s="84">
        <v>1</v>
      </c>
      <c r="M8" s="84">
        <v>0</v>
      </c>
      <c r="N8" s="84">
        <v>1</v>
      </c>
      <c r="O8" s="84">
        <v>0</v>
      </c>
      <c r="P8" s="73">
        <v>1</v>
      </c>
      <c r="Q8" s="84">
        <v>0</v>
      </c>
      <c r="R8" s="74">
        <v>1</v>
      </c>
      <c r="S8"/>
      <c r="T8"/>
      <c r="W8"/>
    </row>
    <row r="9" spans="1:23" ht="15" customHeight="1" x14ac:dyDescent="0.15">
      <c r="A9" s="125" t="s">
        <v>168</v>
      </c>
      <c r="B9" s="95">
        <v>0.37586747678933141</v>
      </c>
      <c r="C9" s="197" t="s">
        <v>267</v>
      </c>
      <c r="D9" s="88" t="s">
        <v>160</v>
      </c>
      <c r="F9" s="196" t="s">
        <v>195</v>
      </c>
      <c r="G9" s="84">
        <v>0</v>
      </c>
      <c r="H9" s="84">
        <v>0</v>
      </c>
      <c r="I9" s="84">
        <v>0</v>
      </c>
      <c r="J9" s="84">
        <v>0</v>
      </c>
      <c r="K9" s="84">
        <v>0.6</v>
      </c>
      <c r="L9" s="84">
        <v>0.4</v>
      </c>
      <c r="M9" s="84">
        <v>0.6</v>
      </c>
      <c r="N9" s="84">
        <v>0.4</v>
      </c>
      <c r="O9" s="84">
        <v>0.6</v>
      </c>
      <c r="P9" s="73">
        <v>0.4</v>
      </c>
      <c r="Q9" s="84">
        <v>0</v>
      </c>
      <c r="R9" s="74">
        <v>1</v>
      </c>
      <c r="S9"/>
      <c r="T9"/>
      <c r="W9"/>
    </row>
    <row r="10" spans="1:23" ht="15" customHeight="1" x14ac:dyDescent="0.15">
      <c r="B10" s="95">
        <v>9.790976558195939E-4</v>
      </c>
      <c r="C10" s="197" t="s">
        <v>268</v>
      </c>
      <c r="D10" s="88" t="s">
        <v>160</v>
      </c>
      <c r="F10" s="196" t="s">
        <v>196</v>
      </c>
      <c r="G10" s="84">
        <v>0</v>
      </c>
      <c r="H10" s="84">
        <v>0</v>
      </c>
      <c r="I10" s="84">
        <v>0</v>
      </c>
      <c r="J10" s="84">
        <v>0</v>
      </c>
      <c r="K10" s="84">
        <v>0.8</v>
      </c>
      <c r="L10" s="84">
        <v>0.19999999999999996</v>
      </c>
      <c r="M10" s="84">
        <v>0.8</v>
      </c>
      <c r="N10" s="84">
        <v>0.19999999999999996</v>
      </c>
      <c r="O10" s="84">
        <v>0.8</v>
      </c>
      <c r="P10" s="73">
        <v>0.19999999999999996</v>
      </c>
      <c r="Q10" s="84">
        <v>0</v>
      </c>
      <c r="R10" s="74">
        <v>1</v>
      </c>
      <c r="S10"/>
      <c r="T10"/>
      <c r="W10"/>
    </row>
    <row r="11" spans="1:23" ht="15" customHeight="1" x14ac:dyDescent="0.15">
      <c r="A11" s="86"/>
      <c r="B11" s="95">
        <v>2.2351273904320616E-2</v>
      </c>
      <c r="C11" s="197" t="s">
        <v>269</v>
      </c>
      <c r="D11" s="88" t="s">
        <v>160</v>
      </c>
      <c r="F11" s="196" t="s">
        <v>197</v>
      </c>
      <c r="G11" s="84">
        <v>0</v>
      </c>
      <c r="H11" s="84">
        <v>0</v>
      </c>
      <c r="I11" s="84">
        <v>0</v>
      </c>
      <c r="J11" s="84">
        <v>0</v>
      </c>
      <c r="K11" s="84">
        <v>0.9</v>
      </c>
      <c r="L11" s="84">
        <v>9.9999999999999978E-2</v>
      </c>
      <c r="M11" s="84">
        <v>0.9</v>
      </c>
      <c r="N11" s="84">
        <v>9.9999999999999978E-2</v>
      </c>
      <c r="O11" s="84">
        <v>0.9</v>
      </c>
      <c r="P11" s="73">
        <v>9.9999999999999978E-2</v>
      </c>
      <c r="Q11" s="84">
        <v>0</v>
      </c>
      <c r="R11" s="74">
        <v>1</v>
      </c>
      <c r="S11"/>
      <c r="T11"/>
      <c r="W11"/>
    </row>
    <row r="12" spans="1:23" ht="15" customHeight="1" x14ac:dyDescent="0.15">
      <c r="B12" s="95">
        <v>5.3046565534311336E-4</v>
      </c>
      <c r="C12" s="197" t="s">
        <v>270</v>
      </c>
      <c r="D12" s="88" t="s">
        <v>160</v>
      </c>
      <c r="F12" s="196" t="s">
        <v>198</v>
      </c>
      <c r="G12" s="84">
        <v>0</v>
      </c>
      <c r="H12" s="84">
        <v>0</v>
      </c>
      <c r="I12" s="84">
        <v>0</v>
      </c>
      <c r="J12" s="84">
        <v>0</v>
      </c>
      <c r="K12" s="84">
        <v>0.8</v>
      </c>
      <c r="L12" s="84">
        <v>0.19999999999999996</v>
      </c>
      <c r="M12" s="84">
        <v>0.8</v>
      </c>
      <c r="N12" s="84">
        <v>0.19999999999999996</v>
      </c>
      <c r="O12" s="84">
        <v>0.8</v>
      </c>
      <c r="P12" s="73">
        <v>0.19999999999999996</v>
      </c>
      <c r="Q12" s="84">
        <v>0</v>
      </c>
      <c r="R12" s="74">
        <v>1</v>
      </c>
      <c r="S12"/>
      <c r="T12"/>
      <c r="W12"/>
    </row>
    <row r="13" spans="1:23" ht="15" customHeight="1" x14ac:dyDescent="0.15">
      <c r="B13" s="95"/>
      <c r="C13" s="98"/>
      <c r="D13" s="88" t="s">
        <v>160</v>
      </c>
      <c r="F13" s="196" t="s">
        <v>199</v>
      </c>
      <c r="G13" s="84">
        <v>0</v>
      </c>
      <c r="H13" s="84">
        <v>0</v>
      </c>
      <c r="I13" s="84">
        <v>0</v>
      </c>
      <c r="J13" s="84">
        <v>0</v>
      </c>
      <c r="K13" s="84">
        <v>0.9</v>
      </c>
      <c r="L13" s="84">
        <v>9.9999999999999978E-2</v>
      </c>
      <c r="M13" s="84">
        <v>0.9</v>
      </c>
      <c r="N13" s="84">
        <v>9.9999999999999978E-2</v>
      </c>
      <c r="O13" s="84">
        <v>0.9</v>
      </c>
      <c r="P13" s="73">
        <v>9.9999999999999978E-2</v>
      </c>
      <c r="Q13" s="84">
        <v>0</v>
      </c>
      <c r="R13" s="74">
        <v>1</v>
      </c>
      <c r="S13"/>
      <c r="T13"/>
      <c r="W13"/>
    </row>
    <row r="14" spans="1:23" ht="15" customHeight="1" x14ac:dyDescent="0.15">
      <c r="B14" s="95"/>
      <c r="C14" s="83"/>
      <c r="D14" s="88" t="s">
        <v>160</v>
      </c>
      <c r="F14" s="196" t="s">
        <v>200</v>
      </c>
      <c r="G14" s="84">
        <v>0</v>
      </c>
      <c r="H14" s="84">
        <v>0</v>
      </c>
      <c r="I14" s="84">
        <v>0</v>
      </c>
      <c r="J14" s="84">
        <v>0</v>
      </c>
      <c r="K14" s="84">
        <v>0.9</v>
      </c>
      <c r="L14" s="84">
        <v>9.9999999999999978E-2</v>
      </c>
      <c r="M14" s="84">
        <v>0.9</v>
      </c>
      <c r="N14" s="84">
        <v>9.9999999999999978E-2</v>
      </c>
      <c r="O14" s="84">
        <v>0.9</v>
      </c>
      <c r="P14" s="73">
        <v>9.9999999999999978E-2</v>
      </c>
      <c r="Q14" s="84">
        <v>0</v>
      </c>
      <c r="R14" s="74">
        <v>1</v>
      </c>
      <c r="S14"/>
      <c r="T14"/>
      <c r="W14"/>
    </row>
    <row r="15" spans="1:23" ht="15" customHeight="1" x14ac:dyDescent="0.15">
      <c r="B15" s="95"/>
      <c r="C15" s="83"/>
      <c r="D15" s="88" t="s">
        <v>160</v>
      </c>
      <c r="F15" s="196" t="s">
        <v>201</v>
      </c>
      <c r="G15" s="84">
        <v>0</v>
      </c>
      <c r="H15" s="84">
        <v>0</v>
      </c>
      <c r="I15" s="84">
        <v>0</v>
      </c>
      <c r="J15" s="84">
        <v>0</v>
      </c>
      <c r="K15" s="84">
        <v>0</v>
      </c>
      <c r="L15" s="84">
        <v>1</v>
      </c>
      <c r="M15" s="84">
        <v>0</v>
      </c>
      <c r="N15" s="84">
        <v>1</v>
      </c>
      <c r="O15" s="84">
        <v>0</v>
      </c>
      <c r="P15" s="73">
        <v>1</v>
      </c>
      <c r="Q15" s="84">
        <v>0</v>
      </c>
      <c r="R15" s="74">
        <v>1</v>
      </c>
      <c r="S15"/>
      <c r="T15"/>
      <c r="W15"/>
    </row>
    <row r="16" spans="1:23" ht="15" customHeight="1" x14ac:dyDescent="0.15">
      <c r="B16" s="95"/>
      <c r="C16" s="83"/>
      <c r="D16" s="88" t="s">
        <v>160</v>
      </c>
      <c r="F16" s="196" t="s">
        <v>202</v>
      </c>
      <c r="G16" s="84">
        <v>0</v>
      </c>
      <c r="H16" s="84">
        <v>0</v>
      </c>
      <c r="I16" s="84">
        <v>0</v>
      </c>
      <c r="J16" s="84">
        <v>0</v>
      </c>
      <c r="K16" s="84">
        <v>0</v>
      </c>
      <c r="L16" s="84">
        <v>1</v>
      </c>
      <c r="M16" s="84">
        <v>0</v>
      </c>
      <c r="N16" s="84">
        <v>1</v>
      </c>
      <c r="O16" s="84">
        <v>0</v>
      </c>
      <c r="P16" s="73">
        <v>1</v>
      </c>
      <c r="Q16" s="84">
        <v>0</v>
      </c>
      <c r="R16" s="74">
        <v>1</v>
      </c>
      <c r="S16"/>
      <c r="T16"/>
    </row>
    <row r="17" spans="1:20" ht="15" customHeight="1" thickBot="1" x14ac:dyDescent="0.2">
      <c r="B17" s="94"/>
      <c r="C17" s="83"/>
      <c r="D17" s="88" t="s">
        <v>160</v>
      </c>
      <c r="F17" s="196" t="s">
        <v>203</v>
      </c>
      <c r="G17" s="84">
        <v>0</v>
      </c>
      <c r="H17" s="84">
        <v>0</v>
      </c>
      <c r="I17" s="84">
        <v>0</v>
      </c>
      <c r="J17" s="84">
        <v>0</v>
      </c>
      <c r="K17" s="84">
        <v>0</v>
      </c>
      <c r="L17" s="84">
        <v>1</v>
      </c>
      <c r="M17" s="84">
        <v>0</v>
      </c>
      <c r="N17" s="84">
        <v>1</v>
      </c>
      <c r="O17" s="84">
        <v>0</v>
      </c>
      <c r="P17" s="73">
        <v>1</v>
      </c>
      <c r="Q17" s="84">
        <v>0</v>
      </c>
      <c r="R17" s="74">
        <v>1</v>
      </c>
      <c r="S17"/>
      <c r="T17"/>
    </row>
    <row r="18" spans="1:20" ht="15" customHeight="1" thickBot="1" x14ac:dyDescent="0.2">
      <c r="B18" s="96"/>
      <c r="F18" s="196" t="s">
        <v>204</v>
      </c>
      <c r="G18" s="84">
        <v>0</v>
      </c>
      <c r="H18" s="84">
        <v>0</v>
      </c>
      <c r="I18" s="84">
        <v>0</v>
      </c>
      <c r="J18" s="84">
        <v>0</v>
      </c>
      <c r="K18" s="84">
        <v>0</v>
      </c>
      <c r="L18" s="84">
        <v>1</v>
      </c>
      <c r="M18" s="84">
        <v>0</v>
      </c>
      <c r="N18" s="84">
        <v>1</v>
      </c>
      <c r="O18" s="84">
        <v>0</v>
      </c>
      <c r="P18" s="73">
        <v>1</v>
      </c>
      <c r="Q18" s="84">
        <v>0</v>
      </c>
      <c r="R18" s="74">
        <v>1</v>
      </c>
      <c r="S18"/>
      <c r="T18"/>
    </row>
    <row r="19" spans="1:20" ht="15" customHeight="1" x14ac:dyDescent="0.15">
      <c r="A19" s="86" t="s">
        <v>57</v>
      </c>
      <c r="B19" s="93">
        <v>0.60027168599518521</v>
      </c>
      <c r="C19" s="198" t="s">
        <v>266</v>
      </c>
      <c r="D19" s="88" t="s">
        <v>160</v>
      </c>
      <c r="F19" s="196" t="s">
        <v>205</v>
      </c>
      <c r="G19" s="84">
        <v>0</v>
      </c>
      <c r="H19" s="84">
        <v>0</v>
      </c>
      <c r="I19" s="84">
        <v>0</v>
      </c>
      <c r="J19" s="84">
        <v>0</v>
      </c>
      <c r="K19" s="84">
        <v>0</v>
      </c>
      <c r="L19" s="84">
        <v>1</v>
      </c>
      <c r="M19" s="84">
        <v>0</v>
      </c>
      <c r="N19" s="84">
        <v>1</v>
      </c>
      <c r="O19" s="84">
        <v>0</v>
      </c>
      <c r="P19" s="73">
        <v>1</v>
      </c>
      <c r="Q19" s="84">
        <v>0</v>
      </c>
      <c r="R19" s="74">
        <v>1</v>
      </c>
      <c r="S19"/>
      <c r="T19"/>
    </row>
    <row r="20" spans="1:20" ht="15" customHeight="1" x14ac:dyDescent="0.15">
      <c r="A20" s="125" t="s">
        <v>168</v>
      </c>
      <c r="B20" s="95">
        <v>0.37586747678933141</v>
      </c>
      <c r="C20" s="198" t="s">
        <v>267</v>
      </c>
      <c r="D20" s="88" t="s">
        <v>160</v>
      </c>
      <c r="F20" s="196" t="s">
        <v>206</v>
      </c>
      <c r="G20" s="84">
        <v>0</v>
      </c>
      <c r="H20" s="84">
        <v>0</v>
      </c>
      <c r="I20" s="84">
        <v>0</v>
      </c>
      <c r="J20" s="84">
        <v>0</v>
      </c>
      <c r="K20" s="84">
        <v>0</v>
      </c>
      <c r="L20" s="84">
        <v>1</v>
      </c>
      <c r="M20" s="84">
        <v>0</v>
      </c>
      <c r="N20" s="84">
        <v>1</v>
      </c>
      <c r="O20" s="84">
        <v>0</v>
      </c>
      <c r="P20" s="73">
        <v>1</v>
      </c>
      <c r="Q20" s="84">
        <v>0</v>
      </c>
      <c r="R20" s="74">
        <v>1</v>
      </c>
      <c r="S20"/>
      <c r="T20"/>
    </row>
    <row r="21" spans="1:20" ht="15" customHeight="1" x14ac:dyDescent="0.15">
      <c r="B21" s="95">
        <v>9.790976558195939E-4</v>
      </c>
      <c r="C21" s="198" t="s">
        <v>268</v>
      </c>
      <c r="D21" s="88" t="s">
        <v>160</v>
      </c>
      <c r="F21" s="196" t="s">
        <v>207</v>
      </c>
      <c r="G21" s="84">
        <v>0</v>
      </c>
      <c r="H21" s="84">
        <v>0</v>
      </c>
      <c r="I21" s="84">
        <v>0</v>
      </c>
      <c r="J21" s="84">
        <v>0</v>
      </c>
      <c r="K21" s="84">
        <v>0</v>
      </c>
      <c r="L21" s="84">
        <v>1</v>
      </c>
      <c r="M21" s="84">
        <v>0</v>
      </c>
      <c r="N21" s="84">
        <v>1</v>
      </c>
      <c r="O21" s="84">
        <v>0</v>
      </c>
      <c r="P21" s="73">
        <v>1</v>
      </c>
      <c r="Q21" s="84">
        <v>0</v>
      </c>
      <c r="R21" s="74">
        <v>1</v>
      </c>
      <c r="S21"/>
      <c r="T21"/>
    </row>
    <row r="22" spans="1:20" ht="15" customHeight="1" x14ac:dyDescent="0.15">
      <c r="A22" s="84"/>
      <c r="B22" s="95">
        <v>2.2351273904320616E-2</v>
      </c>
      <c r="C22" s="198" t="s">
        <v>269</v>
      </c>
      <c r="D22" s="88" t="s">
        <v>160</v>
      </c>
      <c r="F22" s="196" t="s">
        <v>208</v>
      </c>
      <c r="G22" s="84">
        <v>0</v>
      </c>
      <c r="H22" s="84">
        <v>0</v>
      </c>
      <c r="I22" s="84">
        <v>0</v>
      </c>
      <c r="J22" s="84">
        <v>0</v>
      </c>
      <c r="K22" s="84">
        <v>0</v>
      </c>
      <c r="L22" s="84">
        <v>1</v>
      </c>
      <c r="M22" s="84">
        <v>0</v>
      </c>
      <c r="N22" s="84">
        <v>1</v>
      </c>
      <c r="O22" s="84">
        <v>0</v>
      </c>
      <c r="P22" s="73">
        <v>1</v>
      </c>
      <c r="Q22" s="84">
        <v>0</v>
      </c>
      <c r="R22" s="74">
        <v>1</v>
      </c>
      <c r="S22"/>
      <c r="T22"/>
    </row>
    <row r="23" spans="1:20" ht="15" customHeight="1" x14ac:dyDescent="0.15">
      <c r="A23" s="84"/>
      <c r="B23" s="95">
        <v>5.3046565534311336E-4</v>
      </c>
      <c r="C23" s="198" t="s">
        <v>270</v>
      </c>
      <c r="D23" s="88" t="s">
        <v>160</v>
      </c>
      <c r="F23" s="196" t="s">
        <v>209</v>
      </c>
      <c r="G23" s="84">
        <v>0</v>
      </c>
      <c r="H23" s="84">
        <v>0</v>
      </c>
      <c r="I23" s="84">
        <v>0</v>
      </c>
      <c r="J23" s="84">
        <v>0</v>
      </c>
      <c r="K23" s="84">
        <v>0</v>
      </c>
      <c r="L23" s="84">
        <v>1</v>
      </c>
      <c r="M23" s="84">
        <v>0</v>
      </c>
      <c r="N23" s="84">
        <v>1</v>
      </c>
      <c r="O23" s="84">
        <v>0</v>
      </c>
      <c r="P23" s="73">
        <v>1</v>
      </c>
      <c r="Q23" s="84">
        <v>0</v>
      </c>
      <c r="R23" s="74">
        <v>1</v>
      </c>
      <c r="S23"/>
      <c r="T23"/>
    </row>
    <row r="24" spans="1:20" ht="15" customHeight="1" x14ac:dyDescent="0.15">
      <c r="A24" s="84"/>
      <c r="B24" s="95"/>
      <c r="C24" s="98"/>
      <c r="D24" s="88" t="s">
        <v>160</v>
      </c>
      <c r="F24" s="196" t="s">
        <v>210</v>
      </c>
      <c r="G24" s="84">
        <v>0</v>
      </c>
      <c r="H24" s="84">
        <v>0</v>
      </c>
      <c r="I24" s="84">
        <v>0</v>
      </c>
      <c r="J24" s="84">
        <v>0</v>
      </c>
      <c r="K24" s="84">
        <v>0</v>
      </c>
      <c r="L24" s="84">
        <v>1</v>
      </c>
      <c r="M24" s="84">
        <v>0</v>
      </c>
      <c r="N24" s="84">
        <v>1</v>
      </c>
      <c r="O24" s="84">
        <v>0</v>
      </c>
      <c r="P24" s="73">
        <v>1</v>
      </c>
      <c r="Q24" s="84">
        <v>0</v>
      </c>
      <c r="R24" s="74">
        <v>1</v>
      </c>
      <c r="S24"/>
      <c r="T24"/>
    </row>
    <row r="25" spans="1:20" ht="15" customHeight="1" x14ac:dyDescent="0.15">
      <c r="A25" s="84"/>
      <c r="B25" s="95"/>
      <c r="C25" s="83"/>
      <c r="D25" s="88" t="s">
        <v>160</v>
      </c>
      <c r="F25" s="196" t="s">
        <v>211</v>
      </c>
      <c r="G25" s="84">
        <v>0</v>
      </c>
      <c r="H25" s="84">
        <v>0</v>
      </c>
      <c r="I25" s="84">
        <v>0</v>
      </c>
      <c r="J25" s="84">
        <v>0</v>
      </c>
      <c r="K25" s="84">
        <v>0</v>
      </c>
      <c r="L25" s="84">
        <v>1</v>
      </c>
      <c r="M25" s="84">
        <v>0</v>
      </c>
      <c r="N25" s="84">
        <v>1</v>
      </c>
      <c r="O25" s="84">
        <v>0</v>
      </c>
      <c r="P25" s="73">
        <v>1</v>
      </c>
      <c r="Q25" s="84">
        <v>0</v>
      </c>
      <c r="R25" s="74">
        <v>1</v>
      </c>
      <c r="S25"/>
      <c r="T25"/>
    </row>
    <row r="26" spans="1:20" ht="15" customHeight="1" x14ac:dyDescent="0.15">
      <c r="B26" s="95"/>
      <c r="C26" s="83"/>
      <c r="D26" s="88" t="s">
        <v>160</v>
      </c>
      <c r="F26" s="196" t="s">
        <v>212</v>
      </c>
      <c r="G26" s="84">
        <v>0</v>
      </c>
      <c r="H26" s="84">
        <v>0</v>
      </c>
      <c r="I26" s="84">
        <v>0</v>
      </c>
      <c r="J26" s="84">
        <v>0</v>
      </c>
      <c r="K26" s="84">
        <v>0</v>
      </c>
      <c r="L26" s="84">
        <v>1</v>
      </c>
      <c r="M26" s="84">
        <v>0</v>
      </c>
      <c r="N26" s="84">
        <v>1</v>
      </c>
      <c r="O26" s="84">
        <v>0</v>
      </c>
      <c r="P26" s="73">
        <v>1</v>
      </c>
      <c r="Q26" s="84">
        <v>0</v>
      </c>
      <c r="R26" s="74">
        <v>1</v>
      </c>
      <c r="S26"/>
      <c r="T26"/>
    </row>
    <row r="27" spans="1:20" ht="15" customHeight="1" x14ac:dyDescent="0.15">
      <c r="B27" s="95"/>
      <c r="C27" s="83"/>
      <c r="D27" s="88" t="s">
        <v>160</v>
      </c>
      <c r="F27" s="196" t="s">
        <v>213</v>
      </c>
      <c r="G27" s="84">
        <v>0</v>
      </c>
      <c r="H27" s="84">
        <v>0</v>
      </c>
      <c r="I27" s="84">
        <v>0</v>
      </c>
      <c r="J27" s="84">
        <v>0</v>
      </c>
      <c r="K27" s="84">
        <v>0</v>
      </c>
      <c r="L27" s="84">
        <v>1</v>
      </c>
      <c r="M27" s="84">
        <v>0</v>
      </c>
      <c r="N27" s="84">
        <v>1</v>
      </c>
      <c r="O27" s="84">
        <v>0</v>
      </c>
      <c r="P27" s="73">
        <v>1</v>
      </c>
      <c r="Q27" s="84">
        <v>0</v>
      </c>
      <c r="R27" s="74">
        <v>1</v>
      </c>
      <c r="S27"/>
      <c r="T27"/>
    </row>
    <row r="28" spans="1:20" ht="15" customHeight="1" thickBot="1" x14ac:dyDescent="0.2">
      <c r="B28" s="94"/>
      <c r="C28" s="83"/>
      <c r="D28" s="88" t="s">
        <v>160</v>
      </c>
      <c r="F28" s="196" t="s">
        <v>214</v>
      </c>
      <c r="G28" s="84">
        <v>0</v>
      </c>
      <c r="H28" s="84">
        <v>0</v>
      </c>
      <c r="I28" s="84">
        <v>0</v>
      </c>
      <c r="J28" s="84">
        <v>0</v>
      </c>
      <c r="K28" s="84">
        <v>0</v>
      </c>
      <c r="L28" s="84">
        <v>1</v>
      </c>
      <c r="M28" s="84">
        <v>0</v>
      </c>
      <c r="N28" s="84">
        <v>1</v>
      </c>
      <c r="O28" s="84">
        <v>0</v>
      </c>
      <c r="P28" s="73">
        <v>1</v>
      </c>
      <c r="Q28" s="84">
        <v>0</v>
      </c>
      <c r="R28" s="74">
        <v>1</v>
      </c>
      <c r="S28"/>
      <c r="T28"/>
    </row>
    <row r="29" spans="1:20" ht="15" customHeight="1" x14ac:dyDescent="0.15">
      <c r="F29" s="196" t="s">
        <v>215</v>
      </c>
      <c r="G29" s="84">
        <v>0</v>
      </c>
      <c r="H29" s="84">
        <v>0</v>
      </c>
      <c r="I29" s="84">
        <v>0</v>
      </c>
      <c r="J29" s="84">
        <v>0</v>
      </c>
      <c r="K29" s="84">
        <v>0</v>
      </c>
      <c r="L29" s="84">
        <v>1</v>
      </c>
      <c r="M29" s="84">
        <v>0</v>
      </c>
      <c r="N29" s="84">
        <v>1</v>
      </c>
      <c r="O29" s="84">
        <v>0</v>
      </c>
      <c r="P29" s="73">
        <v>1</v>
      </c>
      <c r="Q29" s="84">
        <v>0</v>
      </c>
      <c r="R29" s="74">
        <v>1</v>
      </c>
      <c r="S29"/>
      <c r="T29"/>
    </row>
    <row r="30" spans="1:20" ht="15" customHeight="1" x14ac:dyDescent="0.15">
      <c r="F30" s="196" t="s">
        <v>216</v>
      </c>
      <c r="G30" s="84">
        <v>0</v>
      </c>
      <c r="H30" s="84">
        <v>0</v>
      </c>
      <c r="I30" s="84">
        <v>0</v>
      </c>
      <c r="J30" s="84">
        <v>0</v>
      </c>
      <c r="K30" s="84">
        <v>0</v>
      </c>
      <c r="L30" s="84">
        <v>1</v>
      </c>
      <c r="M30" s="84">
        <v>0</v>
      </c>
      <c r="N30" s="84">
        <v>1</v>
      </c>
      <c r="O30" s="84">
        <v>0</v>
      </c>
      <c r="P30" s="73">
        <v>1</v>
      </c>
      <c r="Q30" s="84">
        <v>0</v>
      </c>
      <c r="R30" s="74">
        <v>1</v>
      </c>
      <c r="S30"/>
      <c r="T30"/>
    </row>
    <row r="31" spans="1:20" ht="15" customHeight="1" x14ac:dyDescent="0.15">
      <c r="A31" s="126"/>
      <c r="B31" s="134" t="s">
        <v>17</v>
      </c>
      <c r="C31" s="134" t="s">
        <v>1</v>
      </c>
      <c r="D31" s="134" t="s">
        <v>161</v>
      </c>
      <c r="E31" s="135" t="s">
        <v>163</v>
      </c>
      <c r="F31" s="196" t="s">
        <v>217</v>
      </c>
      <c r="G31" s="84">
        <v>0</v>
      </c>
      <c r="H31" s="84">
        <v>0</v>
      </c>
      <c r="I31" s="84">
        <v>0</v>
      </c>
      <c r="J31" s="84">
        <v>0</v>
      </c>
      <c r="K31" s="84">
        <v>0</v>
      </c>
      <c r="L31" s="84">
        <v>1</v>
      </c>
      <c r="M31" s="84">
        <v>0</v>
      </c>
      <c r="N31" s="84">
        <v>1</v>
      </c>
      <c r="O31" s="84">
        <v>0</v>
      </c>
      <c r="P31" s="73">
        <v>1</v>
      </c>
      <c r="Q31" s="84">
        <v>0</v>
      </c>
      <c r="R31" s="74">
        <v>1</v>
      </c>
      <c r="S31"/>
      <c r="T31"/>
    </row>
    <row r="32" spans="1:20" ht="15" customHeight="1" x14ac:dyDescent="0.15">
      <c r="A32" s="199" t="s">
        <v>266</v>
      </c>
      <c r="B32" s="96">
        <v>4.2</v>
      </c>
      <c r="C32" s="96">
        <v>760</v>
      </c>
      <c r="D32" s="96">
        <v>3192</v>
      </c>
      <c r="E32" s="127">
        <v>0.60027168599518521</v>
      </c>
      <c r="F32" s="196" t="s">
        <v>218</v>
      </c>
      <c r="G32" s="84">
        <v>0</v>
      </c>
      <c r="H32" s="84">
        <v>0</v>
      </c>
      <c r="I32" s="84">
        <v>0</v>
      </c>
      <c r="J32" s="84">
        <v>0</v>
      </c>
      <c r="K32" s="84">
        <v>0</v>
      </c>
      <c r="L32" s="84">
        <v>1</v>
      </c>
      <c r="M32" s="84">
        <v>0</v>
      </c>
      <c r="N32" s="84">
        <v>1</v>
      </c>
      <c r="O32" s="84">
        <v>0</v>
      </c>
      <c r="P32" s="73">
        <v>1</v>
      </c>
      <c r="Q32" s="84">
        <v>0</v>
      </c>
      <c r="R32" s="74">
        <v>1</v>
      </c>
      <c r="S32"/>
      <c r="T32"/>
    </row>
    <row r="33" spans="1:20" ht="15" customHeight="1" x14ac:dyDescent="0.15">
      <c r="A33" s="199" t="s">
        <v>267</v>
      </c>
      <c r="B33" s="96">
        <v>3.7720618199999998</v>
      </c>
      <c r="C33" s="96">
        <v>529.87199999999996</v>
      </c>
      <c r="D33" s="96">
        <v>1998.7099406870398</v>
      </c>
      <c r="E33" s="127">
        <v>0.37586747678933141</v>
      </c>
      <c r="F33" s="196" t="s">
        <v>219</v>
      </c>
      <c r="G33" s="84">
        <v>0</v>
      </c>
      <c r="H33" s="84">
        <v>0</v>
      </c>
      <c r="I33" s="84">
        <v>0</v>
      </c>
      <c r="J33" s="84">
        <v>0</v>
      </c>
      <c r="K33" s="84">
        <v>0</v>
      </c>
      <c r="L33" s="84">
        <v>1</v>
      </c>
      <c r="M33" s="84">
        <v>0</v>
      </c>
      <c r="N33" s="84">
        <v>1</v>
      </c>
      <c r="O33" s="84">
        <v>0</v>
      </c>
      <c r="P33" s="73">
        <v>1</v>
      </c>
      <c r="Q33" s="84">
        <v>0</v>
      </c>
      <c r="R33" s="74">
        <v>1</v>
      </c>
      <c r="S33"/>
      <c r="T33"/>
    </row>
    <row r="34" spans="1:20" ht="15" customHeight="1" x14ac:dyDescent="0.15">
      <c r="A34" s="199" t="s">
        <v>268</v>
      </c>
      <c r="B34" s="96">
        <v>0.626</v>
      </c>
      <c r="C34" s="96">
        <v>8.3170000000000002</v>
      </c>
      <c r="D34" s="96">
        <v>5.206442</v>
      </c>
      <c r="E34" s="127">
        <v>9.790976558195939E-4</v>
      </c>
      <c r="F34" s="196" t="s">
        <v>220</v>
      </c>
      <c r="G34" s="84">
        <v>0</v>
      </c>
      <c r="H34" s="84">
        <v>0</v>
      </c>
      <c r="I34" s="84">
        <v>0</v>
      </c>
      <c r="J34" s="84">
        <v>0</v>
      </c>
      <c r="K34" s="84">
        <v>0</v>
      </c>
      <c r="L34" s="84">
        <v>1</v>
      </c>
      <c r="M34" s="84">
        <v>0</v>
      </c>
      <c r="N34" s="84">
        <v>1</v>
      </c>
      <c r="O34" s="84">
        <v>0</v>
      </c>
      <c r="P34" s="73">
        <v>1</v>
      </c>
      <c r="Q34" s="84">
        <v>0</v>
      </c>
      <c r="R34" s="74">
        <v>1</v>
      </c>
      <c r="S34"/>
      <c r="T34"/>
    </row>
    <row r="35" spans="1:20" ht="15" customHeight="1" x14ac:dyDescent="0.15">
      <c r="A35" s="199" t="s">
        <v>269</v>
      </c>
      <c r="B35" s="96">
        <v>14.2906046</v>
      </c>
      <c r="C35" s="96">
        <v>8.3170000000000002</v>
      </c>
      <c r="D35" s="96">
        <v>118.8549584582</v>
      </c>
      <c r="E35" s="127">
        <v>2.2351273904320616E-2</v>
      </c>
      <c r="F35" s="196" t="s">
        <v>221</v>
      </c>
      <c r="G35" s="84">
        <v>0</v>
      </c>
      <c r="H35" s="84">
        <v>0</v>
      </c>
      <c r="I35" s="84">
        <v>0</v>
      </c>
      <c r="J35" s="84">
        <v>0</v>
      </c>
      <c r="K35" s="84">
        <v>0</v>
      </c>
      <c r="L35" s="84">
        <v>1</v>
      </c>
      <c r="M35" s="84">
        <v>0</v>
      </c>
      <c r="N35" s="84">
        <v>1</v>
      </c>
      <c r="O35" s="84">
        <v>0</v>
      </c>
      <c r="P35" s="73">
        <v>1</v>
      </c>
      <c r="Q35" s="84">
        <v>0</v>
      </c>
      <c r="R35" s="74">
        <v>1</v>
      </c>
      <c r="S35"/>
      <c r="T35"/>
    </row>
    <row r="36" spans="1:20" ht="15" customHeight="1" x14ac:dyDescent="0.15">
      <c r="A36" s="199" t="s">
        <v>270</v>
      </c>
      <c r="B36" s="96">
        <v>16.399999999999999</v>
      </c>
      <c r="C36" s="96">
        <v>0.17199999999999999</v>
      </c>
      <c r="D36" s="96">
        <v>2.8207999999999993</v>
      </c>
      <c r="E36" s="127">
        <v>5.3046565534311336E-4</v>
      </c>
      <c r="F36" s="196" t="s">
        <v>222</v>
      </c>
      <c r="G36" s="84">
        <v>0</v>
      </c>
      <c r="H36" s="84">
        <v>0</v>
      </c>
      <c r="I36" s="84">
        <v>0</v>
      </c>
      <c r="J36" s="84">
        <v>0</v>
      </c>
      <c r="K36" s="84">
        <v>0</v>
      </c>
      <c r="L36" s="84">
        <v>1</v>
      </c>
      <c r="M36" s="84">
        <v>0</v>
      </c>
      <c r="N36" s="84">
        <v>1</v>
      </c>
      <c r="O36" s="84">
        <v>0</v>
      </c>
      <c r="P36" s="73">
        <v>1</v>
      </c>
      <c r="Q36" s="84">
        <v>0</v>
      </c>
      <c r="R36" s="74">
        <v>1</v>
      </c>
      <c r="S36"/>
      <c r="T36"/>
    </row>
    <row r="37" spans="1:20" ht="15" customHeight="1" x14ac:dyDescent="0.15">
      <c r="A37" s="128"/>
      <c r="B37" s="96"/>
      <c r="C37" s="96"/>
      <c r="D37" s="96"/>
      <c r="E37" s="127"/>
      <c r="F37" s="196" t="s">
        <v>223</v>
      </c>
      <c r="G37" s="84">
        <v>0</v>
      </c>
      <c r="H37" s="84">
        <v>0</v>
      </c>
      <c r="I37" s="84">
        <v>0</v>
      </c>
      <c r="J37" s="84">
        <v>0</v>
      </c>
      <c r="K37" s="84">
        <v>0</v>
      </c>
      <c r="L37" s="84">
        <v>1</v>
      </c>
      <c r="M37" s="84">
        <v>0</v>
      </c>
      <c r="N37" s="84">
        <v>1</v>
      </c>
      <c r="O37" s="84">
        <v>0</v>
      </c>
      <c r="P37" s="73">
        <v>1</v>
      </c>
      <c r="Q37" s="84">
        <v>0</v>
      </c>
      <c r="R37" s="74">
        <v>1</v>
      </c>
      <c r="S37"/>
      <c r="T37"/>
    </row>
    <row r="38" spans="1:20" ht="15" customHeight="1" x14ac:dyDescent="0.15">
      <c r="A38" s="129"/>
      <c r="B38" s="96"/>
      <c r="C38" s="96"/>
      <c r="D38" s="96"/>
      <c r="E38" s="127"/>
      <c r="F38" s="196" t="s">
        <v>224</v>
      </c>
      <c r="G38" s="84">
        <v>0</v>
      </c>
      <c r="H38" s="84">
        <v>0</v>
      </c>
      <c r="I38" s="84">
        <v>0</v>
      </c>
      <c r="J38" s="84">
        <v>0</v>
      </c>
      <c r="K38" s="84">
        <v>0</v>
      </c>
      <c r="L38" s="84">
        <v>1</v>
      </c>
      <c r="M38" s="84">
        <v>0</v>
      </c>
      <c r="N38" s="84">
        <v>1</v>
      </c>
      <c r="O38" s="84">
        <v>0</v>
      </c>
      <c r="P38" s="73">
        <v>1</v>
      </c>
      <c r="Q38" s="84">
        <v>0</v>
      </c>
      <c r="R38" s="74">
        <v>1</v>
      </c>
      <c r="S38"/>
      <c r="T38"/>
    </row>
    <row r="39" spans="1:20" ht="15" customHeight="1" x14ac:dyDescent="0.15">
      <c r="A39" s="129"/>
      <c r="B39" s="96"/>
      <c r="C39" s="96"/>
      <c r="D39" s="96"/>
      <c r="E39" s="127"/>
      <c r="F39" s="196" t="s">
        <v>225</v>
      </c>
      <c r="G39" s="84">
        <v>0</v>
      </c>
      <c r="H39" s="84">
        <v>0</v>
      </c>
      <c r="I39" s="84">
        <v>0</v>
      </c>
      <c r="J39" s="84">
        <v>0</v>
      </c>
      <c r="K39" s="84">
        <v>0</v>
      </c>
      <c r="L39" s="84">
        <v>1</v>
      </c>
      <c r="M39" s="84">
        <v>0</v>
      </c>
      <c r="N39" s="84">
        <v>1</v>
      </c>
      <c r="O39" s="84">
        <v>0</v>
      </c>
      <c r="P39" s="73">
        <v>1</v>
      </c>
      <c r="Q39" s="84">
        <v>0</v>
      </c>
      <c r="R39" s="74">
        <v>1</v>
      </c>
      <c r="S39"/>
      <c r="T39"/>
    </row>
    <row r="40" spans="1:20" ht="15" customHeight="1" x14ac:dyDescent="0.15">
      <c r="A40" s="129"/>
      <c r="B40" s="96"/>
      <c r="C40" s="96"/>
      <c r="D40" s="96"/>
      <c r="E40" s="127"/>
      <c r="F40" s="196" t="s">
        <v>226</v>
      </c>
      <c r="G40" s="84">
        <v>0</v>
      </c>
      <c r="H40" s="84">
        <v>0</v>
      </c>
      <c r="I40" s="84">
        <v>0</v>
      </c>
      <c r="J40" s="84">
        <v>0</v>
      </c>
      <c r="K40" s="84">
        <v>0</v>
      </c>
      <c r="L40" s="84">
        <v>1</v>
      </c>
      <c r="M40" s="84">
        <v>0</v>
      </c>
      <c r="N40" s="84">
        <v>1</v>
      </c>
      <c r="O40" s="84">
        <v>0</v>
      </c>
      <c r="P40" s="73">
        <v>1</v>
      </c>
      <c r="Q40" s="84">
        <v>0</v>
      </c>
      <c r="R40" s="74">
        <v>1</v>
      </c>
      <c r="S40"/>
      <c r="T40"/>
    </row>
    <row r="41" spans="1:20" ht="15" customHeight="1" thickBot="1" x14ac:dyDescent="0.2">
      <c r="A41" s="129"/>
      <c r="B41" s="96"/>
      <c r="C41" s="96"/>
      <c r="D41" s="97"/>
      <c r="E41" s="130"/>
      <c r="F41" s="196" t="s">
        <v>227</v>
      </c>
      <c r="G41" s="84">
        <v>0</v>
      </c>
      <c r="H41" s="84">
        <v>0</v>
      </c>
      <c r="I41" s="84">
        <v>0</v>
      </c>
      <c r="J41" s="84">
        <v>0</v>
      </c>
      <c r="K41" s="84">
        <v>0</v>
      </c>
      <c r="L41" s="84">
        <v>1</v>
      </c>
      <c r="M41" s="84">
        <v>0</v>
      </c>
      <c r="N41" s="84">
        <v>1</v>
      </c>
      <c r="O41" s="84">
        <v>0</v>
      </c>
      <c r="P41" s="73">
        <v>1</v>
      </c>
      <c r="Q41" s="84">
        <v>0</v>
      </c>
      <c r="R41" s="74">
        <v>1</v>
      </c>
      <c r="S41"/>
      <c r="T41"/>
    </row>
    <row r="42" spans="1:20" ht="15" customHeight="1" x14ac:dyDescent="0.15">
      <c r="A42" s="131"/>
      <c r="B42" s="132"/>
      <c r="C42" s="132" t="s">
        <v>162</v>
      </c>
      <c r="D42" s="132">
        <f>SUM(D32:D41)</f>
        <v>5317.59214114524</v>
      </c>
      <c r="E42" s="133">
        <f>SUM(E32:E41)</f>
        <v>0.99999999999999989</v>
      </c>
      <c r="F42" s="196" t="s">
        <v>228</v>
      </c>
      <c r="G42" s="84">
        <v>0</v>
      </c>
      <c r="H42" s="84">
        <v>0</v>
      </c>
      <c r="I42" s="84">
        <v>0</v>
      </c>
      <c r="J42" s="84">
        <v>0</v>
      </c>
      <c r="K42" s="84">
        <v>0</v>
      </c>
      <c r="L42" s="84">
        <v>1</v>
      </c>
      <c r="M42" s="84">
        <v>0</v>
      </c>
      <c r="N42" s="84">
        <v>1</v>
      </c>
      <c r="O42" s="84">
        <v>0</v>
      </c>
      <c r="P42" s="73">
        <v>1</v>
      </c>
      <c r="Q42" s="84">
        <v>0</v>
      </c>
      <c r="R42" s="74">
        <v>1</v>
      </c>
      <c r="S42"/>
      <c r="T42"/>
    </row>
    <row r="43" spans="1:20" ht="15" customHeight="1" x14ac:dyDescent="0.15">
      <c r="A43" s="84"/>
      <c r="F43" s="196" t="s">
        <v>229</v>
      </c>
      <c r="G43" s="84">
        <v>0</v>
      </c>
      <c r="H43" s="84">
        <v>0</v>
      </c>
      <c r="I43" s="84">
        <v>0</v>
      </c>
      <c r="J43" s="84">
        <v>0</v>
      </c>
      <c r="K43" s="84">
        <v>0</v>
      </c>
      <c r="L43" s="84">
        <v>1</v>
      </c>
      <c r="M43" s="84">
        <v>0</v>
      </c>
      <c r="N43" s="84">
        <v>1</v>
      </c>
      <c r="O43" s="84">
        <v>0</v>
      </c>
      <c r="P43" s="73">
        <v>1</v>
      </c>
      <c r="Q43" s="84">
        <v>0</v>
      </c>
      <c r="R43" s="74">
        <v>1</v>
      </c>
      <c r="S43"/>
      <c r="T43"/>
    </row>
    <row r="44" spans="1:20" ht="15" customHeight="1" x14ac:dyDescent="0.15">
      <c r="A44" s="84"/>
      <c r="F44" s="196" t="s">
        <v>230</v>
      </c>
      <c r="G44" s="84">
        <v>0</v>
      </c>
      <c r="H44" s="84">
        <v>0</v>
      </c>
      <c r="I44" s="84">
        <v>0</v>
      </c>
      <c r="J44" s="84">
        <v>0</v>
      </c>
      <c r="K44" s="84">
        <v>0.2</v>
      </c>
      <c r="L44" s="84">
        <v>0.8</v>
      </c>
      <c r="M44" s="84">
        <v>0.2</v>
      </c>
      <c r="N44" s="84">
        <v>0.8</v>
      </c>
      <c r="O44" s="84">
        <v>0.2</v>
      </c>
      <c r="P44" s="73">
        <v>0.8</v>
      </c>
      <c r="Q44" s="84">
        <v>0</v>
      </c>
      <c r="R44" s="74">
        <v>1</v>
      </c>
    </row>
    <row r="45" spans="1:20" ht="15" customHeight="1" x14ac:dyDescent="0.15">
      <c r="A45" s="84"/>
      <c r="F45" s="196" t="s">
        <v>231</v>
      </c>
      <c r="G45" s="84">
        <v>0</v>
      </c>
      <c r="H45" s="84">
        <v>0</v>
      </c>
      <c r="I45" s="84">
        <v>0</v>
      </c>
      <c r="J45" s="84">
        <v>0</v>
      </c>
      <c r="K45" s="84">
        <v>0.7</v>
      </c>
      <c r="L45" s="84">
        <v>0.30000000000000004</v>
      </c>
      <c r="M45" s="84">
        <v>0.7</v>
      </c>
      <c r="N45" s="84">
        <v>0.30000000000000004</v>
      </c>
      <c r="O45" s="84">
        <v>0.7</v>
      </c>
      <c r="P45" s="73">
        <v>0.30000000000000004</v>
      </c>
      <c r="Q45" s="84">
        <v>0</v>
      </c>
      <c r="R45" s="74">
        <v>1</v>
      </c>
    </row>
    <row r="46" spans="1:20" ht="15" customHeight="1" x14ac:dyDescent="0.15">
      <c r="A46" s="84"/>
      <c r="F46" s="196" t="s">
        <v>232</v>
      </c>
      <c r="G46" s="84">
        <v>0</v>
      </c>
      <c r="H46" s="84">
        <v>0</v>
      </c>
      <c r="I46" s="84">
        <v>0</v>
      </c>
      <c r="J46" s="84">
        <v>0</v>
      </c>
      <c r="K46" s="84">
        <v>0</v>
      </c>
      <c r="L46" s="84">
        <v>1</v>
      </c>
      <c r="M46" s="84">
        <v>0</v>
      </c>
      <c r="N46" s="84">
        <v>1</v>
      </c>
      <c r="O46" s="84">
        <v>0</v>
      </c>
      <c r="P46" s="73">
        <v>1</v>
      </c>
      <c r="Q46" s="84">
        <v>0</v>
      </c>
      <c r="R46" s="74">
        <v>1</v>
      </c>
    </row>
    <row r="47" spans="1:20" ht="15" customHeight="1" x14ac:dyDescent="0.15">
      <c r="A47" s="84"/>
      <c r="F47" s="196" t="s">
        <v>233</v>
      </c>
      <c r="G47" s="84">
        <v>0</v>
      </c>
      <c r="H47" s="84">
        <v>0</v>
      </c>
      <c r="I47" s="84">
        <v>0</v>
      </c>
      <c r="J47" s="84">
        <v>0</v>
      </c>
      <c r="K47" s="84">
        <v>0</v>
      </c>
      <c r="L47" s="84">
        <v>1</v>
      </c>
      <c r="M47" s="84">
        <v>0</v>
      </c>
      <c r="N47" s="84">
        <v>1</v>
      </c>
      <c r="O47" s="84">
        <v>0</v>
      </c>
      <c r="P47" s="73">
        <v>1</v>
      </c>
      <c r="Q47" s="84">
        <v>0</v>
      </c>
      <c r="R47" s="74">
        <v>1</v>
      </c>
    </row>
    <row r="48" spans="1:20" ht="15" customHeight="1" x14ac:dyDescent="0.15">
      <c r="A48" s="84"/>
      <c r="F48" s="196" t="s">
        <v>234</v>
      </c>
      <c r="G48" s="84">
        <v>0</v>
      </c>
      <c r="H48" s="84">
        <v>0</v>
      </c>
      <c r="I48" s="84">
        <v>0</v>
      </c>
      <c r="J48" s="84">
        <v>0</v>
      </c>
      <c r="K48" s="84">
        <v>0.1</v>
      </c>
      <c r="L48" s="84">
        <v>0.9</v>
      </c>
      <c r="M48" s="84">
        <v>0.1</v>
      </c>
      <c r="N48" s="84">
        <v>0.9</v>
      </c>
      <c r="O48" s="84">
        <v>0.1</v>
      </c>
      <c r="P48" s="73">
        <v>0.9</v>
      </c>
      <c r="Q48" s="84">
        <v>0</v>
      </c>
      <c r="R48" s="74">
        <v>1</v>
      </c>
    </row>
    <row r="49" spans="6:18" s="84" customFormat="1" ht="15" customHeight="1" x14ac:dyDescent="0.15">
      <c r="F49" s="196" t="s">
        <v>235</v>
      </c>
      <c r="G49" s="84">
        <v>0</v>
      </c>
      <c r="H49" s="84">
        <v>0</v>
      </c>
      <c r="I49" s="84">
        <v>0</v>
      </c>
      <c r="J49" s="84">
        <v>0</v>
      </c>
      <c r="K49" s="84">
        <v>0.1</v>
      </c>
      <c r="L49" s="84">
        <v>0.9</v>
      </c>
      <c r="M49" s="84">
        <v>0.1</v>
      </c>
      <c r="N49" s="84">
        <v>0.9</v>
      </c>
      <c r="O49" s="84">
        <v>0.1</v>
      </c>
      <c r="P49" s="73">
        <v>0.9</v>
      </c>
      <c r="Q49" s="84">
        <v>0</v>
      </c>
      <c r="R49" s="74">
        <v>1</v>
      </c>
    </row>
    <row r="50" spans="6:18" s="84" customFormat="1" ht="15" customHeight="1" x14ac:dyDescent="0.15">
      <c r="F50" s="196" t="s">
        <v>236</v>
      </c>
      <c r="G50" s="84">
        <v>0</v>
      </c>
      <c r="H50" s="84">
        <v>0</v>
      </c>
      <c r="I50" s="84">
        <v>0</v>
      </c>
      <c r="J50" s="84">
        <v>0</v>
      </c>
      <c r="K50" s="84">
        <v>0</v>
      </c>
      <c r="L50" s="84">
        <v>1</v>
      </c>
      <c r="M50" s="84">
        <v>0</v>
      </c>
      <c r="N50" s="84">
        <v>1</v>
      </c>
      <c r="O50" s="84">
        <v>0</v>
      </c>
      <c r="P50" s="73">
        <v>1</v>
      </c>
      <c r="Q50" s="84">
        <v>0</v>
      </c>
      <c r="R50" s="74">
        <v>1</v>
      </c>
    </row>
    <row r="51" spans="6:18" s="84" customFormat="1" ht="15" customHeight="1" x14ac:dyDescent="0.15">
      <c r="F51" s="196" t="s">
        <v>237</v>
      </c>
      <c r="G51" s="84">
        <v>0</v>
      </c>
      <c r="H51" s="84">
        <v>0</v>
      </c>
      <c r="I51" s="84">
        <v>0</v>
      </c>
      <c r="J51" s="84">
        <v>0</v>
      </c>
      <c r="K51" s="84">
        <v>0.1</v>
      </c>
      <c r="L51" s="84">
        <v>0.9</v>
      </c>
      <c r="M51" s="84">
        <v>0.1</v>
      </c>
      <c r="N51" s="84">
        <v>0.9</v>
      </c>
      <c r="O51" s="84">
        <v>0.1</v>
      </c>
      <c r="P51" s="73">
        <v>0.9</v>
      </c>
      <c r="Q51" s="84">
        <v>0</v>
      </c>
      <c r="R51" s="74">
        <v>1</v>
      </c>
    </row>
    <row r="52" spans="6:18" s="84" customFormat="1" ht="15" customHeight="1" x14ac:dyDescent="0.15">
      <c r="F52" s="196" t="s">
        <v>238</v>
      </c>
      <c r="G52" s="84">
        <v>0</v>
      </c>
      <c r="H52" s="84">
        <v>0</v>
      </c>
      <c r="I52" s="84">
        <v>0</v>
      </c>
      <c r="J52" s="84">
        <v>0</v>
      </c>
      <c r="K52" s="84">
        <v>0.1</v>
      </c>
      <c r="L52" s="84">
        <v>0.9</v>
      </c>
      <c r="M52" s="84">
        <v>0.1</v>
      </c>
      <c r="N52" s="84">
        <v>0.9</v>
      </c>
      <c r="O52" s="84">
        <v>0.1</v>
      </c>
      <c r="P52" s="73">
        <v>0.9</v>
      </c>
      <c r="Q52" s="84">
        <v>0</v>
      </c>
      <c r="R52" s="74">
        <v>1</v>
      </c>
    </row>
    <row r="53" spans="6:18" s="84" customFormat="1" ht="15" customHeight="1" x14ac:dyDescent="0.15">
      <c r="F53" s="196" t="s">
        <v>239</v>
      </c>
      <c r="G53" s="84">
        <v>0</v>
      </c>
      <c r="H53" s="84">
        <v>0</v>
      </c>
      <c r="I53" s="84">
        <v>0</v>
      </c>
      <c r="J53" s="84">
        <v>0</v>
      </c>
      <c r="K53" s="84">
        <v>0.1</v>
      </c>
      <c r="L53" s="84">
        <v>0.9</v>
      </c>
      <c r="M53" s="84">
        <v>0.1</v>
      </c>
      <c r="N53" s="84">
        <v>0.9</v>
      </c>
      <c r="O53" s="84">
        <v>0.1</v>
      </c>
      <c r="P53" s="73">
        <v>0.9</v>
      </c>
      <c r="Q53" s="84">
        <v>0</v>
      </c>
      <c r="R53" s="74">
        <v>1</v>
      </c>
    </row>
    <row r="54" spans="6:18" s="84" customFormat="1" ht="15" customHeight="1" x14ac:dyDescent="0.15">
      <c r="F54" s="196" t="s">
        <v>240</v>
      </c>
      <c r="G54" s="84">
        <v>0</v>
      </c>
      <c r="H54" s="84">
        <v>0</v>
      </c>
      <c r="I54" s="84">
        <v>0</v>
      </c>
      <c r="J54" s="84">
        <v>0</v>
      </c>
      <c r="K54" s="84">
        <v>0.1</v>
      </c>
      <c r="L54" s="84">
        <v>0.9</v>
      </c>
      <c r="M54" s="84">
        <v>0.1</v>
      </c>
      <c r="N54" s="84">
        <v>0.9</v>
      </c>
      <c r="O54" s="84">
        <v>0.1</v>
      </c>
      <c r="P54" s="73">
        <v>0.9</v>
      </c>
      <c r="Q54" s="84">
        <v>0</v>
      </c>
      <c r="R54" s="74">
        <v>1</v>
      </c>
    </row>
    <row r="55" spans="6:18" s="84" customFormat="1" ht="15" customHeight="1" x14ac:dyDescent="0.15">
      <c r="F55" s="196" t="s">
        <v>241</v>
      </c>
      <c r="G55" s="84">
        <v>0</v>
      </c>
      <c r="H55" s="84">
        <v>0</v>
      </c>
      <c r="I55" s="84">
        <v>0</v>
      </c>
      <c r="J55" s="84">
        <v>0</v>
      </c>
      <c r="K55" s="84">
        <v>0.1</v>
      </c>
      <c r="L55" s="84">
        <v>0.9</v>
      </c>
      <c r="M55" s="84">
        <v>0.1</v>
      </c>
      <c r="N55" s="84">
        <v>0.9</v>
      </c>
      <c r="O55" s="84">
        <v>0.1</v>
      </c>
      <c r="P55" s="73">
        <v>0.9</v>
      </c>
      <c r="Q55" s="84">
        <v>0</v>
      </c>
      <c r="R55" s="74">
        <v>1</v>
      </c>
    </row>
    <row r="56" spans="6:18" s="84" customFormat="1" ht="15" customHeight="1" x14ac:dyDescent="0.15">
      <c r="F56" s="196" t="s">
        <v>242</v>
      </c>
      <c r="G56" s="84">
        <v>0</v>
      </c>
      <c r="H56" s="84">
        <v>0</v>
      </c>
      <c r="I56" s="84">
        <v>0</v>
      </c>
      <c r="J56" s="84">
        <v>0</v>
      </c>
      <c r="K56" s="84">
        <v>0</v>
      </c>
      <c r="L56" s="84">
        <v>1</v>
      </c>
      <c r="M56" s="84">
        <v>0</v>
      </c>
      <c r="N56" s="84">
        <v>1</v>
      </c>
      <c r="O56" s="84">
        <v>0</v>
      </c>
      <c r="P56" s="73">
        <v>1</v>
      </c>
      <c r="Q56" s="84">
        <v>0</v>
      </c>
      <c r="R56" s="74">
        <v>1</v>
      </c>
    </row>
    <row r="57" spans="6:18" s="84" customFormat="1" ht="15" customHeight="1" x14ac:dyDescent="0.15">
      <c r="F57" s="196" t="s">
        <v>243</v>
      </c>
      <c r="G57" s="84">
        <v>0</v>
      </c>
      <c r="H57" s="84">
        <v>0</v>
      </c>
      <c r="I57" s="84">
        <v>0</v>
      </c>
      <c r="J57" s="84">
        <v>0</v>
      </c>
      <c r="K57" s="84">
        <v>0</v>
      </c>
      <c r="L57" s="84">
        <v>1</v>
      </c>
      <c r="M57" s="84">
        <v>0</v>
      </c>
      <c r="N57" s="84">
        <v>1</v>
      </c>
      <c r="O57" s="84">
        <v>0</v>
      </c>
      <c r="P57" s="73">
        <v>1</v>
      </c>
      <c r="Q57" s="84">
        <v>0</v>
      </c>
      <c r="R57" s="74">
        <v>1</v>
      </c>
    </row>
    <row r="58" spans="6:18" s="84" customFormat="1" ht="15" customHeight="1" x14ac:dyDescent="0.15">
      <c r="F58" s="196" t="s">
        <v>244</v>
      </c>
      <c r="G58" s="84">
        <v>0</v>
      </c>
      <c r="H58" s="84">
        <v>0</v>
      </c>
      <c r="I58" s="84">
        <v>0</v>
      </c>
      <c r="J58" s="84">
        <v>0</v>
      </c>
      <c r="K58" s="84">
        <v>0</v>
      </c>
      <c r="L58" s="84">
        <v>1</v>
      </c>
      <c r="M58" s="84">
        <v>0</v>
      </c>
      <c r="N58" s="84">
        <v>1</v>
      </c>
      <c r="O58" s="84">
        <v>0</v>
      </c>
      <c r="P58" s="73">
        <v>1</v>
      </c>
      <c r="Q58" s="84">
        <v>0</v>
      </c>
      <c r="R58" s="74">
        <v>1</v>
      </c>
    </row>
    <row r="59" spans="6:18" s="84" customFormat="1" ht="15" customHeight="1" x14ac:dyDescent="0.15">
      <c r="F59" s="196" t="s">
        <v>245</v>
      </c>
      <c r="G59" s="84">
        <v>0</v>
      </c>
      <c r="H59" s="84">
        <v>0</v>
      </c>
      <c r="I59" s="84">
        <v>0</v>
      </c>
      <c r="J59" s="84">
        <v>0</v>
      </c>
      <c r="K59" s="84">
        <v>0</v>
      </c>
      <c r="L59" s="84">
        <v>1</v>
      </c>
      <c r="M59" s="84">
        <v>0</v>
      </c>
      <c r="N59" s="84">
        <v>1</v>
      </c>
      <c r="O59" s="84">
        <v>0</v>
      </c>
      <c r="P59" s="73">
        <v>1</v>
      </c>
      <c r="Q59" s="84">
        <v>0</v>
      </c>
      <c r="R59" s="74">
        <v>1</v>
      </c>
    </row>
    <row r="60" spans="6:18" s="84" customFormat="1" ht="15" customHeight="1" x14ac:dyDescent="0.15">
      <c r="F60" s="196" t="s">
        <v>246</v>
      </c>
      <c r="G60" s="84">
        <v>0</v>
      </c>
      <c r="H60" s="84">
        <v>0</v>
      </c>
      <c r="I60" s="84">
        <v>0</v>
      </c>
      <c r="J60" s="84">
        <v>0</v>
      </c>
      <c r="K60" s="84">
        <v>0</v>
      </c>
      <c r="L60" s="84">
        <v>1</v>
      </c>
      <c r="M60" s="84">
        <v>0</v>
      </c>
      <c r="N60" s="84">
        <v>1</v>
      </c>
      <c r="O60" s="84">
        <v>0</v>
      </c>
      <c r="P60" s="73">
        <v>1</v>
      </c>
      <c r="Q60" s="84">
        <v>0</v>
      </c>
      <c r="R60" s="74">
        <v>1</v>
      </c>
    </row>
    <row r="61" spans="6:18" s="84" customFormat="1" ht="15" customHeight="1" x14ac:dyDescent="0.15">
      <c r="F61" s="196" t="s">
        <v>247</v>
      </c>
      <c r="G61" s="84">
        <v>0</v>
      </c>
      <c r="H61" s="84">
        <v>0</v>
      </c>
      <c r="I61" s="84">
        <v>0</v>
      </c>
      <c r="J61" s="84">
        <v>0</v>
      </c>
      <c r="K61" s="84">
        <v>0.1</v>
      </c>
      <c r="L61" s="84">
        <v>0.9</v>
      </c>
      <c r="M61" s="84">
        <v>0.1</v>
      </c>
      <c r="N61" s="84">
        <v>0.9</v>
      </c>
      <c r="O61" s="84">
        <v>0.1</v>
      </c>
      <c r="P61" s="73">
        <v>0.9</v>
      </c>
      <c r="Q61" s="84">
        <v>0</v>
      </c>
      <c r="R61" s="74">
        <v>1</v>
      </c>
    </row>
    <row r="62" spans="6:18" s="84" customFormat="1" ht="15" customHeight="1" x14ac:dyDescent="0.15">
      <c r="F62" s="196" t="s">
        <v>248</v>
      </c>
      <c r="G62" s="84">
        <v>0</v>
      </c>
      <c r="H62" s="84">
        <v>0</v>
      </c>
      <c r="I62" s="84">
        <v>0</v>
      </c>
      <c r="J62" s="84">
        <v>0</v>
      </c>
      <c r="K62" s="84">
        <v>0</v>
      </c>
      <c r="L62" s="84">
        <v>1</v>
      </c>
      <c r="M62" s="84">
        <v>0</v>
      </c>
      <c r="N62" s="84">
        <v>1</v>
      </c>
      <c r="O62" s="84">
        <v>0</v>
      </c>
      <c r="P62" s="73">
        <v>1</v>
      </c>
      <c r="Q62" s="84">
        <v>0</v>
      </c>
      <c r="R62" s="74">
        <v>1</v>
      </c>
    </row>
    <row r="63" spans="6:18" s="84" customFormat="1" ht="15" customHeight="1" x14ac:dyDescent="0.15">
      <c r="F63" s="196" t="s">
        <v>249</v>
      </c>
      <c r="G63" s="84">
        <v>0</v>
      </c>
      <c r="H63" s="84">
        <v>0</v>
      </c>
      <c r="I63" s="84">
        <v>0</v>
      </c>
      <c r="J63" s="84">
        <v>0</v>
      </c>
      <c r="K63" s="84">
        <v>0</v>
      </c>
      <c r="L63" s="84">
        <v>1</v>
      </c>
      <c r="M63" s="84">
        <v>0</v>
      </c>
      <c r="N63" s="84">
        <v>1</v>
      </c>
      <c r="O63" s="84">
        <v>0</v>
      </c>
      <c r="P63" s="73">
        <v>1</v>
      </c>
      <c r="Q63" s="84">
        <v>0</v>
      </c>
      <c r="R63" s="74">
        <v>1</v>
      </c>
    </row>
    <row r="64" spans="6:18" s="84" customFormat="1" ht="15" customHeight="1" x14ac:dyDescent="0.15">
      <c r="F64" s="196" t="s">
        <v>250</v>
      </c>
      <c r="G64" s="84">
        <v>0</v>
      </c>
      <c r="H64" s="84">
        <v>0</v>
      </c>
      <c r="I64" s="84">
        <v>0</v>
      </c>
      <c r="J64" s="84">
        <v>0</v>
      </c>
      <c r="K64" s="84">
        <v>0</v>
      </c>
      <c r="L64" s="84">
        <v>1</v>
      </c>
      <c r="M64" s="84">
        <v>0</v>
      </c>
      <c r="N64" s="84">
        <v>1</v>
      </c>
      <c r="O64" s="84">
        <v>0</v>
      </c>
      <c r="P64" s="73">
        <v>1</v>
      </c>
      <c r="Q64" s="84">
        <v>0</v>
      </c>
      <c r="R64" s="74">
        <v>1</v>
      </c>
    </row>
    <row r="65" spans="1:18" ht="15" customHeight="1" x14ac:dyDescent="0.15">
      <c r="F65" s="196" t="s">
        <v>251</v>
      </c>
      <c r="G65" s="84">
        <v>0</v>
      </c>
      <c r="H65" s="84">
        <v>0</v>
      </c>
      <c r="I65" s="84">
        <v>0</v>
      </c>
      <c r="J65" s="84">
        <v>0</v>
      </c>
      <c r="K65" s="84">
        <v>0</v>
      </c>
      <c r="L65" s="84">
        <v>1</v>
      </c>
      <c r="M65" s="84">
        <v>0</v>
      </c>
      <c r="N65" s="84">
        <v>1</v>
      </c>
      <c r="O65" s="84">
        <v>0</v>
      </c>
      <c r="P65" s="73">
        <v>1</v>
      </c>
      <c r="Q65" s="84">
        <v>0</v>
      </c>
      <c r="R65" s="74">
        <v>1</v>
      </c>
    </row>
    <row r="66" spans="1:18" ht="15" customHeight="1" x14ac:dyDescent="0.15">
      <c r="F66" s="196" t="s">
        <v>252</v>
      </c>
      <c r="G66" s="84">
        <v>0</v>
      </c>
      <c r="H66" s="84">
        <v>0</v>
      </c>
      <c r="I66" s="84">
        <v>0</v>
      </c>
      <c r="J66" s="84">
        <v>0</v>
      </c>
      <c r="K66" s="84">
        <v>0</v>
      </c>
      <c r="L66" s="84">
        <v>1</v>
      </c>
      <c r="M66" s="84">
        <v>0</v>
      </c>
      <c r="N66" s="84">
        <v>1</v>
      </c>
      <c r="O66" s="84">
        <v>0</v>
      </c>
      <c r="P66" s="73">
        <v>1</v>
      </c>
      <c r="Q66" s="84">
        <v>0</v>
      </c>
      <c r="R66" s="74">
        <v>1</v>
      </c>
    </row>
    <row r="67" spans="1:18" ht="15" customHeight="1" x14ac:dyDescent="0.15">
      <c r="F67" s="196" t="s">
        <v>253</v>
      </c>
      <c r="G67" s="84">
        <v>0</v>
      </c>
      <c r="H67" s="84">
        <v>0</v>
      </c>
      <c r="I67" s="84">
        <v>0</v>
      </c>
      <c r="J67" s="84">
        <v>0</v>
      </c>
      <c r="K67" s="84">
        <v>0</v>
      </c>
      <c r="L67" s="84">
        <v>1</v>
      </c>
      <c r="M67" s="84">
        <v>0</v>
      </c>
      <c r="N67" s="84">
        <v>1</v>
      </c>
      <c r="O67" s="84">
        <v>0</v>
      </c>
      <c r="P67" s="73">
        <v>1</v>
      </c>
      <c r="Q67" s="84">
        <v>0</v>
      </c>
      <c r="R67" s="74">
        <v>1</v>
      </c>
    </row>
    <row r="68" spans="1:18" ht="15" customHeight="1" x14ac:dyDescent="0.15">
      <c r="F68" s="196" t="s">
        <v>254</v>
      </c>
      <c r="G68" s="84">
        <v>0</v>
      </c>
      <c r="H68" s="84">
        <v>0</v>
      </c>
      <c r="I68" s="84">
        <v>0</v>
      </c>
      <c r="J68" s="84">
        <v>0</v>
      </c>
      <c r="K68" s="84">
        <v>0.1</v>
      </c>
      <c r="L68" s="84">
        <v>0.9</v>
      </c>
      <c r="M68" s="84">
        <v>0.1</v>
      </c>
      <c r="N68" s="84">
        <v>0.9</v>
      </c>
      <c r="O68" s="84">
        <v>0.1</v>
      </c>
      <c r="P68" s="73">
        <v>0.9</v>
      </c>
      <c r="Q68" s="84">
        <v>0</v>
      </c>
      <c r="R68" s="74">
        <v>1</v>
      </c>
    </row>
    <row r="69" spans="1:18" ht="15" customHeight="1" x14ac:dyDescent="0.15">
      <c r="F69" s="196" t="s">
        <v>255</v>
      </c>
      <c r="G69" s="84">
        <v>0</v>
      </c>
      <c r="H69" s="84">
        <v>0</v>
      </c>
      <c r="I69" s="84">
        <v>0</v>
      </c>
      <c r="J69" s="84">
        <v>0</v>
      </c>
      <c r="K69" s="84">
        <v>0.2</v>
      </c>
      <c r="L69" s="84">
        <v>0.8</v>
      </c>
      <c r="M69" s="84">
        <v>0.2</v>
      </c>
      <c r="N69" s="84">
        <v>0.8</v>
      </c>
      <c r="O69" s="84">
        <v>0.2</v>
      </c>
      <c r="P69" s="73">
        <v>0.8</v>
      </c>
      <c r="Q69" s="84">
        <v>0</v>
      </c>
      <c r="R69" s="74">
        <v>1</v>
      </c>
    </row>
    <row r="70" spans="1:18" ht="15" customHeight="1" x14ac:dyDescent="0.15">
      <c r="F70" s="196" t="s">
        <v>256</v>
      </c>
      <c r="G70" s="84">
        <v>0</v>
      </c>
      <c r="H70" s="84">
        <v>0</v>
      </c>
      <c r="I70" s="84">
        <v>0</v>
      </c>
      <c r="J70" s="84">
        <v>0</v>
      </c>
      <c r="K70" s="84">
        <v>0</v>
      </c>
      <c r="L70" s="84">
        <v>1</v>
      </c>
      <c r="M70" s="84">
        <v>0</v>
      </c>
      <c r="N70" s="84">
        <v>1</v>
      </c>
      <c r="O70" s="84">
        <v>0</v>
      </c>
      <c r="P70" s="73">
        <v>1</v>
      </c>
      <c r="Q70" s="84">
        <v>0</v>
      </c>
      <c r="R70" s="74">
        <v>1</v>
      </c>
    </row>
    <row r="71" spans="1:18" ht="15" customHeight="1" x14ac:dyDescent="0.15">
      <c r="F71" s="196" t="s">
        <v>257</v>
      </c>
      <c r="G71" s="84">
        <v>0</v>
      </c>
      <c r="H71" s="84">
        <v>0</v>
      </c>
      <c r="I71" s="84">
        <v>0</v>
      </c>
      <c r="J71" s="84">
        <v>0</v>
      </c>
      <c r="K71" s="84">
        <v>0</v>
      </c>
      <c r="L71" s="84">
        <v>1</v>
      </c>
      <c r="M71" s="84">
        <v>0</v>
      </c>
      <c r="N71" s="84">
        <v>1</v>
      </c>
      <c r="O71" s="84">
        <v>0</v>
      </c>
      <c r="P71" s="73">
        <v>1</v>
      </c>
      <c r="Q71" s="84">
        <v>0</v>
      </c>
      <c r="R71" s="74">
        <v>1</v>
      </c>
    </row>
    <row r="72" spans="1:18" ht="15" customHeight="1" x14ac:dyDescent="0.15">
      <c r="F72" s="196" t="s">
        <v>258</v>
      </c>
      <c r="G72" s="84">
        <v>0</v>
      </c>
      <c r="H72" s="84">
        <v>0</v>
      </c>
      <c r="I72" s="84">
        <v>0</v>
      </c>
      <c r="J72" s="84">
        <v>0</v>
      </c>
      <c r="K72" s="84">
        <v>0</v>
      </c>
      <c r="L72" s="84">
        <v>1</v>
      </c>
      <c r="M72" s="84">
        <v>0</v>
      </c>
      <c r="N72" s="84">
        <v>1</v>
      </c>
      <c r="O72" s="84">
        <v>0</v>
      </c>
      <c r="P72" s="73">
        <v>1</v>
      </c>
      <c r="Q72" s="84">
        <v>0</v>
      </c>
      <c r="R72" s="74">
        <v>1</v>
      </c>
    </row>
    <row r="73" spans="1:18" ht="15" customHeight="1" x14ac:dyDescent="0.15">
      <c r="F73" s="196" t="s">
        <v>259</v>
      </c>
      <c r="G73" s="84">
        <v>0</v>
      </c>
      <c r="H73" s="84">
        <v>0</v>
      </c>
      <c r="I73" s="84">
        <v>0</v>
      </c>
      <c r="J73" s="84">
        <v>0</v>
      </c>
      <c r="K73" s="84">
        <v>0</v>
      </c>
      <c r="L73" s="84">
        <v>1</v>
      </c>
      <c r="M73" s="84">
        <v>0</v>
      </c>
      <c r="N73" s="84">
        <v>1</v>
      </c>
      <c r="O73" s="84">
        <v>0</v>
      </c>
      <c r="P73" s="73">
        <v>1</v>
      </c>
      <c r="Q73" s="84">
        <v>0</v>
      </c>
      <c r="R73" s="74">
        <v>1</v>
      </c>
    </row>
    <row r="74" spans="1:18" ht="15" customHeight="1" x14ac:dyDescent="0.15">
      <c r="F74" s="196" t="s">
        <v>260</v>
      </c>
      <c r="G74" s="84">
        <v>0</v>
      </c>
      <c r="H74" s="84">
        <v>0</v>
      </c>
      <c r="I74" s="84">
        <v>0</v>
      </c>
      <c r="J74" s="84">
        <v>0</v>
      </c>
      <c r="K74" s="84">
        <v>0.7</v>
      </c>
      <c r="L74" s="84">
        <v>0.30000000000000004</v>
      </c>
      <c r="M74" s="84">
        <v>0.7</v>
      </c>
      <c r="N74" s="84">
        <v>0.30000000000000004</v>
      </c>
      <c r="O74" s="84">
        <v>0.7</v>
      </c>
      <c r="P74" s="73">
        <v>0.30000000000000004</v>
      </c>
      <c r="Q74" s="84">
        <v>0</v>
      </c>
      <c r="R74" s="74">
        <v>1</v>
      </c>
    </row>
    <row r="75" spans="1:18" ht="15" customHeight="1" x14ac:dyDescent="0.15">
      <c r="F75" s="196" t="s">
        <v>261</v>
      </c>
      <c r="G75" s="84">
        <v>0</v>
      </c>
      <c r="H75" s="84">
        <v>0</v>
      </c>
      <c r="I75" s="84">
        <v>0</v>
      </c>
      <c r="J75" s="84">
        <v>0</v>
      </c>
      <c r="K75" s="84">
        <v>0.8</v>
      </c>
      <c r="L75" s="84">
        <v>0.19999999999999996</v>
      </c>
      <c r="M75" s="84">
        <v>0.8</v>
      </c>
      <c r="N75" s="84">
        <v>0.19999999999999996</v>
      </c>
      <c r="O75" s="84">
        <v>0.8</v>
      </c>
      <c r="P75" s="73">
        <v>0.19999999999999996</v>
      </c>
      <c r="Q75" s="84">
        <v>0</v>
      </c>
      <c r="R75" s="74">
        <v>1</v>
      </c>
    </row>
    <row r="76" spans="1:18" ht="15" customHeight="1" x14ac:dyDescent="0.15">
      <c r="A76" s="84"/>
      <c r="F76" s="196" t="s">
        <v>262</v>
      </c>
      <c r="G76" s="84">
        <v>0</v>
      </c>
      <c r="H76" s="84">
        <v>0</v>
      </c>
      <c r="I76" s="84">
        <v>0</v>
      </c>
      <c r="J76" s="84">
        <v>0</v>
      </c>
      <c r="K76" s="84">
        <v>0.3</v>
      </c>
      <c r="L76" s="84">
        <v>0.7</v>
      </c>
      <c r="M76" s="84">
        <v>0.3</v>
      </c>
      <c r="N76" s="84">
        <v>0.7</v>
      </c>
      <c r="O76" s="84">
        <v>0.3</v>
      </c>
      <c r="P76" s="73">
        <v>0.7</v>
      </c>
      <c r="Q76" s="84">
        <v>0</v>
      </c>
      <c r="R76" s="74">
        <v>1</v>
      </c>
    </row>
    <row r="77" spans="1:18" ht="15" customHeight="1" x14ac:dyDescent="0.15">
      <c r="A77" s="84"/>
      <c r="F77" s="196" t="s">
        <v>263</v>
      </c>
      <c r="G77" s="84">
        <v>0</v>
      </c>
      <c r="H77" s="84">
        <v>0</v>
      </c>
      <c r="I77" s="84">
        <v>0</v>
      </c>
      <c r="J77" s="84">
        <v>0</v>
      </c>
      <c r="K77" s="84">
        <v>0.8</v>
      </c>
      <c r="L77" s="84">
        <v>0.19999999999999996</v>
      </c>
      <c r="M77" s="84">
        <v>0.8</v>
      </c>
      <c r="N77" s="84">
        <v>0.19999999999999996</v>
      </c>
      <c r="O77" s="84">
        <v>0.8</v>
      </c>
      <c r="P77" s="73">
        <v>0.19999999999999996</v>
      </c>
      <c r="Q77" s="84">
        <v>0</v>
      </c>
      <c r="R77" s="74">
        <v>1</v>
      </c>
    </row>
    <row r="78" spans="1:18" ht="15" customHeight="1" x14ac:dyDescent="0.15">
      <c r="A78" s="84"/>
      <c r="F78" s="196" t="s">
        <v>264</v>
      </c>
      <c r="G78" s="84">
        <v>0</v>
      </c>
      <c r="H78" s="84">
        <v>0</v>
      </c>
      <c r="I78" s="84">
        <v>0</v>
      </c>
      <c r="J78" s="84">
        <v>0</v>
      </c>
      <c r="K78" s="84">
        <v>0</v>
      </c>
      <c r="L78" s="84">
        <v>1</v>
      </c>
      <c r="M78" s="84">
        <v>0</v>
      </c>
      <c r="N78" s="84">
        <v>1</v>
      </c>
      <c r="O78" s="84">
        <v>0</v>
      </c>
      <c r="P78" s="73">
        <v>1</v>
      </c>
      <c r="Q78" s="84">
        <v>0</v>
      </c>
      <c r="R78" s="74">
        <v>1</v>
      </c>
    </row>
    <row r="79" spans="1:18" ht="15" customHeight="1" x14ac:dyDescent="0.15">
      <c r="A79" s="84"/>
      <c r="F79" s="196" t="s">
        <v>265</v>
      </c>
      <c r="G79" s="84">
        <v>0</v>
      </c>
      <c r="H79" s="84">
        <v>0</v>
      </c>
      <c r="I79" s="84">
        <v>0</v>
      </c>
      <c r="J79" s="84">
        <v>0</v>
      </c>
      <c r="K79" s="84">
        <v>0.8</v>
      </c>
      <c r="L79" s="84">
        <v>0.19999999999999996</v>
      </c>
      <c r="M79" s="84">
        <v>0.8</v>
      </c>
      <c r="N79" s="84">
        <v>0.19999999999999996</v>
      </c>
      <c r="O79" s="84">
        <v>0.8</v>
      </c>
      <c r="P79" s="73">
        <v>0.19999999999999996</v>
      </c>
      <c r="Q79" s="84">
        <v>0</v>
      </c>
      <c r="R79" s="74">
        <v>1</v>
      </c>
    </row>
    <row r="80" spans="1:18" ht="15" customHeight="1" x14ac:dyDescent="0.15">
      <c r="A80" s="84"/>
      <c r="F80" s="196" t="s">
        <v>266</v>
      </c>
      <c r="G80" s="84">
        <v>0</v>
      </c>
      <c r="H80" s="84">
        <v>0</v>
      </c>
      <c r="I80" s="84">
        <v>0</v>
      </c>
      <c r="J80" s="84">
        <v>0</v>
      </c>
      <c r="K80" s="84">
        <v>0</v>
      </c>
      <c r="L80" s="84">
        <v>0</v>
      </c>
      <c r="M80" s="84">
        <v>0.8</v>
      </c>
      <c r="N80" s="84">
        <v>0.19999999999999996</v>
      </c>
      <c r="O80" s="84">
        <v>0</v>
      </c>
      <c r="P80" s="73">
        <v>0</v>
      </c>
      <c r="Q80" s="84">
        <v>0</v>
      </c>
      <c r="R80" s="74">
        <v>1</v>
      </c>
    </row>
    <row r="81" spans="1:18" ht="15" customHeight="1" x14ac:dyDescent="0.15">
      <c r="A81" s="84"/>
      <c r="F81" s="196" t="s">
        <v>267</v>
      </c>
      <c r="G81" s="84">
        <v>0</v>
      </c>
      <c r="H81" s="84">
        <v>0</v>
      </c>
      <c r="I81" s="84">
        <v>0</v>
      </c>
      <c r="J81" s="84">
        <v>0</v>
      </c>
      <c r="K81" s="84">
        <v>0</v>
      </c>
      <c r="L81" s="84">
        <v>0</v>
      </c>
      <c r="M81" s="84">
        <v>0</v>
      </c>
      <c r="N81" s="84">
        <v>1</v>
      </c>
      <c r="O81" s="84">
        <v>0</v>
      </c>
      <c r="P81" s="73">
        <v>0</v>
      </c>
      <c r="Q81" s="84">
        <v>0</v>
      </c>
      <c r="R81" s="74">
        <v>1</v>
      </c>
    </row>
    <row r="82" spans="1:18" ht="15" customHeight="1" x14ac:dyDescent="0.15">
      <c r="A82" s="84"/>
      <c r="F82" s="196" t="s">
        <v>268</v>
      </c>
      <c r="G82" s="84">
        <v>0</v>
      </c>
      <c r="H82" s="84">
        <v>0</v>
      </c>
      <c r="I82" s="84">
        <v>0</v>
      </c>
      <c r="J82" s="84">
        <v>0</v>
      </c>
      <c r="K82" s="84">
        <v>0</v>
      </c>
      <c r="L82" s="84">
        <v>0</v>
      </c>
      <c r="M82" s="84">
        <v>0</v>
      </c>
      <c r="N82" s="84">
        <v>1</v>
      </c>
      <c r="O82" s="84">
        <v>0</v>
      </c>
      <c r="P82" s="73">
        <v>0</v>
      </c>
      <c r="Q82" s="84">
        <v>0</v>
      </c>
      <c r="R82" s="74">
        <v>1</v>
      </c>
    </row>
    <row r="83" spans="1:18" ht="15" customHeight="1" x14ac:dyDescent="0.15">
      <c r="A83" s="84"/>
      <c r="F83" s="196" t="s">
        <v>269</v>
      </c>
      <c r="G83" s="84">
        <v>0</v>
      </c>
      <c r="H83" s="84">
        <v>0</v>
      </c>
      <c r="I83" s="84">
        <v>0</v>
      </c>
      <c r="J83" s="84">
        <v>0</v>
      </c>
      <c r="K83" s="84">
        <v>0</v>
      </c>
      <c r="L83" s="84">
        <v>0</v>
      </c>
      <c r="M83" s="84">
        <v>0</v>
      </c>
      <c r="N83" s="84">
        <v>1</v>
      </c>
      <c r="O83" s="84">
        <v>0</v>
      </c>
      <c r="P83" s="73">
        <v>0</v>
      </c>
      <c r="Q83" s="84">
        <v>0</v>
      </c>
      <c r="R83" s="74">
        <v>1</v>
      </c>
    </row>
    <row r="84" spans="1:18" ht="15" customHeight="1" x14ac:dyDescent="0.15">
      <c r="A84" s="84"/>
      <c r="F84" s="196" t="s">
        <v>270</v>
      </c>
      <c r="G84" s="84">
        <v>0</v>
      </c>
      <c r="H84" s="84">
        <v>0</v>
      </c>
      <c r="I84" s="84">
        <v>0</v>
      </c>
      <c r="J84" s="84">
        <v>0</v>
      </c>
      <c r="K84" s="84">
        <v>0</v>
      </c>
      <c r="L84" s="84">
        <v>0</v>
      </c>
      <c r="M84" s="84">
        <v>0</v>
      </c>
      <c r="N84" s="84">
        <v>1</v>
      </c>
      <c r="O84" s="84">
        <v>0</v>
      </c>
      <c r="P84" s="73">
        <v>0</v>
      </c>
      <c r="Q84" s="84">
        <v>0</v>
      </c>
      <c r="R84" s="74">
        <v>1</v>
      </c>
    </row>
    <row r="85" spans="1:18" ht="15" customHeight="1" x14ac:dyDescent="0.15">
      <c r="A85" s="84"/>
      <c r="F85" s="196" t="s">
        <v>271</v>
      </c>
      <c r="G85" s="84">
        <v>0</v>
      </c>
      <c r="H85" s="84">
        <v>0</v>
      </c>
      <c r="I85" s="84">
        <v>0</v>
      </c>
      <c r="J85" s="84">
        <v>0</v>
      </c>
      <c r="K85" s="84">
        <v>0</v>
      </c>
      <c r="L85" s="84">
        <v>1</v>
      </c>
      <c r="M85" s="84">
        <v>0</v>
      </c>
      <c r="N85" s="84">
        <v>1</v>
      </c>
      <c r="O85" s="84">
        <v>0</v>
      </c>
      <c r="P85" s="73">
        <v>1</v>
      </c>
      <c r="Q85" s="84">
        <v>0</v>
      </c>
      <c r="R85" s="74">
        <v>1</v>
      </c>
    </row>
    <row r="86" spans="1:18" ht="15" customHeight="1" x14ac:dyDescent="0.15">
      <c r="A86" s="84"/>
      <c r="F86" s="196" t="s">
        <v>272</v>
      </c>
      <c r="G86" s="84">
        <v>0</v>
      </c>
      <c r="H86" s="84">
        <v>0</v>
      </c>
      <c r="I86" s="84">
        <v>0</v>
      </c>
      <c r="J86" s="84">
        <v>0</v>
      </c>
      <c r="K86" s="84">
        <v>0</v>
      </c>
      <c r="L86" s="84">
        <v>1</v>
      </c>
      <c r="M86" s="84">
        <v>0</v>
      </c>
      <c r="N86" s="84">
        <v>1</v>
      </c>
      <c r="O86" s="84">
        <v>0</v>
      </c>
      <c r="P86" s="73">
        <v>1</v>
      </c>
      <c r="Q86" s="84">
        <v>0</v>
      </c>
      <c r="R86" s="74">
        <v>1</v>
      </c>
    </row>
    <row r="87" spans="1:18" ht="15" customHeight="1" x14ac:dyDescent="0.15">
      <c r="A87" s="84"/>
      <c r="F87" s="196" t="s">
        <v>273</v>
      </c>
      <c r="G87" s="84">
        <v>0</v>
      </c>
      <c r="H87" s="84">
        <v>0</v>
      </c>
      <c r="I87" s="84">
        <v>0</v>
      </c>
      <c r="J87" s="84">
        <v>0</v>
      </c>
      <c r="K87" s="84">
        <v>0</v>
      </c>
      <c r="L87" s="84">
        <v>1</v>
      </c>
      <c r="M87" s="84">
        <v>0</v>
      </c>
      <c r="N87" s="84">
        <v>1</v>
      </c>
      <c r="O87" s="84">
        <v>0</v>
      </c>
      <c r="P87" s="73">
        <v>1</v>
      </c>
      <c r="Q87" s="84">
        <v>0</v>
      </c>
      <c r="R87" s="74">
        <v>1</v>
      </c>
    </row>
    <row r="88" spans="1:18" ht="15" customHeight="1" x14ac:dyDescent="0.15">
      <c r="A88" s="84"/>
      <c r="F88" s="196" t="s">
        <v>274</v>
      </c>
      <c r="G88" s="84">
        <v>0</v>
      </c>
      <c r="H88" s="84">
        <v>0</v>
      </c>
      <c r="I88" s="84">
        <v>0</v>
      </c>
      <c r="J88" s="84">
        <v>0</v>
      </c>
      <c r="K88" s="84">
        <v>0</v>
      </c>
      <c r="L88" s="84">
        <v>1</v>
      </c>
      <c r="M88" s="84">
        <v>0</v>
      </c>
      <c r="N88" s="84">
        <v>1</v>
      </c>
      <c r="O88" s="84">
        <v>0</v>
      </c>
      <c r="P88" s="73">
        <v>1</v>
      </c>
      <c r="Q88" s="84">
        <v>0</v>
      </c>
      <c r="R88" s="74">
        <v>1</v>
      </c>
    </row>
    <row r="89" spans="1:18" ht="15" customHeight="1" x14ac:dyDescent="0.15">
      <c r="A89" s="84"/>
      <c r="F89" s="196" t="s">
        <v>275</v>
      </c>
      <c r="G89" s="84">
        <v>0</v>
      </c>
      <c r="H89" s="84">
        <v>0</v>
      </c>
      <c r="I89" s="84">
        <v>0</v>
      </c>
      <c r="J89" s="84">
        <v>0</v>
      </c>
      <c r="K89" s="84">
        <v>0</v>
      </c>
      <c r="L89" s="84">
        <v>1</v>
      </c>
      <c r="M89" s="84">
        <v>0</v>
      </c>
      <c r="N89" s="84">
        <v>1</v>
      </c>
      <c r="O89" s="84">
        <v>0</v>
      </c>
      <c r="P89" s="73">
        <v>1</v>
      </c>
      <c r="Q89" s="84">
        <v>0</v>
      </c>
      <c r="R89" s="74">
        <v>1</v>
      </c>
    </row>
    <row r="90" spans="1:18" ht="15" customHeight="1" x14ac:dyDescent="0.15">
      <c r="A90" s="84"/>
      <c r="F90" s="196" t="s">
        <v>276</v>
      </c>
      <c r="G90" s="84">
        <v>0</v>
      </c>
      <c r="H90" s="84">
        <v>0</v>
      </c>
      <c r="I90" s="84">
        <v>0</v>
      </c>
      <c r="J90" s="84">
        <v>0</v>
      </c>
      <c r="K90" s="84">
        <v>0</v>
      </c>
      <c r="L90" s="84">
        <v>1</v>
      </c>
      <c r="M90" s="84">
        <v>0</v>
      </c>
      <c r="N90" s="84">
        <v>0</v>
      </c>
      <c r="O90" s="84">
        <v>0</v>
      </c>
      <c r="P90" s="73">
        <v>0</v>
      </c>
      <c r="Q90" s="84">
        <v>0</v>
      </c>
      <c r="R90" s="74">
        <v>1</v>
      </c>
    </row>
    <row r="91" spans="1:18" ht="15" customHeight="1" x14ac:dyDescent="0.15">
      <c r="A91" s="84"/>
      <c r="F91" s="196" t="s">
        <v>277</v>
      </c>
      <c r="G91" s="84">
        <v>0</v>
      </c>
      <c r="H91" s="84">
        <v>0</v>
      </c>
      <c r="I91" s="84">
        <v>0</v>
      </c>
      <c r="J91" s="84">
        <v>0</v>
      </c>
      <c r="K91" s="84">
        <v>0</v>
      </c>
      <c r="L91" s="84">
        <v>1</v>
      </c>
      <c r="M91" s="84">
        <v>0</v>
      </c>
      <c r="N91" s="84">
        <v>0</v>
      </c>
      <c r="O91" s="84">
        <v>0</v>
      </c>
      <c r="P91" s="73">
        <v>0</v>
      </c>
      <c r="Q91" s="84">
        <v>0</v>
      </c>
      <c r="R91" s="74">
        <v>1</v>
      </c>
    </row>
    <row r="92" spans="1:18" ht="15" customHeight="1" x14ac:dyDescent="0.15">
      <c r="A92" s="84"/>
      <c r="F92" s="196" t="s">
        <v>278</v>
      </c>
      <c r="G92" s="84">
        <v>0</v>
      </c>
      <c r="H92" s="84">
        <v>0</v>
      </c>
      <c r="I92" s="84">
        <v>0</v>
      </c>
      <c r="J92" s="84">
        <v>0</v>
      </c>
      <c r="K92" s="84">
        <v>0</v>
      </c>
      <c r="L92" s="84">
        <v>1</v>
      </c>
      <c r="M92" s="84">
        <v>0</v>
      </c>
      <c r="N92" s="84">
        <v>0</v>
      </c>
      <c r="O92" s="84">
        <v>0</v>
      </c>
      <c r="P92" s="73">
        <v>0</v>
      </c>
      <c r="Q92" s="84">
        <v>0</v>
      </c>
      <c r="R92" s="74">
        <v>1</v>
      </c>
    </row>
    <row r="93" spans="1:18" ht="15" customHeight="1" x14ac:dyDescent="0.15">
      <c r="A93" s="84"/>
      <c r="F93" s="196" t="s">
        <v>279</v>
      </c>
      <c r="G93" s="84">
        <v>0</v>
      </c>
      <c r="H93" s="84">
        <v>0</v>
      </c>
      <c r="I93" s="84">
        <v>0</v>
      </c>
      <c r="J93" s="84">
        <v>0</v>
      </c>
      <c r="K93" s="84">
        <v>0</v>
      </c>
      <c r="L93" s="84">
        <v>1</v>
      </c>
      <c r="M93" s="84">
        <v>0</v>
      </c>
      <c r="N93" s="84">
        <v>0</v>
      </c>
      <c r="O93" s="84">
        <v>0</v>
      </c>
      <c r="P93" s="73">
        <v>0</v>
      </c>
      <c r="Q93" s="84">
        <v>0</v>
      </c>
      <c r="R93" s="74">
        <v>1</v>
      </c>
    </row>
    <row r="94" spans="1:18" ht="15" customHeight="1" x14ac:dyDescent="0.15">
      <c r="A94" s="84"/>
      <c r="F94" s="196" t="s">
        <v>280</v>
      </c>
      <c r="G94" s="84">
        <v>0</v>
      </c>
      <c r="H94" s="84">
        <v>0</v>
      </c>
      <c r="I94" s="84">
        <v>0</v>
      </c>
      <c r="J94" s="84">
        <v>0</v>
      </c>
      <c r="K94" s="84">
        <v>0</v>
      </c>
      <c r="L94" s="84">
        <v>1</v>
      </c>
      <c r="M94" s="84">
        <v>0</v>
      </c>
      <c r="N94" s="84">
        <v>0</v>
      </c>
      <c r="O94" s="84">
        <v>0</v>
      </c>
      <c r="P94" s="73">
        <v>0</v>
      </c>
      <c r="Q94" s="84">
        <v>0</v>
      </c>
      <c r="R94" s="74">
        <v>1</v>
      </c>
    </row>
    <row r="95" spans="1:18" ht="15" customHeight="1" x14ac:dyDescent="0.15">
      <c r="A95" s="84"/>
      <c r="F95" s="196" t="s">
        <v>281</v>
      </c>
      <c r="G95" s="84">
        <v>0</v>
      </c>
      <c r="H95" s="84">
        <v>0</v>
      </c>
      <c r="I95" s="84">
        <v>0</v>
      </c>
      <c r="J95" s="84">
        <v>0</v>
      </c>
      <c r="K95" s="84">
        <v>0</v>
      </c>
      <c r="L95" s="84">
        <v>1</v>
      </c>
      <c r="M95" s="84">
        <v>0</v>
      </c>
      <c r="N95" s="84">
        <v>0</v>
      </c>
      <c r="O95" s="84">
        <v>0</v>
      </c>
      <c r="P95" s="73">
        <v>0</v>
      </c>
      <c r="Q95" s="84">
        <v>0</v>
      </c>
      <c r="R95" s="74">
        <v>1</v>
      </c>
    </row>
    <row r="96" spans="1:18" ht="15" customHeight="1" x14ac:dyDescent="0.15">
      <c r="A96" s="84"/>
      <c r="F96" s="196" t="s">
        <v>282</v>
      </c>
      <c r="G96" s="84">
        <v>0</v>
      </c>
      <c r="H96" s="84">
        <v>0</v>
      </c>
      <c r="I96" s="84">
        <v>0</v>
      </c>
      <c r="J96" s="84">
        <v>0</v>
      </c>
      <c r="K96" s="84">
        <v>0</v>
      </c>
      <c r="L96" s="84">
        <v>1</v>
      </c>
      <c r="M96" s="84">
        <v>0</v>
      </c>
      <c r="N96" s="84">
        <v>0</v>
      </c>
      <c r="O96" s="84">
        <v>0</v>
      </c>
      <c r="P96" s="73">
        <v>0</v>
      </c>
      <c r="Q96" s="84">
        <v>0</v>
      </c>
      <c r="R96" s="74">
        <v>1</v>
      </c>
    </row>
    <row r="97" spans="1:18" ht="15" customHeight="1" x14ac:dyDescent="0.15">
      <c r="A97" s="84"/>
      <c r="F97" s="196" t="s">
        <v>283</v>
      </c>
      <c r="G97" s="84">
        <v>0</v>
      </c>
      <c r="H97" s="84">
        <v>0</v>
      </c>
      <c r="I97" s="84">
        <v>0</v>
      </c>
      <c r="J97" s="84">
        <v>0</v>
      </c>
      <c r="K97" s="84">
        <v>0</v>
      </c>
      <c r="L97" s="84">
        <v>1</v>
      </c>
      <c r="M97" s="84">
        <v>0</v>
      </c>
      <c r="N97" s="84">
        <v>0</v>
      </c>
      <c r="O97" s="84">
        <v>0</v>
      </c>
      <c r="P97" s="73">
        <v>0</v>
      </c>
      <c r="Q97" s="84">
        <v>0</v>
      </c>
      <c r="R97" s="74">
        <v>1</v>
      </c>
    </row>
    <row r="98" spans="1:18" ht="15" customHeight="1" x14ac:dyDescent="0.15">
      <c r="A98" s="84"/>
      <c r="F98" s="196" t="s">
        <v>284</v>
      </c>
      <c r="G98" s="84">
        <v>0</v>
      </c>
      <c r="H98" s="84">
        <v>0</v>
      </c>
      <c r="I98" s="84">
        <v>0</v>
      </c>
      <c r="J98" s="84">
        <v>0</v>
      </c>
      <c r="K98" s="84">
        <v>0</v>
      </c>
      <c r="L98" s="84">
        <v>1</v>
      </c>
      <c r="M98" s="84">
        <v>0</v>
      </c>
      <c r="N98" s="84">
        <v>0</v>
      </c>
      <c r="O98" s="84">
        <v>0</v>
      </c>
      <c r="P98" s="73">
        <v>0</v>
      </c>
      <c r="Q98" s="84">
        <v>0</v>
      </c>
      <c r="R98" s="74">
        <v>1</v>
      </c>
    </row>
    <row r="99" spans="1:18" ht="15" customHeight="1" x14ac:dyDescent="0.15">
      <c r="A99" s="84"/>
      <c r="F99" s="196" t="s">
        <v>285</v>
      </c>
      <c r="G99" s="84">
        <v>0</v>
      </c>
      <c r="H99" s="84">
        <v>0</v>
      </c>
      <c r="I99" s="84">
        <v>0</v>
      </c>
      <c r="J99" s="84">
        <v>0</v>
      </c>
      <c r="K99" s="84">
        <v>0</v>
      </c>
      <c r="L99" s="84">
        <v>1</v>
      </c>
      <c r="M99" s="84">
        <v>0</v>
      </c>
      <c r="N99" s="84">
        <v>0</v>
      </c>
      <c r="O99" s="84">
        <v>0</v>
      </c>
      <c r="P99" s="73">
        <v>0</v>
      </c>
      <c r="Q99" s="84">
        <v>0</v>
      </c>
      <c r="R99" s="74">
        <v>1</v>
      </c>
    </row>
    <row r="100" spans="1:18" ht="15" customHeight="1" x14ac:dyDescent="0.15">
      <c r="A100" s="84"/>
      <c r="F100"/>
      <c r="G100"/>
      <c r="H100"/>
      <c r="I100"/>
      <c r="J100"/>
      <c r="K100"/>
      <c r="L100"/>
      <c r="M100"/>
      <c r="N100"/>
      <c r="O100"/>
      <c r="P100"/>
      <c r="Q100"/>
      <c r="R100"/>
    </row>
    <row r="101" spans="1:18" ht="15" customHeight="1" x14ac:dyDescent="0.15">
      <c r="A101" s="84"/>
      <c r="F101"/>
      <c r="G101"/>
      <c r="H101"/>
      <c r="I101"/>
      <c r="J101"/>
      <c r="K101"/>
      <c r="L101"/>
      <c r="M101"/>
      <c r="N101"/>
      <c r="O101"/>
      <c r="P101"/>
      <c r="Q101"/>
      <c r="R101"/>
    </row>
    <row r="102" spans="1:18" ht="15" customHeight="1" x14ac:dyDescent="0.15">
      <c r="A102" s="84"/>
      <c r="F102"/>
      <c r="G102"/>
      <c r="H102"/>
      <c r="I102"/>
      <c r="J102"/>
      <c r="K102"/>
      <c r="L102"/>
      <c r="M102"/>
      <c r="N102"/>
      <c r="O102"/>
      <c r="P102"/>
      <c r="Q102"/>
      <c r="R102"/>
    </row>
    <row r="103" spans="1:18" ht="15" customHeight="1" x14ac:dyDescent="0.15">
      <c r="A103" s="84"/>
      <c r="F103"/>
      <c r="G103"/>
      <c r="H103"/>
      <c r="I103"/>
      <c r="J103"/>
      <c r="K103"/>
      <c r="L103"/>
      <c r="M103"/>
      <c r="N103"/>
      <c r="O103"/>
      <c r="P103"/>
      <c r="Q103"/>
      <c r="R103"/>
    </row>
    <row r="104" spans="1:18" ht="15" customHeight="1" x14ac:dyDescent="0.15">
      <c r="A104" s="84"/>
      <c r="F104"/>
      <c r="G104"/>
      <c r="H104"/>
      <c r="I104"/>
      <c r="J104"/>
      <c r="K104"/>
      <c r="L104"/>
      <c r="M104"/>
      <c r="N104"/>
      <c r="O104"/>
      <c r="P104"/>
      <c r="Q104"/>
      <c r="R104"/>
    </row>
    <row r="105" spans="1:18" ht="15" customHeight="1" x14ac:dyDescent="0.15">
      <c r="A105" s="84"/>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4" customFormat="1" ht="15" customHeight="1" x14ac:dyDescent="0.15">
      <c r="F113"/>
      <c r="G113"/>
      <c r="H113"/>
      <c r="I113"/>
      <c r="J113"/>
      <c r="K113"/>
      <c r="L113"/>
      <c r="M113"/>
      <c r="N113"/>
      <c r="O113"/>
      <c r="P113"/>
      <c r="Q113"/>
      <c r="R113"/>
    </row>
    <row r="114" spans="6:18" s="84" customFormat="1" ht="15" customHeight="1" x14ac:dyDescent="0.15">
      <c r="F114"/>
      <c r="G114"/>
      <c r="H114"/>
      <c r="I114"/>
      <c r="J114"/>
      <c r="K114"/>
      <c r="L114"/>
      <c r="M114"/>
      <c r="N114"/>
      <c r="O114"/>
      <c r="P114"/>
      <c r="Q114"/>
      <c r="R114"/>
    </row>
    <row r="115" spans="6:18" s="84" customFormat="1" ht="15" customHeight="1" x14ac:dyDescent="0.15">
      <c r="F115"/>
      <c r="G115"/>
      <c r="H115"/>
      <c r="I115"/>
      <c r="J115"/>
      <c r="K115"/>
      <c r="L115"/>
      <c r="M115"/>
      <c r="N115"/>
      <c r="O115"/>
      <c r="P115"/>
      <c r="Q115"/>
      <c r="R115"/>
    </row>
    <row r="116" spans="6:18" s="84" customFormat="1" ht="15" customHeight="1" x14ac:dyDescent="0.15">
      <c r="F116"/>
      <c r="G116"/>
      <c r="H116"/>
      <c r="I116"/>
      <c r="J116"/>
      <c r="K116"/>
      <c r="L116"/>
      <c r="M116"/>
      <c r="N116"/>
      <c r="O116"/>
      <c r="P116"/>
      <c r="Q116"/>
      <c r="R116"/>
    </row>
    <row r="117" spans="6:18" s="84" customFormat="1" ht="15" customHeight="1" x14ac:dyDescent="0.15">
      <c r="F117"/>
      <c r="G117"/>
      <c r="H117"/>
      <c r="I117"/>
      <c r="J117"/>
      <c r="K117"/>
      <c r="L117"/>
      <c r="M117"/>
      <c r="N117"/>
      <c r="O117"/>
      <c r="P117"/>
      <c r="Q117"/>
      <c r="R117"/>
    </row>
    <row r="118" spans="6:18" s="84" customFormat="1" ht="15" customHeight="1" x14ac:dyDescent="0.15">
      <c r="F118"/>
      <c r="G118"/>
      <c r="H118"/>
      <c r="I118"/>
      <c r="J118"/>
      <c r="K118"/>
      <c r="L118"/>
      <c r="M118"/>
      <c r="N118"/>
      <c r="O118"/>
      <c r="P118"/>
      <c r="Q118"/>
      <c r="R118"/>
    </row>
    <row r="119" spans="6:18" s="84" customFormat="1" ht="15" customHeight="1" x14ac:dyDescent="0.15">
      <c r="F119"/>
      <c r="G119"/>
      <c r="H119"/>
      <c r="I119"/>
      <c r="J119"/>
      <c r="K119"/>
      <c r="L119"/>
      <c r="M119"/>
      <c r="N119"/>
      <c r="O119"/>
      <c r="P119"/>
      <c r="Q119"/>
      <c r="R119"/>
    </row>
    <row r="120" spans="6:18" s="84" customFormat="1" ht="15" customHeight="1" x14ac:dyDescent="0.15">
      <c r="F120"/>
      <c r="G120"/>
      <c r="H120"/>
      <c r="I120"/>
      <c r="J120"/>
      <c r="K120"/>
      <c r="L120"/>
      <c r="M120"/>
      <c r="N120"/>
      <c r="O120"/>
      <c r="P120"/>
      <c r="Q120"/>
      <c r="R120"/>
    </row>
    <row r="121" spans="6:18" s="84" customFormat="1" ht="15" customHeight="1" x14ac:dyDescent="0.15">
      <c r="F121"/>
      <c r="G121"/>
      <c r="H121"/>
      <c r="I121"/>
      <c r="J121"/>
      <c r="K121"/>
      <c r="L121"/>
      <c r="M121"/>
      <c r="N121"/>
      <c r="O121"/>
      <c r="P121"/>
      <c r="Q121"/>
      <c r="R121"/>
    </row>
    <row r="122" spans="6:18" s="84" customFormat="1" ht="15" customHeight="1" x14ac:dyDescent="0.15">
      <c r="F122"/>
      <c r="G122"/>
      <c r="H122"/>
      <c r="I122"/>
      <c r="J122"/>
      <c r="K122"/>
      <c r="L122"/>
      <c r="M122"/>
      <c r="N122"/>
      <c r="O122"/>
      <c r="P122"/>
      <c r="Q122"/>
      <c r="R122"/>
    </row>
    <row r="123" spans="6:18" s="84" customFormat="1" ht="15" customHeight="1" x14ac:dyDescent="0.15">
      <c r="F123"/>
      <c r="G123"/>
      <c r="H123"/>
      <c r="I123"/>
      <c r="J123"/>
      <c r="K123"/>
      <c r="L123"/>
      <c r="M123"/>
      <c r="N123"/>
      <c r="O123"/>
      <c r="P123"/>
      <c r="Q123"/>
      <c r="R123"/>
    </row>
    <row r="124" spans="6:18" s="84" customFormat="1" ht="15" customHeight="1" x14ac:dyDescent="0.15">
      <c r="F124"/>
      <c r="G124"/>
      <c r="H124"/>
      <c r="I124"/>
      <c r="J124"/>
      <c r="K124"/>
      <c r="L124"/>
      <c r="M124"/>
      <c r="N124"/>
      <c r="O124"/>
      <c r="P124"/>
      <c r="Q124"/>
      <c r="R124"/>
    </row>
    <row r="125" spans="6:18" s="84" customFormat="1" ht="15" customHeight="1" x14ac:dyDescent="0.15">
      <c r="F125"/>
      <c r="G125"/>
      <c r="H125"/>
      <c r="I125"/>
      <c r="J125"/>
      <c r="K125"/>
      <c r="L125"/>
      <c r="M125"/>
      <c r="N125"/>
      <c r="O125"/>
      <c r="P125"/>
      <c r="Q125"/>
      <c r="R125"/>
    </row>
    <row r="126" spans="6:18" s="84" customFormat="1" ht="15" customHeight="1" x14ac:dyDescent="0.15">
      <c r="F126"/>
      <c r="G126"/>
      <c r="H126"/>
      <c r="I126"/>
      <c r="J126"/>
      <c r="K126"/>
      <c r="L126"/>
      <c r="M126"/>
      <c r="N126"/>
      <c r="O126"/>
      <c r="P126"/>
      <c r="Q126"/>
      <c r="R126"/>
    </row>
    <row r="127" spans="6:18" s="84" customFormat="1" ht="15" customHeight="1" x14ac:dyDescent="0.15">
      <c r="F127"/>
      <c r="G127"/>
      <c r="H127"/>
      <c r="I127"/>
      <c r="J127"/>
      <c r="K127"/>
      <c r="L127"/>
      <c r="M127"/>
      <c r="N127"/>
      <c r="O127"/>
      <c r="P127"/>
      <c r="Q127"/>
      <c r="R127"/>
    </row>
    <row r="128" spans="6:18" s="84" customFormat="1" ht="15" customHeight="1" x14ac:dyDescent="0.15">
      <c r="F128"/>
      <c r="G128"/>
      <c r="H128"/>
      <c r="I128"/>
      <c r="J128"/>
      <c r="K128"/>
      <c r="L128"/>
      <c r="M128"/>
      <c r="N128"/>
      <c r="O128"/>
      <c r="P128"/>
      <c r="Q128"/>
      <c r="R128"/>
    </row>
    <row r="129" spans="6:18" s="84" customFormat="1" ht="15" customHeight="1" x14ac:dyDescent="0.15">
      <c r="F129"/>
      <c r="G129"/>
      <c r="H129"/>
      <c r="I129"/>
      <c r="J129"/>
      <c r="K129"/>
      <c r="L129"/>
      <c r="M129"/>
      <c r="N129"/>
      <c r="O129"/>
      <c r="P129"/>
      <c r="Q129"/>
      <c r="R129"/>
    </row>
    <row r="130" spans="6:18" s="84" customFormat="1" ht="15" customHeight="1" x14ac:dyDescent="0.15">
      <c r="F130"/>
      <c r="G130"/>
      <c r="H130"/>
      <c r="I130"/>
      <c r="J130"/>
      <c r="K130"/>
      <c r="L130"/>
      <c r="M130"/>
      <c r="N130"/>
      <c r="O130"/>
      <c r="P130"/>
      <c r="Q130"/>
      <c r="R130"/>
    </row>
    <row r="131" spans="6:18" s="84" customFormat="1" ht="15" customHeight="1" x14ac:dyDescent="0.15">
      <c r="F131"/>
      <c r="G131"/>
      <c r="H131"/>
      <c r="I131"/>
      <c r="J131"/>
      <c r="K131"/>
      <c r="L131"/>
      <c r="M131"/>
      <c r="N131"/>
      <c r="O131"/>
      <c r="P131"/>
      <c r="Q131"/>
      <c r="R131"/>
    </row>
    <row r="132" spans="6:18" s="84" customFormat="1" ht="15" customHeight="1" x14ac:dyDescent="0.15">
      <c r="F132"/>
      <c r="G132"/>
      <c r="H132"/>
      <c r="I132"/>
      <c r="J132"/>
      <c r="K132"/>
      <c r="L132"/>
      <c r="M132"/>
      <c r="N132"/>
      <c r="O132"/>
      <c r="P132"/>
      <c r="Q132"/>
      <c r="R132"/>
    </row>
    <row r="133" spans="6:18" s="84" customFormat="1" ht="15" customHeight="1" x14ac:dyDescent="0.15">
      <c r="F133"/>
      <c r="G133"/>
      <c r="H133"/>
      <c r="I133"/>
      <c r="J133"/>
      <c r="K133"/>
      <c r="L133"/>
      <c r="M133"/>
      <c r="N133"/>
      <c r="O133"/>
      <c r="P133"/>
      <c r="Q133"/>
      <c r="R133"/>
    </row>
    <row r="134" spans="6:18" s="84" customFormat="1" ht="15" customHeight="1" x14ac:dyDescent="0.15">
      <c r="F134"/>
      <c r="G134"/>
      <c r="H134"/>
      <c r="I134"/>
      <c r="J134"/>
      <c r="K134"/>
      <c r="L134"/>
      <c r="M134"/>
      <c r="N134"/>
      <c r="O134"/>
      <c r="P134"/>
      <c r="Q134"/>
      <c r="R134"/>
    </row>
    <row r="135" spans="6:18" s="84" customFormat="1" ht="15" customHeight="1" x14ac:dyDescent="0.15">
      <c r="F135"/>
      <c r="G135"/>
      <c r="H135"/>
      <c r="I135"/>
      <c r="J135"/>
      <c r="K135"/>
      <c r="L135"/>
      <c r="M135"/>
      <c r="N135"/>
      <c r="O135"/>
      <c r="P135"/>
      <c r="Q135"/>
      <c r="R135"/>
    </row>
    <row r="136" spans="6:18" s="84" customFormat="1" ht="15" customHeight="1" x14ac:dyDescent="0.15">
      <c r="F136"/>
      <c r="G136"/>
      <c r="H136"/>
      <c r="I136"/>
      <c r="J136"/>
      <c r="K136"/>
      <c r="L136"/>
      <c r="M136"/>
      <c r="N136"/>
      <c r="O136"/>
      <c r="P136"/>
      <c r="Q136"/>
      <c r="R136"/>
    </row>
    <row r="137" spans="6:18" s="84" customFormat="1" ht="15" customHeight="1" x14ac:dyDescent="0.15">
      <c r="F137"/>
      <c r="G137"/>
      <c r="H137"/>
      <c r="I137"/>
      <c r="J137"/>
      <c r="K137"/>
      <c r="L137"/>
      <c r="M137"/>
      <c r="N137"/>
      <c r="O137"/>
      <c r="P137"/>
      <c r="Q137"/>
      <c r="R137"/>
    </row>
    <row r="138" spans="6:18" s="84" customFormat="1" ht="15" customHeight="1" x14ac:dyDescent="0.15">
      <c r="F138"/>
      <c r="G138"/>
      <c r="H138"/>
      <c r="I138"/>
      <c r="J138"/>
      <c r="K138"/>
      <c r="L138"/>
      <c r="M138"/>
      <c r="N138"/>
      <c r="O138"/>
      <c r="P138"/>
      <c r="Q138"/>
      <c r="R138"/>
    </row>
    <row r="139" spans="6:18" s="84" customFormat="1" ht="15" customHeight="1" x14ac:dyDescent="0.15">
      <c r="F139"/>
      <c r="G139"/>
      <c r="H139"/>
      <c r="I139"/>
      <c r="J139"/>
      <c r="K139"/>
      <c r="L139"/>
      <c r="M139"/>
      <c r="N139"/>
      <c r="O139"/>
      <c r="P139"/>
      <c r="Q139"/>
      <c r="R139"/>
    </row>
    <row r="140" spans="6:18" s="84" customFormat="1" ht="15" customHeight="1" x14ac:dyDescent="0.15">
      <c r="F140"/>
      <c r="G140"/>
      <c r="H140"/>
      <c r="I140"/>
      <c r="J140"/>
      <c r="K140"/>
      <c r="L140"/>
      <c r="M140"/>
      <c r="N140"/>
      <c r="O140"/>
      <c r="P140"/>
      <c r="Q140"/>
      <c r="R140"/>
    </row>
    <row r="141" spans="6:18" s="84" customFormat="1" ht="15" customHeight="1" x14ac:dyDescent="0.15">
      <c r="F141"/>
      <c r="G141"/>
      <c r="H141"/>
      <c r="I141"/>
      <c r="J141"/>
      <c r="K141"/>
      <c r="L141"/>
      <c r="M141"/>
      <c r="N141"/>
      <c r="O141"/>
      <c r="P141"/>
      <c r="Q141"/>
      <c r="R141"/>
    </row>
    <row r="142" spans="6:18" s="84" customFormat="1" ht="15" customHeight="1" x14ac:dyDescent="0.15">
      <c r="F142"/>
      <c r="G142"/>
      <c r="H142"/>
      <c r="I142"/>
      <c r="J142"/>
      <c r="K142"/>
      <c r="L142"/>
      <c r="M142"/>
      <c r="N142"/>
      <c r="O142"/>
      <c r="P142"/>
      <c r="Q142"/>
      <c r="R142"/>
    </row>
    <row r="143" spans="6:18" s="84" customFormat="1" ht="15" customHeight="1" x14ac:dyDescent="0.15">
      <c r="F143"/>
      <c r="G143"/>
      <c r="H143"/>
      <c r="I143"/>
      <c r="J143"/>
      <c r="K143"/>
      <c r="L143"/>
      <c r="M143"/>
      <c r="N143"/>
      <c r="O143"/>
      <c r="P143"/>
      <c r="Q143"/>
      <c r="R143"/>
    </row>
    <row r="144" spans="6:18" s="84" customFormat="1" ht="15" customHeight="1" x14ac:dyDescent="0.15">
      <c r="F144"/>
      <c r="G144"/>
      <c r="H144"/>
      <c r="I144"/>
      <c r="J144"/>
      <c r="K144"/>
      <c r="L144"/>
      <c r="M144"/>
      <c r="N144"/>
      <c r="O144"/>
      <c r="P144"/>
      <c r="Q144"/>
      <c r="R144"/>
    </row>
    <row r="145" spans="6:18" s="84" customFormat="1" ht="15" customHeight="1" x14ac:dyDescent="0.15">
      <c r="F145"/>
      <c r="G145"/>
      <c r="H145"/>
      <c r="I145"/>
      <c r="J145"/>
      <c r="K145"/>
      <c r="L145"/>
      <c r="M145"/>
      <c r="N145"/>
      <c r="O145"/>
      <c r="P145"/>
      <c r="Q145"/>
      <c r="R145"/>
    </row>
    <row r="146" spans="6:18" s="84" customFormat="1" ht="15" customHeight="1" x14ac:dyDescent="0.15">
      <c r="F146"/>
      <c r="G146"/>
      <c r="H146"/>
      <c r="I146"/>
      <c r="J146"/>
      <c r="K146"/>
      <c r="L146"/>
      <c r="M146"/>
      <c r="N146"/>
      <c r="O146"/>
      <c r="P146"/>
      <c r="Q146"/>
      <c r="R146"/>
    </row>
    <row r="147" spans="6:18" s="84" customFormat="1" ht="15" customHeight="1" x14ac:dyDescent="0.15">
      <c r="F147"/>
      <c r="G147"/>
      <c r="H147"/>
      <c r="I147"/>
      <c r="J147"/>
      <c r="K147"/>
      <c r="L147"/>
      <c r="M147"/>
      <c r="N147"/>
      <c r="O147"/>
      <c r="P147"/>
      <c r="Q147"/>
      <c r="R147"/>
    </row>
    <row r="148" spans="6:18" s="84" customFormat="1" ht="15" customHeight="1" x14ac:dyDescent="0.15">
      <c r="F148"/>
      <c r="G148"/>
      <c r="H148"/>
      <c r="I148"/>
      <c r="J148"/>
      <c r="K148"/>
      <c r="L148"/>
      <c r="M148"/>
      <c r="N148"/>
      <c r="O148"/>
      <c r="P148"/>
      <c r="Q148"/>
      <c r="R148"/>
    </row>
    <row r="149" spans="6:18" s="84" customFormat="1" ht="15" customHeight="1" x14ac:dyDescent="0.15">
      <c r="F149"/>
      <c r="G149"/>
      <c r="H149"/>
      <c r="I149"/>
      <c r="J149"/>
      <c r="K149"/>
      <c r="L149"/>
      <c r="M149"/>
      <c r="N149"/>
      <c r="O149"/>
      <c r="P149"/>
      <c r="Q149"/>
      <c r="R149"/>
    </row>
    <row r="150" spans="6:18" s="84" customFormat="1" ht="15" customHeight="1" x14ac:dyDescent="0.15">
      <c r="F150"/>
      <c r="G150"/>
      <c r="H150"/>
      <c r="I150"/>
      <c r="J150"/>
      <c r="K150"/>
      <c r="L150"/>
      <c r="M150"/>
      <c r="N150"/>
      <c r="O150"/>
      <c r="P150"/>
      <c r="Q150"/>
      <c r="R150"/>
    </row>
    <row r="151" spans="6:18" s="84" customFormat="1" ht="15" customHeight="1" x14ac:dyDescent="0.15">
      <c r="F151"/>
      <c r="G151"/>
      <c r="H151"/>
      <c r="I151"/>
      <c r="J151"/>
      <c r="K151"/>
      <c r="L151"/>
      <c r="M151"/>
      <c r="N151"/>
      <c r="O151"/>
      <c r="P151"/>
      <c r="Q151"/>
      <c r="R151"/>
    </row>
    <row r="152" spans="6:18" s="84" customFormat="1" ht="15" customHeight="1" x14ac:dyDescent="0.15">
      <c r="F152"/>
      <c r="G152"/>
      <c r="H152"/>
      <c r="I152"/>
      <c r="J152"/>
      <c r="K152"/>
      <c r="L152"/>
      <c r="M152"/>
      <c r="N152"/>
      <c r="O152"/>
      <c r="P152"/>
      <c r="Q152"/>
      <c r="R152"/>
    </row>
    <row r="153" spans="6:18" s="84" customFormat="1" ht="15" customHeight="1" x14ac:dyDescent="0.15">
      <c r="F153"/>
      <c r="G153"/>
      <c r="H153"/>
      <c r="I153"/>
      <c r="J153"/>
      <c r="K153"/>
      <c r="L153"/>
      <c r="M153"/>
      <c r="N153"/>
      <c r="O153"/>
      <c r="P153"/>
      <c r="Q153"/>
      <c r="R153"/>
    </row>
    <row r="154" spans="6:18" s="84" customFormat="1" ht="15" customHeight="1" x14ac:dyDescent="0.15">
      <c r="F154"/>
      <c r="G154"/>
      <c r="H154"/>
      <c r="I154"/>
      <c r="J154"/>
      <c r="K154"/>
      <c r="L154"/>
      <c r="M154"/>
      <c r="N154"/>
      <c r="O154"/>
      <c r="P154"/>
      <c r="Q154"/>
      <c r="R154"/>
    </row>
    <row r="155" spans="6:18" s="84" customFormat="1" ht="15" customHeight="1" x14ac:dyDescent="0.15">
      <c r="F155"/>
      <c r="G155"/>
      <c r="H155"/>
      <c r="I155"/>
      <c r="J155"/>
      <c r="K155"/>
      <c r="L155"/>
      <c r="M155"/>
      <c r="N155"/>
      <c r="O155"/>
      <c r="P155"/>
      <c r="Q155"/>
      <c r="R155"/>
    </row>
    <row r="156" spans="6:18" s="84" customFormat="1" ht="15" customHeight="1" x14ac:dyDescent="0.15">
      <c r="F156"/>
      <c r="G156"/>
      <c r="H156"/>
      <c r="I156"/>
      <c r="J156"/>
      <c r="K156"/>
      <c r="L156"/>
      <c r="M156"/>
      <c r="N156"/>
      <c r="O156"/>
      <c r="P156"/>
      <c r="Q156"/>
      <c r="R156"/>
    </row>
    <row r="157" spans="6:18" s="84" customFormat="1" ht="15" customHeight="1" x14ac:dyDescent="0.15">
      <c r="F157"/>
      <c r="G157"/>
      <c r="H157"/>
      <c r="I157"/>
      <c r="J157"/>
      <c r="K157"/>
      <c r="L157"/>
      <c r="M157"/>
      <c r="N157"/>
      <c r="O157"/>
      <c r="P157"/>
      <c r="Q157"/>
      <c r="R157"/>
    </row>
    <row r="158" spans="6:18" s="84" customFormat="1" ht="15" customHeight="1" x14ac:dyDescent="0.15">
      <c r="F158"/>
      <c r="G158"/>
      <c r="H158"/>
      <c r="I158"/>
      <c r="J158"/>
      <c r="K158"/>
      <c r="L158"/>
      <c r="M158"/>
      <c r="N158"/>
      <c r="O158"/>
      <c r="P158"/>
      <c r="Q158"/>
      <c r="R158"/>
    </row>
    <row r="159" spans="6:18" s="84" customFormat="1" ht="15" customHeight="1" x14ac:dyDescent="0.15">
      <c r="F159"/>
      <c r="G159"/>
      <c r="H159"/>
      <c r="I159"/>
      <c r="J159"/>
      <c r="K159"/>
      <c r="L159"/>
      <c r="M159"/>
      <c r="N159"/>
      <c r="O159"/>
      <c r="P159"/>
      <c r="Q159"/>
      <c r="R159"/>
    </row>
    <row r="160" spans="6:18" s="84" customFormat="1" ht="15" customHeight="1" x14ac:dyDescent="0.15">
      <c r="F160"/>
      <c r="G160"/>
      <c r="H160"/>
      <c r="I160"/>
      <c r="J160"/>
      <c r="K160"/>
      <c r="L160"/>
      <c r="M160"/>
      <c r="N160"/>
      <c r="O160"/>
      <c r="P160"/>
      <c r="Q160"/>
      <c r="R160"/>
    </row>
    <row r="161" spans="6:18" s="84" customFormat="1" ht="15" customHeight="1" x14ac:dyDescent="0.15">
      <c r="F161"/>
      <c r="G161"/>
      <c r="H161"/>
      <c r="I161"/>
      <c r="J161"/>
      <c r="K161"/>
      <c r="L161"/>
      <c r="M161"/>
      <c r="N161"/>
      <c r="O161"/>
      <c r="P161"/>
      <c r="Q161"/>
      <c r="R161"/>
    </row>
    <row r="162" spans="6:18" s="84" customFormat="1" ht="15" customHeight="1" x14ac:dyDescent="0.15">
      <c r="F162"/>
      <c r="G162"/>
      <c r="H162"/>
      <c r="I162"/>
      <c r="J162"/>
      <c r="K162"/>
      <c r="L162"/>
      <c r="M162"/>
      <c r="N162"/>
      <c r="O162"/>
      <c r="P162"/>
      <c r="Q162"/>
      <c r="R162"/>
    </row>
    <row r="163" spans="6:18" s="84" customFormat="1" ht="15" customHeight="1" x14ac:dyDescent="0.15">
      <c r="F163"/>
      <c r="G163"/>
      <c r="H163"/>
      <c r="I163"/>
      <c r="J163"/>
      <c r="K163"/>
      <c r="L163"/>
      <c r="M163"/>
      <c r="N163"/>
      <c r="O163"/>
      <c r="P163"/>
      <c r="Q163"/>
      <c r="R163"/>
    </row>
    <row r="164" spans="6:18" s="84" customFormat="1" ht="15" customHeight="1" x14ac:dyDescent="0.15">
      <c r="F164"/>
      <c r="G164"/>
      <c r="H164"/>
      <c r="I164"/>
      <c r="J164"/>
      <c r="K164"/>
      <c r="L164"/>
      <c r="M164"/>
      <c r="N164"/>
      <c r="O164"/>
      <c r="P164"/>
      <c r="Q164"/>
      <c r="R164"/>
    </row>
    <row r="165" spans="6:18" s="84" customFormat="1" ht="15" customHeight="1" x14ac:dyDescent="0.15">
      <c r="F165"/>
      <c r="G165"/>
      <c r="H165"/>
      <c r="I165"/>
      <c r="J165"/>
      <c r="K165"/>
      <c r="L165"/>
      <c r="M165"/>
      <c r="N165"/>
      <c r="O165"/>
      <c r="P165"/>
      <c r="Q165"/>
      <c r="R165"/>
    </row>
    <row r="166" spans="6:18" s="84" customFormat="1" ht="15" customHeight="1" x14ac:dyDescent="0.15">
      <c r="F166"/>
      <c r="G166"/>
      <c r="H166"/>
      <c r="I166"/>
      <c r="J166"/>
      <c r="K166"/>
      <c r="L166"/>
      <c r="M166"/>
      <c r="N166"/>
      <c r="O166"/>
      <c r="P166"/>
      <c r="Q166"/>
      <c r="R166"/>
    </row>
    <row r="167" spans="6:18" s="84" customFormat="1" ht="15" customHeight="1" x14ac:dyDescent="0.15">
      <c r="F167"/>
      <c r="G167"/>
      <c r="H167"/>
      <c r="I167"/>
      <c r="J167"/>
      <c r="K167"/>
      <c r="L167"/>
      <c r="M167"/>
      <c r="N167"/>
      <c r="O167"/>
      <c r="P167"/>
      <c r="Q167"/>
      <c r="R167"/>
    </row>
    <row r="168" spans="6:18" s="84" customFormat="1" ht="15" customHeight="1" x14ac:dyDescent="0.15">
      <c r="F168"/>
      <c r="G168"/>
      <c r="H168"/>
      <c r="I168"/>
      <c r="J168"/>
      <c r="K168"/>
      <c r="L168"/>
      <c r="M168"/>
      <c r="N168"/>
      <c r="O168"/>
      <c r="P168"/>
      <c r="Q168"/>
      <c r="R168"/>
    </row>
    <row r="169" spans="6:18" s="84" customFormat="1" ht="15" customHeight="1" x14ac:dyDescent="0.15">
      <c r="F169"/>
      <c r="G169"/>
      <c r="H169"/>
      <c r="I169"/>
      <c r="J169"/>
      <c r="K169"/>
      <c r="L169"/>
      <c r="M169"/>
      <c r="N169"/>
      <c r="O169"/>
      <c r="P169"/>
      <c r="Q169"/>
      <c r="R169"/>
    </row>
    <row r="170" spans="6:18" s="84" customFormat="1" ht="15" customHeight="1" x14ac:dyDescent="0.15">
      <c r="F170"/>
      <c r="G170"/>
      <c r="H170"/>
      <c r="I170"/>
      <c r="J170"/>
      <c r="K170"/>
      <c r="L170"/>
      <c r="M170"/>
      <c r="N170"/>
      <c r="O170"/>
      <c r="P170"/>
      <c r="Q170"/>
      <c r="R170"/>
    </row>
    <row r="171" spans="6:18" s="84" customFormat="1" ht="15" customHeight="1" x14ac:dyDescent="0.15">
      <c r="F171"/>
      <c r="G171"/>
      <c r="H171"/>
      <c r="I171"/>
      <c r="J171"/>
      <c r="K171"/>
      <c r="L171"/>
      <c r="M171"/>
      <c r="N171"/>
      <c r="O171"/>
      <c r="P171"/>
      <c r="Q171"/>
      <c r="R171"/>
    </row>
    <row r="172" spans="6:18" s="84" customFormat="1" ht="15" customHeight="1" x14ac:dyDescent="0.15">
      <c r="F172"/>
      <c r="G172"/>
      <c r="H172"/>
      <c r="I172"/>
      <c r="J172"/>
      <c r="K172"/>
      <c r="L172"/>
      <c r="M172"/>
      <c r="N172"/>
      <c r="O172"/>
      <c r="P172"/>
      <c r="Q172"/>
      <c r="R172"/>
    </row>
    <row r="173" spans="6:18" s="84" customFormat="1" ht="15" customHeight="1" x14ac:dyDescent="0.15">
      <c r="F173"/>
      <c r="G173"/>
      <c r="H173"/>
      <c r="I173"/>
      <c r="J173"/>
      <c r="K173"/>
      <c r="L173"/>
      <c r="M173"/>
      <c r="N173"/>
      <c r="O173"/>
      <c r="P173"/>
      <c r="Q173"/>
      <c r="R173"/>
    </row>
    <row r="174" spans="6:18" s="84" customFormat="1" ht="15" customHeight="1" x14ac:dyDescent="0.15">
      <c r="F174"/>
      <c r="G174"/>
      <c r="H174"/>
      <c r="I174"/>
      <c r="J174"/>
      <c r="K174"/>
      <c r="L174"/>
      <c r="M174"/>
      <c r="N174"/>
      <c r="O174"/>
      <c r="P174"/>
      <c r="Q174"/>
      <c r="R174"/>
    </row>
    <row r="175" spans="6:18" s="84" customFormat="1" ht="15" customHeight="1" x14ac:dyDescent="0.15">
      <c r="F175"/>
      <c r="G175"/>
      <c r="H175"/>
      <c r="I175"/>
      <c r="J175"/>
      <c r="K175"/>
      <c r="L175"/>
      <c r="M175"/>
      <c r="N175"/>
      <c r="O175"/>
      <c r="P175"/>
      <c r="Q175"/>
      <c r="R175"/>
    </row>
    <row r="176" spans="6:18" s="84" customFormat="1" ht="15" customHeight="1" x14ac:dyDescent="0.15">
      <c r="F176"/>
      <c r="G176"/>
      <c r="H176"/>
      <c r="I176"/>
      <c r="J176"/>
      <c r="K176"/>
      <c r="L176"/>
      <c r="M176"/>
      <c r="N176"/>
      <c r="O176"/>
      <c r="P176"/>
      <c r="Q176"/>
      <c r="R176"/>
    </row>
    <row r="177" spans="6:18" s="84" customFormat="1" ht="15" customHeight="1" x14ac:dyDescent="0.15">
      <c r="F177"/>
      <c r="G177"/>
      <c r="H177"/>
      <c r="I177"/>
      <c r="J177"/>
      <c r="K177"/>
      <c r="L177"/>
      <c r="M177"/>
      <c r="N177"/>
      <c r="O177"/>
      <c r="P177"/>
      <c r="Q177"/>
      <c r="R177"/>
    </row>
    <row r="178" spans="6:18" s="84" customFormat="1" ht="15" customHeight="1" x14ac:dyDescent="0.15">
      <c r="F178"/>
      <c r="G178"/>
      <c r="H178"/>
      <c r="I178"/>
      <c r="J178"/>
      <c r="K178"/>
      <c r="L178"/>
      <c r="M178"/>
      <c r="N178"/>
      <c r="O178"/>
      <c r="P178"/>
      <c r="Q178"/>
      <c r="R178"/>
    </row>
    <row r="179" spans="6:18" s="84" customFormat="1" ht="15" customHeight="1" x14ac:dyDescent="0.15">
      <c r="F179"/>
      <c r="G179"/>
      <c r="H179"/>
      <c r="I179"/>
      <c r="J179"/>
      <c r="K179"/>
      <c r="L179"/>
      <c r="M179"/>
      <c r="N179"/>
      <c r="O179"/>
      <c r="P179"/>
      <c r="Q179"/>
      <c r="R179"/>
    </row>
    <row r="180" spans="6:18" s="84" customFormat="1" ht="15" customHeight="1" x14ac:dyDescent="0.15">
      <c r="F180"/>
      <c r="G180"/>
      <c r="H180"/>
      <c r="I180"/>
      <c r="J180"/>
      <c r="K180"/>
      <c r="L180"/>
      <c r="M180"/>
      <c r="N180"/>
      <c r="O180"/>
      <c r="P180"/>
      <c r="Q180"/>
      <c r="R180"/>
    </row>
    <row r="181" spans="6:18" s="84" customFormat="1" ht="15" customHeight="1" x14ac:dyDescent="0.15">
      <c r="F181"/>
      <c r="G181"/>
      <c r="H181"/>
      <c r="I181"/>
      <c r="J181"/>
      <c r="K181"/>
      <c r="L181"/>
      <c r="M181"/>
      <c r="N181"/>
      <c r="O181"/>
      <c r="P181"/>
      <c r="Q181"/>
      <c r="R181"/>
    </row>
    <row r="182" spans="6:18" s="84" customFormat="1" ht="15" customHeight="1" x14ac:dyDescent="0.15">
      <c r="F182"/>
      <c r="G182"/>
      <c r="H182"/>
      <c r="I182"/>
      <c r="J182"/>
      <c r="K182"/>
      <c r="L182"/>
      <c r="M182"/>
      <c r="N182"/>
      <c r="O182"/>
      <c r="P182"/>
      <c r="Q182"/>
      <c r="R182"/>
    </row>
    <row r="183" spans="6:18" s="84" customFormat="1" ht="15" customHeight="1" x14ac:dyDescent="0.15">
      <c r="F183"/>
      <c r="G183"/>
      <c r="H183"/>
      <c r="I183"/>
      <c r="J183"/>
      <c r="K183"/>
      <c r="L183"/>
      <c r="M183"/>
      <c r="N183"/>
      <c r="O183"/>
      <c r="P183"/>
      <c r="Q183"/>
      <c r="R183"/>
    </row>
    <row r="184" spans="6:18" s="84" customFormat="1" ht="15" customHeight="1" x14ac:dyDescent="0.15">
      <c r="F184"/>
      <c r="G184"/>
      <c r="H184"/>
      <c r="I184"/>
      <c r="J184"/>
      <c r="K184"/>
      <c r="L184"/>
      <c r="M184"/>
      <c r="N184"/>
      <c r="O184"/>
      <c r="P184"/>
      <c r="Q184"/>
      <c r="R184"/>
    </row>
    <row r="185" spans="6:18" s="84" customFormat="1" ht="15" customHeight="1" x14ac:dyDescent="0.15">
      <c r="F185"/>
      <c r="G185"/>
      <c r="H185"/>
      <c r="I185"/>
      <c r="J185"/>
      <c r="K185"/>
      <c r="L185"/>
      <c r="M185"/>
      <c r="N185"/>
      <c r="O185"/>
      <c r="P185"/>
      <c r="Q185"/>
      <c r="R185"/>
    </row>
    <row r="186" spans="6:18" s="84" customFormat="1" ht="15" customHeight="1" x14ac:dyDescent="0.15">
      <c r="F186"/>
      <c r="G186"/>
      <c r="H186"/>
      <c r="I186"/>
      <c r="J186"/>
      <c r="K186"/>
      <c r="L186"/>
      <c r="M186"/>
      <c r="N186"/>
      <c r="O186"/>
      <c r="P186"/>
      <c r="Q186"/>
      <c r="R186"/>
    </row>
    <row r="187" spans="6:18" s="84" customFormat="1" ht="15" customHeight="1" x14ac:dyDescent="0.15">
      <c r="F187"/>
      <c r="G187"/>
      <c r="H187"/>
      <c r="I187"/>
      <c r="J187"/>
      <c r="K187"/>
      <c r="L187"/>
      <c r="M187"/>
      <c r="N187"/>
      <c r="O187"/>
      <c r="P187"/>
      <c r="Q187"/>
      <c r="R187"/>
    </row>
    <row r="188" spans="6:18" s="84"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CX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32" bestFit="1" customWidth="1"/>
    <col min="2" max="2" width="2.33203125" style="111" customWidth="1"/>
    <col min="3" max="5" width="7.83203125" style="111" customWidth="1"/>
    <col min="6" max="8" width="8.83203125" style="6"/>
    <col min="9" max="10" width="8.5" style="6" customWidth="1"/>
    <col min="11" max="11" width="10" style="6" customWidth="1"/>
    <col min="12" max="12" width="6.83203125" style="6" customWidth="1"/>
    <col min="13" max="13" width="11.1640625" style="6" customWidth="1"/>
    <col min="14" max="15" width="13.5" style="6" customWidth="1"/>
    <col min="16" max="16" width="12.5" style="6" customWidth="1"/>
    <col min="17" max="17" width="13.5" style="6" customWidth="1"/>
    <col min="18" max="18" width="12" style="6" customWidth="1"/>
    <col min="19" max="19" width="20.5" style="6" customWidth="1"/>
    <col min="20" max="20" width="11.1640625" style="6" customWidth="1"/>
    <col min="21" max="21" width="14.6640625" style="6" customWidth="1"/>
    <col min="22" max="22" width="12.1640625" style="6" customWidth="1"/>
    <col min="23" max="23" width="13.6640625" style="6" customWidth="1"/>
    <col min="24" max="24" width="9.6640625" style="6" customWidth="1"/>
    <col min="25" max="25" width="8.6640625" style="6" customWidth="1"/>
    <col min="26" max="26" width="23.6640625" style="6" customWidth="1"/>
    <col min="27" max="27" width="26.83203125" style="6" customWidth="1"/>
    <col min="28" max="28" width="21.33203125" style="6" customWidth="1"/>
    <col min="29" max="29" width="18.5" style="6" customWidth="1"/>
    <col min="30" max="30" width="9.33203125" style="6" customWidth="1"/>
    <col min="31" max="31" width="22.83203125" style="6" customWidth="1"/>
    <col min="32" max="32" width="12.6640625" style="6" customWidth="1"/>
    <col min="33" max="33" width="20.1640625" style="6" customWidth="1"/>
    <col min="34" max="34" width="29.6640625" style="6" customWidth="1"/>
    <col min="35" max="35" width="29.5" style="6" customWidth="1"/>
    <col min="36" max="36" width="28.6640625" style="6" customWidth="1"/>
    <col min="37" max="37" width="11.1640625" style="6" customWidth="1"/>
    <col min="38" max="38" width="13" style="6" customWidth="1"/>
    <col min="39" max="39" width="20.1640625" customWidth="1"/>
    <col min="40" max="40" width="31.33203125" customWidth="1"/>
    <col min="41" max="41" width="7.33203125" customWidth="1"/>
    <col min="42" max="42" width="18" customWidth="1"/>
    <col min="43" max="43" width="10.1640625" customWidth="1"/>
    <col min="44" max="44" width="10" customWidth="1"/>
    <col min="45" max="45" width="10.1640625" customWidth="1"/>
    <col min="46" max="46" width="10.5" customWidth="1"/>
    <col min="47" max="47" width="8.33203125" customWidth="1"/>
    <col min="48" max="48" width="19.5" customWidth="1"/>
    <col min="49" max="49" width="12.33203125" customWidth="1"/>
    <col min="50" max="50" width="19.5" customWidth="1"/>
    <col min="51" max="51" width="21.5" customWidth="1"/>
    <col min="52" max="52" width="17.5" customWidth="1"/>
    <col min="53" max="53" width="17.33203125" customWidth="1"/>
    <col min="54" max="54" width="19.33203125" customWidth="1"/>
    <col min="55" max="55" width="15.33203125" customWidth="1"/>
    <col min="56" max="56" width="24.6640625" customWidth="1"/>
    <col min="57" max="57" width="27.6640625" customWidth="1"/>
    <col min="58" max="58" width="28.33203125" customWidth="1"/>
    <col min="59" max="59" width="11.6640625" customWidth="1"/>
    <col min="60" max="60" width="14.1640625" customWidth="1"/>
    <col min="61" max="61" width="12.5" customWidth="1"/>
    <col min="62" max="62" width="9.6640625" customWidth="1"/>
    <col min="63" max="64" width="15.5" customWidth="1"/>
    <col min="65" max="66" width="11.5" customWidth="1"/>
    <col min="67" max="67" width="9.5" customWidth="1"/>
    <col min="68" max="68" width="10.1640625" customWidth="1"/>
    <col min="69" max="69" width="9.1640625" customWidth="1"/>
    <col min="70" max="70" width="17" customWidth="1"/>
    <col min="71" max="71" width="7.83203125" customWidth="1"/>
    <col min="72" max="72" width="16.6640625" customWidth="1"/>
    <col min="73" max="73" width="7.33203125" customWidth="1"/>
    <col min="74" max="74" width="15.6640625" customWidth="1"/>
    <col min="75" max="75" width="9.6640625" customWidth="1"/>
    <col min="76" max="76" width="7.5" customWidth="1"/>
    <col min="77" max="77" width="11.1640625" customWidth="1"/>
    <col min="78" max="79" width="11.33203125" customWidth="1"/>
    <col min="80" max="80" width="14.33203125" customWidth="1"/>
    <col min="81" max="81" width="7.33203125" bestFit="1" customWidth="1"/>
    <col min="82" max="82" width="19.5" customWidth="1"/>
    <col min="83" max="83" width="13.1640625" customWidth="1"/>
    <col min="84" max="84" width="17" customWidth="1"/>
    <col min="85" max="85" width="9.1640625" customWidth="1"/>
    <col min="86" max="86" width="10.83203125" customWidth="1"/>
    <col min="87" max="87" width="10.1640625" customWidth="1"/>
    <col min="88" max="88" width="8.5" customWidth="1"/>
    <col min="89" max="89" width="20.5" customWidth="1"/>
    <col min="90" max="90" width="19.5" customWidth="1"/>
    <col min="91" max="91" width="15.83203125" customWidth="1"/>
    <col min="92" max="92" width="21.6640625" customWidth="1"/>
    <col min="93" max="93" width="12" customWidth="1"/>
    <col min="94" max="94" width="9.6640625" customWidth="1"/>
    <col min="95" max="95" width="21.33203125" customWidth="1"/>
    <col min="96" max="96" width="32" customWidth="1"/>
    <col min="97" max="97" width="13.33203125" customWidth="1"/>
    <col min="98" max="98" width="11.5" customWidth="1"/>
    <col min="99" max="99" width="9.5" customWidth="1"/>
    <col min="100" max="100" width="13.33203125" customWidth="1"/>
    <col min="101" max="101" width="15.5" customWidth="1"/>
    <col min="102" max="102" width="21.5" customWidth="1"/>
  </cols>
  <sheetData>
    <row r="1" spans="1:102" x14ac:dyDescent="0.15">
      <c r="A1" s="4" t="s">
        <v>156</v>
      </c>
      <c r="B1" s="37" t="s">
        <v>157</v>
      </c>
      <c r="C1" s="37" t="s">
        <v>17</v>
      </c>
      <c r="D1" s="37" t="s">
        <v>158</v>
      </c>
      <c r="E1" s="37" t="s">
        <v>159</v>
      </c>
      <c r="F1" t="s">
        <v>38</v>
      </c>
      <c r="G1" t="s">
        <v>40</v>
      </c>
      <c r="H1" t="s">
        <v>41</v>
      </c>
      <c r="I1" s="201" t="s">
        <v>192</v>
      </c>
      <c r="J1" s="201" t="s">
        <v>193</v>
      </c>
      <c r="K1" s="201" t="s">
        <v>194</v>
      </c>
      <c r="L1" s="201" t="s">
        <v>195</v>
      </c>
      <c r="M1" s="201" t="s">
        <v>196</v>
      </c>
      <c r="N1" s="201" t="s">
        <v>197</v>
      </c>
      <c r="O1" s="201" t="s">
        <v>198</v>
      </c>
      <c r="P1" s="201" t="s">
        <v>199</v>
      </c>
      <c r="Q1" s="201" t="s">
        <v>200</v>
      </c>
      <c r="R1" s="201" t="s">
        <v>201</v>
      </c>
      <c r="S1" s="201" t="s">
        <v>202</v>
      </c>
      <c r="T1" s="201" t="s">
        <v>203</v>
      </c>
      <c r="U1" s="201" t="s">
        <v>204</v>
      </c>
      <c r="V1" s="201" t="s">
        <v>205</v>
      </c>
      <c r="W1" s="201" t="s">
        <v>206</v>
      </c>
      <c r="X1" s="201" t="s">
        <v>207</v>
      </c>
      <c r="Y1" s="201" t="s">
        <v>208</v>
      </c>
      <c r="Z1" s="201" t="s">
        <v>209</v>
      </c>
      <c r="AA1" s="201" t="s">
        <v>210</v>
      </c>
      <c r="AB1" s="201" t="s">
        <v>211</v>
      </c>
      <c r="AC1" s="201" t="s">
        <v>212</v>
      </c>
      <c r="AD1" s="201" t="s">
        <v>213</v>
      </c>
      <c r="AE1" s="201" t="s">
        <v>214</v>
      </c>
      <c r="AF1" s="201" t="s">
        <v>215</v>
      </c>
      <c r="AG1" s="201" t="s">
        <v>216</v>
      </c>
      <c r="AH1" s="201" t="s">
        <v>217</v>
      </c>
      <c r="AI1" s="201" t="s">
        <v>218</v>
      </c>
      <c r="AJ1" s="201" t="s">
        <v>219</v>
      </c>
      <c r="AK1" s="201" t="s">
        <v>220</v>
      </c>
      <c r="AL1" s="201" t="s">
        <v>221</v>
      </c>
      <c r="AM1" s="201" t="s">
        <v>222</v>
      </c>
      <c r="AN1" s="201" t="s">
        <v>223</v>
      </c>
      <c r="AO1" s="201" t="s">
        <v>224</v>
      </c>
      <c r="AP1" s="201" t="s">
        <v>225</v>
      </c>
      <c r="AQ1" s="201" t="s">
        <v>226</v>
      </c>
      <c r="AR1" s="201" t="s">
        <v>227</v>
      </c>
      <c r="AS1" s="201" t="s">
        <v>228</v>
      </c>
      <c r="AT1" s="201" t="s">
        <v>229</v>
      </c>
      <c r="AU1" s="201" t="s">
        <v>230</v>
      </c>
      <c r="AV1" s="201" t="s">
        <v>231</v>
      </c>
      <c r="AW1" s="201" t="s">
        <v>232</v>
      </c>
      <c r="AX1" s="201" t="s">
        <v>233</v>
      </c>
      <c r="AY1" s="201" t="s">
        <v>234</v>
      </c>
      <c r="AZ1" s="201" t="s">
        <v>235</v>
      </c>
      <c r="BA1" s="201" t="s">
        <v>236</v>
      </c>
      <c r="BB1" s="201" t="s">
        <v>237</v>
      </c>
      <c r="BC1" s="201" t="s">
        <v>238</v>
      </c>
      <c r="BD1" s="201" t="s">
        <v>239</v>
      </c>
      <c r="BE1" s="201" t="s">
        <v>240</v>
      </c>
      <c r="BF1" s="201" t="s">
        <v>241</v>
      </c>
      <c r="BG1" s="201" t="s">
        <v>242</v>
      </c>
      <c r="BH1" s="201" t="s">
        <v>243</v>
      </c>
      <c r="BI1" s="201" t="s">
        <v>244</v>
      </c>
      <c r="BJ1" s="201" t="s">
        <v>245</v>
      </c>
      <c r="BK1" s="201" t="s">
        <v>246</v>
      </c>
      <c r="BL1" s="201" t="s">
        <v>247</v>
      </c>
      <c r="BM1" s="201" t="s">
        <v>248</v>
      </c>
      <c r="BN1" s="201" t="s">
        <v>249</v>
      </c>
      <c r="BO1" s="201" t="s">
        <v>250</v>
      </c>
      <c r="BP1" s="201" t="s">
        <v>251</v>
      </c>
      <c r="BQ1" s="201" t="s">
        <v>252</v>
      </c>
      <c r="BR1" s="201" t="s">
        <v>253</v>
      </c>
      <c r="BS1" s="201" t="s">
        <v>254</v>
      </c>
      <c r="BT1" s="201" t="s">
        <v>255</v>
      </c>
      <c r="BU1" s="201" t="s">
        <v>256</v>
      </c>
      <c r="BV1" s="201" t="s">
        <v>257</v>
      </c>
      <c r="BW1" s="201" t="s">
        <v>258</v>
      </c>
      <c r="BX1" s="201" t="s">
        <v>259</v>
      </c>
      <c r="BY1" s="201" t="s">
        <v>260</v>
      </c>
      <c r="BZ1" s="201" t="s">
        <v>261</v>
      </c>
      <c r="CA1" s="201" t="s">
        <v>262</v>
      </c>
      <c r="CB1" s="201" t="s">
        <v>263</v>
      </c>
      <c r="CC1" s="201" t="s">
        <v>264</v>
      </c>
      <c r="CD1" s="201" t="s">
        <v>265</v>
      </c>
      <c r="CE1" s="201" t="s">
        <v>266</v>
      </c>
      <c r="CF1" s="201" t="s">
        <v>267</v>
      </c>
      <c r="CG1" s="201" t="s">
        <v>268</v>
      </c>
      <c r="CH1" s="201" t="s">
        <v>269</v>
      </c>
      <c r="CI1" s="201" t="s">
        <v>270</v>
      </c>
      <c r="CJ1" s="201" t="s">
        <v>271</v>
      </c>
      <c r="CK1" s="201" t="s">
        <v>272</v>
      </c>
      <c r="CL1" s="201" t="s">
        <v>273</v>
      </c>
      <c r="CM1" s="201" t="s">
        <v>274</v>
      </c>
      <c r="CN1" s="201" t="s">
        <v>275</v>
      </c>
      <c r="CO1" s="201" t="s">
        <v>276</v>
      </c>
      <c r="CP1" s="201" t="s">
        <v>277</v>
      </c>
      <c r="CQ1" s="201" t="s">
        <v>278</v>
      </c>
      <c r="CR1" s="201" t="s">
        <v>279</v>
      </c>
      <c r="CS1" s="201" t="s">
        <v>280</v>
      </c>
      <c r="CT1" s="201" t="s">
        <v>281</v>
      </c>
      <c r="CU1" s="201" t="s">
        <v>282</v>
      </c>
      <c r="CV1" s="201" t="s">
        <v>283</v>
      </c>
      <c r="CW1" s="201" t="s">
        <v>284</v>
      </c>
      <c r="CX1" s="201" t="s">
        <v>285</v>
      </c>
    </row>
    <row r="2" spans="1:102" x14ac:dyDescent="0.15">
      <c r="A2" t="s">
        <v>38</v>
      </c>
      <c r="B2" s="111">
        <v>0</v>
      </c>
      <c r="C2"/>
      <c r="D2"/>
      <c r="E2"/>
      <c r="F2"/>
      <c r="G2"/>
      <c r="H2"/>
      <c r="I2"/>
      <c r="J2"/>
      <c r="K2"/>
      <c r="L2"/>
      <c r="M2"/>
      <c r="N2"/>
      <c r="O2"/>
      <c r="P2"/>
      <c r="Q2"/>
      <c r="R2"/>
      <c r="S2"/>
      <c r="T2"/>
      <c r="U2"/>
      <c r="V2"/>
      <c r="W2"/>
      <c r="X2"/>
      <c r="Y2"/>
      <c r="Z2"/>
      <c r="AA2"/>
      <c r="AB2"/>
      <c r="AC2"/>
      <c r="AD2"/>
      <c r="AE2"/>
      <c r="AF2"/>
      <c r="AG2"/>
      <c r="AH2"/>
      <c r="AI2"/>
      <c r="AJ2"/>
      <c r="AK2"/>
      <c r="AL2"/>
    </row>
    <row r="3" spans="1:102" x14ac:dyDescent="0.15">
      <c r="A3" t="s">
        <v>40</v>
      </c>
      <c r="B3" s="111">
        <v>0</v>
      </c>
      <c r="C3"/>
      <c r="D3"/>
      <c r="E3"/>
      <c r="F3"/>
      <c r="G3"/>
      <c r="H3"/>
      <c r="I3"/>
      <c r="J3"/>
      <c r="K3"/>
      <c r="L3"/>
      <c r="M3"/>
      <c r="N3"/>
      <c r="O3"/>
      <c r="P3"/>
      <c r="Q3"/>
      <c r="R3"/>
      <c r="S3"/>
      <c r="T3"/>
      <c r="U3"/>
      <c r="V3"/>
      <c r="W3"/>
      <c r="X3"/>
      <c r="Y3"/>
      <c r="Z3"/>
      <c r="AA3"/>
      <c r="AB3"/>
      <c r="AC3"/>
      <c r="AD3"/>
      <c r="AE3"/>
      <c r="AF3"/>
      <c r="AG3"/>
      <c r="AH3"/>
      <c r="AI3"/>
      <c r="AJ3"/>
      <c r="AK3"/>
      <c r="AL3"/>
    </row>
    <row r="4" spans="1:102" x14ac:dyDescent="0.15">
      <c r="A4" t="s">
        <v>41</v>
      </c>
      <c r="B4" s="111">
        <v>0</v>
      </c>
      <c r="C4"/>
      <c r="D4"/>
      <c r="E4"/>
      <c r="F4"/>
      <c r="G4"/>
      <c r="H4"/>
      <c r="I4"/>
      <c r="J4"/>
      <c r="K4"/>
      <c r="L4"/>
      <c r="M4"/>
      <c r="N4"/>
      <c r="O4"/>
      <c r="P4"/>
      <c r="Q4"/>
      <c r="R4"/>
      <c r="S4"/>
      <c r="T4"/>
      <c r="U4"/>
      <c r="V4"/>
      <c r="W4"/>
      <c r="X4"/>
      <c r="Y4"/>
      <c r="Z4"/>
      <c r="AA4"/>
      <c r="AB4"/>
      <c r="AC4"/>
      <c r="AD4"/>
      <c r="AE4"/>
      <c r="AF4"/>
      <c r="AG4"/>
      <c r="AH4"/>
      <c r="AI4"/>
      <c r="AJ4"/>
      <c r="AK4"/>
      <c r="AL4"/>
    </row>
    <row r="5" spans="1:102" x14ac:dyDescent="0.15">
      <c r="A5" s="200" t="s">
        <v>192</v>
      </c>
      <c r="B5" s="111">
        <v>0</v>
      </c>
      <c r="C5"/>
      <c r="D5"/>
      <c r="E5"/>
      <c r="F5"/>
      <c r="G5"/>
      <c r="H5"/>
      <c r="I5"/>
      <c r="J5"/>
      <c r="K5"/>
      <c r="L5"/>
      <c r="M5"/>
      <c r="N5"/>
      <c r="O5"/>
      <c r="P5"/>
      <c r="Q5"/>
      <c r="R5"/>
      <c r="S5"/>
      <c r="T5"/>
      <c r="U5"/>
      <c r="V5"/>
      <c r="W5"/>
      <c r="X5"/>
      <c r="Y5"/>
      <c r="Z5"/>
      <c r="AA5"/>
      <c r="AB5"/>
      <c r="AC5"/>
      <c r="AD5"/>
      <c r="AE5"/>
      <c r="AF5"/>
      <c r="AG5"/>
      <c r="AH5"/>
      <c r="AI5"/>
      <c r="AJ5"/>
      <c r="AK5"/>
      <c r="AL5"/>
    </row>
    <row r="6" spans="1:102" x14ac:dyDescent="0.15">
      <c r="A6" s="200" t="s">
        <v>193</v>
      </c>
      <c r="B6" s="111">
        <v>0</v>
      </c>
      <c r="C6"/>
      <c r="D6"/>
      <c r="E6"/>
      <c r="F6"/>
      <c r="G6"/>
      <c r="H6"/>
      <c r="I6"/>
      <c r="J6"/>
      <c r="K6"/>
      <c r="L6"/>
      <c r="M6"/>
      <c r="N6"/>
      <c r="O6"/>
      <c r="P6"/>
      <c r="Q6"/>
      <c r="R6"/>
      <c r="S6"/>
      <c r="T6"/>
      <c r="U6"/>
      <c r="V6"/>
      <c r="W6"/>
      <c r="X6"/>
      <c r="Y6"/>
      <c r="Z6"/>
      <c r="AA6"/>
      <c r="AB6"/>
      <c r="AC6"/>
      <c r="AD6"/>
      <c r="AE6"/>
      <c r="AF6"/>
      <c r="AG6"/>
      <c r="AH6"/>
      <c r="AI6"/>
      <c r="AJ6"/>
      <c r="AK6"/>
      <c r="AL6"/>
    </row>
    <row r="7" spans="1:102" x14ac:dyDescent="0.15">
      <c r="A7" s="200" t="s">
        <v>194</v>
      </c>
      <c r="B7" s="111">
        <v>0</v>
      </c>
      <c r="C7"/>
      <c r="D7"/>
      <c r="E7"/>
      <c r="F7"/>
      <c r="G7"/>
      <c r="H7"/>
      <c r="I7"/>
      <c r="J7"/>
      <c r="K7"/>
      <c r="L7"/>
      <c r="M7"/>
      <c r="N7"/>
      <c r="O7"/>
      <c r="P7"/>
      <c r="Q7"/>
      <c r="R7"/>
      <c r="S7"/>
      <c r="T7"/>
      <c r="U7"/>
      <c r="V7"/>
      <c r="W7"/>
      <c r="X7"/>
      <c r="Y7"/>
      <c r="Z7"/>
      <c r="AA7"/>
      <c r="AB7"/>
      <c r="AC7"/>
      <c r="AD7"/>
      <c r="AE7"/>
      <c r="AF7"/>
      <c r="AG7"/>
      <c r="AH7"/>
      <c r="AI7"/>
      <c r="AJ7"/>
      <c r="AK7"/>
      <c r="AL7"/>
    </row>
    <row r="8" spans="1:102" x14ac:dyDescent="0.15">
      <c r="A8" s="200" t="s">
        <v>195</v>
      </c>
      <c r="B8" s="111">
        <v>0</v>
      </c>
      <c r="C8"/>
      <c r="D8"/>
      <c r="E8"/>
      <c r="F8"/>
      <c r="G8"/>
      <c r="H8"/>
      <c r="I8"/>
      <c r="J8"/>
      <c r="K8"/>
      <c r="L8"/>
      <c r="M8"/>
      <c r="N8"/>
      <c r="O8"/>
      <c r="P8"/>
      <c r="Q8"/>
      <c r="R8"/>
      <c r="S8"/>
      <c r="T8"/>
      <c r="U8"/>
      <c r="V8"/>
      <c r="W8"/>
      <c r="X8"/>
      <c r="Y8"/>
      <c r="Z8"/>
      <c r="AA8"/>
      <c r="AB8"/>
      <c r="AC8"/>
      <c r="AD8"/>
      <c r="AE8"/>
      <c r="AF8"/>
      <c r="AG8"/>
      <c r="AH8"/>
      <c r="AI8"/>
      <c r="AJ8"/>
      <c r="AK8"/>
      <c r="AL8"/>
    </row>
    <row r="9" spans="1:102" x14ac:dyDescent="0.15">
      <c r="A9" s="200" t="s">
        <v>196</v>
      </c>
      <c r="B9" s="111">
        <v>0</v>
      </c>
      <c r="C9"/>
      <c r="D9"/>
      <c r="E9"/>
      <c r="F9"/>
      <c r="G9"/>
      <c r="H9"/>
      <c r="I9"/>
      <c r="J9"/>
      <c r="K9"/>
      <c r="L9"/>
      <c r="M9"/>
      <c r="N9"/>
      <c r="O9"/>
      <c r="P9"/>
      <c r="Q9"/>
      <c r="R9"/>
      <c r="S9"/>
      <c r="T9"/>
      <c r="U9"/>
      <c r="V9"/>
      <c r="W9"/>
      <c r="X9"/>
      <c r="Y9"/>
      <c r="Z9"/>
      <c r="AA9"/>
      <c r="AB9"/>
      <c r="AC9"/>
      <c r="AD9"/>
      <c r="AE9"/>
      <c r="AF9"/>
      <c r="AG9"/>
      <c r="AH9"/>
      <c r="AI9"/>
      <c r="AJ9"/>
      <c r="AK9"/>
      <c r="AL9"/>
    </row>
    <row r="10" spans="1:102" x14ac:dyDescent="0.15">
      <c r="A10" s="200" t="s">
        <v>197</v>
      </c>
      <c r="B10" s="111">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102" x14ac:dyDescent="0.15">
      <c r="A11" s="200" t="s">
        <v>198</v>
      </c>
      <c r="B11" s="111">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102" x14ac:dyDescent="0.15">
      <c r="A12" s="200" t="s">
        <v>199</v>
      </c>
      <c r="B12" s="111">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102" x14ac:dyDescent="0.15">
      <c r="A13" s="200" t="s">
        <v>200</v>
      </c>
      <c r="B13" s="111">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102" x14ac:dyDescent="0.15">
      <c r="A14" s="200" t="s">
        <v>201</v>
      </c>
      <c r="B14" s="111">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102" x14ac:dyDescent="0.15">
      <c r="A15" s="200" t="s">
        <v>202</v>
      </c>
      <c r="B15" s="111">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102" x14ac:dyDescent="0.15">
      <c r="A16" s="200" t="s">
        <v>203</v>
      </c>
      <c r="B16" s="111">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200" t="s">
        <v>204</v>
      </c>
      <c r="B17" s="111">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200" t="s">
        <v>205</v>
      </c>
      <c r="B18" s="111">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200" t="s">
        <v>206</v>
      </c>
      <c r="B19" s="111">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200" t="s">
        <v>207</v>
      </c>
      <c r="B20" s="111">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200" t="s">
        <v>208</v>
      </c>
      <c r="B21" s="111">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200" t="s">
        <v>209</v>
      </c>
      <c r="B22" s="111">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200" t="s">
        <v>210</v>
      </c>
      <c r="B23" s="111">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200" t="s">
        <v>211</v>
      </c>
      <c r="B24" s="111">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200" t="s">
        <v>212</v>
      </c>
      <c r="B25" s="111">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200" t="s">
        <v>213</v>
      </c>
      <c r="B26" s="111">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200" t="s">
        <v>214</v>
      </c>
      <c r="B27" s="111">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200" t="s">
        <v>215</v>
      </c>
      <c r="B28" s="111">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200" t="s">
        <v>216</v>
      </c>
      <c r="B29" s="111">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200" t="s">
        <v>217</v>
      </c>
      <c r="B30" s="111">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200" t="s">
        <v>218</v>
      </c>
      <c r="B31" s="111">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200" t="s">
        <v>219</v>
      </c>
      <c r="B32" s="111">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200" t="s">
        <v>220</v>
      </c>
      <c r="B33" s="111">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200" t="s">
        <v>221</v>
      </c>
      <c r="B34" s="111">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200" t="s">
        <v>222</v>
      </c>
      <c r="B35" s="111">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200" t="s">
        <v>223</v>
      </c>
      <c r="B36" s="111">
        <v>0</v>
      </c>
      <c r="C36"/>
      <c r="D36"/>
    </row>
    <row r="37" spans="1:38" ht="15" customHeight="1" x14ac:dyDescent="0.15">
      <c r="A37" s="200" t="s">
        <v>224</v>
      </c>
      <c r="B37" s="111">
        <v>0</v>
      </c>
      <c r="C37"/>
      <c r="D37"/>
    </row>
    <row r="38" spans="1:38" ht="15" customHeight="1" x14ac:dyDescent="0.15">
      <c r="A38" s="200" t="s">
        <v>225</v>
      </c>
      <c r="B38" s="111">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200" t="s">
        <v>226</v>
      </c>
      <c r="B39" s="111">
        <v>0</v>
      </c>
      <c r="C39"/>
      <c r="D39"/>
    </row>
    <row r="40" spans="1:38" ht="15" customHeight="1" x14ac:dyDescent="0.15">
      <c r="A40" s="200" t="s">
        <v>227</v>
      </c>
      <c r="B40" s="111">
        <v>0</v>
      </c>
      <c r="C40"/>
      <c r="D40"/>
    </row>
    <row r="41" spans="1:38" ht="15" customHeight="1" x14ac:dyDescent="0.15">
      <c r="A41" s="200" t="s">
        <v>228</v>
      </c>
      <c r="B41" s="111">
        <v>0</v>
      </c>
      <c r="C41"/>
      <c r="D41"/>
    </row>
    <row r="42" spans="1:38" ht="15" customHeight="1" x14ac:dyDescent="0.15">
      <c r="A42" s="200" t="s">
        <v>229</v>
      </c>
      <c r="B42" s="111">
        <v>0</v>
      </c>
    </row>
    <row r="43" spans="1:38" ht="15" customHeight="1" x14ac:dyDescent="0.15">
      <c r="A43" s="200" t="s">
        <v>230</v>
      </c>
      <c r="B43" s="111">
        <v>0</v>
      </c>
    </row>
    <row r="44" spans="1:38" ht="15" customHeight="1" x14ac:dyDescent="0.15">
      <c r="A44" s="200" t="s">
        <v>231</v>
      </c>
      <c r="B44" s="111">
        <v>0</v>
      </c>
    </row>
    <row r="45" spans="1:38" ht="15" customHeight="1" x14ac:dyDescent="0.15">
      <c r="A45" s="200" t="s">
        <v>232</v>
      </c>
      <c r="B45" s="111">
        <v>0</v>
      </c>
    </row>
    <row r="46" spans="1:38" ht="15" customHeight="1" x14ac:dyDescent="0.15">
      <c r="A46" s="200" t="s">
        <v>233</v>
      </c>
      <c r="B46" s="111">
        <v>0</v>
      </c>
    </row>
    <row r="47" spans="1:38" ht="15" customHeight="1" x14ac:dyDescent="0.15">
      <c r="A47" s="200" t="s">
        <v>234</v>
      </c>
      <c r="B47" s="111">
        <v>0</v>
      </c>
    </row>
    <row r="48" spans="1:38" ht="15" customHeight="1" x14ac:dyDescent="0.15">
      <c r="A48" s="200" t="s">
        <v>235</v>
      </c>
      <c r="B48" s="111">
        <v>0</v>
      </c>
    </row>
    <row r="49" spans="1:38" ht="15" customHeight="1" x14ac:dyDescent="0.15">
      <c r="A49" s="200" t="s">
        <v>236</v>
      </c>
      <c r="B49" s="111">
        <v>0</v>
      </c>
    </row>
    <row r="50" spans="1:38" ht="15" customHeight="1" x14ac:dyDescent="0.15">
      <c r="A50" s="200" t="s">
        <v>237</v>
      </c>
      <c r="B50" s="111">
        <v>0</v>
      </c>
    </row>
    <row r="51" spans="1:38" ht="15" customHeight="1" x14ac:dyDescent="0.15">
      <c r="A51" s="200" t="s">
        <v>238</v>
      </c>
      <c r="B51" s="111">
        <v>0</v>
      </c>
    </row>
    <row r="52" spans="1:38" ht="15" customHeight="1" x14ac:dyDescent="0.15">
      <c r="A52" s="200" t="s">
        <v>239</v>
      </c>
      <c r="B52" s="111">
        <v>0</v>
      </c>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A53" s="200" t="s">
        <v>240</v>
      </c>
      <c r="B53" s="111">
        <v>0</v>
      </c>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A54" s="200" t="s">
        <v>241</v>
      </c>
      <c r="B54" s="111">
        <v>0</v>
      </c>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A55" s="200" t="s">
        <v>242</v>
      </c>
      <c r="B55" s="111">
        <v>0</v>
      </c>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A56" s="200" t="s">
        <v>243</v>
      </c>
      <c r="B56" s="111">
        <v>0</v>
      </c>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A57" s="200" t="s">
        <v>244</v>
      </c>
      <c r="B57" s="111">
        <v>0</v>
      </c>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A58" s="200" t="s">
        <v>245</v>
      </c>
      <c r="B58" s="111">
        <v>0</v>
      </c>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A59" s="200" t="s">
        <v>246</v>
      </c>
      <c r="B59" s="111">
        <v>0</v>
      </c>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A60" s="200" t="s">
        <v>247</v>
      </c>
      <c r="B60" s="111">
        <v>0</v>
      </c>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A61" s="200" t="s">
        <v>248</v>
      </c>
      <c r="B61" s="111">
        <v>0</v>
      </c>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A62" s="200" t="s">
        <v>249</v>
      </c>
      <c r="B62" s="111">
        <v>0</v>
      </c>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A63" s="200" t="s">
        <v>250</v>
      </c>
      <c r="B63" s="111">
        <v>0</v>
      </c>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A64" s="200" t="s">
        <v>251</v>
      </c>
      <c r="B64" s="111">
        <v>0</v>
      </c>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ht="15" customHeight="1" x14ac:dyDescent="0.15">
      <c r="A65" s="200" t="s">
        <v>252</v>
      </c>
      <c r="B65" s="111">
        <v>0</v>
      </c>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ht="15" customHeight="1" x14ac:dyDescent="0.15">
      <c r="A66" s="200" t="s">
        <v>253</v>
      </c>
      <c r="B66" s="111">
        <v>0</v>
      </c>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ht="15" customHeight="1" x14ac:dyDescent="0.15">
      <c r="A67" s="200" t="s">
        <v>254</v>
      </c>
      <c r="B67" s="111">
        <v>0</v>
      </c>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ht="15" customHeight="1" x14ac:dyDescent="0.15">
      <c r="A68" s="200" t="s">
        <v>255</v>
      </c>
      <c r="B68" s="111">
        <v>0</v>
      </c>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ht="15" customHeight="1" x14ac:dyDescent="0.15">
      <c r="A69" s="200" t="s">
        <v>256</v>
      </c>
      <c r="B69" s="111">
        <v>0</v>
      </c>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ht="15" customHeight="1" x14ac:dyDescent="0.15">
      <c r="A70" s="200" t="s">
        <v>257</v>
      </c>
      <c r="B70" s="111">
        <v>0</v>
      </c>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ht="15" customHeight="1" x14ac:dyDescent="0.15">
      <c r="A71" s="200" t="s">
        <v>258</v>
      </c>
      <c r="B71" s="111">
        <v>0</v>
      </c>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ht="15" customHeight="1" x14ac:dyDescent="0.15">
      <c r="A72" s="200" t="s">
        <v>259</v>
      </c>
      <c r="B72" s="111">
        <v>0</v>
      </c>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ht="15" customHeight="1" x14ac:dyDescent="0.15">
      <c r="A73" s="200" t="s">
        <v>260</v>
      </c>
      <c r="B73" s="111">
        <v>0</v>
      </c>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ht="15" customHeight="1" x14ac:dyDescent="0.15">
      <c r="A74" s="200" t="s">
        <v>261</v>
      </c>
      <c r="B74" s="111">
        <v>0</v>
      </c>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ht="15" customHeight="1" x14ac:dyDescent="0.15">
      <c r="A75" s="200" t="s">
        <v>262</v>
      </c>
      <c r="B75" s="111">
        <v>0</v>
      </c>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ht="15" customHeight="1" x14ac:dyDescent="0.15">
      <c r="A76" s="200" t="s">
        <v>263</v>
      </c>
      <c r="B76" s="111">
        <v>0</v>
      </c>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ht="15" customHeight="1" x14ac:dyDescent="0.15">
      <c r="A77" s="200" t="s">
        <v>264</v>
      </c>
      <c r="B77" s="111">
        <v>0</v>
      </c>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ht="15" customHeight="1" x14ac:dyDescent="0.15">
      <c r="A78" s="200" t="s">
        <v>265</v>
      </c>
      <c r="B78" s="111">
        <v>0</v>
      </c>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ht="15" customHeight="1" x14ac:dyDescent="0.15">
      <c r="A79" s="200" t="s">
        <v>266</v>
      </c>
      <c r="B79" s="111">
        <v>0</v>
      </c>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ht="15" customHeight="1" x14ac:dyDescent="0.15">
      <c r="A80" s="200" t="s">
        <v>267</v>
      </c>
      <c r="B80" s="111">
        <v>0</v>
      </c>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1:38" ht="15" customHeight="1" x14ac:dyDescent="0.15">
      <c r="A81" s="200" t="s">
        <v>268</v>
      </c>
      <c r="B81" s="111">
        <v>0</v>
      </c>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1:38" ht="15" customHeight="1" x14ac:dyDescent="0.15">
      <c r="A82" s="200" t="s">
        <v>269</v>
      </c>
      <c r="B82" s="111">
        <v>0</v>
      </c>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1:38" ht="15" customHeight="1" x14ac:dyDescent="0.15">
      <c r="A83" s="200" t="s">
        <v>270</v>
      </c>
      <c r="B83" s="111">
        <v>0</v>
      </c>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1:38" ht="15" customHeight="1" x14ac:dyDescent="0.15">
      <c r="A84" s="200" t="s">
        <v>271</v>
      </c>
      <c r="B84" s="111">
        <v>0</v>
      </c>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1:38" ht="15" customHeight="1" x14ac:dyDescent="0.15">
      <c r="A85" s="200" t="s">
        <v>272</v>
      </c>
      <c r="B85" s="111">
        <v>0</v>
      </c>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1:38" ht="15" customHeight="1" x14ac:dyDescent="0.15">
      <c r="A86" s="200" t="s">
        <v>273</v>
      </c>
      <c r="B86" s="111">
        <v>0</v>
      </c>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1:38" ht="15" customHeight="1" x14ac:dyDescent="0.15">
      <c r="A87" s="200" t="s">
        <v>274</v>
      </c>
      <c r="B87" s="111">
        <v>0</v>
      </c>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1:38" ht="15" customHeight="1" x14ac:dyDescent="0.15">
      <c r="A88" s="200" t="s">
        <v>275</v>
      </c>
      <c r="B88" s="111">
        <v>0</v>
      </c>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1:38" ht="15" customHeight="1" x14ac:dyDescent="0.15">
      <c r="A89" s="200" t="s">
        <v>276</v>
      </c>
      <c r="B89" s="111">
        <v>0</v>
      </c>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1:38" ht="15" customHeight="1" x14ac:dyDescent="0.15">
      <c r="A90" s="200" t="s">
        <v>277</v>
      </c>
      <c r="B90" s="111">
        <v>0</v>
      </c>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1:38" ht="15" customHeight="1" x14ac:dyDescent="0.15">
      <c r="A91" s="200" t="s">
        <v>278</v>
      </c>
      <c r="B91" s="111">
        <v>0</v>
      </c>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1:38" ht="15" customHeight="1" x14ac:dyDescent="0.15">
      <c r="A92" s="200" t="s">
        <v>279</v>
      </c>
      <c r="B92" s="111">
        <v>0</v>
      </c>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1:38" ht="15" customHeight="1" x14ac:dyDescent="0.15">
      <c r="A93" s="200" t="s">
        <v>280</v>
      </c>
      <c r="B93" s="111">
        <v>0</v>
      </c>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1:38" ht="15" customHeight="1" x14ac:dyDescent="0.15">
      <c r="A94" s="200" t="s">
        <v>281</v>
      </c>
      <c r="B94" s="111">
        <v>0</v>
      </c>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1:38" ht="15" customHeight="1" x14ac:dyDescent="0.15">
      <c r="A95" s="200" t="s">
        <v>282</v>
      </c>
      <c r="B95" s="111">
        <v>0</v>
      </c>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1:38" ht="15" customHeight="1" x14ac:dyDescent="0.15">
      <c r="A96" s="200" t="s">
        <v>283</v>
      </c>
      <c r="B96" s="111">
        <v>0</v>
      </c>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1:38" ht="15" customHeight="1" x14ac:dyDescent="0.15">
      <c r="A97" s="200" t="s">
        <v>284</v>
      </c>
      <c r="B97" s="111">
        <v>0</v>
      </c>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1:38" ht="15" customHeight="1" x14ac:dyDescent="0.15">
      <c r="A98" s="200" t="s">
        <v>285</v>
      </c>
      <c r="B98" s="111">
        <v>0</v>
      </c>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1: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1: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1: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1: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1: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1: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1: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1: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1: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1: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1: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1: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1: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1: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2022-10-24T03:07:47Z</dcterms:modified>
</cp:coreProperties>
</file>