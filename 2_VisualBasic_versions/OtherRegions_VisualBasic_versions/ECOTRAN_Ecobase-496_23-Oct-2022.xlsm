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31022B2A-1853-F043-BDAC-7C89DA1F068A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Main!$C$2:$N$22</definedName>
    <definedName name="matDetritus">Detritus!$C$2:$E$22</definedName>
    <definedName name="matDiet">Diets!$B$2:$S$22</definedName>
    <definedName name="matDiscards">Discards!$C$2:$C$21</definedName>
    <definedName name="matFishery">Fishing!$C$2:$C$21</definedName>
    <definedName name="matFishing">Fishing!#REF!</definedName>
    <definedName name="matMort">Mortalities!$A$1:$X$21</definedName>
    <definedName name="matOut">MainOutputs!$A$2:$I$22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<sst xmlns="http://schemas.openxmlformats.org/spreadsheetml/2006/main" count="725" uniqueCount="217">
  <si>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</si>
  <si>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</si>
  <si>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</si>
  <si>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</si>
  <si>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</si>
  <si>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</si>
  <si>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</si>
  <si>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</si>
  <si>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</si>
  <si>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</si>
  <si>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</si>
  <si>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</si>
  <si>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</si>
  <si>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</si>
  <si>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</si>
  <si>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</si>
  <si>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</si>
  <si>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</si>
  <si>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</si>
  <si>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</si>
  <si>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</si>
  <si>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</si>
  <si>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</si>
  <si>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</si>
  <si>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</si>
  <si>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</si>
  <si>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</si>
  <si>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</si>
  <si>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</si>
  <si>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</si>
  <si>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</si>
  <si>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</si>
  <si>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</si>
  <si>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</si>
  <si>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</si>
  <si>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</si>
  <si>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</si>
  <si>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</si>
  <si>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</si>
  <si>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</si>
  <si>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</si>
  <si>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</si>
  <si>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</si>
  <si>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</si>
  <si>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</si>
  <si>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</si>
  <si>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</si>
  <si>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</si>
  <si>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</si>
  <si>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</si>
  <si>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</si>
  <si>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</si>
  <si>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</si>
  <si>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</si>
  <si>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</si>
  <si>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</si>
  <si>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</si>
  <si>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</si>
  <si>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</si>
  <si>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</si>
  <si>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</si>
  <si>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</si>
  <si>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</si>
  <si>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</si>
  <si>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</si>
  <si>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</si>
  <si>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</si>
  <si>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</si>
  <si>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</si>
  <si>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</si>
  <si>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</si>
  <si>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</si>
  <si>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</si>
  <si>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</si>
  <si>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</si>
  <si>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</si>
  <si>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</si>
  <si>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</si>
  <si>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</si>
  <si>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</si>
  <si>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</si>
  <si>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</si>
  <si>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</si>
  <si>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</si>
  <si>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</si>
  <si>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</si>
  <si>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</si>
  <si>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</si>
  <si>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</si>
  <si>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</si>
  <si>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</si>
  <si>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</si>
  <si>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</si>
  <si>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</si>
  <si>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</si>
  <si>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</si>
  <si>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</si>
  <si>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</si>
  <si>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</si>
  <si>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</si>
  <si>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</si>
  <si>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</si>
  <si>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</si>
  <si>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</si>
  <si>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</si>
  <si>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</si>
  <si>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</si>
  <si>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</si>
  <si>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</si>
  <si>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</si>
  <si>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</si>
  <si>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</si>
  <si>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</si>
  <si>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</si>
  <si>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</si>
  <si>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</si>
  <si>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</si>
  <si>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</si>
  <si>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</si>
  <si>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</si>
  <si>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</si>
  <si>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</si>
  <si>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</si>
  <si>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</si>
  <si>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</si>
  <si>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</si>
  <si>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</si>
  <si>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</si>
  <si>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</si>
  <si>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</si>
  <si>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</si>
  <si>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</si>
  <si>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</si>
  <si>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</si>
  <si>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</si>
  <si>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</si>
  <si>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</si>
  <si>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</si>
  <si>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</si>
  <si>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</si>
  <si>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</si>
  <si>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</si>
  <si>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</si>
  <si>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</si>
  <si>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</si>
  <si>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</si>
  <si>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</si>
  <si>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</si>
  <si>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</si>
  <si>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</si>
  <si>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</si>
  <si>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</si>
  <si>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</si>
  <si>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</si>
  <si>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</si>
  <si>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</si>
  <si>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</si>
  <si>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</si>
  <si>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</si>
  <si>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</si>
  <si>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</si>
  <si>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</si>
  <si>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</si>
  <si>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</si>
  <si>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</si>
  <si>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</si>
  <si>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cephalopods</t>
  </si>
  <si>
    <t>planktivorous fish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</si>
  <si>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</si>
  <si>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</si>
  <si>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</si>
  <si>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</si>
  <si>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</si>
  <si>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</si>
  <si>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</si>
  <si>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</si>
  <si>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</si>
  <si>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</si>
  <si>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</si>
  <si>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</si>
  <si>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</si>
  <si>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</si>
  <si>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</si>
  <si>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</si>
  <si>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</si>
  <si>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</si>
  <si>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</si>
  <si>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Eritrea</t>
  </si>
  <si>
    <t>BOX(38.5586363219434 12.688670699103,43.1714202150922 18.3264416162984)</t>
  </si>
  <si>
    <t>coral reef</t>
  </si>
  <si>
    <t>WetWeight</t>
  </si>
  <si>
    <t>No description</t>
  </si>
  <si>
    <t>Tsehaye I.,Nagelkerke L.A.J.(2008). Exploring optimal fishing scenarios for the multispecies artisanal fisheries of Eritrea using a trophic model Ecological Modelling. pp 319-333</t>
  </si>
  <si>
    <t>Large reef demersal</t>
  </si>
  <si>
    <t>Near reef pelagics</t>
  </si>
  <si>
    <t>Large pelagic</t>
  </si>
  <si>
    <t>carnivorous fish</t>
  </si>
  <si>
    <t>large herbivorous reef fish</t>
  </si>
  <si>
    <t>small omnivorous fish</t>
  </si>
  <si>
    <t>small herbivorous fish</t>
  </si>
  <si>
    <t>echinoderms</t>
  </si>
  <si>
    <t>crustaceans</t>
  </si>
  <si>
    <t xml:space="preserve">mollusk/worm </t>
  </si>
  <si>
    <t>meiobenthos</t>
  </si>
  <si>
    <t>decomposers/microfauna</t>
  </si>
  <si>
    <t>sessile animals</t>
  </si>
  <si>
    <t>zooplankton</t>
  </si>
  <si>
    <t>phytoplankton</t>
  </si>
  <si>
    <t>benthic algae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</si>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</sst>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0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E0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2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5" borderId="0" xfId="0" applyFill="1"/>
    <xf numFmtId="0" fontId="0" fillId="36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4" borderId="3" xfId="0" applyNumberFormat="1" applyFont="1" applyFill="1" applyBorder="1"/>
    <xf numFmtId="0" fontId="0" fillId="34" borderId="2" xfId="0" applyFont="1" applyFill="1" applyBorder="1"/>
    <xf numFmtId="0" fontId="0" fillId="34" borderId="3" xfId="0" applyFont="1" applyFill="1" applyBorder="1"/>
    <xf numFmtId="0" fontId="0" fillId="3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0" borderId="0" xfId="0" applyFill="1"/>
    <xf numFmtId="0" fontId="0" fillId="4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46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59" t="s">
        <v>173</v>
      </c>
      <c r="C53" s="104">
        <v>496</v>
      </c>
      <c r="D53" s="104"/>
    </row>
    <row r="54" spans="2:4" x14ac:dyDescent="0.15">
      <c r="B54" s="159" t="s">
        <v>174</v>
      </c>
      <c r="C54" s="159" t="s">
        <v>187</v>
      </c>
      <c r="D54" s="104"/>
    </row>
    <row r="55" spans="2:4" x14ac:dyDescent="0.15">
      <c r="B55" s="159" t="s">
        <v>175</v>
      </c>
      <c r="C55" s="159" t="s">
        <v>187</v>
      </c>
      <c r="D55" s="104"/>
    </row>
    <row r="56" spans="2:4" x14ac:dyDescent="0.15">
      <c r="B56" s="159" t="s">
        <v>176</v>
      </c>
      <c r="C56" s="104">
        <v>6000</v>
      </c>
      <c r="D56" s="104"/>
    </row>
    <row r="57" spans="2:4" x14ac:dyDescent="0.15">
      <c r="B57" s="159" t="s">
        <v>177</v>
      </c>
      <c r="C57" s="159" t="s">
        <v>188</v>
      </c>
      <c r="D57" s="104"/>
    </row>
    <row r="58" spans="2:4" x14ac:dyDescent="0.15">
      <c r="B58" s="159" t="s">
        <v>178</v>
      </c>
      <c r="C58" s="159" t="s">
        <v>189</v>
      </c>
      <c r="D58" s="104"/>
    </row>
    <row r="59" spans="2:4" x14ac:dyDescent="0.15">
      <c r="B59" s="159" t="s">
        <v>179</v>
      </c>
      <c r="C59" s="159" t="s">
        <v>190</v>
      </c>
      <c r="D59" s="104"/>
    </row>
    <row r="60" spans="2:4" x14ac:dyDescent="0.15">
      <c r="B60" s="159" t="s">
        <v>180</v>
      </c>
      <c r="C60" s="159" t="s">
        <v>191</v>
      </c>
      <c r="D60" s="104"/>
    </row>
    <row r="61" spans="2:4" x14ac:dyDescent="0.15">
      <c r="B61" s="159" t="s">
        <v>181</v>
      </c>
      <c r="C61" s="104">
        <v>19</v>
      </c>
      <c r="D61" s="104"/>
    </row>
    <row r="62" spans="2:4" x14ac:dyDescent="0.15">
      <c r="B62" s="159" t="s">
        <v>182</v>
      </c>
      <c r="C62" s="104">
        <v>1</v>
      </c>
      <c r="D62" s="104"/>
    </row>
    <row r="63" spans="2:4" x14ac:dyDescent="0.15">
      <c r="B63" s="159" t="s">
        <v>183</v>
      </c>
      <c r="C63" s="104">
        <v>1998</v>
      </c>
      <c r="D63" s="104"/>
    </row>
    <row r="64" spans="2:4" x14ac:dyDescent="0.15">
      <c r="B64" s="159" t="s">
        <v>184</v>
      </c>
      <c r="C64" s="104">
        <v>0</v>
      </c>
      <c r="D64" s="104"/>
    </row>
    <row r="65" spans="2:4" x14ac:dyDescent="0.15">
      <c r="B65" s="159" t="s">
        <v>185</v>
      </c>
      <c r="C65" s="159" t="s">
        <v>192</v>
      </c>
      <c r="D65" s="104"/>
    </row>
    <row r="66" spans="2:4" x14ac:dyDescent="0.15">
      <c r="B66" s="159" t="s">
        <v>186</v>
      </c>
      <c r="D66" s="104"/>
    </row>
    <row r="67" spans="2:4" x14ac:dyDescent="0.15">
      <c r="B67" s="104"/>
      <c r="C67" s="104"/>
      <c r="D67" s="104"/>
    </row>
    <row r="68" spans="2:4" x14ac:dyDescent="0.15">
      <c r="B68" s="104"/>
      <c r="C68" s="104"/>
      <c r="D68" s="104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R6" sqref="R6"/>
    </sheetView>
  </sheetViews>
  <sheetFormatPr baseColWidth="10" defaultColWidth="8.83203125" defaultRowHeight="15" customHeight="1" x14ac:dyDescent="0.15"/>
  <cols>
    <col min="1" max="1" width="22.5" style="77" customWidth="1"/>
    <col min="2" max="3" width="3.33203125" style="77" customWidth="1"/>
    <col min="4" max="4" width="14.33203125" style="77" customWidth="1"/>
    <col min="5" max="5" width="22.1640625" style="77" bestFit="1" customWidth="1"/>
    <col min="6" max="6" width="2.33203125" style="77" bestFit="1" customWidth="1"/>
    <col min="7" max="7" width="5.83203125" style="77" bestFit="1" customWidth="1"/>
    <col min="8" max="8" width="4.83203125" style="77" customWidth="1"/>
    <col min="9" max="9" width="4.33203125" style="77" customWidth="1"/>
    <col min="10" max="10" width="11.83203125" style="77" customWidth="1"/>
    <col min="11" max="11" width="12.83203125" style="77" customWidth="1"/>
    <col min="12" max="12" width="2.33203125" style="77" customWidth="1"/>
    <col min="13" max="13" width="3.83203125" style="77" customWidth="1"/>
    <col min="14" max="14" width="2.33203125" style="77" customWidth="1"/>
    <col min="16" max="25" width="8.83203125" style="7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7"/>
  </cols>
  <sheetData>
    <row r="1" spans="1:46" s="94" customFormat="1" ht="15" customHeight="1" x14ac:dyDescent="0.15">
      <c r="A1" s="73" t="s">
        <v>18</v>
      </c>
      <c r="C1" s="74" t="s">
        <v>8</v>
      </c>
      <c r="D1" s="73" t="s">
        <v>23</v>
      </c>
      <c r="E1" s="73" t="s">
        <v>0</v>
      </c>
      <c r="F1" s="73" t="s">
        <v>7</v>
      </c>
      <c r="G1" s="75" t="s">
        <v>13</v>
      </c>
      <c r="H1" s="73" t="s">
        <v>1</v>
      </c>
      <c r="I1" s="73" t="s">
        <v>2</v>
      </c>
      <c r="J1" s="73" t="s">
        <v>14</v>
      </c>
      <c r="K1" s="73" t="s">
        <v>3</v>
      </c>
      <c r="L1" s="73" t="s">
        <v>4</v>
      </c>
      <c r="M1" s="73" t="s">
        <v>5</v>
      </c>
      <c r="N1" s="7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4">
        <v>1</v>
      </c>
      <c r="D2"/>
      <c r="E2" s="160" t="s">
        <v>193</v>
      </c>
      <c r="F2" s="77">
        <v>0</v>
      </c>
      <c r="G2" s="77">
        <v>3.4</v>
      </c>
      <c r="H2" s="77">
        <v>0.37</v>
      </c>
      <c r="I2" s="6">
        <v>3.9</v>
      </c>
      <c r="J2" s="6">
        <v>0.76494439999999997</v>
      </c>
      <c r="K2" s="6">
        <v>9.4871800000000006E-2</v>
      </c>
      <c r="L2" s="6">
        <v>0</v>
      </c>
      <c r="M2" s="77">
        <v>0.2</v>
      </c>
      <c r="N2" s="77">
        <v>0</v>
      </c>
    </row>
    <row r="3" spans="1:46" ht="15" customHeight="1" x14ac:dyDescent="0.15">
      <c r="A3" s="1" t="s">
        <v>9</v>
      </c>
      <c r="B3" s="4">
        <v>18</v>
      </c>
      <c r="C3" s="77">
        <v>2</v>
      </c>
      <c r="D3"/>
      <c r="E3" s="160" t="s">
        <v>194</v>
      </c>
      <c r="F3" s="77">
        <v>0</v>
      </c>
      <c r="G3" s="77">
        <v>3</v>
      </c>
      <c r="H3" s="77">
        <v>0.39</v>
      </c>
      <c r="I3" s="77">
        <v>4.5</v>
      </c>
      <c r="J3" s="77">
        <v>0.67427355099999997</v>
      </c>
      <c r="K3" s="77">
        <v>8.6666666000000003E-2</v>
      </c>
      <c r="L3" s="77">
        <v>0</v>
      </c>
      <c r="M3" s="77">
        <v>0.2</v>
      </c>
      <c r="N3" s="77">
        <v>0</v>
      </c>
    </row>
    <row r="4" spans="1:46" ht="15" customHeight="1" x14ac:dyDescent="0.15">
      <c r="A4" s="1" t="s">
        <v>10</v>
      </c>
      <c r="B4" s="4">
        <v>2</v>
      </c>
      <c r="C4" s="77">
        <v>3</v>
      </c>
      <c r="D4"/>
      <c r="E4" s="160" t="s">
        <v>195</v>
      </c>
      <c r="F4" s="77">
        <v>0</v>
      </c>
      <c r="G4" s="77">
        <v>3.9</v>
      </c>
      <c r="H4" s="77">
        <v>0.38</v>
      </c>
      <c r="I4" s="77">
        <v>4.9000000000000004</v>
      </c>
      <c r="J4" s="77">
        <v>0.72489875599999998</v>
      </c>
      <c r="K4" s="77">
        <v>7.7551014700000004E-2</v>
      </c>
      <c r="L4" s="77">
        <v>0</v>
      </c>
      <c r="M4" s="77">
        <v>0.2</v>
      </c>
      <c r="N4" s="7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7">
        <v>4</v>
      </c>
      <c r="D5"/>
      <c r="E5" s="160" t="s">
        <v>196</v>
      </c>
      <c r="F5" s="77">
        <v>0</v>
      </c>
      <c r="G5" s="77">
        <v>9</v>
      </c>
      <c r="H5" s="77">
        <v>1.1000000000000001</v>
      </c>
      <c r="I5" s="77">
        <v>6</v>
      </c>
      <c r="J5" s="77">
        <v>0.68725460000000005</v>
      </c>
      <c r="K5" s="77">
        <v>0.18333333700000001</v>
      </c>
      <c r="L5" s="77">
        <v>0</v>
      </c>
      <c r="M5" s="77">
        <v>0.2</v>
      </c>
      <c r="N5" s="77">
        <v>0</v>
      </c>
      <c r="P5" s="68"/>
      <c r="Q5" s="68"/>
      <c r="R5" s="68"/>
    </row>
    <row r="6" spans="1:46" ht="15" customHeight="1" thickBot="1" x14ac:dyDescent="0.2">
      <c r="B6" s="1"/>
      <c r="C6" s="77">
        <v>5</v>
      </c>
      <c r="D6"/>
      <c r="E6" s="160" t="s">
        <v>197</v>
      </c>
      <c r="F6" s="77">
        <v>0</v>
      </c>
      <c r="G6" s="77">
        <v>3.45</v>
      </c>
      <c r="H6" s="77">
        <v>2.1</v>
      </c>
      <c r="I6" s="77">
        <v>20</v>
      </c>
      <c r="J6" s="77">
        <v>0.82064599999999999</v>
      </c>
      <c r="K6" s="77">
        <v>0.105</v>
      </c>
      <c r="L6" s="77">
        <v>0</v>
      </c>
      <c r="M6" s="77">
        <v>0.2</v>
      </c>
      <c r="N6" s="77">
        <v>0</v>
      </c>
      <c r="P6" s="68"/>
      <c r="Q6" s="68"/>
      <c r="R6" s="68"/>
      <c r="W6" s="34" t="s">
        <v>31</v>
      </c>
      <c r="X6" s="50">
        <f>MAX(MainOutputs!G:G)</f>
        <v>0.91135591268539429</v>
      </c>
    </row>
    <row r="7" spans="1:46" ht="15" customHeight="1" x14ac:dyDescent="0.15">
      <c r="A7" s="2" t="s">
        <v>27</v>
      </c>
      <c r="B7" s="77">
        <f ca="1">COUNTIF(OFFSET(cornerDiets,1,1,NumLiving+NumDead+1,NumLiving+NumDead),"&gt;0")+NumLiving+NumDead+1</f>
        <v>171</v>
      </c>
      <c r="C7" s="77">
        <v>6</v>
      </c>
      <c r="D7"/>
      <c r="E7" s="160" t="s">
        <v>198</v>
      </c>
      <c r="F7" s="77">
        <v>0</v>
      </c>
      <c r="G7" s="77">
        <v>10.38</v>
      </c>
      <c r="H7" s="77">
        <v>2.2000000000000002</v>
      </c>
      <c r="I7" s="77">
        <v>18</v>
      </c>
      <c r="J7" s="77">
        <v>0.82983136199999996</v>
      </c>
      <c r="K7" s="77">
        <v>0.12222222200000001</v>
      </c>
      <c r="L7" s="77">
        <v>0</v>
      </c>
      <c r="M7" s="77">
        <v>0.2</v>
      </c>
      <c r="N7" s="77">
        <v>0</v>
      </c>
      <c r="P7" s="68"/>
      <c r="Q7" s="68"/>
      <c r="R7" s="68"/>
    </row>
    <row r="8" spans="1:46" ht="15" customHeight="1" x14ac:dyDescent="0.15">
      <c r="A8" s="2" t="s">
        <v>28</v>
      </c>
      <c r="B8" s="77">
        <f ca="1">COUNTIF(OFFSET(cornerFishing,1,2,NumLiving+NumDead,NumGears),"&gt;0")+NumDead*COUNTIF(OFFSET(cornerDiscards,1,2,NumLiving+NumDead,NumGears),"&gt;0")+NumLiving+NumDead+1</f>
        <v>24</v>
      </c>
      <c r="C8" s="77">
        <v>7</v>
      </c>
      <c r="D8"/>
      <c r="E8" s="160" t="s">
        <v>199</v>
      </c>
      <c r="F8" s="77">
        <v>0</v>
      </c>
      <c r="G8" s="77">
        <v>7.3</v>
      </c>
      <c r="H8" s="77">
        <v>2.4</v>
      </c>
      <c r="I8" s="77">
        <v>32</v>
      </c>
      <c r="J8" s="77">
        <v>0.83964777000000002</v>
      </c>
      <c r="K8" s="77">
        <v>7.4999999999999997E-2</v>
      </c>
      <c r="L8" s="77">
        <v>0</v>
      </c>
      <c r="M8" s="77">
        <v>0.2</v>
      </c>
      <c r="N8" s="77">
        <v>0</v>
      </c>
      <c r="P8" s="68"/>
      <c r="Q8" s="68"/>
      <c r="R8" s="68"/>
    </row>
    <row r="9" spans="1:46" ht="15" customHeight="1" x14ac:dyDescent="0.15">
      <c r="B9" s="1"/>
      <c r="C9" s="77">
        <v>8</v>
      </c>
      <c r="D9"/>
      <c r="E9" s="160" t="s">
        <v>167</v>
      </c>
      <c r="F9" s="77">
        <v>0</v>
      </c>
      <c r="G9" s="77">
        <v>7.95</v>
      </c>
      <c r="H9" s="77">
        <v>2.8</v>
      </c>
      <c r="I9" s="77">
        <v>15</v>
      </c>
      <c r="J9" s="77">
        <v>0.9113559</v>
      </c>
      <c r="K9" s="77">
        <v>0.18666666700000001</v>
      </c>
      <c r="L9" s="77">
        <v>0</v>
      </c>
      <c r="M9" s="77">
        <v>0.2</v>
      </c>
      <c r="N9" s="77">
        <v>0</v>
      </c>
      <c r="P9" s="68"/>
      <c r="Q9" s="68"/>
      <c r="R9" s="68"/>
    </row>
    <row r="10" spans="1:46" ht="15" customHeight="1" x14ac:dyDescent="0.15">
      <c r="B10" s="1"/>
      <c r="C10" s="77">
        <v>9</v>
      </c>
      <c r="D10"/>
      <c r="E10" s="160" t="s">
        <v>166</v>
      </c>
      <c r="F10" s="77">
        <v>0</v>
      </c>
      <c r="G10" s="77">
        <v>7.61</v>
      </c>
      <c r="H10" s="77">
        <v>3.5</v>
      </c>
      <c r="I10" s="77">
        <v>12</v>
      </c>
      <c r="J10" s="77">
        <v>0.78988546100000001</v>
      </c>
      <c r="K10" s="77">
        <v>0.291666657</v>
      </c>
      <c r="L10" s="77">
        <v>0</v>
      </c>
      <c r="M10" s="77">
        <v>0.2</v>
      </c>
      <c r="N10" s="77">
        <v>0</v>
      </c>
    </row>
    <row r="11" spans="1:46" ht="15" customHeight="1" x14ac:dyDescent="0.15">
      <c r="C11" s="77">
        <v>10</v>
      </c>
      <c r="D11"/>
      <c r="E11" s="160" t="s">
        <v>200</v>
      </c>
      <c r="F11" s="77">
        <v>0</v>
      </c>
      <c r="G11" s="77">
        <v>22.35</v>
      </c>
      <c r="H11" s="77">
        <v>1.6</v>
      </c>
      <c r="I11" s="77">
        <v>8</v>
      </c>
      <c r="J11" s="77">
        <v>0.81995516999999996</v>
      </c>
      <c r="K11" s="77">
        <v>0.2</v>
      </c>
      <c r="L11" s="77">
        <v>0</v>
      </c>
      <c r="M11" s="77">
        <v>0.2</v>
      </c>
      <c r="N11" s="77">
        <v>0</v>
      </c>
    </row>
    <row r="12" spans="1:46" ht="15" customHeight="1" x14ac:dyDescent="0.15">
      <c r="C12" s="77">
        <v>11</v>
      </c>
      <c r="D12"/>
      <c r="E12" s="160" t="s">
        <v>201</v>
      </c>
      <c r="F12" s="77">
        <v>0</v>
      </c>
      <c r="G12" s="77">
        <v>47.48</v>
      </c>
      <c r="H12" s="77">
        <v>3</v>
      </c>
      <c r="I12" s="77">
        <v>10</v>
      </c>
      <c r="J12" s="77">
        <v>0.83993154800000003</v>
      </c>
      <c r="K12" s="77">
        <v>0.3</v>
      </c>
      <c r="L12" s="77">
        <v>0</v>
      </c>
      <c r="M12" s="77">
        <v>0.2</v>
      </c>
      <c r="N12" s="77">
        <v>0</v>
      </c>
    </row>
    <row r="13" spans="1:46" ht="15" customHeight="1" x14ac:dyDescent="0.15">
      <c r="C13" s="77">
        <v>12</v>
      </c>
      <c r="D13"/>
      <c r="E13" s="160" t="s">
        <v>202</v>
      </c>
      <c r="F13" s="77">
        <v>0</v>
      </c>
      <c r="G13" s="77">
        <v>18.8</v>
      </c>
      <c r="H13" s="77">
        <v>9</v>
      </c>
      <c r="I13" s="77">
        <v>30</v>
      </c>
      <c r="J13" s="77">
        <v>0.650115848</v>
      </c>
      <c r="K13" s="77">
        <v>0.3</v>
      </c>
      <c r="L13" s="77">
        <v>0</v>
      </c>
      <c r="M13" s="77">
        <v>0.2</v>
      </c>
      <c r="N13" s="77">
        <v>0</v>
      </c>
    </row>
    <row r="14" spans="1:46" ht="15" customHeight="1" x14ac:dyDescent="0.15">
      <c r="C14" s="77">
        <v>13</v>
      </c>
      <c r="D14"/>
      <c r="E14" s="160" t="s">
        <v>203</v>
      </c>
      <c r="F14" s="77">
        <v>0</v>
      </c>
      <c r="G14" s="77">
        <v>42.04</v>
      </c>
      <c r="H14" s="77">
        <v>26</v>
      </c>
      <c r="I14" s="77">
        <v>100</v>
      </c>
      <c r="J14" s="77">
        <v>0.44216588099999998</v>
      </c>
      <c r="K14" s="77">
        <v>0.26</v>
      </c>
      <c r="L14" s="77">
        <v>0</v>
      </c>
      <c r="M14" s="77">
        <v>0.2</v>
      </c>
      <c r="N14" s="77">
        <v>0</v>
      </c>
    </row>
    <row r="15" spans="1:46" ht="15" customHeight="1" x14ac:dyDescent="0.15">
      <c r="C15" s="77">
        <v>14</v>
      </c>
      <c r="D15"/>
      <c r="E15" s="160" t="s">
        <v>204</v>
      </c>
      <c r="F15" s="77">
        <v>0</v>
      </c>
      <c r="G15" s="77">
        <v>50</v>
      </c>
      <c r="H15" s="77">
        <v>67</v>
      </c>
      <c r="I15" s="77">
        <v>219</v>
      </c>
      <c r="J15" s="77">
        <v>0.48304227</v>
      </c>
      <c r="K15" s="77">
        <v>0.30593606800000001</v>
      </c>
      <c r="L15" s="77">
        <v>0</v>
      </c>
      <c r="M15" s="77">
        <v>0.2</v>
      </c>
      <c r="N15" s="77">
        <v>0</v>
      </c>
    </row>
    <row r="16" spans="1:46" ht="15" customHeight="1" x14ac:dyDescent="0.15">
      <c r="C16" s="77">
        <v>15</v>
      </c>
      <c r="D16"/>
      <c r="E16" s="160" t="s">
        <v>205</v>
      </c>
      <c r="F16" s="77">
        <v>0</v>
      </c>
      <c r="G16" s="77">
        <v>500</v>
      </c>
      <c r="H16" s="77">
        <v>3.2</v>
      </c>
      <c r="I16" s="77">
        <v>12</v>
      </c>
      <c r="J16" s="77">
        <v>0.112391591</v>
      </c>
      <c r="K16" s="77">
        <v>0.26666668100000002</v>
      </c>
      <c r="L16" s="77">
        <v>0</v>
      </c>
      <c r="M16" s="77">
        <v>0.2</v>
      </c>
      <c r="N16" s="77">
        <v>0</v>
      </c>
    </row>
    <row r="17" spans="1:22" ht="15" customHeight="1" x14ac:dyDescent="0.15">
      <c r="C17" s="77">
        <v>16</v>
      </c>
      <c r="D17"/>
      <c r="E17" s="160" t="s">
        <v>206</v>
      </c>
      <c r="F17" s="77">
        <v>0</v>
      </c>
      <c r="G17" s="77">
        <v>24</v>
      </c>
      <c r="H17" s="77">
        <v>52</v>
      </c>
      <c r="I17" s="77">
        <v>178</v>
      </c>
      <c r="J17" s="77">
        <v>0.77449679999999999</v>
      </c>
      <c r="K17" s="77">
        <v>0.29213482099999999</v>
      </c>
      <c r="L17" s="77">
        <v>0</v>
      </c>
      <c r="M17" s="77">
        <v>0.2</v>
      </c>
      <c r="N17" s="77">
        <v>0</v>
      </c>
      <c r="V17" s="1" t="s">
        <v>30</v>
      </c>
    </row>
    <row r="18" spans="1:22" ht="15" customHeight="1" x14ac:dyDescent="0.15">
      <c r="C18" s="77">
        <v>17</v>
      </c>
      <c r="D18"/>
      <c r="E18" s="160" t="s">
        <v>207</v>
      </c>
      <c r="F18" s="77">
        <v>1</v>
      </c>
      <c r="G18" s="77">
        <v>20.5</v>
      </c>
      <c r="H18" s="77">
        <v>450</v>
      </c>
      <c r="I18" s="77">
        <v>0</v>
      </c>
      <c r="J18" s="77">
        <v>0.2676308</v>
      </c>
      <c r="K18" s="77">
        <v>0</v>
      </c>
      <c r="L18" s="77">
        <v>0</v>
      </c>
      <c r="M18" s="77">
        <v>0</v>
      </c>
      <c r="N18" s="77">
        <v>0</v>
      </c>
      <c r="V18" s="1"/>
    </row>
    <row r="19" spans="1:22" ht="15" customHeight="1" x14ac:dyDescent="0.15">
      <c r="C19" s="77">
        <v>18</v>
      </c>
      <c r="D19"/>
      <c r="E19" s="160" t="s">
        <v>208</v>
      </c>
      <c r="F19" s="77">
        <v>1</v>
      </c>
      <c r="G19" s="77">
        <v>740</v>
      </c>
      <c r="H19" s="77">
        <v>12.1</v>
      </c>
      <c r="I19" s="77">
        <v>0</v>
      </c>
      <c r="J19" s="77">
        <v>8.7965829999999995E-2</v>
      </c>
      <c r="K19" s="77">
        <v>0</v>
      </c>
      <c r="L19" s="77">
        <v>0</v>
      </c>
      <c r="M19" s="77">
        <v>0</v>
      </c>
      <c r="N19" s="77">
        <v>0</v>
      </c>
    </row>
    <row r="20" spans="1:22" ht="15" customHeight="1" thickBot="1" x14ac:dyDescent="0.2">
      <c r="C20" s="77">
        <v>19</v>
      </c>
      <c r="D20"/>
      <c r="E20" s="160" t="s">
        <v>209</v>
      </c>
      <c r="F20" s="77">
        <v>2</v>
      </c>
      <c r="G20" s="77">
        <v>800</v>
      </c>
      <c r="H20" s="77">
        <v>0</v>
      </c>
      <c r="I20" s="77">
        <v>0</v>
      </c>
      <c r="J20" s="77">
        <v>0</v>
      </c>
      <c r="K20" s="77">
        <v>0</v>
      </c>
      <c r="L20" s="77">
        <v>0</v>
      </c>
      <c r="M20" s="77">
        <v>0</v>
      </c>
      <c r="N20" s="77">
        <v>0</v>
      </c>
    </row>
    <row r="21" spans="1:22" ht="15" customHeight="1" thickBot="1" x14ac:dyDescent="0.2">
      <c r="A21" s="45" t="s">
        <v>137</v>
      </c>
      <c r="B21" s="95"/>
      <c r="C21" s="77">
        <v>20</v>
      </c>
      <c r="D21"/>
      <c r="E21" s="160" t="s">
        <v>210</v>
      </c>
      <c r="F21" s="77">
        <v>2</v>
      </c>
      <c r="G21" s="77">
        <v>5</v>
      </c>
      <c r="H21" s="77">
        <v>0</v>
      </c>
      <c r="I21" s="77">
        <v>0</v>
      </c>
      <c r="J21" s="77">
        <v>0</v>
      </c>
      <c r="K21" s="77">
        <v>0</v>
      </c>
      <c r="L21" s="77">
        <v>0</v>
      </c>
      <c r="M21" s="77">
        <v>0</v>
      </c>
      <c r="N21" s="77">
        <v>0</v>
      </c>
    </row>
    <row r="22" spans="1:22" ht="15" customHeight="1" x14ac:dyDescent="0.15">
      <c r="A22" s="96" t="s">
        <v>58</v>
      </c>
      <c r="B22" s="97">
        <v>0</v>
      </c>
      <c r="C22" s="77">
        <v>21</v>
      </c>
      <c r="D22"/>
      <c r="E22" s="160" t="s">
        <v>211</v>
      </c>
      <c r="F22" s="77">
        <v>3</v>
      </c>
      <c r="G22" s="77">
        <v>0</v>
      </c>
      <c r="H22" s="77">
        <v>0</v>
      </c>
      <c r="I22" s="77">
        <v>0</v>
      </c>
      <c r="J22" s="77">
        <v>0</v>
      </c>
      <c r="K22" s="77">
        <v>0</v>
      </c>
      <c r="L22" s="77">
        <v>0</v>
      </c>
      <c r="M22" s="77">
        <v>0</v>
      </c>
      <c r="N22" s="77">
        <v>0</v>
      </c>
    </row>
    <row r="23" spans="1:22" ht="15" customHeight="1" x14ac:dyDescent="0.15">
      <c r="A23" s="96" t="s">
        <v>59</v>
      </c>
      <c r="B23" s="97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96" t="s">
        <v>60</v>
      </c>
      <c r="B24" s="97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8" t="s">
        <v>44</v>
      </c>
      <c r="B25" s="99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100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2.1640625" style="136" bestFit="1" customWidth="1"/>
    <col min="2" max="7" width="5.83203125" style="136" bestFit="1" customWidth="1"/>
    <col min="8" max="11" width="4.83203125" style="136" bestFit="1" customWidth="1"/>
    <col min="12" max="13" width="5.83203125" style="136" bestFit="1" customWidth="1"/>
    <col min="14" max="16" width="4.83203125" style="136" bestFit="1" customWidth="1"/>
    <col min="17" max="17" width="3.83203125" style="136" bestFit="1" customWidth="1"/>
    <col min="18" max="21" width="2.33203125" style="136" bestFit="1" customWidth="1"/>
    <col min="22" max="29" width="9" style="136" bestFit="1" customWidth="1"/>
    <col min="30" max="16384" width="8.83203125" style="136"/>
  </cols>
  <sheetData>
    <row r="1" spans="1:34" x14ac:dyDescent="0.15">
      <c r="A1" s="135" t="s">
        <v>19</v>
      </c>
      <c r="B1" s="162" t="s">
        <v>193</v>
      </c>
      <c r="C1" s="162" t="s">
        <v>194</v>
      </c>
      <c r="D1" s="162" t="s">
        <v>195</v>
      </c>
      <c r="E1" s="162" t="s">
        <v>196</v>
      </c>
      <c r="F1" s="162" t="s">
        <v>197</v>
      </c>
      <c r="G1" s="162" t="s">
        <v>198</v>
      </c>
      <c r="H1" s="162" t="s">
        <v>199</v>
      </c>
      <c r="I1" s="162" t="s">
        <v>167</v>
      </c>
      <c r="J1" s="162" t="s">
        <v>166</v>
      </c>
      <c r="K1" s="162" t="s">
        <v>200</v>
      </c>
      <c r="L1" s="162" t="s">
        <v>201</v>
      </c>
      <c r="M1" s="162" t="s">
        <v>202</v>
      </c>
      <c r="N1" s="162" t="s">
        <v>203</v>
      </c>
      <c r="O1" s="162" t="s">
        <v>204</v>
      </c>
      <c r="P1" s="162" t="s">
        <v>205</v>
      </c>
      <c r="Q1" s="162" t="s">
        <v>206</v>
      </c>
      <c r="R1" s="162" t="s">
        <v>207</v>
      </c>
      <c r="S1" s="162" t="s">
        <v>208</v>
      </c>
      <c r="T1" s="162" t="s">
        <v>209</v>
      </c>
      <c r="U1" s="162" t="s">
        <v>210</v>
      </c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61" t="s">
        <v>193</v>
      </c>
      <c r="B2" s="136">
        <v>0.01</v>
      </c>
      <c r="C2" s="136">
        <v>2.1000000000000001E-2</v>
      </c>
      <c r="D2" s="136">
        <v>0.02</v>
      </c>
      <c r="E2" s="136">
        <v>9.999999999999998E-4</v>
      </c>
      <c r="F2" s="136">
        <v>0</v>
      </c>
      <c r="G2" s="136">
        <v>0</v>
      </c>
      <c r="H2" s="136">
        <v>0</v>
      </c>
      <c r="I2" s="136">
        <v>0</v>
      </c>
      <c r="J2" s="136">
        <v>0</v>
      </c>
      <c r="K2" s="136">
        <v>0</v>
      </c>
      <c r="L2" s="136">
        <v>0</v>
      </c>
      <c r="M2" s="136">
        <v>0</v>
      </c>
      <c r="N2" s="136">
        <v>0</v>
      </c>
      <c r="O2" s="136">
        <v>0</v>
      </c>
      <c r="P2" s="136">
        <v>0</v>
      </c>
      <c r="Q2" s="136">
        <v>0</v>
      </c>
      <c r="R2" s="136">
        <v>0</v>
      </c>
      <c r="S2" s="136">
        <v>0</v>
      </c>
      <c r="T2" s="136">
        <v>0</v>
      </c>
      <c r="U2" s="136">
        <v>0</v>
      </c>
    </row>
    <row r="3" spans="1:34" customFormat="1" x14ac:dyDescent="0.15">
      <c r="A3" s="161" t="s">
        <v>194</v>
      </c>
      <c r="B3" s="136">
        <v>0.02</v>
      </c>
      <c r="C3" s="136">
        <v>5.0000000000000001E-3</v>
      </c>
      <c r="D3" s="136">
        <v>0.02</v>
      </c>
      <c r="E3" s="136">
        <v>9.999999999999998E-4</v>
      </c>
      <c r="F3" s="136">
        <v>0</v>
      </c>
      <c r="G3" s="136">
        <v>0</v>
      </c>
      <c r="H3" s="136">
        <v>0</v>
      </c>
      <c r="I3" s="136">
        <v>0</v>
      </c>
      <c r="J3" s="136">
        <v>0</v>
      </c>
      <c r="K3" s="136">
        <v>0</v>
      </c>
      <c r="L3" s="136">
        <v>0</v>
      </c>
      <c r="M3" s="136">
        <v>0</v>
      </c>
      <c r="N3" s="136">
        <v>0</v>
      </c>
      <c r="O3" s="136">
        <v>0</v>
      </c>
      <c r="P3" s="136">
        <v>0</v>
      </c>
      <c r="Q3" s="136">
        <v>0</v>
      </c>
      <c r="R3" s="136">
        <v>0</v>
      </c>
      <c r="S3" s="136">
        <v>0</v>
      </c>
      <c r="T3" s="136">
        <v>0</v>
      </c>
      <c r="U3" s="136">
        <v>0</v>
      </c>
    </row>
    <row r="4" spans="1:34" customFormat="1" x14ac:dyDescent="0.15">
      <c r="A4" s="161" t="s">
        <v>195</v>
      </c>
      <c r="B4" s="136">
        <v>0.01</v>
      </c>
      <c r="C4" s="136">
        <v>3.3000000000000002E-2</v>
      </c>
      <c r="D4" s="136">
        <v>0.02</v>
      </c>
      <c r="E4" s="136">
        <v>9.999999999999998E-4</v>
      </c>
      <c r="F4" s="136">
        <v>0</v>
      </c>
      <c r="G4" s="136">
        <v>0</v>
      </c>
      <c r="H4" s="136">
        <v>0</v>
      </c>
      <c r="I4" s="136">
        <v>0</v>
      </c>
      <c r="J4" s="136">
        <v>0</v>
      </c>
      <c r="K4" s="136">
        <v>0</v>
      </c>
      <c r="L4" s="136">
        <v>0</v>
      </c>
      <c r="M4" s="136">
        <v>0</v>
      </c>
      <c r="N4" s="136">
        <v>0</v>
      </c>
      <c r="O4" s="136">
        <v>0</v>
      </c>
      <c r="P4" s="136">
        <v>0</v>
      </c>
      <c r="Q4" s="136">
        <v>0</v>
      </c>
      <c r="R4" s="136">
        <v>0</v>
      </c>
      <c r="S4" s="136">
        <v>0</v>
      </c>
      <c r="T4" s="136">
        <v>0</v>
      </c>
      <c r="U4" s="136">
        <v>0</v>
      </c>
    </row>
    <row r="5" spans="1:34" customFormat="1" x14ac:dyDescent="0.15">
      <c r="A5" s="161" t="s">
        <v>196</v>
      </c>
      <c r="B5" s="136">
        <v>0.2</v>
      </c>
      <c r="C5" s="136">
        <v>0.109</v>
      </c>
      <c r="D5" s="136">
        <v>0.112</v>
      </c>
      <c r="E5" s="136">
        <v>9.9999999999999985E-3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</row>
    <row r="6" spans="1:34" customFormat="1" x14ac:dyDescent="0.15">
      <c r="A6" s="161" t="s">
        <v>197</v>
      </c>
      <c r="B6" s="136">
        <v>0.13</v>
      </c>
      <c r="C6" s="136">
        <v>0.13</v>
      </c>
      <c r="D6" s="136">
        <v>9.8000000000000004E-2</v>
      </c>
      <c r="E6" s="136">
        <v>1.0999999999999998E-2</v>
      </c>
      <c r="F6" s="136">
        <v>0</v>
      </c>
      <c r="G6" s="136">
        <v>0</v>
      </c>
      <c r="H6" s="136">
        <v>0</v>
      </c>
      <c r="I6" s="136">
        <v>0</v>
      </c>
      <c r="J6" s="136">
        <v>0</v>
      </c>
      <c r="K6" s="136">
        <v>0</v>
      </c>
      <c r="L6" s="136">
        <v>0</v>
      </c>
      <c r="M6" s="136">
        <v>0</v>
      </c>
      <c r="N6" s="136">
        <v>0</v>
      </c>
      <c r="O6" s="136">
        <v>0</v>
      </c>
      <c r="P6" s="136">
        <v>0</v>
      </c>
      <c r="Q6" s="136">
        <v>0</v>
      </c>
      <c r="R6" s="136">
        <v>0</v>
      </c>
      <c r="S6" s="136">
        <v>0</v>
      </c>
      <c r="T6" s="136">
        <v>0</v>
      </c>
      <c r="U6" s="136">
        <v>0</v>
      </c>
    </row>
    <row r="7" spans="1:34" customFormat="1" x14ac:dyDescent="0.15">
      <c r="A7" s="161" t="s">
        <v>198</v>
      </c>
      <c r="B7" s="136">
        <v>0.14000000000000001</v>
      </c>
      <c r="C7" s="136">
        <v>0.13</v>
      </c>
      <c r="D7" s="136">
        <v>0.217</v>
      </c>
      <c r="E7" s="136">
        <v>6.9999999999999993E-2</v>
      </c>
      <c r="F7" s="136">
        <v>1E-3</v>
      </c>
      <c r="G7" s="136">
        <v>8.9999999999999993E-3</v>
      </c>
      <c r="H7" s="136">
        <v>0</v>
      </c>
      <c r="I7" s="136">
        <v>0</v>
      </c>
      <c r="J7" s="136">
        <v>0.01</v>
      </c>
      <c r="K7" s="136">
        <v>0</v>
      </c>
      <c r="L7" s="136">
        <v>0.01</v>
      </c>
      <c r="M7" s="136">
        <v>0</v>
      </c>
      <c r="N7" s="136">
        <v>0</v>
      </c>
      <c r="O7" s="136">
        <v>0</v>
      </c>
      <c r="P7" s="136">
        <v>0</v>
      </c>
      <c r="Q7" s="136">
        <v>0</v>
      </c>
      <c r="R7" s="136">
        <v>0</v>
      </c>
      <c r="S7" s="136">
        <v>0</v>
      </c>
      <c r="T7" s="136">
        <v>0</v>
      </c>
      <c r="U7" s="136">
        <v>0</v>
      </c>
    </row>
    <row r="8" spans="1:34" customFormat="1" x14ac:dyDescent="0.15">
      <c r="A8" s="161" t="s">
        <v>199</v>
      </c>
      <c r="B8" s="136">
        <v>0.17</v>
      </c>
      <c r="C8" s="136">
        <v>1.0999999999999999E-2</v>
      </c>
      <c r="D8" s="136">
        <v>1.0999999999999999E-2</v>
      </c>
      <c r="E8" s="136">
        <v>1.0999999999999998E-2</v>
      </c>
      <c r="F8" s="136">
        <v>1E-3</v>
      </c>
      <c r="G8" s="136">
        <v>1.7999999999999999E-2</v>
      </c>
      <c r="H8" s="136">
        <v>0</v>
      </c>
      <c r="I8" s="136">
        <v>0</v>
      </c>
      <c r="J8" s="136">
        <v>0</v>
      </c>
      <c r="K8" s="136">
        <v>0</v>
      </c>
      <c r="L8" s="136">
        <v>1.7000000000000001E-2</v>
      </c>
      <c r="M8" s="136">
        <v>0</v>
      </c>
      <c r="N8" s="136">
        <v>0</v>
      </c>
      <c r="O8" s="136">
        <v>0</v>
      </c>
      <c r="P8" s="136">
        <v>0</v>
      </c>
      <c r="Q8" s="136">
        <v>0</v>
      </c>
      <c r="R8" s="136">
        <v>0</v>
      </c>
      <c r="S8" s="136">
        <v>0</v>
      </c>
      <c r="T8" s="136">
        <v>0</v>
      </c>
      <c r="U8" s="136">
        <v>0</v>
      </c>
    </row>
    <row r="9" spans="1:34" customFormat="1" x14ac:dyDescent="0.15">
      <c r="A9" s="161" t="s">
        <v>167</v>
      </c>
      <c r="B9" s="136">
        <v>0.13</v>
      </c>
      <c r="C9" s="136">
        <v>8.6999999999999994E-2</v>
      </c>
      <c r="D9" s="136">
        <v>0.34799999999999998</v>
      </c>
      <c r="E9" s="136">
        <v>9.9999999999999985E-3</v>
      </c>
      <c r="F9" s="136">
        <v>1E-3</v>
      </c>
      <c r="G9" s="136">
        <v>0.02</v>
      </c>
      <c r="H9" s="136">
        <v>0</v>
      </c>
      <c r="I9" s="136">
        <v>0</v>
      </c>
      <c r="J9" s="136">
        <v>7.0000000000000007E-2</v>
      </c>
      <c r="K9" s="136">
        <v>0</v>
      </c>
      <c r="L9" s="136">
        <v>0</v>
      </c>
      <c r="M9" s="136">
        <v>0</v>
      </c>
      <c r="N9" s="136">
        <v>0</v>
      </c>
      <c r="O9" s="136">
        <v>0</v>
      </c>
      <c r="P9" s="136">
        <v>0</v>
      </c>
      <c r="Q9" s="136">
        <v>0</v>
      </c>
      <c r="R9" s="136">
        <v>0</v>
      </c>
      <c r="S9" s="136">
        <v>0</v>
      </c>
      <c r="T9" s="136">
        <v>0</v>
      </c>
      <c r="U9" s="136">
        <v>0</v>
      </c>
    </row>
    <row r="10" spans="1:34" customFormat="1" x14ac:dyDescent="0.15">
      <c r="A10" s="161" t="s">
        <v>166</v>
      </c>
      <c r="B10" s="136">
        <v>0.02</v>
      </c>
      <c r="C10" s="136">
        <v>2.1999999999999999E-2</v>
      </c>
      <c r="D10" s="136">
        <v>0.02</v>
      </c>
      <c r="E10" s="136">
        <v>9.9999999999999985E-3</v>
      </c>
      <c r="F10" s="136">
        <v>1E-3</v>
      </c>
      <c r="G10" s="136">
        <v>0.03</v>
      </c>
      <c r="H10" s="136">
        <v>0</v>
      </c>
      <c r="I10" s="136">
        <v>0</v>
      </c>
      <c r="J10" s="136">
        <v>0.1</v>
      </c>
      <c r="K10" s="136">
        <v>0</v>
      </c>
      <c r="L10" s="136">
        <v>0.01</v>
      </c>
      <c r="M10" s="136">
        <v>0</v>
      </c>
      <c r="N10" s="136">
        <v>0</v>
      </c>
      <c r="O10" s="136">
        <v>0</v>
      </c>
      <c r="P10" s="136">
        <v>0</v>
      </c>
      <c r="Q10" s="136">
        <v>0</v>
      </c>
      <c r="R10" s="136">
        <v>0</v>
      </c>
      <c r="S10" s="136">
        <v>0</v>
      </c>
      <c r="T10" s="136">
        <v>0</v>
      </c>
      <c r="U10" s="136">
        <v>0</v>
      </c>
    </row>
    <row r="11" spans="1:34" customFormat="1" x14ac:dyDescent="0.15">
      <c r="A11" s="161" t="s">
        <v>200</v>
      </c>
      <c r="B11" s="136">
        <v>0</v>
      </c>
      <c r="C11" s="136">
        <v>0</v>
      </c>
      <c r="D11" s="136">
        <v>0</v>
      </c>
      <c r="E11" s="136">
        <v>1.0999999999999998E-2</v>
      </c>
      <c r="F11" s="136">
        <v>0.03</v>
      </c>
      <c r="G11" s="136">
        <v>0.04</v>
      </c>
      <c r="H11" s="136">
        <v>0.03</v>
      </c>
      <c r="I11" s="136">
        <v>0</v>
      </c>
      <c r="J11" s="136">
        <v>0</v>
      </c>
      <c r="K11" s="136">
        <v>1.0000000000000002E-2</v>
      </c>
      <c r="L11" s="136">
        <v>0.01</v>
      </c>
      <c r="M11" s="136">
        <v>0.01</v>
      </c>
      <c r="N11" s="136">
        <v>0</v>
      </c>
      <c r="O11" s="136">
        <v>0</v>
      </c>
      <c r="P11" s="136">
        <v>0</v>
      </c>
      <c r="Q11" s="136">
        <v>0</v>
      </c>
      <c r="R11" s="136">
        <v>0</v>
      </c>
      <c r="S11" s="136">
        <v>0</v>
      </c>
      <c r="T11" s="136">
        <v>0</v>
      </c>
      <c r="U11" s="136">
        <v>0</v>
      </c>
    </row>
    <row r="12" spans="1:34" customFormat="1" x14ac:dyDescent="0.15">
      <c r="A12" s="161" t="s">
        <v>201</v>
      </c>
      <c r="B12" s="136">
        <v>0.13700000000000001</v>
      </c>
      <c r="C12" s="136">
        <v>0.16900000000000001</v>
      </c>
      <c r="D12" s="136">
        <v>0.123</v>
      </c>
      <c r="E12" s="136">
        <v>0.25399999999999995</v>
      </c>
      <c r="F12" s="136">
        <v>0.05</v>
      </c>
      <c r="G12" s="136">
        <v>0.08</v>
      </c>
      <c r="H12" s="136">
        <v>0.05</v>
      </c>
      <c r="I12" s="136">
        <v>0.32</v>
      </c>
      <c r="J12" s="136">
        <v>0.15</v>
      </c>
      <c r="K12" s="136">
        <v>4.0000000000000008E-2</v>
      </c>
      <c r="L12" s="136">
        <v>0.01</v>
      </c>
      <c r="M12" s="136">
        <v>0.01</v>
      </c>
      <c r="N12" s="136">
        <v>0</v>
      </c>
      <c r="O12" s="136">
        <v>0</v>
      </c>
      <c r="P12" s="136">
        <v>0</v>
      </c>
      <c r="Q12" s="136">
        <v>0</v>
      </c>
      <c r="R12" s="136">
        <v>0</v>
      </c>
      <c r="S12" s="136">
        <v>0</v>
      </c>
      <c r="T12" s="136">
        <v>0</v>
      </c>
      <c r="U12" s="136">
        <v>0</v>
      </c>
    </row>
    <row r="13" spans="1:34" customFormat="1" x14ac:dyDescent="0.15">
      <c r="A13" s="161" t="s">
        <v>202</v>
      </c>
      <c r="B13" s="136">
        <v>3.3000000000000002E-2</v>
      </c>
      <c r="C13" s="136">
        <v>0.28299999999999997</v>
      </c>
      <c r="D13" s="136">
        <v>1.0999999999999999E-2</v>
      </c>
      <c r="E13" s="136">
        <v>0.19999999999999996</v>
      </c>
      <c r="F13" s="136">
        <v>0.04</v>
      </c>
      <c r="G13" s="136">
        <v>0.16</v>
      </c>
      <c r="H13" s="136">
        <v>0.08</v>
      </c>
      <c r="I13" s="136">
        <v>0.01</v>
      </c>
      <c r="J13" s="136">
        <v>0.27</v>
      </c>
      <c r="K13" s="136">
        <v>4.0000000000000008E-2</v>
      </c>
      <c r="L13" s="136">
        <v>0.01</v>
      </c>
      <c r="M13" s="136">
        <v>0.01</v>
      </c>
      <c r="N13" s="136">
        <v>0</v>
      </c>
      <c r="O13" s="136">
        <v>0</v>
      </c>
      <c r="P13" s="136">
        <v>0</v>
      </c>
      <c r="Q13" s="136">
        <v>0</v>
      </c>
      <c r="R13" s="136">
        <v>0</v>
      </c>
      <c r="S13" s="136">
        <v>0</v>
      </c>
      <c r="T13" s="136">
        <v>0</v>
      </c>
      <c r="U13" s="136">
        <v>0</v>
      </c>
    </row>
    <row r="14" spans="1:34" customFormat="1" x14ac:dyDescent="0.15">
      <c r="A14" s="161" t="s">
        <v>203</v>
      </c>
      <c r="B14" s="136">
        <v>0</v>
      </c>
      <c r="C14" s="136">
        <v>0</v>
      </c>
      <c r="D14" s="136">
        <v>0</v>
      </c>
      <c r="E14" s="136">
        <v>0.13999999999999999</v>
      </c>
      <c r="F14" s="136">
        <v>0.02</v>
      </c>
      <c r="G14" s="136">
        <v>0.05</v>
      </c>
      <c r="H14" s="136">
        <v>0.02</v>
      </c>
      <c r="I14" s="136">
        <v>0.06</v>
      </c>
      <c r="J14" s="136">
        <v>0.1</v>
      </c>
      <c r="K14" s="136">
        <v>8.0000000000000016E-2</v>
      </c>
      <c r="L14" s="136">
        <v>0.2</v>
      </c>
      <c r="M14" s="136">
        <v>0.04</v>
      </c>
      <c r="N14" s="136">
        <v>0.06</v>
      </c>
      <c r="O14" s="136">
        <v>0</v>
      </c>
      <c r="P14" s="136">
        <v>0.01</v>
      </c>
      <c r="Q14" s="136">
        <v>0</v>
      </c>
      <c r="R14" s="136">
        <v>0</v>
      </c>
      <c r="S14" s="136">
        <v>0</v>
      </c>
      <c r="T14" s="136">
        <v>0</v>
      </c>
      <c r="U14" s="136">
        <v>0</v>
      </c>
    </row>
    <row r="15" spans="1:34" customFormat="1" x14ac:dyDescent="0.15">
      <c r="A15" s="161" t="s">
        <v>204</v>
      </c>
      <c r="B15" s="136">
        <v>0</v>
      </c>
      <c r="C15" s="136">
        <v>0</v>
      </c>
      <c r="D15" s="136">
        <v>0</v>
      </c>
      <c r="E15" s="136">
        <v>0.11999999999999997</v>
      </c>
      <c r="F15" s="136">
        <v>0.02</v>
      </c>
      <c r="G15" s="136">
        <v>0.05</v>
      </c>
      <c r="H15" s="136">
        <v>0.02</v>
      </c>
      <c r="I15" s="136">
        <v>0.01</v>
      </c>
      <c r="J15" s="136">
        <v>0.05</v>
      </c>
      <c r="K15" s="136">
        <v>7.0000000000000021E-2</v>
      </c>
      <c r="L15" s="136">
        <v>0.124</v>
      </c>
      <c r="M15" s="136">
        <v>2.7E-2</v>
      </c>
      <c r="N15" s="136">
        <v>0.01</v>
      </c>
      <c r="O15" s="136">
        <v>0.05</v>
      </c>
      <c r="P15" s="136">
        <v>0.01</v>
      </c>
      <c r="Q15" s="136">
        <v>0.2</v>
      </c>
      <c r="R15" s="136">
        <v>0</v>
      </c>
      <c r="S15" s="136">
        <v>0</v>
      </c>
      <c r="T15" s="136">
        <v>0</v>
      </c>
      <c r="U15" s="136">
        <v>0</v>
      </c>
    </row>
    <row r="16" spans="1:34" customFormat="1" x14ac:dyDescent="0.15">
      <c r="A16" s="161" t="s">
        <v>205</v>
      </c>
      <c r="B16" s="136">
        <v>0</v>
      </c>
      <c r="C16" s="136">
        <v>0</v>
      </c>
      <c r="D16" s="136">
        <v>0</v>
      </c>
      <c r="E16" s="136">
        <v>4.9999999999999989E-2</v>
      </c>
      <c r="F16" s="136">
        <v>0.02</v>
      </c>
      <c r="G16" s="136">
        <v>9.4E-2</v>
      </c>
      <c r="H16" s="136">
        <v>0.02</v>
      </c>
      <c r="I16" s="136">
        <v>0</v>
      </c>
      <c r="J16" s="136">
        <v>0</v>
      </c>
      <c r="K16" s="136">
        <v>9.0000000000000011E-2</v>
      </c>
      <c r="L16" s="136">
        <v>2.7E-2</v>
      </c>
      <c r="M16" s="136">
        <v>0.04</v>
      </c>
      <c r="N16" s="136">
        <v>0.01</v>
      </c>
      <c r="O16" s="136">
        <v>0</v>
      </c>
      <c r="P16" s="136">
        <v>0.01</v>
      </c>
      <c r="Q16" s="136">
        <v>0</v>
      </c>
      <c r="R16" s="136">
        <v>0</v>
      </c>
      <c r="S16" s="136">
        <v>0</v>
      </c>
      <c r="T16" s="136">
        <v>0</v>
      </c>
      <c r="U16" s="136">
        <v>0</v>
      </c>
    </row>
    <row r="17" spans="1:21" customFormat="1" x14ac:dyDescent="0.15">
      <c r="A17" s="161" t="s">
        <v>206</v>
      </c>
      <c r="B17" s="136">
        <v>0</v>
      </c>
      <c r="C17" s="136">
        <v>0</v>
      </c>
      <c r="D17" s="136">
        <v>0</v>
      </c>
      <c r="E17" s="136">
        <v>0</v>
      </c>
      <c r="F17" s="136">
        <v>0.02</v>
      </c>
      <c r="G17" s="136">
        <v>4.4999999999999998E-2</v>
      </c>
      <c r="H17" s="136">
        <v>0.02</v>
      </c>
      <c r="I17" s="136">
        <v>0.57999999999999996</v>
      </c>
      <c r="J17" s="136">
        <v>0.2</v>
      </c>
      <c r="K17" s="136">
        <v>0</v>
      </c>
      <c r="L17" s="136">
        <v>5.3999999999999999E-2</v>
      </c>
      <c r="M17" s="136">
        <v>6.0000000000000001E-3</v>
      </c>
      <c r="N17" s="136">
        <v>0.04</v>
      </c>
      <c r="O17" s="136">
        <v>0.05</v>
      </c>
      <c r="P17" s="136">
        <v>0.02</v>
      </c>
      <c r="Q17" s="136">
        <v>0</v>
      </c>
      <c r="R17" s="136">
        <v>0</v>
      </c>
      <c r="S17" s="136">
        <v>0</v>
      </c>
      <c r="T17" s="136">
        <v>0</v>
      </c>
      <c r="U17" s="136">
        <v>0</v>
      </c>
    </row>
    <row r="18" spans="1:21" customFormat="1" x14ac:dyDescent="0.15">
      <c r="A18" s="161" t="s">
        <v>207</v>
      </c>
      <c r="B18" s="136">
        <v>0</v>
      </c>
      <c r="C18" s="136">
        <v>0</v>
      </c>
      <c r="D18" s="136">
        <v>0</v>
      </c>
      <c r="E18" s="136">
        <v>0</v>
      </c>
      <c r="F18" s="136">
        <v>0.03</v>
      </c>
      <c r="G18" s="136">
        <v>0</v>
      </c>
      <c r="H18" s="136">
        <v>0.01</v>
      </c>
      <c r="I18" s="136">
        <v>0</v>
      </c>
      <c r="J18" s="136">
        <v>0</v>
      </c>
      <c r="K18" s="136">
        <v>0</v>
      </c>
      <c r="L18" s="136">
        <v>0.06</v>
      </c>
      <c r="M18" s="136">
        <v>0</v>
      </c>
      <c r="N18" s="136">
        <v>0</v>
      </c>
      <c r="O18" s="136">
        <v>0</v>
      </c>
      <c r="P18" s="136">
        <v>0.05</v>
      </c>
      <c r="Q18" s="136">
        <v>0.5</v>
      </c>
      <c r="R18" s="136">
        <v>0</v>
      </c>
      <c r="S18" s="136">
        <v>0</v>
      </c>
      <c r="T18" s="136">
        <v>0</v>
      </c>
      <c r="U18" s="136">
        <v>0</v>
      </c>
    </row>
    <row r="19" spans="1:21" customFormat="1" x14ac:dyDescent="0.15">
      <c r="A19" s="161" t="s">
        <v>208</v>
      </c>
      <c r="B19" s="136">
        <v>0</v>
      </c>
      <c r="C19" s="136">
        <v>0</v>
      </c>
      <c r="D19" s="136">
        <v>0</v>
      </c>
      <c r="E19" s="136">
        <v>0</v>
      </c>
      <c r="F19" s="136">
        <v>0.56599999999999995</v>
      </c>
      <c r="G19" s="136">
        <v>0.1</v>
      </c>
      <c r="H19" s="136">
        <v>0.55000000000000004</v>
      </c>
      <c r="I19" s="136">
        <v>0</v>
      </c>
      <c r="J19" s="136">
        <v>0</v>
      </c>
      <c r="K19" s="136">
        <v>0.30000000000000004</v>
      </c>
      <c r="L19" s="136">
        <v>0.1</v>
      </c>
      <c r="M19" s="136">
        <v>5.7000000000000002E-2</v>
      </c>
      <c r="N19" s="136">
        <v>0.04</v>
      </c>
      <c r="O19" s="136">
        <v>0</v>
      </c>
      <c r="P19" s="136">
        <v>0.05</v>
      </c>
      <c r="Q19" s="136">
        <v>0</v>
      </c>
      <c r="R19" s="136">
        <v>0</v>
      </c>
      <c r="S19" s="136">
        <v>0</v>
      </c>
      <c r="T19" s="136">
        <v>0</v>
      </c>
      <c r="U19" s="136">
        <v>0</v>
      </c>
    </row>
    <row r="20" spans="1:21" customFormat="1" x14ac:dyDescent="0.15">
      <c r="A20" s="161" t="s">
        <v>209</v>
      </c>
      <c r="B20" s="136">
        <v>0</v>
      </c>
      <c r="C20" s="136">
        <v>0</v>
      </c>
      <c r="D20" s="136">
        <v>0</v>
      </c>
      <c r="E20" s="136">
        <v>9.9999999999999978E-2</v>
      </c>
      <c r="F20" s="136">
        <v>0.2</v>
      </c>
      <c r="G20" s="136">
        <v>0.30399999999999999</v>
      </c>
      <c r="H20" s="136">
        <v>0.2</v>
      </c>
      <c r="I20" s="136">
        <v>0.02</v>
      </c>
      <c r="J20" s="136">
        <v>0.05</v>
      </c>
      <c r="K20" s="136">
        <v>0.37000000000000005</v>
      </c>
      <c r="L20" s="136">
        <v>0.36799999999999999</v>
      </c>
      <c r="M20" s="136">
        <v>0.8</v>
      </c>
      <c r="N20" s="136">
        <v>0.84</v>
      </c>
      <c r="O20" s="136">
        <v>0.9</v>
      </c>
      <c r="P20" s="136">
        <v>0.85</v>
      </c>
      <c r="Q20" s="136">
        <v>0.3</v>
      </c>
      <c r="R20" s="136">
        <v>0</v>
      </c>
      <c r="S20" s="136">
        <v>0</v>
      </c>
      <c r="T20" s="136">
        <v>0</v>
      </c>
      <c r="U20" s="136">
        <v>0</v>
      </c>
    </row>
    <row r="21" spans="1:21" customFormat="1" x14ac:dyDescent="0.15">
      <c r="A21" s="161" t="s">
        <v>210</v>
      </c>
      <c r="B21" s="136">
        <v>0</v>
      </c>
      <c r="C21" s="136">
        <v>0</v>
      </c>
      <c r="D21" s="136">
        <v>0</v>
      </c>
      <c r="E21" s="136">
        <v>0</v>
      </c>
      <c r="F21" s="136">
        <v>0</v>
      </c>
      <c r="G21" s="136">
        <v>0</v>
      </c>
      <c r="H21" s="136">
        <v>0</v>
      </c>
      <c r="I21" s="136">
        <v>0</v>
      </c>
      <c r="J21" s="136">
        <v>0</v>
      </c>
      <c r="K21" s="136">
        <v>0</v>
      </c>
      <c r="L21" s="136">
        <v>0</v>
      </c>
      <c r="M21" s="136">
        <v>0</v>
      </c>
      <c r="N21" s="136">
        <v>0</v>
      </c>
      <c r="O21" s="136">
        <v>0</v>
      </c>
      <c r="P21" s="136">
        <v>0</v>
      </c>
      <c r="Q21" s="136">
        <v>0</v>
      </c>
      <c r="R21" s="136">
        <v>0</v>
      </c>
      <c r="S21" s="136">
        <v>0</v>
      </c>
      <c r="T21" s="136">
        <v>0</v>
      </c>
      <c r="U21" s="136">
        <v>0</v>
      </c>
    </row>
    <row r="22" spans="1:21" customFormat="1" x14ac:dyDescent="0.15">
      <c r="A22" s="161" t="s">
        <v>212</v>
      </c>
      <c r="B22" s="136">
        <v>0</v>
      </c>
      <c r="C22" s="136">
        <v>0</v>
      </c>
      <c r="D22" s="136">
        <v>0</v>
      </c>
      <c r="E22" s="136">
        <v>0</v>
      </c>
      <c r="F22" s="136">
        <v>0</v>
      </c>
      <c r="G22" s="136">
        <v>0</v>
      </c>
      <c r="H22" s="136">
        <v>0</v>
      </c>
      <c r="I22" s="136">
        <v>0</v>
      </c>
      <c r="J22" s="136">
        <v>0</v>
      </c>
      <c r="K22" s="136">
        <v>0</v>
      </c>
      <c r="L22" s="136">
        <v>0</v>
      </c>
      <c r="M22" s="136">
        <v>0</v>
      </c>
      <c r="N22" s="136">
        <v>0</v>
      </c>
      <c r="O22" s="136">
        <v>0</v>
      </c>
      <c r="P22" s="136">
        <v>0</v>
      </c>
      <c r="Q22" s="136">
        <v>0</v>
      </c>
      <c r="R22" s="136">
        <v>0</v>
      </c>
      <c r="S22" s="136">
        <v>0</v>
      </c>
      <c r="T22" s="136">
        <v>0</v>
      </c>
      <c r="U22" s="136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  <row r="32" spans="1:21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.1640625" customWidth="1"/>
    <col min="3" max="4" width="2.33203125" style="106" customWidth="1"/>
    <col min="5" max="6" width="2.33203125" style="105" bestFit="1" customWidth="1"/>
    <col min="7" max="8" width="8.83203125" style="106"/>
  </cols>
  <sheetData>
    <row r="1" spans="1:8" ht="70" x14ac:dyDescent="0.15">
      <c r="A1" s="5" t="s">
        <v>20</v>
      </c>
      <c r="B1" s="1" t="s">
        <v>0</v>
      </c>
      <c r="C1" s="164" t="s">
        <v>209</v>
      </c>
      <c r="D1" s="164" t="s">
        <v>210</v>
      </c>
      <c r="E1" s="164" t="s">
        <v>213</v>
      </c>
      <c r="F1" s="164" t="s">
        <v>214</v>
      </c>
      <c r="G1"/>
      <c r="H1"/>
    </row>
    <row r="2" spans="1:8" x14ac:dyDescent="0.15">
      <c r="A2">
        <v>1</v>
      </c>
      <c r="B2" s="163" t="s">
        <v>193</v>
      </c>
      <c r="C2" s="106">
        <v>1</v>
      </c>
      <c r="D2" s="106">
        <v>0</v>
      </c>
      <c r="E2" s="105">
        <v>0</v>
      </c>
      <c r="F2" s="105">
        <v>1</v>
      </c>
      <c r="G2"/>
      <c r="H2"/>
    </row>
    <row r="3" spans="1:8" x14ac:dyDescent="0.15">
      <c r="A3">
        <v>2</v>
      </c>
      <c r="B3" s="163" t="s">
        <v>194</v>
      </c>
      <c r="C3" s="106">
        <v>1</v>
      </c>
      <c r="D3" s="106">
        <v>0</v>
      </c>
      <c r="E3" s="105">
        <v>0</v>
      </c>
      <c r="F3" s="105">
        <v>1</v>
      </c>
      <c r="G3"/>
      <c r="H3"/>
    </row>
    <row r="4" spans="1:8" x14ac:dyDescent="0.15">
      <c r="A4">
        <v>3</v>
      </c>
      <c r="B4" s="163" t="s">
        <v>195</v>
      </c>
      <c r="C4" s="106">
        <v>1</v>
      </c>
      <c r="D4" s="106">
        <v>0</v>
      </c>
      <c r="E4" s="105">
        <v>0</v>
      </c>
      <c r="F4" s="105">
        <v>1</v>
      </c>
      <c r="G4"/>
      <c r="H4"/>
    </row>
    <row r="5" spans="1:8" x14ac:dyDescent="0.15">
      <c r="A5">
        <v>4</v>
      </c>
      <c r="B5" s="163" t="s">
        <v>196</v>
      </c>
      <c r="C5" s="106">
        <v>1</v>
      </c>
      <c r="D5" s="106">
        <v>0</v>
      </c>
      <c r="E5" s="105">
        <v>0</v>
      </c>
      <c r="F5" s="105">
        <v>1</v>
      </c>
      <c r="G5"/>
      <c r="H5"/>
    </row>
    <row r="6" spans="1:8" x14ac:dyDescent="0.15">
      <c r="A6">
        <v>5</v>
      </c>
      <c r="B6" s="163" t="s">
        <v>197</v>
      </c>
      <c r="C6" s="106">
        <v>1</v>
      </c>
      <c r="D6" s="106">
        <v>0</v>
      </c>
      <c r="E6" s="105">
        <v>0</v>
      </c>
      <c r="F6" s="105">
        <v>1</v>
      </c>
      <c r="G6"/>
      <c r="H6"/>
    </row>
    <row r="7" spans="1:8" x14ac:dyDescent="0.15">
      <c r="A7">
        <v>6</v>
      </c>
      <c r="B7" s="163" t="s">
        <v>198</v>
      </c>
      <c r="C7" s="106">
        <v>1</v>
      </c>
      <c r="D7" s="106">
        <v>0</v>
      </c>
      <c r="E7" s="105">
        <v>0</v>
      </c>
      <c r="F7" s="105">
        <v>1</v>
      </c>
      <c r="G7"/>
      <c r="H7"/>
    </row>
    <row r="8" spans="1:8" x14ac:dyDescent="0.15">
      <c r="A8">
        <v>7</v>
      </c>
      <c r="B8" s="163" t="s">
        <v>199</v>
      </c>
      <c r="C8" s="106">
        <v>1</v>
      </c>
      <c r="D8" s="106">
        <v>0</v>
      </c>
      <c r="E8" s="105">
        <v>0</v>
      </c>
      <c r="F8" s="105">
        <v>1</v>
      </c>
      <c r="G8"/>
      <c r="H8"/>
    </row>
    <row r="9" spans="1:8" x14ac:dyDescent="0.15">
      <c r="A9">
        <v>8</v>
      </c>
      <c r="B9" s="163" t="s">
        <v>167</v>
      </c>
      <c r="C9" s="106">
        <v>1</v>
      </c>
      <c r="D9" s="106">
        <v>0</v>
      </c>
      <c r="E9" s="105">
        <v>0</v>
      </c>
      <c r="F9" s="105">
        <v>1</v>
      </c>
      <c r="G9"/>
      <c r="H9"/>
    </row>
    <row r="10" spans="1:8" x14ac:dyDescent="0.15">
      <c r="A10">
        <v>9</v>
      </c>
      <c r="B10" s="163" t="s">
        <v>166</v>
      </c>
      <c r="C10" s="106">
        <v>1</v>
      </c>
      <c r="D10" s="106">
        <v>0</v>
      </c>
      <c r="E10" s="105">
        <v>0</v>
      </c>
      <c r="F10" s="105">
        <v>1</v>
      </c>
      <c r="G10"/>
      <c r="H10"/>
    </row>
    <row r="11" spans="1:8" x14ac:dyDescent="0.15">
      <c r="A11">
        <v>10</v>
      </c>
      <c r="B11" s="163" t="s">
        <v>200</v>
      </c>
      <c r="C11" s="106">
        <v>1</v>
      </c>
      <c r="D11" s="106">
        <v>0</v>
      </c>
      <c r="E11" s="105">
        <v>0</v>
      </c>
      <c r="F11" s="105">
        <v>1</v>
      </c>
      <c r="G11"/>
      <c r="H11"/>
    </row>
    <row r="12" spans="1:8" x14ac:dyDescent="0.15">
      <c r="A12">
        <v>11</v>
      </c>
      <c r="B12" s="163" t="s">
        <v>201</v>
      </c>
      <c r="C12" s="106">
        <v>1</v>
      </c>
      <c r="D12" s="106">
        <v>0</v>
      </c>
      <c r="E12" s="105">
        <v>0</v>
      </c>
      <c r="F12" s="105">
        <v>1</v>
      </c>
      <c r="G12"/>
      <c r="H12"/>
    </row>
    <row r="13" spans="1:8" x14ac:dyDescent="0.15">
      <c r="A13">
        <v>12</v>
      </c>
      <c r="B13" s="163" t="s">
        <v>202</v>
      </c>
      <c r="C13" s="106">
        <v>1</v>
      </c>
      <c r="D13" s="106">
        <v>0</v>
      </c>
      <c r="E13" s="105">
        <v>0</v>
      </c>
      <c r="F13" s="105">
        <v>1</v>
      </c>
      <c r="G13"/>
      <c r="H13"/>
    </row>
    <row r="14" spans="1:8" x14ac:dyDescent="0.15">
      <c r="A14">
        <v>13</v>
      </c>
      <c r="B14" s="163" t="s">
        <v>203</v>
      </c>
      <c r="C14" s="106">
        <v>1</v>
      </c>
      <c r="D14" s="106">
        <v>0</v>
      </c>
      <c r="E14" s="105">
        <v>0</v>
      </c>
      <c r="F14" s="105">
        <v>1</v>
      </c>
      <c r="G14"/>
      <c r="H14"/>
    </row>
    <row r="15" spans="1:8" x14ac:dyDescent="0.15">
      <c r="A15">
        <v>14</v>
      </c>
      <c r="B15" s="163" t="s">
        <v>204</v>
      </c>
      <c r="C15" s="106">
        <v>1</v>
      </c>
      <c r="D15" s="106">
        <v>0</v>
      </c>
      <c r="E15" s="105">
        <v>0</v>
      </c>
      <c r="F15" s="105">
        <v>1</v>
      </c>
      <c r="G15"/>
      <c r="H15"/>
    </row>
    <row r="16" spans="1:8" x14ac:dyDescent="0.15">
      <c r="A16">
        <v>15</v>
      </c>
      <c r="B16" s="163" t="s">
        <v>205</v>
      </c>
      <c r="C16" s="106">
        <v>1</v>
      </c>
      <c r="D16" s="106">
        <v>0</v>
      </c>
      <c r="E16" s="105">
        <v>0</v>
      </c>
      <c r="F16" s="105">
        <v>1</v>
      </c>
      <c r="G16"/>
      <c r="H16"/>
    </row>
    <row r="17" spans="1:8" ht="15" customHeight="1" x14ac:dyDescent="0.15">
      <c r="A17">
        <v>16</v>
      </c>
      <c r="B17" s="163" t="s">
        <v>206</v>
      </c>
      <c r="C17" s="106">
        <v>1</v>
      </c>
      <c r="D17" s="106">
        <v>0</v>
      </c>
      <c r="E17" s="105">
        <v>0</v>
      </c>
      <c r="F17" s="105">
        <v>1</v>
      </c>
      <c r="G17"/>
      <c r="H17"/>
    </row>
    <row r="18" spans="1:8" ht="15" customHeight="1" x14ac:dyDescent="0.15">
      <c r="A18">
        <v>17</v>
      </c>
      <c r="B18" s="163" t="s">
        <v>207</v>
      </c>
      <c r="C18" s="106">
        <v>1</v>
      </c>
      <c r="D18" s="106">
        <v>0</v>
      </c>
      <c r="E18" s="105">
        <v>0</v>
      </c>
      <c r="F18" s="105">
        <v>1</v>
      </c>
      <c r="G18"/>
      <c r="H18"/>
    </row>
    <row r="19" spans="1:8" ht="15" customHeight="1" x14ac:dyDescent="0.15">
      <c r="A19">
        <v>18</v>
      </c>
      <c r="B19" s="163" t="s">
        <v>208</v>
      </c>
      <c r="C19" s="106">
        <v>1</v>
      </c>
      <c r="D19" s="106">
        <v>0</v>
      </c>
      <c r="E19" s="105">
        <v>0</v>
      </c>
      <c r="F19" s="105">
        <v>1</v>
      </c>
      <c r="G19"/>
      <c r="H19"/>
    </row>
    <row r="20" spans="1:8" ht="15" customHeight="1" x14ac:dyDescent="0.15">
      <c r="A20">
        <v>19</v>
      </c>
      <c r="B20" s="163" t="s">
        <v>209</v>
      </c>
      <c r="C20" s="106">
        <v>0</v>
      </c>
      <c r="D20" s="106">
        <v>1</v>
      </c>
      <c r="E20" s="105">
        <v>0</v>
      </c>
      <c r="F20" s="105">
        <v>1</v>
      </c>
      <c r="G20"/>
      <c r="H20"/>
    </row>
    <row r="21" spans="1:8" ht="15" customHeight="1" x14ac:dyDescent="0.15">
      <c r="A21">
        <v>20</v>
      </c>
      <c r="B21" s="163" t="s">
        <v>210</v>
      </c>
      <c r="C21" s="106">
        <v>0</v>
      </c>
      <c r="D21" s="106">
        <v>0</v>
      </c>
      <c r="E21" s="105">
        <v>1</v>
      </c>
      <c r="F21" s="105">
        <v>1</v>
      </c>
      <c r="G21"/>
      <c r="H21"/>
    </row>
    <row r="22" spans="1:8" ht="15" customHeight="1" x14ac:dyDescent="0.15">
      <c r="A22">
        <v>21</v>
      </c>
      <c r="B22" s="163" t="s">
        <v>211</v>
      </c>
      <c r="C22" s="106">
        <v>0</v>
      </c>
      <c r="D22" s="106">
        <v>1</v>
      </c>
      <c r="E22" s="105">
        <v>0</v>
      </c>
      <c r="F22" s="105">
        <v>1</v>
      </c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6"/>
      <c r="F36" s="106"/>
      <c r="G36"/>
      <c r="H36"/>
    </row>
    <row r="37" spans="3:8" ht="15" customHeight="1" x14ac:dyDescent="0.15">
      <c r="C37"/>
      <c r="D37"/>
      <c r="E37" s="106"/>
      <c r="F37" s="106"/>
      <c r="G37"/>
      <c r="H37"/>
    </row>
    <row r="38" spans="3:8" ht="15" customHeight="1" x14ac:dyDescent="0.15">
      <c r="C38"/>
      <c r="D38"/>
      <c r="E38" s="106"/>
      <c r="F38" s="106"/>
      <c r="G38"/>
      <c r="H38"/>
    </row>
    <row r="39" spans="3:8" ht="15" customHeight="1" x14ac:dyDescent="0.15">
      <c r="C39"/>
      <c r="D39"/>
      <c r="E39" s="106"/>
      <c r="F39" s="106"/>
      <c r="G39"/>
      <c r="H39"/>
    </row>
    <row r="40" spans="3:8" ht="15" customHeight="1" x14ac:dyDescent="0.15">
      <c r="C40"/>
      <c r="D40"/>
      <c r="E40" s="106"/>
      <c r="F40" s="106"/>
      <c r="G40"/>
      <c r="H40"/>
    </row>
    <row r="41" spans="3:8" ht="15" customHeight="1" x14ac:dyDescent="0.15">
      <c r="C41"/>
      <c r="D41"/>
      <c r="E41" s="106"/>
      <c r="F41" s="106"/>
      <c r="G41"/>
      <c r="H41"/>
    </row>
    <row r="42" spans="3:8" ht="15" customHeight="1" x14ac:dyDescent="0.15">
      <c r="C42"/>
      <c r="D42"/>
      <c r="E42" s="106"/>
      <c r="F42" s="106"/>
      <c r="G42"/>
      <c r="H42"/>
    </row>
    <row r="43" spans="3:8" ht="15" customHeight="1" x14ac:dyDescent="0.15">
      <c r="C43"/>
      <c r="D43"/>
      <c r="E43" s="106"/>
      <c r="F43" s="106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6"/>
      <c r="F46" s="106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.1640625" bestFit="1" customWidth="1"/>
    <col min="3" max="4" width="4.83203125" bestFit="1" customWidth="1"/>
    <col min="5" max="5" width="12.1640625" bestFit="1" customWidth="1"/>
  </cols>
  <sheetData>
    <row r="1" spans="1:5" s="107" customFormat="1" ht="112" x14ac:dyDescent="0.15">
      <c r="A1" s="5" t="s">
        <v>21</v>
      </c>
      <c r="B1" s="3" t="s">
        <v>0</v>
      </c>
      <c r="C1" s="166" t="s">
        <v>211</v>
      </c>
      <c r="D1" s="166" t="s">
        <v>215</v>
      </c>
      <c r="E1"/>
    </row>
    <row r="2" spans="1:5" ht="15" customHeight="1" x14ac:dyDescent="0.15">
      <c r="A2">
        <v>1</v>
      </c>
      <c r="B2" s="165" t="s">
        <v>193</v>
      </c>
      <c r="C2">
        <v>0.11</v>
      </c>
      <c r="D2">
        <v>0.11</v>
      </c>
    </row>
    <row r="3" spans="1:5" ht="15" customHeight="1" x14ac:dyDescent="0.15">
      <c r="A3">
        <v>2</v>
      </c>
      <c r="B3" s="165" t="s">
        <v>194</v>
      </c>
      <c r="C3">
        <v>0.02</v>
      </c>
      <c r="D3">
        <v>0.02</v>
      </c>
    </row>
    <row r="4" spans="1:5" ht="15" customHeight="1" x14ac:dyDescent="0.15">
      <c r="A4">
        <v>3</v>
      </c>
      <c r="B4" s="165" t="s">
        <v>195</v>
      </c>
      <c r="C4">
        <v>0.06</v>
      </c>
      <c r="D4">
        <v>0.06</v>
      </c>
    </row>
    <row r="5" spans="1:5" ht="15" customHeight="1" x14ac:dyDescent="0.15">
      <c r="A5">
        <v>4</v>
      </c>
      <c r="B5" s="165" t="s">
        <v>196</v>
      </c>
      <c r="C5">
        <v>0</v>
      </c>
      <c r="D5">
        <v>0</v>
      </c>
    </row>
    <row r="6" spans="1:5" ht="15" customHeight="1" x14ac:dyDescent="0.15">
      <c r="A6">
        <v>5</v>
      </c>
      <c r="B6" s="165" t="s">
        <v>197</v>
      </c>
      <c r="C6">
        <v>0</v>
      </c>
      <c r="D6">
        <v>0</v>
      </c>
    </row>
    <row r="7" spans="1:5" ht="15" customHeight="1" x14ac:dyDescent="0.15">
      <c r="A7">
        <v>6</v>
      </c>
      <c r="B7" s="165" t="s">
        <v>198</v>
      </c>
      <c r="C7">
        <v>0</v>
      </c>
      <c r="D7">
        <v>0</v>
      </c>
    </row>
    <row r="8" spans="1:5" ht="15" customHeight="1" x14ac:dyDescent="0.15">
      <c r="A8">
        <v>7</v>
      </c>
      <c r="B8" s="165" t="s">
        <v>199</v>
      </c>
      <c r="C8">
        <v>0</v>
      </c>
      <c r="D8">
        <v>0</v>
      </c>
    </row>
    <row r="9" spans="1:5" ht="15" customHeight="1" x14ac:dyDescent="0.15">
      <c r="A9">
        <v>8</v>
      </c>
      <c r="B9" s="165" t="s">
        <v>167</v>
      </c>
      <c r="C9">
        <v>0</v>
      </c>
      <c r="D9">
        <v>0</v>
      </c>
    </row>
    <row r="10" spans="1:5" ht="15" customHeight="1" x14ac:dyDescent="0.15">
      <c r="A10">
        <v>9</v>
      </c>
      <c r="B10" s="165" t="s">
        <v>166</v>
      </c>
      <c r="C10">
        <v>0</v>
      </c>
      <c r="D10">
        <v>0</v>
      </c>
    </row>
    <row r="11" spans="1:5" ht="15" customHeight="1" x14ac:dyDescent="0.15">
      <c r="A11">
        <v>10</v>
      </c>
      <c r="B11" s="165" t="s">
        <v>200</v>
      </c>
      <c r="C11">
        <v>0</v>
      </c>
      <c r="D11">
        <v>0</v>
      </c>
    </row>
    <row r="12" spans="1:5" ht="15" customHeight="1" x14ac:dyDescent="0.15">
      <c r="A12">
        <v>11</v>
      </c>
      <c r="B12" s="165" t="s">
        <v>201</v>
      </c>
      <c r="C12">
        <v>0</v>
      </c>
      <c r="D12">
        <v>0</v>
      </c>
    </row>
    <row r="13" spans="1:5" ht="15" customHeight="1" x14ac:dyDescent="0.15">
      <c r="A13">
        <v>12</v>
      </c>
      <c r="B13" s="165" t="s">
        <v>202</v>
      </c>
      <c r="C13">
        <v>0</v>
      </c>
      <c r="D13">
        <v>0</v>
      </c>
    </row>
    <row r="14" spans="1:5" ht="15" customHeight="1" x14ac:dyDescent="0.15">
      <c r="A14">
        <v>13</v>
      </c>
      <c r="B14" s="165" t="s">
        <v>203</v>
      </c>
      <c r="C14">
        <v>0</v>
      </c>
      <c r="D14">
        <v>0</v>
      </c>
    </row>
    <row r="15" spans="1:5" ht="15" customHeight="1" x14ac:dyDescent="0.15">
      <c r="A15">
        <v>14</v>
      </c>
      <c r="B15" s="165" t="s">
        <v>204</v>
      </c>
      <c r="C15">
        <v>0</v>
      </c>
      <c r="D15">
        <v>0</v>
      </c>
    </row>
    <row r="16" spans="1:5" ht="15" customHeight="1" x14ac:dyDescent="0.15">
      <c r="A16">
        <v>15</v>
      </c>
      <c r="B16" s="165" t="s">
        <v>205</v>
      </c>
      <c r="C16">
        <v>0</v>
      </c>
      <c r="D16">
        <v>0</v>
      </c>
    </row>
    <row r="17" spans="1:4" ht="15" customHeight="1" x14ac:dyDescent="0.15">
      <c r="A17">
        <v>16</v>
      </c>
      <c r="B17" s="165" t="s">
        <v>206</v>
      </c>
      <c r="C17">
        <v>0</v>
      </c>
      <c r="D17">
        <v>0</v>
      </c>
    </row>
    <row r="18" spans="1:4" ht="15" customHeight="1" x14ac:dyDescent="0.15">
      <c r="A18">
        <v>17</v>
      </c>
      <c r="B18" s="165" t="s">
        <v>207</v>
      </c>
      <c r="C18">
        <v>0</v>
      </c>
      <c r="D18">
        <v>0</v>
      </c>
    </row>
    <row r="19" spans="1:4" ht="15" customHeight="1" x14ac:dyDescent="0.15">
      <c r="A19">
        <v>18</v>
      </c>
      <c r="B19" s="165" t="s">
        <v>208</v>
      </c>
      <c r="C19">
        <v>0</v>
      </c>
      <c r="D19">
        <v>0</v>
      </c>
    </row>
    <row r="20" spans="1:4" ht="15" customHeight="1" x14ac:dyDescent="0.15">
      <c r="A20">
        <v>19</v>
      </c>
      <c r="B20" s="165" t="s">
        <v>209</v>
      </c>
      <c r="C20">
        <v>0</v>
      </c>
      <c r="D20">
        <v>0</v>
      </c>
    </row>
    <row r="21" spans="1:4" ht="15" customHeight="1" x14ac:dyDescent="0.15">
      <c r="A21">
        <v>20</v>
      </c>
      <c r="B21" s="165" t="s">
        <v>210</v>
      </c>
      <c r="C21">
        <v>0</v>
      </c>
      <c r="D21">
        <v>0</v>
      </c>
    </row>
    <row r="22" spans="1:4" ht="15" customHeight="1" x14ac:dyDescent="0.15"/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.1640625" bestFit="1" customWidth="1"/>
    <col min="3" max="4" width="2.33203125" bestFit="1" customWidth="1"/>
    <col min="5" max="5" width="12.1640625" bestFit="1" customWidth="1"/>
  </cols>
  <sheetData>
    <row r="1" spans="1:4" s="107" customFormat="1" ht="112" x14ac:dyDescent="0.15">
      <c r="A1" s="5" t="s">
        <v>22</v>
      </c>
      <c r="B1" s="3" t="s">
        <v>0</v>
      </c>
      <c r="C1" s="168" t="s">
        <v>211</v>
      </c>
      <c r="D1" s="168" t="s">
        <v>215</v>
      </c>
    </row>
    <row r="2" spans="1:4" x14ac:dyDescent="0.15">
      <c r="A2">
        <v>1</v>
      </c>
      <c r="B2" s="167" t="s">
        <v>193</v>
      </c>
      <c r="C2">
        <v>0</v>
      </c>
      <c r="D2">
        <v>0</v>
      </c>
    </row>
    <row r="3" spans="1:4" x14ac:dyDescent="0.15">
      <c r="A3">
        <v>2</v>
      </c>
      <c r="B3" s="167" t="s">
        <v>194</v>
      </c>
      <c r="C3">
        <v>0</v>
      </c>
      <c r="D3">
        <v>0</v>
      </c>
    </row>
    <row r="4" spans="1:4" x14ac:dyDescent="0.15">
      <c r="A4">
        <v>3</v>
      </c>
      <c r="B4" s="167" t="s">
        <v>195</v>
      </c>
      <c r="C4">
        <v>0</v>
      </c>
      <c r="D4">
        <v>0</v>
      </c>
    </row>
    <row r="5" spans="1:4" x14ac:dyDescent="0.15">
      <c r="A5">
        <v>4</v>
      </c>
      <c r="B5" s="167" t="s">
        <v>196</v>
      </c>
      <c r="C5">
        <v>0</v>
      </c>
      <c r="D5">
        <v>0</v>
      </c>
    </row>
    <row r="6" spans="1:4" x14ac:dyDescent="0.15">
      <c r="A6">
        <v>5</v>
      </c>
      <c r="B6" s="167" t="s">
        <v>197</v>
      </c>
      <c r="C6">
        <v>0</v>
      </c>
      <c r="D6">
        <v>0</v>
      </c>
    </row>
    <row r="7" spans="1:4" x14ac:dyDescent="0.15">
      <c r="A7">
        <v>6</v>
      </c>
      <c r="B7" s="167" t="s">
        <v>198</v>
      </c>
      <c r="C7">
        <v>0</v>
      </c>
      <c r="D7">
        <v>0</v>
      </c>
    </row>
    <row r="8" spans="1:4" x14ac:dyDescent="0.15">
      <c r="A8">
        <v>7</v>
      </c>
      <c r="B8" s="167" t="s">
        <v>199</v>
      </c>
      <c r="C8">
        <v>0</v>
      </c>
      <c r="D8">
        <v>0</v>
      </c>
    </row>
    <row r="9" spans="1:4" x14ac:dyDescent="0.15">
      <c r="A9">
        <v>8</v>
      </c>
      <c r="B9" s="167" t="s">
        <v>167</v>
      </c>
      <c r="C9">
        <v>0</v>
      </c>
      <c r="D9">
        <v>0</v>
      </c>
    </row>
    <row r="10" spans="1:4" x14ac:dyDescent="0.15">
      <c r="A10">
        <v>9</v>
      </c>
      <c r="B10" s="167" t="s">
        <v>166</v>
      </c>
      <c r="C10">
        <v>0</v>
      </c>
      <c r="D10">
        <v>0</v>
      </c>
    </row>
    <row r="11" spans="1:4" x14ac:dyDescent="0.15">
      <c r="A11">
        <v>10</v>
      </c>
      <c r="B11" s="167" t="s">
        <v>200</v>
      </c>
      <c r="C11">
        <v>0</v>
      </c>
      <c r="D11">
        <v>0</v>
      </c>
    </row>
    <row r="12" spans="1:4" x14ac:dyDescent="0.15">
      <c r="A12">
        <v>11</v>
      </c>
      <c r="B12" s="167" t="s">
        <v>201</v>
      </c>
      <c r="C12">
        <v>0</v>
      </c>
      <c r="D12">
        <v>0</v>
      </c>
    </row>
    <row r="13" spans="1:4" x14ac:dyDescent="0.15">
      <c r="A13">
        <v>12</v>
      </c>
      <c r="B13" s="167" t="s">
        <v>202</v>
      </c>
      <c r="C13">
        <v>0</v>
      </c>
      <c r="D13">
        <v>0</v>
      </c>
    </row>
    <row r="14" spans="1:4" x14ac:dyDescent="0.15">
      <c r="A14">
        <v>13</v>
      </c>
      <c r="B14" s="167" t="s">
        <v>203</v>
      </c>
      <c r="C14">
        <v>0</v>
      </c>
      <c r="D14">
        <v>0</v>
      </c>
    </row>
    <row r="15" spans="1:4" x14ac:dyDescent="0.15">
      <c r="A15">
        <v>14</v>
      </c>
      <c r="B15" s="167" t="s">
        <v>204</v>
      </c>
      <c r="C15">
        <v>0</v>
      </c>
      <c r="D15">
        <v>0</v>
      </c>
    </row>
    <row r="16" spans="1:4" x14ac:dyDescent="0.15">
      <c r="A16">
        <v>15</v>
      </c>
      <c r="B16" s="167" t="s">
        <v>205</v>
      </c>
      <c r="C16">
        <v>0</v>
      </c>
      <c r="D16">
        <v>0</v>
      </c>
    </row>
    <row r="17" spans="1:4" x14ac:dyDescent="0.15">
      <c r="A17">
        <v>16</v>
      </c>
      <c r="B17" s="167" t="s">
        <v>206</v>
      </c>
      <c r="C17">
        <v>0</v>
      </c>
      <c r="D17">
        <v>0</v>
      </c>
    </row>
    <row r="18" spans="1:4" x14ac:dyDescent="0.15">
      <c r="A18">
        <v>17</v>
      </c>
      <c r="B18" s="167" t="s">
        <v>207</v>
      </c>
      <c r="C18">
        <v>0</v>
      </c>
      <c r="D18">
        <v>0</v>
      </c>
    </row>
    <row r="19" spans="1:4" x14ac:dyDescent="0.15">
      <c r="A19">
        <v>18</v>
      </c>
      <c r="B19" s="167" t="s">
        <v>208</v>
      </c>
      <c r="C19">
        <v>0</v>
      </c>
      <c r="D19">
        <v>0</v>
      </c>
    </row>
    <row r="20" spans="1:4" x14ac:dyDescent="0.15">
      <c r="A20">
        <v>19</v>
      </c>
      <c r="B20" s="167" t="s">
        <v>209</v>
      </c>
      <c r="C20">
        <v>0</v>
      </c>
      <c r="D20">
        <v>0</v>
      </c>
    </row>
    <row r="21" spans="1:4" x14ac:dyDescent="0.15">
      <c r="A21">
        <v>20</v>
      </c>
      <c r="B21" s="167" t="s">
        <v>210</v>
      </c>
      <c r="C21">
        <v>0</v>
      </c>
      <c r="D2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2.1640625" bestFit="1" customWidth="1"/>
    <col min="6" max="6" width="4.83203125" bestFit="1" customWidth="1"/>
    <col min="7" max="9" width="3.83203125" bestFit="1" customWidth="1"/>
    <col min="10" max="11" width="4.83203125" style="106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8" customFormat="1" ht="14" thickBot="1" x14ac:dyDescent="0.2">
      <c r="D1" s="109" t="s">
        <v>8</v>
      </c>
      <c r="E1" s="109" t="s">
        <v>0</v>
      </c>
      <c r="F1" s="110" t="s">
        <v>99</v>
      </c>
      <c r="G1" s="111" t="s">
        <v>84</v>
      </c>
      <c r="H1" s="111" t="s">
        <v>85</v>
      </c>
      <c r="I1" s="111" t="s">
        <v>86</v>
      </c>
      <c r="J1" s="111" t="s">
        <v>87</v>
      </c>
      <c r="K1" s="111" t="s">
        <v>88</v>
      </c>
      <c r="L1" s="112" t="s">
        <v>89</v>
      </c>
      <c r="M1" s="112" t="s">
        <v>93</v>
      </c>
      <c r="N1" s="112" t="s">
        <v>92</v>
      </c>
      <c r="O1" s="112" t="s">
        <v>90</v>
      </c>
      <c r="P1" s="112" t="s">
        <v>91</v>
      </c>
      <c r="Q1" s="113" t="s">
        <v>94</v>
      </c>
      <c r="R1" s="113" t="s">
        <v>95</v>
      </c>
      <c r="S1" s="113" t="s">
        <v>96</v>
      </c>
      <c r="T1" s="113" t="s">
        <v>97</v>
      </c>
      <c r="U1" s="113" t="s">
        <v>98</v>
      </c>
      <c r="V1" s="111" t="s">
        <v>100</v>
      </c>
      <c r="W1" s="111" t="s">
        <v>101</v>
      </c>
      <c r="X1" s="111" t="s">
        <v>102</v>
      </c>
      <c r="Y1" s="111" t="s">
        <v>134</v>
      </c>
      <c r="Z1" s="112" t="s">
        <v>103</v>
      </c>
      <c r="AA1" s="112" t="s">
        <v>104</v>
      </c>
      <c r="AB1" s="112" t="s">
        <v>105</v>
      </c>
      <c r="AC1" s="114" t="s">
        <v>135</v>
      </c>
      <c r="AD1" s="113" t="s">
        <v>106</v>
      </c>
      <c r="AE1" s="113" t="s">
        <v>107</v>
      </c>
      <c r="AF1" s="113" t="s">
        <v>108</v>
      </c>
      <c r="AG1" s="113" t="s">
        <v>136</v>
      </c>
      <c r="AH1" s="111" t="s">
        <v>109</v>
      </c>
      <c r="AI1" s="111" t="s">
        <v>111</v>
      </c>
      <c r="AJ1" s="111" t="s">
        <v>110</v>
      </c>
      <c r="AK1" s="112" t="s">
        <v>115</v>
      </c>
      <c r="AL1" s="112" t="s">
        <v>116</v>
      </c>
      <c r="AM1" s="112" t="s">
        <v>117</v>
      </c>
      <c r="AN1" s="113" t="s">
        <v>112</v>
      </c>
      <c r="AO1" s="113" t="s">
        <v>113</v>
      </c>
      <c r="AP1" s="113" t="s">
        <v>114</v>
      </c>
    </row>
    <row r="2" spans="1:42" x14ac:dyDescent="0.15">
      <c r="A2" s="115" t="s">
        <v>74</v>
      </c>
      <c r="B2" s="116">
        <v>1</v>
      </c>
      <c r="D2">
        <v>1</v>
      </c>
      <c r="E2" s="169" t="s">
        <v>193</v>
      </c>
      <c r="F2">
        <v>0.98</v>
      </c>
      <c r="G2">
        <v>0.8</v>
      </c>
      <c r="H2">
        <v>0.8</v>
      </c>
      <c r="I2">
        <v>0.8</v>
      </c>
      <c r="J2" s="106">
        <v>0.25</v>
      </c>
      <c r="K2" s="106">
        <v>0.05</v>
      </c>
    </row>
    <row r="3" spans="1:42" x14ac:dyDescent="0.15">
      <c r="A3" s="115" t="s">
        <v>75</v>
      </c>
      <c r="B3" s="117">
        <v>1</v>
      </c>
      <c r="D3">
        <v>2</v>
      </c>
      <c r="E3" s="169" t="s">
        <v>194</v>
      </c>
      <c r="F3">
        <v>0.98</v>
      </c>
      <c r="G3">
        <v>0.8</v>
      </c>
      <c r="H3">
        <v>0.8</v>
      </c>
      <c r="I3">
        <v>0.8</v>
      </c>
      <c r="J3" s="106">
        <v>0.25</v>
      </c>
      <c r="K3" s="106">
        <v>0.05</v>
      </c>
    </row>
    <row r="4" spans="1:42" x14ac:dyDescent="0.15">
      <c r="A4" s="115" t="s">
        <v>76</v>
      </c>
      <c r="B4" s="117">
        <v>1</v>
      </c>
      <c r="D4">
        <v>3</v>
      </c>
      <c r="E4" s="169" t="s">
        <v>195</v>
      </c>
      <c r="F4">
        <v>0.98</v>
      </c>
      <c r="G4">
        <v>0.8</v>
      </c>
      <c r="H4">
        <v>0.8</v>
      </c>
      <c r="I4">
        <v>0.8</v>
      </c>
      <c r="J4" s="106">
        <v>0.25</v>
      </c>
      <c r="K4" s="106">
        <v>0.05</v>
      </c>
    </row>
    <row r="5" spans="1:42" x14ac:dyDescent="0.15">
      <c r="A5" s="115" t="s">
        <v>77</v>
      </c>
      <c r="B5" s="117">
        <v>1</v>
      </c>
      <c r="D5">
        <v>4</v>
      </c>
      <c r="E5" s="169" t="s">
        <v>196</v>
      </c>
      <c r="F5">
        <v>0.98</v>
      </c>
      <c r="G5">
        <v>0.8</v>
      </c>
      <c r="H5">
        <v>0.8</v>
      </c>
      <c r="I5">
        <v>0.8</v>
      </c>
      <c r="J5" s="106">
        <v>0.25</v>
      </c>
      <c r="K5" s="106">
        <v>0.05</v>
      </c>
    </row>
    <row r="6" spans="1:42" x14ac:dyDescent="0.15">
      <c r="A6" s="115" t="s">
        <v>78</v>
      </c>
      <c r="B6" s="117">
        <v>1</v>
      </c>
      <c r="D6">
        <v>5</v>
      </c>
      <c r="E6" s="169" t="s">
        <v>197</v>
      </c>
      <c r="F6">
        <v>0.98</v>
      </c>
      <c r="G6">
        <v>0.8</v>
      </c>
      <c r="H6">
        <v>0.8</v>
      </c>
      <c r="I6">
        <v>0.8</v>
      </c>
      <c r="J6" s="106">
        <v>0.25</v>
      </c>
      <c r="K6" s="106">
        <v>0.05</v>
      </c>
    </row>
    <row r="7" spans="1:42" x14ac:dyDescent="0.15">
      <c r="A7" s="115" t="s">
        <v>79</v>
      </c>
      <c r="B7" s="117">
        <v>1</v>
      </c>
      <c r="D7">
        <v>6</v>
      </c>
      <c r="E7" s="169" t="s">
        <v>198</v>
      </c>
      <c r="F7">
        <v>0.98</v>
      </c>
      <c r="G7">
        <v>0.8</v>
      </c>
      <c r="H7">
        <v>0.8</v>
      </c>
      <c r="I7">
        <v>0.8</v>
      </c>
      <c r="J7" s="106">
        <v>0.25</v>
      </c>
      <c r="K7" s="106">
        <v>0.05</v>
      </c>
    </row>
    <row r="8" spans="1:42" x14ac:dyDescent="0.15">
      <c r="A8" s="115" t="s">
        <v>80</v>
      </c>
      <c r="B8" s="117">
        <v>1</v>
      </c>
      <c r="D8">
        <v>7</v>
      </c>
      <c r="E8" s="169" t="s">
        <v>199</v>
      </c>
      <c r="F8">
        <v>0.98</v>
      </c>
      <c r="G8">
        <v>0.8</v>
      </c>
      <c r="H8">
        <v>0.8</v>
      </c>
      <c r="I8">
        <v>0.8</v>
      </c>
      <c r="J8" s="106">
        <v>0.25</v>
      </c>
      <c r="K8" s="106">
        <v>0.05</v>
      </c>
    </row>
    <row r="9" spans="1:42" x14ac:dyDescent="0.15">
      <c r="A9" s="115" t="s">
        <v>81</v>
      </c>
      <c r="B9" s="117">
        <v>0.1</v>
      </c>
      <c r="C9" s="59" t="s">
        <v>150</v>
      </c>
      <c r="D9">
        <v>8</v>
      </c>
      <c r="E9" s="169" t="s">
        <v>167</v>
      </c>
      <c r="F9">
        <v>0.98</v>
      </c>
      <c r="G9">
        <v>0.8</v>
      </c>
      <c r="H9">
        <v>0.8</v>
      </c>
      <c r="I9">
        <v>0.8</v>
      </c>
      <c r="J9" s="106">
        <v>0.25</v>
      </c>
      <c r="K9" s="106">
        <v>0.05</v>
      </c>
    </row>
    <row r="10" spans="1:42" ht="14" thickBot="1" x14ac:dyDescent="0.2">
      <c r="A10" s="115" t="s">
        <v>149</v>
      </c>
      <c r="B10" s="118">
        <f>1/3</f>
        <v>0.33333333333333331</v>
      </c>
      <c r="C10" s="59" t="s">
        <v>150</v>
      </c>
      <c r="D10">
        <v>9</v>
      </c>
      <c r="E10" s="169" t="s">
        <v>166</v>
      </c>
      <c r="F10">
        <v>0.98</v>
      </c>
      <c r="G10">
        <v>0.8</v>
      </c>
      <c r="H10">
        <v>0.8</v>
      </c>
      <c r="I10">
        <v>0.8</v>
      </c>
      <c r="J10" s="106">
        <v>0.25</v>
      </c>
      <c r="K10" s="106">
        <v>0.05</v>
      </c>
    </row>
    <row r="11" spans="1:42" x14ac:dyDescent="0.15">
      <c r="D11">
        <v>10</v>
      </c>
      <c r="E11" s="169" t="s">
        <v>200</v>
      </c>
      <c r="F11">
        <v>0.98</v>
      </c>
      <c r="G11">
        <v>0.8</v>
      </c>
      <c r="H11">
        <v>0.8</v>
      </c>
      <c r="I11">
        <v>0.8</v>
      </c>
      <c r="J11" s="106">
        <v>0.25</v>
      </c>
      <c r="K11" s="106">
        <v>0.05</v>
      </c>
    </row>
    <row r="12" spans="1:42" x14ac:dyDescent="0.15">
      <c r="D12">
        <v>11</v>
      </c>
      <c r="E12" s="169" t="s">
        <v>201</v>
      </c>
      <c r="F12">
        <v>0.98</v>
      </c>
      <c r="G12">
        <v>0.8</v>
      </c>
      <c r="H12">
        <v>0.8</v>
      </c>
      <c r="I12">
        <v>0.8</v>
      </c>
      <c r="J12" s="106">
        <v>0.25</v>
      </c>
      <c r="K12" s="106">
        <v>0.05</v>
      </c>
    </row>
    <row r="13" spans="1:42" x14ac:dyDescent="0.15">
      <c r="D13">
        <v>12</v>
      </c>
      <c r="E13" s="169" t="s">
        <v>202</v>
      </c>
      <c r="F13">
        <v>0.98</v>
      </c>
      <c r="G13">
        <v>0.8</v>
      </c>
      <c r="H13">
        <v>0.8</v>
      </c>
      <c r="I13">
        <v>0.8</v>
      </c>
      <c r="J13" s="106">
        <v>0.25</v>
      </c>
      <c r="K13" s="106">
        <v>0.05</v>
      </c>
    </row>
    <row r="14" spans="1:42" x14ac:dyDescent="0.15">
      <c r="D14">
        <v>13</v>
      </c>
      <c r="E14" s="169" t="s">
        <v>203</v>
      </c>
      <c r="F14">
        <v>0.98</v>
      </c>
      <c r="G14">
        <v>0.8</v>
      </c>
      <c r="H14">
        <v>0.8</v>
      </c>
      <c r="I14">
        <v>0.8</v>
      </c>
      <c r="J14" s="106">
        <v>0.25</v>
      </c>
      <c r="K14" s="106">
        <v>0.05</v>
      </c>
    </row>
    <row r="15" spans="1:42" x14ac:dyDescent="0.15">
      <c r="D15">
        <v>14</v>
      </c>
      <c r="E15" s="169" t="s">
        <v>204</v>
      </c>
      <c r="F15">
        <v>0.98</v>
      </c>
      <c r="G15">
        <v>0.8</v>
      </c>
      <c r="H15">
        <v>0.8</v>
      </c>
      <c r="I15">
        <v>0.8</v>
      </c>
      <c r="J15" s="106">
        <v>0.25</v>
      </c>
      <c r="K15" s="106">
        <v>0.05</v>
      </c>
    </row>
    <row r="16" spans="1:42" x14ac:dyDescent="0.15">
      <c r="D16">
        <v>15</v>
      </c>
      <c r="E16" s="169" t="s">
        <v>205</v>
      </c>
      <c r="F16">
        <v>0.98</v>
      </c>
      <c r="G16">
        <v>0.8</v>
      </c>
      <c r="H16">
        <v>0.8</v>
      </c>
      <c r="I16">
        <v>0.8</v>
      </c>
      <c r="J16" s="106">
        <v>0.25</v>
      </c>
      <c r="K16" s="106">
        <v>0.05</v>
      </c>
    </row>
    <row r="17" spans="4:33" ht="15" customHeight="1" x14ac:dyDescent="0.15">
      <c r="D17">
        <v>16</v>
      </c>
      <c r="E17" s="169" t="s">
        <v>206</v>
      </c>
      <c r="F17">
        <v>0.98</v>
      </c>
      <c r="G17">
        <v>0.8</v>
      </c>
      <c r="H17">
        <v>0.8</v>
      </c>
      <c r="I17">
        <v>0.8</v>
      </c>
      <c r="J17" s="106">
        <v>0.25</v>
      </c>
      <c r="K17" s="106">
        <v>0.05</v>
      </c>
    </row>
    <row r="18" spans="4:33" ht="15" customHeight="1" x14ac:dyDescent="0.15">
      <c r="D18">
        <v>17</v>
      </c>
      <c r="E18" s="169" t="s">
        <v>207</v>
      </c>
      <c r="F18">
        <v>0.98</v>
      </c>
      <c r="G18">
        <v>0.8</v>
      </c>
      <c r="H18">
        <v>0.8</v>
      </c>
      <c r="I18">
        <v>0</v>
      </c>
      <c r="J18" s="106">
        <v>0</v>
      </c>
      <c r="K18" s="106">
        <v>0</v>
      </c>
    </row>
    <row r="19" spans="4:33" ht="15" customHeight="1" x14ac:dyDescent="0.15">
      <c r="D19">
        <v>18</v>
      </c>
      <c r="E19" s="169" t="s">
        <v>208</v>
      </c>
      <c r="F19">
        <v>0.98</v>
      </c>
      <c r="G19">
        <v>0.8</v>
      </c>
      <c r="H19">
        <v>0.8</v>
      </c>
      <c r="I19">
        <v>0</v>
      </c>
      <c r="J19" s="106">
        <v>0</v>
      </c>
      <c r="K19" s="106">
        <v>0</v>
      </c>
    </row>
    <row r="20" spans="4:33" ht="15" customHeight="1" x14ac:dyDescent="0.15">
      <c r="D20">
        <v>19</v>
      </c>
      <c r="E20" s="169" t="s">
        <v>209</v>
      </c>
      <c r="F20">
        <v>0.98</v>
      </c>
      <c r="G20">
        <v>0.8</v>
      </c>
      <c r="H20">
        <v>0</v>
      </c>
      <c r="I20">
        <v>0</v>
      </c>
      <c r="J20" s="106">
        <v>0</v>
      </c>
      <c r="K20" s="106">
        <v>0</v>
      </c>
    </row>
    <row r="21" spans="4:33" ht="15" customHeight="1" x14ac:dyDescent="0.15">
      <c r="D21">
        <v>20</v>
      </c>
      <c r="E21" s="169" t="s">
        <v>210</v>
      </c>
      <c r="F21">
        <v>0.98</v>
      </c>
      <c r="G21">
        <v>0.8</v>
      </c>
      <c r="H21">
        <v>0</v>
      </c>
      <c r="I21">
        <v>0</v>
      </c>
      <c r="J21" s="106">
        <v>0</v>
      </c>
      <c r="K21" s="106">
        <v>0</v>
      </c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2.1640625" style="104" bestFit="1" customWidth="1"/>
    <col min="2" max="17" width="3.83203125" style="104" customWidth="1"/>
    <col min="18" max="21" width="2.33203125" style="104" customWidth="1"/>
    <col min="22" max="16384" width="10.83203125" style="104"/>
  </cols>
  <sheetData>
    <row r="1" spans="1:30" x14ac:dyDescent="0.15">
      <c r="A1" s="61" t="s">
        <v>118</v>
      </c>
      <c r="B1" s="171" t="s">
        <v>193</v>
      </c>
      <c r="C1" s="171" t="s">
        <v>194</v>
      </c>
      <c r="D1" s="171" t="s">
        <v>195</v>
      </c>
      <c r="E1" s="171" t="s">
        <v>196</v>
      </c>
      <c r="F1" s="171" t="s">
        <v>197</v>
      </c>
      <c r="G1" s="171" t="s">
        <v>198</v>
      </c>
      <c r="H1" s="171" t="s">
        <v>199</v>
      </c>
      <c r="I1" s="171" t="s">
        <v>167</v>
      </c>
      <c r="J1" s="171" t="s">
        <v>166</v>
      </c>
      <c r="K1" s="171" t="s">
        <v>200</v>
      </c>
      <c r="L1" s="171" t="s">
        <v>201</v>
      </c>
      <c r="M1" s="171" t="s">
        <v>202</v>
      </c>
      <c r="N1" s="171" t="s">
        <v>203</v>
      </c>
      <c r="O1" s="171" t="s">
        <v>204</v>
      </c>
      <c r="P1" s="171" t="s">
        <v>205</v>
      </c>
      <c r="Q1" s="171" t="s">
        <v>206</v>
      </c>
      <c r="R1" s="171" t="s">
        <v>207</v>
      </c>
      <c r="S1" s="171" t="s">
        <v>208</v>
      </c>
      <c r="T1" s="171" t="s">
        <v>209</v>
      </c>
      <c r="U1" s="171" t="s">
        <v>210</v>
      </c>
      <c r="V1"/>
      <c r="W1"/>
      <c r="X1"/>
      <c r="Y1"/>
      <c r="Z1"/>
      <c r="AA1"/>
      <c r="AB1"/>
      <c r="AC1"/>
      <c r="AD1"/>
    </row>
    <row r="2" spans="1:30" customFormat="1" x14ac:dyDescent="0.15">
      <c r="A2" s="170" t="s">
        <v>193</v>
      </c>
      <c r="B2" s="104">
        <v>0.8</v>
      </c>
      <c r="C2" s="104">
        <v>0.8</v>
      </c>
      <c r="D2" s="104">
        <v>0.8</v>
      </c>
      <c r="E2" s="104">
        <v>0.8</v>
      </c>
      <c r="F2" s="104">
        <v>0</v>
      </c>
      <c r="G2" s="104">
        <v>0</v>
      </c>
      <c r="H2" s="104">
        <v>0</v>
      </c>
      <c r="I2" s="104">
        <v>0</v>
      </c>
      <c r="J2" s="104">
        <v>0</v>
      </c>
      <c r="K2" s="104">
        <v>0</v>
      </c>
      <c r="L2" s="104">
        <v>0</v>
      </c>
      <c r="M2" s="104">
        <v>0</v>
      </c>
      <c r="N2" s="104">
        <v>0</v>
      </c>
      <c r="O2" s="104">
        <v>0</v>
      </c>
      <c r="P2" s="104">
        <v>0</v>
      </c>
      <c r="Q2" s="104">
        <v>0</v>
      </c>
      <c r="R2" s="104">
        <v>0</v>
      </c>
      <c r="S2" s="104">
        <v>0</v>
      </c>
      <c r="T2" s="104">
        <v>0</v>
      </c>
      <c r="U2" s="104">
        <v>0</v>
      </c>
    </row>
    <row r="3" spans="1:30" customFormat="1" x14ac:dyDescent="0.15">
      <c r="A3" s="170" t="s">
        <v>194</v>
      </c>
      <c r="B3" s="104">
        <v>0.8</v>
      </c>
      <c r="C3" s="104">
        <v>0.8</v>
      </c>
      <c r="D3" s="104">
        <v>0.8</v>
      </c>
      <c r="E3" s="104">
        <v>0.8</v>
      </c>
      <c r="F3" s="104">
        <v>0</v>
      </c>
      <c r="G3" s="104">
        <v>0</v>
      </c>
      <c r="H3" s="104">
        <v>0</v>
      </c>
      <c r="I3" s="104">
        <v>0</v>
      </c>
      <c r="J3" s="104">
        <v>0</v>
      </c>
      <c r="K3" s="104">
        <v>0</v>
      </c>
      <c r="L3" s="104">
        <v>0</v>
      </c>
      <c r="M3" s="104">
        <v>0</v>
      </c>
      <c r="N3" s="104">
        <v>0</v>
      </c>
      <c r="O3" s="104">
        <v>0</v>
      </c>
      <c r="P3" s="104">
        <v>0</v>
      </c>
      <c r="Q3" s="104">
        <v>0</v>
      </c>
      <c r="R3" s="104">
        <v>0</v>
      </c>
      <c r="S3" s="104">
        <v>0</v>
      </c>
      <c r="T3" s="104">
        <v>0</v>
      </c>
      <c r="U3" s="104">
        <v>0</v>
      </c>
    </row>
    <row r="4" spans="1:30" customFormat="1" x14ac:dyDescent="0.15">
      <c r="A4" s="170" t="s">
        <v>195</v>
      </c>
      <c r="B4" s="104">
        <v>0.8</v>
      </c>
      <c r="C4" s="104">
        <v>0.8</v>
      </c>
      <c r="D4" s="104">
        <v>0.8</v>
      </c>
      <c r="E4" s="104">
        <v>0.8</v>
      </c>
      <c r="F4" s="104">
        <v>0</v>
      </c>
      <c r="G4" s="104">
        <v>0</v>
      </c>
      <c r="H4" s="104">
        <v>0</v>
      </c>
      <c r="I4" s="104">
        <v>0</v>
      </c>
      <c r="J4" s="104">
        <v>0</v>
      </c>
      <c r="K4" s="104">
        <v>0</v>
      </c>
      <c r="L4" s="104">
        <v>0</v>
      </c>
      <c r="M4" s="104">
        <v>0</v>
      </c>
      <c r="N4" s="104">
        <v>0</v>
      </c>
      <c r="O4" s="104">
        <v>0</v>
      </c>
      <c r="P4" s="104">
        <v>0</v>
      </c>
      <c r="Q4" s="104">
        <v>0</v>
      </c>
      <c r="R4" s="104">
        <v>0</v>
      </c>
      <c r="S4" s="104">
        <v>0</v>
      </c>
      <c r="T4" s="104">
        <v>0</v>
      </c>
      <c r="U4" s="104">
        <v>0</v>
      </c>
    </row>
    <row r="5" spans="1:30" customFormat="1" x14ac:dyDescent="0.15">
      <c r="A5" s="170" t="s">
        <v>196</v>
      </c>
      <c r="B5" s="104">
        <v>0.8</v>
      </c>
      <c r="C5" s="104">
        <v>0.8</v>
      </c>
      <c r="D5" s="104">
        <v>0.8</v>
      </c>
      <c r="E5" s="104">
        <v>0.8</v>
      </c>
      <c r="F5" s="104">
        <v>0</v>
      </c>
      <c r="G5" s="104">
        <v>0</v>
      </c>
      <c r="H5" s="104">
        <v>0</v>
      </c>
      <c r="I5" s="104">
        <v>0</v>
      </c>
      <c r="J5" s="104">
        <v>0</v>
      </c>
      <c r="K5" s="104">
        <v>0</v>
      </c>
      <c r="L5" s="104">
        <v>0</v>
      </c>
      <c r="M5" s="104">
        <v>0</v>
      </c>
      <c r="N5" s="104">
        <v>0</v>
      </c>
      <c r="O5" s="104">
        <v>0</v>
      </c>
      <c r="P5" s="104">
        <v>0</v>
      </c>
      <c r="Q5" s="104">
        <v>0</v>
      </c>
      <c r="R5" s="104">
        <v>0</v>
      </c>
      <c r="S5" s="104">
        <v>0</v>
      </c>
      <c r="T5" s="104">
        <v>0</v>
      </c>
      <c r="U5" s="104">
        <v>0</v>
      </c>
    </row>
    <row r="6" spans="1:30" customFormat="1" x14ac:dyDescent="0.15">
      <c r="A6" s="170" t="s">
        <v>197</v>
      </c>
      <c r="B6" s="104">
        <v>0.8</v>
      </c>
      <c r="C6" s="104">
        <v>0.8</v>
      </c>
      <c r="D6" s="104">
        <v>0.8</v>
      </c>
      <c r="E6" s="104">
        <v>0.8</v>
      </c>
      <c r="F6" s="104">
        <v>0</v>
      </c>
      <c r="G6" s="104">
        <v>0</v>
      </c>
      <c r="H6" s="104">
        <v>0</v>
      </c>
      <c r="I6" s="104">
        <v>0</v>
      </c>
      <c r="J6" s="104">
        <v>0</v>
      </c>
      <c r="K6" s="104">
        <v>0</v>
      </c>
      <c r="L6" s="104">
        <v>0</v>
      </c>
      <c r="M6" s="104">
        <v>0</v>
      </c>
      <c r="N6" s="104">
        <v>0</v>
      </c>
      <c r="O6" s="104">
        <v>0</v>
      </c>
      <c r="P6" s="104">
        <v>0</v>
      </c>
      <c r="Q6" s="104">
        <v>0</v>
      </c>
      <c r="R6" s="104">
        <v>0</v>
      </c>
      <c r="S6" s="104">
        <v>0</v>
      </c>
      <c r="T6" s="104">
        <v>0</v>
      </c>
      <c r="U6" s="104">
        <v>0</v>
      </c>
    </row>
    <row r="7" spans="1:30" customFormat="1" x14ac:dyDescent="0.15">
      <c r="A7" s="170" t="s">
        <v>198</v>
      </c>
      <c r="B7" s="104">
        <v>0.8</v>
      </c>
      <c r="C7" s="104">
        <v>0.8</v>
      </c>
      <c r="D7" s="104">
        <v>0.8</v>
      </c>
      <c r="E7" s="104">
        <v>0.8</v>
      </c>
      <c r="F7" s="104">
        <v>0.8</v>
      </c>
      <c r="G7" s="104">
        <v>0.8</v>
      </c>
      <c r="H7" s="104">
        <v>0</v>
      </c>
      <c r="I7" s="104">
        <v>0</v>
      </c>
      <c r="J7" s="104">
        <v>0.8</v>
      </c>
      <c r="K7" s="104">
        <v>0</v>
      </c>
      <c r="L7" s="104">
        <v>0.8</v>
      </c>
      <c r="M7" s="104">
        <v>0</v>
      </c>
      <c r="N7" s="104">
        <v>0</v>
      </c>
      <c r="O7" s="104">
        <v>0</v>
      </c>
      <c r="P7" s="104">
        <v>0</v>
      </c>
      <c r="Q7" s="104">
        <v>0</v>
      </c>
      <c r="R7" s="104">
        <v>0</v>
      </c>
      <c r="S7" s="104">
        <v>0</v>
      </c>
      <c r="T7" s="104">
        <v>0</v>
      </c>
      <c r="U7" s="104">
        <v>0</v>
      </c>
    </row>
    <row r="8" spans="1:30" customFormat="1" x14ac:dyDescent="0.15">
      <c r="A8" s="170" t="s">
        <v>199</v>
      </c>
      <c r="B8" s="104">
        <v>0.8</v>
      </c>
      <c r="C8" s="104">
        <v>0.8</v>
      </c>
      <c r="D8" s="104">
        <v>0.8</v>
      </c>
      <c r="E8" s="104">
        <v>0.8</v>
      </c>
      <c r="F8" s="104">
        <v>0.8</v>
      </c>
      <c r="G8" s="104">
        <v>0.8</v>
      </c>
      <c r="H8" s="104">
        <v>0</v>
      </c>
      <c r="I8" s="104">
        <v>0</v>
      </c>
      <c r="J8" s="104">
        <v>0</v>
      </c>
      <c r="K8" s="104">
        <v>0</v>
      </c>
      <c r="L8" s="104">
        <v>0.8</v>
      </c>
      <c r="M8" s="104">
        <v>0</v>
      </c>
      <c r="N8" s="104">
        <v>0</v>
      </c>
      <c r="O8" s="104">
        <v>0</v>
      </c>
      <c r="P8" s="104">
        <v>0</v>
      </c>
      <c r="Q8" s="104">
        <v>0</v>
      </c>
      <c r="R8" s="104">
        <v>0</v>
      </c>
      <c r="S8" s="104">
        <v>0</v>
      </c>
      <c r="T8" s="104">
        <v>0</v>
      </c>
      <c r="U8" s="104">
        <v>0</v>
      </c>
    </row>
    <row r="9" spans="1:30" customFormat="1" x14ac:dyDescent="0.15">
      <c r="A9" s="170" t="s">
        <v>167</v>
      </c>
      <c r="B9" s="104">
        <v>0.8</v>
      </c>
      <c r="C9" s="104">
        <v>0.8</v>
      </c>
      <c r="D9" s="104">
        <v>0.8</v>
      </c>
      <c r="E9" s="104">
        <v>0.8</v>
      </c>
      <c r="F9" s="104">
        <v>0.8</v>
      </c>
      <c r="G9" s="104">
        <v>0.8</v>
      </c>
      <c r="H9" s="104">
        <v>0</v>
      </c>
      <c r="I9" s="104">
        <v>0</v>
      </c>
      <c r="J9" s="104">
        <v>0.8</v>
      </c>
      <c r="K9" s="104">
        <v>0</v>
      </c>
      <c r="L9" s="104">
        <v>0</v>
      </c>
      <c r="M9" s="104">
        <v>0</v>
      </c>
      <c r="N9" s="104">
        <v>0</v>
      </c>
      <c r="O9" s="104">
        <v>0</v>
      </c>
      <c r="P9" s="104">
        <v>0</v>
      </c>
      <c r="Q9" s="104">
        <v>0</v>
      </c>
      <c r="R9" s="104">
        <v>0</v>
      </c>
      <c r="S9" s="104">
        <v>0</v>
      </c>
      <c r="T9" s="104">
        <v>0</v>
      </c>
      <c r="U9" s="104">
        <v>0</v>
      </c>
    </row>
    <row r="10" spans="1:30" customFormat="1" x14ac:dyDescent="0.15">
      <c r="A10" s="170" t="s">
        <v>166</v>
      </c>
      <c r="B10" s="104">
        <v>0.8</v>
      </c>
      <c r="C10" s="104">
        <v>0.8</v>
      </c>
      <c r="D10" s="104">
        <v>0.8</v>
      </c>
      <c r="E10" s="104">
        <v>0.8</v>
      </c>
      <c r="F10" s="104">
        <v>0.8</v>
      </c>
      <c r="G10" s="104">
        <v>0.8</v>
      </c>
      <c r="H10" s="104">
        <v>0</v>
      </c>
      <c r="I10" s="104">
        <v>0</v>
      </c>
      <c r="J10" s="104">
        <v>0.8</v>
      </c>
      <c r="K10" s="104">
        <v>0</v>
      </c>
      <c r="L10" s="104">
        <v>0.8</v>
      </c>
      <c r="M10" s="104">
        <v>0</v>
      </c>
      <c r="N10" s="104">
        <v>0</v>
      </c>
      <c r="O10" s="104">
        <v>0</v>
      </c>
      <c r="P10" s="104">
        <v>0</v>
      </c>
      <c r="Q10" s="104">
        <v>0</v>
      </c>
      <c r="R10" s="104">
        <v>0</v>
      </c>
      <c r="S10" s="104">
        <v>0</v>
      </c>
      <c r="T10" s="104">
        <v>0</v>
      </c>
      <c r="U10" s="104">
        <v>0</v>
      </c>
    </row>
    <row r="11" spans="1:30" customFormat="1" x14ac:dyDescent="0.15">
      <c r="A11" s="170" t="s">
        <v>200</v>
      </c>
      <c r="B11" s="104">
        <v>0</v>
      </c>
      <c r="C11" s="104">
        <v>0</v>
      </c>
      <c r="D11" s="104">
        <v>0</v>
      </c>
      <c r="E11" s="104">
        <v>0.8</v>
      </c>
      <c r="F11" s="104">
        <v>0.8</v>
      </c>
      <c r="G11" s="104">
        <v>0.8</v>
      </c>
      <c r="H11" s="104">
        <v>0.8</v>
      </c>
      <c r="I11" s="104">
        <v>0</v>
      </c>
      <c r="J11" s="104">
        <v>0</v>
      </c>
      <c r="K11" s="104">
        <v>0.8</v>
      </c>
      <c r="L11" s="104">
        <v>0.8</v>
      </c>
      <c r="M11" s="104">
        <v>0.8</v>
      </c>
      <c r="N11" s="104">
        <v>0</v>
      </c>
      <c r="O11" s="104">
        <v>0</v>
      </c>
      <c r="P11" s="104">
        <v>0</v>
      </c>
      <c r="Q11" s="104">
        <v>0</v>
      </c>
      <c r="R11" s="104">
        <v>0</v>
      </c>
      <c r="S11" s="104">
        <v>0</v>
      </c>
      <c r="T11" s="104">
        <v>0</v>
      </c>
      <c r="U11" s="104">
        <v>0</v>
      </c>
    </row>
    <row r="12" spans="1:30" customFormat="1" x14ac:dyDescent="0.15">
      <c r="A12" s="170" t="s">
        <v>201</v>
      </c>
      <c r="B12" s="104">
        <v>0.8</v>
      </c>
      <c r="C12" s="104">
        <v>0.8</v>
      </c>
      <c r="D12" s="104">
        <v>0.8</v>
      </c>
      <c r="E12" s="104">
        <v>0.8</v>
      </c>
      <c r="F12" s="104">
        <v>0.8</v>
      </c>
      <c r="G12" s="104">
        <v>0.8</v>
      </c>
      <c r="H12" s="104">
        <v>0.8</v>
      </c>
      <c r="I12" s="104">
        <v>0.8</v>
      </c>
      <c r="J12" s="104">
        <v>0.8</v>
      </c>
      <c r="K12" s="104">
        <v>0.8</v>
      </c>
      <c r="L12" s="104">
        <v>0.8</v>
      </c>
      <c r="M12" s="104">
        <v>0.8</v>
      </c>
      <c r="N12" s="104">
        <v>0</v>
      </c>
      <c r="O12" s="104">
        <v>0</v>
      </c>
      <c r="P12" s="104">
        <v>0</v>
      </c>
      <c r="Q12" s="104">
        <v>0</v>
      </c>
      <c r="R12" s="104">
        <v>0</v>
      </c>
      <c r="S12" s="104">
        <v>0</v>
      </c>
      <c r="T12" s="104">
        <v>0</v>
      </c>
      <c r="U12" s="104">
        <v>0</v>
      </c>
    </row>
    <row r="13" spans="1:30" customFormat="1" x14ac:dyDescent="0.15">
      <c r="A13" s="170" t="s">
        <v>202</v>
      </c>
      <c r="B13" s="104">
        <v>0.8</v>
      </c>
      <c r="C13" s="104">
        <v>0.8</v>
      </c>
      <c r="D13" s="104">
        <v>0.8</v>
      </c>
      <c r="E13" s="104">
        <v>0.8</v>
      </c>
      <c r="F13" s="104">
        <v>0.8</v>
      </c>
      <c r="G13" s="104">
        <v>0.8</v>
      </c>
      <c r="H13" s="104">
        <v>0.8</v>
      </c>
      <c r="I13" s="104">
        <v>0.8</v>
      </c>
      <c r="J13" s="104">
        <v>0.8</v>
      </c>
      <c r="K13" s="104">
        <v>0.8</v>
      </c>
      <c r="L13" s="104">
        <v>0.8</v>
      </c>
      <c r="M13" s="104">
        <v>0.8</v>
      </c>
      <c r="N13" s="104">
        <v>0</v>
      </c>
      <c r="O13" s="104">
        <v>0</v>
      </c>
      <c r="P13" s="104">
        <v>0</v>
      </c>
      <c r="Q13" s="104">
        <v>0</v>
      </c>
      <c r="R13" s="104">
        <v>0</v>
      </c>
      <c r="S13" s="104">
        <v>0</v>
      </c>
      <c r="T13" s="104">
        <v>0</v>
      </c>
      <c r="U13" s="104">
        <v>0</v>
      </c>
    </row>
    <row r="14" spans="1:30" customFormat="1" x14ac:dyDescent="0.15">
      <c r="A14" s="170" t="s">
        <v>203</v>
      </c>
      <c r="B14" s="104">
        <v>0</v>
      </c>
      <c r="C14" s="104">
        <v>0</v>
      </c>
      <c r="D14" s="104">
        <v>0</v>
      </c>
      <c r="E14" s="104">
        <v>0.8</v>
      </c>
      <c r="F14" s="104">
        <v>0.8</v>
      </c>
      <c r="G14" s="104">
        <v>0.8</v>
      </c>
      <c r="H14" s="104">
        <v>0.8</v>
      </c>
      <c r="I14" s="104">
        <v>0.8</v>
      </c>
      <c r="J14" s="104">
        <v>0.8</v>
      </c>
      <c r="K14" s="104">
        <v>0.8</v>
      </c>
      <c r="L14" s="104">
        <v>0.8</v>
      </c>
      <c r="M14" s="104">
        <v>0.8</v>
      </c>
      <c r="N14" s="104">
        <v>0.8</v>
      </c>
      <c r="O14" s="104">
        <v>0</v>
      </c>
      <c r="P14" s="104">
        <v>0.8</v>
      </c>
      <c r="Q14" s="104">
        <v>0</v>
      </c>
      <c r="R14" s="104">
        <v>0</v>
      </c>
      <c r="S14" s="104">
        <v>0</v>
      </c>
      <c r="T14" s="104">
        <v>0</v>
      </c>
      <c r="U14" s="104">
        <v>0</v>
      </c>
    </row>
    <row r="15" spans="1:30" customFormat="1" x14ac:dyDescent="0.15">
      <c r="A15" s="170" t="s">
        <v>204</v>
      </c>
      <c r="B15" s="104">
        <v>0</v>
      </c>
      <c r="C15" s="104">
        <v>0</v>
      </c>
      <c r="D15" s="104">
        <v>0</v>
      </c>
      <c r="E15" s="104">
        <v>0.8</v>
      </c>
      <c r="F15" s="104">
        <v>0.8</v>
      </c>
      <c r="G15" s="104">
        <v>0.8</v>
      </c>
      <c r="H15" s="104">
        <v>0.8</v>
      </c>
      <c r="I15" s="104">
        <v>0.8</v>
      </c>
      <c r="J15" s="104">
        <v>0.8</v>
      </c>
      <c r="K15" s="104">
        <v>0.8</v>
      </c>
      <c r="L15" s="104">
        <v>0.8</v>
      </c>
      <c r="M15" s="104">
        <v>0.8</v>
      </c>
      <c r="N15" s="104">
        <v>0.8</v>
      </c>
      <c r="O15" s="104">
        <v>0.8</v>
      </c>
      <c r="P15" s="104">
        <v>0.8</v>
      </c>
      <c r="Q15" s="104">
        <v>0.8</v>
      </c>
      <c r="R15" s="104">
        <v>0</v>
      </c>
      <c r="S15" s="104">
        <v>0</v>
      </c>
      <c r="T15" s="104">
        <v>0</v>
      </c>
      <c r="U15" s="104">
        <v>0</v>
      </c>
    </row>
    <row r="16" spans="1:30" customFormat="1" x14ac:dyDescent="0.15">
      <c r="A16" s="170" t="s">
        <v>205</v>
      </c>
      <c r="B16" s="104">
        <v>0</v>
      </c>
      <c r="C16" s="104">
        <v>0</v>
      </c>
      <c r="D16" s="104">
        <v>0</v>
      </c>
      <c r="E16" s="104">
        <v>0.8</v>
      </c>
      <c r="F16" s="104">
        <v>0.8</v>
      </c>
      <c r="G16" s="104">
        <v>0.8</v>
      </c>
      <c r="H16" s="104">
        <v>0.8</v>
      </c>
      <c r="I16" s="104">
        <v>0</v>
      </c>
      <c r="J16" s="104">
        <v>0</v>
      </c>
      <c r="K16" s="104">
        <v>0.8</v>
      </c>
      <c r="L16" s="104">
        <v>0.8</v>
      </c>
      <c r="M16" s="104">
        <v>0.8</v>
      </c>
      <c r="N16" s="104">
        <v>0.8</v>
      </c>
      <c r="O16" s="104">
        <v>0</v>
      </c>
      <c r="P16" s="104">
        <v>0.8</v>
      </c>
      <c r="Q16" s="104">
        <v>0</v>
      </c>
      <c r="R16" s="104">
        <v>0</v>
      </c>
      <c r="S16" s="104">
        <v>0</v>
      </c>
      <c r="T16" s="104">
        <v>0</v>
      </c>
      <c r="U16" s="104">
        <v>0</v>
      </c>
    </row>
    <row r="17" spans="1:21" customFormat="1" x14ac:dyDescent="0.15">
      <c r="A17" s="170" t="s">
        <v>206</v>
      </c>
      <c r="B17" s="104">
        <v>0</v>
      </c>
      <c r="C17" s="104">
        <v>0</v>
      </c>
      <c r="D17" s="104">
        <v>0</v>
      </c>
      <c r="E17" s="104">
        <v>0</v>
      </c>
      <c r="F17" s="104">
        <v>0.8</v>
      </c>
      <c r="G17" s="104">
        <v>0.8</v>
      </c>
      <c r="H17" s="104">
        <v>0.8</v>
      </c>
      <c r="I17" s="104">
        <v>0.8</v>
      </c>
      <c r="J17" s="104">
        <v>0.8</v>
      </c>
      <c r="K17" s="104">
        <v>0</v>
      </c>
      <c r="L17" s="104">
        <v>0.8</v>
      </c>
      <c r="M17" s="104">
        <v>0.8</v>
      </c>
      <c r="N17" s="104">
        <v>0.8</v>
      </c>
      <c r="O17" s="104">
        <v>0.8</v>
      </c>
      <c r="P17" s="104">
        <v>0.8</v>
      </c>
      <c r="Q17" s="104">
        <v>0</v>
      </c>
      <c r="R17" s="104">
        <v>0</v>
      </c>
      <c r="S17" s="104">
        <v>0</v>
      </c>
      <c r="T17" s="104">
        <v>0</v>
      </c>
      <c r="U17" s="104">
        <v>0</v>
      </c>
    </row>
    <row r="18" spans="1:21" customFormat="1" x14ac:dyDescent="0.15">
      <c r="A18" s="170" t="s">
        <v>207</v>
      </c>
      <c r="B18" s="104">
        <v>0</v>
      </c>
      <c r="C18" s="104">
        <v>0</v>
      </c>
      <c r="D18" s="104">
        <v>0</v>
      </c>
      <c r="E18" s="104">
        <v>0</v>
      </c>
      <c r="F18" s="104">
        <v>0.8</v>
      </c>
      <c r="G18" s="104">
        <v>0</v>
      </c>
      <c r="H18" s="104">
        <v>0.8</v>
      </c>
      <c r="I18" s="104">
        <v>0</v>
      </c>
      <c r="J18" s="104">
        <v>0</v>
      </c>
      <c r="K18" s="104">
        <v>0</v>
      </c>
      <c r="L18" s="104">
        <v>0.8</v>
      </c>
      <c r="M18" s="104">
        <v>0</v>
      </c>
      <c r="N18" s="104">
        <v>0</v>
      </c>
      <c r="O18" s="104">
        <v>0</v>
      </c>
      <c r="P18" s="104">
        <v>0.8</v>
      </c>
      <c r="Q18" s="104">
        <v>0.8</v>
      </c>
      <c r="R18" s="104">
        <v>0</v>
      </c>
      <c r="S18" s="104">
        <v>0</v>
      </c>
      <c r="T18" s="104">
        <v>0</v>
      </c>
      <c r="U18" s="104">
        <v>0</v>
      </c>
    </row>
    <row r="19" spans="1:21" customFormat="1" x14ac:dyDescent="0.15">
      <c r="A19" s="170" t="s">
        <v>208</v>
      </c>
      <c r="B19" s="104">
        <v>0</v>
      </c>
      <c r="C19" s="104">
        <v>0</v>
      </c>
      <c r="D19" s="104">
        <v>0</v>
      </c>
      <c r="E19" s="104">
        <v>0</v>
      </c>
      <c r="F19" s="104">
        <v>0.8</v>
      </c>
      <c r="G19" s="104">
        <v>0.8</v>
      </c>
      <c r="H19" s="104">
        <v>0.8</v>
      </c>
      <c r="I19" s="104">
        <v>0</v>
      </c>
      <c r="J19" s="104">
        <v>0</v>
      </c>
      <c r="K19" s="104">
        <v>0.8</v>
      </c>
      <c r="L19" s="104">
        <v>0.8</v>
      </c>
      <c r="M19" s="104">
        <v>0.8</v>
      </c>
      <c r="N19" s="104">
        <v>0.8</v>
      </c>
      <c r="O19" s="104">
        <v>0</v>
      </c>
      <c r="P19" s="104">
        <v>0.8</v>
      </c>
      <c r="Q19" s="104">
        <v>0</v>
      </c>
      <c r="R19" s="104">
        <v>0</v>
      </c>
      <c r="S19" s="104">
        <v>0</v>
      </c>
      <c r="T19" s="104">
        <v>0</v>
      </c>
      <c r="U19" s="104">
        <v>0</v>
      </c>
    </row>
    <row r="20" spans="1:21" customFormat="1" x14ac:dyDescent="0.15">
      <c r="A20" s="170" t="s">
        <v>209</v>
      </c>
      <c r="B20" s="104">
        <v>0</v>
      </c>
      <c r="C20" s="104">
        <v>0</v>
      </c>
      <c r="D20" s="104">
        <v>0</v>
      </c>
      <c r="E20" s="104">
        <v>0.8</v>
      </c>
      <c r="F20" s="104">
        <v>0.8</v>
      </c>
      <c r="G20" s="104">
        <v>0.8</v>
      </c>
      <c r="H20" s="104">
        <v>0.8</v>
      </c>
      <c r="I20" s="104">
        <v>0.8</v>
      </c>
      <c r="J20" s="104">
        <v>0.8</v>
      </c>
      <c r="K20" s="104">
        <v>0.8</v>
      </c>
      <c r="L20" s="104">
        <v>0.8</v>
      </c>
      <c r="M20" s="104">
        <v>0.8</v>
      </c>
      <c r="N20" s="104">
        <v>0.8</v>
      </c>
      <c r="O20" s="104">
        <v>0.8</v>
      </c>
      <c r="P20" s="104">
        <v>0.8</v>
      </c>
      <c r="Q20" s="104">
        <v>0.8</v>
      </c>
      <c r="R20" s="104">
        <v>0</v>
      </c>
      <c r="S20" s="104">
        <v>0</v>
      </c>
      <c r="T20" s="104">
        <v>0</v>
      </c>
      <c r="U20" s="104">
        <v>0</v>
      </c>
    </row>
    <row r="21" spans="1:21" customFormat="1" x14ac:dyDescent="0.15">
      <c r="A21" s="170" t="s">
        <v>210</v>
      </c>
      <c r="B21" s="104">
        <v>0</v>
      </c>
      <c r="C21" s="104">
        <v>0</v>
      </c>
      <c r="D21" s="104">
        <v>0</v>
      </c>
      <c r="E21" s="104">
        <v>0</v>
      </c>
      <c r="F21" s="104">
        <v>0</v>
      </c>
      <c r="G21" s="104">
        <v>0</v>
      </c>
      <c r="H21" s="104">
        <v>0</v>
      </c>
      <c r="I21" s="104">
        <v>0</v>
      </c>
      <c r="J21" s="104">
        <v>0</v>
      </c>
      <c r="K21" s="104">
        <v>0</v>
      </c>
      <c r="L21" s="104">
        <v>0</v>
      </c>
      <c r="M21" s="104">
        <v>0</v>
      </c>
      <c r="N21" s="104">
        <v>0</v>
      </c>
      <c r="O21" s="104">
        <v>0</v>
      </c>
      <c r="P21" s="104">
        <v>0</v>
      </c>
      <c r="Q21" s="104">
        <v>0</v>
      </c>
      <c r="R21" s="104">
        <v>0</v>
      </c>
      <c r="S21" s="104">
        <v>0</v>
      </c>
      <c r="T21" s="104">
        <v>0</v>
      </c>
      <c r="U21" s="104">
        <v>0</v>
      </c>
    </row>
    <row r="22" spans="1:21" customFormat="1" x14ac:dyDescent="0.15">
      <c r="A22" s="170" t="s">
        <v>212</v>
      </c>
      <c r="B22" s="104">
        <v>0</v>
      </c>
      <c r="C22" s="104">
        <v>0</v>
      </c>
      <c r="D22" s="104">
        <v>0</v>
      </c>
      <c r="E22" s="104">
        <v>0</v>
      </c>
      <c r="F22" s="104">
        <v>0</v>
      </c>
      <c r="G22" s="104">
        <v>0</v>
      </c>
      <c r="H22" s="104">
        <v>0</v>
      </c>
      <c r="I22" s="104">
        <v>0</v>
      </c>
      <c r="J22" s="104">
        <v>0</v>
      </c>
      <c r="K22" s="104">
        <v>0</v>
      </c>
      <c r="L22" s="104">
        <v>0</v>
      </c>
      <c r="M22" s="104">
        <v>0</v>
      </c>
      <c r="N22" s="104">
        <v>0</v>
      </c>
      <c r="O22" s="104">
        <v>0</v>
      </c>
      <c r="P22" s="104">
        <v>0</v>
      </c>
      <c r="Q22" s="104">
        <v>0</v>
      </c>
      <c r="R22" s="104">
        <v>0</v>
      </c>
      <c r="S22" s="104">
        <v>0</v>
      </c>
      <c r="T22" s="104">
        <v>0</v>
      </c>
      <c r="U22" s="104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  <row r="32" spans="1:2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2.1640625" style="104" bestFit="1" customWidth="1"/>
    <col min="2" max="21" width="2.33203125" style="104" customWidth="1"/>
    <col min="22" max="16384" width="10.83203125" style="104"/>
  </cols>
  <sheetData>
    <row r="1" spans="1:31" x14ac:dyDescent="0.15">
      <c r="A1" s="61" t="s">
        <v>139</v>
      </c>
      <c r="B1" s="173" t="s">
        <v>193</v>
      </c>
      <c r="C1" s="173" t="s">
        <v>194</v>
      </c>
      <c r="D1" s="173" t="s">
        <v>195</v>
      </c>
      <c r="E1" s="173" t="s">
        <v>196</v>
      </c>
      <c r="F1" s="173" t="s">
        <v>197</v>
      </c>
      <c r="G1" s="173" t="s">
        <v>198</v>
      </c>
      <c r="H1" s="173" t="s">
        <v>199</v>
      </c>
      <c r="I1" s="173" t="s">
        <v>167</v>
      </c>
      <c r="J1" s="173" t="s">
        <v>166</v>
      </c>
      <c r="K1" s="173" t="s">
        <v>200</v>
      </c>
      <c r="L1" s="173" t="s">
        <v>201</v>
      </c>
      <c r="M1" s="173" t="s">
        <v>202</v>
      </c>
      <c r="N1" s="173" t="s">
        <v>203</v>
      </c>
      <c r="O1" s="173" t="s">
        <v>204</v>
      </c>
      <c r="P1" s="173" t="s">
        <v>205</v>
      </c>
      <c r="Q1" s="173" t="s">
        <v>206</v>
      </c>
      <c r="R1" s="173" t="s">
        <v>207</v>
      </c>
      <c r="S1" s="173" t="s">
        <v>208</v>
      </c>
      <c r="T1" s="173" t="s">
        <v>209</v>
      </c>
      <c r="U1" s="173" t="s">
        <v>210</v>
      </c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72" t="s">
        <v>193</v>
      </c>
      <c r="B2" s="104">
        <v>1</v>
      </c>
      <c r="C2" s="104">
        <v>1</v>
      </c>
      <c r="D2" s="104">
        <v>1</v>
      </c>
      <c r="E2" s="104">
        <v>1</v>
      </c>
      <c r="F2" s="104">
        <v>0</v>
      </c>
      <c r="G2" s="104">
        <v>0</v>
      </c>
      <c r="H2" s="104">
        <v>0</v>
      </c>
      <c r="I2" s="104">
        <v>0</v>
      </c>
      <c r="J2" s="104">
        <v>0</v>
      </c>
      <c r="K2" s="104">
        <v>0</v>
      </c>
      <c r="L2" s="104">
        <v>0</v>
      </c>
      <c r="M2" s="104">
        <v>0</v>
      </c>
      <c r="N2" s="104">
        <v>0</v>
      </c>
      <c r="O2" s="104">
        <v>0</v>
      </c>
      <c r="P2" s="104">
        <v>0</v>
      </c>
      <c r="Q2" s="104">
        <v>0</v>
      </c>
      <c r="R2" s="104">
        <v>0</v>
      </c>
      <c r="S2" s="104">
        <v>0</v>
      </c>
      <c r="T2" s="104">
        <v>0</v>
      </c>
      <c r="U2" s="104">
        <v>0</v>
      </c>
    </row>
    <row r="3" spans="1:31" customFormat="1" x14ac:dyDescent="0.15">
      <c r="A3" s="172" t="s">
        <v>194</v>
      </c>
      <c r="B3" s="104">
        <v>1</v>
      </c>
      <c r="C3" s="104">
        <v>1</v>
      </c>
      <c r="D3" s="104">
        <v>1</v>
      </c>
      <c r="E3" s="104">
        <v>1</v>
      </c>
      <c r="F3" s="104">
        <v>0</v>
      </c>
      <c r="G3" s="104">
        <v>0</v>
      </c>
      <c r="H3" s="104">
        <v>0</v>
      </c>
      <c r="I3" s="104">
        <v>0</v>
      </c>
      <c r="J3" s="104">
        <v>0</v>
      </c>
      <c r="K3" s="104">
        <v>0</v>
      </c>
      <c r="L3" s="104">
        <v>0</v>
      </c>
      <c r="M3" s="104">
        <v>0</v>
      </c>
      <c r="N3" s="104">
        <v>0</v>
      </c>
      <c r="O3" s="104">
        <v>0</v>
      </c>
      <c r="P3" s="104">
        <v>0</v>
      </c>
      <c r="Q3" s="104">
        <v>0</v>
      </c>
      <c r="R3" s="104">
        <v>0</v>
      </c>
      <c r="S3" s="104">
        <v>0</v>
      </c>
      <c r="T3" s="104">
        <v>0</v>
      </c>
      <c r="U3" s="104">
        <v>0</v>
      </c>
    </row>
    <row r="4" spans="1:31" customFormat="1" x14ac:dyDescent="0.15">
      <c r="A4" s="172" t="s">
        <v>195</v>
      </c>
      <c r="B4" s="104">
        <v>1</v>
      </c>
      <c r="C4" s="104">
        <v>1</v>
      </c>
      <c r="D4" s="104">
        <v>1</v>
      </c>
      <c r="E4" s="104">
        <v>1</v>
      </c>
      <c r="F4" s="104">
        <v>0</v>
      </c>
      <c r="G4" s="104">
        <v>0</v>
      </c>
      <c r="H4" s="104">
        <v>0</v>
      </c>
      <c r="I4" s="104">
        <v>0</v>
      </c>
      <c r="J4" s="104">
        <v>0</v>
      </c>
      <c r="K4" s="104">
        <v>0</v>
      </c>
      <c r="L4" s="104">
        <v>0</v>
      </c>
      <c r="M4" s="104">
        <v>0</v>
      </c>
      <c r="N4" s="104">
        <v>0</v>
      </c>
      <c r="O4" s="104">
        <v>0</v>
      </c>
      <c r="P4" s="104">
        <v>0</v>
      </c>
      <c r="Q4" s="104">
        <v>0</v>
      </c>
      <c r="R4" s="104">
        <v>0</v>
      </c>
      <c r="S4" s="104">
        <v>0</v>
      </c>
      <c r="T4" s="104">
        <v>0</v>
      </c>
      <c r="U4" s="104">
        <v>0</v>
      </c>
    </row>
    <row r="5" spans="1:31" customFormat="1" x14ac:dyDescent="0.15">
      <c r="A5" s="172" t="s">
        <v>196</v>
      </c>
      <c r="B5" s="104">
        <v>1</v>
      </c>
      <c r="C5" s="104">
        <v>1</v>
      </c>
      <c r="D5" s="104">
        <v>1</v>
      </c>
      <c r="E5" s="104">
        <v>1</v>
      </c>
      <c r="F5" s="104">
        <v>0</v>
      </c>
      <c r="G5" s="104">
        <v>0</v>
      </c>
      <c r="H5" s="104">
        <v>0</v>
      </c>
      <c r="I5" s="104">
        <v>0</v>
      </c>
      <c r="J5" s="104">
        <v>0</v>
      </c>
      <c r="K5" s="104">
        <v>0</v>
      </c>
      <c r="L5" s="104">
        <v>0</v>
      </c>
      <c r="M5" s="104">
        <v>0</v>
      </c>
      <c r="N5" s="104">
        <v>0</v>
      </c>
      <c r="O5" s="104">
        <v>0</v>
      </c>
      <c r="P5" s="104">
        <v>0</v>
      </c>
      <c r="Q5" s="104">
        <v>0</v>
      </c>
      <c r="R5" s="104">
        <v>0</v>
      </c>
      <c r="S5" s="104">
        <v>0</v>
      </c>
      <c r="T5" s="104">
        <v>0</v>
      </c>
      <c r="U5" s="104">
        <v>0</v>
      </c>
    </row>
    <row r="6" spans="1:31" customFormat="1" x14ac:dyDescent="0.15">
      <c r="A6" s="172" t="s">
        <v>197</v>
      </c>
      <c r="B6" s="104">
        <v>1</v>
      </c>
      <c r="C6" s="104">
        <v>1</v>
      </c>
      <c r="D6" s="104">
        <v>1</v>
      </c>
      <c r="E6" s="104">
        <v>1</v>
      </c>
      <c r="F6" s="104">
        <v>0</v>
      </c>
      <c r="G6" s="104">
        <v>0</v>
      </c>
      <c r="H6" s="104">
        <v>0</v>
      </c>
      <c r="I6" s="104">
        <v>0</v>
      </c>
      <c r="J6" s="104">
        <v>0</v>
      </c>
      <c r="K6" s="104">
        <v>0</v>
      </c>
      <c r="L6" s="104">
        <v>0</v>
      </c>
      <c r="M6" s="104">
        <v>0</v>
      </c>
      <c r="N6" s="104">
        <v>0</v>
      </c>
      <c r="O6" s="104">
        <v>0</v>
      </c>
      <c r="P6" s="104">
        <v>0</v>
      </c>
      <c r="Q6" s="104">
        <v>0</v>
      </c>
      <c r="R6" s="104">
        <v>0</v>
      </c>
      <c r="S6" s="104">
        <v>0</v>
      </c>
      <c r="T6" s="104">
        <v>0</v>
      </c>
      <c r="U6" s="104">
        <v>0</v>
      </c>
    </row>
    <row r="7" spans="1:31" customFormat="1" x14ac:dyDescent="0.15">
      <c r="A7" s="172" t="s">
        <v>198</v>
      </c>
      <c r="B7" s="104">
        <v>1</v>
      </c>
      <c r="C7" s="104">
        <v>1</v>
      </c>
      <c r="D7" s="104">
        <v>1</v>
      </c>
      <c r="E7" s="104">
        <v>1</v>
      </c>
      <c r="F7" s="104">
        <v>1</v>
      </c>
      <c r="G7" s="104">
        <v>1</v>
      </c>
      <c r="H7" s="104">
        <v>0</v>
      </c>
      <c r="I7" s="104">
        <v>0</v>
      </c>
      <c r="J7" s="104">
        <v>1</v>
      </c>
      <c r="K7" s="104">
        <v>0</v>
      </c>
      <c r="L7" s="104">
        <v>1</v>
      </c>
      <c r="M7" s="104">
        <v>0</v>
      </c>
      <c r="N7" s="104">
        <v>0</v>
      </c>
      <c r="O7" s="104">
        <v>0</v>
      </c>
      <c r="P7" s="104">
        <v>0</v>
      </c>
      <c r="Q7" s="104">
        <v>0</v>
      </c>
      <c r="R7" s="104">
        <v>0</v>
      </c>
      <c r="S7" s="104">
        <v>0</v>
      </c>
      <c r="T7" s="104">
        <v>0</v>
      </c>
      <c r="U7" s="104">
        <v>0</v>
      </c>
    </row>
    <row r="8" spans="1:31" customFormat="1" x14ac:dyDescent="0.15">
      <c r="A8" s="172" t="s">
        <v>199</v>
      </c>
      <c r="B8" s="104">
        <v>1</v>
      </c>
      <c r="C8" s="104">
        <v>1</v>
      </c>
      <c r="D8" s="104">
        <v>1</v>
      </c>
      <c r="E8" s="104">
        <v>1</v>
      </c>
      <c r="F8" s="104">
        <v>1</v>
      </c>
      <c r="G8" s="104">
        <v>1</v>
      </c>
      <c r="H8" s="104">
        <v>0</v>
      </c>
      <c r="I8" s="104">
        <v>0</v>
      </c>
      <c r="J8" s="104">
        <v>0</v>
      </c>
      <c r="K8" s="104">
        <v>0</v>
      </c>
      <c r="L8" s="104">
        <v>1</v>
      </c>
      <c r="M8" s="104">
        <v>0</v>
      </c>
      <c r="N8" s="104">
        <v>0</v>
      </c>
      <c r="O8" s="104">
        <v>0</v>
      </c>
      <c r="P8" s="104">
        <v>0</v>
      </c>
      <c r="Q8" s="104">
        <v>0</v>
      </c>
      <c r="R8" s="104">
        <v>0</v>
      </c>
      <c r="S8" s="104">
        <v>0</v>
      </c>
      <c r="T8" s="104">
        <v>0</v>
      </c>
      <c r="U8" s="104">
        <v>0</v>
      </c>
    </row>
    <row r="9" spans="1:31" customFormat="1" x14ac:dyDescent="0.15">
      <c r="A9" s="172" t="s">
        <v>167</v>
      </c>
      <c r="B9" s="104">
        <v>1</v>
      </c>
      <c r="C9" s="104">
        <v>1</v>
      </c>
      <c r="D9" s="104">
        <v>1</v>
      </c>
      <c r="E9" s="104">
        <v>1</v>
      </c>
      <c r="F9" s="104">
        <v>1</v>
      </c>
      <c r="G9" s="104">
        <v>1</v>
      </c>
      <c r="H9" s="104">
        <v>0</v>
      </c>
      <c r="I9" s="104">
        <v>0</v>
      </c>
      <c r="J9" s="104">
        <v>1</v>
      </c>
      <c r="K9" s="104">
        <v>0</v>
      </c>
      <c r="L9" s="104">
        <v>0</v>
      </c>
      <c r="M9" s="104">
        <v>0</v>
      </c>
      <c r="N9" s="104">
        <v>0</v>
      </c>
      <c r="O9" s="104">
        <v>0</v>
      </c>
      <c r="P9" s="104">
        <v>0</v>
      </c>
      <c r="Q9" s="104">
        <v>0</v>
      </c>
      <c r="R9" s="104">
        <v>0</v>
      </c>
      <c r="S9" s="104">
        <v>0</v>
      </c>
      <c r="T9" s="104">
        <v>0</v>
      </c>
      <c r="U9" s="104">
        <v>0</v>
      </c>
    </row>
    <row r="10" spans="1:31" customFormat="1" x14ac:dyDescent="0.15">
      <c r="A10" s="172" t="s">
        <v>166</v>
      </c>
      <c r="B10" s="104">
        <v>1</v>
      </c>
      <c r="C10" s="104">
        <v>1</v>
      </c>
      <c r="D10" s="104">
        <v>1</v>
      </c>
      <c r="E10" s="104">
        <v>1</v>
      </c>
      <c r="F10" s="104">
        <v>1</v>
      </c>
      <c r="G10" s="104">
        <v>1</v>
      </c>
      <c r="H10" s="104">
        <v>0</v>
      </c>
      <c r="I10" s="104">
        <v>0</v>
      </c>
      <c r="J10" s="104">
        <v>1</v>
      </c>
      <c r="K10" s="104">
        <v>0</v>
      </c>
      <c r="L10" s="104">
        <v>1</v>
      </c>
      <c r="M10" s="104">
        <v>0</v>
      </c>
      <c r="N10" s="104">
        <v>0</v>
      </c>
      <c r="O10" s="104">
        <v>0</v>
      </c>
      <c r="P10" s="104">
        <v>0</v>
      </c>
      <c r="Q10" s="104">
        <v>0</v>
      </c>
      <c r="R10" s="104">
        <v>0</v>
      </c>
      <c r="S10" s="104">
        <v>0</v>
      </c>
      <c r="T10" s="104">
        <v>0</v>
      </c>
      <c r="U10" s="104">
        <v>0</v>
      </c>
    </row>
    <row r="11" spans="1:31" customFormat="1" x14ac:dyDescent="0.15">
      <c r="A11" s="172" t="s">
        <v>200</v>
      </c>
      <c r="B11" s="104">
        <v>0</v>
      </c>
      <c r="C11" s="104">
        <v>0</v>
      </c>
      <c r="D11" s="104">
        <v>0</v>
      </c>
      <c r="E11" s="104">
        <v>1</v>
      </c>
      <c r="F11" s="104">
        <v>1</v>
      </c>
      <c r="G11" s="104">
        <v>1</v>
      </c>
      <c r="H11" s="104">
        <v>1</v>
      </c>
      <c r="I11" s="104">
        <v>0</v>
      </c>
      <c r="J11" s="104">
        <v>0</v>
      </c>
      <c r="K11" s="104">
        <v>1</v>
      </c>
      <c r="L11" s="104">
        <v>1</v>
      </c>
      <c r="M11" s="104">
        <v>1</v>
      </c>
      <c r="N11" s="104">
        <v>0</v>
      </c>
      <c r="O11" s="104">
        <v>0</v>
      </c>
      <c r="P11" s="104">
        <v>0</v>
      </c>
      <c r="Q11" s="104">
        <v>0</v>
      </c>
      <c r="R11" s="104">
        <v>0</v>
      </c>
      <c r="S11" s="104">
        <v>0</v>
      </c>
      <c r="T11" s="104">
        <v>0</v>
      </c>
      <c r="U11" s="104">
        <v>0</v>
      </c>
    </row>
    <row r="12" spans="1:31" customFormat="1" x14ac:dyDescent="0.15">
      <c r="A12" s="172" t="s">
        <v>201</v>
      </c>
      <c r="B12" s="104">
        <v>1</v>
      </c>
      <c r="C12" s="104">
        <v>1</v>
      </c>
      <c r="D12" s="104">
        <v>1</v>
      </c>
      <c r="E12" s="104">
        <v>1</v>
      </c>
      <c r="F12" s="104">
        <v>1</v>
      </c>
      <c r="G12" s="104">
        <v>1</v>
      </c>
      <c r="H12" s="104">
        <v>1</v>
      </c>
      <c r="I12" s="104">
        <v>1</v>
      </c>
      <c r="J12" s="104">
        <v>1</v>
      </c>
      <c r="K12" s="104">
        <v>1</v>
      </c>
      <c r="L12" s="104">
        <v>1</v>
      </c>
      <c r="M12" s="104">
        <v>1</v>
      </c>
      <c r="N12" s="104">
        <v>0</v>
      </c>
      <c r="O12" s="104">
        <v>0</v>
      </c>
      <c r="P12" s="104">
        <v>0</v>
      </c>
      <c r="Q12" s="104">
        <v>0</v>
      </c>
      <c r="R12" s="104">
        <v>0</v>
      </c>
      <c r="S12" s="104">
        <v>0</v>
      </c>
      <c r="T12" s="104">
        <v>0</v>
      </c>
      <c r="U12" s="104">
        <v>0</v>
      </c>
    </row>
    <row r="13" spans="1:31" customFormat="1" x14ac:dyDescent="0.15">
      <c r="A13" s="172" t="s">
        <v>202</v>
      </c>
      <c r="B13" s="104">
        <v>1</v>
      </c>
      <c r="C13" s="104">
        <v>1</v>
      </c>
      <c r="D13" s="104">
        <v>1</v>
      </c>
      <c r="E13" s="104">
        <v>1</v>
      </c>
      <c r="F13" s="104">
        <v>1</v>
      </c>
      <c r="G13" s="104">
        <v>1</v>
      </c>
      <c r="H13" s="104">
        <v>1</v>
      </c>
      <c r="I13" s="104">
        <v>1</v>
      </c>
      <c r="J13" s="104">
        <v>1</v>
      </c>
      <c r="K13" s="104">
        <v>1</v>
      </c>
      <c r="L13" s="104">
        <v>1</v>
      </c>
      <c r="M13" s="104">
        <v>1</v>
      </c>
      <c r="N13" s="104">
        <v>0</v>
      </c>
      <c r="O13" s="104">
        <v>0</v>
      </c>
      <c r="P13" s="104">
        <v>0</v>
      </c>
      <c r="Q13" s="104">
        <v>0</v>
      </c>
      <c r="R13" s="104">
        <v>0</v>
      </c>
      <c r="S13" s="104">
        <v>0</v>
      </c>
      <c r="T13" s="104">
        <v>0</v>
      </c>
      <c r="U13" s="104">
        <v>0</v>
      </c>
    </row>
    <row r="14" spans="1:31" customFormat="1" x14ac:dyDescent="0.15">
      <c r="A14" s="172" t="s">
        <v>203</v>
      </c>
      <c r="B14" s="104">
        <v>0</v>
      </c>
      <c r="C14" s="104">
        <v>0</v>
      </c>
      <c r="D14" s="104">
        <v>0</v>
      </c>
      <c r="E14" s="104">
        <v>1</v>
      </c>
      <c r="F14" s="104">
        <v>1</v>
      </c>
      <c r="G14" s="104">
        <v>1</v>
      </c>
      <c r="H14" s="104">
        <v>1</v>
      </c>
      <c r="I14" s="104">
        <v>1</v>
      </c>
      <c r="J14" s="104">
        <v>1</v>
      </c>
      <c r="K14" s="104">
        <v>1</v>
      </c>
      <c r="L14" s="104">
        <v>1</v>
      </c>
      <c r="M14" s="104">
        <v>1</v>
      </c>
      <c r="N14" s="104">
        <v>1</v>
      </c>
      <c r="O14" s="104">
        <v>0</v>
      </c>
      <c r="P14" s="104">
        <v>1</v>
      </c>
      <c r="Q14" s="104">
        <v>0</v>
      </c>
      <c r="R14" s="104">
        <v>0</v>
      </c>
      <c r="S14" s="104">
        <v>0</v>
      </c>
      <c r="T14" s="104">
        <v>0</v>
      </c>
      <c r="U14" s="104">
        <v>0</v>
      </c>
    </row>
    <row r="15" spans="1:31" customFormat="1" x14ac:dyDescent="0.15">
      <c r="A15" s="172" t="s">
        <v>204</v>
      </c>
      <c r="B15" s="104">
        <v>0</v>
      </c>
      <c r="C15" s="104">
        <v>0</v>
      </c>
      <c r="D15" s="104">
        <v>0</v>
      </c>
      <c r="E15" s="104">
        <v>1</v>
      </c>
      <c r="F15" s="104">
        <v>1</v>
      </c>
      <c r="G15" s="104">
        <v>1</v>
      </c>
      <c r="H15" s="104">
        <v>1</v>
      </c>
      <c r="I15" s="104">
        <v>1</v>
      </c>
      <c r="J15" s="104">
        <v>1</v>
      </c>
      <c r="K15" s="104">
        <v>1</v>
      </c>
      <c r="L15" s="104">
        <v>1</v>
      </c>
      <c r="M15" s="104">
        <v>1</v>
      </c>
      <c r="N15" s="104">
        <v>1</v>
      </c>
      <c r="O15" s="104">
        <v>1</v>
      </c>
      <c r="P15" s="104">
        <v>1</v>
      </c>
      <c r="Q15" s="104">
        <v>1</v>
      </c>
      <c r="R15" s="104">
        <v>0</v>
      </c>
      <c r="S15" s="104">
        <v>0</v>
      </c>
      <c r="T15" s="104">
        <v>0</v>
      </c>
      <c r="U15" s="104">
        <v>0</v>
      </c>
    </row>
    <row r="16" spans="1:31" customFormat="1" x14ac:dyDescent="0.15">
      <c r="A16" s="172" t="s">
        <v>205</v>
      </c>
      <c r="B16" s="104">
        <v>0</v>
      </c>
      <c r="C16" s="104">
        <v>0</v>
      </c>
      <c r="D16" s="104">
        <v>0</v>
      </c>
      <c r="E16" s="104">
        <v>1</v>
      </c>
      <c r="F16" s="104">
        <v>1</v>
      </c>
      <c r="G16" s="104">
        <v>1</v>
      </c>
      <c r="H16" s="104">
        <v>1</v>
      </c>
      <c r="I16" s="104">
        <v>0</v>
      </c>
      <c r="J16" s="104">
        <v>0</v>
      </c>
      <c r="K16" s="104">
        <v>1</v>
      </c>
      <c r="L16" s="104">
        <v>1</v>
      </c>
      <c r="M16" s="104">
        <v>1</v>
      </c>
      <c r="N16" s="104">
        <v>1</v>
      </c>
      <c r="O16" s="104">
        <v>0</v>
      </c>
      <c r="P16" s="104">
        <v>1</v>
      </c>
      <c r="Q16" s="104">
        <v>0</v>
      </c>
      <c r="R16" s="104">
        <v>0</v>
      </c>
      <c r="S16" s="104">
        <v>0</v>
      </c>
      <c r="T16" s="104">
        <v>0</v>
      </c>
      <c r="U16" s="104">
        <v>0</v>
      </c>
    </row>
    <row r="17" spans="1:21" customFormat="1" x14ac:dyDescent="0.15">
      <c r="A17" s="172" t="s">
        <v>206</v>
      </c>
      <c r="B17" s="104">
        <v>0</v>
      </c>
      <c r="C17" s="104">
        <v>0</v>
      </c>
      <c r="D17" s="104">
        <v>0</v>
      </c>
      <c r="E17" s="104">
        <v>0</v>
      </c>
      <c r="F17" s="104">
        <v>1</v>
      </c>
      <c r="G17" s="104">
        <v>1</v>
      </c>
      <c r="H17" s="104">
        <v>1</v>
      </c>
      <c r="I17" s="104">
        <v>1</v>
      </c>
      <c r="J17" s="104">
        <v>1</v>
      </c>
      <c r="K17" s="104">
        <v>0</v>
      </c>
      <c r="L17" s="104">
        <v>1</v>
      </c>
      <c r="M17" s="104">
        <v>1</v>
      </c>
      <c r="N17" s="104">
        <v>1</v>
      </c>
      <c r="O17" s="104">
        <v>1</v>
      </c>
      <c r="P17" s="104">
        <v>1</v>
      </c>
      <c r="Q17" s="104">
        <v>0</v>
      </c>
      <c r="R17" s="104">
        <v>0</v>
      </c>
      <c r="S17" s="104">
        <v>0</v>
      </c>
      <c r="T17" s="104">
        <v>0</v>
      </c>
      <c r="U17" s="104">
        <v>0</v>
      </c>
    </row>
    <row r="18" spans="1:21" customFormat="1" x14ac:dyDescent="0.15">
      <c r="A18" s="172" t="s">
        <v>207</v>
      </c>
      <c r="B18" s="104">
        <v>0</v>
      </c>
      <c r="C18" s="104">
        <v>0</v>
      </c>
      <c r="D18" s="104">
        <v>0</v>
      </c>
      <c r="E18" s="104">
        <v>0</v>
      </c>
      <c r="F18" s="104">
        <v>1</v>
      </c>
      <c r="G18" s="104">
        <v>0</v>
      </c>
      <c r="H18" s="104">
        <v>1</v>
      </c>
      <c r="I18" s="104">
        <v>0</v>
      </c>
      <c r="J18" s="104">
        <v>0</v>
      </c>
      <c r="K18" s="104">
        <v>0</v>
      </c>
      <c r="L18" s="104">
        <v>1</v>
      </c>
      <c r="M18" s="104">
        <v>0</v>
      </c>
      <c r="N18" s="104">
        <v>0</v>
      </c>
      <c r="O18" s="104">
        <v>0</v>
      </c>
      <c r="P18" s="104">
        <v>1</v>
      </c>
      <c r="Q18" s="104">
        <v>1</v>
      </c>
      <c r="R18" s="104">
        <v>0</v>
      </c>
      <c r="S18" s="104">
        <v>0</v>
      </c>
      <c r="T18" s="104">
        <v>0</v>
      </c>
      <c r="U18" s="104">
        <v>0</v>
      </c>
    </row>
    <row r="19" spans="1:21" customFormat="1" x14ac:dyDescent="0.15">
      <c r="A19" s="172" t="s">
        <v>208</v>
      </c>
      <c r="B19" s="104">
        <v>0</v>
      </c>
      <c r="C19" s="104">
        <v>0</v>
      </c>
      <c r="D19" s="104">
        <v>0</v>
      </c>
      <c r="E19" s="104">
        <v>0</v>
      </c>
      <c r="F19" s="104">
        <v>1</v>
      </c>
      <c r="G19" s="104">
        <v>1</v>
      </c>
      <c r="H19" s="104">
        <v>1</v>
      </c>
      <c r="I19" s="104">
        <v>0</v>
      </c>
      <c r="J19" s="104">
        <v>0</v>
      </c>
      <c r="K19" s="104">
        <v>1</v>
      </c>
      <c r="L19" s="104">
        <v>1</v>
      </c>
      <c r="M19" s="104">
        <v>1</v>
      </c>
      <c r="N19" s="104">
        <v>1</v>
      </c>
      <c r="O19" s="104">
        <v>0</v>
      </c>
      <c r="P19" s="104">
        <v>1</v>
      </c>
      <c r="Q19" s="104">
        <v>0</v>
      </c>
      <c r="R19" s="104">
        <v>0</v>
      </c>
      <c r="S19" s="104">
        <v>0</v>
      </c>
      <c r="T19" s="104">
        <v>0</v>
      </c>
      <c r="U19" s="104">
        <v>0</v>
      </c>
    </row>
    <row r="20" spans="1:21" customFormat="1" x14ac:dyDescent="0.15">
      <c r="A20" s="172" t="s">
        <v>209</v>
      </c>
      <c r="B20" s="104">
        <v>0</v>
      </c>
      <c r="C20" s="104">
        <v>0</v>
      </c>
      <c r="D20" s="104">
        <v>0</v>
      </c>
      <c r="E20" s="104">
        <v>1</v>
      </c>
      <c r="F20" s="104">
        <v>1</v>
      </c>
      <c r="G20" s="104">
        <v>1</v>
      </c>
      <c r="H20" s="104">
        <v>1</v>
      </c>
      <c r="I20" s="104">
        <v>1</v>
      </c>
      <c r="J20" s="104">
        <v>1</v>
      </c>
      <c r="K20" s="104">
        <v>1</v>
      </c>
      <c r="L20" s="104">
        <v>1</v>
      </c>
      <c r="M20" s="104">
        <v>1</v>
      </c>
      <c r="N20" s="104">
        <v>1</v>
      </c>
      <c r="O20" s="104">
        <v>1</v>
      </c>
      <c r="P20" s="104">
        <v>1</v>
      </c>
      <c r="Q20" s="104">
        <v>1</v>
      </c>
      <c r="R20" s="104">
        <v>0</v>
      </c>
      <c r="S20" s="104">
        <v>0</v>
      </c>
      <c r="T20" s="104">
        <v>0</v>
      </c>
      <c r="U20" s="104">
        <v>0</v>
      </c>
    </row>
    <row r="21" spans="1:21" customFormat="1" x14ac:dyDescent="0.15">
      <c r="A21" s="172" t="s">
        <v>210</v>
      </c>
      <c r="B21" s="104">
        <v>0</v>
      </c>
      <c r="C21" s="104">
        <v>0</v>
      </c>
      <c r="D21" s="104">
        <v>0</v>
      </c>
      <c r="E21" s="104">
        <v>0</v>
      </c>
      <c r="F21" s="104">
        <v>0</v>
      </c>
      <c r="G21" s="104">
        <v>0</v>
      </c>
      <c r="H21" s="104">
        <v>0</v>
      </c>
      <c r="I21" s="104">
        <v>0</v>
      </c>
      <c r="J21" s="104">
        <v>0</v>
      </c>
      <c r="K21" s="104">
        <v>0</v>
      </c>
      <c r="L21" s="104">
        <v>0</v>
      </c>
      <c r="M21" s="104">
        <v>0</v>
      </c>
      <c r="N21" s="104">
        <v>0</v>
      </c>
      <c r="O21" s="104">
        <v>0</v>
      </c>
      <c r="P21" s="104">
        <v>0</v>
      </c>
      <c r="Q21" s="104">
        <v>0</v>
      </c>
      <c r="R21" s="104">
        <v>0</v>
      </c>
      <c r="S21" s="104">
        <v>0</v>
      </c>
      <c r="T21" s="104">
        <v>0</v>
      </c>
      <c r="U21" s="104">
        <v>0</v>
      </c>
    </row>
    <row r="22" spans="1:21" customFormat="1" x14ac:dyDescent="0.15">
      <c r="A22" s="172" t="s">
        <v>212</v>
      </c>
      <c r="B22" s="104">
        <v>0</v>
      </c>
      <c r="C22" s="104">
        <v>0</v>
      </c>
      <c r="D22" s="104">
        <v>0</v>
      </c>
      <c r="E22" s="104">
        <v>0</v>
      </c>
      <c r="F22" s="104">
        <v>0</v>
      </c>
      <c r="G22" s="104">
        <v>0</v>
      </c>
      <c r="H22" s="104">
        <v>0</v>
      </c>
      <c r="I22" s="104">
        <v>0</v>
      </c>
      <c r="J22" s="104">
        <v>0</v>
      </c>
      <c r="K22" s="104">
        <v>0</v>
      </c>
      <c r="L22" s="104">
        <v>0</v>
      </c>
      <c r="M22" s="104">
        <v>0</v>
      </c>
      <c r="N22" s="104">
        <v>0</v>
      </c>
      <c r="O22" s="104">
        <v>0</v>
      </c>
      <c r="P22" s="104">
        <v>0</v>
      </c>
      <c r="Q22" s="104">
        <v>0</v>
      </c>
      <c r="R22" s="104">
        <v>0</v>
      </c>
      <c r="S22" s="104">
        <v>0</v>
      </c>
      <c r="T22" s="104">
        <v>0</v>
      </c>
      <c r="U22" s="104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.1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5" t="s">
        <v>211</v>
      </c>
    </row>
    <row r="2" spans="1:3" x14ac:dyDescent="0.15">
      <c r="A2">
        <v>1</v>
      </c>
      <c r="B2" s="174" t="s">
        <v>193</v>
      </c>
      <c r="C2">
        <v>0.8</v>
      </c>
    </row>
    <row r="3" spans="1:3" x14ac:dyDescent="0.15">
      <c r="A3">
        <v>2</v>
      </c>
      <c r="B3" s="174" t="s">
        <v>194</v>
      </c>
      <c r="C3">
        <v>0.8</v>
      </c>
    </row>
    <row r="4" spans="1:3" x14ac:dyDescent="0.15">
      <c r="A4">
        <v>3</v>
      </c>
      <c r="B4" s="174" t="s">
        <v>195</v>
      </c>
      <c r="C4">
        <v>0.8</v>
      </c>
    </row>
    <row r="5" spans="1:3" x14ac:dyDescent="0.15">
      <c r="A5">
        <v>4</v>
      </c>
      <c r="B5" s="174" t="s">
        <v>196</v>
      </c>
      <c r="C5">
        <v>0</v>
      </c>
    </row>
    <row r="6" spans="1:3" x14ac:dyDescent="0.15">
      <c r="A6">
        <v>5</v>
      </c>
      <c r="B6" s="174" t="s">
        <v>197</v>
      </c>
      <c r="C6">
        <v>0</v>
      </c>
    </row>
    <row r="7" spans="1:3" x14ac:dyDescent="0.15">
      <c r="A7">
        <v>6</v>
      </c>
      <c r="B7" s="174" t="s">
        <v>198</v>
      </c>
      <c r="C7">
        <v>0</v>
      </c>
    </row>
    <row r="8" spans="1:3" x14ac:dyDescent="0.15">
      <c r="A8">
        <v>7</v>
      </c>
      <c r="B8" s="174" t="s">
        <v>199</v>
      </c>
      <c r="C8">
        <v>0</v>
      </c>
    </row>
    <row r="9" spans="1:3" x14ac:dyDescent="0.15">
      <c r="A9">
        <v>8</v>
      </c>
      <c r="B9" s="174" t="s">
        <v>167</v>
      </c>
      <c r="C9">
        <v>0</v>
      </c>
    </row>
    <row r="10" spans="1:3" x14ac:dyDescent="0.15">
      <c r="A10">
        <v>9</v>
      </c>
      <c r="B10" s="174" t="s">
        <v>166</v>
      </c>
      <c r="C10">
        <v>0</v>
      </c>
    </row>
    <row r="11" spans="1:3" x14ac:dyDescent="0.15">
      <c r="A11">
        <v>10</v>
      </c>
      <c r="B11" s="174" t="s">
        <v>200</v>
      </c>
      <c r="C11">
        <v>0</v>
      </c>
    </row>
    <row r="12" spans="1:3" x14ac:dyDescent="0.15">
      <c r="A12">
        <v>11</v>
      </c>
      <c r="B12" s="174" t="s">
        <v>201</v>
      </c>
      <c r="C12">
        <v>0</v>
      </c>
    </row>
    <row r="13" spans="1:3" x14ac:dyDescent="0.15">
      <c r="A13">
        <v>12</v>
      </c>
      <c r="B13" s="174" t="s">
        <v>202</v>
      </c>
      <c r="C13">
        <v>0</v>
      </c>
    </row>
    <row r="14" spans="1:3" x14ac:dyDescent="0.15">
      <c r="A14">
        <v>13</v>
      </c>
      <c r="B14" s="174" t="s">
        <v>203</v>
      </c>
      <c r="C14">
        <v>0</v>
      </c>
    </row>
    <row r="15" spans="1:3" x14ac:dyDescent="0.15">
      <c r="A15">
        <v>14</v>
      </c>
      <c r="B15" s="174" t="s">
        <v>204</v>
      </c>
      <c r="C15">
        <v>0</v>
      </c>
    </row>
    <row r="16" spans="1:3" x14ac:dyDescent="0.15">
      <c r="A16">
        <v>15</v>
      </c>
      <c r="B16" s="174" t="s">
        <v>205</v>
      </c>
      <c r="C16">
        <v>0</v>
      </c>
    </row>
    <row r="17" spans="1:3" x14ac:dyDescent="0.15">
      <c r="A17">
        <v>16</v>
      </c>
      <c r="B17" s="174" t="s">
        <v>206</v>
      </c>
      <c r="C17">
        <v>0</v>
      </c>
    </row>
    <row r="18" spans="1:3" x14ac:dyDescent="0.15">
      <c r="A18">
        <v>17</v>
      </c>
      <c r="B18" s="174" t="s">
        <v>207</v>
      </c>
      <c r="C18">
        <v>0</v>
      </c>
    </row>
    <row r="19" spans="1:3" x14ac:dyDescent="0.15">
      <c r="A19">
        <v>18</v>
      </c>
      <c r="B19" s="174" t="s">
        <v>208</v>
      </c>
      <c r="C19">
        <v>0</v>
      </c>
    </row>
    <row r="20" spans="1:3" x14ac:dyDescent="0.15">
      <c r="A20">
        <v>19</v>
      </c>
      <c r="B20" s="174" t="s">
        <v>209</v>
      </c>
      <c r="C20">
        <v>0</v>
      </c>
    </row>
    <row r="21" spans="1:3" x14ac:dyDescent="0.15">
      <c r="A21">
        <v>20</v>
      </c>
      <c r="B21" s="174" t="s">
        <v>210</v>
      </c>
      <c r="C2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.1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7" t="s">
        <v>211</v>
      </c>
    </row>
    <row r="2" spans="1:3" x14ac:dyDescent="0.15">
      <c r="A2">
        <v>1</v>
      </c>
      <c r="B2" s="176" t="s">
        <v>193</v>
      </c>
      <c r="C2">
        <v>0.8</v>
      </c>
    </row>
    <row r="3" spans="1:3" x14ac:dyDescent="0.15">
      <c r="A3">
        <v>2</v>
      </c>
      <c r="B3" s="176" t="s">
        <v>194</v>
      </c>
      <c r="C3">
        <v>0.8</v>
      </c>
    </row>
    <row r="4" spans="1:3" x14ac:dyDescent="0.15">
      <c r="A4">
        <v>3</v>
      </c>
      <c r="B4" s="176" t="s">
        <v>195</v>
      </c>
      <c r="C4">
        <v>0.8</v>
      </c>
    </row>
    <row r="5" spans="1:3" x14ac:dyDescent="0.15">
      <c r="A5">
        <v>4</v>
      </c>
      <c r="B5" s="176" t="s">
        <v>196</v>
      </c>
      <c r="C5">
        <v>0</v>
      </c>
    </row>
    <row r="6" spans="1:3" x14ac:dyDescent="0.15">
      <c r="A6">
        <v>5</v>
      </c>
      <c r="B6" s="176" t="s">
        <v>197</v>
      </c>
      <c r="C6">
        <v>0</v>
      </c>
    </row>
    <row r="7" spans="1:3" x14ac:dyDescent="0.15">
      <c r="A7">
        <v>6</v>
      </c>
      <c r="B7" s="176" t="s">
        <v>198</v>
      </c>
      <c r="C7">
        <v>0</v>
      </c>
    </row>
    <row r="8" spans="1:3" x14ac:dyDescent="0.15">
      <c r="A8">
        <v>7</v>
      </c>
      <c r="B8" s="176" t="s">
        <v>199</v>
      </c>
      <c r="C8">
        <v>0</v>
      </c>
    </row>
    <row r="9" spans="1:3" x14ac:dyDescent="0.15">
      <c r="A9">
        <v>8</v>
      </c>
      <c r="B9" s="176" t="s">
        <v>167</v>
      </c>
      <c r="C9">
        <v>0</v>
      </c>
    </row>
    <row r="10" spans="1:3" x14ac:dyDescent="0.15">
      <c r="A10">
        <v>9</v>
      </c>
      <c r="B10" s="176" t="s">
        <v>166</v>
      </c>
      <c r="C10">
        <v>0</v>
      </c>
    </row>
    <row r="11" spans="1:3" x14ac:dyDescent="0.15">
      <c r="A11">
        <v>10</v>
      </c>
      <c r="B11" s="176" t="s">
        <v>200</v>
      </c>
      <c r="C11">
        <v>0</v>
      </c>
    </row>
    <row r="12" spans="1:3" x14ac:dyDescent="0.15">
      <c r="A12">
        <v>11</v>
      </c>
      <c r="B12" s="176" t="s">
        <v>201</v>
      </c>
      <c r="C12">
        <v>0</v>
      </c>
    </row>
    <row r="13" spans="1:3" x14ac:dyDescent="0.15">
      <c r="A13">
        <v>12</v>
      </c>
      <c r="B13" s="176" t="s">
        <v>202</v>
      </c>
      <c r="C13">
        <v>0</v>
      </c>
    </row>
    <row r="14" spans="1:3" x14ac:dyDescent="0.15">
      <c r="A14">
        <v>13</v>
      </c>
      <c r="B14" s="176" t="s">
        <v>203</v>
      </c>
      <c r="C14">
        <v>0</v>
      </c>
    </row>
    <row r="15" spans="1:3" x14ac:dyDescent="0.15">
      <c r="A15">
        <v>14</v>
      </c>
      <c r="B15" s="176" t="s">
        <v>204</v>
      </c>
      <c r="C15">
        <v>0</v>
      </c>
    </row>
    <row r="16" spans="1:3" x14ac:dyDescent="0.15">
      <c r="A16">
        <v>15</v>
      </c>
      <c r="B16" s="176" t="s">
        <v>205</v>
      </c>
      <c r="C16">
        <v>0</v>
      </c>
    </row>
    <row r="17" spans="1:3" x14ac:dyDescent="0.15">
      <c r="A17">
        <v>16</v>
      </c>
      <c r="B17" s="176" t="s">
        <v>206</v>
      </c>
      <c r="C17">
        <v>0</v>
      </c>
    </row>
    <row r="18" spans="1:3" x14ac:dyDescent="0.15">
      <c r="A18">
        <v>17</v>
      </c>
      <c r="B18" s="176" t="s">
        <v>207</v>
      </c>
      <c r="C18">
        <v>0</v>
      </c>
    </row>
    <row r="19" spans="1:3" x14ac:dyDescent="0.15">
      <c r="A19">
        <v>18</v>
      </c>
      <c r="B19" s="176" t="s">
        <v>208</v>
      </c>
      <c r="C19">
        <v>0</v>
      </c>
    </row>
    <row r="20" spans="1:3" x14ac:dyDescent="0.15">
      <c r="A20">
        <v>19</v>
      </c>
      <c r="B20" s="176" t="s">
        <v>209</v>
      </c>
      <c r="C20">
        <v>0</v>
      </c>
    </row>
    <row r="21" spans="1:3" x14ac:dyDescent="0.15">
      <c r="A21">
        <v>20</v>
      </c>
      <c r="B21" s="176" t="s">
        <v>210</v>
      </c>
      <c r="C2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6" sqref="K6"/>
    </sheetView>
  </sheetViews>
  <sheetFormatPr baseColWidth="10" defaultColWidth="8.83203125" defaultRowHeight="15" customHeight="1" x14ac:dyDescent="0.15"/>
  <cols>
    <col min="1" max="1" width="8.83203125" style="77"/>
    <col min="2" max="2" width="41.83203125" style="77" bestFit="1" customWidth="1"/>
    <col min="3" max="3" width="9.33203125" style="77" bestFit="1" customWidth="1"/>
    <col min="4" max="4" width="13" style="77" bestFit="1" customWidth="1"/>
    <col min="5" max="6" width="9.33203125" style="77" bestFit="1" customWidth="1"/>
    <col min="7" max="7" width="9.33203125" style="93" bestFit="1" customWidth="1"/>
    <col min="8" max="8" width="9.33203125" style="77" bestFit="1" customWidth="1"/>
    <col min="9" max="9" width="11" style="77" customWidth="1"/>
    <col min="10" max="10" width="8.83203125" style="77"/>
    <col min="15" max="16384" width="8.83203125" style="7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38">
        <v>1</v>
      </c>
      <c r="B2" s="138" t="s">
        <v>193</v>
      </c>
      <c r="C2" s="8">
        <v>3.7930870056152344</v>
      </c>
      <c r="D2" s="9">
        <v>3.4000000953674316</v>
      </c>
      <c r="E2" s="9">
        <v>0.37000000476837158</v>
      </c>
      <c r="F2" s="9">
        <v>3.9000000953674316</v>
      </c>
      <c r="G2" s="9">
        <v>0.76494437456130981</v>
      </c>
      <c r="H2" s="9">
        <v>9.4871796667575836E-2</v>
      </c>
      <c r="I2">
        <v>0.10999999940395355</v>
      </c>
      <c r="J2"/>
    </row>
    <row r="3" spans="1:10" ht="15" customHeight="1" x14ac:dyDescent="0.15">
      <c r="A3" s="139">
        <v>2</v>
      </c>
      <c r="B3" s="139" t="s">
        <v>194</v>
      </c>
      <c r="C3" s="8">
        <v>3.6726176738739014</v>
      </c>
      <c r="D3" s="9">
        <v>3</v>
      </c>
      <c r="E3" s="9">
        <v>0.38999998569488525</v>
      </c>
      <c r="F3" s="9">
        <v>4.5</v>
      </c>
      <c r="G3" s="9">
        <v>0.67427355051040649</v>
      </c>
      <c r="H3" s="9">
        <v>8.6666665971279144E-2</v>
      </c>
      <c r="I3">
        <v>1.9999999552965164E-2</v>
      </c>
      <c r="J3"/>
    </row>
    <row r="4" spans="1:10" ht="15" customHeight="1" x14ac:dyDescent="0.15">
      <c r="A4" s="140">
        <v>3</v>
      </c>
      <c r="B4" s="140" t="s">
        <v>195</v>
      </c>
      <c r="C4" s="8">
        <v>3.9996767044067383</v>
      </c>
      <c r="D4" s="9">
        <v>3.9000000953674316</v>
      </c>
      <c r="E4" s="9">
        <v>0.37999999523162842</v>
      </c>
      <c r="F4" s="9">
        <v>4.9000000953674316</v>
      </c>
      <c r="G4" s="9">
        <v>0.72489875555038452</v>
      </c>
      <c r="H4" s="9">
        <v>7.7551014721393585E-2</v>
      </c>
      <c r="I4">
        <v>5.9999998658895493E-2</v>
      </c>
      <c r="J4"/>
    </row>
    <row r="5" spans="1:10" ht="15" customHeight="1" x14ac:dyDescent="0.15">
      <c r="A5" s="141">
        <v>4</v>
      </c>
      <c r="B5" s="141" t="s">
        <v>196</v>
      </c>
      <c r="C5" s="8">
        <v>3.2239625453948975</v>
      </c>
      <c r="D5" s="9">
        <v>9</v>
      </c>
      <c r="E5" s="9">
        <v>1.1000000238418579</v>
      </c>
      <c r="F5" s="9">
        <v>6</v>
      </c>
      <c r="G5" s="9">
        <v>0.68725454807281494</v>
      </c>
      <c r="H5" s="9">
        <v>0.18333333730697632</v>
      </c>
      <c r="I5">
        <v>0</v>
      </c>
      <c r="J5"/>
    </row>
    <row r="6" spans="1:10" ht="15" customHeight="1" x14ac:dyDescent="0.15">
      <c r="A6" s="142">
        <v>5</v>
      </c>
      <c r="B6" s="142" t="s">
        <v>197</v>
      </c>
      <c r="C6" s="8">
        <v>2.2651150226593018</v>
      </c>
      <c r="D6" s="9">
        <v>3.4500000476837158</v>
      </c>
      <c r="E6" s="9">
        <v>2.0999999046325684</v>
      </c>
      <c r="F6" s="9">
        <v>20</v>
      </c>
      <c r="G6" s="9">
        <v>0.82064598798751831</v>
      </c>
      <c r="H6" s="9">
        <v>0.10499999672174454</v>
      </c>
      <c r="I6">
        <v>0</v>
      </c>
      <c r="J6"/>
    </row>
    <row r="7" spans="1:10" ht="15" customHeight="1" x14ac:dyDescent="0.15">
      <c r="A7" s="143">
        <v>6</v>
      </c>
      <c r="B7" s="143" t="s">
        <v>198</v>
      </c>
      <c r="C7" s="8">
        <v>2.7917928695678711</v>
      </c>
      <c r="D7" s="9">
        <v>10.380000114440918</v>
      </c>
      <c r="E7" s="9">
        <v>2.2000000476837158</v>
      </c>
      <c r="F7" s="9">
        <v>18</v>
      </c>
      <c r="G7" s="9">
        <v>0.82983136177062988</v>
      </c>
      <c r="H7" s="9">
        <v>0.12222222238779068</v>
      </c>
      <c r="I7">
        <v>0</v>
      </c>
      <c r="J7"/>
    </row>
    <row r="8" spans="1:10" ht="15" customHeight="1" x14ac:dyDescent="0.15">
      <c r="A8" s="144">
        <v>7</v>
      </c>
      <c r="B8" s="144" t="s">
        <v>199</v>
      </c>
      <c r="C8" s="8">
        <v>2.3039984703063965</v>
      </c>
      <c r="D8" s="9">
        <v>7.3000001907348633</v>
      </c>
      <c r="E8" s="9">
        <v>2.4000000953674316</v>
      </c>
      <c r="F8" s="9">
        <v>32</v>
      </c>
      <c r="G8" s="9">
        <v>0.83964776992797852</v>
      </c>
      <c r="H8" s="9">
        <v>7.5000002980232239E-2</v>
      </c>
      <c r="I8">
        <v>0</v>
      </c>
      <c r="J8"/>
    </row>
    <row r="9" spans="1:10" ht="15" customHeight="1" x14ac:dyDescent="0.15">
      <c r="A9" s="145">
        <v>8</v>
      </c>
      <c r="B9" s="145" t="s">
        <v>167</v>
      </c>
      <c r="C9" s="8">
        <v>3.3018839359283447</v>
      </c>
      <c r="D9" s="9">
        <v>7.9499998092651367</v>
      </c>
      <c r="E9" s="9">
        <v>2.7999999523162842</v>
      </c>
      <c r="F9" s="9">
        <v>15</v>
      </c>
      <c r="G9" s="9">
        <v>0.91135591268539429</v>
      </c>
      <c r="H9" s="9">
        <v>0.18666666746139526</v>
      </c>
      <c r="I9">
        <v>0</v>
      </c>
      <c r="J9"/>
    </row>
    <row r="10" spans="1:10" ht="15" customHeight="1" x14ac:dyDescent="0.15">
      <c r="A10" s="146">
        <v>9</v>
      </c>
      <c r="B10" s="146" t="s">
        <v>166</v>
      </c>
      <c r="C10" s="8">
        <v>3.3815147876739502</v>
      </c>
      <c r="D10" s="9">
        <v>7.6100001335144043</v>
      </c>
      <c r="E10" s="9">
        <v>3.5</v>
      </c>
      <c r="F10" s="9">
        <v>12</v>
      </c>
      <c r="G10" s="9">
        <v>0.78988546133041382</v>
      </c>
      <c r="H10" s="9">
        <v>0.2916666567325592</v>
      </c>
      <c r="I10">
        <v>0</v>
      </c>
      <c r="J10"/>
    </row>
    <row r="11" spans="1:10" ht="15" customHeight="1" x14ac:dyDescent="0.15">
      <c r="A11" s="147">
        <v>10</v>
      </c>
      <c r="B11" s="147" t="s">
        <v>200</v>
      </c>
      <c r="C11" s="8">
        <v>2.387678861618042</v>
      </c>
      <c r="D11" s="9">
        <v>22.350000381469727</v>
      </c>
      <c r="E11" s="9">
        <v>1.6000000238418579</v>
      </c>
      <c r="F11" s="9">
        <v>8</v>
      </c>
      <c r="G11" s="9">
        <v>0.81995517015457153</v>
      </c>
      <c r="H11" s="9">
        <v>0.20000000298023224</v>
      </c>
      <c r="I11">
        <v>0</v>
      </c>
      <c r="J11"/>
    </row>
    <row r="12" spans="1:10" ht="15" customHeight="1" x14ac:dyDescent="0.15">
      <c r="A12" s="148">
        <v>11</v>
      </c>
      <c r="B12" s="148" t="s">
        <v>201</v>
      </c>
      <c r="C12" s="8">
        <v>2.5660381317138672</v>
      </c>
      <c r="D12" s="9">
        <v>47.479999542236328</v>
      </c>
      <c r="E12" s="9">
        <v>3</v>
      </c>
      <c r="F12" s="9">
        <v>10</v>
      </c>
      <c r="G12" s="9">
        <v>0.83993160724639893</v>
      </c>
      <c r="H12" s="9">
        <v>0.30000001192092896</v>
      </c>
      <c r="I12">
        <v>0</v>
      </c>
      <c r="J12"/>
    </row>
    <row r="13" spans="1:10" ht="15" customHeight="1" x14ac:dyDescent="0.15">
      <c r="A13" s="149">
        <v>12</v>
      </c>
      <c r="B13" s="149" t="s">
        <v>202</v>
      </c>
      <c r="C13" s="8">
        <v>2.1665680408477783</v>
      </c>
      <c r="D13" s="9">
        <v>18.799999237060547</v>
      </c>
      <c r="E13" s="9">
        <v>9</v>
      </c>
      <c r="F13" s="9">
        <v>30</v>
      </c>
      <c r="G13" s="9">
        <v>0.65011584758758545</v>
      </c>
      <c r="H13" s="9">
        <v>0.30000001192092896</v>
      </c>
      <c r="I13">
        <v>0</v>
      </c>
      <c r="J13"/>
    </row>
    <row r="14" spans="1:10" ht="15" customHeight="1" x14ac:dyDescent="0.15">
      <c r="A14" s="150">
        <v>13</v>
      </c>
      <c r="B14" s="150" t="s">
        <v>203</v>
      </c>
      <c r="C14" s="8">
        <v>2.1390237808227539</v>
      </c>
      <c r="D14" s="9">
        <v>42.040000915527344</v>
      </c>
      <c r="E14" s="9">
        <v>26</v>
      </c>
      <c r="F14" s="9">
        <v>100</v>
      </c>
      <c r="G14" s="9">
        <v>0.44216588139533997</v>
      </c>
      <c r="H14" s="9">
        <v>0.25999999046325684</v>
      </c>
      <c r="I14">
        <v>0</v>
      </c>
      <c r="J14"/>
    </row>
    <row r="15" spans="1:10" ht="15" customHeight="1" x14ac:dyDescent="0.15">
      <c r="A15" s="151">
        <v>14</v>
      </c>
      <c r="B15" s="151" t="s">
        <v>204</v>
      </c>
      <c r="C15" s="8">
        <v>2.1170213222503662</v>
      </c>
      <c r="D15" s="9">
        <v>50</v>
      </c>
      <c r="E15" s="9">
        <v>67</v>
      </c>
      <c r="F15" s="9">
        <v>219</v>
      </c>
      <c r="G15" s="9">
        <v>0.48304226994514465</v>
      </c>
      <c r="H15" s="9">
        <v>0.3059360682964325</v>
      </c>
      <c r="I15">
        <v>0</v>
      </c>
      <c r="J15"/>
    </row>
    <row r="16" spans="1:10" ht="15" customHeight="1" x14ac:dyDescent="0.15">
      <c r="A16" s="152">
        <v>15</v>
      </c>
      <c r="B16" s="152" t="s">
        <v>205</v>
      </c>
      <c r="C16" s="8">
        <v>2.0576043128967285</v>
      </c>
      <c r="D16" s="9">
        <v>500</v>
      </c>
      <c r="E16" s="9">
        <v>3.2000000476837158</v>
      </c>
      <c r="F16" s="9">
        <v>12</v>
      </c>
      <c r="G16" s="9">
        <v>0.11239159107208252</v>
      </c>
      <c r="H16" s="9">
        <v>0.26666668057441711</v>
      </c>
      <c r="I16">
        <v>0</v>
      </c>
      <c r="J16"/>
    </row>
    <row r="17" spans="1:10" ht="15" customHeight="1" x14ac:dyDescent="0.15">
      <c r="A17" s="153">
        <v>16</v>
      </c>
      <c r="B17" s="153" t="s">
        <v>206</v>
      </c>
      <c r="C17" s="8">
        <v>2.2234041690826416</v>
      </c>
      <c r="D17" s="9">
        <v>24</v>
      </c>
      <c r="E17" s="9">
        <v>52</v>
      </c>
      <c r="F17" s="9">
        <v>178</v>
      </c>
      <c r="G17" s="9">
        <v>0.77449679374694824</v>
      </c>
      <c r="H17" s="9">
        <v>0.29213482141494751</v>
      </c>
      <c r="I17">
        <v>0</v>
      </c>
      <c r="J17"/>
    </row>
    <row r="18" spans="1:10" ht="15" customHeight="1" x14ac:dyDescent="0.15">
      <c r="A18" s="154">
        <v>17</v>
      </c>
      <c r="B18" s="154" t="s">
        <v>207</v>
      </c>
      <c r="C18" s="8">
        <v>1</v>
      </c>
      <c r="D18" s="9">
        <v>20.5</v>
      </c>
      <c r="E18" s="9">
        <v>450</v>
      </c>
      <c r="F18" s="10"/>
      <c r="G18" s="9">
        <v>0.26763078570365906</v>
      </c>
      <c r="H18" s="10"/>
      <c r="I18">
        <v>0</v>
      </c>
      <c r="J18"/>
    </row>
    <row r="19" spans="1:10" ht="15" customHeight="1" x14ac:dyDescent="0.15">
      <c r="A19" s="155">
        <v>18</v>
      </c>
      <c r="B19" s="155" t="s">
        <v>208</v>
      </c>
      <c r="C19" s="8">
        <v>1</v>
      </c>
      <c r="D19" s="9">
        <v>740</v>
      </c>
      <c r="E19" s="9">
        <v>12.100000381469727</v>
      </c>
      <c r="F19" s="10"/>
      <c r="G19" s="9">
        <v>8.7965831160545349E-2</v>
      </c>
      <c r="H19" s="10"/>
      <c r="I19">
        <v>0</v>
      </c>
      <c r="J19"/>
    </row>
    <row r="20" spans="1:10" ht="15" customHeight="1" x14ac:dyDescent="0.15">
      <c r="A20" s="156">
        <v>19</v>
      </c>
      <c r="B20" s="156" t="s">
        <v>209</v>
      </c>
      <c r="C20" s="8">
        <v>1</v>
      </c>
      <c r="D20" s="9">
        <v>800</v>
      </c>
      <c r="E20" s="10"/>
      <c r="F20" s="10"/>
      <c r="G20" s="7">
        <v>0.83825856447219849</v>
      </c>
      <c r="H20" s="10"/>
      <c r="I20">
        <v>0</v>
      </c>
      <c r="J20"/>
    </row>
    <row r="21" spans="1:10" ht="15" customHeight="1" x14ac:dyDescent="0.15">
      <c r="A21" s="157">
        <v>20</v>
      </c>
      <c r="B21" s="157" t="s">
        <v>210</v>
      </c>
      <c r="C21" s="8">
        <v>1</v>
      </c>
      <c r="D21" s="9">
        <v>5</v>
      </c>
      <c r="E21" s="10"/>
      <c r="F21" s="10"/>
      <c r="G21" s="7">
        <v>0</v>
      </c>
      <c r="H21" s="10"/>
      <c r="I21">
        <v>0</v>
      </c>
      <c r="J21"/>
    </row>
    <row r="22" spans="1:10" ht="15" customHeight="1" x14ac:dyDescent="0.15">
      <c r="A22" s="158">
        <v>21</v>
      </c>
      <c r="B22" s="158" t="s">
        <v>211</v>
      </c>
      <c r="C22" s="8">
        <v>4.8456454277038574</v>
      </c>
      <c r="D22" s="10"/>
      <c r="E22" s="10"/>
      <c r="F22" s="10"/>
      <c r="G22" s="10"/>
      <c r="H22" s="10"/>
      <c r="I22">
        <v>0.18999999761581421</v>
      </c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7" bestFit="1" customWidth="1"/>
    <col min="2" max="4" width="9.5" style="77" bestFit="1" customWidth="1"/>
    <col min="5" max="7" width="9" style="77" bestFit="1" customWidth="1"/>
    <col min="8" max="16" width="12.6640625" style="77" bestFit="1" customWidth="1"/>
    <col min="17" max="17" width="12.33203125" style="77" bestFit="1" customWidth="1"/>
    <col min="18" max="18" width="8.83203125" style="77"/>
    <col min="19" max="21" width="9.33203125" style="77" bestFit="1" customWidth="1"/>
    <col min="22" max="23" width="8.83203125" style="77"/>
    <col min="24" max="24" width="9.33203125" style="77" bestFit="1" customWidth="1"/>
    <col min="25" max="27" width="8.83203125" style="77"/>
    <col min="28" max="58" width="9" style="77" bestFit="1" customWidth="1"/>
    <col min="59" max="59" width="12.33203125" style="77" bestFit="1" customWidth="1"/>
    <col min="60" max="60" width="9" style="77" bestFit="1" customWidth="1"/>
    <col min="61" max="61" width="11.33203125" style="77" bestFit="1" customWidth="1"/>
    <col min="62" max="77" width="9" style="77" bestFit="1" customWidth="1"/>
    <col min="78" max="78" width="12.33203125" style="77" bestFit="1" customWidth="1"/>
    <col min="79" max="79" width="9" style="77" bestFit="1" customWidth="1"/>
    <col min="80" max="80" width="12.33203125" style="77" bestFit="1" customWidth="1"/>
    <col min="81" max="107" width="9" style="77" bestFit="1" customWidth="1"/>
    <col min="108" max="108" width="11.33203125" style="77" bestFit="1" customWidth="1"/>
    <col min="109" max="124" width="9" style="77" bestFit="1" customWidth="1"/>
    <col min="125" max="125" width="10.33203125" style="77" bestFit="1" customWidth="1"/>
    <col min="126" max="129" width="9.33203125" style="77" bestFit="1" customWidth="1"/>
    <col min="130" max="130" width="9" style="77" bestFit="1" customWidth="1"/>
    <col min="131" max="134" width="9.33203125" style="77" bestFit="1" customWidth="1"/>
    <col min="135" max="165" width="9" style="77" bestFit="1" customWidth="1"/>
    <col min="166" max="166" width="12.33203125" style="77" bestFit="1" customWidth="1"/>
    <col min="167" max="170" width="9" style="77" bestFit="1" customWidth="1"/>
    <col min="171" max="176" width="8.83203125" style="77"/>
    <col min="177" max="177" width="13.83203125" style="77" bestFit="1" customWidth="1"/>
    <col min="178" max="16384" width="8.83203125" style="7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216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167</v>
      </c>
      <c r="M1" t="s">
        <v>166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0.37000000476837158</v>
      </c>
      <c r="C2">
        <v>8.6970582604408264E-2</v>
      </c>
      <c r="D2" s="186">
        <v>3.2352939248085022E-2</v>
      </c>
      <c r="E2" s="189">
        <v>3.9000000804662704E-2</v>
      </c>
      <c r="F2" s="191">
        <v>8.3382345736026764E-2</v>
      </c>
      <c r="G2" s="194">
        <v>0.11241175979375839</v>
      </c>
      <c r="H2" s="20">
        <v>1.5882352367043495E-2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0.38999998569488525</v>
      </c>
      <c r="C3">
        <v>0.12703330814838409</v>
      </c>
      <c r="D3" s="19">
        <v>6.6666663624346256E-3</v>
      </c>
      <c r="E3" s="190">
        <v>8.8400006294250488E-2</v>
      </c>
      <c r="F3" s="187">
        <v>2.2499999031424522E-2</v>
      </c>
      <c r="G3" s="192">
        <v>0.1273999959230423</v>
      </c>
      <c r="H3" s="27">
        <v>1.8000001087784767E-2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0.37999999523162842</v>
      </c>
      <c r="C4">
        <v>0.10453847050666809</v>
      </c>
      <c r="D4" s="64">
        <v>1.538461446762085E-2</v>
      </c>
      <c r="E4" s="188">
        <v>3.4000001847743988E-2</v>
      </c>
      <c r="F4" s="195">
        <v>0.11423075944185257</v>
      </c>
      <c r="G4" s="193">
        <v>9.7999997437000275E-2</v>
      </c>
      <c r="H4" s="13">
        <v>1.3846154324710369E-2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1.1000000238418579</v>
      </c>
      <c r="C5">
        <v>0.34402000904083252</v>
      </c>
      <c r="D5"/>
      <c r="E5" s="207">
        <v>0.29466667771339417</v>
      </c>
      <c r="F5" s="201">
        <v>0.16349999606609344</v>
      </c>
      <c r="G5" s="134">
        <v>0.23781333863735199</v>
      </c>
      <c r="H5" s="62">
        <v>5.9999994933605194E-2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2.0999999046325684</v>
      </c>
      <c r="C6">
        <v>0.37664341926574707</v>
      </c>
      <c r="D6"/>
      <c r="E6" s="203">
        <v>0.49965217709541321</v>
      </c>
      <c r="F6" s="204">
        <v>0.50869560241699219</v>
      </c>
      <c r="G6" s="193">
        <v>0.54283475875854492</v>
      </c>
      <c r="H6" s="197">
        <v>0.17217390239238739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2.2000000476837158</v>
      </c>
      <c r="C7">
        <v>0.37437102198600769</v>
      </c>
      <c r="D7"/>
      <c r="E7" s="206">
        <v>0.17884394526481628</v>
      </c>
      <c r="F7" s="26">
        <v>0.1690751314163208</v>
      </c>
      <c r="G7" s="102">
        <v>0.39950573444366455</v>
      </c>
      <c r="H7" s="209">
        <v>0.36416184902191162</v>
      </c>
      <c r="I7" s="12">
        <v>6.6473991610109806E-3</v>
      </c>
      <c r="J7" s="202">
        <v>0.16199998557567596</v>
      </c>
      <c r="K7"/>
      <c r="L7"/>
      <c r="M7" s="199">
        <v>8.7976880371570587E-2</v>
      </c>
      <c r="N7"/>
      <c r="O7" s="211">
        <v>0.45741808414459229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2.4000000953674316</v>
      </c>
      <c r="C8">
        <v>0.38484537601470947</v>
      </c>
      <c r="D8"/>
      <c r="E8" s="133">
        <v>0.3087945282459259</v>
      </c>
      <c r="F8" s="22">
        <v>2.0342465490102768E-2</v>
      </c>
      <c r="G8" s="18">
        <v>2.8795890510082245E-2</v>
      </c>
      <c r="H8" s="198">
        <v>8.1369861960411072E-2</v>
      </c>
      <c r="I8" s="12">
        <v>9.4520552083849907E-3</v>
      </c>
      <c r="J8" s="208">
        <v>0.4607013463973999</v>
      </c>
      <c r="K8"/>
      <c r="L8"/>
      <c r="M8"/>
      <c r="N8"/>
      <c r="O8" s="103">
        <v>1.1056985855102539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167</v>
      </c>
      <c r="B9">
        <v>2.7999999523162842</v>
      </c>
      <c r="C9">
        <v>0.24820344150066376</v>
      </c>
      <c r="D9"/>
      <c r="E9" s="26">
        <v>0.21683020889759064</v>
      </c>
      <c r="F9" s="200">
        <v>0.1477358490228653</v>
      </c>
      <c r="G9" s="215">
        <v>0.8365132212638855</v>
      </c>
      <c r="H9" s="196">
        <v>6.7924521863460541E-2</v>
      </c>
      <c r="I9" s="12">
        <v>8.6792465299367905E-3</v>
      </c>
      <c r="J9" s="72">
        <v>0.47003772854804993</v>
      </c>
      <c r="K9"/>
      <c r="L9"/>
      <c r="M9" s="214">
        <v>0.80407553911209106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166</v>
      </c>
      <c r="B10">
        <v>3.5</v>
      </c>
      <c r="C10">
        <v>0.73540091514587402</v>
      </c>
      <c r="D10"/>
      <c r="E10" s="15">
        <v>3.4848883748054504E-2</v>
      </c>
      <c r="F10" s="18">
        <v>3.9027594029903412E-2</v>
      </c>
      <c r="G10" s="17">
        <v>5.0223391503095627E-2</v>
      </c>
      <c r="H10" s="21">
        <v>7.095925509929657E-2</v>
      </c>
      <c r="I10" s="14">
        <v>9.0670175850391388E-3</v>
      </c>
      <c r="J10" s="213">
        <v>0.73655712604522705</v>
      </c>
      <c r="K10"/>
      <c r="L10"/>
      <c r="M10" s="217">
        <v>1.1999999284744263</v>
      </c>
      <c r="N10"/>
      <c r="O10" s="210">
        <v>0.62391585111618042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200</v>
      </c>
      <c r="B11">
        <v>1.6000000238418579</v>
      </c>
      <c r="C11">
        <v>0.28807172179222107</v>
      </c>
      <c r="D11"/>
      <c r="E11"/>
      <c r="F11"/>
      <c r="G11"/>
      <c r="H11" s="16">
        <v>2.6577180251479149E-2</v>
      </c>
      <c r="I11" s="65">
        <v>9.2617444694042206E-2</v>
      </c>
      <c r="J11" s="213">
        <v>0.33438923954963684</v>
      </c>
      <c r="K11" s="216">
        <v>0.31355702877044678</v>
      </c>
      <c r="L11"/>
      <c r="M11"/>
      <c r="N11" s="205">
        <v>7.9999998211860657E-2</v>
      </c>
      <c r="O11" s="212">
        <v>0.21243846416473389</v>
      </c>
      <c r="P11" s="101">
        <v>0.25234898924827576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201</v>
      </c>
      <c r="B12">
        <v>3</v>
      </c>
      <c r="C12">
        <v>0.48020517826080322</v>
      </c>
      <c r="D12"/>
      <c r="E12" s="17">
        <v>3.8260743021965027E-2</v>
      </c>
      <c r="F12" s="16">
        <v>4.805181547999382E-2</v>
      </c>
      <c r="G12" s="16">
        <v>4.9505684524774551E-2</v>
      </c>
      <c r="H12" s="218">
        <v>0.28887954354286194</v>
      </c>
      <c r="I12" s="196">
        <v>7.2662167251110077E-2</v>
      </c>
      <c r="J12" s="189">
        <v>0.31481045484542847</v>
      </c>
      <c r="K12" s="197">
        <v>0.2459983229637146</v>
      </c>
      <c r="L12" s="207">
        <v>0.80370688438415527</v>
      </c>
      <c r="M12" s="218">
        <v>0.28850045800209045</v>
      </c>
      <c r="N12" s="66">
        <v>0.15063184499740601</v>
      </c>
      <c r="O12" s="198">
        <v>9.9999994039535522E-2</v>
      </c>
      <c r="P12" s="199">
        <v>0.11878685653209686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9</v>
      </c>
      <c r="C13">
        <v>3.1489572525024414</v>
      </c>
      <c r="D13"/>
      <c r="E13" s="14">
        <v>2.3275533691048622E-2</v>
      </c>
      <c r="F13" s="196">
        <v>0.20321808755397797</v>
      </c>
      <c r="G13" s="14">
        <v>1.1181384325027466E-2</v>
      </c>
      <c r="H13" s="71">
        <v>0.57446813583374023</v>
      </c>
      <c r="I13" s="16">
        <v>0.14680851995944977</v>
      </c>
      <c r="J13" s="221">
        <v>1.59012770652771</v>
      </c>
      <c r="K13" s="219">
        <v>0.99404257535934448</v>
      </c>
      <c r="L13" s="22">
        <v>6.3430860638618469E-2</v>
      </c>
      <c r="M13" s="220">
        <v>1.3115106821060181</v>
      </c>
      <c r="N13" s="20">
        <v>0.38042554259300232</v>
      </c>
      <c r="O13" s="24">
        <v>0.25255319476127625</v>
      </c>
      <c r="P13" s="198">
        <v>0.30000001192092896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26</v>
      </c>
      <c r="C14">
        <v>14.503686904907227</v>
      </c>
      <c r="D14"/>
      <c r="E14"/>
      <c r="F14"/>
      <c r="G14"/>
      <c r="H14" s="22">
        <v>0.17982873320579529</v>
      </c>
      <c r="I14" s="14">
        <v>3.2825879752635956E-2</v>
      </c>
      <c r="J14" s="22">
        <v>0.22221693396568298</v>
      </c>
      <c r="K14" s="12">
        <v>0.11113224923610687</v>
      </c>
      <c r="L14" s="23">
        <v>0.17019505798816681</v>
      </c>
      <c r="M14" s="22">
        <v>0.2172216922044754</v>
      </c>
      <c r="N14" s="17">
        <v>0.34024736285209656</v>
      </c>
      <c r="O14" s="222">
        <v>2.2588009834289551</v>
      </c>
      <c r="P14" s="63">
        <v>0.53663176298141479</v>
      </c>
      <c r="Q14" s="224">
        <v>6</v>
      </c>
      <c r="R14"/>
      <c r="S14" s="62">
        <v>1.427212119102478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67</v>
      </c>
      <c r="C15">
        <v>34.63616943359375</v>
      </c>
      <c r="D15"/>
      <c r="E15"/>
      <c r="F15"/>
      <c r="G15"/>
      <c r="H15" s="14">
        <v>0.12960000336170197</v>
      </c>
      <c r="I15" s="11">
        <v>2.759999968111515E-2</v>
      </c>
      <c r="J15" s="14">
        <v>0.1868399977684021</v>
      </c>
      <c r="K15" s="14">
        <v>9.3439996242523193E-2</v>
      </c>
      <c r="L15" s="11">
        <v>2.3850001394748688E-2</v>
      </c>
      <c r="M15" s="14">
        <v>9.132000058889389E-2</v>
      </c>
      <c r="N15" s="12">
        <v>0.25031998753547668</v>
      </c>
      <c r="O15" s="19">
        <v>1.1775039434432983</v>
      </c>
      <c r="P15" s="12">
        <v>0.30456000566482544</v>
      </c>
      <c r="Q15" s="18">
        <v>0.84080004692077637</v>
      </c>
      <c r="R15" s="225">
        <v>10.949999809265137</v>
      </c>
      <c r="S15" s="19">
        <v>1.2000000476837158</v>
      </c>
      <c r="T15" s="137">
        <v>17.088001251220703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>
        <v>3.2000000476837158</v>
      </c>
      <c r="C16">
        <v>2.8403470516204834</v>
      </c>
      <c r="D16"/>
      <c r="E16"/>
      <c r="F16"/>
      <c r="G16"/>
      <c r="H16" s="14">
        <v>5.4000001400709152E-3</v>
      </c>
      <c r="I16" s="11">
        <v>2.7600000612437725E-3</v>
      </c>
      <c r="J16" s="18">
        <v>3.5125918686389923E-2</v>
      </c>
      <c r="K16" s="14">
        <v>9.3439994379878044E-3</v>
      </c>
      <c r="L16"/>
      <c r="M16"/>
      <c r="N16" s="15">
        <v>3.2184001058340073E-2</v>
      </c>
      <c r="O16" s="22">
        <v>2.5639200583100319E-2</v>
      </c>
      <c r="P16" s="17">
        <v>4.51199971139431E-2</v>
      </c>
      <c r="Q16" s="25">
        <v>8.4080003201961517E-2</v>
      </c>
      <c r="R16"/>
      <c r="S16" s="13">
        <v>0.11999999731779099</v>
      </c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>
        <v>52</v>
      </c>
      <c r="C17">
        <v>11.726166725158691</v>
      </c>
      <c r="D17"/>
      <c r="E17"/>
      <c r="F17"/>
      <c r="G17"/>
      <c r="H17"/>
      <c r="I17" s="14">
        <v>5.7500001043081284E-2</v>
      </c>
      <c r="J17" s="23">
        <v>0.35032501816749573</v>
      </c>
      <c r="K17" s="12">
        <v>0.19466666877269745</v>
      </c>
      <c r="L17" s="62">
        <v>2.8818750381469727</v>
      </c>
      <c r="M17" s="17">
        <v>0.76099997758865356</v>
      </c>
      <c r="N17"/>
      <c r="O17" s="21">
        <v>1.0683000087738037</v>
      </c>
      <c r="P17" s="14">
        <v>0.14099998772144318</v>
      </c>
      <c r="Q17" s="223">
        <v>7.0066666603088379</v>
      </c>
      <c r="R17" s="226">
        <v>22.8125</v>
      </c>
      <c r="S17" s="218">
        <v>5</v>
      </c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207</v>
      </c>
      <c r="B18">
        <v>450</v>
      </c>
      <c r="C18">
        <v>329.56613159179688</v>
      </c>
      <c r="D18"/>
      <c r="E18"/>
      <c r="F18"/>
      <c r="G18"/>
      <c r="H18"/>
      <c r="I18" s="11">
        <v>0.10097560286521912</v>
      </c>
      <c r="J18"/>
      <c r="K18" s="11">
        <v>0.11395122110843658</v>
      </c>
      <c r="L18"/>
      <c r="M18"/>
      <c r="N18"/>
      <c r="O18" s="12">
        <v>1.3896584510803223</v>
      </c>
      <c r="P18"/>
      <c r="Q18"/>
      <c r="R18"/>
      <c r="S18" s="198">
        <v>14.634146690368652</v>
      </c>
      <c r="T18" s="224">
        <v>104.19512176513672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208</v>
      </c>
      <c r="B19">
        <v>12.100000381469727</v>
      </c>
      <c r="C19">
        <v>11.035614013671875</v>
      </c>
      <c r="D19"/>
      <c r="E19"/>
      <c r="F19"/>
      <c r="G19"/>
      <c r="H19"/>
      <c r="I19" s="12">
        <v>5.2775677293539047E-2</v>
      </c>
      <c r="J19" s="14">
        <v>2.5248648598790169E-2</v>
      </c>
      <c r="K19" s="17">
        <v>0.17362163960933685</v>
      </c>
      <c r="L19"/>
      <c r="M19"/>
      <c r="N19" s="23">
        <v>7.248649001121521E-2</v>
      </c>
      <c r="O19" s="23">
        <v>6.4162164926528931E-2</v>
      </c>
      <c r="P19" s="12">
        <v>4.3443240225315094E-2</v>
      </c>
      <c r="Q19" s="21">
        <v>0.22724324464797974</v>
      </c>
      <c r="R19"/>
      <c r="S19" s="198">
        <v>0.40540540218353271</v>
      </c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/>
      <c r="C20">
        <v>0.83825856447219849</v>
      </c>
      <c r="D20"/>
      <c r="E20"/>
      <c r="F20"/>
      <c r="G20"/>
      <c r="H20" s="9">
        <v>5.4000000953674316</v>
      </c>
      <c r="I20" s="9">
        <v>13.799999237060547</v>
      </c>
      <c r="J20" s="9">
        <v>56.799358367919922</v>
      </c>
      <c r="K20" s="9">
        <v>46.720001220703125</v>
      </c>
      <c r="L20" s="9">
        <v>2.3850002288818359</v>
      </c>
      <c r="M20" s="9">
        <v>4.5659999847412109</v>
      </c>
      <c r="N20" s="9">
        <v>66.155998229980469</v>
      </c>
      <c r="O20" s="9">
        <v>174.72639465332031</v>
      </c>
      <c r="P20" s="9">
        <v>451.19998168945312</v>
      </c>
      <c r="Q20" s="9">
        <v>3531.35986328125</v>
      </c>
      <c r="R20" s="9">
        <v>9855</v>
      </c>
      <c r="S20" s="9">
        <v>5100</v>
      </c>
      <c r="T20" s="9">
        <v>1281.60009765625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/>
      <c r="C21">
        <v>0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2.1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2.1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168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169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78" t="s">
        <v>193</v>
      </c>
      <c r="E5">
        <v>4</v>
      </c>
      <c r="F5">
        <v>3.24</v>
      </c>
      <c r="G5">
        <v>4</v>
      </c>
      <c r="H5" s="179" t="s">
        <v>193</v>
      </c>
      <c r="J5" s="55"/>
      <c r="K5" s="56"/>
    </row>
    <row r="6" spans="1:12" ht="14" thickBot="1" x14ac:dyDescent="0.2">
      <c r="A6" s="39" t="s">
        <v>121</v>
      </c>
      <c r="D6" s="178" t="s">
        <v>194</v>
      </c>
      <c r="E6">
        <v>5</v>
      </c>
      <c r="F6">
        <v>3.24</v>
      </c>
      <c r="G6">
        <v>5</v>
      </c>
      <c r="H6" s="179" t="s">
        <v>194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78" t="s">
        <v>195</v>
      </c>
      <c r="E7">
        <v>6</v>
      </c>
      <c r="F7">
        <v>3.1</v>
      </c>
      <c r="G7">
        <v>6</v>
      </c>
      <c r="H7" s="179" t="s">
        <v>195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78" t="s">
        <v>196</v>
      </c>
      <c r="E8">
        <v>7</v>
      </c>
      <c r="F8">
        <v>3.04</v>
      </c>
      <c r="G8">
        <v>7</v>
      </c>
      <c r="H8" s="179" t="s">
        <v>196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78" t="s">
        <v>197</v>
      </c>
      <c r="E9">
        <v>8</v>
      </c>
      <c r="F9">
        <v>3.24</v>
      </c>
      <c r="G9">
        <v>8</v>
      </c>
      <c r="H9" s="179" t="s">
        <v>197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78" t="s">
        <v>198</v>
      </c>
      <c r="E10">
        <v>9</v>
      </c>
      <c r="F10">
        <v>3.04</v>
      </c>
      <c r="G10">
        <v>9</v>
      </c>
      <c r="H10" s="179" t="s">
        <v>198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78" t="s">
        <v>199</v>
      </c>
      <c r="E11">
        <v>10</v>
      </c>
      <c r="F11">
        <v>3.04</v>
      </c>
      <c r="G11">
        <v>10</v>
      </c>
      <c r="H11" s="179" t="s">
        <v>199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78" t="s">
        <v>167</v>
      </c>
      <c r="E12">
        <v>11</v>
      </c>
      <c r="F12">
        <v>3.14</v>
      </c>
      <c r="G12">
        <v>11</v>
      </c>
      <c r="H12" s="179" t="s">
        <v>167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78" t="s">
        <v>166</v>
      </c>
      <c r="E13">
        <v>12</v>
      </c>
      <c r="F13">
        <v>3.13</v>
      </c>
      <c r="G13">
        <v>12</v>
      </c>
      <c r="H13" s="179" t="s">
        <v>166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78" t="s">
        <v>200</v>
      </c>
      <c r="E14">
        <v>13</v>
      </c>
      <c r="F14">
        <v>3.21</v>
      </c>
      <c r="G14">
        <v>13</v>
      </c>
      <c r="H14" s="179" t="s">
        <v>200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78" t="s">
        <v>201</v>
      </c>
      <c r="E15">
        <v>14</v>
      </c>
      <c r="F15">
        <v>3.01</v>
      </c>
      <c r="G15">
        <v>14</v>
      </c>
      <c r="H15" s="179" t="s">
        <v>201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78" t="s">
        <v>202</v>
      </c>
      <c r="E16">
        <v>15</v>
      </c>
      <c r="F16">
        <v>3.21</v>
      </c>
      <c r="G16">
        <v>15</v>
      </c>
      <c r="H16" s="179" t="s">
        <v>202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78" t="s">
        <v>203</v>
      </c>
      <c r="E17">
        <v>16</v>
      </c>
      <c r="F17">
        <v>3.21</v>
      </c>
      <c r="G17">
        <v>16</v>
      </c>
      <c r="H17" s="179" t="s">
        <v>203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78" t="s">
        <v>204</v>
      </c>
      <c r="E18">
        <v>17</v>
      </c>
      <c r="F18">
        <v>3.21</v>
      </c>
      <c r="G18">
        <v>17</v>
      </c>
      <c r="H18" s="179" t="s">
        <v>204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78" t="s">
        <v>205</v>
      </c>
      <c r="E19">
        <v>18</v>
      </c>
      <c r="F19">
        <v>3.21</v>
      </c>
      <c r="G19">
        <v>18</v>
      </c>
      <c r="H19" s="179" t="s">
        <v>205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78" t="s">
        <v>206</v>
      </c>
      <c r="E20">
        <v>19</v>
      </c>
      <c r="F20">
        <v>3.11</v>
      </c>
      <c r="G20">
        <v>19</v>
      </c>
      <c r="H20" s="179" t="s">
        <v>206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78" t="s">
        <v>207</v>
      </c>
      <c r="E21">
        <v>20</v>
      </c>
      <c r="F21">
        <v>2.1</v>
      </c>
      <c r="G21">
        <v>20</v>
      </c>
      <c r="H21" s="179" t="s">
        <v>207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78" t="s">
        <v>208</v>
      </c>
      <c r="E22">
        <v>21</v>
      </c>
      <c r="F22">
        <v>2.2000000000000002</v>
      </c>
      <c r="G22">
        <v>21</v>
      </c>
      <c r="H22" s="179" t="s">
        <v>208</v>
      </c>
    </row>
    <row r="23" spans="1:12" x14ac:dyDescent="0.15">
      <c r="A23" s="34" t="s">
        <v>129</v>
      </c>
      <c r="B23" s="42">
        <v>4</v>
      </c>
      <c r="C23" s="36"/>
      <c r="D23" s="178" t="s">
        <v>209</v>
      </c>
      <c r="E23">
        <v>22</v>
      </c>
      <c r="F23">
        <v>4.0999999999999996</v>
      </c>
      <c r="G23">
        <v>22</v>
      </c>
      <c r="H23" s="179" t="s">
        <v>209</v>
      </c>
    </row>
    <row r="24" spans="1:12" x14ac:dyDescent="0.15">
      <c r="A24" s="34" t="s">
        <v>122</v>
      </c>
      <c r="B24" s="42">
        <v>4.0999999999999996</v>
      </c>
      <c r="C24" s="36"/>
      <c r="D24" s="178" t="s">
        <v>210</v>
      </c>
      <c r="E24">
        <v>23</v>
      </c>
      <c r="F24">
        <v>4.3</v>
      </c>
      <c r="G24">
        <v>23</v>
      </c>
      <c r="H24" s="179" t="s">
        <v>210</v>
      </c>
    </row>
    <row r="25" spans="1:12" x14ac:dyDescent="0.15">
      <c r="A25" s="34" t="s">
        <v>70</v>
      </c>
      <c r="B25" s="42">
        <v>4.2</v>
      </c>
      <c r="C25" s="36"/>
      <c r="D25" s="178" t="s">
        <v>211</v>
      </c>
      <c r="E25">
        <v>24</v>
      </c>
      <c r="F25">
        <v>5</v>
      </c>
      <c r="G25">
        <v>24</v>
      </c>
      <c r="H25" s="179" t="s">
        <v>211</v>
      </c>
    </row>
    <row r="26" spans="1:12" x14ac:dyDescent="0.15">
      <c r="A26" s="34" t="s">
        <v>123</v>
      </c>
      <c r="B26" s="42">
        <v>4.3</v>
      </c>
      <c r="C26" s="36"/>
      <c r="D26" s="178" t="s">
        <v>138</v>
      </c>
      <c r="E26">
        <v>25</v>
      </c>
      <c r="F26">
        <v>6.1</v>
      </c>
      <c r="G26">
        <v>25</v>
      </c>
      <c r="H26" s="179" t="s">
        <v>138</v>
      </c>
    </row>
    <row r="27" spans="1:12" x14ac:dyDescent="0.15">
      <c r="A27" s="34" t="s">
        <v>125</v>
      </c>
      <c r="B27" s="42">
        <v>6.1</v>
      </c>
      <c r="D27" s="178" t="s">
        <v>45</v>
      </c>
      <c r="E27">
        <v>26</v>
      </c>
      <c r="F27">
        <v>6.2</v>
      </c>
      <c r="G27">
        <v>26</v>
      </c>
      <c r="H27" s="179" t="s">
        <v>45</v>
      </c>
    </row>
    <row r="28" spans="1:12" x14ac:dyDescent="0.15">
      <c r="A28" s="34" t="s">
        <v>124</v>
      </c>
      <c r="B28" s="42">
        <v>6.2</v>
      </c>
    </row>
    <row r="29" spans="1:12" x14ac:dyDescent="0.15">
      <c r="A29" s="34" t="s">
        <v>44</v>
      </c>
      <c r="B29" s="42">
        <v>5</v>
      </c>
    </row>
    <row r="30" spans="1:12" x14ac:dyDescent="0.15">
      <c r="A30" s="34" t="s">
        <v>73</v>
      </c>
      <c r="B30" s="42">
        <v>7</v>
      </c>
    </row>
    <row r="31" spans="1:12" x14ac:dyDescent="0.15">
      <c r="A31" s="34" t="s">
        <v>171</v>
      </c>
      <c r="B31" s="42">
        <v>3.14</v>
      </c>
    </row>
    <row r="32" spans="1:12" ht="12" customHeight="1" thickBot="1" x14ac:dyDescent="0.2">
      <c r="A32" s="40" t="s">
        <v>172</v>
      </c>
      <c r="B32" s="43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2.83203125" style="78" bestFit="1" customWidth="1"/>
    <col min="2" max="3" width="12.83203125" style="77" customWidth="1"/>
    <col min="4" max="4" width="5.33203125" style="77" customWidth="1"/>
    <col min="5" max="5" width="12.83203125" style="77" customWidth="1"/>
    <col min="6" max="6" width="22.1640625" style="77" bestFit="1" customWidth="1"/>
    <col min="7" max="9" width="2.33203125" style="77" customWidth="1"/>
    <col min="10" max="10" width="2.33203125" style="77" bestFit="1" customWidth="1"/>
    <col min="11" max="15" width="2.33203125" style="77" customWidth="1"/>
    <col min="16" max="16" width="2.33203125" style="68" customWidth="1"/>
    <col min="17" max="17" width="2.33203125" style="77" customWidth="1"/>
    <col min="18" max="18" width="2.33203125" style="69" customWidth="1"/>
    <col min="19" max="16384" width="11.5" style="77"/>
  </cols>
  <sheetData>
    <row r="1" spans="1:23" ht="15" customHeight="1" thickBot="1" x14ac:dyDescent="0.2">
      <c r="F1" s="1"/>
      <c r="G1" s="67" t="s">
        <v>46</v>
      </c>
      <c r="H1" s="67" t="s">
        <v>47</v>
      </c>
      <c r="I1" s="67" t="s">
        <v>120</v>
      </c>
      <c r="J1" s="67" t="s">
        <v>132</v>
      </c>
      <c r="K1" s="79" t="s">
        <v>48</v>
      </c>
      <c r="L1" s="69"/>
      <c r="M1" s="79" t="s">
        <v>119</v>
      </c>
      <c r="N1" s="69"/>
      <c r="O1" s="79" t="s">
        <v>49</v>
      </c>
      <c r="P1" s="70"/>
      <c r="Q1" s="79" t="s">
        <v>50</v>
      </c>
      <c r="R1" s="67" t="s">
        <v>154</v>
      </c>
    </row>
    <row r="2" spans="1:23" ht="15" customHeight="1" x14ac:dyDescent="0.15">
      <c r="A2" s="79" t="s">
        <v>51</v>
      </c>
      <c r="B2" s="80">
        <v>0.5</v>
      </c>
      <c r="C2" s="78" t="s">
        <v>52</v>
      </c>
      <c r="D2" s="81"/>
      <c r="F2" s="1"/>
      <c r="G2" s="82"/>
      <c r="H2" s="82"/>
      <c r="I2" s="82" t="s">
        <v>133</v>
      </c>
      <c r="J2" s="82" t="s">
        <v>133</v>
      </c>
      <c r="K2" s="82" t="s">
        <v>52</v>
      </c>
      <c r="L2" s="82" t="s">
        <v>53</v>
      </c>
      <c r="M2" s="82" t="s">
        <v>52</v>
      </c>
      <c r="N2" s="82" t="s">
        <v>53</v>
      </c>
      <c r="O2" s="82" t="s">
        <v>52</v>
      </c>
      <c r="P2" s="83" t="s">
        <v>53</v>
      </c>
      <c r="Q2" s="82"/>
      <c r="R2" s="84" t="s">
        <v>155</v>
      </c>
    </row>
    <row r="3" spans="1:23" ht="15" customHeight="1" thickBot="1" x14ac:dyDescent="0.2">
      <c r="A3" s="79" t="s">
        <v>54</v>
      </c>
      <c r="B3" s="85">
        <v>0.5</v>
      </c>
      <c r="C3" s="78" t="s">
        <v>53</v>
      </c>
      <c r="D3" s="8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2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2">
        <v>0</v>
      </c>
      <c r="R4" s="105">
        <v>0</v>
      </c>
    </row>
    <row r="5" spans="1:23" ht="15" customHeight="1" x14ac:dyDescent="0.15">
      <c r="A5" s="79" t="s">
        <v>55</v>
      </c>
      <c r="B5" s="86">
        <v>0.5</v>
      </c>
      <c r="C5" s="78" t="s">
        <v>52</v>
      </c>
      <c r="D5" s="8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2">
        <v>0</v>
      </c>
      <c r="R5" s="105">
        <v>0</v>
      </c>
    </row>
    <row r="6" spans="1:23" ht="15" customHeight="1" thickBot="1" x14ac:dyDescent="0.2">
      <c r="A6" s="79"/>
      <c r="B6" s="87">
        <v>0.5</v>
      </c>
      <c r="C6" s="78" t="s">
        <v>53</v>
      </c>
      <c r="D6" s="81"/>
      <c r="F6" s="180" t="s">
        <v>193</v>
      </c>
      <c r="G6" s="77">
        <v>0</v>
      </c>
      <c r="H6" s="77">
        <v>0</v>
      </c>
      <c r="I6" s="77">
        <v>0</v>
      </c>
      <c r="J6" s="77">
        <v>0</v>
      </c>
      <c r="K6" s="77">
        <v>1</v>
      </c>
      <c r="L6" s="77">
        <v>0</v>
      </c>
      <c r="M6" s="77">
        <v>1</v>
      </c>
      <c r="N6" s="77">
        <v>0</v>
      </c>
      <c r="O6" s="77">
        <v>1</v>
      </c>
      <c r="P6" s="68">
        <v>0</v>
      </c>
      <c r="Q6" s="77">
        <v>0</v>
      </c>
      <c r="R6" s="69">
        <v>1</v>
      </c>
      <c r="S6"/>
      <c r="T6"/>
    </row>
    <row r="7" spans="1:23" ht="15" customHeight="1" thickBot="1" x14ac:dyDescent="0.2">
      <c r="F7" s="180" t="s">
        <v>194</v>
      </c>
      <c r="G7" s="77">
        <v>0</v>
      </c>
      <c r="H7" s="77">
        <v>0</v>
      </c>
      <c r="I7" s="77">
        <v>0</v>
      </c>
      <c r="J7" s="77">
        <v>0</v>
      </c>
      <c r="K7" s="77">
        <v>1</v>
      </c>
      <c r="L7" s="77">
        <v>0</v>
      </c>
      <c r="M7" s="77">
        <v>1</v>
      </c>
      <c r="N7" s="77">
        <v>0</v>
      </c>
      <c r="O7" s="77">
        <v>1</v>
      </c>
      <c r="P7" s="68">
        <v>0</v>
      </c>
      <c r="Q7" s="77">
        <v>0</v>
      </c>
      <c r="R7" s="69">
        <v>1</v>
      </c>
      <c r="S7"/>
      <c r="T7"/>
    </row>
    <row r="8" spans="1:23" ht="15" customHeight="1" x14ac:dyDescent="0.15">
      <c r="A8" s="79" t="s">
        <v>56</v>
      </c>
      <c r="B8" s="86">
        <v>0.50745365531657405</v>
      </c>
      <c r="C8" s="181" t="s">
        <v>207</v>
      </c>
      <c r="D8" s="81" t="s">
        <v>160</v>
      </c>
      <c r="F8" s="180" t="s">
        <v>195</v>
      </c>
      <c r="G8" s="77">
        <v>0</v>
      </c>
      <c r="H8" s="77">
        <v>0</v>
      </c>
      <c r="I8" s="77">
        <v>0</v>
      </c>
      <c r="J8" s="77">
        <v>0</v>
      </c>
      <c r="K8" s="77">
        <v>1</v>
      </c>
      <c r="L8" s="77">
        <v>0</v>
      </c>
      <c r="M8" s="77">
        <v>1</v>
      </c>
      <c r="N8" s="77">
        <v>0</v>
      </c>
      <c r="O8" s="77">
        <v>1</v>
      </c>
      <c r="P8" s="68">
        <v>0</v>
      </c>
      <c r="Q8" s="77">
        <v>0</v>
      </c>
      <c r="R8" s="69">
        <v>1</v>
      </c>
      <c r="S8"/>
      <c r="T8"/>
      <c r="W8"/>
    </row>
    <row r="9" spans="1:23" ht="15" customHeight="1" x14ac:dyDescent="0.15">
      <c r="A9" s="119" t="s">
        <v>170</v>
      </c>
      <c r="B9" s="88">
        <v>0.49254634468342595</v>
      </c>
      <c r="C9" s="181" t="s">
        <v>208</v>
      </c>
      <c r="D9" s="81" t="s">
        <v>160</v>
      </c>
      <c r="F9" s="180" t="s">
        <v>196</v>
      </c>
      <c r="G9" s="77">
        <v>0</v>
      </c>
      <c r="H9" s="77">
        <v>0</v>
      </c>
      <c r="I9" s="77">
        <v>0</v>
      </c>
      <c r="J9" s="77">
        <v>0</v>
      </c>
      <c r="K9" s="77">
        <v>1</v>
      </c>
      <c r="L9" s="77">
        <v>0</v>
      </c>
      <c r="M9" s="77">
        <v>1</v>
      </c>
      <c r="N9" s="77">
        <v>0</v>
      </c>
      <c r="O9" s="77">
        <v>1</v>
      </c>
      <c r="P9" s="68">
        <v>0</v>
      </c>
      <c r="Q9" s="77">
        <v>0</v>
      </c>
      <c r="R9" s="69">
        <v>1</v>
      </c>
      <c r="S9"/>
      <c r="T9"/>
      <c r="W9"/>
    </row>
    <row r="10" spans="1:23" ht="15" customHeight="1" x14ac:dyDescent="0.15">
      <c r="B10" s="88"/>
      <c r="C10" s="76"/>
      <c r="D10" s="81" t="s">
        <v>160</v>
      </c>
      <c r="F10" s="180" t="s">
        <v>197</v>
      </c>
      <c r="G10" s="77">
        <v>0</v>
      </c>
      <c r="H10" s="77">
        <v>0</v>
      </c>
      <c r="I10" s="77">
        <v>0</v>
      </c>
      <c r="J10" s="77">
        <v>0</v>
      </c>
      <c r="K10" s="77">
        <v>1</v>
      </c>
      <c r="L10" s="77">
        <v>0</v>
      </c>
      <c r="M10" s="77">
        <v>1</v>
      </c>
      <c r="N10" s="77">
        <v>0</v>
      </c>
      <c r="O10" s="77">
        <v>1</v>
      </c>
      <c r="P10" s="68">
        <v>0</v>
      </c>
      <c r="Q10" s="77">
        <v>0</v>
      </c>
      <c r="R10" s="69">
        <v>1</v>
      </c>
      <c r="S10"/>
      <c r="T10"/>
      <c r="W10"/>
    </row>
    <row r="11" spans="1:23" ht="15" customHeight="1" x14ac:dyDescent="0.15">
      <c r="A11" s="79"/>
      <c r="B11" s="88"/>
      <c r="C11" s="91"/>
      <c r="D11" s="81" t="s">
        <v>160</v>
      </c>
      <c r="F11" s="180" t="s">
        <v>198</v>
      </c>
      <c r="G11" s="77">
        <v>0</v>
      </c>
      <c r="H11" s="77">
        <v>0</v>
      </c>
      <c r="I11" s="77">
        <v>0</v>
      </c>
      <c r="J11" s="77">
        <v>0</v>
      </c>
      <c r="K11" s="77">
        <v>1</v>
      </c>
      <c r="L11" s="77">
        <v>0</v>
      </c>
      <c r="M11" s="77">
        <v>1</v>
      </c>
      <c r="N11" s="77">
        <v>0</v>
      </c>
      <c r="O11" s="77">
        <v>1</v>
      </c>
      <c r="P11" s="68">
        <v>0</v>
      </c>
      <c r="Q11" s="77">
        <v>0</v>
      </c>
      <c r="R11" s="69">
        <v>1</v>
      </c>
      <c r="S11"/>
      <c r="T11"/>
      <c r="W11"/>
    </row>
    <row r="12" spans="1:23" ht="15" customHeight="1" x14ac:dyDescent="0.15">
      <c r="B12" s="88"/>
      <c r="C12" s="92"/>
      <c r="D12" s="81" t="s">
        <v>160</v>
      </c>
      <c r="F12" s="180" t="s">
        <v>199</v>
      </c>
      <c r="G12" s="77">
        <v>0</v>
      </c>
      <c r="H12" s="77">
        <v>0</v>
      </c>
      <c r="I12" s="77">
        <v>0</v>
      </c>
      <c r="J12" s="77">
        <v>0</v>
      </c>
      <c r="K12" s="77">
        <v>1</v>
      </c>
      <c r="L12" s="77">
        <v>0</v>
      </c>
      <c r="M12" s="77">
        <v>1</v>
      </c>
      <c r="N12" s="77">
        <v>0</v>
      </c>
      <c r="O12" s="77">
        <v>1</v>
      </c>
      <c r="P12" s="68">
        <v>0</v>
      </c>
      <c r="Q12" s="77">
        <v>0</v>
      </c>
      <c r="R12" s="69">
        <v>1</v>
      </c>
      <c r="S12"/>
      <c r="T12"/>
      <c r="W12"/>
    </row>
    <row r="13" spans="1:23" ht="15" customHeight="1" x14ac:dyDescent="0.15">
      <c r="B13" s="88"/>
      <c r="C13" s="92"/>
      <c r="D13" s="81" t="s">
        <v>160</v>
      </c>
      <c r="F13" s="180" t="s">
        <v>167</v>
      </c>
      <c r="G13" s="77">
        <v>0</v>
      </c>
      <c r="H13" s="77">
        <v>0</v>
      </c>
      <c r="I13" s="77">
        <v>0</v>
      </c>
      <c r="J13" s="77">
        <v>0</v>
      </c>
      <c r="K13" s="77">
        <v>1</v>
      </c>
      <c r="L13" s="77">
        <v>0</v>
      </c>
      <c r="M13" s="77">
        <v>1</v>
      </c>
      <c r="N13" s="77">
        <v>0</v>
      </c>
      <c r="O13" s="77">
        <v>1</v>
      </c>
      <c r="P13" s="68">
        <v>0</v>
      </c>
      <c r="Q13" s="77">
        <v>0</v>
      </c>
      <c r="R13" s="69">
        <v>1</v>
      </c>
      <c r="S13"/>
      <c r="T13"/>
      <c r="W13"/>
    </row>
    <row r="14" spans="1:23" ht="15" customHeight="1" x14ac:dyDescent="0.15">
      <c r="B14" s="88"/>
      <c r="C14" s="76"/>
      <c r="D14" s="81" t="s">
        <v>160</v>
      </c>
      <c r="F14" s="180" t="s">
        <v>166</v>
      </c>
      <c r="G14" s="77">
        <v>0</v>
      </c>
      <c r="H14" s="77">
        <v>0</v>
      </c>
      <c r="I14" s="77">
        <v>0</v>
      </c>
      <c r="J14" s="77">
        <v>0</v>
      </c>
      <c r="K14" s="77">
        <v>1</v>
      </c>
      <c r="L14" s="77">
        <v>0</v>
      </c>
      <c r="M14" s="77">
        <v>1</v>
      </c>
      <c r="N14" s="77">
        <v>0</v>
      </c>
      <c r="O14" s="77">
        <v>1</v>
      </c>
      <c r="P14" s="68">
        <v>0</v>
      </c>
      <c r="Q14" s="77">
        <v>0</v>
      </c>
      <c r="R14" s="69">
        <v>1</v>
      </c>
      <c r="S14"/>
      <c r="T14"/>
      <c r="W14"/>
    </row>
    <row r="15" spans="1:23" ht="15" customHeight="1" x14ac:dyDescent="0.15">
      <c r="B15" s="88"/>
      <c r="C15" s="76"/>
      <c r="D15" s="81" t="s">
        <v>160</v>
      </c>
      <c r="F15" s="180" t="s">
        <v>200</v>
      </c>
      <c r="G15" s="77">
        <v>0</v>
      </c>
      <c r="H15" s="77">
        <v>0</v>
      </c>
      <c r="I15" s="77">
        <v>0</v>
      </c>
      <c r="J15" s="77">
        <v>0</v>
      </c>
      <c r="K15" s="77">
        <v>1</v>
      </c>
      <c r="L15" s="77">
        <v>0</v>
      </c>
      <c r="M15" s="77">
        <v>1</v>
      </c>
      <c r="N15" s="77">
        <v>0</v>
      </c>
      <c r="O15" s="77">
        <v>1</v>
      </c>
      <c r="P15" s="68">
        <v>0</v>
      </c>
      <c r="Q15" s="77">
        <v>0</v>
      </c>
      <c r="R15" s="69">
        <v>1</v>
      </c>
      <c r="S15"/>
      <c r="T15"/>
      <c r="W15"/>
    </row>
    <row r="16" spans="1:23" ht="15" customHeight="1" x14ac:dyDescent="0.15">
      <c r="B16" s="88"/>
      <c r="C16" s="76"/>
      <c r="D16" s="81" t="s">
        <v>160</v>
      </c>
      <c r="F16" s="180" t="s">
        <v>201</v>
      </c>
      <c r="G16" s="77">
        <v>0</v>
      </c>
      <c r="H16" s="77">
        <v>0</v>
      </c>
      <c r="I16" s="77">
        <v>0</v>
      </c>
      <c r="J16" s="77">
        <v>0</v>
      </c>
      <c r="K16" s="77">
        <v>1</v>
      </c>
      <c r="L16" s="77">
        <v>0</v>
      </c>
      <c r="M16" s="77">
        <v>1</v>
      </c>
      <c r="N16" s="77">
        <v>0</v>
      </c>
      <c r="O16" s="77">
        <v>1</v>
      </c>
      <c r="P16" s="68">
        <v>0</v>
      </c>
      <c r="Q16" s="77">
        <v>0</v>
      </c>
      <c r="R16" s="69">
        <v>1</v>
      </c>
      <c r="S16"/>
      <c r="T16"/>
    </row>
    <row r="17" spans="1:20" ht="15" customHeight="1" thickBot="1" x14ac:dyDescent="0.2">
      <c r="B17" s="87"/>
      <c r="C17" s="76"/>
      <c r="D17" s="81" t="s">
        <v>160</v>
      </c>
      <c r="F17" s="180" t="s">
        <v>202</v>
      </c>
      <c r="G17" s="77">
        <v>0</v>
      </c>
      <c r="H17" s="77">
        <v>0</v>
      </c>
      <c r="I17" s="77">
        <v>0</v>
      </c>
      <c r="J17" s="77">
        <v>0</v>
      </c>
      <c r="K17" s="77">
        <v>1</v>
      </c>
      <c r="L17" s="77">
        <v>0</v>
      </c>
      <c r="M17" s="77">
        <v>1</v>
      </c>
      <c r="N17" s="77">
        <v>0</v>
      </c>
      <c r="O17" s="77">
        <v>1</v>
      </c>
      <c r="P17" s="68">
        <v>0</v>
      </c>
      <c r="Q17" s="77">
        <v>0</v>
      </c>
      <c r="R17" s="69">
        <v>1</v>
      </c>
      <c r="S17"/>
      <c r="T17"/>
    </row>
    <row r="18" spans="1:20" ht="15" customHeight="1" thickBot="1" x14ac:dyDescent="0.2">
      <c r="B18" s="89"/>
      <c r="F18" s="180" t="s">
        <v>203</v>
      </c>
      <c r="G18" s="77">
        <v>0</v>
      </c>
      <c r="H18" s="77">
        <v>0</v>
      </c>
      <c r="I18" s="77">
        <v>0</v>
      </c>
      <c r="J18" s="77">
        <v>0</v>
      </c>
      <c r="K18" s="77">
        <v>1</v>
      </c>
      <c r="L18" s="77">
        <v>0</v>
      </c>
      <c r="M18" s="77">
        <v>1</v>
      </c>
      <c r="N18" s="77">
        <v>0</v>
      </c>
      <c r="O18" s="77">
        <v>1</v>
      </c>
      <c r="P18" s="68">
        <v>0</v>
      </c>
      <c r="Q18" s="77">
        <v>0</v>
      </c>
      <c r="R18" s="69">
        <v>1</v>
      </c>
      <c r="S18"/>
      <c r="T18"/>
    </row>
    <row r="19" spans="1:20" ht="15" customHeight="1" x14ac:dyDescent="0.15">
      <c r="A19" s="79" t="s">
        <v>57</v>
      </c>
      <c r="B19" s="86">
        <v>0.50745365531657405</v>
      </c>
      <c r="C19" s="182" t="s">
        <v>207</v>
      </c>
      <c r="D19" s="81" t="s">
        <v>160</v>
      </c>
      <c r="F19" s="180" t="s">
        <v>204</v>
      </c>
      <c r="G19" s="77">
        <v>0</v>
      </c>
      <c r="H19" s="77">
        <v>0</v>
      </c>
      <c r="I19" s="77">
        <v>0</v>
      </c>
      <c r="J19" s="77">
        <v>0</v>
      </c>
      <c r="K19" s="77">
        <v>1</v>
      </c>
      <c r="L19" s="77">
        <v>0</v>
      </c>
      <c r="M19" s="77">
        <v>1</v>
      </c>
      <c r="N19" s="77">
        <v>0</v>
      </c>
      <c r="O19" s="77">
        <v>1</v>
      </c>
      <c r="P19" s="68">
        <v>0</v>
      </c>
      <c r="Q19" s="77">
        <v>0</v>
      </c>
      <c r="R19" s="69">
        <v>1</v>
      </c>
      <c r="S19"/>
      <c r="T19"/>
    </row>
    <row r="20" spans="1:20" ht="15" customHeight="1" x14ac:dyDescent="0.15">
      <c r="A20" s="119" t="s">
        <v>170</v>
      </c>
      <c r="B20" s="88">
        <v>0.49254634468342595</v>
      </c>
      <c r="C20" s="182" t="s">
        <v>208</v>
      </c>
      <c r="D20" s="81" t="s">
        <v>160</v>
      </c>
      <c r="F20" s="180" t="s">
        <v>205</v>
      </c>
      <c r="G20" s="77">
        <v>0</v>
      </c>
      <c r="H20" s="77">
        <v>0</v>
      </c>
      <c r="I20" s="77">
        <v>0</v>
      </c>
      <c r="J20" s="77">
        <v>0</v>
      </c>
      <c r="K20" s="77">
        <v>1</v>
      </c>
      <c r="L20" s="77">
        <v>0</v>
      </c>
      <c r="M20" s="77">
        <v>1</v>
      </c>
      <c r="N20" s="77">
        <v>0</v>
      </c>
      <c r="O20" s="77">
        <v>1</v>
      </c>
      <c r="P20" s="68">
        <v>0</v>
      </c>
      <c r="Q20" s="77">
        <v>0</v>
      </c>
      <c r="R20" s="69">
        <v>1</v>
      </c>
      <c r="S20"/>
      <c r="T20"/>
    </row>
    <row r="21" spans="1:20" ht="15" customHeight="1" x14ac:dyDescent="0.15">
      <c r="B21" s="88"/>
      <c r="C21" s="76"/>
      <c r="D21" s="81" t="s">
        <v>160</v>
      </c>
      <c r="F21" s="180" t="s">
        <v>206</v>
      </c>
      <c r="G21" s="77">
        <v>0</v>
      </c>
      <c r="H21" s="77">
        <v>0</v>
      </c>
      <c r="I21" s="77">
        <v>0</v>
      </c>
      <c r="J21" s="77">
        <v>0</v>
      </c>
      <c r="K21" s="77">
        <v>1</v>
      </c>
      <c r="L21" s="77">
        <v>0</v>
      </c>
      <c r="M21" s="77">
        <v>1</v>
      </c>
      <c r="N21" s="77">
        <v>0</v>
      </c>
      <c r="O21" s="77">
        <v>1</v>
      </c>
      <c r="P21" s="68">
        <v>0</v>
      </c>
      <c r="Q21" s="77">
        <v>0</v>
      </c>
      <c r="R21" s="69">
        <v>1</v>
      </c>
      <c r="S21"/>
      <c r="T21"/>
    </row>
    <row r="22" spans="1:20" ht="15" customHeight="1" x14ac:dyDescent="0.15">
      <c r="A22" s="77"/>
      <c r="B22" s="88"/>
      <c r="C22" s="91"/>
      <c r="D22" s="81" t="s">
        <v>160</v>
      </c>
      <c r="F22" s="180" t="s">
        <v>207</v>
      </c>
      <c r="G22" s="77">
        <v>0</v>
      </c>
      <c r="H22" s="77">
        <v>0</v>
      </c>
      <c r="I22" s="77">
        <v>0</v>
      </c>
      <c r="J22" s="77">
        <v>0</v>
      </c>
      <c r="K22" s="77">
        <v>0</v>
      </c>
      <c r="L22" s="77">
        <v>0</v>
      </c>
      <c r="M22" s="77">
        <v>1</v>
      </c>
      <c r="N22" s="77">
        <v>0</v>
      </c>
      <c r="O22" s="77">
        <v>0</v>
      </c>
      <c r="P22" s="68">
        <v>0</v>
      </c>
      <c r="Q22" s="77">
        <v>0</v>
      </c>
      <c r="R22" s="69">
        <v>1</v>
      </c>
      <c r="S22"/>
      <c r="T22"/>
    </row>
    <row r="23" spans="1:20" ht="15" customHeight="1" x14ac:dyDescent="0.15">
      <c r="A23" s="77"/>
      <c r="B23" s="88"/>
      <c r="C23" s="92"/>
      <c r="D23" s="81" t="s">
        <v>160</v>
      </c>
      <c r="F23" s="180" t="s">
        <v>208</v>
      </c>
      <c r="G23" s="77">
        <v>0</v>
      </c>
      <c r="H23" s="77">
        <v>0</v>
      </c>
      <c r="I23" s="77">
        <v>0</v>
      </c>
      <c r="J23" s="77">
        <v>0</v>
      </c>
      <c r="K23" s="77">
        <v>0</v>
      </c>
      <c r="L23" s="77">
        <v>0</v>
      </c>
      <c r="M23" s="77">
        <v>1</v>
      </c>
      <c r="N23" s="77">
        <v>0</v>
      </c>
      <c r="O23" s="77">
        <v>0</v>
      </c>
      <c r="P23" s="68">
        <v>0</v>
      </c>
      <c r="Q23" s="77">
        <v>0</v>
      </c>
      <c r="R23" s="69">
        <v>1</v>
      </c>
      <c r="S23"/>
      <c r="T23"/>
    </row>
    <row r="24" spans="1:20" ht="15" customHeight="1" x14ac:dyDescent="0.15">
      <c r="A24" s="77"/>
      <c r="B24" s="88"/>
      <c r="C24" s="92"/>
      <c r="D24" s="81" t="s">
        <v>160</v>
      </c>
      <c r="F24" s="180" t="s">
        <v>209</v>
      </c>
      <c r="G24" s="77">
        <v>0</v>
      </c>
      <c r="H24" s="77">
        <v>0</v>
      </c>
      <c r="I24" s="77">
        <v>0</v>
      </c>
      <c r="J24" s="77">
        <v>0</v>
      </c>
      <c r="K24" s="77">
        <v>0</v>
      </c>
      <c r="L24" s="77">
        <v>1</v>
      </c>
      <c r="M24" s="77">
        <v>0</v>
      </c>
      <c r="N24" s="77">
        <v>1</v>
      </c>
      <c r="O24" s="77">
        <v>0</v>
      </c>
      <c r="P24" s="68">
        <v>1</v>
      </c>
      <c r="Q24" s="77">
        <v>0</v>
      </c>
      <c r="R24" s="69">
        <v>1</v>
      </c>
      <c r="S24"/>
      <c r="T24"/>
    </row>
    <row r="25" spans="1:20" ht="15" customHeight="1" x14ac:dyDescent="0.15">
      <c r="A25" s="77"/>
      <c r="B25" s="88"/>
      <c r="C25" s="76"/>
      <c r="D25" s="81" t="s">
        <v>160</v>
      </c>
      <c r="F25" s="180" t="s">
        <v>210</v>
      </c>
      <c r="G25" s="77">
        <v>0</v>
      </c>
      <c r="H25" s="77">
        <v>0</v>
      </c>
      <c r="I25" s="77">
        <v>0</v>
      </c>
      <c r="J25" s="77">
        <v>0</v>
      </c>
      <c r="K25" s="77">
        <v>0</v>
      </c>
      <c r="L25" s="77">
        <v>1</v>
      </c>
      <c r="M25" s="77">
        <v>0</v>
      </c>
      <c r="N25" s="77">
        <v>1</v>
      </c>
      <c r="O25" s="77">
        <v>0</v>
      </c>
      <c r="P25" s="68">
        <v>1</v>
      </c>
      <c r="Q25" s="77">
        <v>0</v>
      </c>
      <c r="R25" s="69">
        <v>1</v>
      </c>
      <c r="S25"/>
      <c r="T25"/>
    </row>
    <row r="26" spans="1:20" ht="15" customHeight="1" x14ac:dyDescent="0.15">
      <c r="B26" s="88"/>
      <c r="C26" s="76"/>
      <c r="D26" s="81" t="s">
        <v>160</v>
      </c>
      <c r="F26" s="180" t="s">
        <v>211</v>
      </c>
      <c r="G26" s="77">
        <v>0</v>
      </c>
      <c r="H26" s="77">
        <v>0</v>
      </c>
      <c r="I26" s="77">
        <v>0</v>
      </c>
      <c r="J26" s="77">
        <v>0</v>
      </c>
      <c r="K26" s="77">
        <v>0</v>
      </c>
      <c r="L26" s="77">
        <v>1</v>
      </c>
      <c r="M26" s="77">
        <v>0</v>
      </c>
      <c r="N26" s="77">
        <v>0</v>
      </c>
      <c r="O26" s="77">
        <v>0</v>
      </c>
      <c r="P26" s="68">
        <v>0</v>
      </c>
      <c r="Q26" s="77">
        <v>0</v>
      </c>
      <c r="R26" s="69">
        <v>1</v>
      </c>
      <c r="S26"/>
      <c r="T26"/>
    </row>
    <row r="27" spans="1:20" ht="15" customHeight="1" x14ac:dyDescent="0.15">
      <c r="B27" s="88"/>
      <c r="C27" s="76"/>
      <c r="D27" s="81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87"/>
      <c r="C28" s="76"/>
      <c r="D28" s="81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20"/>
      <c r="B31" s="130" t="s">
        <v>17</v>
      </c>
      <c r="C31" s="130" t="s">
        <v>1</v>
      </c>
      <c r="D31" s="130" t="s">
        <v>161</v>
      </c>
      <c r="E31" s="131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83" t="s">
        <v>207</v>
      </c>
      <c r="B32" s="89">
        <v>20.5</v>
      </c>
      <c r="C32" s="89">
        <v>450</v>
      </c>
      <c r="D32" s="89">
        <v>9225</v>
      </c>
      <c r="E32" s="121">
        <v>0.50745365531657405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83" t="s">
        <v>208</v>
      </c>
      <c r="B33" s="89">
        <v>740</v>
      </c>
      <c r="C33" s="89">
        <v>12.1</v>
      </c>
      <c r="D33" s="89">
        <v>8954</v>
      </c>
      <c r="E33" s="121">
        <v>0.49254634468342595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22"/>
      <c r="B34" s="89"/>
      <c r="C34" s="89"/>
      <c r="D34" s="89"/>
      <c r="E34" s="121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3"/>
      <c r="B35" s="89"/>
      <c r="C35" s="89"/>
      <c r="D35" s="89"/>
      <c r="E35" s="121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4"/>
      <c r="B36" s="89"/>
      <c r="C36" s="89"/>
      <c r="D36" s="89"/>
      <c r="E36" s="121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4"/>
      <c r="B37" s="89"/>
      <c r="C37" s="89"/>
      <c r="D37" s="89"/>
      <c r="E37" s="121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5"/>
      <c r="B38" s="89"/>
      <c r="C38" s="89"/>
      <c r="D38" s="89"/>
      <c r="E38" s="121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5"/>
      <c r="B39" s="89"/>
      <c r="C39" s="89"/>
      <c r="D39" s="89"/>
      <c r="E39" s="121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5"/>
      <c r="B40" s="89"/>
      <c r="C40" s="89"/>
      <c r="D40" s="89"/>
      <c r="E40" s="121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5"/>
      <c r="B41" s="89"/>
      <c r="C41" s="89"/>
      <c r="D41" s="90"/>
      <c r="E41" s="126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7"/>
      <c r="B42" s="128"/>
      <c r="C42" s="128" t="s">
        <v>162</v>
      </c>
      <c r="D42" s="128">
        <f>SUM(D32:D41)</f>
        <v>18179</v>
      </c>
      <c r="E42" s="129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2.1640625" bestFit="1" customWidth="1"/>
    <col min="2" max="2" width="2.33203125" style="105" customWidth="1"/>
    <col min="3" max="5" width="7.83203125" style="105" customWidth="1"/>
    <col min="6" max="8" width="8.83203125" style="6"/>
    <col min="9" max="9" width="17.5" style="6" customWidth="1"/>
    <col min="10" max="10" width="16.1640625" style="6" customWidth="1"/>
    <col min="11" max="11" width="12.33203125" style="6" customWidth="1"/>
    <col min="12" max="12" width="14" style="6" customWidth="1"/>
    <col min="13" max="13" width="22.1640625" style="6" customWidth="1"/>
    <col min="14" max="15" width="19" style="6" customWidth="1"/>
    <col min="16" max="16" width="15.5" style="6" customWidth="1"/>
    <col min="17" max="17" width="11.6640625" style="6" customWidth="1"/>
    <col min="18" max="18" width="11.83203125" style="6" customWidth="1"/>
    <col min="19" max="19" width="11.5" style="6" customWidth="1"/>
    <col min="20" max="20" width="13.33203125" style="6" customWidth="1"/>
    <col min="21" max="21" width="11.83203125" style="6" customWidth="1"/>
    <col min="22" max="22" width="22" style="6" customWidth="1"/>
    <col min="23" max="23" width="14.1640625" style="6" customWidth="1"/>
    <col min="24" max="24" width="11.33203125" style="6" customWidth="1"/>
    <col min="25" max="25" width="12.83203125" style="6" customWidth="1"/>
    <col min="26" max="26" width="12.33203125" style="6" customWidth="1"/>
    <col min="27" max="27" width="7.6640625" style="6" customWidth="1"/>
    <col min="28" max="28" width="21.6640625" style="6" customWidth="1"/>
    <col min="29" max="29" width="6.5" style="6" customWidth="1"/>
    <col min="30" max="38" width="8.83203125" style="6"/>
    <col min="81" max="81" width="22.1640625" bestFit="1" customWidth="1"/>
  </cols>
  <sheetData>
    <row r="1" spans="1:38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85" t="s">
        <v>193</v>
      </c>
      <c r="J1" s="185" t="s">
        <v>194</v>
      </c>
      <c r="K1" s="185" t="s">
        <v>195</v>
      </c>
      <c r="L1" s="185" t="s">
        <v>196</v>
      </c>
      <c r="M1" s="185" t="s">
        <v>197</v>
      </c>
      <c r="N1" s="185" t="s">
        <v>198</v>
      </c>
      <c r="O1" s="185" t="s">
        <v>199</v>
      </c>
      <c r="P1" s="185" t="s">
        <v>167</v>
      </c>
      <c r="Q1" s="185" t="s">
        <v>166</v>
      </c>
      <c r="R1" s="185" t="s">
        <v>200</v>
      </c>
      <c r="S1" s="185" t="s">
        <v>201</v>
      </c>
      <c r="T1" s="185" t="s">
        <v>202</v>
      </c>
      <c r="U1" s="185" t="s">
        <v>203</v>
      </c>
      <c r="V1" s="185" t="s">
        <v>204</v>
      </c>
      <c r="W1" s="185" t="s">
        <v>205</v>
      </c>
      <c r="X1" s="185" t="s">
        <v>206</v>
      </c>
      <c r="Y1" s="185" t="s">
        <v>207</v>
      </c>
      <c r="Z1" s="185" t="s">
        <v>208</v>
      </c>
      <c r="AA1" s="185" t="s">
        <v>209</v>
      </c>
      <c r="AB1" s="185" t="s">
        <v>210</v>
      </c>
      <c r="AC1" s="185" t="s">
        <v>211</v>
      </c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10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4" t="s">
        <v>193</v>
      </c>
      <c r="B5" s="10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4" t="s">
        <v>194</v>
      </c>
      <c r="B6" s="10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4" t="s">
        <v>195</v>
      </c>
      <c r="B7" s="10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4" t="s">
        <v>196</v>
      </c>
      <c r="B8" s="10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4" t="s">
        <v>197</v>
      </c>
      <c r="B9" s="10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4" t="s">
        <v>198</v>
      </c>
      <c r="B10" s="10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4" t="s">
        <v>199</v>
      </c>
      <c r="B11" s="10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4" t="s">
        <v>167</v>
      </c>
      <c r="B12" s="10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4" t="s">
        <v>166</v>
      </c>
      <c r="B13" s="10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4" t="s">
        <v>200</v>
      </c>
      <c r="B14" s="10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4" t="s">
        <v>201</v>
      </c>
      <c r="B15" s="10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4" t="s">
        <v>202</v>
      </c>
      <c r="B16" s="10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4" t="s">
        <v>203</v>
      </c>
      <c r="B17" s="105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4" t="s">
        <v>204</v>
      </c>
      <c r="B18" s="105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4" t="s">
        <v>205</v>
      </c>
      <c r="B19" s="105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4" t="s">
        <v>206</v>
      </c>
      <c r="B20" s="105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4" t="s">
        <v>207</v>
      </c>
      <c r="B21" s="105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4" t="s">
        <v>208</v>
      </c>
      <c r="B22" s="105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4" t="s">
        <v>209</v>
      </c>
      <c r="B23" s="105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4" t="s">
        <v>210</v>
      </c>
      <c r="B24" s="105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4" t="s">
        <v>211</v>
      </c>
      <c r="B25" s="105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2022-10-23T22:10:44Z</dcterms:modified>
</cp:coreProperties>
</file>