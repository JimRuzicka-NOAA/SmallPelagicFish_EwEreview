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F12B7F61-9A72-D14C-8618-C1A569CCDE32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Main!$C$2:$N$57</definedName>
    <definedName name="matDetritus">Detritus!$C$2:$E$57</definedName>
    <definedName name="matDiet">Diets!$B$2:$AY$54</definedName>
    <definedName name="matDiscards">Discards!$C$2:$F$53</definedName>
    <definedName name="matFishery">Fishing!$C$2:$F$53</definedName>
    <definedName name="matFishing">Fishing!#REF!</definedName>
    <definedName name="matMort">Mortalities!$A$1:$BG$53</definedName>
    <definedName name="matOut">MainOutputs!$A$2:$I$57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<sst xmlns="http://schemas.openxmlformats.org/spreadsheetml/2006/main" count="1439" uniqueCount="256">
  <si>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</si>
  <si>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</si>
  <si>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</si>
  <si>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</si>
  <si>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</si>
  <si>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</si>
  <si>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</si>
  <si>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</si>
  <si>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</si>
  <si>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</si>
  <si>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</si>
  <si>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</si>
  <si>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</si>
  <si>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</si>
  <si>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</si>
  <si>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</si>
  <si>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</si>
  <si>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</si>
  <si>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</si>
  <si>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</si>
  <si>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</si>
  <si>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</si>
  <si>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</si>
  <si>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</si>
  <si>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</si>
  <si>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</si>
  <si>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</si>
  <si>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</si>
  <si>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</si>
  <si>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</si>
  <si>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</si>
  <si>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</si>
  <si>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</si>
  <si>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</si>
  <si>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</si>
  <si>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</si>
  <si>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</si>
  <si>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</si>
  <si>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</si>
  <si>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</si>
  <si>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</si>
  <si>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</si>
  <si>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</si>
  <si>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</si>
  <si>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</si>
  <si>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</si>
  <si>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</si>
  <si>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</si>
  <si>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</si>
  <si>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</si>
  <si>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</si>
  <si>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</si>
  <si>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</si>
  <si>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</si>
  <si>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</si>
  <si>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</si>
  <si>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</si>
  <si>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</si>
  <si>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</si>
  <si>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</si>
  <si>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</si>
  <si>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</si>
  <si>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</si>
  <si>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</si>
  <si>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</si>
  <si>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</si>
  <si>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</si>
  <si>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</si>
  <si>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</si>
  <si>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</si>
  <si>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</si>
  <si>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</si>
  <si>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</si>
  <si>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</si>
  <si>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</si>
  <si>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</si>
  <si>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</si>
  <si>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</si>
  <si>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</si>
  <si>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</si>
  <si>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</si>
  <si>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</si>
  <si>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</si>
  <si>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</si>
  <si>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</si>
  <si>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</si>
  <si>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</si>
  <si>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</si>
  <si>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</si>
  <si>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</si>
  <si>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</si>
  <si>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</si>
  <si>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</si>
  <si>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</si>
  <si>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</si>
  <si>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</si>
  <si>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</si>
  <si>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</si>
  <si>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</si>
  <si>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</si>
  <si>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</si>
  <si>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</si>
  <si>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</si>
  <si>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</si>
  <si>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</si>
  <si>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</si>
  <si>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</si>
  <si>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</si>
  <si>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</si>
  <si>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</si>
  <si>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</si>
  <si>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</si>
  <si>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</si>
  <si>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</si>
  <si>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</si>
  <si>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</si>
  <si>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</si>
  <si>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</si>
  <si>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</si>
  <si>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</si>
  <si>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</si>
  <si>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</si>
  <si>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</si>
  <si>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</si>
  <si>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</si>
  <si>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</si>
  <si>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</si>
  <si>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</si>
  <si>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</si>
  <si>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</si>
  <si>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</si>
  <si>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</si>
  <si>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</si>
  <si>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</si>
  <si>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</si>
  <si>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</si>
  <si>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</si>
  <si>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</si>
  <si>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</si>
  <si>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</si>
  <si>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</si>
  <si>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</si>
  <si>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</si>
  <si>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</si>
  <si>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</si>
  <si>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</si>
  <si>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</si>
  <si>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</si>
  <si>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</si>
  <si>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</si>
  <si>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</si>
  <si>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</si>
  <si>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</si>
  <si>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</si>
  <si>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</si>
  <si>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</si>
  <si>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</si>
  <si>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</si>
  <si>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</si>
  <si>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</si>
  <si>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</si>
  <si>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</si>
  <si>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</si>
  <si>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</si>
  <si>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</si>
  <si>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</si>
  <si>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</si>
  <si>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</si>
  <si>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</si>
  <si>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</si>
  <si>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</si>
  <si>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</si>
  <si>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</si>
  <si>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</si>
  <si>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</si>
  <si>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</si>
  <si>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</si>
  <si>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</si>
  <si>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</si>
  <si>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</si>
  <si>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</si>
  <si>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</si>
  <si>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</si>
  <si>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</si>
  <si>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</si>
  <si>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 xml:space="preserve">Mauritanie </t>
  </si>
  <si>
    <t>Mauritania</t>
  </si>
  <si>
    <t>BOX(-17.8634425527148 16.032392078879,-15.4826509436776 21.2875096035038)</t>
  </si>
  <si>
    <t>continental shelf</t>
  </si>
  <si>
    <t>WetWeight</t>
  </si>
  <si>
    <t xml:space="preserve">Model  of the Mauritanian EEZ to 200m deep built to account for the trophic structure in and outside the Banc d'Arguin. </t>
  </si>
  <si>
    <t>Guenette S.,Meissa B.,Gascuel D.(2014). Assessing the Contribution of Marine Protected Areas to the Trophic Functioning of Ecosystems: A Model for the Banc d’Arguin and the Mauritanian Shelf Plos One. pp 1-16</t>
  </si>
  <si>
    <t>Marine mammals</t>
  </si>
  <si>
    <t>Coastal birds</t>
  </si>
  <si>
    <t>Meagre ad</t>
  </si>
  <si>
    <t>Meagre juv</t>
  </si>
  <si>
    <t>Mullets</t>
  </si>
  <si>
    <t>Pelagic L</t>
  </si>
  <si>
    <t>Mackerel</t>
  </si>
  <si>
    <t>Sardine</t>
  </si>
  <si>
    <t>Sardinelles</t>
  </si>
  <si>
    <t>Horse mackerels</t>
  </si>
  <si>
    <t>Coastal selacians</t>
  </si>
  <si>
    <t>Coastal M</t>
  </si>
  <si>
    <t>Coastal S</t>
  </si>
  <si>
    <t>Croakers ad</t>
  </si>
  <si>
    <t>Croakers juv</t>
  </si>
  <si>
    <t>Seabreams ad</t>
  </si>
  <si>
    <t>Seabreams juv.</t>
  </si>
  <si>
    <t>Catfish ad</t>
  </si>
  <si>
    <t>Catfish juv</t>
  </si>
  <si>
    <t>Shelf selacians</t>
  </si>
  <si>
    <t>Shelf L</t>
  </si>
  <si>
    <t>Shelf M</t>
  </si>
  <si>
    <t>Groupers ad</t>
  </si>
  <si>
    <t>Grouper juv</t>
  </si>
  <si>
    <t>Sparids ad</t>
  </si>
  <si>
    <t>Sparids juv</t>
  </si>
  <si>
    <t>Scianids</t>
  </si>
  <si>
    <t>Shelf soles</t>
  </si>
  <si>
    <t xml:space="preserve">Shelf S </t>
  </si>
  <si>
    <t>Octopus vulgaris</t>
  </si>
  <si>
    <t>Cephalopods</t>
  </si>
  <si>
    <t>BA L crustaceans</t>
  </si>
  <si>
    <t>BA molluscs</t>
  </si>
  <si>
    <t>BA worms</t>
  </si>
  <si>
    <t>BA crustaceans</t>
  </si>
  <si>
    <t>BA other inverts</t>
  </si>
  <si>
    <t>BA meiobenthos</t>
  </si>
  <si>
    <t>shelf L crustaceans</t>
  </si>
  <si>
    <t>shelf molluscs</t>
  </si>
  <si>
    <t>shelf worms</t>
  </si>
  <si>
    <t>shelf crustaceans</t>
  </si>
  <si>
    <t>shelf other inverts</t>
  </si>
  <si>
    <t>shelf meiobenthos</t>
  </si>
  <si>
    <t>mesozooplankton</t>
  </si>
  <si>
    <t>macrozooplankton</t>
  </si>
  <si>
    <t>BA mesozooplankton</t>
  </si>
  <si>
    <t>BA macrozooplankton</t>
  </si>
  <si>
    <t>BA phytoplankton</t>
  </si>
  <si>
    <t>phytoplankton</t>
  </si>
  <si>
    <t>algae and eelgrass</t>
  </si>
  <si>
    <t>Detritus</t>
  </si>
  <si>
    <t>detritus_TerminalBenthic</t>
  </si>
  <si>
    <t>Artisanal</t>
  </si>
  <si>
    <t>Demersal</t>
  </si>
  <si>
    <t>Pelagic</t>
  </si>
  <si>
    <t>4thFleet</t>
  </si>
  <si>
    <t>Import</t>
  </si>
  <si>
    <t>export</t>
  </si>
  <si>
    <t>sum</t>
  </si>
  <si>
    <t>TOTAL</t>
  </si>
  <si>
    <t>F Artisanal</t>
  </si>
  <si>
    <t>F Demersal</t>
  </si>
  <si>
    <t>F Pelagic</t>
  </si>
  <si>
    <t>F 4thFleet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</si>
</sst>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FF5C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9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3">
        <v>689</v>
      </c>
      <c r="D53" s="113"/>
    </row>
    <row r="54" spans="2:4" x14ac:dyDescent="0.15">
      <c r="B54" s="180" t="s">
        <v>172</v>
      </c>
      <c r="C54" s="180" t="s">
        <v>185</v>
      </c>
      <c r="D54" s="113"/>
    </row>
    <row r="55" spans="2:4" x14ac:dyDescent="0.15">
      <c r="B55" s="180" t="s">
        <v>173</v>
      </c>
      <c r="C55" s="180" t="s">
        <v>186</v>
      </c>
      <c r="D55" s="113"/>
    </row>
    <row r="56" spans="2:4" x14ac:dyDescent="0.15">
      <c r="B56" s="180" t="s">
        <v>174</v>
      </c>
      <c r="C56" s="113">
        <v>33224</v>
      </c>
      <c r="D56" s="113"/>
    </row>
    <row r="57" spans="2:4" x14ac:dyDescent="0.15">
      <c r="B57" s="180" t="s">
        <v>175</v>
      </c>
      <c r="C57" s="180" t="s">
        <v>187</v>
      </c>
      <c r="D57" s="113"/>
    </row>
    <row r="58" spans="2:4" x14ac:dyDescent="0.15">
      <c r="B58" s="180" t="s">
        <v>176</v>
      </c>
      <c r="C58" s="180" t="s">
        <v>188</v>
      </c>
      <c r="D58" s="113"/>
    </row>
    <row r="59" spans="2:4" x14ac:dyDescent="0.15">
      <c r="B59" s="180" t="s">
        <v>177</v>
      </c>
      <c r="C59" s="180" t="s">
        <v>189</v>
      </c>
      <c r="D59" s="113"/>
    </row>
    <row r="60" spans="2:4" x14ac:dyDescent="0.15">
      <c r="B60" s="180" t="s">
        <v>178</v>
      </c>
      <c r="C60" s="180" t="s">
        <v>190</v>
      </c>
      <c r="D60" s="113"/>
    </row>
    <row r="61" spans="2:4" x14ac:dyDescent="0.15">
      <c r="B61" s="180" t="s">
        <v>179</v>
      </c>
      <c r="C61" s="113">
        <v>51</v>
      </c>
      <c r="D61" s="113"/>
    </row>
    <row r="62" spans="2:4" x14ac:dyDescent="0.15">
      <c r="B62" s="180" t="s">
        <v>180</v>
      </c>
      <c r="C62" s="113">
        <v>4</v>
      </c>
      <c r="D62" s="113"/>
    </row>
    <row r="63" spans="2:4" x14ac:dyDescent="0.15">
      <c r="B63" s="180" t="s">
        <v>181</v>
      </c>
      <c r="C63" s="113">
        <v>1991</v>
      </c>
      <c r="D63" s="113"/>
    </row>
    <row r="64" spans="2:4" x14ac:dyDescent="0.15">
      <c r="B64" s="180" t="s">
        <v>182</v>
      </c>
      <c r="C64" s="113">
        <v>0</v>
      </c>
      <c r="D64" s="113"/>
    </row>
    <row r="65" spans="2:4" x14ac:dyDescent="0.15">
      <c r="B65" s="180" t="s">
        <v>183</v>
      </c>
      <c r="C65" s="180" t="s">
        <v>191</v>
      </c>
      <c r="D65" s="113"/>
    </row>
    <row r="66" spans="2:4" x14ac:dyDescent="0.15">
      <c r="B66" s="180" t="s">
        <v>184</v>
      </c>
      <c r="D66" s="113"/>
    </row>
    <row r="67" spans="2:4" x14ac:dyDescent="0.15">
      <c r="B67" s="113"/>
      <c r="C67" s="113"/>
      <c r="D67" s="113"/>
    </row>
    <row r="68" spans="2:4" x14ac:dyDescent="0.15">
      <c r="B68" s="113"/>
      <c r="C68" s="113"/>
      <c r="D68" s="11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5" sqref="P5"/>
    </sheetView>
  </sheetViews>
  <sheetFormatPr baseColWidth="10" defaultColWidth="8.83203125" defaultRowHeight="15" customHeight="1" x14ac:dyDescent="0.15"/>
  <cols>
    <col min="1" max="1" width="22.5" style="86" customWidth="1"/>
    <col min="2" max="3" width="3.33203125" style="86" customWidth="1"/>
    <col min="4" max="4" width="14.33203125" style="86" customWidth="1"/>
    <col min="5" max="5" width="21.6640625" style="86" bestFit="1" customWidth="1"/>
    <col min="6" max="6" width="2.33203125" style="86" bestFit="1" customWidth="1"/>
    <col min="7" max="7" width="14.83203125" style="86" bestFit="1" customWidth="1"/>
    <col min="8" max="8" width="4.83203125" style="86" customWidth="1"/>
    <col min="9" max="9" width="10.83203125" style="86" customWidth="1"/>
    <col min="10" max="10" width="12.83203125" style="86" customWidth="1"/>
    <col min="11" max="11" width="13.83203125" style="86" customWidth="1"/>
    <col min="12" max="12" width="5.5" style="86" customWidth="1"/>
    <col min="13" max="13" width="3.83203125" style="86" customWidth="1"/>
    <col min="14" max="14" width="2.33203125" style="86" customWidth="1"/>
    <col min="16" max="25" width="8.83203125" style="8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6"/>
  </cols>
  <sheetData>
    <row r="1" spans="1:46" s="103" customFormat="1" ht="15" customHeight="1" x14ac:dyDescent="0.15">
      <c r="A1" s="82" t="s">
        <v>18</v>
      </c>
      <c r="C1" s="83" t="s">
        <v>8</v>
      </c>
      <c r="D1" s="82" t="s">
        <v>23</v>
      </c>
      <c r="E1" s="82" t="s">
        <v>0</v>
      </c>
      <c r="F1" s="82" t="s">
        <v>7</v>
      </c>
      <c r="G1" s="84" t="s">
        <v>13</v>
      </c>
      <c r="H1" s="82" t="s">
        <v>1</v>
      </c>
      <c r="I1" s="82" t="s">
        <v>2</v>
      </c>
      <c r="J1" s="82" t="s">
        <v>14</v>
      </c>
      <c r="K1" s="82" t="s">
        <v>3</v>
      </c>
      <c r="L1" s="82" t="s">
        <v>4</v>
      </c>
      <c r="M1" s="82" t="s">
        <v>5</v>
      </c>
      <c r="N1" s="8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3">
        <v>1</v>
      </c>
      <c r="D2"/>
      <c r="E2" s="181" t="s">
        <v>192</v>
      </c>
      <c r="F2" s="86">
        <v>0</v>
      </c>
      <c r="G2" s="86">
        <v>0.01</v>
      </c>
      <c r="H2" s="86">
        <v>0.04</v>
      </c>
      <c r="I2" s="6">
        <v>12.46</v>
      </c>
      <c r="J2" s="6">
        <v>0</v>
      </c>
      <c r="K2" s="6">
        <v>3.2102728700000001E-3</v>
      </c>
      <c r="L2" s="6">
        <v>0</v>
      </c>
      <c r="M2" s="86">
        <v>0.2</v>
      </c>
      <c r="N2" s="86">
        <v>0</v>
      </c>
    </row>
    <row r="3" spans="1:46" ht="15" customHeight="1" x14ac:dyDescent="0.15">
      <c r="A3" s="1" t="s">
        <v>9</v>
      </c>
      <c r="B3" s="4">
        <v>50</v>
      </c>
      <c r="C3" s="86">
        <v>2</v>
      </c>
      <c r="D3"/>
      <c r="E3" s="181" t="s">
        <v>193</v>
      </c>
      <c r="F3" s="86">
        <v>0</v>
      </c>
      <c r="G3" s="86">
        <v>0.01</v>
      </c>
      <c r="H3" s="86">
        <v>0.28000000000000003</v>
      </c>
      <c r="I3" s="86">
        <v>67</v>
      </c>
      <c r="J3" s="86">
        <v>0</v>
      </c>
      <c r="K3" s="86">
        <v>4.1791047000000001E-3</v>
      </c>
      <c r="L3" s="86">
        <v>0</v>
      </c>
      <c r="M3" s="86">
        <v>0.2</v>
      </c>
      <c r="N3" s="86">
        <v>0</v>
      </c>
    </row>
    <row r="4" spans="1:46" ht="15" customHeight="1" x14ac:dyDescent="0.15">
      <c r="A4" s="1" t="s">
        <v>10</v>
      </c>
      <c r="B4" s="4">
        <v>2</v>
      </c>
      <c r="C4" s="86">
        <v>3</v>
      </c>
      <c r="D4"/>
      <c r="E4" s="181" t="s">
        <v>194</v>
      </c>
      <c r="F4" s="86">
        <v>0</v>
      </c>
      <c r="G4" s="86">
        <v>0.12</v>
      </c>
      <c r="H4" s="86">
        <v>0.21</v>
      </c>
      <c r="I4" s="86">
        <v>2.1</v>
      </c>
      <c r="J4" s="86">
        <v>0.656543553</v>
      </c>
      <c r="K4" s="86">
        <v>0.1</v>
      </c>
      <c r="L4" s="86">
        <v>0</v>
      </c>
      <c r="M4" s="86">
        <v>0.2</v>
      </c>
      <c r="N4" s="8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86">
        <v>4</v>
      </c>
      <c r="D5"/>
      <c r="E5" s="181" t="s">
        <v>195</v>
      </c>
      <c r="F5" s="86">
        <v>0</v>
      </c>
      <c r="G5" s="86">
        <v>5.334367E-5</v>
      </c>
      <c r="H5" s="86">
        <v>0.3</v>
      </c>
      <c r="I5" s="86">
        <v>17.884119999999999</v>
      </c>
      <c r="J5" s="86">
        <v>0.97424900000000003</v>
      </c>
      <c r="K5" s="86">
        <v>1.6774658099999999E-2</v>
      </c>
      <c r="L5" s="86">
        <v>0</v>
      </c>
      <c r="M5" s="86">
        <v>0.2</v>
      </c>
      <c r="N5" s="86">
        <v>0</v>
      </c>
      <c r="P5" s="73"/>
      <c r="Q5" s="73"/>
      <c r="R5" s="73"/>
    </row>
    <row r="6" spans="1:46" ht="15" customHeight="1" thickBot="1" x14ac:dyDescent="0.2">
      <c r="B6" s="1"/>
      <c r="C6" s="86">
        <v>5</v>
      </c>
      <c r="D6"/>
      <c r="E6" s="181" t="s">
        <v>196</v>
      </c>
      <c r="F6" s="86">
        <v>0</v>
      </c>
      <c r="G6" s="86">
        <v>0.42</v>
      </c>
      <c r="H6" s="86">
        <v>0.8</v>
      </c>
      <c r="I6" s="86">
        <v>8.2200000000000006</v>
      </c>
      <c r="J6" s="86">
        <v>0.79374789999999995</v>
      </c>
      <c r="K6" s="86">
        <v>9.7323599999999996E-2</v>
      </c>
      <c r="L6" s="86">
        <v>0</v>
      </c>
      <c r="M6" s="86">
        <v>0.2</v>
      </c>
      <c r="N6" s="86">
        <v>0</v>
      </c>
      <c r="P6" s="73"/>
      <c r="Q6" s="73"/>
      <c r="R6" s="73"/>
      <c r="W6" s="36" t="s">
        <v>31</v>
      </c>
      <c r="X6" s="52">
        <f>MAX(MainOutputs!G:G)</f>
        <v>0.99594265222549438</v>
      </c>
    </row>
    <row r="7" spans="1:46" ht="15" customHeight="1" x14ac:dyDescent="0.15">
      <c r="A7" s="2" t="s">
        <v>27</v>
      </c>
      <c r="B7" s="86">
        <f ca="1">COUNTIF(OFFSET(cornerDiets,1,1,NumLiving+NumDead+1,NumLiving+NumDead),"&gt;0")+NumLiving+NumDead+1</f>
        <v>646</v>
      </c>
      <c r="C7" s="86">
        <v>6</v>
      </c>
      <c r="D7"/>
      <c r="E7" s="181" t="s">
        <v>197</v>
      </c>
      <c r="F7" s="86">
        <v>0</v>
      </c>
      <c r="G7" s="86">
        <v>3.42</v>
      </c>
      <c r="H7" s="86">
        <v>0.96</v>
      </c>
      <c r="I7" s="86">
        <v>5.4</v>
      </c>
      <c r="J7" s="86">
        <v>0.90040070000000005</v>
      </c>
      <c r="K7" s="86">
        <v>0.177777767</v>
      </c>
      <c r="L7" s="86">
        <v>0</v>
      </c>
      <c r="M7" s="86">
        <v>0.2</v>
      </c>
      <c r="N7" s="86">
        <v>0</v>
      </c>
      <c r="P7" s="73"/>
      <c r="Q7" s="73"/>
      <c r="R7" s="73"/>
    </row>
    <row r="8" spans="1:46" ht="15" customHeight="1" x14ac:dyDescent="0.15">
      <c r="A8" s="2" t="s">
        <v>28</v>
      </c>
      <c r="B8" s="86">
        <f ca="1">COUNTIF(OFFSET(cornerFishing,1,2,NumLiving+NumDead,NumGears),"&gt;0")+NumDead*COUNTIF(OFFSET(cornerDiscards,1,2,NumLiving+NumDead,NumGears),"&gt;0")+NumLiving+NumDead+1</f>
        <v>105</v>
      </c>
      <c r="C8" s="86">
        <v>7</v>
      </c>
      <c r="D8"/>
      <c r="E8" s="181" t="s">
        <v>198</v>
      </c>
      <c r="F8" s="86">
        <v>0</v>
      </c>
      <c r="G8" s="86">
        <v>1.45</v>
      </c>
      <c r="H8" s="86">
        <v>0.45</v>
      </c>
      <c r="I8" s="86">
        <v>2.9999997600000001</v>
      </c>
      <c r="J8" s="86">
        <v>0.735034466</v>
      </c>
      <c r="K8" s="86">
        <v>0.15</v>
      </c>
      <c r="L8" s="86">
        <v>0</v>
      </c>
      <c r="M8" s="86">
        <v>0.2</v>
      </c>
      <c r="N8" s="86">
        <v>0</v>
      </c>
      <c r="P8" s="73"/>
      <c r="Q8" s="73"/>
      <c r="R8" s="73"/>
    </row>
    <row r="9" spans="1:46" ht="15" customHeight="1" x14ac:dyDescent="0.15">
      <c r="B9" s="1"/>
      <c r="C9" s="86">
        <v>8</v>
      </c>
      <c r="D9"/>
      <c r="E9" s="181" t="s">
        <v>199</v>
      </c>
      <c r="F9" s="86">
        <v>0</v>
      </c>
      <c r="G9" s="86">
        <v>11.79</v>
      </c>
      <c r="H9" s="86">
        <v>0.65</v>
      </c>
      <c r="I9" s="86">
        <v>4.3333329999999997</v>
      </c>
      <c r="J9" s="86">
        <v>0.77039199999999997</v>
      </c>
      <c r="K9" s="86">
        <v>0.15</v>
      </c>
      <c r="L9" s="86">
        <v>0</v>
      </c>
      <c r="M9" s="86">
        <v>0.2</v>
      </c>
      <c r="N9" s="86">
        <v>0</v>
      </c>
      <c r="P9" s="73"/>
      <c r="Q9" s="73"/>
      <c r="R9" s="73"/>
    </row>
    <row r="10" spans="1:46" ht="15" customHeight="1" x14ac:dyDescent="0.15">
      <c r="B10" s="1"/>
      <c r="C10" s="86">
        <v>9</v>
      </c>
      <c r="D10"/>
      <c r="E10" s="181" t="s">
        <v>200</v>
      </c>
      <c r="F10" s="86">
        <v>0</v>
      </c>
      <c r="G10" s="86">
        <v>18</v>
      </c>
      <c r="H10" s="86">
        <v>0.99</v>
      </c>
      <c r="I10" s="86">
        <v>7.65</v>
      </c>
      <c r="J10" s="86">
        <v>0.78467726699999996</v>
      </c>
      <c r="K10" s="86">
        <v>0.12941175699999999</v>
      </c>
      <c r="L10" s="86">
        <v>0</v>
      </c>
      <c r="M10" s="86">
        <v>0.2</v>
      </c>
      <c r="N10" s="86">
        <v>0</v>
      </c>
    </row>
    <row r="11" spans="1:46" ht="15" customHeight="1" x14ac:dyDescent="0.15">
      <c r="C11" s="86">
        <v>10</v>
      </c>
      <c r="D11"/>
      <c r="E11" s="181" t="s">
        <v>201</v>
      </c>
      <c r="F11" s="86">
        <v>0</v>
      </c>
      <c r="G11" s="86">
        <v>10</v>
      </c>
      <c r="H11" s="86">
        <v>0.72</v>
      </c>
      <c r="I11" s="86">
        <v>3.6000001400000001</v>
      </c>
      <c r="J11" s="86">
        <v>0.84406906400000004</v>
      </c>
      <c r="K11" s="86">
        <v>0.2</v>
      </c>
      <c r="L11" s="86">
        <v>0</v>
      </c>
      <c r="M11" s="86">
        <v>0.2</v>
      </c>
      <c r="N11" s="86">
        <v>0</v>
      </c>
    </row>
    <row r="12" spans="1:46" ht="15" customHeight="1" x14ac:dyDescent="0.15">
      <c r="C12" s="86">
        <v>11</v>
      </c>
      <c r="D12"/>
      <c r="E12" s="181" t="s">
        <v>202</v>
      </c>
      <c r="F12" s="86">
        <v>0</v>
      </c>
      <c r="G12" s="86">
        <v>1.24</v>
      </c>
      <c r="H12" s="86">
        <v>0.3</v>
      </c>
      <c r="I12" s="86">
        <v>2</v>
      </c>
      <c r="J12" s="86">
        <v>1.4591399999999999E-2</v>
      </c>
      <c r="K12" s="86">
        <v>0.15</v>
      </c>
      <c r="L12" s="86">
        <v>-0.05</v>
      </c>
      <c r="M12" s="86">
        <v>0.2</v>
      </c>
      <c r="N12" s="86">
        <v>0</v>
      </c>
    </row>
    <row r="13" spans="1:46" ht="15" customHeight="1" x14ac:dyDescent="0.15">
      <c r="C13" s="86">
        <v>12</v>
      </c>
      <c r="D13"/>
      <c r="E13" s="181" t="s">
        <v>203</v>
      </c>
      <c r="F13" s="86">
        <v>0</v>
      </c>
      <c r="G13" s="86">
        <v>0.83</v>
      </c>
      <c r="H13" s="86">
        <v>0.57999999999999996</v>
      </c>
      <c r="I13" s="86">
        <v>2.8999998599999999</v>
      </c>
      <c r="J13" s="86">
        <v>0.85811369999999998</v>
      </c>
      <c r="K13" s="86">
        <v>0.2</v>
      </c>
      <c r="L13" s="86">
        <v>0</v>
      </c>
      <c r="M13" s="86">
        <v>0.2</v>
      </c>
      <c r="N13" s="86">
        <v>0</v>
      </c>
    </row>
    <row r="14" spans="1:46" ht="15" customHeight="1" x14ac:dyDescent="0.15">
      <c r="C14" s="86">
        <v>13</v>
      </c>
      <c r="D14"/>
      <c r="E14" s="181" t="s">
        <v>204</v>
      </c>
      <c r="F14" s="86">
        <v>0</v>
      </c>
      <c r="G14" s="86">
        <v>4.21</v>
      </c>
      <c r="H14" s="86">
        <v>0.62</v>
      </c>
      <c r="I14" s="86">
        <v>3.1</v>
      </c>
      <c r="J14" s="86">
        <v>0.95078903400000003</v>
      </c>
      <c r="K14" s="86">
        <v>0.2</v>
      </c>
      <c r="L14" s="86">
        <v>0</v>
      </c>
      <c r="M14" s="86">
        <v>0.2</v>
      </c>
      <c r="N14" s="86">
        <v>0</v>
      </c>
    </row>
    <row r="15" spans="1:46" ht="15" customHeight="1" x14ac:dyDescent="0.15">
      <c r="C15" s="86">
        <v>14</v>
      </c>
      <c r="D15"/>
      <c r="E15" s="181" t="s">
        <v>205</v>
      </c>
      <c r="F15" s="86">
        <v>0</v>
      </c>
      <c r="G15" s="86">
        <v>7.6999999999999999E-2</v>
      </c>
      <c r="H15" s="86">
        <v>0.6</v>
      </c>
      <c r="I15" s="86">
        <v>3.85</v>
      </c>
      <c r="J15" s="86">
        <v>0.75448409999999999</v>
      </c>
      <c r="K15" s="86">
        <v>0.15584416700000001</v>
      </c>
      <c r="L15" s="86">
        <v>0</v>
      </c>
      <c r="M15" s="86">
        <v>0.2</v>
      </c>
      <c r="N15" s="86">
        <v>0</v>
      </c>
    </row>
    <row r="16" spans="1:46" ht="15" customHeight="1" x14ac:dyDescent="0.15">
      <c r="C16" s="86">
        <v>15</v>
      </c>
      <c r="D16"/>
      <c r="E16" s="181" t="s">
        <v>206</v>
      </c>
      <c r="F16" s="86">
        <v>0</v>
      </c>
      <c r="G16" s="86">
        <v>3.5229570000000002E-3</v>
      </c>
      <c r="H16" s="86">
        <v>1.17</v>
      </c>
      <c r="I16" s="86">
        <v>9.9402074799999998</v>
      </c>
      <c r="J16" s="86">
        <v>0.70612549999999996</v>
      </c>
      <c r="K16" s="86">
        <v>0.117703773</v>
      </c>
      <c r="L16" s="86">
        <v>0</v>
      </c>
      <c r="M16" s="86">
        <v>0.2</v>
      </c>
      <c r="N16" s="86">
        <v>0</v>
      </c>
    </row>
    <row r="17" spans="1:22" ht="15" customHeight="1" x14ac:dyDescent="0.15">
      <c r="C17" s="86">
        <v>16</v>
      </c>
      <c r="D17"/>
      <c r="E17" s="181" t="s">
        <v>207</v>
      </c>
      <c r="F17" s="86">
        <v>0</v>
      </c>
      <c r="G17" s="86">
        <v>1.69</v>
      </c>
      <c r="H17" s="86">
        <v>0.48</v>
      </c>
      <c r="I17" s="86">
        <v>4.7</v>
      </c>
      <c r="J17" s="86">
        <v>0.88373829999999998</v>
      </c>
      <c r="K17" s="86">
        <v>0.10212766400000001</v>
      </c>
      <c r="L17" s="86">
        <v>0</v>
      </c>
      <c r="M17" s="86">
        <v>0.2</v>
      </c>
      <c r="N17" s="86">
        <v>0</v>
      </c>
      <c r="V17" s="1" t="s">
        <v>30</v>
      </c>
    </row>
    <row r="18" spans="1:22" ht="15" customHeight="1" x14ac:dyDescent="0.15">
      <c r="C18" s="86">
        <v>17</v>
      </c>
      <c r="D18"/>
      <c r="E18" s="181" t="s">
        <v>208</v>
      </c>
      <c r="F18" s="86">
        <v>0</v>
      </c>
      <c r="G18" s="86">
        <v>1.24958139E-2</v>
      </c>
      <c r="H18" s="86">
        <v>0.76</v>
      </c>
      <c r="I18" s="86">
        <v>21.0728683</v>
      </c>
      <c r="J18" s="86">
        <v>0.88443583299999995</v>
      </c>
      <c r="K18" s="86">
        <v>3.60653326E-2</v>
      </c>
      <c r="L18" s="86">
        <v>0</v>
      </c>
      <c r="M18" s="86">
        <v>0.2</v>
      </c>
      <c r="N18" s="86">
        <v>0</v>
      </c>
      <c r="V18" s="1"/>
    </row>
    <row r="19" spans="1:22" ht="15" customHeight="1" x14ac:dyDescent="0.15">
      <c r="C19" s="86">
        <v>18</v>
      </c>
      <c r="D19"/>
      <c r="E19" s="181" t="s">
        <v>209</v>
      </c>
      <c r="F19" s="86">
        <v>0</v>
      </c>
      <c r="G19" s="86">
        <v>0.6</v>
      </c>
      <c r="H19" s="86">
        <v>0.34</v>
      </c>
      <c r="I19" s="86">
        <v>4.0999999999999996</v>
      </c>
      <c r="J19" s="86">
        <v>0.22568622199999999</v>
      </c>
      <c r="K19" s="86">
        <v>8.2926830000000007E-2</v>
      </c>
      <c r="L19" s="86">
        <v>0</v>
      </c>
      <c r="M19" s="86">
        <v>0.2</v>
      </c>
      <c r="N19" s="86">
        <v>0</v>
      </c>
    </row>
    <row r="20" spans="1:22" ht="15" customHeight="1" thickBot="1" x14ac:dyDescent="0.2">
      <c r="C20" s="86">
        <v>19</v>
      </c>
      <c r="D20"/>
      <c r="E20" s="181" t="s">
        <v>210</v>
      </c>
      <c r="F20" s="86">
        <v>0</v>
      </c>
      <c r="G20" s="86">
        <v>1.6645950000000001E-3</v>
      </c>
      <c r="H20" s="86">
        <v>0.57999999999999996</v>
      </c>
      <c r="I20" s="86">
        <v>22.3271847</v>
      </c>
      <c r="J20" s="86">
        <v>0.78017530000000002</v>
      </c>
      <c r="K20" s="86">
        <v>2.5977299999999998E-2</v>
      </c>
      <c r="L20" s="86">
        <v>0</v>
      </c>
      <c r="M20" s="86">
        <v>0.2</v>
      </c>
      <c r="N20" s="86">
        <v>0</v>
      </c>
    </row>
    <row r="21" spans="1:22" ht="15" customHeight="1" thickBot="1" x14ac:dyDescent="0.2">
      <c r="A21" s="47" t="s">
        <v>137</v>
      </c>
      <c r="B21" s="104"/>
      <c r="C21" s="86">
        <v>20</v>
      </c>
      <c r="D21"/>
      <c r="E21" s="181" t="s">
        <v>211</v>
      </c>
      <c r="F21" s="86">
        <v>0</v>
      </c>
      <c r="G21" s="86">
        <v>0.2</v>
      </c>
      <c r="H21" s="86">
        <v>0.24</v>
      </c>
      <c r="I21" s="86">
        <v>1.5999999</v>
      </c>
      <c r="J21" s="86">
        <v>0.78716299999999995</v>
      </c>
      <c r="K21" s="86">
        <v>0.15</v>
      </c>
      <c r="L21" s="86">
        <v>0</v>
      </c>
      <c r="M21" s="86">
        <v>0.2</v>
      </c>
      <c r="N21" s="86">
        <v>0</v>
      </c>
    </row>
    <row r="22" spans="1:22" ht="15" customHeight="1" x14ac:dyDescent="0.15">
      <c r="A22" s="105" t="s">
        <v>58</v>
      </c>
      <c r="B22" s="106">
        <v>0</v>
      </c>
      <c r="C22" s="86">
        <v>21</v>
      </c>
      <c r="D22"/>
      <c r="E22" s="181" t="s">
        <v>212</v>
      </c>
      <c r="F22" s="86">
        <v>0</v>
      </c>
      <c r="G22" s="86">
        <v>0.36</v>
      </c>
      <c r="H22" s="86">
        <v>0.47</v>
      </c>
      <c r="I22" s="86">
        <v>3.35</v>
      </c>
      <c r="J22" s="86">
        <v>0.46728779999999998</v>
      </c>
      <c r="K22" s="86">
        <v>0.14029851600000001</v>
      </c>
      <c r="L22" s="86">
        <v>0</v>
      </c>
      <c r="M22" s="86">
        <v>0.2</v>
      </c>
      <c r="N22" s="86">
        <v>0</v>
      </c>
    </row>
    <row r="23" spans="1:22" ht="15" customHeight="1" x14ac:dyDescent="0.15">
      <c r="A23" s="105" t="s">
        <v>59</v>
      </c>
      <c r="B23" s="106">
        <v>1</v>
      </c>
      <c r="C23" s="86">
        <v>22</v>
      </c>
      <c r="D23"/>
      <c r="E23" s="181" t="s">
        <v>213</v>
      </c>
      <c r="F23" s="86">
        <v>0</v>
      </c>
      <c r="G23" s="86">
        <v>1.55</v>
      </c>
      <c r="H23" s="86">
        <v>0.56999999999999995</v>
      </c>
      <c r="I23" s="86">
        <v>6.2</v>
      </c>
      <c r="J23" s="86">
        <v>0.90772620000000004</v>
      </c>
      <c r="K23" s="86">
        <v>9.1935485600000005E-2</v>
      </c>
      <c r="L23" s="86">
        <v>0</v>
      </c>
      <c r="M23" s="86">
        <v>0.2</v>
      </c>
      <c r="N23" s="86">
        <v>0</v>
      </c>
    </row>
    <row r="24" spans="1:22" ht="15" customHeight="1" x14ac:dyDescent="0.15">
      <c r="A24" s="105" t="s">
        <v>60</v>
      </c>
      <c r="B24" s="106">
        <v>2</v>
      </c>
      <c r="C24" s="86">
        <v>23</v>
      </c>
      <c r="D24"/>
      <c r="E24" s="181" t="s">
        <v>214</v>
      </c>
      <c r="F24" s="86">
        <v>0</v>
      </c>
      <c r="G24" s="86">
        <v>0.11</v>
      </c>
      <c r="H24" s="86">
        <v>0.43</v>
      </c>
      <c r="I24" s="86">
        <v>3.15</v>
      </c>
      <c r="J24" s="86">
        <v>0.93827260000000001</v>
      </c>
      <c r="K24" s="86">
        <v>0.136507928</v>
      </c>
      <c r="L24" s="86">
        <v>-0.05</v>
      </c>
      <c r="M24" s="86">
        <v>0.2</v>
      </c>
      <c r="N24" s="86">
        <v>0</v>
      </c>
    </row>
    <row r="25" spans="1:22" ht="15" customHeight="1" thickBot="1" x14ac:dyDescent="0.2">
      <c r="A25" s="107" t="s">
        <v>44</v>
      </c>
      <c r="B25" s="108">
        <v>3</v>
      </c>
      <c r="C25" s="86">
        <v>24</v>
      </c>
      <c r="D25"/>
      <c r="E25" s="181" t="s">
        <v>215</v>
      </c>
      <c r="F25" s="86">
        <v>0</v>
      </c>
      <c r="G25" s="86">
        <v>3.7471426199999999E-4</v>
      </c>
      <c r="H25" s="86">
        <v>0.44</v>
      </c>
      <c r="I25" s="86">
        <v>16.1936283</v>
      </c>
      <c r="J25" s="86">
        <v>0.53646934000000002</v>
      </c>
      <c r="K25" s="86">
        <v>2.717118E-2</v>
      </c>
      <c r="L25" s="86">
        <v>-0.05</v>
      </c>
      <c r="M25" s="86">
        <v>0.2</v>
      </c>
      <c r="N25" s="86">
        <v>0</v>
      </c>
    </row>
    <row r="26" spans="1:22" ht="15" customHeight="1" x14ac:dyDescent="0.15">
      <c r="A26" s="109" t="s">
        <v>140</v>
      </c>
      <c r="C26" s="86">
        <v>25</v>
      </c>
      <c r="D26"/>
      <c r="E26" s="181" t="s">
        <v>216</v>
      </c>
      <c r="F26" s="86">
        <v>0</v>
      </c>
      <c r="G26" s="86">
        <v>1.29</v>
      </c>
      <c r="H26" s="86">
        <v>0.44</v>
      </c>
      <c r="I26" s="86">
        <v>2.36</v>
      </c>
      <c r="J26" s="86">
        <v>0.87066480000000002</v>
      </c>
      <c r="K26" s="86">
        <v>0.18644069099999999</v>
      </c>
      <c r="L26" s="86">
        <v>0</v>
      </c>
      <c r="M26" s="86">
        <v>0.2</v>
      </c>
      <c r="N26" s="86">
        <v>0</v>
      </c>
    </row>
    <row r="27" spans="1:22" ht="15" customHeight="1" x14ac:dyDescent="0.15">
      <c r="C27" s="86">
        <v>26</v>
      </c>
      <c r="D27"/>
      <c r="E27" s="181" t="s">
        <v>217</v>
      </c>
      <c r="F27" s="86">
        <v>0</v>
      </c>
      <c r="G27" s="86">
        <v>1.0739034999999999E-2</v>
      </c>
      <c r="H27" s="86">
        <v>0.86</v>
      </c>
      <c r="I27" s="86">
        <v>9.7905160000000002</v>
      </c>
      <c r="J27" s="86">
        <v>0.93885064100000004</v>
      </c>
      <c r="K27" s="86">
        <v>8.7840109999999999E-2</v>
      </c>
      <c r="L27" s="86">
        <v>0</v>
      </c>
      <c r="M27" s="86">
        <v>0.2</v>
      </c>
      <c r="N27" s="86">
        <v>0</v>
      </c>
    </row>
    <row r="28" spans="1:22" ht="15" customHeight="1" x14ac:dyDescent="0.15">
      <c r="C28" s="86">
        <v>27</v>
      </c>
      <c r="D28"/>
      <c r="E28" s="181" t="s">
        <v>218</v>
      </c>
      <c r="F28" s="86">
        <v>0</v>
      </c>
      <c r="G28" s="86">
        <v>0.22</v>
      </c>
      <c r="H28" s="86">
        <v>0.28999999999999998</v>
      </c>
      <c r="I28" s="86">
        <v>4.25</v>
      </c>
      <c r="J28" s="86">
        <v>0.66533509999999996</v>
      </c>
      <c r="K28" s="86">
        <v>6.8235290000000004E-2</v>
      </c>
      <c r="L28" s="86">
        <v>-0.05</v>
      </c>
      <c r="M28" s="86">
        <v>0.2</v>
      </c>
      <c r="N28" s="86">
        <v>0</v>
      </c>
    </row>
    <row r="29" spans="1:22" customFormat="1" ht="15" customHeight="1" x14ac:dyDescent="0.15">
      <c r="C29" s="86">
        <v>28</v>
      </c>
      <c r="E29" s="181" t="s">
        <v>219</v>
      </c>
      <c r="F29" s="86">
        <v>0</v>
      </c>
      <c r="G29" s="86">
        <v>0.35</v>
      </c>
      <c r="H29" s="86">
        <v>0.57999999999999996</v>
      </c>
      <c r="I29" s="86">
        <v>2.8999998599999999</v>
      </c>
      <c r="J29" s="86">
        <v>0.88180449999999999</v>
      </c>
      <c r="K29" s="86">
        <v>0.2</v>
      </c>
      <c r="L29" s="86">
        <v>0</v>
      </c>
      <c r="M29" s="86">
        <v>0.2</v>
      </c>
      <c r="N29" s="86">
        <v>0</v>
      </c>
    </row>
    <row r="30" spans="1:22" customFormat="1" ht="15" customHeight="1" x14ac:dyDescent="0.15">
      <c r="C30" s="86">
        <v>29</v>
      </c>
      <c r="E30" s="181" t="s">
        <v>220</v>
      </c>
      <c r="F30" s="86">
        <v>0</v>
      </c>
      <c r="G30" s="86">
        <v>6.1950000000000003</v>
      </c>
      <c r="H30" s="86">
        <v>0.82</v>
      </c>
      <c r="I30" s="86">
        <v>7.6</v>
      </c>
      <c r="J30" s="86">
        <v>0.94985055900000004</v>
      </c>
      <c r="K30" s="86">
        <v>0.10789473400000001</v>
      </c>
      <c r="L30" s="86">
        <v>0</v>
      </c>
      <c r="M30" s="86">
        <v>0.2</v>
      </c>
      <c r="N30" s="86">
        <v>0</v>
      </c>
    </row>
    <row r="31" spans="1:22" customFormat="1" ht="15" customHeight="1" x14ac:dyDescent="0.15">
      <c r="C31" s="86">
        <v>30</v>
      </c>
      <c r="E31" s="181" t="s">
        <v>221</v>
      </c>
      <c r="F31" s="86">
        <v>0</v>
      </c>
      <c r="G31" s="86">
        <v>1.37</v>
      </c>
      <c r="H31" s="86">
        <v>1.4</v>
      </c>
      <c r="I31" s="86">
        <v>4.6666665099999998</v>
      </c>
      <c r="J31" s="86">
        <v>0.63220405599999996</v>
      </c>
      <c r="K31" s="86">
        <v>0.3</v>
      </c>
      <c r="L31" s="86">
        <v>-0.03</v>
      </c>
      <c r="M31" s="86">
        <v>0.2</v>
      </c>
      <c r="N31" s="86">
        <v>0</v>
      </c>
    </row>
    <row r="32" spans="1:22" customFormat="1" ht="15" customHeight="1" x14ac:dyDescent="0.15">
      <c r="C32" s="86">
        <v>31</v>
      </c>
      <c r="E32" s="181" t="s">
        <v>222</v>
      </c>
      <c r="F32" s="86">
        <v>0</v>
      </c>
      <c r="G32" s="86">
        <v>1</v>
      </c>
      <c r="H32" s="86">
        <v>1.2</v>
      </c>
      <c r="I32" s="86">
        <v>4</v>
      </c>
      <c r="J32" s="86">
        <v>0.838643849</v>
      </c>
      <c r="K32" s="86">
        <v>0.3</v>
      </c>
      <c r="L32" s="86">
        <v>-0.03</v>
      </c>
      <c r="M32" s="86">
        <v>0.2</v>
      </c>
      <c r="N32" s="86">
        <v>0</v>
      </c>
    </row>
    <row r="33" spans="3:14" customFormat="1" ht="15" customHeight="1" x14ac:dyDescent="0.15">
      <c r="C33" s="86">
        <v>32</v>
      </c>
      <c r="E33" s="181" t="s">
        <v>223</v>
      </c>
      <c r="F33" s="86">
        <v>0</v>
      </c>
      <c r="G33" s="86">
        <v>9.1199999999999992</v>
      </c>
      <c r="H33" s="86">
        <v>1.44</v>
      </c>
      <c r="I33" s="86">
        <v>7.2000002900000002</v>
      </c>
      <c r="J33" s="86">
        <v>0.94633509999999998</v>
      </c>
      <c r="K33" s="86">
        <v>0.2</v>
      </c>
      <c r="L33" s="86">
        <v>0</v>
      </c>
      <c r="M33" s="86">
        <v>0.2</v>
      </c>
      <c r="N33" s="86">
        <v>0</v>
      </c>
    </row>
    <row r="34" spans="3:14" customFormat="1" ht="15" customHeight="1" x14ac:dyDescent="0.15">
      <c r="C34" s="86">
        <v>33</v>
      </c>
      <c r="E34" s="181" t="s">
        <v>224</v>
      </c>
      <c r="F34" s="86">
        <v>0</v>
      </c>
      <c r="G34" s="86">
        <v>17.86</v>
      </c>
      <c r="H34" s="86">
        <v>1.5</v>
      </c>
      <c r="I34" s="86">
        <v>16.666665999999999</v>
      </c>
      <c r="J34" s="86">
        <v>0.95489889999999999</v>
      </c>
      <c r="K34" s="86">
        <v>0.09</v>
      </c>
      <c r="L34" s="86">
        <v>0</v>
      </c>
      <c r="M34" s="86">
        <v>0.2</v>
      </c>
      <c r="N34" s="86">
        <v>0</v>
      </c>
    </row>
    <row r="35" spans="3:14" customFormat="1" ht="15" customHeight="1" x14ac:dyDescent="0.15">
      <c r="C35" s="86">
        <v>34</v>
      </c>
      <c r="E35" s="181" t="s">
        <v>225</v>
      </c>
      <c r="F35" s="86">
        <v>0</v>
      </c>
      <c r="G35" s="86">
        <v>5.3199996900000004</v>
      </c>
      <c r="H35" s="86">
        <v>3</v>
      </c>
      <c r="I35" s="86">
        <v>33.3333321</v>
      </c>
      <c r="J35" s="86">
        <v>0.83862716000000004</v>
      </c>
      <c r="K35" s="86">
        <v>0.09</v>
      </c>
      <c r="L35" s="86">
        <v>0</v>
      </c>
      <c r="M35" s="86">
        <v>0.2</v>
      </c>
      <c r="N35" s="86">
        <v>0</v>
      </c>
    </row>
    <row r="36" spans="3:14" customFormat="1" ht="15" customHeight="1" x14ac:dyDescent="0.15">
      <c r="C36" s="86">
        <v>35</v>
      </c>
      <c r="E36" s="181" t="s">
        <v>226</v>
      </c>
      <c r="F36" s="86">
        <v>0</v>
      </c>
      <c r="G36" s="86">
        <v>1.1399999999999999</v>
      </c>
      <c r="H36" s="86">
        <v>2.4</v>
      </c>
      <c r="I36" s="86">
        <v>12</v>
      </c>
      <c r="J36" s="86">
        <v>0.99592703599999999</v>
      </c>
      <c r="K36" s="86">
        <v>0.2</v>
      </c>
      <c r="L36" s="86">
        <v>0</v>
      </c>
      <c r="M36" s="86">
        <v>0.2</v>
      </c>
      <c r="N36" s="86">
        <v>0</v>
      </c>
    </row>
    <row r="37" spans="3:14" customFormat="1" ht="15" customHeight="1" x14ac:dyDescent="0.15">
      <c r="C37" s="86">
        <v>36</v>
      </c>
      <c r="E37" s="181" t="s">
        <v>227</v>
      </c>
      <c r="F37" s="86">
        <v>0</v>
      </c>
      <c r="G37" s="86">
        <v>0.56999999999999995</v>
      </c>
      <c r="H37" s="86">
        <v>1.8</v>
      </c>
      <c r="I37" s="86">
        <v>9</v>
      </c>
      <c r="J37" s="86">
        <v>0.88506510000000005</v>
      </c>
      <c r="K37" s="86">
        <v>0.2</v>
      </c>
      <c r="L37" s="86">
        <v>0</v>
      </c>
      <c r="M37" s="86">
        <v>0.2</v>
      </c>
      <c r="N37" s="86">
        <v>0</v>
      </c>
    </row>
    <row r="38" spans="3:14" customFormat="1" ht="15" customHeight="1" x14ac:dyDescent="0.15">
      <c r="C38" s="86">
        <v>37</v>
      </c>
      <c r="E38" s="181" t="s">
        <v>228</v>
      </c>
      <c r="F38" s="86">
        <v>0</v>
      </c>
      <c r="G38" s="86">
        <v>2.09</v>
      </c>
      <c r="H38" s="86">
        <v>9</v>
      </c>
      <c r="I38" s="86">
        <v>99.999989999999997</v>
      </c>
      <c r="J38" s="86">
        <v>0.95227090000000003</v>
      </c>
      <c r="K38" s="86">
        <v>0.09</v>
      </c>
      <c r="L38" s="86">
        <v>0</v>
      </c>
      <c r="M38" s="86">
        <v>0.2</v>
      </c>
      <c r="N38" s="86">
        <v>0</v>
      </c>
    </row>
    <row r="39" spans="3:14" customFormat="1" ht="15" customHeight="1" x14ac:dyDescent="0.15">
      <c r="C39" s="86">
        <v>38</v>
      </c>
      <c r="E39" s="181" t="s">
        <v>229</v>
      </c>
      <c r="F39" s="86">
        <v>0</v>
      </c>
      <c r="G39" s="86">
        <v>8.1</v>
      </c>
      <c r="H39" s="86">
        <v>1.5</v>
      </c>
      <c r="I39" s="86">
        <v>7.5</v>
      </c>
      <c r="J39" s="86">
        <v>0.73247569999999995</v>
      </c>
      <c r="K39" s="86">
        <v>0.2</v>
      </c>
      <c r="L39" s="86">
        <v>0</v>
      </c>
      <c r="M39" s="86">
        <v>0.2</v>
      </c>
      <c r="N39" s="86">
        <v>0</v>
      </c>
    </row>
    <row r="40" spans="3:14" customFormat="1" ht="15" customHeight="1" x14ac:dyDescent="0.15">
      <c r="C40" s="86">
        <v>39</v>
      </c>
      <c r="E40" s="181" t="s">
        <v>230</v>
      </c>
      <c r="F40" s="86">
        <v>0</v>
      </c>
      <c r="G40" s="86">
        <v>26.211601300000002</v>
      </c>
      <c r="H40" s="86">
        <v>1.5</v>
      </c>
      <c r="I40" s="86">
        <v>16.666665999999999</v>
      </c>
      <c r="J40" s="86">
        <v>0.499714822</v>
      </c>
      <c r="K40" s="86">
        <v>0.09</v>
      </c>
      <c r="L40" s="86">
        <v>0</v>
      </c>
      <c r="M40" s="86">
        <v>0.2</v>
      </c>
      <c r="N40" s="86">
        <v>0</v>
      </c>
    </row>
    <row r="41" spans="3:14" customFormat="1" ht="15" customHeight="1" x14ac:dyDescent="0.15">
      <c r="C41" s="86">
        <v>40</v>
      </c>
      <c r="E41" s="181" t="s">
        <v>231</v>
      </c>
      <c r="F41" s="86">
        <v>0</v>
      </c>
      <c r="G41" s="86">
        <v>31.7682018</v>
      </c>
      <c r="H41" s="86">
        <v>3</v>
      </c>
      <c r="I41" s="86">
        <v>33</v>
      </c>
      <c r="J41" s="86">
        <v>0.4091767</v>
      </c>
      <c r="K41" s="86">
        <v>9.0909089999999998E-2</v>
      </c>
      <c r="L41" s="86">
        <v>0</v>
      </c>
      <c r="M41" s="86">
        <v>0.2</v>
      </c>
      <c r="N41" s="86">
        <v>0</v>
      </c>
    </row>
    <row r="42" spans="3:14" customFormat="1" ht="15" customHeight="1" x14ac:dyDescent="0.15">
      <c r="C42" s="86">
        <v>41</v>
      </c>
      <c r="E42" s="181" t="s">
        <v>232</v>
      </c>
      <c r="F42" s="86">
        <v>0</v>
      </c>
      <c r="G42" s="86">
        <v>8.0351999999999997</v>
      </c>
      <c r="H42" s="86">
        <v>2.4</v>
      </c>
      <c r="I42" s="86">
        <v>12</v>
      </c>
      <c r="J42" s="86">
        <v>0.79654556499999996</v>
      </c>
      <c r="K42" s="86">
        <v>0.2</v>
      </c>
      <c r="L42" s="86">
        <v>0</v>
      </c>
      <c r="M42" s="86">
        <v>0.2</v>
      </c>
      <c r="N42" s="86">
        <v>0</v>
      </c>
    </row>
    <row r="43" spans="3:14" customFormat="1" ht="15" customHeight="1" x14ac:dyDescent="0.15">
      <c r="C43" s="86">
        <v>42</v>
      </c>
      <c r="E43" s="181" t="s">
        <v>233</v>
      </c>
      <c r="F43" s="86">
        <v>0</v>
      </c>
      <c r="G43" s="86">
        <v>17.212499999999999</v>
      </c>
      <c r="H43" s="86">
        <v>1.8</v>
      </c>
      <c r="I43" s="86">
        <v>9</v>
      </c>
      <c r="J43" s="86">
        <v>0.22375606000000001</v>
      </c>
      <c r="K43" s="86">
        <v>0.19999998799999999</v>
      </c>
      <c r="L43" s="86">
        <v>0</v>
      </c>
      <c r="M43" s="86">
        <v>0.2</v>
      </c>
      <c r="N43" s="86">
        <v>0</v>
      </c>
    </row>
    <row r="44" spans="3:14" customFormat="1" ht="15" customHeight="1" x14ac:dyDescent="0.15">
      <c r="C44" s="86">
        <v>43</v>
      </c>
      <c r="E44" s="181" t="s">
        <v>234</v>
      </c>
      <c r="F44" s="86">
        <v>0</v>
      </c>
      <c r="G44" s="86">
        <v>8.91</v>
      </c>
      <c r="H44" s="86">
        <v>9</v>
      </c>
      <c r="I44" s="86">
        <v>99.999989999999997</v>
      </c>
      <c r="J44" s="86">
        <v>0.25306963900000001</v>
      </c>
      <c r="K44" s="86">
        <v>0.09</v>
      </c>
      <c r="L44" s="86">
        <v>0</v>
      </c>
      <c r="M44" s="86">
        <v>0.2</v>
      </c>
      <c r="N44" s="86">
        <v>0</v>
      </c>
    </row>
    <row r="45" spans="3:14" customFormat="1" ht="15" customHeight="1" x14ac:dyDescent="0.15">
      <c r="C45" s="86">
        <v>44</v>
      </c>
      <c r="E45" s="181" t="s">
        <v>235</v>
      </c>
      <c r="F45" s="86">
        <v>0</v>
      </c>
      <c r="G45" s="86">
        <v>55.08</v>
      </c>
      <c r="H45" s="86">
        <v>24</v>
      </c>
      <c r="I45" s="86">
        <v>112</v>
      </c>
      <c r="J45" s="86">
        <v>0.14552403999999999</v>
      </c>
      <c r="K45" s="86">
        <v>0.21428571599999999</v>
      </c>
      <c r="L45" s="86">
        <v>0</v>
      </c>
      <c r="M45" s="86">
        <v>0.4</v>
      </c>
      <c r="N45" s="86">
        <v>0</v>
      </c>
    </row>
    <row r="46" spans="3:14" customFormat="1" ht="15" customHeight="1" x14ac:dyDescent="0.15">
      <c r="C46" s="86">
        <v>45</v>
      </c>
      <c r="E46" s="181" t="s">
        <v>236</v>
      </c>
      <c r="F46" s="86">
        <v>0</v>
      </c>
      <c r="G46" s="86">
        <v>3.4100999999999999</v>
      </c>
      <c r="H46" s="86">
        <v>4.3</v>
      </c>
      <c r="I46" s="86">
        <v>17</v>
      </c>
      <c r="J46" s="86">
        <v>0.72758793799999999</v>
      </c>
      <c r="K46" s="86">
        <v>0.25294119999999998</v>
      </c>
      <c r="L46" s="86">
        <v>0</v>
      </c>
      <c r="M46" s="86">
        <v>0.2</v>
      </c>
      <c r="N46" s="86">
        <v>0</v>
      </c>
    </row>
    <row r="47" spans="3:14" customFormat="1" ht="15" customHeight="1" x14ac:dyDescent="0.15">
      <c r="C47" s="86">
        <v>46</v>
      </c>
      <c r="E47" s="181" t="s">
        <v>237</v>
      </c>
      <c r="F47" s="86">
        <v>0</v>
      </c>
      <c r="G47" s="86">
        <v>1.8322434400000001</v>
      </c>
      <c r="H47" s="86">
        <v>24</v>
      </c>
      <c r="I47" s="86">
        <v>112</v>
      </c>
      <c r="J47" s="86">
        <v>0.8</v>
      </c>
      <c r="K47" s="86">
        <v>0.21428571599999999</v>
      </c>
      <c r="L47" s="86">
        <v>0</v>
      </c>
      <c r="M47" s="86">
        <v>0.4</v>
      </c>
      <c r="N47" s="86">
        <v>0</v>
      </c>
    </row>
    <row r="48" spans="3:14" customFormat="1" ht="15" customHeight="1" x14ac:dyDescent="0.15">
      <c r="C48" s="86">
        <v>47</v>
      </c>
      <c r="E48" s="181" t="s">
        <v>238</v>
      </c>
      <c r="F48" s="86">
        <v>0</v>
      </c>
      <c r="G48" s="86">
        <v>2.6042845200000002</v>
      </c>
      <c r="H48" s="86">
        <v>4.3</v>
      </c>
      <c r="I48" s="86">
        <v>17</v>
      </c>
      <c r="J48" s="86">
        <v>0.8</v>
      </c>
      <c r="K48" s="86">
        <v>0.25294119999999998</v>
      </c>
      <c r="L48" s="86">
        <v>0</v>
      </c>
      <c r="M48" s="86">
        <v>0.2</v>
      </c>
      <c r="N48" s="86">
        <v>0</v>
      </c>
    </row>
    <row r="49" spans="3:14" customFormat="1" ht="15" customHeight="1" x14ac:dyDescent="0.15">
      <c r="C49" s="86">
        <v>48</v>
      </c>
      <c r="E49" s="181" t="s">
        <v>239</v>
      </c>
      <c r="F49" s="86">
        <v>1</v>
      </c>
      <c r="G49" s="86">
        <v>5.8861999999999997</v>
      </c>
      <c r="H49" s="86">
        <v>100</v>
      </c>
      <c r="I49" s="86">
        <v>0</v>
      </c>
      <c r="J49" s="86">
        <v>0.42842817300000002</v>
      </c>
      <c r="K49" s="86">
        <v>0</v>
      </c>
      <c r="L49" s="86">
        <v>0</v>
      </c>
      <c r="M49" s="86">
        <v>0</v>
      </c>
      <c r="N49" s="86">
        <v>0</v>
      </c>
    </row>
    <row r="50" spans="3:14" customFormat="1" ht="15" customHeight="1" x14ac:dyDescent="0.15">
      <c r="C50" s="86">
        <v>49</v>
      </c>
      <c r="E50" s="181" t="s">
        <v>240</v>
      </c>
      <c r="F50" s="86">
        <v>1</v>
      </c>
      <c r="G50" s="86">
        <v>67.821304299999994</v>
      </c>
      <c r="H50" s="86">
        <v>100</v>
      </c>
      <c r="I50" s="86">
        <v>0</v>
      </c>
      <c r="J50" s="86">
        <v>0.85195845400000003</v>
      </c>
      <c r="K50" s="86">
        <v>0</v>
      </c>
      <c r="L50" s="86">
        <v>0</v>
      </c>
      <c r="M50" s="86">
        <v>0</v>
      </c>
      <c r="N50" s="86">
        <v>0</v>
      </c>
    </row>
    <row r="51" spans="3:14" customFormat="1" ht="15" customHeight="1" x14ac:dyDescent="0.15">
      <c r="C51" s="86">
        <v>50</v>
      </c>
      <c r="E51" s="181" t="s">
        <v>241</v>
      </c>
      <c r="F51" s="86">
        <v>1</v>
      </c>
      <c r="G51" s="86">
        <v>548.80395499999997</v>
      </c>
      <c r="H51" s="86">
        <v>4.0599999999999996</v>
      </c>
      <c r="I51" s="86">
        <v>0</v>
      </c>
      <c r="J51" s="86">
        <v>1.4003903599999999E-2</v>
      </c>
      <c r="K51" s="86">
        <v>0</v>
      </c>
      <c r="L51" s="86">
        <v>0</v>
      </c>
      <c r="M51" s="86">
        <v>0</v>
      </c>
      <c r="N51" s="86">
        <v>0</v>
      </c>
    </row>
    <row r="52" spans="3:14" customFormat="1" ht="15" customHeight="1" x14ac:dyDescent="0.15">
      <c r="C52" s="86">
        <v>51</v>
      </c>
      <c r="E52" s="181" t="s">
        <v>242</v>
      </c>
      <c r="F52" s="86">
        <v>2</v>
      </c>
      <c r="G52" s="86">
        <v>560</v>
      </c>
      <c r="H52" s="86">
        <v>0</v>
      </c>
      <c r="I52" s="86">
        <v>0</v>
      </c>
      <c r="J52" s="86">
        <v>0</v>
      </c>
      <c r="K52" s="86">
        <v>0</v>
      </c>
      <c r="L52" s="86">
        <v>0</v>
      </c>
      <c r="M52" s="86">
        <v>0</v>
      </c>
      <c r="N52" s="86">
        <v>0</v>
      </c>
    </row>
    <row r="53" spans="3:14" customFormat="1" ht="15" customHeight="1" x14ac:dyDescent="0.15">
      <c r="C53" s="86">
        <v>52</v>
      </c>
      <c r="E53" s="181" t="s">
        <v>243</v>
      </c>
      <c r="F53" s="86">
        <v>2</v>
      </c>
      <c r="G53" s="86">
        <v>5</v>
      </c>
      <c r="H53" s="86">
        <v>0</v>
      </c>
      <c r="I53" s="86">
        <v>0</v>
      </c>
      <c r="J53" s="86">
        <v>0</v>
      </c>
      <c r="K53" s="86">
        <v>0</v>
      </c>
      <c r="L53" s="86">
        <v>0</v>
      </c>
      <c r="M53" s="86">
        <v>0</v>
      </c>
      <c r="N53" s="86">
        <v>0</v>
      </c>
    </row>
    <row r="54" spans="3:14" customFormat="1" ht="15" customHeight="1" x14ac:dyDescent="0.15">
      <c r="C54" s="86">
        <v>53</v>
      </c>
      <c r="E54" s="181" t="s">
        <v>244</v>
      </c>
      <c r="F54" s="86">
        <v>3</v>
      </c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0</v>
      </c>
      <c r="N54" s="86">
        <v>0</v>
      </c>
    </row>
    <row r="55" spans="3:14" customFormat="1" ht="15" customHeight="1" x14ac:dyDescent="0.15">
      <c r="C55" s="86">
        <v>54</v>
      </c>
      <c r="E55" s="181" t="s">
        <v>245</v>
      </c>
      <c r="F55" s="86">
        <v>3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86">
        <v>0</v>
      </c>
    </row>
    <row r="56" spans="3:14" customFormat="1" ht="15" customHeight="1" x14ac:dyDescent="0.15">
      <c r="C56" s="86">
        <v>55</v>
      </c>
      <c r="E56" s="181" t="s">
        <v>246</v>
      </c>
      <c r="F56" s="86">
        <v>3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86">
        <v>0</v>
      </c>
    </row>
    <row r="57" spans="3:14" customFormat="1" ht="15" customHeight="1" x14ac:dyDescent="0.15">
      <c r="C57" s="86">
        <v>56</v>
      </c>
      <c r="E57" s="181" t="s">
        <v>247</v>
      </c>
      <c r="F57" s="86">
        <v>3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86">
        <v>0</v>
      </c>
    </row>
    <row r="58" spans="3:14" customFormat="1" ht="15" customHeight="1" x14ac:dyDescent="0.15"/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A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5" bestFit="1" customWidth="1"/>
    <col min="2" max="2" width="13.83203125" style="145" bestFit="1" customWidth="1"/>
    <col min="3" max="3" width="15.83203125" style="145" bestFit="1" customWidth="1"/>
    <col min="4" max="4" width="14.83203125" style="145" bestFit="1" customWidth="1"/>
    <col min="5" max="5" width="13.83203125" style="145" bestFit="1" customWidth="1"/>
    <col min="6" max="6" width="6.83203125" style="145" bestFit="1" customWidth="1"/>
    <col min="7" max="8" width="15.83203125" style="145" bestFit="1" customWidth="1"/>
    <col min="9" max="9" width="3.83203125" style="145" bestFit="1" customWidth="1"/>
    <col min="10" max="10" width="13.83203125" style="145" bestFit="1" customWidth="1"/>
    <col min="11" max="13" width="15.83203125" style="145" bestFit="1" customWidth="1"/>
    <col min="14" max="14" width="13.83203125" style="145" bestFit="1" customWidth="1"/>
    <col min="15" max="15" width="15.83203125" style="145" bestFit="1" customWidth="1"/>
    <col min="16" max="16" width="13.83203125" style="145" bestFit="1" customWidth="1"/>
    <col min="17" max="19" width="15.83203125" style="145" bestFit="1" customWidth="1"/>
    <col min="20" max="20" width="4.83203125" style="145" bestFit="1" customWidth="1"/>
    <col min="21" max="22" width="15.83203125" style="145" bestFit="1" customWidth="1"/>
    <col min="23" max="23" width="14.83203125" style="145" bestFit="1" customWidth="1"/>
    <col min="24" max="24" width="15.83203125" style="145" bestFit="1" customWidth="1"/>
    <col min="25" max="25" width="13.83203125" style="145" bestFit="1" customWidth="1"/>
    <col min="26" max="26" width="15.83203125" style="145" bestFit="1" customWidth="1"/>
    <col min="27" max="27" width="13.83203125" style="145" bestFit="1" customWidth="1"/>
    <col min="28" max="28" width="15.83203125" style="145" bestFit="1" customWidth="1"/>
    <col min="29" max="29" width="14.83203125" style="145" bestFit="1" customWidth="1"/>
    <col min="30" max="30" width="14.83203125" style="145" customWidth="1"/>
    <col min="31" max="31" width="5.83203125" style="145" customWidth="1"/>
    <col min="32" max="32" width="15.83203125" style="145" customWidth="1"/>
    <col min="33" max="33" width="5.83203125" style="145" customWidth="1"/>
    <col min="34" max="35" width="4.83203125" style="145" customWidth="1"/>
    <col min="36" max="36" width="3.83203125" style="145" customWidth="1"/>
    <col min="37" max="37" width="4.83203125" style="145" customWidth="1"/>
    <col min="38" max="38" width="2.33203125" style="145" customWidth="1"/>
    <col min="39" max="39" width="4.83203125" style="145" customWidth="1"/>
    <col min="40" max="40" width="3.83203125" style="145" customWidth="1"/>
    <col min="41" max="41" width="5.83203125" style="145" customWidth="1"/>
    <col min="42" max="42" width="3.83203125" style="145" customWidth="1"/>
    <col min="43" max="43" width="4.83203125" style="145" customWidth="1"/>
    <col min="44" max="44" width="2.33203125" style="145" customWidth="1"/>
    <col min="45" max="45" width="3.83203125" style="145" customWidth="1"/>
    <col min="46" max="46" width="4.83203125" style="145" customWidth="1"/>
    <col min="47" max="47" width="3.83203125" style="145" customWidth="1"/>
    <col min="48" max="48" width="4.83203125" style="145" customWidth="1"/>
    <col min="49" max="53" width="2.33203125" style="145" customWidth="1"/>
    <col min="54" max="16384" width="8.83203125" style="145"/>
  </cols>
  <sheetData>
    <row r="1" spans="1:53" x14ac:dyDescent="0.15">
      <c r="A1" s="144" t="s">
        <v>19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  <c r="AI1" s="183" t="s">
        <v>225</v>
      </c>
      <c r="AJ1" s="183" t="s">
        <v>226</v>
      </c>
      <c r="AK1" s="183" t="s">
        <v>227</v>
      </c>
      <c r="AL1" s="183" t="s">
        <v>228</v>
      </c>
      <c r="AM1" s="183" t="s">
        <v>229</v>
      </c>
      <c r="AN1" s="183" t="s">
        <v>230</v>
      </c>
      <c r="AO1" s="183" t="s">
        <v>231</v>
      </c>
      <c r="AP1" s="183" t="s">
        <v>232</v>
      </c>
      <c r="AQ1" s="183" t="s">
        <v>233</v>
      </c>
      <c r="AR1" s="183" t="s">
        <v>234</v>
      </c>
      <c r="AS1" s="183" t="s">
        <v>235</v>
      </c>
      <c r="AT1" s="183" t="s">
        <v>236</v>
      </c>
      <c r="AU1" s="183" t="s">
        <v>237</v>
      </c>
      <c r="AV1" s="183" t="s">
        <v>238</v>
      </c>
      <c r="AW1" s="183" t="s">
        <v>239</v>
      </c>
      <c r="AX1" s="183" t="s">
        <v>240</v>
      </c>
      <c r="AY1" s="183" t="s">
        <v>241</v>
      </c>
      <c r="AZ1" s="183" t="s">
        <v>242</v>
      </c>
      <c r="BA1" s="183" t="s">
        <v>243</v>
      </c>
    </row>
    <row r="2" spans="1:53" customFormat="1" x14ac:dyDescent="0.15">
      <c r="A2" s="182" t="s">
        <v>192</v>
      </c>
      <c r="B2" s="145">
        <v>0</v>
      </c>
      <c r="C2" s="145">
        <v>0</v>
      </c>
      <c r="D2" s="145">
        <v>0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  <c r="AQ2" s="145">
        <v>0</v>
      </c>
      <c r="AR2" s="145">
        <v>0</v>
      </c>
      <c r="AS2" s="145">
        <v>0</v>
      </c>
      <c r="AT2" s="145">
        <v>0</v>
      </c>
      <c r="AU2" s="145">
        <v>0</v>
      </c>
      <c r="AV2" s="145">
        <v>0</v>
      </c>
      <c r="AW2" s="145">
        <v>0</v>
      </c>
      <c r="AX2" s="145">
        <v>0</v>
      </c>
      <c r="AY2" s="145">
        <v>0</v>
      </c>
      <c r="AZ2" s="145">
        <v>0</v>
      </c>
      <c r="BA2" s="145">
        <v>0</v>
      </c>
    </row>
    <row r="3" spans="1:53" customFormat="1" x14ac:dyDescent="0.15">
      <c r="A3" s="182" t="s">
        <v>193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  <c r="AQ3" s="145">
        <v>0</v>
      </c>
      <c r="AR3" s="145">
        <v>0</v>
      </c>
      <c r="AS3" s="145">
        <v>0</v>
      </c>
      <c r="AT3" s="145">
        <v>0</v>
      </c>
      <c r="AU3" s="145">
        <v>0</v>
      </c>
      <c r="AV3" s="145">
        <v>0</v>
      </c>
      <c r="AW3" s="145">
        <v>0</v>
      </c>
      <c r="AX3" s="145">
        <v>0</v>
      </c>
      <c r="AY3" s="145">
        <v>0</v>
      </c>
      <c r="AZ3" s="145">
        <v>0</v>
      </c>
      <c r="BA3" s="145">
        <v>0</v>
      </c>
    </row>
    <row r="4" spans="1:53" customFormat="1" x14ac:dyDescent="0.15">
      <c r="A4" s="182" t="s">
        <v>194</v>
      </c>
      <c r="B4" s="145">
        <v>0</v>
      </c>
      <c r="C4" s="145">
        <v>0</v>
      </c>
      <c r="D4" s="145">
        <v>0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1.0262068773344445E-3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0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  <c r="AQ4" s="145">
        <v>0</v>
      </c>
      <c r="AR4" s="145">
        <v>0</v>
      </c>
      <c r="AS4" s="145">
        <v>0</v>
      </c>
      <c r="AT4" s="145">
        <v>0</v>
      </c>
      <c r="AU4" s="145">
        <v>0</v>
      </c>
      <c r="AV4" s="145">
        <v>0</v>
      </c>
      <c r="AW4" s="145">
        <v>0</v>
      </c>
      <c r="AX4" s="145">
        <v>0</v>
      </c>
      <c r="AY4" s="145">
        <v>0</v>
      </c>
      <c r="AZ4" s="145">
        <v>0</v>
      </c>
      <c r="BA4" s="145">
        <v>0</v>
      </c>
    </row>
    <row r="5" spans="1:53" customFormat="1" x14ac:dyDescent="0.15">
      <c r="A5" s="182" t="s">
        <v>195</v>
      </c>
      <c r="B5" s="145">
        <v>0</v>
      </c>
      <c r="C5" s="145">
        <v>9.993209001354005E-6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2.999939058228817E-5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  <c r="AQ5" s="145">
        <v>0</v>
      </c>
      <c r="AR5" s="145">
        <v>0</v>
      </c>
      <c r="AS5" s="145">
        <v>0</v>
      </c>
      <c r="AT5" s="145">
        <v>0</v>
      </c>
      <c r="AU5" s="145">
        <v>0</v>
      </c>
      <c r="AV5" s="145">
        <v>0</v>
      </c>
      <c r="AW5" s="145">
        <v>0</v>
      </c>
      <c r="AX5" s="145">
        <v>0</v>
      </c>
      <c r="AY5" s="145">
        <v>0</v>
      </c>
      <c r="AZ5" s="145">
        <v>0</v>
      </c>
      <c r="BA5" s="145">
        <v>0</v>
      </c>
    </row>
    <row r="6" spans="1:53" customFormat="1" x14ac:dyDescent="0.15">
      <c r="A6" s="182" t="s">
        <v>196</v>
      </c>
      <c r="B6" s="145">
        <v>4.8095242885714568E-2</v>
      </c>
      <c r="C6" s="145">
        <v>1.999331769664512E-2</v>
      </c>
      <c r="D6" s="145">
        <v>7.6930902230996162E-2</v>
      </c>
      <c r="E6" s="145">
        <v>8.3338891203543056E-2</v>
      </c>
      <c r="F6" s="145">
        <v>0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5.0001894296764493E-2</v>
      </c>
      <c r="M6" s="145">
        <v>0</v>
      </c>
      <c r="N6" s="145">
        <v>0</v>
      </c>
      <c r="O6" s="145">
        <v>9.612926186586898E-4</v>
      </c>
      <c r="P6" s="145">
        <v>0</v>
      </c>
      <c r="Q6" s="145">
        <v>0</v>
      </c>
      <c r="R6" s="145">
        <v>0</v>
      </c>
      <c r="S6" s="145">
        <v>0</v>
      </c>
      <c r="T6" s="145">
        <v>0</v>
      </c>
      <c r="U6" s="145">
        <v>1.7362993346525305E-3</v>
      </c>
      <c r="V6" s="145">
        <v>0</v>
      </c>
      <c r="W6" s="145">
        <v>0</v>
      </c>
      <c r="X6" s="145">
        <v>0</v>
      </c>
      <c r="Y6" s="145">
        <v>0</v>
      </c>
      <c r="Z6" s="145">
        <v>0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0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  <c r="AQ6" s="145">
        <v>0</v>
      </c>
      <c r="AR6" s="145">
        <v>0</v>
      </c>
      <c r="AS6" s="145">
        <v>0</v>
      </c>
      <c r="AT6" s="145">
        <v>0</v>
      </c>
      <c r="AU6" s="145">
        <v>0</v>
      </c>
      <c r="AV6" s="145">
        <v>0</v>
      </c>
      <c r="AW6" s="145">
        <v>0</v>
      </c>
      <c r="AX6" s="145">
        <v>0</v>
      </c>
      <c r="AY6" s="145">
        <v>0</v>
      </c>
      <c r="AZ6" s="145">
        <v>0</v>
      </c>
      <c r="BA6" s="145">
        <v>0</v>
      </c>
    </row>
    <row r="7" spans="1:53" customFormat="1" x14ac:dyDescent="0.15">
      <c r="A7" s="182" t="s">
        <v>197</v>
      </c>
      <c r="B7" s="145">
        <v>0</v>
      </c>
      <c r="C7" s="145">
        <v>2.5226008790846477E-4</v>
      </c>
      <c r="D7" s="145">
        <v>0</v>
      </c>
      <c r="E7" s="145">
        <v>0</v>
      </c>
      <c r="F7" s="145">
        <v>0</v>
      </c>
      <c r="G7" s="145">
        <v>1.1985182316909997E-2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0</v>
      </c>
      <c r="O7" s="145">
        <v>4.7661670925113033E-3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1.0030287975306394E-2</v>
      </c>
      <c r="V7" s="145">
        <v>0</v>
      </c>
      <c r="W7" s="145">
        <v>4.0017458434888353E-3</v>
      </c>
      <c r="X7" s="145">
        <v>3.6153160144612638E-2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0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  <c r="AP7" s="145">
        <v>0</v>
      </c>
      <c r="AQ7" s="145">
        <v>0</v>
      </c>
      <c r="AR7" s="145">
        <v>0</v>
      </c>
      <c r="AS7" s="145">
        <v>0</v>
      </c>
      <c r="AT7" s="145">
        <v>0</v>
      </c>
      <c r="AU7" s="145">
        <v>0</v>
      </c>
      <c r="AV7" s="145">
        <v>0</v>
      </c>
      <c r="AW7" s="145">
        <v>0</v>
      </c>
      <c r="AX7" s="145">
        <v>0</v>
      </c>
      <c r="AY7" s="145">
        <v>0</v>
      </c>
      <c r="AZ7" s="145">
        <v>0</v>
      </c>
      <c r="BA7" s="145">
        <v>0</v>
      </c>
    </row>
    <row r="8" spans="1:53" customFormat="1" x14ac:dyDescent="0.15">
      <c r="A8" s="182" t="s">
        <v>198</v>
      </c>
      <c r="B8" s="145">
        <v>4.8095242885714568E-2</v>
      </c>
      <c r="C8" s="145">
        <v>0</v>
      </c>
      <c r="D8" s="145">
        <v>0</v>
      </c>
      <c r="E8" s="145">
        <v>0</v>
      </c>
      <c r="F8" s="145">
        <v>0</v>
      </c>
      <c r="G8" s="145">
        <v>4.9978825800733248E-3</v>
      </c>
      <c r="H8" s="145">
        <v>0</v>
      </c>
      <c r="I8" s="145">
        <v>0</v>
      </c>
      <c r="J8" s="145">
        <v>0</v>
      </c>
      <c r="K8" s="145">
        <v>0</v>
      </c>
      <c r="L8" s="145">
        <v>0</v>
      </c>
      <c r="M8" s="145">
        <v>0</v>
      </c>
      <c r="N8" s="145">
        <v>0</v>
      </c>
      <c r="O8" s="145">
        <v>0</v>
      </c>
      <c r="P8" s="145">
        <v>0</v>
      </c>
      <c r="Q8" s="145">
        <v>0</v>
      </c>
      <c r="R8" s="145">
        <v>0</v>
      </c>
      <c r="S8" s="145">
        <v>0</v>
      </c>
      <c r="T8" s="145">
        <v>0</v>
      </c>
      <c r="U8" s="145">
        <v>4.0792574729788367E-2</v>
      </c>
      <c r="V8" s="145">
        <v>0</v>
      </c>
      <c r="W8" s="145">
        <v>2.000872421540568E-3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1.4998801194933032E-2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  <c r="AP8" s="145">
        <v>0</v>
      </c>
      <c r="AQ8" s="145">
        <v>0</v>
      </c>
      <c r="AR8" s="145">
        <v>0</v>
      </c>
      <c r="AS8" s="145">
        <v>0</v>
      </c>
      <c r="AT8" s="145">
        <v>0</v>
      </c>
      <c r="AU8" s="145">
        <v>0</v>
      </c>
      <c r="AV8" s="145">
        <v>0</v>
      </c>
      <c r="AW8" s="145">
        <v>0</v>
      </c>
      <c r="AX8" s="145">
        <v>0</v>
      </c>
      <c r="AY8" s="145">
        <v>0</v>
      </c>
      <c r="AZ8" s="145">
        <v>0</v>
      </c>
      <c r="BA8" s="145">
        <v>0</v>
      </c>
    </row>
    <row r="9" spans="1:53" customFormat="1" x14ac:dyDescent="0.15">
      <c r="A9" s="182" t="s">
        <v>199</v>
      </c>
      <c r="B9" s="145">
        <v>4.0000002400000144E-2</v>
      </c>
      <c r="C9" s="145">
        <v>6.5358295503556776E-3</v>
      </c>
      <c r="D9" s="145">
        <v>0</v>
      </c>
      <c r="E9" s="145">
        <v>0</v>
      </c>
      <c r="F9" s="145">
        <v>0</v>
      </c>
      <c r="G9" s="145">
        <v>0.17992377288263969</v>
      </c>
      <c r="H9" s="145">
        <v>2.999221801300055E-2</v>
      </c>
      <c r="I9" s="145">
        <v>0</v>
      </c>
      <c r="J9" s="145">
        <v>0</v>
      </c>
      <c r="K9" s="145">
        <v>1.0006733918967365E-3</v>
      </c>
      <c r="L9" s="145">
        <v>2.3994729028311873E-2</v>
      </c>
      <c r="M9" s="145">
        <v>0</v>
      </c>
      <c r="N9" s="145">
        <v>0</v>
      </c>
      <c r="O9" s="145">
        <v>4.0760050791152587E-2</v>
      </c>
      <c r="P9" s="145">
        <v>0</v>
      </c>
      <c r="Q9" s="145">
        <v>0</v>
      </c>
      <c r="R9" s="145">
        <v>0</v>
      </c>
      <c r="S9" s="145">
        <v>0</v>
      </c>
      <c r="T9" s="145">
        <v>0</v>
      </c>
      <c r="U9" s="145">
        <v>8.9937855469244903E-4</v>
      </c>
      <c r="V9" s="145">
        <v>7.779521464835297E-2</v>
      </c>
      <c r="W9" s="145">
        <v>2.4010475060933012E-2</v>
      </c>
      <c r="X9" s="145">
        <v>1.8575250074301001E-2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  <c r="AD9" s="145">
        <v>0</v>
      </c>
      <c r="AE9" s="145">
        <v>0</v>
      </c>
      <c r="AF9" s="145">
        <v>4.9996003983110111E-2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  <c r="AP9" s="145">
        <v>0</v>
      </c>
      <c r="AQ9" s="145">
        <v>0</v>
      </c>
      <c r="AR9" s="145">
        <v>0</v>
      </c>
      <c r="AS9" s="145">
        <v>0</v>
      </c>
      <c r="AT9" s="145">
        <v>0</v>
      </c>
      <c r="AU9" s="145">
        <v>0</v>
      </c>
      <c r="AV9" s="145">
        <v>0</v>
      </c>
      <c r="AW9" s="145">
        <v>0</v>
      </c>
      <c r="AX9" s="145">
        <v>0</v>
      </c>
      <c r="AY9" s="145">
        <v>0</v>
      </c>
      <c r="AZ9" s="145">
        <v>0</v>
      </c>
      <c r="BA9" s="145">
        <v>0</v>
      </c>
    </row>
    <row r="10" spans="1:53" customFormat="1" x14ac:dyDescent="0.15">
      <c r="A10" s="182" t="s">
        <v>200</v>
      </c>
      <c r="B10" s="145">
        <v>0.12000000720000042</v>
      </c>
      <c r="C10" s="145">
        <v>0.17993985926980607</v>
      </c>
      <c r="D10" s="145">
        <v>0.15386180446199232</v>
      </c>
      <c r="E10" s="145">
        <v>8.3338891203543056E-2</v>
      </c>
      <c r="F10" s="145">
        <v>0</v>
      </c>
      <c r="G10" s="145">
        <v>0.48979249284718585</v>
      </c>
      <c r="H10" s="145">
        <v>8.8976908771643631E-2</v>
      </c>
      <c r="I10" s="145">
        <v>0</v>
      </c>
      <c r="J10" s="145">
        <v>0</v>
      </c>
      <c r="K10" s="145">
        <v>1.000212294029189E-2</v>
      </c>
      <c r="L10" s="145">
        <v>0.15200575866216404</v>
      </c>
      <c r="M10" s="145">
        <v>1.9995063394242556E-2</v>
      </c>
      <c r="N10" s="145">
        <v>0</v>
      </c>
      <c r="O10" s="145">
        <v>7.0759441373440771E-2</v>
      </c>
      <c r="P10" s="145">
        <v>1.2507891660780479E-2</v>
      </c>
      <c r="Q10" s="145">
        <v>0</v>
      </c>
      <c r="R10" s="145">
        <v>4.9962262868770051E-3</v>
      </c>
      <c r="S10" s="145">
        <v>0</v>
      </c>
      <c r="T10" s="145">
        <v>0</v>
      </c>
      <c r="U10" s="145">
        <v>8.9937855469244903E-4</v>
      </c>
      <c r="V10" s="145">
        <v>9.0014646352546704E-2</v>
      </c>
      <c r="W10" s="145">
        <v>4.2118374627567103E-2</v>
      </c>
      <c r="X10" s="145">
        <v>1.8575250074301001E-2</v>
      </c>
      <c r="Y10" s="145">
        <v>3.8222220764444419E-2</v>
      </c>
      <c r="Z10" s="145">
        <v>1.3876460147090477E-2</v>
      </c>
      <c r="AA10" s="145">
        <v>0</v>
      </c>
      <c r="AB10" s="145">
        <v>0</v>
      </c>
      <c r="AC10" s="145">
        <v>0</v>
      </c>
      <c r="AD10" s="145">
        <v>0</v>
      </c>
      <c r="AE10" s="145">
        <v>0.01</v>
      </c>
      <c r="AF10" s="145">
        <v>0.15698742051195483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  <c r="AO10" s="145">
        <v>0</v>
      </c>
      <c r="AP10" s="145">
        <v>0</v>
      </c>
      <c r="AQ10" s="145">
        <v>0</v>
      </c>
      <c r="AR10" s="145">
        <v>0</v>
      </c>
      <c r="AS10" s="145">
        <v>0</v>
      </c>
      <c r="AT10" s="145">
        <v>0</v>
      </c>
      <c r="AU10" s="145">
        <v>0</v>
      </c>
      <c r="AV10" s="145">
        <v>0</v>
      </c>
      <c r="AW10" s="145">
        <v>0</v>
      </c>
      <c r="AX10" s="145">
        <v>0</v>
      </c>
      <c r="AY10" s="145">
        <v>0</v>
      </c>
      <c r="AZ10" s="145">
        <v>0</v>
      </c>
      <c r="BA10" s="145">
        <v>0</v>
      </c>
    </row>
    <row r="11" spans="1:53" customFormat="1" x14ac:dyDescent="0.15">
      <c r="A11" s="182" t="s">
        <v>201</v>
      </c>
      <c r="B11" s="145">
        <v>0</v>
      </c>
      <c r="C11" s="145">
        <v>0</v>
      </c>
      <c r="D11" s="145">
        <v>0</v>
      </c>
      <c r="E11" s="145">
        <v>0</v>
      </c>
      <c r="F11" s="145">
        <v>0</v>
      </c>
      <c r="G11" s="145">
        <v>6.9970356121026547E-2</v>
      </c>
      <c r="H11" s="145">
        <v>1.982703606710472E-2</v>
      </c>
      <c r="I11" s="145">
        <v>0</v>
      </c>
      <c r="J11" s="145">
        <v>0</v>
      </c>
      <c r="K11" s="145">
        <v>2.1046967197109207E-3</v>
      </c>
      <c r="L11" s="145">
        <v>4.5001704867088037E-2</v>
      </c>
      <c r="M11" s="145">
        <v>9.9975366953997946E-3</v>
      </c>
      <c r="N11" s="145">
        <v>0</v>
      </c>
      <c r="O11" s="145">
        <v>1.0752470208705447E-2</v>
      </c>
      <c r="P11" s="145">
        <v>1.2507891660780479E-2</v>
      </c>
      <c r="Q11" s="145">
        <v>0</v>
      </c>
      <c r="R11" s="145">
        <v>0</v>
      </c>
      <c r="S11" s="145">
        <v>3.2767761386493101E-2</v>
      </c>
      <c r="T11" s="145">
        <v>0</v>
      </c>
      <c r="U11" s="145">
        <v>3.2958534979330677E-2</v>
      </c>
      <c r="V11" s="145">
        <v>0.10501707241510687</v>
      </c>
      <c r="W11" s="145">
        <v>3.0013091325147012E-3</v>
      </c>
      <c r="X11" s="145">
        <v>1.101708004406832E-2</v>
      </c>
      <c r="Y11" s="145">
        <v>3.8222220764444419E-2</v>
      </c>
      <c r="Z11" s="145">
        <v>0</v>
      </c>
      <c r="AA11" s="145">
        <v>0</v>
      </c>
      <c r="AB11" s="145">
        <v>1.3390390775303627E-2</v>
      </c>
      <c r="AC11" s="145">
        <v>0</v>
      </c>
      <c r="AD11" s="145">
        <v>0</v>
      </c>
      <c r="AE11" s="145">
        <v>0.01</v>
      </c>
      <c r="AF11" s="145">
        <v>8.6003589219522961E-2</v>
      </c>
      <c r="AG11" s="145">
        <v>0</v>
      </c>
      <c r="AH11" s="145">
        <v>0</v>
      </c>
      <c r="AI11" s="145">
        <v>0</v>
      </c>
      <c r="AJ11" s="145">
        <v>0</v>
      </c>
      <c r="AK11" s="145">
        <v>0</v>
      </c>
      <c r="AL11" s="145">
        <v>0</v>
      </c>
      <c r="AM11" s="145">
        <v>0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5">
        <v>0</v>
      </c>
      <c r="AT11" s="145">
        <v>0</v>
      </c>
      <c r="AU11" s="145">
        <v>0</v>
      </c>
      <c r="AV11" s="145">
        <v>0</v>
      </c>
      <c r="AW11" s="145">
        <v>0</v>
      </c>
      <c r="AX11" s="145">
        <v>0</v>
      </c>
      <c r="AY11" s="145">
        <v>0</v>
      </c>
      <c r="AZ11" s="145">
        <v>0</v>
      </c>
      <c r="BA11" s="145">
        <v>0</v>
      </c>
    </row>
    <row r="12" spans="1:53" customFormat="1" x14ac:dyDescent="0.15">
      <c r="A12" s="182" t="s">
        <v>202</v>
      </c>
      <c r="B12" s="145">
        <v>0</v>
      </c>
      <c r="C12" s="145">
        <v>0</v>
      </c>
      <c r="D12" s="145">
        <v>0</v>
      </c>
      <c r="E12" s="145">
        <v>0</v>
      </c>
      <c r="F12" s="145">
        <v>0</v>
      </c>
      <c r="G12" s="145">
        <v>0</v>
      </c>
      <c r="H12" s="145">
        <v>0</v>
      </c>
      <c r="I12" s="145">
        <v>0</v>
      </c>
      <c r="J12" s="145">
        <v>0</v>
      </c>
      <c r="K12" s="145">
        <v>0</v>
      </c>
      <c r="L12" s="145">
        <v>1.7855526447691709E-3</v>
      </c>
      <c r="M12" s="145">
        <v>0</v>
      </c>
      <c r="N12" s="145">
        <v>0</v>
      </c>
      <c r="O12" s="145">
        <v>0</v>
      </c>
      <c r="P12" s="145">
        <v>0</v>
      </c>
      <c r="Q12" s="145">
        <v>0</v>
      </c>
      <c r="R12" s="145">
        <v>0</v>
      </c>
      <c r="S12" s="145">
        <v>0</v>
      </c>
      <c r="T12" s="145">
        <v>0</v>
      </c>
      <c r="U12" s="145"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0</v>
      </c>
      <c r="AJ12" s="145">
        <v>0</v>
      </c>
      <c r="AK12" s="145">
        <v>0</v>
      </c>
      <c r="AL12" s="145">
        <v>0</v>
      </c>
      <c r="AM12" s="145">
        <v>0</v>
      </c>
      <c r="AN12" s="145">
        <v>0</v>
      </c>
      <c r="AO12" s="145">
        <v>0</v>
      </c>
      <c r="AP12" s="145">
        <v>0</v>
      </c>
      <c r="AQ12" s="145">
        <v>0</v>
      </c>
      <c r="AR12" s="145">
        <v>0</v>
      </c>
      <c r="AS12" s="145">
        <v>0</v>
      </c>
      <c r="AT12" s="145">
        <v>0</v>
      </c>
      <c r="AU12" s="145">
        <v>0</v>
      </c>
      <c r="AV12" s="145">
        <v>0</v>
      </c>
      <c r="AW12" s="145">
        <v>0</v>
      </c>
      <c r="AX12" s="145">
        <v>0</v>
      </c>
      <c r="AY12" s="145">
        <v>0</v>
      </c>
      <c r="AZ12" s="145">
        <v>0</v>
      </c>
      <c r="BA12" s="145">
        <v>0</v>
      </c>
    </row>
    <row r="13" spans="1:53" customFormat="1" x14ac:dyDescent="0.15">
      <c r="A13" s="182" t="s">
        <v>203</v>
      </c>
      <c r="B13" s="145">
        <v>4.8095242885714568E-2</v>
      </c>
      <c r="C13" s="145">
        <v>3.4988305969128962E-2</v>
      </c>
      <c r="D13" s="145">
        <v>0.15002100435060911</v>
      </c>
      <c r="E13" s="145">
        <v>8.3338891203543056E-2</v>
      </c>
      <c r="F13" s="145">
        <v>0</v>
      </c>
      <c r="G13" s="145">
        <v>1.1985182316909997E-3</v>
      </c>
      <c r="H13" s="145">
        <v>1.7109625844754556E-3</v>
      </c>
      <c r="I13" s="145">
        <v>0</v>
      </c>
      <c r="J13" s="145">
        <v>0</v>
      </c>
      <c r="K13" s="145">
        <v>0</v>
      </c>
      <c r="L13" s="145">
        <v>1.5000568289029346E-2</v>
      </c>
      <c r="M13" s="145">
        <v>8.2514040901848582E-3</v>
      </c>
      <c r="N13" s="145">
        <v>0</v>
      </c>
      <c r="O13" s="145">
        <v>3.8247540742384761E-2</v>
      </c>
      <c r="P13" s="145">
        <v>0</v>
      </c>
      <c r="Q13" s="145">
        <v>2.0010260845189087E-3</v>
      </c>
      <c r="R13" s="145">
        <v>0</v>
      </c>
      <c r="S13" s="145">
        <v>9.9972340320819281E-3</v>
      </c>
      <c r="T13" s="145">
        <v>0</v>
      </c>
      <c r="U13" s="145">
        <v>2.0198530914449762E-2</v>
      </c>
      <c r="V13" s="145">
        <v>3.8336529588140853E-3</v>
      </c>
      <c r="W13" s="145">
        <v>2.000872421540568E-3</v>
      </c>
      <c r="X13" s="145">
        <v>3.0744170122976682E-2</v>
      </c>
      <c r="Y13" s="145">
        <v>0</v>
      </c>
      <c r="Z13" s="145">
        <v>6.9382310735452493E-3</v>
      </c>
      <c r="AA13" s="145">
        <v>0</v>
      </c>
      <c r="AB13" s="145">
        <v>1.5622130904521379E-2</v>
      </c>
      <c r="AC13" s="145">
        <v>9.4623129529134379E-3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0</v>
      </c>
      <c r="AJ13" s="145">
        <v>0</v>
      </c>
      <c r="AK13" s="145">
        <v>0</v>
      </c>
      <c r="AL13" s="145">
        <v>0</v>
      </c>
      <c r="AM13" s="145">
        <v>0</v>
      </c>
      <c r="AN13" s="145">
        <v>0</v>
      </c>
      <c r="AO13" s="145">
        <v>0</v>
      </c>
      <c r="AP13" s="145">
        <v>0</v>
      </c>
      <c r="AQ13" s="145">
        <v>0</v>
      </c>
      <c r="AR13" s="145">
        <v>0</v>
      </c>
      <c r="AS13" s="145">
        <v>0</v>
      </c>
      <c r="AT13" s="145">
        <v>0</v>
      </c>
      <c r="AU13" s="145">
        <v>0</v>
      </c>
      <c r="AV13" s="145">
        <v>0</v>
      </c>
      <c r="AW13" s="145">
        <v>0</v>
      </c>
      <c r="AX13" s="145">
        <v>0</v>
      </c>
      <c r="AY13" s="145">
        <v>0</v>
      </c>
      <c r="AZ13" s="145">
        <v>0</v>
      </c>
      <c r="BA13" s="145">
        <v>0</v>
      </c>
    </row>
    <row r="14" spans="1:53" customFormat="1" x14ac:dyDescent="0.15">
      <c r="A14" s="182" t="s">
        <v>204</v>
      </c>
      <c r="B14" s="145">
        <v>4.8095242885714568E-2</v>
      </c>
      <c r="C14" s="145">
        <v>3.3988640084296709E-2</v>
      </c>
      <c r="D14" s="145">
        <v>2.8502900826584125E-2</v>
      </c>
      <c r="E14" s="145">
        <v>0</v>
      </c>
      <c r="F14" s="145">
        <v>0</v>
      </c>
      <c r="G14" s="145">
        <v>2.9987295480439949E-2</v>
      </c>
      <c r="H14" s="145">
        <v>1.0000552844962065E-2</v>
      </c>
      <c r="I14" s="145">
        <v>0</v>
      </c>
      <c r="J14" s="145">
        <v>0</v>
      </c>
      <c r="K14" s="145">
        <v>1.000212294029189E-2</v>
      </c>
      <c r="L14" s="145">
        <v>5.0001894296764493E-2</v>
      </c>
      <c r="M14" s="145">
        <v>6.0984955848136083E-2</v>
      </c>
      <c r="N14" s="145">
        <v>0</v>
      </c>
      <c r="O14" s="145">
        <v>2.0699580401778855E-2</v>
      </c>
      <c r="P14" s="145">
        <v>1.2507891660780479E-2</v>
      </c>
      <c r="Q14" s="145">
        <v>4.7024099483460875E-2</v>
      </c>
      <c r="R14" s="145">
        <v>9.9924535734925387E-4</v>
      </c>
      <c r="S14" s="145">
        <v>6.9980636224697912E-2</v>
      </c>
      <c r="T14" s="145">
        <v>0</v>
      </c>
      <c r="U14" s="145">
        <v>1.7362993346525305E-3</v>
      </c>
      <c r="V14" s="145">
        <v>1.4497834004308648E-2</v>
      </c>
      <c r="W14" s="145">
        <v>4.3835844553238315E-2</v>
      </c>
      <c r="X14" s="145">
        <v>0.1325457005301828</v>
      </c>
      <c r="Y14" s="145">
        <v>3.8222220764444419E-2</v>
      </c>
      <c r="Z14" s="145">
        <v>1.2596120133518874E-2</v>
      </c>
      <c r="AA14" s="145">
        <v>0</v>
      </c>
      <c r="AB14" s="145">
        <v>1.7796731030430727E-2</v>
      </c>
      <c r="AC14" s="145">
        <v>9.4623129529134379E-3</v>
      </c>
      <c r="AD14" s="145">
        <v>1.0004385494739552E-3</v>
      </c>
      <c r="AE14" s="145">
        <v>0</v>
      </c>
      <c r="AF14" s="145">
        <v>1.6997349555691207E-2</v>
      </c>
      <c r="AG14" s="145">
        <v>0</v>
      </c>
      <c r="AH14" s="145">
        <v>0</v>
      </c>
      <c r="AI14" s="145">
        <v>0</v>
      </c>
      <c r="AJ14" s="145">
        <v>0</v>
      </c>
      <c r="AK14" s="145">
        <v>0</v>
      </c>
      <c r="AL14" s="145">
        <v>0</v>
      </c>
      <c r="AM14" s="145">
        <v>0</v>
      </c>
      <c r="AN14" s="145">
        <v>0</v>
      </c>
      <c r="AO14" s="145">
        <v>0</v>
      </c>
      <c r="AP14" s="145">
        <v>0</v>
      </c>
      <c r="AQ14" s="145">
        <v>0</v>
      </c>
      <c r="AR14" s="145">
        <v>0</v>
      </c>
      <c r="AS14" s="145">
        <v>0</v>
      </c>
      <c r="AT14" s="145">
        <v>0</v>
      </c>
      <c r="AU14" s="145">
        <v>0</v>
      </c>
      <c r="AV14" s="145">
        <v>0</v>
      </c>
      <c r="AW14" s="145">
        <v>0</v>
      </c>
      <c r="AX14" s="145">
        <v>0</v>
      </c>
      <c r="AY14" s="145">
        <v>0</v>
      </c>
      <c r="AZ14" s="145">
        <v>0</v>
      </c>
      <c r="BA14" s="145">
        <v>0</v>
      </c>
    </row>
    <row r="15" spans="1:53" customFormat="1" x14ac:dyDescent="0.15">
      <c r="A15" s="182" t="s">
        <v>205</v>
      </c>
      <c r="B15" s="145">
        <v>0</v>
      </c>
      <c r="C15" s="145">
        <v>4.99832942416128E-3</v>
      </c>
      <c r="D15" s="145">
        <v>3.8465451115498081E-2</v>
      </c>
      <c r="E15" s="145">
        <v>0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0</v>
      </c>
      <c r="L15" s="145">
        <v>9.9978027617587278E-4</v>
      </c>
      <c r="M15" s="145">
        <v>0</v>
      </c>
      <c r="N15" s="145">
        <v>0</v>
      </c>
      <c r="O15" s="145">
        <v>1.4254860276686838E-2</v>
      </c>
      <c r="P15" s="145">
        <v>0</v>
      </c>
      <c r="Q15" s="145">
        <v>0</v>
      </c>
      <c r="R15" s="145">
        <v>0</v>
      </c>
      <c r="S15" s="145">
        <v>3.9988942127954456E-3</v>
      </c>
      <c r="T15" s="145">
        <v>0</v>
      </c>
      <c r="U15" s="145">
        <v>1.7362993346525305E-3</v>
      </c>
      <c r="V15" s="145">
        <v>1.421870477886916E-3</v>
      </c>
      <c r="W15" s="145">
        <v>0</v>
      </c>
      <c r="X15" s="145">
        <v>0</v>
      </c>
      <c r="Y15" s="145">
        <v>0</v>
      </c>
      <c r="Z15" s="145">
        <v>0</v>
      </c>
      <c r="AA15" s="145">
        <v>0</v>
      </c>
      <c r="AB15" s="145">
        <v>0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0</v>
      </c>
      <c r="AI15" s="145">
        <v>0</v>
      </c>
      <c r="AJ15" s="145">
        <v>0</v>
      </c>
      <c r="AK15" s="145">
        <v>0</v>
      </c>
      <c r="AL15" s="145">
        <v>0</v>
      </c>
      <c r="AM15" s="145">
        <v>0</v>
      </c>
      <c r="AN15" s="145">
        <v>0</v>
      </c>
      <c r="AO15" s="145">
        <v>0</v>
      </c>
      <c r="AP15" s="145">
        <v>0</v>
      </c>
      <c r="AQ15" s="145">
        <v>0</v>
      </c>
      <c r="AR15" s="145">
        <v>0</v>
      </c>
      <c r="AS15" s="145">
        <v>0</v>
      </c>
      <c r="AT15" s="145">
        <v>0</v>
      </c>
      <c r="AU15" s="145">
        <v>0</v>
      </c>
      <c r="AV15" s="145">
        <v>0</v>
      </c>
      <c r="AW15" s="145">
        <v>0</v>
      </c>
      <c r="AX15" s="145">
        <v>0</v>
      </c>
      <c r="AY15" s="145">
        <v>0</v>
      </c>
      <c r="AZ15" s="145">
        <v>0</v>
      </c>
      <c r="BA15" s="145">
        <v>0</v>
      </c>
    </row>
    <row r="16" spans="1:53" customFormat="1" x14ac:dyDescent="0.15">
      <c r="A16" s="182" t="s">
        <v>206</v>
      </c>
      <c r="B16" s="145">
        <v>0</v>
      </c>
      <c r="C16" s="145">
        <v>1.9991678244593997E-3</v>
      </c>
      <c r="D16" s="145">
        <v>1.0001400290040609E-3</v>
      </c>
      <c r="E16" s="145">
        <v>8.3338891203543056E-2</v>
      </c>
      <c r="F16" s="145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5">
        <v>3.000113657805869E-4</v>
      </c>
      <c r="M16" s="145">
        <v>0</v>
      </c>
      <c r="N16" s="145">
        <v>0</v>
      </c>
      <c r="O16" s="145">
        <v>0</v>
      </c>
      <c r="P16" s="145">
        <v>0</v>
      </c>
      <c r="Q16" s="145">
        <v>0</v>
      </c>
      <c r="R16" s="145">
        <v>9.9924535734925387E-4</v>
      </c>
      <c r="S16" s="145">
        <v>0</v>
      </c>
      <c r="T16" s="145">
        <v>0</v>
      </c>
      <c r="U16" s="145">
        <v>0</v>
      </c>
      <c r="V16" s="145">
        <v>0</v>
      </c>
      <c r="W16" s="145">
        <v>0</v>
      </c>
      <c r="X16" s="145">
        <v>0</v>
      </c>
      <c r="Y16" s="145">
        <v>3.8222220764444419E-2</v>
      </c>
      <c r="Z16" s="145">
        <v>0</v>
      </c>
      <c r="AA16" s="145">
        <v>0</v>
      </c>
      <c r="AB16" s="145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5">
        <v>0</v>
      </c>
      <c r="AI16" s="145">
        <v>0</v>
      </c>
      <c r="AJ16" s="145">
        <v>0</v>
      </c>
      <c r="AK16" s="145">
        <v>0</v>
      </c>
      <c r="AL16" s="145">
        <v>0</v>
      </c>
      <c r="AM16" s="145">
        <v>0</v>
      </c>
      <c r="AN16" s="145">
        <v>0</v>
      </c>
      <c r="AO16" s="145">
        <v>0</v>
      </c>
      <c r="AP16" s="145">
        <v>0</v>
      </c>
      <c r="AQ16" s="145">
        <v>0</v>
      </c>
      <c r="AR16" s="145">
        <v>0</v>
      </c>
      <c r="AS16" s="145">
        <v>0</v>
      </c>
      <c r="AT16" s="145">
        <v>0</v>
      </c>
      <c r="AU16" s="145">
        <v>0</v>
      </c>
      <c r="AV16" s="145">
        <v>0</v>
      </c>
      <c r="AW16" s="145">
        <v>0</v>
      </c>
      <c r="AX16" s="145">
        <v>0</v>
      </c>
      <c r="AY16" s="145">
        <v>0</v>
      </c>
      <c r="AZ16" s="145">
        <v>0</v>
      </c>
      <c r="BA16" s="145">
        <v>0</v>
      </c>
    </row>
    <row r="17" spans="1:53" customFormat="1" x14ac:dyDescent="0.15">
      <c r="A17" s="182" t="s">
        <v>207</v>
      </c>
      <c r="B17" s="145">
        <v>0</v>
      </c>
      <c r="C17" s="145">
        <v>0</v>
      </c>
      <c r="D17" s="145">
        <v>0.16702340484367872</v>
      </c>
      <c r="E17" s="145">
        <v>0</v>
      </c>
      <c r="F17" s="145">
        <v>0</v>
      </c>
      <c r="G17" s="145">
        <v>4.7940719271874826E-3</v>
      </c>
      <c r="H17" s="145">
        <v>0</v>
      </c>
      <c r="I17" s="145">
        <v>0</v>
      </c>
      <c r="J17" s="145">
        <v>0</v>
      </c>
      <c r="K17" s="145">
        <v>0</v>
      </c>
      <c r="L17" s="145">
        <v>2.9993406285200416E-2</v>
      </c>
      <c r="M17" s="145">
        <v>0</v>
      </c>
      <c r="N17" s="145">
        <v>0</v>
      </c>
      <c r="O17" s="145">
        <v>1.0752470208705447E-2</v>
      </c>
      <c r="P17" s="145">
        <v>0</v>
      </c>
      <c r="Q17" s="145">
        <v>0</v>
      </c>
      <c r="R17" s="145">
        <v>0</v>
      </c>
      <c r="S17" s="145">
        <v>9.997235032019719E-2</v>
      </c>
      <c r="T17" s="145">
        <v>0</v>
      </c>
      <c r="U17" s="145">
        <v>3.5758708711375216E-2</v>
      </c>
      <c r="V17" s="145">
        <v>2.0003248080033651E-2</v>
      </c>
      <c r="W17" s="145">
        <v>5.0021815540552692E-3</v>
      </c>
      <c r="X17" s="145">
        <v>1.3801290055205161E-2</v>
      </c>
      <c r="Y17" s="145">
        <v>0</v>
      </c>
      <c r="Z17" s="145">
        <v>0</v>
      </c>
      <c r="AA17" s="145">
        <v>0</v>
      </c>
      <c r="AB17" s="145">
        <v>7.8110634522605736E-3</v>
      </c>
      <c r="AC17" s="145">
        <v>0</v>
      </c>
      <c r="AD17" s="145">
        <v>0</v>
      </c>
      <c r="AE17" s="145">
        <v>0</v>
      </c>
      <c r="AF17" s="145">
        <v>0</v>
      </c>
      <c r="AG17" s="145">
        <v>0</v>
      </c>
      <c r="AH17" s="145">
        <v>0</v>
      </c>
      <c r="AI17" s="145">
        <v>0</v>
      </c>
      <c r="AJ17" s="145">
        <v>0</v>
      </c>
      <c r="AK17" s="145">
        <v>0</v>
      </c>
      <c r="AL17" s="145">
        <v>0</v>
      </c>
      <c r="AM17" s="145">
        <v>0</v>
      </c>
      <c r="AN17" s="145">
        <v>0</v>
      </c>
      <c r="AO17" s="145">
        <v>0</v>
      </c>
      <c r="AP17" s="145">
        <v>0</v>
      </c>
      <c r="AQ17" s="145">
        <v>0</v>
      </c>
      <c r="AR17" s="145">
        <v>0</v>
      </c>
      <c r="AS17" s="145">
        <v>0</v>
      </c>
      <c r="AT17" s="145">
        <v>0</v>
      </c>
      <c r="AU17" s="145">
        <v>0</v>
      </c>
      <c r="AV17" s="145">
        <v>0</v>
      </c>
      <c r="AW17" s="145">
        <v>0</v>
      </c>
      <c r="AX17" s="145">
        <v>0</v>
      </c>
      <c r="AY17" s="145">
        <v>0</v>
      </c>
      <c r="AZ17" s="145">
        <v>0</v>
      </c>
      <c r="BA17" s="145">
        <v>0</v>
      </c>
    </row>
    <row r="18" spans="1:53" customFormat="1" x14ac:dyDescent="0.15">
      <c r="A18" s="182" t="s">
        <v>208</v>
      </c>
      <c r="B18" s="145">
        <v>0</v>
      </c>
      <c r="C18" s="145">
        <v>1.9993317696645123E-3</v>
      </c>
      <c r="D18" s="145">
        <v>5.0007011450203332E-3</v>
      </c>
      <c r="E18" s="145">
        <v>8.3338891203543056E-2</v>
      </c>
      <c r="F18" s="145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6.000227315611738E-4</v>
      </c>
      <c r="M18" s="145">
        <v>9.9975366953997959E-4</v>
      </c>
      <c r="N18" s="145">
        <v>0</v>
      </c>
      <c r="O18" s="145">
        <v>0</v>
      </c>
      <c r="P18" s="145">
        <v>0</v>
      </c>
      <c r="Q18" s="145">
        <v>0</v>
      </c>
      <c r="R18" s="145">
        <v>0</v>
      </c>
      <c r="S18" s="145">
        <v>3.9988942127954457E-4</v>
      </c>
      <c r="T18" s="145">
        <v>0</v>
      </c>
      <c r="U18" s="145">
        <v>0</v>
      </c>
      <c r="V18" s="145">
        <v>0</v>
      </c>
      <c r="W18" s="145">
        <v>0</v>
      </c>
      <c r="X18" s="145">
        <v>0</v>
      </c>
      <c r="Y18" s="145">
        <v>3.8222220764444419E-2</v>
      </c>
      <c r="Z18" s="145">
        <v>1.9993840211934708E-4</v>
      </c>
      <c r="AA18" s="145">
        <v>0</v>
      </c>
      <c r="AB18" s="145">
        <v>0</v>
      </c>
      <c r="AC18" s="145">
        <v>0</v>
      </c>
      <c r="AD18" s="145">
        <v>0</v>
      </c>
      <c r="AE18" s="145">
        <v>0</v>
      </c>
      <c r="AF18" s="145">
        <v>0</v>
      </c>
      <c r="AG18" s="145">
        <v>0</v>
      </c>
      <c r="AH18" s="145">
        <v>0</v>
      </c>
      <c r="AI18" s="145">
        <v>0</v>
      </c>
      <c r="AJ18" s="145">
        <v>0</v>
      </c>
      <c r="AK18" s="145">
        <v>0</v>
      </c>
      <c r="AL18" s="145">
        <v>0</v>
      </c>
      <c r="AM18" s="145">
        <v>0</v>
      </c>
      <c r="AN18" s="145">
        <v>0</v>
      </c>
      <c r="AO18" s="145">
        <v>0</v>
      </c>
      <c r="AP18" s="145">
        <v>0</v>
      </c>
      <c r="AQ18" s="145">
        <v>0</v>
      </c>
      <c r="AR18" s="145">
        <v>0</v>
      </c>
      <c r="AS18" s="145">
        <v>0</v>
      </c>
      <c r="AT18" s="145">
        <v>0</v>
      </c>
      <c r="AU18" s="145">
        <v>0</v>
      </c>
      <c r="AV18" s="145">
        <v>0</v>
      </c>
      <c r="AW18" s="145">
        <v>0</v>
      </c>
      <c r="AX18" s="145">
        <v>0</v>
      </c>
      <c r="AY18" s="145">
        <v>0</v>
      </c>
      <c r="AZ18" s="145">
        <v>0</v>
      </c>
      <c r="BA18" s="145">
        <v>0</v>
      </c>
    </row>
    <row r="19" spans="1:53" customFormat="1" x14ac:dyDescent="0.15">
      <c r="A19" s="182" t="s">
        <v>209</v>
      </c>
      <c r="B19" s="145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5.000350802678191E-3</v>
      </c>
      <c r="N19" s="145">
        <v>0</v>
      </c>
      <c r="O19" s="145">
        <v>0</v>
      </c>
      <c r="P19" s="145">
        <v>0</v>
      </c>
      <c r="Q19" s="145">
        <v>0</v>
      </c>
      <c r="R19" s="145">
        <v>0</v>
      </c>
      <c r="S19" s="145">
        <v>0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</v>
      </c>
      <c r="AI19" s="145">
        <v>0</v>
      </c>
      <c r="AJ19" s="145">
        <v>0</v>
      </c>
      <c r="AK19" s="145">
        <v>0</v>
      </c>
      <c r="AL19" s="145">
        <v>0</v>
      </c>
      <c r="AM19" s="145">
        <v>0</v>
      </c>
      <c r="AN19" s="145">
        <v>0</v>
      </c>
      <c r="AO19" s="145">
        <v>0</v>
      </c>
      <c r="AP19" s="145">
        <v>0</v>
      </c>
      <c r="AQ19" s="145">
        <v>0</v>
      </c>
      <c r="AR19" s="145">
        <v>0</v>
      </c>
      <c r="AS19" s="145">
        <v>0</v>
      </c>
      <c r="AT19" s="145">
        <v>0</v>
      </c>
      <c r="AU19" s="145">
        <v>0</v>
      </c>
      <c r="AV19" s="145">
        <v>0</v>
      </c>
      <c r="AW19" s="145">
        <v>0</v>
      </c>
      <c r="AX19" s="145">
        <v>0</v>
      </c>
      <c r="AY19" s="145">
        <v>0</v>
      </c>
      <c r="AZ19" s="145">
        <v>0</v>
      </c>
      <c r="BA19" s="145">
        <v>0</v>
      </c>
    </row>
    <row r="20" spans="1:53" customFormat="1" x14ac:dyDescent="0.15">
      <c r="A20" s="182" t="s">
        <v>210</v>
      </c>
      <c r="B20" s="145">
        <v>0</v>
      </c>
      <c r="C20" s="145">
        <v>2.998997654496768E-4</v>
      </c>
      <c r="D20" s="145">
        <v>0</v>
      </c>
      <c r="E20" s="145">
        <v>8.3338891203543056E-2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1.0000705603979195E-4</v>
      </c>
      <c r="N20" s="145">
        <v>0</v>
      </c>
      <c r="O20" s="145">
        <v>0</v>
      </c>
      <c r="P20" s="145">
        <v>0</v>
      </c>
      <c r="Q20" s="145">
        <v>0</v>
      </c>
      <c r="R20" s="145">
        <v>0</v>
      </c>
      <c r="S20" s="145">
        <v>0</v>
      </c>
      <c r="T20" s="145">
        <v>0</v>
      </c>
      <c r="U20" s="145">
        <v>0</v>
      </c>
      <c r="V20" s="145">
        <v>0</v>
      </c>
      <c r="W20" s="145">
        <v>0</v>
      </c>
      <c r="X20" s="145">
        <v>0</v>
      </c>
      <c r="Y20" s="145">
        <v>3.8222220764444419E-2</v>
      </c>
      <c r="Z20" s="145">
        <v>0</v>
      </c>
      <c r="AA20" s="145">
        <v>0</v>
      </c>
      <c r="AB20" s="145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0</v>
      </c>
      <c r="AM20" s="145">
        <v>0</v>
      </c>
      <c r="AN20" s="145">
        <v>0</v>
      </c>
      <c r="AO20" s="145">
        <v>0</v>
      </c>
      <c r="AP20" s="145">
        <v>0</v>
      </c>
      <c r="AQ20" s="145">
        <v>0</v>
      </c>
      <c r="AR20" s="145">
        <v>0</v>
      </c>
      <c r="AS20" s="145">
        <v>0</v>
      </c>
      <c r="AT20" s="145">
        <v>0</v>
      </c>
      <c r="AU20" s="145">
        <v>0</v>
      </c>
      <c r="AV20" s="145">
        <v>0</v>
      </c>
      <c r="AW20" s="145">
        <v>0</v>
      </c>
      <c r="AX20" s="145">
        <v>0</v>
      </c>
      <c r="AY20" s="145">
        <v>0</v>
      </c>
      <c r="AZ20" s="145">
        <v>0</v>
      </c>
      <c r="BA20" s="145">
        <v>0</v>
      </c>
    </row>
    <row r="21" spans="1:53" customFormat="1" x14ac:dyDescent="0.15">
      <c r="A21" s="182" t="s">
        <v>211</v>
      </c>
      <c r="B21" s="145">
        <v>0</v>
      </c>
      <c r="C21" s="145">
        <v>0</v>
      </c>
      <c r="D21" s="145">
        <v>0</v>
      </c>
      <c r="E21" s="145">
        <v>0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0</v>
      </c>
      <c r="N21" s="145">
        <v>0</v>
      </c>
      <c r="O21" s="145">
        <v>0</v>
      </c>
      <c r="P21" s="145">
        <v>0</v>
      </c>
      <c r="Q21" s="145">
        <v>0</v>
      </c>
      <c r="R21" s="145">
        <v>0</v>
      </c>
      <c r="S21" s="145">
        <v>0</v>
      </c>
      <c r="T21" s="145">
        <v>0</v>
      </c>
      <c r="U21" s="145">
        <v>8.2939926410877871E-3</v>
      </c>
      <c r="V21" s="145">
        <v>2.0003248080033651E-2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0</v>
      </c>
      <c r="AK21" s="145">
        <v>0</v>
      </c>
      <c r="AL21" s="145">
        <v>0</v>
      </c>
      <c r="AM21" s="145">
        <v>0</v>
      </c>
      <c r="AN21" s="145">
        <v>0</v>
      </c>
      <c r="AO21" s="145">
        <v>0</v>
      </c>
      <c r="AP21" s="145">
        <v>0</v>
      </c>
      <c r="AQ21" s="145">
        <v>0</v>
      </c>
      <c r="AR21" s="145">
        <v>0</v>
      </c>
      <c r="AS21" s="145">
        <v>0</v>
      </c>
      <c r="AT21" s="145">
        <v>0</v>
      </c>
      <c r="AU21" s="145">
        <v>0</v>
      </c>
      <c r="AV21" s="145">
        <v>0</v>
      </c>
      <c r="AW21" s="145">
        <v>0</v>
      </c>
      <c r="AX21" s="145">
        <v>0</v>
      </c>
      <c r="AY21" s="145">
        <v>0</v>
      </c>
      <c r="AZ21" s="145">
        <v>0</v>
      </c>
      <c r="BA21" s="145">
        <v>0</v>
      </c>
    </row>
    <row r="22" spans="1:53" customFormat="1" x14ac:dyDescent="0.15">
      <c r="A22" s="182" t="s">
        <v>212</v>
      </c>
      <c r="B22" s="145">
        <v>0</v>
      </c>
      <c r="C22" s="145">
        <v>9.7126887587476856E-5</v>
      </c>
      <c r="D22" s="145">
        <v>0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0</v>
      </c>
      <c r="P22" s="145">
        <v>0</v>
      </c>
      <c r="Q22" s="145">
        <v>0</v>
      </c>
      <c r="R22" s="145">
        <v>0</v>
      </c>
      <c r="S22" s="145">
        <v>0</v>
      </c>
      <c r="T22" s="145">
        <v>0</v>
      </c>
      <c r="U22" s="145">
        <v>2.5002712019170009E-2</v>
      </c>
      <c r="V22" s="145">
        <v>0</v>
      </c>
      <c r="W22" s="145">
        <v>0</v>
      </c>
      <c r="X22" s="145">
        <v>0</v>
      </c>
      <c r="Y22" s="145">
        <v>0</v>
      </c>
      <c r="Z22" s="145">
        <v>0</v>
      </c>
      <c r="AA22" s="145">
        <v>0</v>
      </c>
      <c r="AB22" s="145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0</v>
      </c>
      <c r="AM22" s="145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5">
        <v>0</v>
      </c>
      <c r="AT22" s="145">
        <v>0</v>
      </c>
      <c r="AU22" s="145">
        <v>0</v>
      </c>
      <c r="AV22" s="145">
        <v>0</v>
      </c>
      <c r="AW22" s="145">
        <v>0</v>
      </c>
      <c r="AX22" s="145">
        <v>0</v>
      </c>
      <c r="AY22" s="145">
        <v>0</v>
      </c>
      <c r="AZ22" s="145">
        <v>0</v>
      </c>
      <c r="BA22" s="145">
        <v>0</v>
      </c>
    </row>
    <row r="23" spans="1:53" customFormat="1" x14ac:dyDescent="0.15">
      <c r="A23" s="182" t="s">
        <v>213</v>
      </c>
      <c r="B23" s="145">
        <v>4.8095242885714568E-2</v>
      </c>
      <c r="C23" s="145">
        <v>0</v>
      </c>
      <c r="D23" s="145">
        <v>7.6930902230996162E-2</v>
      </c>
      <c r="E23" s="145">
        <v>8.3338891203543056E-2</v>
      </c>
      <c r="F23" s="145">
        <v>0</v>
      </c>
      <c r="G23" s="145">
        <v>2.3970354638054832E-3</v>
      </c>
      <c r="H23" s="145">
        <v>0</v>
      </c>
      <c r="I23" s="145">
        <v>0</v>
      </c>
      <c r="J23" s="145">
        <v>0</v>
      </c>
      <c r="K23" s="145">
        <v>0</v>
      </c>
      <c r="L23" s="145">
        <v>1.0000378859352899E-2</v>
      </c>
      <c r="M23" s="145">
        <v>0</v>
      </c>
      <c r="N23" s="145">
        <v>0</v>
      </c>
      <c r="O23" s="145">
        <v>2.4171150469162031E-2</v>
      </c>
      <c r="P23" s="145">
        <v>0</v>
      </c>
      <c r="Q23" s="145">
        <v>0</v>
      </c>
      <c r="R23" s="145">
        <v>0</v>
      </c>
      <c r="S23" s="145">
        <v>3.9988932128576557E-2</v>
      </c>
      <c r="T23" s="145">
        <v>0</v>
      </c>
      <c r="U23" s="145">
        <v>5.5494379419841297E-2</v>
      </c>
      <c r="V23" s="145">
        <v>0.20003258077498745</v>
      </c>
      <c r="W23" s="145">
        <v>1.5006545662573508E-2</v>
      </c>
      <c r="X23" s="145">
        <v>2.2034160088136641E-2</v>
      </c>
      <c r="Y23" s="145">
        <v>0</v>
      </c>
      <c r="Z23" s="145">
        <v>0</v>
      </c>
      <c r="AA23" s="145">
        <v>0</v>
      </c>
      <c r="AB23" s="145">
        <v>2.6780791550607828E-2</v>
      </c>
      <c r="AC23" s="145">
        <v>0</v>
      </c>
      <c r="AD23" s="145">
        <v>0</v>
      </c>
      <c r="AE23" s="145">
        <v>0</v>
      </c>
      <c r="AF23" s="145">
        <v>4.9992204575562372E-3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S23" s="145">
        <v>0</v>
      </c>
      <c r="AT23" s="145">
        <v>0</v>
      </c>
      <c r="AU23" s="145">
        <v>0</v>
      </c>
      <c r="AV23" s="145">
        <v>0</v>
      </c>
      <c r="AW23" s="145">
        <v>0</v>
      </c>
      <c r="AX23" s="145">
        <v>0</v>
      </c>
      <c r="AY23" s="145">
        <v>0</v>
      </c>
      <c r="AZ23" s="145">
        <v>0</v>
      </c>
      <c r="BA23" s="145">
        <v>0</v>
      </c>
    </row>
    <row r="24" spans="1:53" customFormat="1" x14ac:dyDescent="0.15">
      <c r="A24" s="182" t="s">
        <v>214</v>
      </c>
      <c r="B24" s="145">
        <v>0</v>
      </c>
      <c r="C24" s="145">
        <v>0</v>
      </c>
      <c r="D24" s="145">
        <v>0</v>
      </c>
      <c r="E24" s="145">
        <v>0</v>
      </c>
      <c r="F24" s="145">
        <v>0</v>
      </c>
      <c r="G24" s="145">
        <v>0</v>
      </c>
      <c r="H24" s="145">
        <v>0</v>
      </c>
      <c r="I24" s="145">
        <v>0</v>
      </c>
      <c r="J24" s="145">
        <v>0</v>
      </c>
      <c r="K24" s="145">
        <v>0</v>
      </c>
      <c r="L24" s="145">
        <v>9.9978027617587278E-4</v>
      </c>
      <c r="M24" s="145">
        <v>1.9995063394242559E-3</v>
      </c>
      <c r="N24" s="145">
        <v>0</v>
      </c>
      <c r="O24" s="145">
        <v>9.612926186586898E-4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1.1958377113207094E-2</v>
      </c>
      <c r="V24" s="145">
        <v>1.421870477886916E-3</v>
      </c>
      <c r="W24" s="145">
        <v>0</v>
      </c>
      <c r="X24" s="145">
        <v>0</v>
      </c>
      <c r="Y24" s="145">
        <v>0</v>
      </c>
      <c r="Z24" s="145">
        <v>0</v>
      </c>
      <c r="AA24" s="145">
        <v>0</v>
      </c>
      <c r="AB24" s="145">
        <v>6.6951983876519872E-3</v>
      </c>
      <c r="AC24" s="145">
        <v>0</v>
      </c>
      <c r="AD24" s="145">
        <v>0</v>
      </c>
      <c r="AE24" s="145">
        <v>0</v>
      </c>
      <c r="AF24" s="145">
        <v>0</v>
      </c>
      <c r="AG24" s="145">
        <v>0</v>
      </c>
      <c r="AH24" s="145">
        <v>0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  <c r="AP24" s="145">
        <v>0</v>
      </c>
      <c r="AQ24" s="145">
        <v>0</v>
      </c>
      <c r="AR24" s="145">
        <v>0</v>
      </c>
      <c r="AS24" s="145">
        <v>0</v>
      </c>
      <c r="AT24" s="145">
        <v>0</v>
      </c>
      <c r="AU24" s="145">
        <v>0</v>
      </c>
      <c r="AV24" s="145">
        <v>0</v>
      </c>
      <c r="AW24" s="145">
        <v>0</v>
      </c>
      <c r="AX24" s="145">
        <v>0</v>
      </c>
      <c r="AY24" s="145">
        <v>0</v>
      </c>
      <c r="AZ24" s="145">
        <v>0</v>
      </c>
      <c r="BA24" s="145">
        <v>0</v>
      </c>
    </row>
    <row r="25" spans="1:53" customFormat="1" x14ac:dyDescent="0.15">
      <c r="A25" s="182" t="s">
        <v>215</v>
      </c>
      <c r="B25" s="145">
        <v>0</v>
      </c>
      <c r="C25" s="145">
        <v>4.9983294241612802E-6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1.0000378859352899E-5</v>
      </c>
      <c r="M25" s="145">
        <v>0</v>
      </c>
      <c r="N25" s="145">
        <v>0</v>
      </c>
      <c r="O25" s="145">
        <v>0</v>
      </c>
      <c r="P25" s="145">
        <v>0</v>
      </c>
      <c r="Q25" s="145">
        <v>0</v>
      </c>
      <c r="R25" s="145">
        <v>0</v>
      </c>
      <c r="S25" s="145">
        <v>0</v>
      </c>
      <c r="T25" s="145">
        <v>0</v>
      </c>
      <c r="U25" s="145">
        <v>0</v>
      </c>
      <c r="V25" s="145">
        <v>4.9987325472687492E-5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S25" s="145">
        <v>0</v>
      </c>
      <c r="AT25" s="145">
        <v>0</v>
      </c>
      <c r="AU25" s="145">
        <v>0</v>
      </c>
      <c r="AV25" s="145">
        <v>0</v>
      </c>
      <c r="AW25" s="145">
        <v>0</v>
      </c>
      <c r="AX25" s="145">
        <v>0</v>
      </c>
      <c r="AY25" s="145">
        <v>0</v>
      </c>
      <c r="AZ25" s="145">
        <v>0</v>
      </c>
      <c r="BA25" s="145">
        <v>0</v>
      </c>
    </row>
    <row r="26" spans="1:53" customFormat="1" x14ac:dyDescent="0.15">
      <c r="A26" s="182" t="s">
        <v>216</v>
      </c>
      <c r="B26" s="145">
        <v>0</v>
      </c>
      <c r="C26" s="145">
        <v>9.99665884832256E-3</v>
      </c>
      <c r="D26" s="145">
        <v>3.3004630957134296E-2</v>
      </c>
      <c r="E26" s="145">
        <v>0</v>
      </c>
      <c r="F26" s="145">
        <v>0</v>
      </c>
      <c r="G26" s="145">
        <v>1.31836945511419E-2</v>
      </c>
      <c r="H26" s="145">
        <v>0</v>
      </c>
      <c r="I26" s="145">
        <v>0</v>
      </c>
      <c r="J26" s="145">
        <v>0</v>
      </c>
      <c r="K26" s="145">
        <v>0</v>
      </c>
      <c r="L26" s="145">
        <v>4.9989003808414787E-3</v>
      </c>
      <c r="M26" s="145">
        <v>3.9990136785042147E-3</v>
      </c>
      <c r="N26" s="145">
        <v>0</v>
      </c>
      <c r="O26" s="145">
        <v>1.1713760227364086E-2</v>
      </c>
      <c r="P26" s="145">
        <v>0</v>
      </c>
      <c r="Q26" s="145">
        <v>0</v>
      </c>
      <c r="R26" s="145">
        <v>0</v>
      </c>
      <c r="S26" s="145">
        <v>1.638388069324655E-2</v>
      </c>
      <c r="T26" s="145">
        <v>0</v>
      </c>
      <c r="U26" s="145">
        <v>3.2271520459552727E-2</v>
      </c>
      <c r="V26" s="145">
        <v>2.999553448765218E-2</v>
      </c>
      <c r="W26" s="145">
        <v>0</v>
      </c>
      <c r="X26" s="145">
        <v>1.101708004406832E-2</v>
      </c>
      <c r="Y26" s="145">
        <v>0</v>
      </c>
      <c r="Z26" s="145">
        <v>0</v>
      </c>
      <c r="AA26" s="145">
        <v>0</v>
      </c>
      <c r="AB26" s="145">
        <v>6.6951983876519872E-3</v>
      </c>
      <c r="AC26" s="145">
        <v>1.8924629907510027E-2</v>
      </c>
      <c r="AD26" s="145">
        <v>0</v>
      </c>
      <c r="AE26" s="145">
        <v>0</v>
      </c>
      <c r="AF26" s="145">
        <v>1.9996881830224949E-2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  <c r="AP26" s="145">
        <v>0</v>
      </c>
      <c r="AQ26" s="145">
        <v>0</v>
      </c>
      <c r="AR26" s="145">
        <v>0</v>
      </c>
      <c r="AS26" s="145">
        <v>0</v>
      </c>
      <c r="AT26" s="145">
        <v>0</v>
      </c>
      <c r="AU26" s="145">
        <v>0</v>
      </c>
      <c r="AV26" s="145">
        <v>0</v>
      </c>
      <c r="AW26" s="145">
        <v>0</v>
      </c>
      <c r="AX26" s="145">
        <v>0</v>
      </c>
      <c r="AY26" s="145">
        <v>0</v>
      </c>
      <c r="AZ26" s="145">
        <v>0</v>
      </c>
      <c r="BA26" s="145">
        <v>0</v>
      </c>
    </row>
    <row r="27" spans="1:53" customFormat="1" x14ac:dyDescent="0.15">
      <c r="A27" s="182" t="s">
        <v>217</v>
      </c>
      <c r="B27" s="145">
        <v>0</v>
      </c>
      <c r="C27" s="145">
        <v>4.9983294241612802E-6</v>
      </c>
      <c r="D27" s="145">
        <v>0</v>
      </c>
      <c r="E27" s="145">
        <v>0</v>
      </c>
      <c r="F27" s="145">
        <v>0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8.9969758459314362E-4</v>
      </c>
      <c r="M27" s="145">
        <v>4.9998059903199026E-4</v>
      </c>
      <c r="N27" s="145">
        <v>0</v>
      </c>
      <c r="O27" s="145">
        <v>0</v>
      </c>
      <c r="P27" s="145">
        <v>0</v>
      </c>
      <c r="Q27" s="145">
        <v>0</v>
      </c>
      <c r="R27" s="145">
        <v>0</v>
      </c>
      <c r="S27" s="145">
        <v>9.9972350320197195E-4</v>
      </c>
      <c r="T27" s="145">
        <v>0</v>
      </c>
      <c r="U27" s="145">
        <v>0</v>
      </c>
      <c r="V27" s="145">
        <v>9.9985048309073304E-4</v>
      </c>
      <c r="W27" s="145">
        <v>0</v>
      </c>
      <c r="X27" s="145">
        <v>0</v>
      </c>
      <c r="Y27" s="145">
        <v>3.8222220764444419E-2</v>
      </c>
      <c r="Z27" s="145">
        <v>0</v>
      </c>
      <c r="AA27" s="145">
        <v>0</v>
      </c>
      <c r="AB27" s="145">
        <v>9.9981615788935561E-4</v>
      </c>
      <c r="AC27" s="145">
        <v>0</v>
      </c>
      <c r="AD27" s="145">
        <v>0</v>
      </c>
      <c r="AE27" s="145">
        <v>0</v>
      </c>
      <c r="AF27" s="145">
        <v>1.0000420606413666E-4</v>
      </c>
      <c r="AG27" s="145">
        <v>0</v>
      </c>
      <c r="AH27" s="145">
        <v>0</v>
      </c>
      <c r="AI27" s="145">
        <v>0</v>
      </c>
      <c r="AJ27" s="145">
        <v>0</v>
      </c>
      <c r="AK27" s="145">
        <v>0</v>
      </c>
      <c r="AL27" s="145">
        <v>0</v>
      </c>
      <c r="AM27" s="145">
        <v>0</v>
      </c>
      <c r="AN27" s="145">
        <v>0</v>
      </c>
      <c r="AO27" s="145">
        <v>0</v>
      </c>
      <c r="AP27" s="145">
        <v>0</v>
      </c>
      <c r="AQ27" s="145">
        <v>0</v>
      </c>
      <c r="AR27" s="145">
        <v>0</v>
      </c>
      <c r="AS27" s="145">
        <v>0</v>
      </c>
      <c r="AT27" s="145">
        <v>0</v>
      </c>
      <c r="AU27" s="145">
        <v>0</v>
      </c>
      <c r="AV27" s="145">
        <v>0</v>
      </c>
      <c r="AW27" s="145">
        <v>0</v>
      </c>
      <c r="AX27" s="145">
        <v>0</v>
      </c>
      <c r="AY27" s="145">
        <v>0</v>
      </c>
      <c r="AZ27" s="145">
        <v>0</v>
      </c>
      <c r="BA27" s="145">
        <v>0</v>
      </c>
    </row>
    <row r="28" spans="1:53" customFormat="1" x14ac:dyDescent="0.15">
      <c r="A28" s="182" t="s">
        <v>218</v>
      </c>
      <c r="B28" s="145">
        <v>0</v>
      </c>
      <c r="C28" s="145">
        <v>3.0702888270735802E-3</v>
      </c>
      <c r="D28" s="145">
        <v>0</v>
      </c>
      <c r="E28" s="145">
        <v>0</v>
      </c>
      <c r="F28" s="145">
        <v>0</v>
      </c>
      <c r="G28" s="145">
        <v>1.1992259318643381E-4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0</v>
      </c>
      <c r="N28" s="145">
        <v>0</v>
      </c>
      <c r="O28" s="145">
        <v>2.4982090484902378E-3</v>
      </c>
      <c r="P28" s="145">
        <v>0</v>
      </c>
      <c r="Q28" s="145">
        <v>0</v>
      </c>
      <c r="R28" s="145">
        <v>0</v>
      </c>
      <c r="S28" s="145">
        <v>3.456513956440714E-3</v>
      </c>
      <c r="T28" s="145">
        <v>0</v>
      </c>
      <c r="U28" s="145">
        <v>1.1958377113207094E-2</v>
      </c>
      <c r="V28" s="145">
        <v>1.5268818517469191E-2</v>
      </c>
      <c r="W28" s="145">
        <v>0</v>
      </c>
      <c r="X28" s="145">
        <v>1.9787910079151643E-3</v>
      </c>
      <c r="Y28" s="145">
        <v>0</v>
      </c>
      <c r="Z28" s="145">
        <v>0</v>
      </c>
      <c r="AA28" s="145">
        <v>0</v>
      </c>
      <c r="AB28" s="145">
        <v>0</v>
      </c>
      <c r="AC28" s="145">
        <v>0</v>
      </c>
      <c r="AD28" s="145">
        <v>0</v>
      </c>
      <c r="AE28" s="145">
        <v>0</v>
      </c>
      <c r="AF28" s="145">
        <v>0</v>
      </c>
      <c r="AG28" s="145">
        <v>0</v>
      </c>
      <c r="AH28" s="145">
        <v>0</v>
      </c>
      <c r="AI28" s="145">
        <v>0</v>
      </c>
      <c r="AJ28" s="145">
        <v>0</v>
      </c>
      <c r="AK28" s="145">
        <v>0</v>
      </c>
      <c r="AL28" s="145">
        <v>0</v>
      </c>
      <c r="AM28" s="145">
        <v>0</v>
      </c>
      <c r="AN28" s="145">
        <v>0</v>
      </c>
      <c r="AO28" s="145">
        <v>0</v>
      </c>
      <c r="AP28" s="145">
        <v>0</v>
      </c>
      <c r="AQ28" s="145">
        <v>0</v>
      </c>
      <c r="AR28" s="145">
        <v>0</v>
      </c>
      <c r="AS28" s="145">
        <v>0</v>
      </c>
      <c r="AT28" s="145">
        <v>0</v>
      </c>
      <c r="AU28" s="145">
        <v>0</v>
      </c>
      <c r="AV28" s="145">
        <v>0</v>
      </c>
      <c r="AW28" s="145">
        <v>0</v>
      </c>
      <c r="AX28" s="145">
        <v>0</v>
      </c>
      <c r="AY28" s="145">
        <v>0</v>
      </c>
      <c r="AZ28" s="145">
        <v>0</v>
      </c>
      <c r="BA28" s="145">
        <v>0</v>
      </c>
    </row>
    <row r="29" spans="1:53" customFormat="1" x14ac:dyDescent="0.15">
      <c r="A29" s="182" t="s">
        <v>219</v>
      </c>
      <c r="B29" s="145">
        <v>4.8095242885714568E-2</v>
      </c>
      <c r="C29" s="145">
        <v>2.3991981235974146E-2</v>
      </c>
      <c r="D29" s="145">
        <v>3.8465451115498081E-2</v>
      </c>
      <c r="E29" s="145">
        <v>8.3338891203543056E-2</v>
      </c>
      <c r="F29" s="145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9.9978027617587278E-4</v>
      </c>
      <c r="M29" s="145">
        <v>9.9975366953997959E-4</v>
      </c>
      <c r="N29" s="145">
        <v>0</v>
      </c>
      <c r="O29" s="145">
        <v>1.3060270253499847E-2</v>
      </c>
      <c r="P29" s="145">
        <v>0</v>
      </c>
      <c r="Q29" s="145">
        <v>5.002563710993552E-3</v>
      </c>
      <c r="R29" s="145">
        <v>0</v>
      </c>
      <c r="S29" s="145">
        <v>9.9972340320819281E-3</v>
      </c>
      <c r="T29" s="145">
        <v>0</v>
      </c>
      <c r="U29" s="145">
        <v>1.1958377113207094E-2</v>
      </c>
      <c r="V29" s="145">
        <v>1.7367856296323002E-2</v>
      </c>
      <c r="W29" s="145">
        <v>2.000872421540568E-3</v>
      </c>
      <c r="X29" s="145">
        <v>4.7630000190520003E-3</v>
      </c>
      <c r="Y29" s="145">
        <v>3.8222220764444419E-2</v>
      </c>
      <c r="Z29" s="145">
        <v>0</v>
      </c>
      <c r="AA29" s="145">
        <v>0</v>
      </c>
      <c r="AB29" s="145">
        <v>0</v>
      </c>
      <c r="AC29" s="145">
        <v>1.8924629907510027E-2</v>
      </c>
      <c r="AD29" s="145">
        <v>0</v>
      </c>
      <c r="AE29" s="145">
        <v>0</v>
      </c>
      <c r="AF29" s="145">
        <v>0</v>
      </c>
      <c r="AG29" s="145">
        <v>0</v>
      </c>
      <c r="AH29" s="145">
        <v>0</v>
      </c>
      <c r="AI29" s="145">
        <v>0</v>
      </c>
      <c r="AJ29" s="145">
        <v>0</v>
      </c>
      <c r="AK29" s="145">
        <v>0</v>
      </c>
      <c r="AL29" s="145">
        <v>0</v>
      </c>
      <c r="AM29" s="145">
        <v>0</v>
      </c>
      <c r="AN29" s="145">
        <v>0</v>
      </c>
      <c r="AO29" s="145">
        <v>0</v>
      </c>
      <c r="AP29" s="145">
        <v>0</v>
      </c>
      <c r="AQ29" s="145">
        <v>0</v>
      </c>
      <c r="AR29" s="145">
        <v>0</v>
      </c>
      <c r="AS29" s="145">
        <v>0</v>
      </c>
      <c r="AT29" s="145">
        <v>0</v>
      </c>
      <c r="AU29" s="145">
        <v>0</v>
      </c>
      <c r="AV29" s="145">
        <v>0</v>
      </c>
      <c r="AW29" s="145">
        <v>0</v>
      </c>
      <c r="AX29" s="145">
        <v>0</v>
      </c>
      <c r="AY29" s="145">
        <v>0</v>
      </c>
      <c r="AZ29" s="145">
        <v>0</v>
      </c>
      <c r="BA29" s="145">
        <v>0</v>
      </c>
    </row>
    <row r="30" spans="1:53" customFormat="1" x14ac:dyDescent="0.15">
      <c r="A30" s="182" t="s">
        <v>220</v>
      </c>
      <c r="B30" s="145">
        <v>4.8095242885714568E-2</v>
      </c>
      <c r="C30" s="145">
        <v>2.9161943295902274E-2</v>
      </c>
      <c r="D30" s="145">
        <v>0</v>
      </c>
      <c r="E30" s="145">
        <v>0</v>
      </c>
      <c r="F30" s="145">
        <v>0</v>
      </c>
      <c r="G30" s="145">
        <v>6.1973743992909225E-2</v>
      </c>
      <c r="H30" s="145">
        <v>2.4657993129367697E-3</v>
      </c>
      <c r="I30" s="145">
        <v>0</v>
      </c>
      <c r="J30" s="145">
        <v>0</v>
      </c>
      <c r="K30" s="145">
        <v>5.0010614701459448E-2</v>
      </c>
      <c r="L30" s="145">
        <v>9.5003599163852537E-2</v>
      </c>
      <c r="M30" s="145">
        <v>3.5998601530854178E-2</v>
      </c>
      <c r="N30" s="145">
        <v>0</v>
      </c>
      <c r="O30" s="145">
        <v>1.1202820217446742E-2</v>
      </c>
      <c r="P30" s="145">
        <v>0</v>
      </c>
      <c r="Q30" s="145">
        <v>5.0025637109935524E-2</v>
      </c>
      <c r="R30" s="145">
        <v>9.9924525737540102E-3</v>
      </c>
      <c r="S30" s="145">
        <v>4.6986996750984132E-2</v>
      </c>
      <c r="T30" s="145">
        <v>0</v>
      </c>
      <c r="U30" s="145">
        <v>9.8750901411525219E-2</v>
      </c>
      <c r="V30" s="145">
        <v>0.26995975040407905</v>
      </c>
      <c r="W30" s="145">
        <v>3.0013091325147016E-2</v>
      </c>
      <c r="X30" s="145">
        <v>3.7042610148170438E-2</v>
      </c>
      <c r="Y30" s="145">
        <v>3.8222220764444419E-2</v>
      </c>
      <c r="Z30" s="145">
        <v>1.4895410157891347E-2</v>
      </c>
      <c r="AA30" s="145">
        <v>0</v>
      </c>
      <c r="AB30" s="145">
        <v>2.9394591701946863E-2</v>
      </c>
      <c r="AC30" s="145">
        <v>1.8924629907510027E-2</v>
      </c>
      <c r="AD30" s="145">
        <v>1.0004385494739552E-3</v>
      </c>
      <c r="AE30" s="145">
        <v>0</v>
      </c>
      <c r="AF30" s="145">
        <v>4.9996003983110111E-2</v>
      </c>
      <c r="AG30" s="145">
        <v>0</v>
      </c>
      <c r="AH30" s="145">
        <v>0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5">
        <v>0</v>
      </c>
      <c r="AT30" s="145">
        <v>0</v>
      </c>
      <c r="AU30" s="145">
        <v>0</v>
      </c>
      <c r="AV30" s="145">
        <v>0</v>
      </c>
      <c r="AW30" s="145">
        <v>0</v>
      </c>
      <c r="AX30" s="145">
        <v>0</v>
      </c>
      <c r="AY30" s="145">
        <v>0</v>
      </c>
      <c r="AZ30" s="145">
        <v>0</v>
      </c>
      <c r="BA30" s="145">
        <v>0</v>
      </c>
    </row>
    <row r="31" spans="1:53" customFormat="1" x14ac:dyDescent="0.15">
      <c r="A31" s="182" t="s">
        <v>221</v>
      </c>
      <c r="B31" s="145">
        <v>0</v>
      </c>
      <c r="C31" s="145">
        <v>0</v>
      </c>
      <c r="D31" s="145">
        <v>0</v>
      </c>
      <c r="E31" s="145">
        <v>0</v>
      </c>
      <c r="F31" s="145">
        <v>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4.5433941242146994E-3</v>
      </c>
      <c r="M31" s="145">
        <v>0</v>
      </c>
      <c r="N31" s="145">
        <v>0</v>
      </c>
      <c r="O31" s="145">
        <v>0</v>
      </c>
      <c r="P31" s="145">
        <v>0</v>
      </c>
      <c r="Q31" s="145">
        <v>6.3348924254867881E-3</v>
      </c>
      <c r="R31" s="145">
        <v>6.7229126892807858E-4</v>
      </c>
      <c r="S31" s="145">
        <v>0</v>
      </c>
      <c r="T31" s="145">
        <v>0</v>
      </c>
      <c r="U31" s="145">
        <v>3.3437226902564897E-4</v>
      </c>
      <c r="V31" s="145">
        <v>0</v>
      </c>
      <c r="W31" s="145">
        <v>0</v>
      </c>
      <c r="X31" s="145">
        <v>7.1857530287430124E-2</v>
      </c>
      <c r="Y31" s="145">
        <v>0</v>
      </c>
      <c r="Z31" s="145">
        <v>4.0700840431428909E-2</v>
      </c>
      <c r="AA31" s="145">
        <v>0</v>
      </c>
      <c r="AB31" s="145">
        <v>0</v>
      </c>
      <c r="AC31" s="145">
        <v>0</v>
      </c>
      <c r="AD31" s="145">
        <v>0</v>
      </c>
      <c r="AE31" s="145">
        <v>0</v>
      </c>
      <c r="AF31" s="145">
        <v>3.9993763660449898E-2</v>
      </c>
      <c r="AG31" s="145">
        <v>0</v>
      </c>
      <c r="AH31" s="145">
        <v>0</v>
      </c>
      <c r="AI31" s="145">
        <v>0</v>
      </c>
      <c r="AJ31" s="145">
        <v>0</v>
      </c>
      <c r="AK31" s="145">
        <v>0</v>
      </c>
      <c r="AL31" s="145">
        <v>0</v>
      </c>
      <c r="AM31" s="145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5">
        <v>0</v>
      </c>
      <c r="AT31" s="145">
        <v>0</v>
      </c>
      <c r="AU31" s="145">
        <v>0</v>
      </c>
      <c r="AV31" s="145">
        <v>0</v>
      </c>
      <c r="AW31" s="145">
        <v>0</v>
      </c>
      <c r="AX31" s="145">
        <v>0</v>
      </c>
      <c r="AY31" s="145">
        <v>0</v>
      </c>
      <c r="AZ31" s="145">
        <v>0</v>
      </c>
      <c r="BA31" s="145">
        <v>0</v>
      </c>
    </row>
    <row r="32" spans="1:53" customFormat="1" x14ac:dyDescent="0.15">
      <c r="A32" s="182" t="s">
        <v>222</v>
      </c>
      <c r="B32" s="145">
        <v>0.30333331819999904</v>
      </c>
      <c r="C32" s="145">
        <v>1.3489881319621546E-6</v>
      </c>
      <c r="D32" s="145">
        <v>7.6930902230996162E-2</v>
      </c>
      <c r="E32" s="145">
        <v>4.1669445601771528E-2</v>
      </c>
      <c r="F32" s="145">
        <v>0</v>
      </c>
      <c r="G32" s="145">
        <v>6.9970356121026546E-3</v>
      </c>
      <c r="H32" s="145">
        <v>1.9994805341631804E-2</v>
      </c>
      <c r="I32" s="145">
        <v>0</v>
      </c>
      <c r="J32" s="145">
        <v>0</v>
      </c>
      <c r="K32" s="145">
        <v>2.001345783581179E-3</v>
      </c>
      <c r="L32" s="145">
        <v>3.0001136578058692E-2</v>
      </c>
      <c r="M32" s="145">
        <v>0</v>
      </c>
      <c r="N32" s="145">
        <v>0</v>
      </c>
      <c r="O32" s="145">
        <v>1.4380260279120854E-2</v>
      </c>
      <c r="P32" s="145">
        <v>0</v>
      </c>
      <c r="Q32" s="145">
        <v>2.1338589749967242E-3</v>
      </c>
      <c r="R32" s="145">
        <v>6.7229126892807858E-4</v>
      </c>
      <c r="S32" s="145">
        <v>0</v>
      </c>
      <c r="T32" s="145">
        <v>0</v>
      </c>
      <c r="U32" s="145">
        <v>0.15368116964278999</v>
      </c>
      <c r="V32" s="145">
        <v>1.2673606545973486E-2</v>
      </c>
      <c r="W32" s="145">
        <v>0</v>
      </c>
      <c r="X32" s="145">
        <v>1.246661004986644E-2</v>
      </c>
      <c r="Y32" s="145">
        <v>0</v>
      </c>
      <c r="Z32" s="145">
        <v>4.0700840431428909E-2</v>
      </c>
      <c r="AA32" s="145">
        <v>4.5454547727272622E-2</v>
      </c>
      <c r="AB32" s="145">
        <v>0</v>
      </c>
      <c r="AC32" s="145">
        <v>0</v>
      </c>
      <c r="AD32" s="145">
        <v>1.5006573241111818E-3</v>
      </c>
      <c r="AE32" s="145">
        <v>5.0000000000000001E-3</v>
      </c>
      <c r="AF32" s="145">
        <v>1.0000080659422551E-2</v>
      </c>
      <c r="AG32" s="145">
        <v>0</v>
      </c>
      <c r="AH32" s="145">
        <v>0</v>
      </c>
      <c r="AI32" s="145">
        <v>0</v>
      </c>
      <c r="AJ32" s="145">
        <v>0</v>
      </c>
      <c r="AK32" s="145">
        <v>0</v>
      </c>
      <c r="AL32" s="145">
        <v>0</v>
      </c>
      <c r="AM32" s="145">
        <v>0</v>
      </c>
      <c r="AN32" s="145">
        <v>0</v>
      </c>
      <c r="AO32" s="145">
        <v>0</v>
      </c>
      <c r="AP32" s="145">
        <v>0</v>
      </c>
      <c r="AQ32" s="145">
        <v>0</v>
      </c>
      <c r="AR32" s="145">
        <v>0</v>
      </c>
      <c r="AS32" s="145">
        <v>0</v>
      </c>
      <c r="AT32" s="145">
        <v>0</v>
      </c>
      <c r="AU32" s="145">
        <v>0</v>
      </c>
      <c r="AV32" s="145">
        <v>0</v>
      </c>
      <c r="AW32" s="145">
        <v>0</v>
      </c>
      <c r="AX32" s="145">
        <v>0</v>
      </c>
      <c r="AY32" s="145">
        <v>0</v>
      </c>
      <c r="AZ32" s="145">
        <v>0</v>
      </c>
      <c r="BA32" s="145">
        <v>0</v>
      </c>
    </row>
    <row r="33" spans="1:53" customFormat="1" x14ac:dyDescent="0.15">
      <c r="A33" s="182" t="s">
        <v>223</v>
      </c>
      <c r="B33" s="145">
        <v>1.3333330799999847E-2</v>
      </c>
      <c r="C33" s="145">
        <v>0.19993317696645121</v>
      </c>
      <c r="D33" s="145">
        <v>3.8465451115498081E-2</v>
      </c>
      <c r="E33" s="145">
        <v>2.0801385580293496E-2</v>
      </c>
      <c r="F33" s="145">
        <v>0</v>
      </c>
      <c r="G33" s="145">
        <v>0</v>
      </c>
      <c r="H33" s="145">
        <v>1.5398661260168534E-3</v>
      </c>
      <c r="I33" s="145">
        <v>0</v>
      </c>
      <c r="J33" s="145">
        <v>0</v>
      </c>
      <c r="K33" s="145">
        <v>1.6003396704467023E-2</v>
      </c>
      <c r="L33" s="145">
        <v>0.15000568289029345</v>
      </c>
      <c r="M33" s="145">
        <v>5.9979342196863475E-2</v>
      </c>
      <c r="N33" s="145">
        <v>0.16999999660000009</v>
      </c>
      <c r="O33" s="145">
        <v>0.17619840342001103</v>
      </c>
      <c r="P33" s="145">
        <v>0.15009469992936575</v>
      </c>
      <c r="Q33" s="145">
        <v>6.0012148763376225E-2</v>
      </c>
      <c r="R33" s="145">
        <v>9.9973852836529653E-2</v>
      </c>
      <c r="S33" s="145">
        <v>0.22998569167017846</v>
      </c>
      <c r="T33" s="145">
        <v>0</v>
      </c>
      <c r="U33" s="145">
        <v>2.3121507966847657E-2</v>
      </c>
      <c r="V33" s="145">
        <v>0</v>
      </c>
      <c r="W33" s="145">
        <v>9.5038731419331529E-2</v>
      </c>
      <c r="X33" s="145">
        <v>0.13998130055992519</v>
      </c>
      <c r="Y33" s="145">
        <v>0.16650000333000009</v>
      </c>
      <c r="Z33" s="145">
        <v>1.7608140186646287E-2</v>
      </c>
      <c r="AA33" s="145">
        <v>0</v>
      </c>
      <c r="AB33" s="145">
        <v>0.12497700723616872</v>
      </c>
      <c r="AC33" s="145">
        <v>9.0037870918925081E-2</v>
      </c>
      <c r="AD33" s="145">
        <v>3.0005985053790797E-2</v>
      </c>
      <c r="AE33" s="145">
        <v>0.1</v>
      </c>
      <c r="AF33" s="145">
        <v>8.9985968236012265E-2</v>
      </c>
      <c r="AG33" s="145">
        <v>0.05</v>
      </c>
      <c r="AH33" s="145">
        <v>0</v>
      </c>
      <c r="AI33" s="145">
        <v>0</v>
      </c>
      <c r="AJ33" s="145">
        <v>0</v>
      </c>
      <c r="AK33" s="145">
        <v>0</v>
      </c>
      <c r="AL33" s="145">
        <v>0</v>
      </c>
      <c r="AM33" s="145">
        <v>0</v>
      </c>
      <c r="AN33" s="145">
        <v>0</v>
      </c>
      <c r="AO33" s="145">
        <v>0</v>
      </c>
      <c r="AP33" s="145">
        <v>0</v>
      </c>
      <c r="AQ33" s="145">
        <v>0</v>
      </c>
      <c r="AR33" s="145">
        <v>0</v>
      </c>
      <c r="AS33" s="145">
        <v>0</v>
      </c>
      <c r="AT33" s="145">
        <v>0</v>
      </c>
      <c r="AU33" s="145">
        <v>0</v>
      </c>
      <c r="AV33" s="145">
        <v>0</v>
      </c>
      <c r="AW33" s="145">
        <v>0</v>
      </c>
      <c r="AX33" s="145">
        <v>0</v>
      </c>
      <c r="AY33" s="145">
        <v>0</v>
      </c>
      <c r="AZ33" s="145">
        <v>0</v>
      </c>
      <c r="BA33" s="145">
        <v>0</v>
      </c>
    </row>
    <row r="34" spans="1:53" customFormat="1" x14ac:dyDescent="0.15">
      <c r="A34" s="182" t="s">
        <v>224</v>
      </c>
      <c r="B34" s="145">
        <v>0</v>
      </c>
      <c r="C34" s="145">
        <v>0.19993317696645121</v>
      </c>
      <c r="D34" s="145">
        <v>0</v>
      </c>
      <c r="E34" s="145">
        <v>0</v>
      </c>
      <c r="F34" s="145">
        <v>6.4400000000000013E-2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2.1000795604641086E-2</v>
      </c>
      <c r="M34" s="145">
        <v>7.5981260891235775E-2</v>
      </c>
      <c r="N34" s="145">
        <v>9.9999998000000062E-3</v>
      </c>
      <c r="O34" s="145">
        <v>0</v>
      </c>
      <c r="P34" s="145">
        <v>0</v>
      </c>
      <c r="Q34" s="145">
        <v>0.10002024793896039</v>
      </c>
      <c r="R34" s="145">
        <v>0.14996077925479445</v>
      </c>
      <c r="S34" s="145">
        <v>2.9998133696110232E-2</v>
      </c>
      <c r="T34" s="145">
        <v>0.2</v>
      </c>
      <c r="U34" s="145">
        <v>0</v>
      </c>
      <c r="V34" s="145">
        <v>0</v>
      </c>
      <c r="W34" s="145">
        <v>2.8011415576224028E-2</v>
      </c>
      <c r="X34" s="145">
        <v>2.6179900104719603E-4</v>
      </c>
      <c r="Y34" s="145">
        <v>0.16150000323000008</v>
      </c>
      <c r="Z34" s="145">
        <v>1.8129090192168355E-2</v>
      </c>
      <c r="AA34" s="145">
        <v>4.5454547727272622E-2</v>
      </c>
      <c r="AB34" s="145">
        <v>0</v>
      </c>
      <c r="AC34" s="145">
        <v>1.3005470243844734E-2</v>
      </c>
      <c r="AD34" s="145">
        <v>1.9003790534067505E-2</v>
      </c>
      <c r="AE34" s="145">
        <v>0.02</v>
      </c>
      <c r="AF34" s="145">
        <v>0</v>
      </c>
      <c r="AG34" s="145">
        <v>0.09</v>
      </c>
      <c r="AH34" s="145">
        <v>0.05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5">
        <v>0</v>
      </c>
      <c r="AT34" s="145">
        <v>0</v>
      </c>
      <c r="AU34" s="145">
        <v>0</v>
      </c>
      <c r="AV34" s="145">
        <v>0</v>
      </c>
      <c r="AW34" s="145">
        <v>0</v>
      </c>
      <c r="AX34" s="145">
        <v>0</v>
      </c>
      <c r="AY34" s="145">
        <v>0</v>
      </c>
      <c r="AZ34" s="145">
        <v>0</v>
      </c>
      <c r="BA34" s="145">
        <v>0</v>
      </c>
    </row>
    <row r="35" spans="1:53" customFormat="1" x14ac:dyDescent="0.15">
      <c r="A35" s="182" t="s">
        <v>225</v>
      </c>
      <c r="B35" s="145">
        <v>0</v>
      </c>
      <c r="C35" s="145">
        <v>0.15994654157316096</v>
      </c>
      <c r="D35" s="145">
        <v>0</v>
      </c>
      <c r="E35" s="145">
        <v>0</v>
      </c>
      <c r="F35" s="145">
        <v>0</v>
      </c>
      <c r="G35" s="145">
        <v>0</v>
      </c>
      <c r="H35" s="145">
        <v>5.0322441897052381E-5</v>
      </c>
      <c r="I35" s="145">
        <v>0</v>
      </c>
      <c r="J35" s="145">
        <v>0</v>
      </c>
      <c r="K35" s="145">
        <v>0</v>
      </c>
      <c r="L35" s="145">
        <v>1.5000568289029346E-2</v>
      </c>
      <c r="M35" s="145">
        <v>0.10896247165763531</v>
      </c>
      <c r="N35" s="145">
        <v>6.9999998600000043E-2</v>
      </c>
      <c r="O35" s="145">
        <v>0</v>
      </c>
      <c r="P35" s="145">
        <v>0.10006313328624383</v>
      </c>
      <c r="Q35" s="145">
        <v>0.17703583885195986</v>
      </c>
      <c r="R35" s="145">
        <v>0.14996077925479445</v>
      </c>
      <c r="S35" s="145">
        <v>2.9998133696110232E-2</v>
      </c>
      <c r="T35" s="145">
        <v>0.15</v>
      </c>
      <c r="U35" s="145">
        <v>3.7474084776501627E-3</v>
      </c>
      <c r="V35" s="145">
        <v>0</v>
      </c>
      <c r="W35" s="145">
        <v>2.0008153983017161E-2</v>
      </c>
      <c r="X35" s="145">
        <v>0</v>
      </c>
      <c r="Y35" s="145">
        <v>0</v>
      </c>
      <c r="Z35" s="145">
        <v>5.4983060582820445E-2</v>
      </c>
      <c r="AA35" s="145">
        <v>4.5454547727272622E-2</v>
      </c>
      <c r="AB35" s="145">
        <v>3.9992642315573992E-2</v>
      </c>
      <c r="AC35" s="145">
        <v>1.0004207879880565E-2</v>
      </c>
      <c r="AD35" s="145">
        <v>5.5010972598616467E-2</v>
      </c>
      <c r="AE35" s="145">
        <v>0.02</v>
      </c>
      <c r="AF35" s="145">
        <v>9.9984409151124744E-3</v>
      </c>
      <c r="AG35" s="145">
        <v>0.09</v>
      </c>
      <c r="AH35" s="145">
        <v>0</v>
      </c>
      <c r="AI35" s="145">
        <v>0</v>
      </c>
      <c r="AJ35" s="145">
        <v>0</v>
      </c>
      <c r="AK35" s="145">
        <v>0.18</v>
      </c>
      <c r="AL35" s="145">
        <v>0</v>
      </c>
      <c r="AM35" s="145">
        <v>0</v>
      </c>
      <c r="AN35" s="145">
        <v>0</v>
      </c>
      <c r="AO35" s="145">
        <v>0</v>
      </c>
      <c r="AP35" s="145">
        <v>0</v>
      </c>
      <c r="AQ35" s="145">
        <v>0</v>
      </c>
      <c r="AR35" s="145">
        <v>0</v>
      </c>
      <c r="AS35" s="145">
        <v>0</v>
      </c>
      <c r="AT35" s="145">
        <v>0</v>
      </c>
      <c r="AU35" s="145">
        <v>0</v>
      </c>
      <c r="AV35" s="145">
        <v>0</v>
      </c>
      <c r="AW35" s="145">
        <v>0</v>
      </c>
      <c r="AX35" s="145">
        <v>0</v>
      </c>
      <c r="AY35" s="145">
        <v>0</v>
      </c>
      <c r="AZ35" s="145">
        <v>0</v>
      </c>
      <c r="BA35" s="145">
        <v>0</v>
      </c>
    </row>
    <row r="36" spans="1:53" customFormat="1" x14ac:dyDescent="0.15">
      <c r="A36" s="182" t="s">
        <v>226</v>
      </c>
      <c r="B36" s="145">
        <v>0</v>
      </c>
      <c r="C36" s="145">
        <v>5.4981623665774089E-4</v>
      </c>
      <c r="D36" s="145">
        <v>0</v>
      </c>
      <c r="E36" s="145">
        <v>0</v>
      </c>
      <c r="F36" s="145">
        <v>0</v>
      </c>
      <c r="G36" s="145">
        <v>0</v>
      </c>
      <c r="H36" s="145">
        <v>2.3651557492156405E-4</v>
      </c>
      <c r="I36" s="145">
        <v>0</v>
      </c>
      <c r="J36" s="145">
        <v>0</v>
      </c>
      <c r="K36" s="145">
        <v>2.5055948099176421E-5</v>
      </c>
      <c r="L36" s="145">
        <v>1.999560752359323E-2</v>
      </c>
      <c r="M36" s="145">
        <v>1.8501907659922736E-2</v>
      </c>
      <c r="N36" s="145">
        <v>8.9999998200000042E-2</v>
      </c>
      <c r="O36" s="145">
        <v>0</v>
      </c>
      <c r="P36" s="145">
        <v>0.10006313328624383</v>
      </c>
      <c r="Q36" s="145">
        <v>1.0005125421582144E-2</v>
      </c>
      <c r="R36" s="145">
        <v>0.12996600868748853</v>
      </c>
      <c r="S36" s="145">
        <v>0</v>
      </c>
      <c r="T36" s="145">
        <v>0.15</v>
      </c>
      <c r="U36" s="145">
        <v>4.1796533628206124E-4</v>
      </c>
      <c r="V36" s="145">
        <v>0</v>
      </c>
      <c r="W36" s="145">
        <v>5.0021815540552692E-3</v>
      </c>
      <c r="X36" s="145">
        <v>0</v>
      </c>
      <c r="Y36" s="145">
        <v>0</v>
      </c>
      <c r="Z36" s="145">
        <v>1.458663015461828E-3</v>
      </c>
      <c r="AA36" s="145">
        <v>4.5454547727272622E-2</v>
      </c>
      <c r="AB36" s="145">
        <v>5.9988973473361568E-3</v>
      </c>
      <c r="AC36" s="145">
        <v>2.4941050480183521E-2</v>
      </c>
      <c r="AD36" s="145">
        <v>2.0008760987484087E-3</v>
      </c>
      <c r="AE36" s="145">
        <v>0</v>
      </c>
      <c r="AF36" s="145">
        <v>1.0000090657863467E-3</v>
      </c>
      <c r="AG36" s="145">
        <v>1.4999999999999999E-2</v>
      </c>
      <c r="AH36" s="145">
        <v>0</v>
      </c>
      <c r="AI36" s="145">
        <v>0</v>
      </c>
      <c r="AJ36" s="145">
        <v>0</v>
      </c>
      <c r="AK36" s="145">
        <v>0.02</v>
      </c>
      <c r="AL36" s="145">
        <v>0</v>
      </c>
      <c r="AM36" s="145">
        <v>0</v>
      </c>
      <c r="AN36" s="145">
        <v>0</v>
      </c>
      <c r="AO36" s="145">
        <v>0</v>
      </c>
      <c r="AP36" s="145">
        <v>0</v>
      </c>
      <c r="AQ36" s="145">
        <v>0</v>
      </c>
      <c r="AR36" s="145">
        <v>0</v>
      </c>
      <c r="AS36" s="145">
        <v>0</v>
      </c>
      <c r="AT36" s="145">
        <v>0</v>
      </c>
      <c r="AU36" s="145">
        <v>0</v>
      </c>
      <c r="AV36" s="145">
        <v>0</v>
      </c>
      <c r="AW36" s="145">
        <v>0</v>
      </c>
      <c r="AX36" s="145">
        <v>0</v>
      </c>
      <c r="AY36" s="145">
        <v>0</v>
      </c>
      <c r="AZ36" s="145">
        <v>0</v>
      </c>
      <c r="BA36" s="145">
        <v>0</v>
      </c>
    </row>
    <row r="37" spans="1:53" customFormat="1" x14ac:dyDescent="0.15">
      <c r="A37" s="182" t="s">
        <v>227</v>
      </c>
      <c r="B37" s="145">
        <v>0</v>
      </c>
      <c r="C37" s="145">
        <v>9.9966588483225613E-4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1.378076495316712E-4</v>
      </c>
      <c r="L37" s="145">
        <v>9.1144592967332279E-4</v>
      </c>
      <c r="M37" s="145">
        <v>1.9995063394242556E-2</v>
      </c>
      <c r="N37" s="145">
        <v>0</v>
      </c>
      <c r="O37" s="145">
        <v>0</v>
      </c>
      <c r="P37" s="145">
        <v>0</v>
      </c>
      <c r="Q37" s="145">
        <v>5.002563710993552E-3</v>
      </c>
      <c r="R37" s="145">
        <v>2.4010430311576101E-5</v>
      </c>
      <c r="S37" s="145">
        <v>0</v>
      </c>
      <c r="T37" s="145">
        <v>0</v>
      </c>
      <c r="U37" s="145">
        <v>0</v>
      </c>
      <c r="V37" s="145">
        <v>0</v>
      </c>
      <c r="W37" s="145">
        <v>1.0004367109741335E-3</v>
      </c>
      <c r="X37" s="145">
        <v>4.1139800164559197E-3</v>
      </c>
      <c r="Y37" s="145">
        <v>0</v>
      </c>
      <c r="Z37" s="145">
        <v>1.499538015895103E-2</v>
      </c>
      <c r="AA37" s="145">
        <v>4.5454547727272622E-2</v>
      </c>
      <c r="AB37" s="145">
        <v>3.2094091858247915E-2</v>
      </c>
      <c r="AC37" s="145">
        <v>0</v>
      </c>
      <c r="AD37" s="145">
        <v>1.0004385494739552E-3</v>
      </c>
      <c r="AE37" s="145">
        <v>0</v>
      </c>
      <c r="AF37" s="145">
        <v>0</v>
      </c>
      <c r="AG37" s="145">
        <v>0.01</v>
      </c>
      <c r="AH37" s="145">
        <v>0</v>
      </c>
      <c r="AI37" s="145">
        <v>0</v>
      </c>
      <c r="AJ37" s="145">
        <v>0</v>
      </c>
      <c r="AK37" s="145">
        <v>0</v>
      </c>
      <c r="AL37" s="145">
        <v>0</v>
      </c>
      <c r="AM37" s="145">
        <v>0</v>
      </c>
      <c r="AN37" s="145">
        <v>0</v>
      </c>
      <c r="AO37" s="145">
        <v>0</v>
      </c>
      <c r="AP37" s="145">
        <v>0</v>
      </c>
      <c r="AQ37" s="145">
        <v>0</v>
      </c>
      <c r="AR37" s="145">
        <v>0</v>
      </c>
      <c r="AS37" s="145">
        <v>0</v>
      </c>
      <c r="AT37" s="145">
        <v>0</v>
      </c>
      <c r="AU37" s="145">
        <v>0</v>
      </c>
      <c r="AV37" s="145">
        <v>0</v>
      </c>
      <c r="AW37" s="145">
        <v>0</v>
      </c>
      <c r="AX37" s="145">
        <v>0</v>
      </c>
      <c r="AY37" s="145">
        <v>0</v>
      </c>
      <c r="AZ37" s="145">
        <v>0</v>
      </c>
      <c r="BA37" s="145">
        <v>0</v>
      </c>
    </row>
    <row r="38" spans="1:53" customFormat="1" x14ac:dyDescent="0.15">
      <c r="A38" s="182" t="s">
        <v>228</v>
      </c>
      <c r="B38" s="145">
        <v>0</v>
      </c>
      <c r="C38" s="145">
        <v>5.6348256900269416E-4</v>
      </c>
      <c r="D38" s="145">
        <v>0</v>
      </c>
      <c r="E38" s="145">
        <v>0</v>
      </c>
      <c r="F38" s="145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5">
        <v>0</v>
      </c>
      <c r="M38" s="145">
        <v>0</v>
      </c>
      <c r="N38" s="145">
        <v>7.499999850000004E-2</v>
      </c>
      <c r="O38" s="145">
        <v>0</v>
      </c>
      <c r="P38" s="145">
        <v>0</v>
      </c>
      <c r="Q38" s="145">
        <v>1.6380396021161892E-4</v>
      </c>
      <c r="R38" s="145">
        <v>0</v>
      </c>
      <c r="S38" s="145">
        <v>0</v>
      </c>
      <c r="T38" s="145">
        <v>0</v>
      </c>
      <c r="U38" s="145">
        <v>3.7474084776501627E-3</v>
      </c>
      <c r="V38" s="145">
        <v>0</v>
      </c>
      <c r="W38" s="145">
        <v>0</v>
      </c>
      <c r="X38" s="145">
        <v>0</v>
      </c>
      <c r="Y38" s="145">
        <v>0</v>
      </c>
      <c r="Z38" s="145">
        <v>4.6927240497428753E-2</v>
      </c>
      <c r="AA38" s="145">
        <v>4.5454547727272622E-2</v>
      </c>
      <c r="AB38" s="145">
        <v>1.5622130904521379E-2</v>
      </c>
      <c r="AC38" s="145">
        <v>3.8766305534537189E-3</v>
      </c>
      <c r="AD38" s="145">
        <v>3.197293738603689E-2</v>
      </c>
      <c r="AE38" s="145">
        <v>0</v>
      </c>
      <c r="AF38" s="145">
        <v>0</v>
      </c>
      <c r="AG38" s="145">
        <v>0.14499999999999999</v>
      </c>
      <c r="AH38" s="145">
        <v>0</v>
      </c>
      <c r="AI38" s="145">
        <v>0.03</v>
      </c>
      <c r="AJ38" s="145">
        <v>0</v>
      </c>
      <c r="AK38" s="145">
        <v>0</v>
      </c>
      <c r="AL38" s="145">
        <v>0</v>
      </c>
      <c r="AM38" s="145">
        <v>0</v>
      </c>
      <c r="AN38" s="145">
        <v>0</v>
      </c>
      <c r="AO38" s="145">
        <v>0</v>
      </c>
      <c r="AP38" s="145">
        <v>0</v>
      </c>
      <c r="AQ38" s="145">
        <v>0</v>
      </c>
      <c r="AR38" s="145">
        <v>0</v>
      </c>
      <c r="AS38" s="145">
        <v>0</v>
      </c>
      <c r="AT38" s="145">
        <v>0</v>
      </c>
      <c r="AU38" s="145">
        <v>0</v>
      </c>
      <c r="AV38" s="145">
        <v>0</v>
      </c>
      <c r="AW38" s="145">
        <v>0</v>
      </c>
      <c r="AX38" s="145">
        <v>0</v>
      </c>
      <c r="AY38" s="145">
        <v>0</v>
      </c>
      <c r="AZ38" s="145">
        <v>0</v>
      </c>
      <c r="BA38" s="145">
        <v>0</v>
      </c>
    </row>
    <row r="39" spans="1:53" x14ac:dyDescent="0.15">
      <c r="A39" s="182" t="s">
        <v>229</v>
      </c>
      <c r="B39" s="145">
        <v>1.3333330799999847E-2</v>
      </c>
      <c r="C39" s="145">
        <v>6.1979284859599873E-2</v>
      </c>
      <c r="D39" s="145">
        <v>3.8465451115498081E-2</v>
      </c>
      <c r="E39" s="145">
        <v>2.0801385580293496E-2</v>
      </c>
      <c r="F39" s="145">
        <v>0</v>
      </c>
      <c r="G39" s="145">
        <v>9.9957651601466496E-3</v>
      </c>
      <c r="H39" s="145">
        <v>4.9987023354632351E-3</v>
      </c>
      <c r="I39" s="145">
        <v>0</v>
      </c>
      <c r="J39" s="145">
        <v>0</v>
      </c>
      <c r="K39" s="145">
        <v>6.0012737641751336E-2</v>
      </c>
      <c r="L39" s="145">
        <v>0.15800598597777579</v>
      </c>
      <c r="M39" s="145">
        <v>6.2332011901421382E-2</v>
      </c>
      <c r="N39" s="145">
        <v>2.9999999400000015E-2</v>
      </c>
      <c r="O39" s="145">
        <v>0.52859521026003309</v>
      </c>
      <c r="P39" s="145">
        <v>0.15009469992936575</v>
      </c>
      <c r="Q39" s="145">
        <v>5.0025637109935524E-2</v>
      </c>
      <c r="R39" s="145">
        <v>7.6542181156409497E-2</v>
      </c>
      <c r="S39" s="145">
        <v>4.998617016040964E-2</v>
      </c>
      <c r="T39" s="145">
        <v>0</v>
      </c>
      <c r="U39" s="145">
        <v>0.16276435488681021</v>
      </c>
      <c r="V39" s="145">
        <v>5.5348026241169065E-2</v>
      </c>
      <c r="W39" s="145">
        <v>5.002181554055269E-2</v>
      </c>
      <c r="X39" s="145">
        <v>0.41994390167977558</v>
      </c>
      <c r="Y39" s="145">
        <v>0.16650000333000009</v>
      </c>
      <c r="Z39" s="145">
        <v>5.282441055993875E-2</v>
      </c>
      <c r="AA39" s="145">
        <v>0</v>
      </c>
      <c r="AB39" s="145">
        <v>0.37493102170850617</v>
      </c>
      <c r="AC39" s="145">
        <v>0.29756565938956148</v>
      </c>
      <c r="AD39" s="145">
        <v>1.5002992526895399E-2</v>
      </c>
      <c r="AE39" s="145">
        <v>0.15</v>
      </c>
      <c r="AF39" s="145">
        <v>9.9992007966220223E-2</v>
      </c>
      <c r="AG39" s="145">
        <v>0</v>
      </c>
      <c r="AH39" s="145">
        <v>0</v>
      </c>
      <c r="AI39" s="145">
        <v>0</v>
      </c>
      <c r="AJ39" s="145">
        <v>0</v>
      </c>
      <c r="AK39" s="145">
        <v>0</v>
      </c>
      <c r="AL39" s="145">
        <v>0</v>
      </c>
      <c r="AM39" s="145">
        <v>0.02</v>
      </c>
      <c r="AN39" s="145">
        <v>0</v>
      </c>
      <c r="AO39" s="145">
        <v>0</v>
      </c>
      <c r="AP39" s="145">
        <v>0</v>
      </c>
      <c r="AQ39" s="145">
        <v>0</v>
      </c>
      <c r="AR39" s="145">
        <v>0</v>
      </c>
      <c r="AS39" s="145">
        <v>0</v>
      </c>
      <c r="AT39" s="145">
        <v>0</v>
      </c>
      <c r="AU39" s="145">
        <v>0</v>
      </c>
      <c r="AV39" s="145">
        <v>0</v>
      </c>
      <c r="AW39" s="145">
        <v>0</v>
      </c>
      <c r="AX39" s="145">
        <v>0</v>
      </c>
      <c r="AY39" s="145">
        <v>0</v>
      </c>
      <c r="AZ39" s="145">
        <v>0</v>
      </c>
      <c r="BA39" s="145">
        <v>0</v>
      </c>
    </row>
    <row r="40" spans="1:53" x14ac:dyDescent="0.15">
      <c r="A40" s="182" t="s">
        <v>230</v>
      </c>
      <c r="B40" s="145">
        <v>0</v>
      </c>
      <c r="C40" s="145">
        <v>1.999331769664512E-2</v>
      </c>
      <c r="D40" s="145">
        <v>0</v>
      </c>
      <c r="E40" s="145">
        <v>0</v>
      </c>
      <c r="F40" s="145">
        <v>2.7600000000000003E-2</v>
      </c>
      <c r="G40" s="145">
        <v>2.9987295480439951E-3</v>
      </c>
      <c r="H40" s="145">
        <v>0</v>
      </c>
      <c r="I40" s="145">
        <v>0</v>
      </c>
      <c r="J40" s="145">
        <v>0</v>
      </c>
      <c r="K40" s="145">
        <v>0</v>
      </c>
      <c r="L40" s="145">
        <v>3.9357151025988045E-2</v>
      </c>
      <c r="M40" s="145">
        <v>6.3984212858133216E-2</v>
      </c>
      <c r="N40" s="145">
        <v>9.9999998000000062E-3</v>
      </c>
      <c r="O40" s="145">
        <v>0</v>
      </c>
      <c r="P40" s="145">
        <v>0</v>
      </c>
      <c r="Q40" s="145">
        <v>0.25012823555980157</v>
      </c>
      <c r="R40" s="145">
        <v>0.13789583472062922</v>
      </c>
      <c r="S40" s="145">
        <v>9.997235032019719E-2</v>
      </c>
      <c r="T40" s="145">
        <v>0.2</v>
      </c>
      <c r="U40" s="145">
        <v>0</v>
      </c>
      <c r="V40" s="145">
        <v>0</v>
      </c>
      <c r="W40" s="145">
        <v>0.10104407879656421</v>
      </c>
      <c r="X40" s="145">
        <v>7.8539600314158405E-4</v>
      </c>
      <c r="Y40" s="145">
        <v>0.16150000323000008</v>
      </c>
      <c r="Z40" s="145">
        <v>5.4387260576504962E-2</v>
      </c>
      <c r="AA40" s="145">
        <v>4.5454547727272622E-2</v>
      </c>
      <c r="AB40" s="145">
        <v>0</v>
      </c>
      <c r="AC40" s="145">
        <v>0.13200792398491523</v>
      </c>
      <c r="AD40" s="145">
        <v>0.13002593523309347</v>
      </c>
      <c r="AE40" s="145">
        <v>0.51500000000000001</v>
      </c>
      <c r="AF40" s="145">
        <v>0</v>
      </c>
      <c r="AG40" s="145">
        <v>0</v>
      </c>
      <c r="AH40" s="145">
        <v>0</v>
      </c>
      <c r="AI40" s="145">
        <v>0</v>
      </c>
      <c r="AJ40" s="145">
        <v>0</v>
      </c>
      <c r="AK40" s="145">
        <v>0</v>
      </c>
      <c r="AL40" s="145">
        <v>0</v>
      </c>
      <c r="AM40" s="145">
        <v>0.05</v>
      </c>
      <c r="AN40" s="145">
        <v>0</v>
      </c>
      <c r="AO40" s="145">
        <v>0</v>
      </c>
      <c r="AP40" s="145">
        <v>0</v>
      </c>
      <c r="AQ40" s="145">
        <v>0.02</v>
      </c>
      <c r="AR40" s="145">
        <v>0</v>
      </c>
      <c r="AS40" s="145">
        <v>0</v>
      </c>
      <c r="AT40" s="145">
        <v>0</v>
      </c>
      <c r="AU40" s="145">
        <v>0</v>
      </c>
      <c r="AV40" s="145">
        <v>0</v>
      </c>
      <c r="AW40" s="145">
        <v>0</v>
      </c>
      <c r="AX40" s="145">
        <v>0</v>
      </c>
      <c r="AY40" s="145">
        <v>0</v>
      </c>
      <c r="AZ40" s="145">
        <v>0</v>
      </c>
      <c r="BA40" s="145">
        <v>0</v>
      </c>
    </row>
    <row r="41" spans="1:53" x14ac:dyDescent="0.15">
      <c r="A41" s="182" t="s">
        <v>231</v>
      </c>
      <c r="B41" s="145">
        <v>0</v>
      </c>
      <c r="C41" s="145">
        <v>0</v>
      </c>
      <c r="D41" s="145">
        <v>0</v>
      </c>
      <c r="E41" s="145">
        <v>0</v>
      </c>
      <c r="F41" s="145">
        <v>0</v>
      </c>
      <c r="G41" s="145">
        <v>1.1126256212463756E-2</v>
      </c>
      <c r="H41" s="145">
        <v>4.5290143704361779E-4</v>
      </c>
      <c r="I41" s="145">
        <v>0</v>
      </c>
      <c r="J41" s="145">
        <v>0</v>
      </c>
      <c r="K41" s="145">
        <v>4.8010190113401074E-2</v>
      </c>
      <c r="L41" s="145">
        <v>3.5167302295663824E-2</v>
      </c>
      <c r="M41" s="145">
        <v>4.998767348044194E-2</v>
      </c>
      <c r="N41" s="145">
        <v>0.17199999656000006</v>
      </c>
      <c r="O41" s="145">
        <v>0</v>
      </c>
      <c r="P41" s="145">
        <v>0.10006313328624383</v>
      </c>
      <c r="Q41" s="145">
        <v>4.9025124567777308E-2</v>
      </c>
      <c r="R41" s="145">
        <v>9.9924525737540099E-2</v>
      </c>
      <c r="S41" s="145">
        <v>0.14196076805277638</v>
      </c>
      <c r="T41" s="145">
        <v>0.15</v>
      </c>
      <c r="U41" s="145">
        <v>1.1242229433384409E-2</v>
      </c>
      <c r="V41" s="145">
        <v>0</v>
      </c>
      <c r="W41" s="145">
        <v>0.22809945805644014</v>
      </c>
      <c r="X41" s="145">
        <v>0</v>
      </c>
      <c r="Y41" s="145">
        <v>0</v>
      </c>
      <c r="Z41" s="145">
        <v>2.3592820250083895E-2</v>
      </c>
      <c r="AA41" s="145">
        <v>4.5454547727272622E-2</v>
      </c>
      <c r="AB41" s="145">
        <v>9.3732765427127121E-2</v>
      </c>
      <c r="AC41" s="145">
        <v>0.14959862282634562</v>
      </c>
      <c r="AD41" s="145">
        <v>0.29205825452356377</v>
      </c>
      <c r="AE41" s="145">
        <v>0.17</v>
      </c>
      <c r="AF41" s="145">
        <v>0.29495400699581797</v>
      </c>
      <c r="AG41" s="145">
        <v>0</v>
      </c>
      <c r="AH41" s="145">
        <v>0</v>
      </c>
      <c r="AI41" s="145">
        <v>0</v>
      </c>
      <c r="AJ41" s="145">
        <v>0</v>
      </c>
      <c r="AK41" s="145">
        <v>0</v>
      </c>
      <c r="AL41" s="145">
        <v>0</v>
      </c>
      <c r="AM41" s="145">
        <v>0.15</v>
      </c>
      <c r="AN41" s="145">
        <v>0</v>
      </c>
      <c r="AO41" s="145">
        <v>0</v>
      </c>
      <c r="AP41" s="145">
        <v>0</v>
      </c>
      <c r="AQ41" s="145">
        <v>0.04</v>
      </c>
      <c r="AR41" s="145">
        <v>0</v>
      </c>
      <c r="AS41" s="145">
        <v>0</v>
      </c>
      <c r="AT41" s="145">
        <v>0</v>
      </c>
      <c r="AU41" s="145">
        <v>0</v>
      </c>
      <c r="AV41" s="145">
        <v>0</v>
      </c>
      <c r="AW41" s="145">
        <v>0</v>
      </c>
      <c r="AX41" s="145">
        <v>0</v>
      </c>
      <c r="AY41" s="145">
        <v>0</v>
      </c>
      <c r="AZ41" s="145">
        <v>0</v>
      </c>
      <c r="BA41" s="145">
        <v>0</v>
      </c>
    </row>
    <row r="42" spans="1:53" x14ac:dyDescent="0.15">
      <c r="A42" s="182" t="s">
        <v>232</v>
      </c>
      <c r="B42" s="145">
        <v>0</v>
      </c>
      <c r="C42" s="145">
        <v>0</v>
      </c>
      <c r="D42" s="145">
        <v>0</v>
      </c>
      <c r="E42" s="145">
        <v>0</v>
      </c>
      <c r="F42" s="145">
        <v>0</v>
      </c>
      <c r="G42" s="145">
        <v>7.9966121281173207E-3</v>
      </c>
      <c r="H42" s="145">
        <v>2.4154755309656363E-3</v>
      </c>
      <c r="I42" s="145">
        <v>0</v>
      </c>
      <c r="J42" s="145">
        <v>0</v>
      </c>
      <c r="K42" s="145">
        <v>2.000424588058378E-4</v>
      </c>
      <c r="L42" s="145">
        <v>4.0001515437411594E-2</v>
      </c>
      <c r="M42" s="145">
        <v>2.0926082736936337E-2</v>
      </c>
      <c r="N42" s="145">
        <v>0.12766669744666606</v>
      </c>
      <c r="O42" s="145">
        <v>0</v>
      </c>
      <c r="P42" s="145">
        <v>0.10006313328624383</v>
      </c>
      <c r="Q42" s="145">
        <v>6.2461794665773278E-2</v>
      </c>
      <c r="R42" s="145">
        <v>0.13739626537800509</v>
      </c>
      <c r="S42" s="145">
        <v>0</v>
      </c>
      <c r="T42" s="145">
        <v>0.15</v>
      </c>
      <c r="U42" s="145">
        <v>1.2538970089546644E-3</v>
      </c>
      <c r="V42" s="145">
        <v>2.0270510314405921E-3</v>
      </c>
      <c r="W42" s="145">
        <v>4.5575703603216534E-2</v>
      </c>
      <c r="X42" s="145">
        <v>0</v>
      </c>
      <c r="Y42" s="145">
        <v>0</v>
      </c>
      <c r="Z42" s="145">
        <v>4.3759870463854619E-3</v>
      </c>
      <c r="AA42" s="145">
        <v>4.5454547727272622E-2</v>
      </c>
      <c r="AB42" s="145">
        <v>4.6866382713563561E-2</v>
      </c>
      <c r="AC42" s="145">
        <v>0.12246220895216958</v>
      </c>
      <c r="AD42" s="145">
        <v>9.0017955161372398E-2</v>
      </c>
      <c r="AE42" s="145">
        <v>0</v>
      </c>
      <c r="AF42" s="145">
        <v>4.0000342634572035E-3</v>
      </c>
      <c r="AG42" s="145">
        <v>0</v>
      </c>
      <c r="AH42" s="145">
        <v>0</v>
      </c>
      <c r="AI42" s="145">
        <v>0</v>
      </c>
      <c r="AJ42" s="145">
        <v>0</v>
      </c>
      <c r="AK42" s="145">
        <v>0</v>
      </c>
      <c r="AL42" s="145">
        <v>0</v>
      </c>
      <c r="AM42" s="145">
        <v>0.08</v>
      </c>
      <c r="AN42" s="145">
        <v>0</v>
      </c>
      <c r="AO42" s="145">
        <v>0</v>
      </c>
      <c r="AP42" s="145">
        <v>0</v>
      </c>
      <c r="AQ42" s="145">
        <v>0.02</v>
      </c>
      <c r="AR42" s="145">
        <v>0</v>
      </c>
      <c r="AS42" s="145">
        <v>0</v>
      </c>
      <c r="AT42" s="145">
        <v>0</v>
      </c>
      <c r="AU42" s="145">
        <v>0</v>
      </c>
      <c r="AV42" s="145">
        <v>0</v>
      </c>
      <c r="AW42" s="145">
        <v>0</v>
      </c>
      <c r="AX42" s="145">
        <v>0</v>
      </c>
      <c r="AY42" s="145">
        <v>0</v>
      </c>
      <c r="AZ42" s="145">
        <v>0</v>
      </c>
      <c r="BA42" s="145">
        <v>0</v>
      </c>
    </row>
    <row r="43" spans="1:53" x14ac:dyDescent="0.15">
      <c r="A43" s="182" t="s">
        <v>233</v>
      </c>
      <c r="B43" s="145">
        <v>0</v>
      </c>
      <c r="C43" s="145">
        <v>3.5166466423123763E-4</v>
      </c>
      <c r="D43" s="1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5.0010614701459445E-4</v>
      </c>
      <c r="L43" s="145">
        <v>9.1144592967332279E-4</v>
      </c>
      <c r="M43" s="145">
        <v>4.7488284308313478E-2</v>
      </c>
      <c r="N43" s="145">
        <v>0</v>
      </c>
      <c r="O43" s="145">
        <v>0</v>
      </c>
      <c r="P43" s="145">
        <v>0</v>
      </c>
      <c r="Q43" s="145">
        <v>7.103641049728282E-2</v>
      </c>
      <c r="R43" s="145">
        <v>2.4010430311576101E-5</v>
      </c>
      <c r="S43" s="145">
        <v>0</v>
      </c>
      <c r="T43" s="145">
        <v>0</v>
      </c>
      <c r="U43" s="145">
        <v>0</v>
      </c>
      <c r="V43" s="145">
        <v>4.4210410237390132E-5</v>
      </c>
      <c r="W43" s="145">
        <v>6.5646323042968677E-2</v>
      </c>
      <c r="X43" s="145">
        <v>1.2341940049367759E-2</v>
      </c>
      <c r="Y43" s="145">
        <v>0</v>
      </c>
      <c r="Z43" s="145">
        <v>0.18435410195415347</v>
      </c>
      <c r="AA43" s="145">
        <v>4.5454547727272622E-2</v>
      </c>
      <c r="AB43" s="145">
        <v>9.3732765427127121E-2</v>
      </c>
      <c r="AC43" s="145">
        <v>2.3819538760017391E-2</v>
      </c>
      <c r="AD43" s="145">
        <v>4.0007980071721065E-2</v>
      </c>
      <c r="AE43" s="145">
        <v>0</v>
      </c>
      <c r="AF43" s="145">
        <v>0</v>
      </c>
      <c r="AG43" s="145">
        <v>0</v>
      </c>
      <c r="AH43" s="145">
        <v>0</v>
      </c>
      <c r="AI43" s="145">
        <v>0</v>
      </c>
      <c r="AJ43" s="145">
        <v>0</v>
      </c>
      <c r="AK43" s="145">
        <v>0</v>
      </c>
      <c r="AL43" s="145">
        <v>0</v>
      </c>
      <c r="AM43" s="145">
        <v>0.05</v>
      </c>
      <c r="AN43" s="145">
        <v>0</v>
      </c>
      <c r="AO43" s="145">
        <v>0</v>
      </c>
      <c r="AP43" s="145">
        <v>0</v>
      </c>
      <c r="AQ43" s="145">
        <v>0</v>
      </c>
      <c r="AR43" s="145">
        <v>0</v>
      </c>
      <c r="AS43" s="145">
        <v>0</v>
      </c>
      <c r="AT43" s="145">
        <v>0</v>
      </c>
      <c r="AU43" s="145">
        <v>0</v>
      </c>
      <c r="AV43" s="145">
        <v>0</v>
      </c>
      <c r="AW43" s="145">
        <v>0</v>
      </c>
      <c r="AX43" s="145">
        <v>0</v>
      </c>
      <c r="AY43" s="145">
        <v>0</v>
      </c>
      <c r="AZ43" s="145">
        <v>0</v>
      </c>
      <c r="BA43" s="145">
        <v>0</v>
      </c>
    </row>
    <row r="44" spans="1:53" x14ac:dyDescent="0.15">
      <c r="A44" s="182" t="s">
        <v>234</v>
      </c>
      <c r="B44" s="145">
        <v>0</v>
      </c>
      <c r="C44" s="145">
        <v>0</v>
      </c>
      <c r="D44" s="145">
        <v>0</v>
      </c>
      <c r="E44" s="145">
        <v>0</v>
      </c>
      <c r="F44" s="145">
        <v>0</v>
      </c>
      <c r="G44" s="145">
        <v>0</v>
      </c>
      <c r="H44" s="145">
        <v>0</v>
      </c>
      <c r="I44" s="145">
        <v>0</v>
      </c>
      <c r="J44" s="145">
        <v>0</v>
      </c>
      <c r="K44" s="145">
        <v>0</v>
      </c>
      <c r="L44" s="145">
        <v>0</v>
      </c>
      <c r="M44" s="145">
        <v>0</v>
      </c>
      <c r="N44" s="145">
        <v>7.499999850000004E-2</v>
      </c>
      <c r="O44" s="145">
        <v>0</v>
      </c>
      <c r="P44" s="145">
        <v>0</v>
      </c>
      <c r="Q44" s="145">
        <v>1.6380396021161892E-4</v>
      </c>
      <c r="R44" s="145">
        <v>0</v>
      </c>
      <c r="S44" s="145">
        <v>0</v>
      </c>
      <c r="T44" s="145">
        <v>0</v>
      </c>
      <c r="U44" s="145">
        <v>1.1242229433384409E-2</v>
      </c>
      <c r="V44" s="145">
        <v>0</v>
      </c>
      <c r="W44" s="145">
        <v>0</v>
      </c>
      <c r="X44" s="145">
        <v>0</v>
      </c>
      <c r="Y44" s="145">
        <v>0</v>
      </c>
      <c r="Z44" s="145">
        <v>0.14078170149228605</v>
      </c>
      <c r="AA44" s="145">
        <v>4.5454547727272622E-2</v>
      </c>
      <c r="AB44" s="145">
        <v>4.6866382713563561E-2</v>
      </c>
      <c r="AC44" s="145">
        <v>1.1629891660361156E-2</v>
      </c>
      <c r="AD44" s="145">
        <v>0.11815436730641167</v>
      </c>
      <c r="AE44" s="145">
        <v>0</v>
      </c>
      <c r="AF44" s="145">
        <v>0</v>
      </c>
      <c r="AG44" s="145">
        <v>0</v>
      </c>
      <c r="AH44" s="145">
        <v>0</v>
      </c>
      <c r="AI44" s="145">
        <v>0</v>
      </c>
      <c r="AJ44" s="145">
        <v>0</v>
      </c>
      <c r="AK44" s="145">
        <v>0</v>
      </c>
      <c r="AL44" s="145">
        <v>0</v>
      </c>
      <c r="AM44" s="145">
        <v>0.15</v>
      </c>
      <c r="AN44" s="145">
        <v>0</v>
      </c>
      <c r="AO44" s="145">
        <v>1E-3</v>
      </c>
      <c r="AP44" s="145">
        <v>0</v>
      </c>
      <c r="AQ44" s="145">
        <v>0.02</v>
      </c>
      <c r="AR44" s="145">
        <v>0</v>
      </c>
      <c r="AS44" s="145">
        <v>0</v>
      </c>
      <c r="AT44" s="145">
        <v>0</v>
      </c>
      <c r="AU44" s="145">
        <v>0</v>
      </c>
      <c r="AV44" s="145">
        <v>0</v>
      </c>
      <c r="AW44" s="145">
        <v>0</v>
      </c>
      <c r="AX44" s="145">
        <v>0</v>
      </c>
      <c r="AY44" s="145">
        <v>0</v>
      </c>
      <c r="AZ44" s="145">
        <v>0</v>
      </c>
      <c r="BA44" s="145">
        <v>0</v>
      </c>
    </row>
    <row r="45" spans="1:53" x14ac:dyDescent="0.15">
      <c r="A45" s="182" t="s">
        <v>235</v>
      </c>
      <c r="B45" s="145">
        <v>0</v>
      </c>
      <c r="C45" s="145">
        <v>0</v>
      </c>
      <c r="D45" s="145">
        <v>0</v>
      </c>
      <c r="E45" s="145">
        <v>5.0003330721859376E-2</v>
      </c>
      <c r="F45" s="145">
        <v>0</v>
      </c>
      <c r="G45" s="145">
        <v>0</v>
      </c>
      <c r="H45" s="145">
        <v>0.55003040647291357</v>
      </c>
      <c r="I45" s="145">
        <v>0.9</v>
      </c>
      <c r="J45" s="145">
        <v>0.66666666000000041</v>
      </c>
      <c r="K45" s="145">
        <v>0.35507536438036208</v>
      </c>
      <c r="L45" s="145">
        <v>7.3715092659427863E-4</v>
      </c>
      <c r="M45" s="145">
        <v>2.3991736878745389E-2</v>
      </c>
      <c r="N45" s="145">
        <v>7.3333328533333436E-2</v>
      </c>
      <c r="O45" s="145">
        <v>0</v>
      </c>
      <c r="P45" s="145">
        <v>0.10201338925734003</v>
      </c>
      <c r="Q45" s="145">
        <v>0</v>
      </c>
      <c r="R45" s="145">
        <v>0</v>
      </c>
      <c r="S45" s="145">
        <v>0</v>
      </c>
      <c r="T45" s="145">
        <v>0</v>
      </c>
      <c r="U45" s="145">
        <v>0</v>
      </c>
      <c r="V45" s="145">
        <v>1.7376614075745816E-4</v>
      </c>
      <c r="W45" s="145">
        <v>0.10804403150829267</v>
      </c>
      <c r="X45" s="145">
        <v>0</v>
      </c>
      <c r="Y45" s="145">
        <v>0</v>
      </c>
      <c r="Z45" s="145">
        <v>0</v>
      </c>
      <c r="AA45" s="145">
        <v>0</v>
      </c>
      <c r="AB45" s="145">
        <v>0</v>
      </c>
      <c r="AC45" s="145">
        <v>2.0008415759761131E-2</v>
      </c>
      <c r="AD45" s="145">
        <v>0.14502892775998885</v>
      </c>
      <c r="AE45" s="145">
        <v>0</v>
      </c>
      <c r="AF45" s="145">
        <v>0</v>
      </c>
      <c r="AG45" s="145">
        <v>0</v>
      </c>
      <c r="AH45" s="145">
        <v>0</v>
      </c>
      <c r="AI45" s="145">
        <v>0</v>
      </c>
      <c r="AJ45" s="145">
        <v>0</v>
      </c>
      <c r="AK45" s="145">
        <v>0</v>
      </c>
      <c r="AL45" s="145">
        <v>0</v>
      </c>
      <c r="AM45" s="145">
        <v>0</v>
      </c>
      <c r="AN45" s="145">
        <v>0</v>
      </c>
      <c r="AO45" s="145">
        <v>0</v>
      </c>
      <c r="AP45" s="145">
        <v>0.1</v>
      </c>
      <c r="AQ45" s="145">
        <v>0</v>
      </c>
      <c r="AR45" s="145">
        <v>0</v>
      </c>
      <c r="AS45" s="145">
        <v>0</v>
      </c>
      <c r="AT45" s="145">
        <v>0.36</v>
      </c>
      <c r="AU45" s="145">
        <v>0</v>
      </c>
      <c r="AV45" s="145">
        <v>0</v>
      </c>
      <c r="AW45" s="145">
        <v>0</v>
      </c>
      <c r="AX45" s="145">
        <v>0</v>
      </c>
      <c r="AY45" s="145">
        <v>0</v>
      </c>
      <c r="AZ45" s="145">
        <v>0</v>
      </c>
      <c r="BA45" s="145">
        <v>0</v>
      </c>
    </row>
    <row r="46" spans="1:53" x14ac:dyDescent="0.15">
      <c r="A46" s="182" t="s">
        <v>236</v>
      </c>
      <c r="B46" s="145">
        <v>0</v>
      </c>
      <c r="C46" s="145">
        <v>0</v>
      </c>
      <c r="D46" s="145">
        <v>3.8465451115498081E-2</v>
      </c>
      <c r="E46" s="145">
        <v>7.5004996082789058E-2</v>
      </c>
      <c r="F46" s="145">
        <v>0</v>
      </c>
      <c r="G46" s="145">
        <v>6.9970356121026547E-2</v>
      </c>
      <c r="H46" s="145">
        <v>0.17000939836435511</v>
      </c>
      <c r="I46" s="145">
        <v>0</v>
      </c>
      <c r="J46" s="145">
        <v>0</v>
      </c>
      <c r="K46" s="145">
        <v>0.15003184410437834</v>
      </c>
      <c r="L46" s="145">
        <v>0</v>
      </c>
      <c r="M46" s="145">
        <v>9.9965570328105786E-3</v>
      </c>
      <c r="N46" s="145">
        <v>1.1833329763333405E-2</v>
      </c>
      <c r="O46" s="145">
        <v>0</v>
      </c>
      <c r="P46" s="145">
        <v>3.0003938016864715E-2</v>
      </c>
      <c r="Q46" s="145">
        <v>0</v>
      </c>
      <c r="R46" s="145">
        <v>0</v>
      </c>
      <c r="S46" s="145">
        <v>3.3182535581731322E-2</v>
      </c>
      <c r="T46" s="145">
        <v>0</v>
      </c>
      <c r="U46" s="145">
        <v>1.1242229433384409E-2</v>
      </c>
      <c r="V46" s="145">
        <v>4.0650062980597959E-3</v>
      </c>
      <c r="W46" s="145">
        <v>1.0004076991508581E-2</v>
      </c>
      <c r="X46" s="145">
        <v>0</v>
      </c>
      <c r="Y46" s="145">
        <v>0</v>
      </c>
      <c r="Z46" s="145">
        <v>0</v>
      </c>
      <c r="AA46" s="145">
        <v>0</v>
      </c>
      <c r="AB46" s="145">
        <v>0</v>
      </c>
      <c r="AC46" s="145">
        <v>2.0008415759761131E-2</v>
      </c>
      <c r="AD46" s="145">
        <v>2.0003990035860533E-2</v>
      </c>
      <c r="AE46" s="145">
        <v>0</v>
      </c>
      <c r="AF46" s="145">
        <v>4.000033263613112E-2</v>
      </c>
      <c r="AG46" s="145">
        <v>0</v>
      </c>
      <c r="AH46" s="145">
        <v>0</v>
      </c>
      <c r="AI46" s="145">
        <v>0</v>
      </c>
      <c r="AJ46" s="145">
        <v>0</v>
      </c>
      <c r="AK46" s="145">
        <v>0</v>
      </c>
      <c r="AL46" s="145">
        <v>0</v>
      </c>
      <c r="AM46" s="145">
        <v>0</v>
      </c>
      <c r="AN46" s="145">
        <v>0</v>
      </c>
      <c r="AO46" s="145">
        <v>0</v>
      </c>
      <c r="AP46" s="145">
        <v>0</v>
      </c>
      <c r="AQ46" s="145">
        <v>0</v>
      </c>
      <c r="AR46" s="145">
        <v>0</v>
      </c>
      <c r="AS46" s="145">
        <v>0</v>
      </c>
      <c r="AT46" s="145">
        <v>0.03</v>
      </c>
      <c r="AU46" s="145">
        <v>0</v>
      </c>
      <c r="AV46" s="145">
        <v>0</v>
      </c>
      <c r="AW46" s="145">
        <v>0</v>
      </c>
      <c r="AX46" s="145">
        <v>0</v>
      </c>
      <c r="AY46" s="145">
        <v>0</v>
      </c>
      <c r="AZ46" s="145">
        <v>0</v>
      </c>
      <c r="BA46" s="145">
        <v>0</v>
      </c>
    </row>
    <row r="47" spans="1:53" x14ac:dyDescent="0.15">
      <c r="A47" s="182" t="s">
        <v>237</v>
      </c>
      <c r="B47" s="145">
        <v>0</v>
      </c>
      <c r="C47" s="145">
        <v>0</v>
      </c>
      <c r="D47" s="145">
        <v>0</v>
      </c>
      <c r="E47" s="145">
        <v>5.0003330721859376E-2</v>
      </c>
      <c r="F47" s="145">
        <v>0</v>
      </c>
      <c r="G47" s="145">
        <v>0</v>
      </c>
      <c r="H47" s="145">
        <v>2.3993776410511009E-2</v>
      </c>
      <c r="I47" s="145">
        <v>0</v>
      </c>
      <c r="J47" s="145">
        <v>0.11111109333333442</v>
      </c>
      <c r="K47" s="145">
        <v>6.504373546585758E-2</v>
      </c>
      <c r="L47" s="145">
        <v>7.3715092659427863E-4</v>
      </c>
      <c r="M47" s="145">
        <v>2.701565539494246E-2</v>
      </c>
      <c r="N47" s="145">
        <v>7.3333328533333436E-2</v>
      </c>
      <c r="O47" s="145">
        <v>0</v>
      </c>
      <c r="P47" s="145">
        <v>0.1000131267228824</v>
      </c>
      <c r="Q47" s="145">
        <v>0</v>
      </c>
      <c r="R47" s="145">
        <v>0</v>
      </c>
      <c r="S47" s="145">
        <v>0</v>
      </c>
      <c r="T47" s="145">
        <v>0</v>
      </c>
      <c r="U47" s="145">
        <v>0</v>
      </c>
      <c r="V47" s="145">
        <v>0</v>
      </c>
      <c r="W47" s="145">
        <v>2.4724305970585111E-2</v>
      </c>
      <c r="X47" s="145">
        <v>0</v>
      </c>
      <c r="Y47" s="145">
        <v>0</v>
      </c>
      <c r="Z47" s="145">
        <v>0</v>
      </c>
      <c r="AA47" s="145">
        <v>0</v>
      </c>
      <c r="AB47" s="145">
        <v>0</v>
      </c>
      <c r="AC47" s="145">
        <v>0</v>
      </c>
      <c r="AD47" s="145">
        <v>4.0017521974968174E-3</v>
      </c>
      <c r="AE47" s="145">
        <v>0</v>
      </c>
      <c r="AF47" s="145">
        <v>0</v>
      </c>
      <c r="AG47" s="145">
        <v>0</v>
      </c>
      <c r="AH47" s="145">
        <v>0</v>
      </c>
      <c r="AI47" s="145">
        <v>0</v>
      </c>
      <c r="AJ47" s="145">
        <v>0.1</v>
      </c>
      <c r="AK47" s="145">
        <v>0</v>
      </c>
      <c r="AL47" s="145">
        <v>0</v>
      </c>
      <c r="AM47" s="145">
        <v>0</v>
      </c>
      <c r="AN47" s="145">
        <v>0</v>
      </c>
      <c r="AO47" s="145">
        <v>0</v>
      </c>
      <c r="AP47" s="145">
        <v>0</v>
      </c>
      <c r="AQ47" s="145">
        <v>0</v>
      </c>
      <c r="AR47" s="145">
        <v>0</v>
      </c>
      <c r="AS47" s="145">
        <v>0</v>
      </c>
      <c r="AT47" s="145">
        <v>0</v>
      </c>
      <c r="AU47" s="145">
        <v>0</v>
      </c>
      <c r="AV47" s="145">
        <v>0.32</v>
      </c>
      <c r="AW47" s="145">
        <v>0</v>
      </c>
      <c r="AX47" s="145">
        <v>0</v>
      </c>
      <c r="AY47" s="145">
        <v>0</v>
      </c>
      <c r="AZ47" s="145">
        <v>0</v>
      </c>
      <c r="BA47" s="145">
        <v>0</v>
      </c>
    </row>
    <row r="48" spans="1:53" x14ac:dyDescent="0.15">
      <c r="A48" s="182" t="s">
        <v>238</v>
      </c>
      <c r="B48" s="145">
        <v>0</v>
      </c>
      <c r="C48" s="145">
        <v>0</v>
      </c>
      <c r="D48" s="145">
        <v>3.8465451115498081E-2</v>
      </c>
      <c r="E48" s="145">
        <v>7.5004996082789058E-2</v>
      </c>
      <c r="F48" s="145">
        <v>0</v>
      </c>
      <c r="G48" s="145">
        <v>0</v>
      </c>
      <c r="H48" s="145">
        <v>2.1301477576354547E-2</v>
      </c>
      <c r="I48" s="145">
        <v>0</v>
      </c>
      <c r="J48" s="145">
        <v>0</v>
      </c>
      <c r="K48" s="145">
        <v>0.15003184410437834</v>
      </c>
      <c r="L48" s="145">
        <v>0</v>
      </c>
      <c r="M48" s="145">
        <v>4.6875005530907579E-2</v>
      </c>
      <c r="N48" s="145">
        <v>1.1833329763333405E-2</v>
      </c>
      <c r="O48" s="145">
        <v>0</v>
      </c>
      <c r="P48" s="145">
        <v>3.0003938016864715E-2</v>
      </c>
      <c r="Q48" s="145">
        <v>0</v>
      </c>
      <c r="R48" s="145">
        <v>0</v>
      </c>
      <c r="S48" s="145">
        <v>0</v>
      </c>
      <c r="T48" s="145">
        <v>0</v>
      </c>
      <c r="U48" s="145">
        <v>3.7474084776501627E-3</v>
      </c>
      <c r="V48" s="145">
        <v>0</v>
      </c>
      <c r="W48" s="145">
        <v>1.4646338866417249E-2</v>
      </c>
      <c r="X48" s="145">
        <v>0</v>
      </c>
      <c r="Y48" s="145">
        <v>0</v>
      </c>
      <c r="Z48" s="145">
        <v>0</v>
      </c>
      <c r="AA48" s="145">
        <v>0</v>
      </c>
      <c r="AB48" s="145">
        <v>0</v>
      </c>
      <c r="AC48" s="145">
        <v>5.3355772024627048E-3</v>
      </c>
      <c r="AD48" s="145">
        <v>2.0008760987484087E-3</v>
      </c>
      <c r="AE48" s="145">
        <v>0</v>
      </c>
      <c r="AF48" s="145">
        <v>1.0000080659422551E-2</v>
      </c>
      <c r="AG48" s="145">
        <v>0</v>
      </c>
      <c r="AH48" s="145">
        <v>0</v>
      </c>
      <c r="AI48" s="145">
        <v>0</v>
      </c>
      <c r="AJ48" s="145">
        <v>0</v>
      </c>
      <c r="AK48" s="145">
        <v>0</v>
      </c>
      <c r="AL48" s="145">
        <v>0</v>
      </c>
      <c r="AM48" s="145">
        <v>0</v>
      </c>
      <c r="AN48" s="145">
        <v>0</v>
      </c>
      <c r="AO48" s="145">
        <v>0</v>
      </c>
      <c r="AP48" s="145">
        <v>0</v>
      </c>
      <c r="AQ48" s="145">
        <v>0</v>
      </c>
      <c r="AR48" s="145">
        <v>0</v>
      </c>
      <c r="AS48" s="145">
        <v>0</v>
      </c>
      <c r="AT48" s="145">
        <v>0</v>
      </c>
      <c r="AU48" s="145">
        <v>0</v>
      </c>
      <c r="AV48" s="145">
        <v>0.06</v>
      </c>
      <c r="AW48" s="145">
        <v>0</v>
      </c>
      <c r="AX48" s="145">
        <v>0</v>
      </c>
      <c r="AY48" s="145">
        <v>0</v>
      </c>
      <c r="AZ48" s="145">
        <v>0</v>
      </c>
      <c r="BA48" s="145">
        <v>0</v>
      </c>
    </row>
    <row r="49" spans="1:53" x14ac:dyDescent="0.15">
      <c r="A49" s="182" t="s">
        <v>239</v>
      </c>
      <c r="B49" s="145">
        <v>0</v>
      </c>
      <c r="C49" s="145">
        <v>0</v>
      </c>
      <c r="D49" s="145">
        <v>0</v>
      </c>
      <c r="E49" s="145">
        <v>0</v>
      </c>
      <c r="F49" s="145">
        <v>0</v>
      </c>
      <c r="G49" s="145">
        <v>0</v>
      </c>
      <c r="H49" s="145">
        <v>0</v>
      </c>
      <c r="I49" s="145">
        <v>0</v>
      </c>
      <c r="J49" s="145">
        <v>5.5555556666666603E-2</v>
      </c>
      <c r="K49" s="145">
        <v>0</v>
      </c>
      <c r="L49" s="145">
        <v>0</v>
      </c>
      <c r="M49" s="145">
        <v>6.2438705154632568E-2</v>
      </c>
      <c r="N49" s="145">
        <v>0</v>
      </c>
      <c r="O49" s="145">
        <v>0</v>
      </c>
      <c r="P49" s="145">
        <v>0</v>
      </c>
      <c r="Q49" s="145">
        <v>0</v>
      </c>
      <c r="R49" s="145">
        <v>0</v>
      </c>
      <c r="S49" s="145">
        <v>0</v>
      </c>
      <c r="T49" s="145">
        <v>0</v>
      </c>
      <c r="U49" s="145">
        <v>0</v>
      </c>
      <c r="V49" s="145">
        <v>0</v>
      </c>
      <c r="W49" s="145">
        <v>0</v>
      </c>
      <c r="X49" s="145">
        <v>0</v>
      </c>
      <c r="Y49" s="145">
        <v>0</v>
      </c>
      <c r="Z49" s="145">
        <v>0</v>
      </c>
      <c r="AA49" s="145">
        <v>0</v>
      </c>
      <c r="AB49" s="145">
        <v>0</v>
      </c>
      <c r="AC49" s="145">
        <v>0</v>
      </c>
      <c r="AD49" s="145">
        <v>0</v>
      </c>
      <c r="AE49" s="145">
        <v>0</v>
      </c>
      <c r="AF49" s="145">
        <v>0</v>
      </c>
      <c r="AG49" s="145">
        <v>0</v>
      </c>
      <c r="AH49" s="145">
        <v>0.1</v>
      </c>
      <c r="AI49" s="145">
        <v>0</v>
      </c>
      <c r="AJ49" s="145">
        <v>0</v>
      </c>
      <c r="AK49" s="145">
        <v>0</v>
      </c>
      <c r="AL49" s="145">
        <v>0</v>
      </c>
      <c r="AM49" s="145">
        <v>0</v>
      </c>
      <c r="AN49" s="145">
        <v>0</v>
      </c>
      <c r="AO49" s="145">
        <v>0</v>
      </c>
      <c r="AP49" s="145">
        <v>0</v>
      </c>
      <c r="AQ49" s="145">
        <v>0</v>
      </c>
      <c r="AR49" s="145">
        <v>0</v>
      </c>
      <c r="AS49" s="145">
        <v>0</v>
      </c>
      <c r="AT49" s="145">
        <v>0</v>
      </c>
      <c r="AU49" s="145">
        <v>0.9</v>
      </c>
      <c r="AV49" s="145">
        <v>0.41</v>
      </c>
      <c r="AW49" s="145">
        <v>0</v>
      </c>
      <c r="AX49" s="145">
        <v>0</v>
      </c>
      <c r="AY49" s="145">
        <v>0</v>
      </c>
      <c r="AZ49" s="145">
        <v>0</v>
      </c>
      <c r="BA49" s="145">
        <v>0</v>
      </c>
    </row>
    <row r="50" spans="1:53" x14ac:dyDescent="0.15">
      <c r="A50" s="182" t="s">
        <v>240</v>
      </c>
      <c r="B50" s="145">
        <v>0</v>
      </c>
      <c r="C50" s="145">
        <v>0</v>
      </c>
      <c r="D50" s="145">
        <v>0</v>
      </c>
      <c r="E50" s="145">
        <v>0</v>
      </c>
      <c r="F50" s="145">
        <v>0</v>
      </c>
      <c r="G50" s="145">
        <v>0</v>
      </c>
      <c r="H50" s="145">
        <v>0</v>
      </c>
      <c r="I50" s="145">
        <v>0.1</v>
      </c>
      <c r="J50" s="145">
        <v>0.16666668999999862</v>
      </c>
      <c r="K50" s="145">
        <v>0</v>
      </c>
      <c r="L50" s="145">
        <v>0</v>
      </c>
      <c r="M50" s="145">
        <v>1.5609673789518884E-2</v>
      </c>
      <c r="N50" s="145">
        <v>0</v>
      </c>
      <c r="O50" s="145">
        <v>0</v>
      </c>
      <c r="P50" s="145">
        <v>0</v>
      </c>
      <c r="Q50" s="145">
        <v>0</v>
      </c>
      <c r="R50" s="145">
        <v>0</v>
      </c>
      <c r="S50" s="145">
        <v>0</v>
      </c>
      <c r="T50" s="145">
        <v>0</v>
      </c>
      <c r="U50" s="145">
        <v>0</v>
      </c>
      <c r="V50" s="145">
        <v>0</v>
      </c>
      <c r="W50" s="145">
        <v>0</v>
      </c>
      <c r="X50" s="145">
        <v>0</v>
      </c>
      <c r="Y50" s="145">
        <v>0</v>
      </c>
      <c r="Z50" s="145">
        <v>0</v>
      </c>
      <c r="AA50" s="145">
        <v>0</v>
      </c>
      <c r="AB50" s="145">
        <v>0</v>
      </c>
      <c r="AC50" s="145">
        <v>0</v>
      </c>
      <c r="AD50" s="145">
        <v>0</v>
      </c>
      <c r="AE50" s="145">
        <v>0</v>
      </c>
      <c r="AF50" s="145">
        <v>0</v>
      </c>
      <c r="AG50" s="145">
        <v>0</v>
      </c>
      <c r="AH50" s="145">
        <v>0</v>
      </c>
      <c r="AI50" s="145">
        <v>0</v>
      </c>
      <c r="AJ50" s="145">
        <v>0</v>
      </c>
      <c r="AK50" s="145">
        <v>0</v>
      </c>
      <c r="AL50" s="145">
        <v>0</v>
      </c>
      <c r="AM50" s="145">
        <v>0</v>
      </c>
      <c r="AN50" s="145">
        <v>0.4</v>
      </c>
      <c r="AO50" s="145">
        <v>0</v>
      </c>
      <c r="AP50" s="145">
        <v>0</v>
      </c>
      <c r="AQ50" s="145">
        <v>0</v>
      </c>
      <c r="AR50" s="145">
        <v>0</v>
      </c>
      <c r="AS50" s="145">
        <v>0.9</v>
      </c>
      <c r="AT50" s="145">
        <v>0.4</v>
      </c>
      <c r="AU50" s="145">
        <v>0</v>
      </c>
      <c r="AV50" s="145">
        <v>0</v>
      </c>
      <c r="AW50" s="145">
        <v>0</v>
      </c>
      <c r="AX50" s="145">
        <v>0</v>
      </c>
      <c r="AY50" s="145">
        <v>0</v>
      </c>
      <c r="AZ50" s="145">
        <v>0</v>
      </c>
      <c r="BA50" s="145">
        <v>0</v>
      </c>
    </row>
    <row r="51" spans="1:53" x14ac:dyDescent="0.15">
      <c r="A51" s="182" t="s">
        <v>241</v>
      </c>
      <c r="B51" s="145">
        <v>0</v>
      </c>
      <c r="C51" s="145">
        <v>0</v>
      </c>
      <c r="D51" s="145">
        <v>0</v>
      </c>
      <c r="E51" s="145">
        <v>0</v>
      </c>
      <c r="F51" s="145">
        <v>0.82900000000000007</v>
      </c>
      <c r="G51" s="145">
        <v>0</v>
      </c>
      <c r="H51" s="145">
        <v>0</v>
      </c>
      <c r="I51" s="145">
        <v>0</v>
      </c>
      <c r="J51" s="145">
        <v>0</v>
      </c>
      <c r="K51" s="145">
        <v>0</v>
      </c>
      <c r="L51" s="145">
        <v>0</v>
      </c>
      <c r="M51" s="145">
        <v>9.9975366953997946E-2</v>
      </c>
      <c r="N51" s="145">
        <v>0</v>
      </c>
      <c r="O51" s="145">
        <v>0</v>
      </c>
      <c r="P51" s="145">
        <v>0</v>
      </c>
      <c r="Q51" s="145">
        <v>5.2397187202741835E-2</v>
      </c>
      <c r="R51" s="145">
        <v>0</v>
      </c>
      <c r="S51" s="145">
        <v>0</v>
      </c>
      <c r="T51" s="145">
        <v>0</v>
      </c>
      <c r="U51" s="145">
        <v>0</v>
      </c>
      <c r="V51" s="145">
        <v>0</v>
      </c>
      <c r="W51" s="145">
        <v>0</v>
      </c>
      <c r="X51" s="145">
        <v>0</v>
      </c>
      <c r="Y51" s="145">
        <v>0</v>
      </c>
      <c r="Z51" s="145">
        <v>0.25567430271014763</v>
      </c>
      <c r="AA51" s="145">
        <v>0.49999997500000132</v>
      </c>
      <c r="AB51" s="145">
        <v>0</v>
      </c>
      <c r="AC51" s="145">
        <v>0</v>
      </c>
      <c r="AD51" s="145">
        <v>0</v>
      </c>
      <c r="AE51" s="145">
        <v>0</v>
      </c>
      <c r="AF51" s="145">
        <v>0</v>
      </c>
      <c r="AG51" s="145">
        <v>0.2</v>
      </c>
      <c r="AH51" s="145">
        <v>0</v>
      </c>
      <c r="AI51" s="145">
        <v>0</v>
      </c>
      <c r="AJ51" s="145">
        <v>0</v>
      </c>
      <c r="AK51" s="145">
        <v>0</v>
      </c>
      <c r="AL51" s="145">
        <v>0</v>
      </c>
      <c r="AM51" s="145">
        <v>0</v>
      </c>
      <c r="AN51" s="145">
        <v>0</v>
      </c>
      <c r="AO51" s="145">
        <v>0</v>
      </c>
      <c r="AP51" s="145">
        <v>0</v>
      </c>
      <c r="AQ51" s="145">
        <v>0</v>
      </c>
      <c r="AR51" s="145">
        <v>0</v>
      </c>
      <c r="AS51" s="145">
        <v>0</v>
      </c>
      <c r="AT51" s="145">
        <v>0</v>
      </c>
      <c r="AU51" s="145">
        <v>0</v>
      </c>
      <c r="AV51" s="145">
        <v>0</v>
      </c>
      <c r="AW51" s="145">
        <v>0</v>
      </c>
      <c r="AX51" s="145">
        <v>0</v>
      </c>
      <c r="AY51" s="145">
        <v>0</v>
      </c>
      <c r="AZ51" s="145">
        <v>0</v>
      </c>
      <c r="BA51" s="145">
        <v>0</v>
      </c>
    </row>
    <row r="52" spans="1:53" x14ac:dyDescent="0.15">
      <c r="A52" s="182" t="s">
        <v>242</v>
      </c>
      <c r="B52" s="145">
        <v>0</v>
      </c>
      <c r="C52" s="145">
        <v>4.2199745712426136E-3</v>
      </c>
      <c r="D52" s="145">
        <v>0</v>
      </c>
      <c r="E52" s="145">
        <v>0</v>
      </c>
      <c r="F52" s="145">
        <v>7.9000000000000015E-2</v>
      </c>
      <c r="G52" s="145">
        <v>0</v>
      </c>
      <c r="H52" s="145">
        <v>5.0002764224810328E-2</v>
      </c>
      <c r="I52" s="145">
        <v>0</v>
      </c>
      <c r="J52" s="145">
        <v>0</v>
      </c>
      <c r="K52" s="145">
        <v>1.9493497474760715E-2</v>
      </c>
      <c r="L52" s="145">
        <v>0</v>
      </c>
      <c r="M52" s="145">
        <v>3.7133060805722685E-2</v>
      </c>
      <c r="N52" s="145">
        <v>0</v>
      </c>
      <c r="O52" s="145">
        <v>5.2347501016064999E-3</v>
      </c>
      <c r="P52" s="145">
        <v>0</v>
      </c>
      <c r="Q52" s="145">
        <v>0</v>
      </c>
      <c r="R52" s="145">
        <v>0</v>
      </c>
      <c r="S52" s="145">
        <v>4.998617016040964E-2</v>
      </c>
      <c r="T52" s="145">
        <v>0</v>
      </c>
      <c r="U52" s="145">
        <v>0</v>
      </c>
      <c r="V52" s="145">
        <v>0</v>
      </c>
      <c r="W52" s="145">
        <v>3.0140763355712644E-2</v>
      </c>
      <c r="X52" s="145">
        <v>0</v>
      </c>
      <c r="Y52" s="145">
        <v>0</v>
      </c>
      <c r="Z52" s="145">
        <v>0</v>
      </c>
      <c r="AA52" s="145">
        <v>0</v>
      </c>
      <c r="AB52" s="145">
        <v>0</v>
      </c>
      <c r="AC52" s="145">
        <v>0</v>
      </c>
      <c r="AD52" s="145">
        <v>0</v>
      </c>
      <c r="AE52" s="145">
        <v>0</v>
      </c>
      <c r="AF52" s="145">
        <v>0</v>
      </c>
      <c r="AG52" s="145">
        <v>0.4</v>
      </c>
      <c r="AH52" s="145">
        <v>0.85</v>
      </c>
      <c r="AI52" s="145">
        <v>0.97</v>
      </c>
      <c r="AJ52" s="145">
        <v>0.9</v>
      </c>
      <c r="AK52" s="145">
        <v>0.8</v>
      </c>
      <c r="AL52" s="145">
        <v>1</v>
      </c>
      <c r="AM52" s="145">
        <v>0.5</v>
      </c>
      <c r="AN52" s="145">
        <v>0.6</v>
      </c>
      <c r="AO52" s="145">
        <v>0.999</v>
      </c>
      <c r="AP52" s="145">
        <v>0.9</v>
      </c>
      <c r="AQ52" s="145">
        <v>0.9</v>
      </c>
      <c r="AR52" s="145">
        <v>1</v>
      </c>
      <c r="AS52" s="145">
        <v>0.1</v>
      </c>
      <c r="AT52" s="145">
        <v>0.21</v>
      </c>
      <c r="AU52" s="145">
        <v>0.1</v>
      </c>
      <c r="AV52" s="145">
        <v>0.21</v>
      </c>
      <c r="AW52" s="145">
        <v>0</v>
      </c>
      <c r="AX52" s="145">
        <v>0</v>
      </c>
      <c r="AY52" s="145">
        <v>0</v>
      </c>
      <c r="AZ52" s="145">
        <v>0</v>
      </c>
      <c r="BA52" s="145">
        <v>0</v>
      </c>
    </row>
    <row r="53" spans="1:53" x14ac:dyDescent="0.15">
      <c r="A53" s="182" t="s">
        <v>243</v>
      </c>
      <c r="B53" s="145">
        <v>0</v>
      </c>
      <c r="C53" s="145">
        <v>0</v>
      </c>
      <c r="D53" s="145">
        <v>0</v>
      </c>
      <c r="E53" s="145">
        <v>0</v>
      </c>
      <c r="F53" s="145">
        <v>0</v>
      </c>
      <c r="G53" s="145">
        <v>0</v>
      </c>
      <c r="H53" s="145">
        <v>0</v>
      </c>
      <c r="I53" s="145">
        <v>0</v>
      </c>
      <c r="J53" s="145">
        <v>0</v>
      </c>
      <c r="K53" s="145">
        <v>0</v>
      </c>
      <c r="L53" s="145">
        <v>0</v>
      </c>
      <c r="M53" s="145">
        <v>0</v>
      </c>
      <c r="N53" s="145">
        <v>0</v>
      </c>
      <c r="O53" s="145">
        <v>0</v>
      </c>
      <c r="P53" s="145">
        <v>0</v>
      </c>
      <c r="Q53" s="145">
        <v>0</v>
      </c>
      <c r="R53" s="145">
        <v>0</v>
      </c>
      <c r="S53" s="145">
        <v>0</v>
      </c>
      <c r="T53" s="145">
        <v>0</v>
      </c>
      <c r="U53" s="145">
        <v>0</v>
      </c>
      <c r="V53" s="145">
        <v>0</v>
      </c>
      <c r="W53" s="145">
        <v>0</v>
      </c>
      <c r="X53" s="145">
        <v>0</v>
      </c>
      <c r="Y53" s="145">
        <v>0</v>
      </c>
      <c r="Z53" s="145">
        <v>0</v>
      </c>
      <c r="AA53" s="145">
        <v>0</v>
      </c>
      <c r="AB53" s="145">
        <v>0</v>
      </c>
      <c r="AC53" s="145">
        <v>0</v>
      </c>
      <c r="AD53" s="145">
        <v>0</v>
      </c>
      <c r="AE53" s="145">
        <v>0</v>
      </c>
      <c r="AF53" s="145">
        <v>0</v>
      </c>
      <c r="AG53" s="145">
        <v>0</v>
      </c>
      <c r="AH53" s="145">
        <v>0</v>
      </c>
      <c r="AI53" s="145">
        <v>0</v>
      </c>
      <c r="AJ53" s="145">
        <v>0</v>
      </c>
      <c r="AK53" s="145">
        <v>0</v>
      </c>
      <c r="AL53" s="145">
        <v>0</v>
      </c>
      <c r="AM53" s="145">
        <v>0</v>
      </c>
      <c r="AN53" s="145">
        <v>0</v>
      </c>
      <c r="AO53" s="145">
        <v>0</v>
      </c>
      <c r="AP53" s="145">
        <v>0</v>
      </c>
      <c r="AQ53" s="145">
        <v>0</v>
      </c>
      <c r="AR53" s="145">
        <v>0</v>
      </c>
      <c r="AS53" s="145">
        <v>0</v>
      </c>
      <c r="AT53" s="145">
        <v>0</v>
      </c>
      <c r="AU53" s="145">
        <v>0</v>
      </c>
      <c r="AV53" s="145">
        <v>0</v>
      </c>
      <c r="AW53" s="145">
        <v>0</v>
      </c>
      <c r="AX53" s="145">
        <v>0</v>
      </c>
      <c r="AY53" s="145">
        <v>0</v>
      </c>
      <c r="AZ53" s="145">
        <v>0</v>
      </c>
      <c r="BA53" s="145">
        <v>0</v>
      </c>
    </row>
    <row r="54" spans="1:53" x14ac:dyDescent="0.15">
      <c r="A54" s="182" t="s">
        <v>248</v>
      </c>
      <c r="B54" s="145">
        <v>0.17333331039999861</v>
      </c>
      <c r="C54" s="145">
        <v>1.9561861900751519E-4</v>
      </c>
      <c r="D54" s="145">
        <v>0</v>
      </c>
      <c r="E54" s="145">
        <v>0</v>
      </c>
      <c r="F54" s="145">
        <v>0</v>
      </c>
      <c r="G54" s="145">
        <v>2.0591276229902099E-2</v>
      </c>
      <c r="H54" s="145">
        <v>2.0001105689924129E-3</v>
      </c>
      <c r="I54" s="145">
        <v>0</v>
      </c>
      <c r="J54" s="145">
        <v>0</v>
      </c>
      <c r="K54" s="145">
        <v>6.0312801329960093E-2</v>
      </c>
      <c r="L54" s="145">
        <v>0</v>
      </c>
      <c r="M54" s="145">
        <v>0</v>
      </c>
      <c r="N54" s="145">
        <v>0</v>
      </c>
      <c r="O54" s="145">
        <v>0</v>
      </c>
      <c r="P54" s="145">
        <v>0</v>
      </c>
      <c r="Q54" s="145">
        <v>0</v>
      </c>
      <c r="R54" s="145">
        <v>0</v>
      </c>
      <c r="S54" s="145">
        <v>0</v>
      </c>
      <c r="T54" s="145">
        <v>0</v>
      </c>
      <c r="U54" s="145">
        <v>0.21102288944179487</v>
      </c>
      <c r="V54" s="145">
        <v>5.7985297548317494E-2</v>
      </c>
      <c r="W54" s="145">
        <v>0</v>
      </c>
      <c r="X54" s="145">
        <v>0</v>
      </c>
      <c r="Y54" s="145">
        <v>0</v>
      </c>
      <c r="Z54" s="145">
        <v>0</v>
      </c>
      <c r="AA54" s="145">
        <v>0</v>
      </c>
      <c r="AB54" s="145">
        <v>0</v>
      </c>
      <c r="AC54" s="145">
        <v>0</v>
      </c>
      <c r="AD54" s="145">
        <v>1.2004344410544816E-3</v>
      </c>
      <c r="AE54" s="145">
        <v>0</v>
      </c>
      <c r="AF54" s="145">
        <v>0</v>
      </c>
      <c r="AG54" s="145">
        <v>0</v>
      </c>
      <c r="AH54" s="145">
        <v>0</v>
      </c>
      <c r="AI54" s="145">
        <v>0</v>
      </c>
      <c r="AJ54" s="145">
        <v>0</v>
      </c>
      <c r="AK54" s="145">
        <v>0</v>
      </c>
      <c r="AL54" s="145">
        <v>0</v>
      </c>
      <c r="AM54" s="145">
        <v>0</v>
      </c>
      <c r="AN54" s="145">
        <v>0</v>
      </c>
      <c r="AO54" s="145">
        <v>0</v>
      </c>
      <c r="AP54" s="145">
        <v>0</v>
      </c>
      <c r="AQ54" s="145">
        <v>0</v>
      </c>
      <c r="AR54" s="145">
        <v>0</v>
      </c>
      <c r="AS54" s="145">
        <v>0</v>
      </c>
      <c r="AT54" s="145">
        <v>0</v>
      </c>
      <c r="AU54" s="145">
        <v>0</v>
      </c>
      <c r="AV54" s="145">
        <v>0</v>
      </c>
      <c r="AW54" s="145">
        <v>0</v>
      </c>
      <c r="AX54" s="145">
        <v>0</v>
      </c>
      <c r="AY54" s="145">
        <v>0</v>
      </c>
      <c r="AZ54" s="145">
        <v>0</v>
      </c>
      <c r="BA54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5" customWidth="1"/>
    <col min="5" max="6" width="2.33203125" style="114" bestFit="1" customWidth="1"/>
    <col min="7" max="8" width="8.83203125" style="115"/>
  </cols>
  <sheetData>
    <row r="1" spans="1:8" ht="70" x14ac:dyDescent="0.15">
      <c r="A1" s="5" t="s">
        <v>20</v>
      </c>
      <c r="B1" s="1" t="s">
        <v>0</v>
      </c>
      <c r="C1" s="185" t="s">
        <v>242</v>
      </c>
      <c r="D1" s="185" t="s">
        <v>243</v>
      </c>
      <c r="E1" s="185" t="s">
        <v>249</v>
      </c>
      <c r="F1" s="185" t="s">
        <v>250</v>
      </c>
      <c r="G1"/>
      <c r="H1"/>
    </row>
    <row r="2" spans="1:8" x14ac:dyDescent="0.15">
      <c r="A2">
        <v>1</v>
      </c>
      <c r="B2" s="184" t="s">
        <v>192</v>
      </c>
      <c r="C2" s="115">
        <v>1</v>
      </c>
      <c r="D2" s="115">
        <v>0</v>
      </c>
      <c r="E2" s="114">
        <v>0</v>
      </c>
      <c r="F2" s="114">
        <v>1</v>
      </c>
      <c r="G2"/>
      <c r="H2"/>
    </row>
    <row r="3" spans="1:8" x14ac:dyDescent="0.15">
      <c r="A3">
        <v>2</v>
      </c>
      <c r="B3" s="184" t="s">
        <v>193</v>
      </c>
      <c r="C3" s="115">
        <v>1</v>
      </c>
      <c r="D3" s="115">
        <v>0</v>
      </c>
      <c r="E3" s="114">
        <v>0</v>
      </c>
      <c r="F3" s="114">
        <v>1</v>
      </c>
      <c r="G3"/>
      <c r="H3"/>
    </row>
    <row r="4" spans="1:8" x14ac:dyDescent="0.15">
      <c r="A4">
        <v>3</v>
      </c>
      <c r="B4" s="184" t="s">
        <v>194</v>
      </c>
      <c r="C4" s="115">
        <v>1</v>
      </c>
      <c r="D4" s="115">
        <v>0</v>
      </c>
      <c r="E4" s="114">
        <v>0</v>
      </c>
      <c r="F4" s="114">
        <v>1</v>
      </c>
      <c r="G4"/>
      <c r="H4"/>
    </row>
    <row r="5" spans="1:8" x14ac:dyDescent="0.15">
      <c r="A5">
        <v>4</v>
      </c>
      <c r="B5" s="184" t="s">
        <v>195</v>
      </c>
      <c r="C5" s="115">
        <v>1</v>
      </c>
      <c r="D5" s="115">
        <v>0</v>
      </c>
      <c r="E5" s="114">
        <v>0</v>
      </c>
      <c r="F5" s="114">
        <v>1</v>
      </c>
      <c r="G5"/>
      <c r="H5"/>
    </row>
    <row r="6" spans="1:8" x14ac:dyDescent="0.15">
      <c r="A6">
        <v>5</v>
      </c>
      <c r="B6" s="184" t="s">
        <v>196</v>
      </c>
      <c r="C6" s="115">
        <v>1</v>
      </c>
      <c r="D6" s="115">
        <v>0</v>
      </c>
      <c r="E6" s="114">
        <v>0</v>
      </c>
      <c r="F6" s="114">
        <v>1</v>
      </c>
      <c r="G6"/>
      <c r="H6"/>
    </row>
    <row r="7" spans="1:8" x14ac:dyDescent="0.15">
      <c r="A7">
        <v>6</v>
      </c>
      <c r="B7" s="184" t="s">
        <v>197</v>
      </c>
      <c r="C7" s="115">
        <v>1</v>
      </c>
      <c r="D7" s="115">
        <v>0</v>
      </c>
      <c r="E7" s="114">
        <v>0</v>
      </c>
      <c r="F7" s="114">
        <v>1</v>
      </c>
      <c r="G7"/>
      <c r="H7"/>
    </row>
    <row r="8" spans="1:8" x14ac:dyDescent="0.15">
      <c r="A8">
        <v>7</v>
      </c>
      <c r="B8" s="184" t="s">
        <v>198</v>
      </c>
      <c r="C8" s="115">
        <v>1</v>
      </c>
      <c r="D8" s="115">
        <v>0</v>
      </c>
      <c r="E8" s="114">
        <v>0</v>
      </c>
      <c r="F8" s="114">
        <v>1</v>
      </c>
      <c r="G8"/>
      <c r="H8"/>
    </row>
    <row r="9" spans="1:8" x14ac:dyDescent="0.15">
      <c r="A9">
        <v>8</v>
      </c>
      <c r="B9" s="184" t="s">
        <v>199</v>
      </c>
      <c r="C9" s="115">
        <v>1</v>
      </c>
      <c r="D9" s="115">
        <v>0</v>
      </c>
      <c r="E9" s="114">
        <v>0</v>
      </c>
      <c r="F9" s="114">
        <v>1</v>
      </c>
      <c r="G9"/>
      <c r="H9"/>
    </row>
    <row r="10" spans="1:8" x14ac:dyDescent="0.15">
      <c r="A10">
        <v>9</v>
      </c>
      <c r="B10" s="184" t="s">
        <v>200</v>
      </c>
      <c r="C10" s="115">
        <v>1</v>
      </c>
      <c r="D10" s="115">
        <v>0</v>
      </c>
      <c r="E10" s="114">
        <v>0</v>
      </c>
      <c r="F10" s="114">
        <v>1</v>
      </c>
      <c r="G10"/>
      <c r="H10"/>
    </row>
    <row r="11" spans="1:8" x14ac:dyDescent="0.15">
      <c r="A11">
        <v>10</v>
      </c>
      <c r="B11" s="184" t="s">
        <v>201</v>
      </c>
      <c r="C11" s="115">
        <v>1</v>
      </c>
      <c r="D11" s="115">
        <v>0</v>
      </c>
      <c r="E11" s="114">
        <v>0</v>
      </c>
      <c r="F11" s="114">
        <v>1</v>
      </c>
      <c r="G11"/>
      <c r="H11"/>
    </row>
    <row r="12" spans="1:8" x14ac:dyDescent="0.15">
      <c r="A12">
        <v>11</v>
      </c>
      <c r="B12" s="184" t="s">
        <v>202</v>
      </c>
      <c r="C12" s="115">
        <v>1</v>
      </c>
      <c r="D12" s="115">
        <v>0</v>
      </c>
      <c r="E12" s="114">
        <v>0</v>
      </c>
      <c r="F12" s="114">
        <v>1</v>
      </c>
      <c r="G12"/>
      <c r="H12"/>
    </row>
    <row r="13" spans="1:8" x14ac:dyDescent="0.15">
      <c r="A13">
        <v>12</v>
      </c>
      <c r="B13" s="184" t="s">
        <v>203</v>
      </c>
      <c r="C13" s="115">
        <v>1</v>
      </c>
      <c r="D13" s="115">
        <v>0</v>
      </c>
      <c r="E13" s="114">
        <v>0</v>
      </c>
      <c r="F13" s="114">
        <v>1</v>
      </c>
      <c r="G13"/>
      <c r="H13"/>
    </row>
    <row r="14" spans="1:8" x14ac:dyDescent="0.15">
      <c r="A14">
        <v>13</v>
      </c>
      <c r="B14" s="184" t="s">
        <v>204</v>
      </c>
      <c r="C14" s="115">
        <v>1</v>
      </c>
      <c r="D14" s="115">
        <v>0</v>
      </c>
      <c r="E14" s="114">
        <v>0</v>
      </c>
      <c r="F14" s="114">
        <v>1</v>
      </c>
      <c r="G14"/>
      <c r="H14"/>
    </row>
    <row r="15" spans="1:8" x14ac:dyDescent="0.15">
      <c r="A15">
        <v>14</v>
      </c>
      <c r="B15" s="184" t="s">
        <v>205</v>
      </c>
      <c r="C15" s="115">
        <v>1</v>
      </c>
      <c r="D15" s="115">
        <v>0</v>
      </c>
      <c r="E15" s="114">
        <v>0</v>
      </c>
      <c r="F15" s="114">
        <v>1</v>
      </c>
      <c r="G15"/>
      <c r="H15"/>
    </row>
    <row r="16" spans="1:8" x14ac:dyDescent="0.15">
      <c r="A16">
        <v>15</v>
      </c>
      <c r="B16" s="184" t="s">
        <v>206</v>
      </c>
      <c r="C16" s="115">
        <v>1</v>
      </c>
      <c r="D16" s="115">
        <v>0</v>
      </c>
      <c r="E16" s="114">
        <v>0</v>
      </c>
      <c r="F16" s="114">
        <v>1</v>
      </c>
      <c r="G16"/>
      <c r="H16"/>
    </row>
    <row r="17" spans="1:8" ht="15" customHeight="1" x14ac:dyDescent="0.15">
      <c r="A17">
        <v>16</v>
      </c>
      <c r="B17" s="184" t="s">
        <v>207</v>
      </c>
      <c r="C17" s="115">
        <v>1</v>
      </c>
      <c r="D17" s="115">
        <v>0</v>
      </c>
      <c r="E17" s="114">
        <v>0</v>
      </c>
      <c r="F17" s="114">
        <v>1</v>
      </c>
      <c r="G17"/>
      <c r="H17"/>
    </row>
    <row r="18" spans="1:8" ht="15" customHeight="1" x14ac:dyDescent="0.15">
      <c r="A18">
        <v>17</v>
      </c>
      <c r="B18" s="184" t="s">
        <v>208</v>
      </c>
      <c r="C18" s="115">
        <v>1</v>
      </c>
      <c r="D18" s="115">
        <v>0</v>
      </c>
      <c r="E18" s="114">
        <v>0</v>
      </c>
      <c r="F18" s="114">
        <v>1</v>
      </c>
      <c r="G18"/>
      <c r="H18"/>
    </row>
    <row r="19" spans="1:8" ht="15" customHeight="1" x14ac:dyDescent="0.15">
      <c r="A19">
        <v>18</v>
      </c>
      <c r="B19" s="184" t="s">
        <v>209</v>
      </c>
      <c r="C19" s="115">
        <v>1</v>
      </c>
      <c r="D19" s="115">
        <v>0</v>
      </c>
      <c r="E19" s="114">
        <v>0</v>
      </c>
      <c r="F19" s="114">
        <v>1</v>
      </c>
      <c r="G19"/>
      <c r="H19"/>
    </row>
    <row r="20" spans="1:8" ht="15" customHeight="1" x14ac:dyDescent="0.15">
      <c r="A20">
        <v>19</v>
      </c>
      <c r="B20" s="184" t="s">
        <v>210</v>
      </c>
      <c r="C20" s="115">
        <v>1</v>
      </c>
      <c r="D20" s="115">
        <v>0</v>
      </c>
      <c r="E20" s="114">
        <v>0</v>
      </c>
      <c r="F20" s="114">
        <v>1</v>
      </c>
      <c r="G20"/>
      <c r="H20"/>
    </row>
    <row r="21" spans="1:8" ht="15" customHeight="1" x14ac:dyDescent="0.15">
      <c r="A21">
        <v>20</v>
      </c>
      <c r="B21" s="184" t="s">
        <v>211</v>
      </c>
      <c r="C21" s="115">
        <v>1</v>
      </c>
      <c r="D21" s="115">
        <v>0</v>
      </c>
      <c r="E21" s="114">
        <v>0</v>
      </c>
      <c r="F21" s="114">
        <v>1</v>
      </c>
      <c r="G21"/>
      <c r="H21"/>
    </row>
    <row r="22" spans="1:8" ht="15" customHeight="1" x14ac:dyDescent="0.15">
      <c r="A22">
        <v>21</v>
      </c>
      <c r="B22" s="184" t="s">
        <v>212</v>
      </c>
      <c r="C22" s="115">
        <v>1</v>
      </c>
      <c r="D22" s="115">
        <v>0</v>
      </c>
      <c r="E22" s="114">
        <v>0</v>
      </c>
      <c r="F22" s="114">
        <v>1</v>
      </c>
      <c r="G22"/>
      <c r="H22"/>
    </row>
    <row r="23" spans="1:8" ht="15" customHeight="1" x14ac:dyDescent="0.15">
      <c r="A23">
        <v>22</v>
      </c>
      <c r="B23" s="184" t="s">
        <v>213</v>
      </c>
      <c r="C23" s="115">
        <v>1</v>
      </c>
      <c r="D23" s="115">
        <v>0</v>
      </c>
      <c r="E23" s="114">
        <v>0</v>
      </c>
      <c r="F23" s="114">
        <v>1</v>
      </c>
      <c r="G23"/>
      <c r="H23"/>
    </row>
    <row r="24" spans="1:8" ht="15" customHeight="1" x14ac:dyDescent="0.15">
      <c r="A24">
        <v>23</v>
      </c>
      <c r="B24" s="184" t="s">
        <v>214</v>
      </c>
      <c r="C24" s="115">
        <v>1</v>
      </c>
      <c r="D24" s="115">
        <v>0</v>
      </c>
      <c r="E24" s="114">
        <v>0</v>
      </c>
      <c r="F24" s="114">
        <v>1</v>
      </c>
      <c r="G24"/>
      <c r="H24"/>
    </row>
    <row r="25" spans="1:8" ht="15" customHeight="1" x14ac:dyDescent="0.15">
      <c r="A25">
        <v>24</v>
      </c>
      <c r="B25" s="184" t="s">
        <v>215</v>
      </c>
      <c r="C25" s="115">
        <v>1</v>
      </c>
      <c r="D25" s="115">
        <v>0</v>
      </c>
      <c r="E25" s="114">
        <v>0</v>
      </c>
      <c r="F25" s="114">
        <v>1</v>
      </c>
      <c r="G25"/>
      <c r="H25"/>
    </row>
    <row r="26" spans="1:8" ht="15" customHeight="1" x14ac:dyDescent="0.15">
      <c r="A26">
        <v>25</v>
      </c>
      <c r="B26" s="184" t="s">
        <v>216</v>
      </c>
      <c r="C26" s="115">
        <v>1</v>
      </c>
      <c r="D26" s="115">
        <v>0</v>
      </c>
      <c r="E26" s="114">
        <v>0</v>
      </c>
      <c r="F26" s="114">
        <v>1</v>
      </c>
      <c r="G26"/>
      <c r="H26"/>
    </row>
    <row r="27" spans="1:8" ht="15" customHeight="1" x14ac:dyDescent="0.15">
      <c r="A27">
        <v>26</v>
      </c>
      <c r="B27" s="184" t="s">
        <v>217</v>
      </c>
      <c r="C27" s="115">
        <v>1</v>
      </c>
      <c r="D27" s="115">
        <v>0</v>
      </c>
      <c r="E27" s="114">
        <v>0</v>
      </c>
      <c r="F27" s="114">
        <v>1</v>
      </c>
      <c r="G27"/>
      <c r="H27"/>
    </row>
    <row r="28" spans="1:8" ht="15" customHeight="1" x14ac:dyDescent="0.15">
      <c r="A28">
        <v>27</v>
      </c>
      <c r="B28" s="184" t="s">
        <v>218</v>
      </c>
      <c r="C28" s="115">
        <v>1</v>
      </c>
      <c r="D28" s="115">
        <v>0</v>
      </c>
      <c r="E28" s="114">
        <v>0</v>
      </c>
      <c r="F28" s="114">
        <v>1</v>
      </c>
      <c r="G28"/>
      <c r="H28"/>
    </row>
    <row r="29" spans="1:8" ht="15" customHeight="1" x14ac:dyDescent="0.15">
      <c r="A29">
        <v>28</v>
      </c>
      <c r="B29" s="184" t="s">
        <v>219</v>
      </c>
      <c r="C29" s="115">
        <v>1</v>
      </c>
      <c r="D29" s="115">
        <v>0</v>
      </c>
      <c r="E29" s="114">
        <v>0</v>
      </c>
      <c r="F29" s="114">
        <v>1</v>
      </c>
      <c r="G29"/>
      <c r="H29"/>
    </row>
    <row r="30" spans="1:8" ht="15" customHeight="1" x14ac:dyDescent="0.15">
      <c r="A30">
        <v>29</v>
      </c>
      <c r="B30" s="184" t="s">
        <v>220</v>
      </c>
      <c r="C30" s="115">
        <v>1</v>
      </c>
      <c r="D30" s="115">
        <v>0</v>
      </c>
      <c r="E30" s="114">
        <v>0</v>
      </c>
      <c r="F30" s="114">
        <v>1</v>
      </c>
      <c r="G30"/>
      <c r="H30"/>
    </row>
    <row r="31" spans="1:8" ht="15" customHeight="1" x14ac:dyDescent="0.15">
      <c r="A31">
        <v>30</v>
      </c>
      <c r="B31" s="184" t="s">
        <v>221</v>
      </c>
      <c r="C31" s="115">
        <v>1</v>
      </c>
      <c r="D31" s="115">
        <v>0</v>
      </c>
      <c r="E31" s="114">
        <v>0</v>
      </c>
      <c r="F31" s="114">
        <v>1</v>
      </c>
      <c r="G31"/>
      <c r="H31"/>
    </row>
    <row r="32" spans="1:8" ht="15" customHeight="1" x14ac:dyDescent="0.15">
      <c r="A32">
        <v>31</v>
      </c>
      <c r="B32" s="184" t="s">
        <v>222</v>
      </c>
      <c r="C32" s="115">
        <v>1</v>
      </c>
      <c r="D32" s="115">
        <v>0</v>
      </c>
      <c r="E32" s="114">
        <v>0</v>
      </c>
      <c r="F32" s="114">
        <v>1</v>
      </c>
    </row>
    <row r="33" spans="1:8" ht="15" customHeight="1" x14ac:dyDescent="0.15">
      <c r="A33">
        <v>32</v>
      </c>
      <c r="B33" s="184" t="s">
        <v>223</v>
      </c>
      <c r="C33" s="115">
        <v>1</v>
      </c>
      <c r="D33" s="115">
        <v>0</v>
      </c>
      <c r="E33" s="114">
        <v>0</v>
      </c>
      <c r="F33" s="114">
        <v>1</v>
      </c>
    </row>
    <row r="34" spans="1:8" ht="15" customHeight="1" x14ac:dyDescent="0.15">
      <c r="A34">
        <v>33</v>
      </c>
      <c r="B34" s="184" t="s">
        <v>224</v>
      </c>
      <c r="C34" s="115">
        <v>1</v>
      </c>
      <c r="D34" s="115">
        <v>0</v>
      </c>
      <c r="E34" s="114">
        <v>0</v>
      </c>
      <c r="F34" s="114">
        <v>1</v>
      </c>
    </row>
    <row r="35" spans="1:8" ht="15" customHeight="1" x14ac:dyDescent="0.15">
      <c r="A35">
        <v>34</v>
      </c>
      <c r="B35" s="184" t="s">
        <v>225</v>
      </c>
      <c r="C35" s="115">
        <v>1</v>
      </c>
      <c r="D35" s="115">
        <v>0</v>
      </c>
      <c r="E35" s="114">
        <v>0</v>
      </c>
      <c r="F35" s="114">
        <v>1</v>
      </c>
    </row>
    <row r="36" spans="1:8" ht="15" customHeight="1" x14ac:dyDescent="0.15">
      <c r="A36">
        <v>35</v>
      </c>
      <c r="B36" s="184" t="s">
        <v>226</v>
      </c>
      <c r="C36" s="115">
        <v>1</v>
      </c>
      <c r="D36" s="115">
        <v>0</v>
      </c>
      <c r="E36" s="115">
        <v>0</v>
      </c>
      <c r="F36" s="115">
        <v>1</v>
      </c>
      <c r="G36"/>
      <c r="H36"/>
    </row>
    <row r="37" spans="1:8" ht="15" customHeight="1" x14ac:dyDescent="0.15">
      <c r="A37">
        <v>36</v>
      </c>
      <c r="B37" s="184" t="s">
        <v>227</v>
      </c>
      <c r="C37" s="115">
        <v>1</v>
      </c>
      <c r="D37" s="115">
        <v>0</v>
      </c>
      <c r="E37" s="115">
        <v>0</v>
      </c>
      <c r="F37" s="115">
        <v>1</v>
      </c>
      <c r="G37"/>
      <c r="H37"/>
    </row>
    <row r="38" spans="1:8" ht="15" customHeight="1" x14ac:dyDescent="0.15">
      <c r="A38">
        <v>37</v>
      </c>
      <c r="B38" s="184" t="s">
        <v>228</v>
      </c>
      <c r="C38" s="115">
        <v>1</v>
      </c>
      <c r="D38" s="115">
        <v>0</v>
      </c>
      <c r="E38" s="115">
        <v>0</v>
      </c>
      <c r="F38" s="115">
        <v>1</v>
      </c>
      <c r="G38"/>
      <c r="H38"/>
    </row>
    <row r="39" spans="1:8" ht="15" customHeight="1" x14ac:dyDescent="0.15">
      <c r="A39">
        <v>38</v>
      </c>
      <c r="B39" s="184" t="s">
        <v>229</v>
      </c>
      <c r="C39" s="115">
        <v>1</v>
      </c>
      <c r="D39" s="115">
        <v>0</v>
      </c>
      <c r="E39" s="115">
        <v>0</v>
      </c>
      <c r="F39" s="115">
        <v>1</v>
      </c>
      <c r="G39"/>
      <c r="H39"/>
    </row>
    <row r="40" spans="1:8" ht="15" customHeight="1" x14ac:dyDescent="0.15">
      <c r="A40">
        <v>39</v>
      </c>
      <c r="B40" s="184" t="s">
        <v>230</v>
      </c>
      <c r="C40" s="115">
        <v>1</v>
      </c>
      <c r="D40" s="115">
        <v>0</v>
      </c>
      <c r="E40" s="115">
        <v>0</v>
      </c>
      <c r="F40" s="115">
        <v>1</v>
      </c>
      <c r="G40"/>
      <c r="H40"/>
    </row>
    <row r="41" spans="1:8" ht="15" customHeight="1" x14ac:dyDescent="0.15">
      <c r="A41">
        <v>40</v>
      </c>
      <c r="B41" s="184" t="s">
        <v>231</v>
      </c>
      <c r="C41" s="115">
        <v>1</v>
      </c>
      <c r="D41" s="115">
        <v>0</v>
      </c>
      <c r="E41" s="115">
        <v>0</v>
      </c>
      <c r="F41" s="115">
        <v>1</v>
      </c>
      <c r="G41"/>
      <c r="H41"/>
    </row>
    <row r="42" spans="1:8" ht="15" customHeight="1" x14ac:dyDescent="0.15">
      <c r="A42">
        <v>41</v>
      </c>
      <c r="B42" s="184" t="s">
        <v>232</v>
      </c>
      <c r="C42" s="115">
        <v>1</v>
      </c>
      <c r="D42" s="115">
        <v>0</v>
      </c>
      <c r="E42" s="115">
        <v>0</v>
      </c>
      <c r="F42" s="115">
        <v>1</v>
      </c>
      <c r="G42"/>
      <c r="H42"/>
    </row>
    <row r="43" spans="1:8" ht="15" customHeight="1" x14ac:dyDescent="0.15">
      <c r="A43">
        <v>42</v>
      </c>
      <c r="B43" s="184" t="s">
        <v>233</v>
      </c>
      <c r="C43" s="115">
        <v>1</v>
      </c>
      <c r="D43" s="115">
        <v>0</v>
      </c>
      <c r="E43" s="115">
        <v>0</v>
      </c>
      <c r="F43" s="115">
        <v>1</v>
      </c>
      <c r="G43"/>
      <c r="H43"/>
    </row>
    <row r="44" spans="1:8" ht="15" customHeight="1" x14ac:dyDescent="0.15">
      <c r="A44">
        <v>43</v>
      </c>
      <c r="B44" s="184" t="s">
        <v>234</v>
      </c>
      <c r="C44" s="115">
        <v>1</v>
      </c>
      <c r="D44" s="115">
        <v>0</v>
      </c>
      <c r="E44" s="114">
        <v>0</v>
      </c>
      <c r="F44" s="114">
        <v>1</v>
      </c>
      <c r="G44"/>
      <c r="H44"/>
    </row>
    <row r="45" spans="1:8" ht="15" customHeight="1" x14ac:dyDescent="0.15">
      <c r="A45">
        <v>44</v>
      </c>
      <c r="B45" s="184" t="s">
        <v>235</v>
      </c>
      <c r="C45" s="115">
        <v>1</v>
      </c>
      <c r="D45" s="115">
        <v>0</v>
      </c>
      <c r="E45" s="114">
        <v>0</v>
      </c>
      <c r="F45" s="114">
        <v>1</v>
      </c>
      <c r="G45"/>
      <c r="H45"/>
    </row>
    <row r="46" spans="1:8" ht="15" customHeight="1" x14ac:dyDescent="0.15">
      <c r="A46">
        <v>45</v>
      </c>
      <c r="B46" s="184" t="s">
        <v>236</v>
      </c>
      <c r="C46" s="115">
        <v>1</v>
      </c>
      <c r="D46" s="115">
        <v>0</v>
      </c>
      <c r="E46" s="115">
        <v>0</v>
      </c>
      <c r="F46" s="115">
        <v>1</v>
      </c>
      <c r="G46"/>
      <c r="H46"/>
    </row>
    <row r="47" spans="1:8" ht="15" customHeight="1" x14ac:dyDescent="0.15">
      <c r="A47">
        <v>46</v>
      </c>
      <c r="B47" s="184" t="s">
        <v>237</v>
      </c>
      <c r="C47" s="115">
        <v>1</v>
      </c>
      <c r="D47" s="115">
        <v>0</v>
      </c>
      <c r="E47" s="114">
        <v>0</v>
      </c>
      <c r="F47" s="114">
        <v>1</v>
      </c>
      <c r="G47"/>
      <c r="H47"/>
    </row>
    <row r="48" spans="1:8" ht="15" customHeight="1" x14ac:dyDescent="0.15">
      <c r="A48">
        <v>47</v>
      </c>
      <c r="B48" s="184" t="s">
        <v>238</v>
      </c>
      <c r="C48" s="115">
        <v>1</v>
      </c>
      <c r="D48" s="115">
        <v>0</v>
      </c>
      <c r="E48" s="114">
        <v>0</v>
      </c>
      <c r="F48" s="114">
        <v>1</v>
      </c>
      <c r="G48"/>
      <c r="H48"/>
    </row>
    <row r="49" spans="1:8" ht="15" customHeight="1" x14ac:dyDescent="0.15">
      <c r="A49">
        <v>48</v>
      </c>
      <c r="B49" s="184" t="s">
        <v>239</v>
      </c>
      <c r="C49" s="115">
        <v>1</v>
      </c>
      <c r="D49" s="115">
        <v>0</v>
      </c>
      <c r="E49" s="114">
        <v>0</v>
      </c>
      <c r="F49" s="114">
        <v>1</v>
      </c>
      <c r="G49"/>
      <c r="H49"/>
    </row>
    <row r="50" spans="1:8" ht="15" customHeight="1" x14ac:dyDescent="0.15">
      <c r="A50">
        <v>49</v>
      </c>
      <c r="B50" s="184" t="s">
        <v>240</v>
      </c>
      <c r="C50" s="115">
        <v>1</v>
      </c>
      <c r="D50" s="115">
        <v>0</v>
      </c>
      <c r="E50" s="114">
        <v>0</v>
      </c>
      <c r="F50" s="114">
        <v>1</v>
      </c>
      <c r="G50"/>
      <c r="H50"/>
    </row>
    <row r="51" spans="1:8" ht="15" customHeight="1" x14ac:dyDescent="0.15">
      <c r="A51">
        <v>50</v>
      </c>
      <c r="B51" s="184" t="s">
        <v>241</v>
      </c>
      <c r="C51" s="115">
        <v>1</v>
      </c>
      <c r="D51" s="115">
        <v>0</v>
      </c>
      <c r="E51" s="114">
        <v>0</v>
      </c>
      <c r="F51" s="114">
        <v>1</v>
      </c>
      <c r="G51"/>
      <c r="H51"/>
    </row>
    <row r="52" spans="1:8" ht="15" customHeight="1" x14ac:dyDescent="0.15">
      <c r="A52">
        <v>51</v>
      </c>
      <c r="B52" s="184" t="s">
        <v>242</v>
      </c>
      <c r="C52" s="115">
        <v>0</v>
      </c>
      <c r="D52" s="115">
        <v>1</v>
      </c>
      <c r="E52" s="114">
        <v>0</v>
      </c>
      <c r="F52" s="114">
        <v>1</v>
      </c>
      <c r="G52"/>
      <c r="H52"/>
    </row>
    <row r="53" spans="1:8" ht="15" customHeight="1" x14ac:dyDescent="0.15">
      <c r="A53">
        <v>52</v>
      </c>
      <c r="B53" s="184" t="s">
        <v>243</v>
      </c>
      <c r="C53" s="115">
        <v>0</v>
      </c>
      <c r="D53" s="115">
        <v>0</v>
      </c>
      <c r="E53" s="114">
        <v>1</v>
      </c>
      <c r="F53" s="114">
        <v>1</v>
      </c>
      <c r="G53"/>
      <c r="H53"/>
    </row>
    <row r="54" spans="1:8" ht="15" customHeight="1" x14ac:dyDescent="0.15">
      <c r="A54">
        <v>53</v>
      </c>
      <c r="B54" s="184" t="s">
        <v>244</v>
      </c>
      <c r="C54" s="115">
        <v>0</v>
      </c>
      <c r="D54" s="115">
        <v>1</v>
      </c>
      <c r="E54" s="114">
        <v>0</v>
      </c>
      <c r="F54" s="114">
        <v>1</v>
      </c>
      <c r="G54"/>
      <c r="H54"/>
    </row>
    <row r="55" spans="1:8" ht="15" customHeight="1" x14ac:dyDescent="0.15">
      <c r="A55">
        <v>54</v>
      </c>
      <c r="B55" s="184" t="s">
        <v>245</v>
      </c>
      <c r="C55" s="115">
        <v>0</v>
      </c>
      <c r="D55" s="115">
        <v>1</v>
      </c>
      <c r="E55" s="114">
        <v>0</v>
      </c>
      <c r="F55" s="114">
        <v>1</v>
      </c>
      <c r="G55"/>
      <c r="H55"/>
    </row>
    <row r="56" spans="1:8" ht="15" customHeight="1" x14ac:dyDescent="0.15">
      <c r="A56">
        <v>55</v>
      </c>
      <c r="B56" s="184" t="s">
        <v>246</v>
      </c>
      <c r="C56" s="115">
        <v>0</v>
      </c>
      <c r="D56" s="115">
        <v>1</v>
      </c>
      <c r="E56" s="114">
        <v>0</v>
      </c>
      <c r="F56" s="114">
        <v>1</v>
      </c>
      <c r="G56"/>
      <c r="H56"/>
    </row>
    <row r="57" spans="1:8" ht="15" customHeight="1" x14ac:dyDescent="0.15">
      <c r="A57">
        <v>56</v>
      </c>
      <c r="B57" s="184" t="s">
        <v>247</v>
      </c>
      <c r="C57" s="115">
        <v>0</v>
      </c>
      <c r="D57" s="115">
        <v>1</v>
      </c>
      <c r="E57" s="114">
        <v>0</v>
      </c>
      <c r="F57" s="114">
        <v>1</v>
      </c>
      <c r="G57"/>
      <c r="H57"/>
    </row>
    <row r="58" spans="1:8" ht="15" customHeight="1" x14ac:dyDescent="0.15">
      <c r="C58"/>
      <c r="D58"/>
      <c r="E58"/>
      <c r="F58"/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5" bestFit="1" customWidth="1"/>
    <col min="3" max="3" width="5.83203125" bestFit="1" customWidth="1"/>
    <col min="4" max="4" width="8.5" bestFit="1" customWidth="1"/>
    <col min="5" max="5" width="5.83203125" bestFit="1" customWidth="1"/>
    <col min="6" max="7" width="8.83203125" customWidth="1"/>
  </cols>
  <sheetData>
    <row r="1" spans="1:7" s="116" customFormat="1" ht="112" x14ac:dyDescent="0.15">
      <c r="A1" s="5" t="s">
        <v>21</v>
      </c>
      <c r="B1" s="3" t="s">
        <v>0</v>
      </c>
      <c r="C1" s="187" t="s">
        <v>244</v>
      </c>
      <c r="D1" s="187" t="s">
        <v>245</v>
      </c>
      <c r="E1" s="187" t="s">
        <v>246</v>
      </c>
      <c r="F1" s="187" t="s">
        <v>247</v>
      </c>
      <c r="G1" s="187" t="s">
        <v>251</v>
      </c>
    </row>
    <row r="2" spans="1:7" ht="15" customHeight="1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ht="15" customHeight="1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86" t="s">
        <v>194</v>
      </c>
      <c r="C4">
        <v>7.0000000000000001E-3</v>
      </c>
      <c r="D4">
        <v>7.0000000000000001E-3</v>
      </c>
      <c r="E4">
        <v>0</v>
      </c>
      <c r="F4">
        <v>0</v>
      </c>
      <c r="G4">
        <v>1.4E-2</v>
      </c>
    </row>
    <row r="5" spans="1:7" ht="15" customHeight="1" x14ac:dyDescent="0.15">
      <c r="A5">
        <v>4</v>
      </c>
      <c r="B5" s="186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ht="15" customHeight="1" x14ac:dyDescent="0.15">
      <c r="A6">
        <v>5</v>
      </c>
      <c r="B6" s="186" t="s">
        <v>196</v>
      </c>
      <c r="C6">
        <v>0.04</v>
      </c>
      <c r="D6">
        <v>6.3E-2</v>
      </c>
      <c r="E6">
        <v>0</v>
      </c>
      <c r="F6">
        <v>0</v>
      </c>
      <c r="G6">
        <v>0.10300000000000001</v>
      </c>
    </row>
    <row r="7" spans="1:7" ht="15" customHeight="1" x14ac:dyDescent="0.15">
      <c r="A7">
        <v>6</v>
      </c>
      <c r="B7" s="186" t="s">
        <v>197</v>
      </c>
      <c r="C7">
        <v>8.0000000000000002E-3</v>
      </c>
      <c r="D7">
        <v>0</v>
      </c>
      <c r="E7">
        <v>2.6709999999999998</v>
      </c>
      <c r="F7">
        <v>0</v>
      </c>
      <c r="G7">
        <v>2.6789999999999998</v>
      </c>
    </row>
    <row r="8" spans="1:7" ht="15" customHeight="1" x14ac:dyDescent="0.15">
      <c r="A8">
        <v>7</v>
      </c>
      <c r="B8" s="186" t="s">
        <v>198</v>
      </c>
      <c r="C8">
        <v>0</v>
      </c>
      <c r="D8">
        <v>0</v>
      </c>
      <c r="E8">
        <v>0.28899999999999998</v>
      </c>
      <c r="F8">
        <v>0</v>
      </c>
      <c r="G8">
        <v>0.28899999999999998</v>
      </c>
    </row>
    <row r="9" spans="1:7" ht="15" customHeight="1" x14ac:dyDescent="0.15">
      <c r="A9">
        <v>8</v>
      </c>
      <c r="B9" s="186" t="s">
        <v>199</v>
      </c>
      <c r="C9">
        <v>0</v>
      </c>
      <c r="D9">
        <v>0</v>
      </c>
      <c r="E9">
        <v>1.8009999999999999</v>
      </c>
      <c r="F9">
        <v>0</v>
      </c>
      <c r="G9">
        <v>1.8009999999999999</v>
      </c>
    </row>
    <row r="10" spans="1:7" ht="15" customHeight="1" x14ac:dyDescent="0.15">
      <c r="A10">
        <v>9</v>
      </c>
      <c r="B10" s="186" t="s">
        <v>200</v>
      </c>
      <c r="C10">
        <v>0.108</v>
      </c>
      <c r="D10">
        <v>0</v>
      </c>
      <c r="E10">
        <v>2.202</v>
      </c>
      <c r="F10">
        <v>0</v>
      </c>
      <c r="G10">
        <v>2.31</v>
      </c>
    </row>
    <row r="11" spans="1:7" ht="15" customHeight="1" x14ac:dyDescent="0.15">
      <c r="A11">
        <v>10</v>
      </c>
      <c r="B11" s="186" t="s">
        <v>201</v>
      </c>
      <c r="C11">
        <v>3.0000000000000001E-3</v>
      </c>
      <c r="D11">
        <v>0</v>
      </c>
      <c r="E11">
        <v>3.8090000000000002</v>
      </c>
      <c r="F11">
        <v>0</v>
      </c>
      <c r="G11">
        <v>3.8120000000000003</v>
      </c>
    </row>
    <row r="12" spans="1:7" ht="15" customHeight="1" x14ac:dyDescent="0.15">
      <c r="A12">
        <v>11</v>
      </c>
      <c r="B12" s="186" t="s">
        <v>202</v>
      </c>
      <c r="C12">
        <v>4.5999999999999999E-2</v>
      </c>
      <c r="D12">
        <v>1.7000000000000001E-2</v>
      </c>
      <c r="E12">
        <v>0</v>
      </c>
      <c r="F12">
        <v>0</v>
      </c>
      <c r="G12">
        <v>6.3E-2</v>
      </c>
    </row>
    <row r="13" spans="1:7" ht="15" customHeight="1" x14ac:dyDescent="0.15">
      <c r="A13">
        <v>12</v>
      </c>
      <c r="B13" s="186" t="s">
        <v>203</v>
      </c>
      <c r="C13">
        <v>5.2999999999999999E-2</v>
      </c>
      <c r="D13">
        <v>6.8000000000000005E-2</v>
      </c>
      <c r="E13">
        <v>0</v>
      </c>
      <c r="F13">
        <v>0</v>
      </c>
      <c r="G13">
        <v>0.121</v>
      </c>
    </row>
    <row r="14" spans="1:7" ht="15" customHeight="1" x14ac:dyDescent="0.15">
      <c r="A14">
        <v>13</v>
      </c>
      <c r="B14" s="186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ht="15" customHeight="1" x14ac:dyDescent="0.15">
      <c r="A15">
        <v>14</v>
      </c>
      <c r="B15" s="186" t="s">
        <v>205</v>
      </c>
      <c r="C15">
        <v>1E-3</v>
      </c>
      <c r="D15">
        <v>2E-3</v>
      </c>
      <c r="E15">
        <v>0</v>
      </c>
      <c r="F15">
        <v>0</v>
      </c>
      <c r="G15">
        <v>3.0000000000000001E-3</v>
      </c>
    </row>
    <row r="16" spans="1:7" ht="15" customHeight="1" x14ac:dyDescent="0.15">
      <c r="A16">
        <v>15</v>
      </c>
      <c r="B16" s="186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ht="15" customHeight="1" x14ac:dyDescent="0.15">
      <c r="A17">
        <v>16</v>
      </c>
      <c r="B17" s="186" t="s">
        <v>207</v>
      </c>
      <c r="C17">
        <v>4.3999999999999997E-2</v>
      </c>
      <c r="D17">
        <v>0.123</v>
      </c>
      <c r="E17">
        <v>0</v>
      </c>
      <c r="F17">
        <v>0</v>
      </c>
      <c r="G17">
        <v>0.16699999999999998</v>
      </c>
    </row>
    <row r="18" spans="1:7" ht="15" customHeight="1" x14ac:dyDescent="0.15">
      <c r="A18">
        <v>17</v>
      </c>
      <c r="B18" s="186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ht="15" customHeight="1" x14ac:dyDescent="0.15">
      <c r="A19">
        <v>18</v>
      </c>
      <c r="B19" s="186" t="s">
        <v>209</v>
      </c>
      <c r="C19">
        <v>3.4000000000000002E-2</v>
      </c>
      <c r="D19">
        <v>0</v>
      </c>
      <c r="E19">
        <v>0</v>
      </c>
      <c r="F19">
        <v>0</v>
      </c>
      <c r="G19">
        <v>3.4000000000000002E-2</v>
      </c>
    </row>
    <row r="20" spans="1:7" ht="15" customHeight="1" x14ac:dyDescent="0.15">
      <c r="A20">
        <v>19</v>
      </c>
      <c r="B20" s="186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ht="15" customHeight="1" x14ac:dyDescent="0.15">
      <c r="A21">
        <v>20</v>
      </c>
      <c r="B21" s="186" t="s">
        <v>211</v>
      </c>
      <c r="C21">
        <v>1E-3</v>
      </c>
      <c r="D21">
        <v>0.01</v>
      </c>
      <c r="E21">
        <v>0</v>
      </c>
      <c r="F21">
        <v>0</v>
      </c>
      <c r="G21">
        <v>1.0999999999999999E-2</v>
      </c>
    </row>
    <row r="22" spans="1:7" ht="15" customHeight="1" x14ac:dyDescent="0.15">
      <c r="A22">
        <v>21</v>
      </c>
      <c r="B22" s="186" t="s">
        <v>212</v>
      </c>
      <c r="C22">
        <v>0</v>
      </c>
      <c r="D22">
        <v>7.0999999999999994E-2</v>
      </c>
      <c r="E22">
        <v>0</v>
      </c>
      <c r="F22">
        <v>0</v>
      </c>
      <c r="G22">
        <v>7.0999999999999994E-2</v>
      </c>
    </row>
    <row r="23" spans="1:7" ht="15" customHeight="1" x14ac:dyDescent="0.15">
      <c r="A23">
        <v>22</v>
      </c>
      <c r="B23" s="186" t="s">
        <v>213</v>
      </c>
      <c r="C23">
        <v>0.01</v>
      </c>
      <c r="D23">
        <v>0.13600000000000001</v>
      </c>
      <c r="E23">
        <v>0</v>
      </c>
      <c r="F23">
        <v>0</v>
      </c>
      <c r="G23">
        <v>0.14600000000000002</v>
      </c>
    </row>
    <row r="24" spans="1:7" ht="15" customHeight="1" x14ac:dyDescent="0.15">
      <c r="A24">
        <v>23</v>
      </c>
      <c r="B24" s="186" t="s">
        <v>214</v>
      </c>
      <c r="C24">
        <v>1.7000000000000001E-2</v>
      </c>
      <c r="D24">
        <v>8.0000000000000002E-3</v>
      </c>
      <c r="E24">
        <v>0</v>
      </c>
      <c r="F24">
        <v>0</v>
      </c>
      <c r="G24">
        <v>2.5000000000000001E-2</v>
      </c>
    </row>
    <row r="25" spans="1:7" ht="15" customHeight="1" x14ac:dyDescent="0.15">
      <c r="A25">
        <v>24</v>
      </c>
      <c r="B25" s="186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ht="15" customHeight="1" x14ac:dyDescent="0.15">
      <c r="A26">
        <v>25</v>
      </c>
      <c r="B26" s="186" t="s">
        <v>216</v>
      </c>
      <c r="C26">
        <v>8.9999999999999993E-3</v>
      </c>
      <c r="D26">
        <v>5.0000000000000001E-3</v>
      </c>
      <c r="E26">
        <v>0</v>
      </c>
      <c r="F26">
        <v>0</v>
      </c>
      <c r="G26">
        <v>1.3999999999999999E-2</v>
      </c>
    </row>
    <row r="27" spans="1:7" ht="15" customHeight="1" x14ac:dyDescent="0.15">
      <c r="A27">
        <v>26</v>
      </c>
      <c r="B27" s="186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ht="15" customHeight="1" x14ac:dyDescent="0.15">
      <c r="A28">
        <v>27</v>
      </c>
      <c r="B28" s="186" t="s">
        <v>218</v>
      </c>
      <c r="C28">
        <v>1E-3</v>
      </c>
      <c r="D28">
        <v>1.6E-2</v>
      </c>
      <c r="E28">
        <v>0</v>
      </c>
      <c r="F28">
        <v>0</v>
      </c>
      <c r="G28">
        <v>1.7000000000000001E-2</v>
      </c>
    </row>
    <row r="29" spans="1:7" ht="15" customHeight="1" x14ac:dyDescent="0.15">
      <c r="A29">
        <v>28</v>
      </c>
      <c r="B29" s="186" t="s">
        <v>219</v>
      </c>
      <c r="C29">
        <v>1E-3</v>
      </c>
      <c r="D29">
        <v>8.0000000000000002E-3</v>
      </c>
      <c r="E29">
        <v>0</v>
      </c>
      <c r="F29">
        <v>0</v>
      </c>
      <c r="G29">
        <v>9.0000000000000011E-3</v>
      </c>
    </row>
    <row r="30" spans="1:7" ht="15" customHeight="1" x14ac:dyDescent="0.15">
      <c r="A30">
        <v>29</v>
      </c>
      <c r="B30" s="186" t="s">
        <v>220</v>
      </c>
      <c r="C30">
        <v>0</v>
      </c>
      <c r="D30">
        <v>5.0000000000000001E-3</v>
      </c>
      <c r="E30">
        <v>0</v>
      </c>
      <c r="F30">
        <v>0</v>
      </c>
      <c r="G30">
        <v>5.0000000000000001E-3</v>
      </c>
    </row>
    <row r="31" spans="1:7" ht="15" customHeight="1" x14ac:dyDescent="0.15">
      <c r="A31">
        <v>30</v>
      </c>
      <c r="B31" s="186" t="s">
        <v>221</v>
      </c>
      <c r="C31">
        <v>0.218</v>
      </c>
      <c r="D31">
        <v>0.66500000000000004</v>
      </c>
      <c r="E31">
        <v>0</v>
      </c>
      <c r="F31">
        <v>0</v>
      </c>
      <c r="G31">
        <v>0.88300000000000001</v>
      </c>
    </row>
    <row r="32" spans="1:7" ht="15" customHeight="1" x14ac:dyDescent="0.15">
      <c r="A32">
        <v>31</v>
      </c>
      <c r="B32" s="186" t="s">
        <v>222</v>
      </c>
      <c r="C32">
        <v>1E-3</v>
      </c>
      <c r="D32">
        <v>0.254</v>
      </c>
      <c r="E32">
        <v>0</v>
      </c>
      <c r="F32">
        <v>0</v>
      </c>
      <c r="G32">
        <v>0.255</v>
      </c>
    </row>
    <row r="33" spans="1:7" ht="15" customHeight="1" x14ac:dyDescent="0.15">
      <c r="A33">
        <v>32</v>
      </c>
      <c r="B33" s="186" t="s">
        <v>223</v>
      </c>
      <c r="C33">
        <v>0</v>
      </c>
      <c r="D33">
        <v>0</v>
      </c>
      <c r="E33">
        <v>0</v>
      </c>
      <c r="F33">
        <v>0.91200000000000003</v>
      </c>
      <c r="G33">
        <v>0.91200000000000003</v>
      </c>
    </row>
    <row r="34" spans="1:7" ht="15" customHeight="1" x14ac:dyDescent="0.15">
      <c r="A34">
        <v>33</v>
      </c>
      <c r="B34" s="186" t="s">
        <v>224</v>
      </c>
      <c r="C34">
        <v>0</v>
      </c>
      <c r="D34">
        <v>0</v>
      </c>
      <c r="E34">
        <v>0</v>
      </c>
      <c r="F34">
        <v>1.786</v>
      </c>
      <c r="G34">
        <v>1.786</v>
      </c>
    </row>
    <row r="35" spans="1:7" ht="15" customHeight="1" x14ac:dyDescent="0.15">
      <c r="A35">
        <v>34</v>
      </c>
      <c r="B35" s="186" t="s">
        <v>225</v>
      </c>
      <c r="C35">
        <v>0</v>
      </c>
      <c r="D35">
        <v>0</v>
      </c>
      <c r="E35">
        <v>0</v>
      </c>
      <c r="F35">
        <v>0.53200000000000003</v>
      </c>
      <c r="G35">
        <v>0.53200000000000003</v>
      </c>
    </row>
    <row r="36" spans="1:7" ht="15" customHeight="1" x14ac:dyDescent="0.15">
      <c r="A36">
        <v>35</v>
      </c>
      <c r="B36" s="186" t="s">
        <v>226</v>
      </c>
      <c r="C36">
        <v>0</v>
      </c>
      <c r="D36">
        <v>0</v>
      </c>
      <c r="E36">
        <v>0</v>
      </c>
      <c r="F36">
        <v>5.7000000000000002E-2</v>
      </c>
      <c r="G36">
        <v>5.7000000000000002E-2</v>
      </c>
    </row>
    <row r="37" spans="1:7" ht="15" customHeight="1" x14ac:dyDescent="0.15">
      <c r="A37">
        <v>36</v>
      </c>
      <c r="B37" s="186" t="s">
        <v>227</v>
      </c>
      <c r="C37">
        <v>0</v>
      </c>
      <c r="D37">
        <v>0</v>
      </c>
      <c r="E37">
        <v>0</v>
      </c>
      <c r="F37">
        <v>1.7100000000000001E-2</v>
      </c>
      <c r="G37">
        <v>1.7100000000000001E-2</v>
      </c>
    </row>
    <row r="38" spans="1:7" ht="15" customHeight="1" x14ac:dyDescent="0.15">
      <c r="A38">
        <v>37</v>
      </c>
      <c r="B38" s="186" t="s">
        <v>228</v>
      </c>
      <c r="C38">
        <v>0</v>
      </c>
      <c r="D38">
        <v>0</v>
      </c>
      <c r="E38">
        <v>0</v>
      </c>
      <c r="F38">
        <v>0.41799999999999998</v>
      </c>
      <c r="G38">
        <v>0.41799999999999998</v>
      </c>
    </row>
    <row r="39" spans="1:7" ht="15" customHeight="1" x14ac:dyDescent="0.15">
      <c r="A39">
        <v>38</v>
      </c>
      <c r="B39" s="186" t="s">
        <v>229</v>
      </c>
      <c r="C39">
        <v>1E-3</v>
      </c>
      <c r="D39">
        <v>4.0000000000000001E-3</v>
      </c>
      <c r="E39">
        <v>0</v>
      </c>
      <c r="F39">
        <v>0</v>
      </c>
      <c r="G39">
        <v>5.0000000000000001E-3</v>
      </c>
    </row>
    <row r="40" spans="1:7" ht="15" customHeight="1" x14ac:dyDescent="0.15">
      <c r="A40">
        <v>39</v>
      </c>
      <c r="B40" s="186" t="s">
        <v>230</v>
      </c>
      <c r="C40">
        <v>0</v>
      </c>
      <c r="D40">
        <v>3.01E-6</v>
      </c>
      <c r="E40">
        <v>0</v>
      </c>
      <c r="F40">
        <v>0</v>
      </c>
      <c r="G40">
        <v>3.01E-6</v>
      </c>
    </row>
    <row r="41" spans="1:7" ht="15" customHeight="1" x14ac:dyDescent="0.15">
      <c r="A41">
        <v>40</v>
      </c>
      <c r="B41" s="186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ht="15" customHeight="1" x14ac:dyDescent="0.15">
      <c r="A42">
        <v>41</v>
      </c>
      <c r="B42" s="186" t="s">
        <v>232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ht="15" customHeight="1" x14ac:dyDescent="0.15">
      <c r="A43">
        <v>42</v>
      </c>
      <c r="B43" s="186" t="s">
        <v>233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ht="15" customHeight="1" x14ac:dyDescent="0.15">
      <c r="A44">
        <v>43</v>
      </c>
      <c r="B44" s="186" t="s">
        <v>234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ht="15" customHeight="1" x14ac:dyDescent="0.15">
      <c r="A45">
        <v>44</v>
      </c>
      <c r="B45" s="186" t="s">
        <v>235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ht="15" customHeight="1" x14ac:dyDescent="0.15">
      <c r="A46">
        <v>45</v>
      </c>
      <c r="B46" s="186" t="s">
        <v>236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ht="15" customHeight="1" x14ac:dyDescent="0.15">
      <c r="A47">
        <v>46</v>
      </c>
      <c r="B47" s="186" t="s">
        <v>237</v>
      </c>
      <c r="C47">
        <v>0</v>
      </c>
      <c r="D47">
        <v>0</v>
      </c>
      <c r="E47">
        <v>0</v>
      </c>
      <c r="F47">
        <v>0.44494699999999998</v>
      </c>
      <c r="G47">
        <v>0.44494699999999998</v>
      </c>
    </row>
    <row r="48" spans="1:7" ht="15" customHeight="1" x14ac:dyDescent="0.15">
      <c r="A48">
        <v>47</v>
      </c>
      <c r="B48" s="186" t="s">
        <v>238</v>
      </c>
      <c r="C48">
        <v>0</v>
      </c>
      <c r="D48">
        <v>0</v>
      </c>
      <c r="E48">
        <v>0</v>
      </c>
      <c r="F48">
        <v>0.25009399999999998</v>
      </c>
      <c r="G48">
        <v>0.25009399999999998</v>
      </c>
    </row>
    <row r="49" spans="1:7" ht="15" customHeight="1" x14ac:dyDescent="0.15">
      <c r="A49">
        <v>48</v>
      </c>
      <c r="B49" s="186" t="s">
        <v>239</v>
      </c>
      <c r="C49">
        <v>0</v>
      </c>
      <c r="D49">
        <v>0</v>
      </c>
      <c r="E49">
        <v>0</v>
      </c>
      <c r="F49">
        <v>11.772399999999999</v>
      </c>
      <c r="G49">
        <v>11.772399999999999</v>
      </c>
    </row>
    <row r="50" spans="1:7" x14ac:dyDescent="0.15">
      <c r="A50">
        <v>49</v>
      </c>
      <c r="B50" s="186" t="s">
        <v>240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15">
      <c r="A51">
        <v>50</v>
      </c>
      <c r="B51" s="186" t="s">
        <v>241</v>
      </c>
      <c r="C51">
        <v>0</v>
      </c>
      <c r="D51">
        <v>0</v>
      </c>
      <c r="E51">
        <v>0</v>
      </c>
      <c r="F51">
        <v>13.7201</v>
      </c>
      <c r="G51">
        <v>13.7201</v>
      </c>
    </row>
    <row r="52" spans="1:7" x14ac:dyDescent="0.15">
      <c r="A52">
        <v>51</v>
      </c>
      <c r="B52" s="186" t="s">
        <v>242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15">
      <c r="A53">
        <v>52</v>
      </c>
      <c r="B53" s="186" t="s">
        <v>243</v>
      </c>
      <c r="C53">
        <v>0</v>
      </c>
      <c r="D53">
        <v>0</v>
      </c>
      <c r="E53">
        <v>0</v>
      </c>
      <c r="F53">
        <v>0</v>
      </c>
      <c r="G53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5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5" bestFit="1" customWidth="1"/>
    <col min="3" max="5" width="2.33203125" bestFit="1" customWidth="1"/>
    <col min="6" max="7" width="2.33203125" customWidth="1"/>
  </cols>
  <sheetData>
    <row r="1" spans="1:7" s="116" customFormat="1" ht="112" x14ac:dyDescent="0.15">
      <c r="A1" s="5" t="s">
        <v>22</v>
      </c>
      <c r="B1" s="3" t="s">
        <v>0</v>
      </c>
      <c r="C1" s="189" t="s">
        <v>244</v>
      </c>
      <c r="D1" s="189" t="s">
        <v>245</v>
      </c>
      <c r="E1" s="189" t="s">
        <v>246</v>
      </c>
      <c r="F1" s="189" t="s">
        <v>247</v>
      </c>
      <c r="G1" s="189" t="s">
        <v>251</v>
      </c>
    </row>
    <row r="2" spans="1:7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88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88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88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88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88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88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>
        <v>9</v>
      </c>
      <c r="B10" s="188" t="s">
        <v>200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88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15">
      <c r="A12">
        <v>11</v>
      </c>
      <c r="B12" s="188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88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88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88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88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88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88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88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88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88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88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88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88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88" t="s">
        <v>215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88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88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88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15">
      <c r="A29">
        <v>28</v>
      </c>
      <c r="B29" s="188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15">
      <c r="A30">
        <v>29</v>
      </c>
      <c r="B30" s="188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88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88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88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88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88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88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15">
      <c r="A40">
        <v>39</v>
      </c>
      <c r="B40" s="188" t="s">
        <v>230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15">
      <c r="A41">
        <v>40</v>
      </c>
      <c r="B41" s="188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15">
      <c r="A42">
        <v>41</v>
      </c>
      <c r="B42" s="188" t="s">
        <v>232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15">
      <c r="A43">
        <v>42</v>
      </c>
      <c r="B43" s="188" t="s">
        <v>233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15">
      <c r="A44">
        <v>43</v>
      </c>
      <c r="B44" s="188" t="s">
        <v>234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15">
      <c r="A45">
        <v>44</v>
      </c>
      <c r="B45" s="188" t="s">
        <v>235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15">
      <c r="A46">
        <v>45</v>
      </c>
      <c r="B46" s="188" t="s">
        <v>236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15">
      <c r="A47">
        <v>46</v>
      </c>
      <c r="B47" s="188" t="s">
        <v>237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15">
      <c r="A48">
        <v>47</v>
      </c>
      <c r="B48" s="188" t="s">
        <v>238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15">
      <c r="A49">
        <v>48</v>
      </c>
      <c r="B49" s="188" t="s">
        <v>239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15">
      <c r="A50">
        <v>49</v>
      </c>
      <c r="B50" s="188" t="s">
        <v>240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15">
      <c r="A51">
        <v>50</v>
      </c>
      <c r="B51" s="188" t="s">
        <v>241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15">
      <c r="A52">
        <v>51</v>
      </c>
      <c r="B52" s="188" t="s">
        <v>242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15">
      <c r="A53">
        <v>52</v>
      </c>
      <c r="B53" s="188" t="s">
        <v>243</v>
      </c>
      <c r="C53">
        <v>0</v>
      </c>
      <c r="D53">
        <v>0</v>
      </c>
      <c r="E53">
        <v>0</v>
      </c>
      <c r="F53">
        <v>0</v>
      </c>
      <c r="G5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9.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90" t="s">
        <v>192</v>
      </c>
      <c r="F2">
        <v>0.98</v>
      </c>
      <c r="G2">
        <v>0.8</v>
      </c>
      <c r="H2">
        <v>0.8</v>
      </c>
      <c r="I2">
        <v>0.8</v>
      </c>
      <c r="J2" s="115">
        <v>0.25</v>
      </c>
      <c r="K2" s="115">
        <v>0.05</v>
      </c>
    </row>
    <row r="3" spans="1:42" x14ac:dyDescent="0.15">
      <c r="A3" s="124" t="s">
        <v>75</v>
      </c>
      <c r="B3" s="126">
        <v>1</v>
      </c>
      <c r="D3">
        <v>2</v>
      </c>
      <c r="E3" s="190" t="s">
        <v>193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90" t="s">
        <v>194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90" t="s">
        <v>195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90" t="s">
        <v>196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90" t="s">
        <v>197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90" t="s">
        <v>198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90" t="s">
        <v>199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90" t="s">
        <v>200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90" t="s">
        <v>201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90" t="s">
        <v>202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90" t="s">
        <v>203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90" t="s">
        <v>204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90" t="s">
        <v>205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90" t="s">
        <v>206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90" t="s">
        <v>207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90" t="s">
        <v>208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90" t="s">
        <v>209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90" t="s">
        <v>210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90" t="s">
        <v>211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90" t="s">
        <v>212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90" t="s">
        <v>213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90" t="s">
        <v>214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90" t="s">
        <v>215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90" t="s">
        <v>216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90" t="s">
        <v>217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90" t="s">
        <v>218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90" t="s">
        <v>219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90" t="s">
        <v>220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90" t="s">
        <v>221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90" t="s">
        <v>222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90" t="s">
        <v>223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90" t="s">
        <v>224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90" t="s">
        <v>225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90" t="s">
        <v>226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90" t="s">
        <v>227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90" t="s">
        <v>228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90" t="s">
        <v>229</v>
      </c>
      <c r="F39">
        <v>0.98</v>
      </c>
      <c r="G39">
        <v>0.8</v>
      </c>
      <c r="H39">
        <v>0.8</v>
      </c>
      <c r="I39">
        <v>0.8</v>
      </c>
      <c r="J39" s="115">
        <v>0.25</v>
      </c>
      <c r="K39" s="115">
        <v>0.05</v>
      </c>
    </row>
    <row r="40" spans="4:33" ht="15" customHeight="1" x14ac:dyDescent="0.15">
      <c r="D40">
        <v>39</v>
      </c>
      <c r="E40" s="190" t="s">
        <v>230</v>
      </c>
      <c r="F40">
        <v>0.98</v>
      </c>
      <c r="G40">
        <v>0.8</v>
      </c>
      <c r="H40">
        <v>0.8</v>
      </c>
      <c r="I40">
        <v>0.8</v>
      </c>
      <c r="J40" s="115">
        <v>0.25</v>
      </c>
      <c r="K40" s="115">
        <v>0.05</v>
      </c>
      <c r="Y40"/>
      <c r="AC40"/>
      <c r="AG40"/>
    </row>
    <row r="41" spans="4:33" ht="15" customHeight="1" x14ac:dyDescent="0.15">
      <c r="D41">
        <v>40</v>
      </c>
      <c r="E41" s="190" t="s">
        <v>231</v>
      </c>
      <c r="F41">
        <v>0.98</v>
      </c>
      <c r="G41">
        <v>0.8</v>
      </c>
      <c r="H41">
        <v>0.8</v>
      </c>
      <c r="I41">
        <v>0.8</v>
      </c>
      <c r="J41" s="115">
        <v>0.25</v>
      </c>
      <c r="K41" s="115">
        <v>0.05</v>
      </c>
      <c r="Y41"/>
      <c r="AC41"/>
      <c r="AG41"/>
    </row>
    <row r="42" spans="4:33" ht="15" customHeight="1" x14ac:dyDescent="0.15">
      <c r="D42">
        <v>41</v>
      </c>
      <c r="E42" s="190" t="s">
        <v>232</v>
      </c>
      <c r="F42">
        <v>0.98</v>
      </c>
      <c r="G42">
        <v>0.8</v>
      </c>
      <c r="H42">
        <v>0.8</v>
      </c>
      <c r="I42">
        <v>0.8</v>
      </c>
      <c r="J42" s="115">
        <v>0.25</v>
      </c>
      <c r="K42" s="115">
        <v>0.05</v>
      </c>
      <c r="Y42"/>
      <c r="AC42"/>
      <c r="AG42"/>
    </row>
    <row r="43" spans="4:33" ht="15" customHeight="1" x14ac:dyDescent="0.15">
      <c r="D43">
        <v>42</v>
      </c>
      <c r="E43" s="190" t="s">
        <v>233</v>
      </c>
      <c r="F43">
        <v>0.98</v>
      </c>
      <c r="G43">
        <v>0.8</v>
      </c>
      <c r="H43">
        <v>0.8</v>
      </c>
      <c r="I43">
        <v>0.8</v>
      </c>
      <c r="J43" s="115">
        <v>0.25</v>
      </c>
      <c r="K43" s="115">
        <v>0.05</v>
      </c>
      <c r="Y43"/>
      <c r="AC43"/>
      <c r="AG43"/>
    </row>
    <row r="44" spans="4:33" ht="15" customHeight="1" x14ac:dyDescent="0.15">
      <c r="D44">
        <v>43</v>
      </c>
      <c r="E44" s="190" t="s">
        <v>234</v>
      </c>
      <c r="F44">
        <v>0.98</v>
      </c>
      <c r="G44">
        <v>0.8</v>
      </c>
      <c r="H44">
        <v>0.8</v>
      </c>
      <c r="I44">
        <v>0.8</v>
      </c>
      <c r="J44" s="115">
        <v>0.25</v>
      </c>
      <c r="K44" s="115">
        <v>0.05</v>
      </c>
      <c r="Y44"/>
      <c r="AC44"/>
      <c r="AG44"/>
    </row>
    <row r="45" spans="4:33" ht="15" customHeight="1" x14ac:dyDescent="0.15">
      <c r="D45">
        <v>44</v>
      </c>
      <c r="E45" s="190" t="s">
        <v>235</v>
      </c>
      <c r="F45">
        <v>0.98</v>
      </c>
      <c r="G45">
        <v>0.8</v>
      </c>
      <c r="H45">
        <v>0.8</v>
      </c>
      <c r="I45">
        <v>0.8</v>
      </c>
      <c r="J45" s="115">
        <v>0.25</v>
      </c>
      <c r="K45" s="115">
        <v>0.05</v>
      </c>
      <c r="Y45"/>
      <c r="AC45"/>
      <c r="AG45"/>
    </row>
    <row r="46" spans="4:33" ht="15" customHeight="1" x14ac:dyDescent="0.15">
      <c r="D46">
        <v>45</v>
      </c>
      <c r="E46" s="190" t="s">
        <v>236</v>
      </c>
      <c r="F46">
        <v>0.98</v>
      </c>
      <c r="G46">
        <v>0.8</v>
      </c>
      <c r="H46">
        <v>0.8</v>
      </c>
      <c r="I46">
        <v>0.8</v>
      </c>
      <c r="J46" s="115">
        <v>0.25</v>
      </c>
      <c r="K46" s="115">
        <v>0.05</v>
      </c>
      <c r="Y46"/>
      <c r="AC46"/>
      <c r="AG46"/>
    </row>
    <row r="47" spans="4:33" ht="15" customHeight="1" x14ac:dyDescent="0.15">
      <c r="D47">
        <v>46</v>
      </c>
      <c r="E47" s="190" t="s">
        <v>237</v>
      </c>
      <c r="F47">
        <v>0.98</v>
      </c>
      <c r="G47">
        <v>0.8</v>
      </c>
      <c r="H47">
        <v>0.8</v>
      </c>
      <c r="I47">
        <v>0.8</v>
      </c>
      <c r="J47" s="115">
        <v>0.25</v>
      </c>
      <c r="K47" s="115">
        <v>0.05</v>
      </c>
      <c r="Y47"/>
      <c r="AC47"/>
      <c r="AG47"/>
    </row>
    <row r="48" spans="4:33" ht="15" customHeight="1" x14ac:dyDescent="0.15">
      <c r="D48">
        <v>47</v>
      </c>
      <c r="E48" s="190" t="s">
        <v>238</v>
      </c>
      <c r="F48">
        <v>0.98</v>
      </c>
      <c r="G48">
        <v>0.8</v>
      </c>
      <c r="H48">
        <v>0.8</v>
      </c>
      <c r="I48">
        <v>0.8</v>
      </c>
      <c r="J48" s="115">
        <v>0.25</v>
      </c>
      <c r="K48" s="115">
        <v>0.05</v>
      </c>
      <c r="Y48"/>
      <c r="AC48"/>
      <c r="AG48"/>
    </row>
    <row r="49" spans="4:33" ht="15" customHeight="1" x14ac:dyDescent="0.15">
      <c r="D49">
        <v>48</v>
      </c>
      <c r="E49" s="190" t="s">
        <v>239</v>
      </c>
      <c r="F49">
        <v>0.98</v>
      </c>
      <c r="G49">
        <v>0.8</v>
      </c>
      <c r="H49">
        <v>0.8</v>
      </c>
      <c r="I49">
        <v>0</v>
      </c>
      <c r="J49" s="115">
        <v>0</v>
      </c>
      <c r="K49" s="115">
        <v>0</v>
      </c>
      <c r="Y49"/>
      <c r="AC49"/>
      <c r="AG49"/>
    </row>
    <row r="50" spans="4:33" ht="15" customHeight="1" x14ac:dyDescent="0.15">
      <c r="D50">
        <v>49</v>
      </c>
      <c r="E50" s="190" t="s">
        <v>240</v>
      </c>
      <c r="F50">
        <v>0.98</v>
      </c>
      <c r="G50">
        <v>0.8</v>
      </c>
      <c r="H50">
        <v>0.8</v>
      </c>
      <c r="I50">
        <v>0</v>
      </c>
      <c r="J50" s="115">
        <v>0</v>
      </c>
      <c r="K50" s="115">
        <v>0</v>
      </c>
      <c r="Y50"/>
      <c r="AC50"/>
      <c r="AG50"/>
    </row>
    <row r="51" spans="4:33" ht="15" customHeight="1" x14ac:dyDescent="0.15">
      <c r="D51">
        <v>50</v>
      </c>
      <c r="E51" s="190" t="s">
        <v>241</v>
      </c>
      <c r="F51">
        <v>0.98</v>
      </c>
      <c r="G51">
        <v>0.8</v>
      </c>
      <c r="H51">
        <v>0.8</v>
      </c>
      <c r="I51">
        <v>0</v>
      </c>
      <c r="J51" s="115">
        <v>0</v>
      </c>
      <c r="K51" s="115">
        <v>0</v>
      </c>
      <c r="Y51"/>
      <c r="AC51"/>
      <c r="AG51"/>
    </row>
    <row r="52" spans="4:33" ht="15" customHeight="1" x14ac:dyDescent="0.15">
      <c r="D52">
        <v>51</v>
      </c>
      <c r="E52" s="190" t="s">
        <v>242</v>
      </c>
      <c r="F52">
        <v>0.98</v>
      </c>
      <c r="G52">
        <v>0.8</v>
      </c>
      <c r="H52">
        <v>0</v>
      </c>
      <c r="I52">
        <v>0</v>
      </c>
      <c r="J52" s="115">
        <v>0</v>
      </c>
      <c r="K52" s="115">
        <v>0</v>
      </c>
      <c r="Y52"/>
      <c r="AC52"/>
      <c r="AG52"/>
    </row>
    <row r="53" spans="4:33" ht="15" customHeight="1" x14ac:dyDescent="0.15">
      <c r="D53">
        <v>52</v>
      </c>
      <c r="E53" s="190" t="s">
        <v>243</v>
      </c>
      <c r="F53">
        <v>0.98</v>
      </c>
      <c r="G53">
        <v>0.8</v>
      </c>
      <c r="H53">
        <v>0</v>
      </c>
      <c r="I53">
        <v>0</v>
      </c>
      <c r="J53" s="115">
        <v>0</v>
      </c>
      <c r="K53" s="115">
        <v>0</v>
      </c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A54"/>
  <sheetViews>
    <sheetView workbookViewId="0">
      <selection activeCell="A3" sqref="A3"/>
    </sheetView>
  </sheetViews>
  <sheetFormatPr baseColWidth="10" defaultRowHeight="13" x14ac:dyDescent="0.15"/>
  <cols>
    <col min="1" max="1" width="21.6640625" style="113" bestFit="1" customWidth="1"/>
    <col min="2" max="48" width="3.83203125" style="113" customWidth="1"/>
    <col min="49" max="53" width="2.33203125" style="113" customWidth="1"/>
    <col min="54" max="16384" width="10.83203125" style="113"/>
  </cols>
  <sheetData>
    <row r="1" spans="1:53" x14ac:dyDescent="0.15">
      <c r="A1" s="63" t="s">
        <v>118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  <c r="AN1" s="192" t="s">
        <v>230</v>
      </c>
      <c r="AO1" s="192" t="s">
        <v>231</v>
      </c>
      <c r="AP1" s="192" t="s">
        <v>232</v>
      </c>
      <c r="AQ1" s="192" t="s">
        <v>233</v>
      </c>
      <c r="AR1" s="192" t="s">
        <v>234</v>
      </c>
      <c r="AS1" s="192" t="s">
        <v>235</v>
      </c>
      <c r="AT1" s="192" t="s">
        <v>236</v>
      </c>
      <c r="AU1" s="192" t="s">
        <v>237</v>
      </c>
      <c r="AV1" s="192" t="s">
        <v>238</v>
      </c>
      <c r="AW1" s="192" t="s">
        <v>239</v>
      </c>
      <c r="AX1" s="192" t="s">
        <v>240</v>
      </c>
      <c r="AY1" s="192" t="s">
        <v>241</v>
      </c>
      <c r="AZ1" s="192" t="s">
        <v>242</v>
      </c>
      <c r="BA1" s="192" t="s">
        <v>243</v>
      </c>
    </row>
    <row r="2" spans="1:53" customFormat="1" x14ac:dyDescent="0.15">
      <c r="A2" s="191" t="s">
        <v>192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  <c r="AY2" s="113">
        <v>0</v>
      </c>
      <c r="AZ2" s="113">
        <v>0</v>
      </c>
      <c r="BA2" s="113">
        <v>0</v>
      </c>
    </row>
    <row r="3" spans="1:53" customFormat="1" x14ac:dyDescent="0.15">
      <c r="A3" s="191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  <c r="AY3" s="113">
        <v>0</v>
      </c>
      <c r="AZ3" s="113">
        <v>0</v>
      </c>
      <c r="BA3" s="113">
        <v>0</v>
      </c>
    </row>
    <row r="4" spans="1:53" customFormat="1" x14ac:dyDescent="0.15">
      <c r="A4" s="191" t="s">
        <v>194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0.8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  <c r="AZ4" s="113">
        <v>0</v>
      </c>
      <c r="BA4" s="113">
        <v>0</v>
      </c>
    </row>
    <row r="5" spans="1:53" customFormat="1" x14ac:dyDescent="0.15">
      <c r="A5" s="191" t="s">
        <v>195</v>
      </c>
      <c r="B5" s="113">
        <v>0</v>
      </c>
      <c r="C5" s="113">
        <v>0.8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0.8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customFormat="1" x14ac:dyDescent="0.15">
      <c r="A6" s="191" t="s">
        <v>196</v>
      </c>
      <c r="B6" s="113">
        <v>0.8</v>
      </c>
      <c r="C6" s="113">
        <v>0.8</v>
      </c>
      <c r="D6" s="113">
        <v>0.8</v>
      </c>
      <c r="E6" s="113">
        <v>0.8</v>
      </c>
      <c r="F6" s="113">
        <v>0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0.8</v>
      </c>
      <c r="M6" s="113">
        <v>0</v>
      </c>
      <c r="N6" s="113">
        <v>0</v>
      </c>
      <c r="O6" s="113">
        <v>0.8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0.8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  <c r="AY6" s="113">
        <v>0</v>
      </c>
      <c r="AZ6" s="113">
        <v>0</v>
      </c>
      <c r="BA6" s="113">
        <v>0</v>
      </c>
    </row>
    <row r="7" spans="1:53" customFormat="1" x14ac:dyDescent="0.15">
      <c r="A7" s="191" t="s">
        <v>197</v>
      </c>
      <c r="B7" s="113">
        <v>0</v>
      </c>
      <c r="C7" s="113">
        <v>0.8</v>
      </c>
      <c r="D7" s="113">
        <v>0</v>
      </c>
      <c r="E7" s="113">
        <v>0</v>
      </c>
      <c r="F7" s="113">
        <v>0</v>
      </c>
      <c r="G7" s="113">
        <v>0.8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0.8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0.8</v>
      </c>
      <c r="V7" s="113">
        <v>0</v>
      </c>
      <c r="W7" s="113">
        <v>0.8</v>
      </c>
      <c r="X7" s="113">
        <v>0.8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  <c r="AZ7" s="113">
        <v>0</v>
      </c>
      <c r="BA7" s="113">
        <v>0</v>
      </c>
    </row>
    <row r="8" spans="1:53" customFormat="1" x14ac:dyDescent="0.15">
      <c r="A8" s="191" t="s">
        <v>198</v>
      </c>
      <c r="B8" s="113">
        <v>0.8</v>
      </c>
      <c r="C8" s="113">
        <v>0</v>
      </c>
      <c r="D8" s="113">
        <v>0</v>
      </c>
      <c r="E8" s="113">
        <v>0</v>
      </c>
      <c r="F8" s="113">
        <v>0</v>
      </c>
      <c r="G8" s="113">
        <v>0.8</v>
      </c>
      <c r="H8" s="113">
        <v>0</v>
      </c>
      <c r="I8" s="113">
        <v>0</v>
      </c>
      <c r="J8" s="113">
        <v>0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0.8</v>
      </c>
      <c r="V8" s="113">
        <v>0</v>
      </c>
      <c r="W8" s="113">
        <v>0.8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0.8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  <c r="AZ8" s="113">
        <v>0</v>
      </c>
      <c r="BA8" s="113">
        <v>0</v>
      </c>
    </row>
    <row r="9" spans="1:53" customFormat="1" x14ac:dyDescent="0.15">
      <c r="A9" s="191" t="s">
        <v>199</v>
      </c>
      <c r="B9" s="113">
        <v>0.8</v>
      </c>
      <c r="C9" s="113">
        <v>0.8</v>
      </c>
      <c r="D9" s="113">
        <v>0</v>
      </c>
      <c r="E9" s="113">
        <v>0</v>
      </c>
      <c r="F9" s="113">
        <v>0</v>
      </c>
      <c r="G9" s="113">
        <v>0.8</v>
      </c>
      <c r="H9" s="113">
        <v>0.8</v>
      </c>
      <c r="I9" s="113">
        <v>0</v>
      </c>
      <c r="J9" s="113">
        <v>0</v>
      </c>
      <c r="K9" s="113">
        <v>0.8</v>
      </c>
      <c r="L9" s="113">
        <v>0.8</v>
      </c>
      <c r="M9" s="113">
        <v>0</v>
      </c>
      <c r="N9" s="113">
        <v>0</v>
      </c>
      <c r="O9" s="113">
        <v>0.8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0.8</v>
      </c>
      <c r="V9" s="113">
        <v>0.8</v>
      </c>
      <c r="W9" s="113">
        <v>0.8</v>
      </c>
      <c r="X9" s="113">
        <v>0.8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0.8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  <c r="AZ9" s="113">
        <v>0</v>
      </c>
      <c r="BA9" s="113">
        <v>0</v>
      </c>
    </row>
    <row r="10" spans="1:53" customFormat="1" x14ac:dyDescent="0.15">
      <c r="A10" s="191" t="s">
        <v>200</v>
      </c>
      <c r="B10" s="113">
        <v>0.8</v>
      </c>
      <c r="C10" s="113">
        <v>0.8</v>
      </c>
      <c r="D10" s="113">
        <v>0.8</v>
      </c>
      <c r="E10" s="113">
        <v>0.8</v>
      </c>
      <c r="F10" s="113">
        <v>0</v>
      </c>
      <c r="G10" s="113">
        <v>0.8</v>
      </c>
      <c r="H10" s="113">
        <v>0.8</v>
      </c>
      <c r="I10" s="113">
        <v>0</v>
      </c>
      <c r="J10" s="113">
        <v>0</v>
      </c>
      <c r="K10" s="113">
        <v>0.8</v>
      </c>
      <c r="L10" s="113">
        <v>0.8</v>
      </c>
      <c r="M10" s="113">
        <v>0.8</v>
      </c>
      <c r="N10" s="113">
        <v>0</v>
      </c>
      <c r="O10" s="113">
        <v>0.8</v>
      </c>
      <c r="P10" s="113">
        <v>0.8</v>
      </c>
      <c r="Q10" s="113">
        <v>0</v>
      </c>
      <c r="R10" s="113">
        <v>0.8</v>
      </c>
      <c r="S10" s="113">
        <v>0</v>
      </c>
      <c r="T10" s="113">
        <v>0</v>
      </c>
      <c r="U10" s="113">
        <v>0.8</v>
      </c>
      <c r="V10" s="113">
        <v>0.8</v>
      </c>
      <c r="W10" s="113">
        <v>0.8</v>
      </c>
      <c r="X10" s="113">
        <v>0.8</v>
      </c>
      <c r="Y10" s="113">
        <v>0.8</v>
      </c>
      <c r="Z10" s="113">
        <v>0.8</v>
      </c>
      <c r="AA10" s="113">
        <v>0</v>
      </c>
      <c r="AB10" s="113">
        <v>0</v>
      </c>
      <c r="AC10" s="113">
        <v>0</v>
      </c>
      <c r="AD10" s="113">
        <v>0</v>
      </c>
      <c r="AE10" s="113">
        <v>0.8</v>
      </c>
      <c r="AF10" s="113">
        <v>0.8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  <c r="BA10" s="113">
        <v>0</v>
      </c>
    </row>
    <row r="11" spans="1:53" customFormat="1" x14ac:dyDescent="0.15">
      <c r="A11" s="191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0.8</v>
      </c>
      <c r="H11" s="113">
        <v>0.8</v>
      </c>
      <c r="I11" s="113">
        <v>0</v>
      </c>
      <c r="J11" s="113">
        <v>0</v>
      </c>
      <c r="K11" s="113">
        <v>0.8</v>
      </c>
      <c r="L11" s="113">
        <v>0.8</v>
      </c>
      <c r="M11" s="113">
        <v>0.8</v>
      </c>
      <c r="N11" s="113">
        <v>0</v>
      </c>
      <c r="O11" s="113">
        <v>0.8</v>
      </c>
      <c r="P11" s="113">
        <v>0.8</v>
      </c>
      <c r="Q11" s="113">
        <v>0</v>
      </c>
      <c r="R11" s="113">
        <v>0</v>
      </c>
      <c r="S11" s="113">
        <v>0.8</v>
      </c>
      <c r="T11" s="113">
        <v>0</v>
      </c>
      <c r="U11" s="113">
        <v>0.8</v>
      </c>
      <c r="V11" s="113">
        <v>0.8</v>
      </c>
      <c r="W11" s="113">
        <v>0.8</v>
      </c>
      <c r="X11" s="113">
        <v>0.8</v>
      </c>
      <c r="Y11" s="113">
        <v>0.8</v>
      </c>
      <c r="Z11" s="113">
        <v>0</v>
      </c>
      <c r="AA11" s="113">
        <v>0</v>
      </c>
      <c r="AB11" s="113">
        <v>0.8</v>
      </c>
      <c r="AC11" s="113">
        <v>0</v>
      </c>
      <c r="AD11" s="113">
        <v>0</v>
      </c>
      <c r="AE11" s="113">
        <v>0.8</v>
      </c>
      <c r="AF11" s="113">
        <v>0.8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  <c r="AY11" s="113">
        <v>0</v>
      </c>
      <c r="AZ11" s="113">
        <v>0</v>
      </c>
      <c r="BA11" s="113">
        <v>0</v>
      </c>
    </row>
    <row r="12" spans="1:53" customFormat="1" x14ac:dyDescent="0.15">
      <c r="A12" s="191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0.8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  <c r="AY12" s="113">
        <v>0</v>
      </c>
      <c r="AZ12" s="113">
        <v>0</v>
      </c>
      <c r="BA12" s="113">
        <v>0</v>
      </c>
    </row>
    <row r="13" spans="1:53" customFormat="1" x14ac:dyDescent="0.15">
      <c r="A13" s="191" t="s">
        <v>203</v>
      </c>
      <c r="B13" s="113">
        <v>0.8</v>
      </c>
      <c r="C13" s="113">
        <v>0.8</v>
      </c>
      <c r="D13" s="113">
        <v>0.8</v>
      </c>
      <c r="E13" s="113">
        <v>0.8</v>
      </c>
      <c r="F13" s="113">
        <v>0</v>
      </c>
      <c r="G13" s="113">
        <v>0.8</v>
      </c>
      <c r="H13" s="113">
        <v>0.8</v>
      </c>
      <c r="I13" s="113">
        <v>0</v>
      </c>
      <c r="J13" s="113">
        <v>0</v>
      </c>
      <c r="K13" s="113">
        <v>0</v>
      </c>
      <c r="L13" s="113">
        <v>0.8</v>
      </c>
      <c r="M13" s="113">
        <v>0.8</v>
      </c>
      <c r="N13" s="113">
        <v>0</v>
      </c>
      <c r="O13" s="113">
        <v>0.8</v>
      </c>
      <c r="P13" s="113">
        <v>0</v>
      </c>
      <c r="Q13" s="113">
        <v>0.8</v>
      </c>
      <c r="R13" s="113">
        <v>0</v>
      </c>
      <c r="S13" s="113">
        <v>0.8</v>
      </c>
      <c r="T13" s="113">
        <v>0</v>
      </c>
      <c r="U13" s="113">
        <v>0.8</v>
      </c>
      <c r="V13" s="113">
        <v>0.8</v>
      </c>
      <c r="W13" s="113">
        <v>0.8</v>
      </c>
      <c r="X13" s="113">
        <v>0.8</v>
      </c>
      <c r="Y13" s="113">
        <v>0</v>
      </c>
      <c r="Z13" s="113">
        <v>0.8</v>
      </c>
      <c r="AA13" s="113">
        <v>0</v>
      </c>
      <c r="AB13" s="113">
        <v>0.8</v>
      </c>
      <c r="AC13" s="113">
        <v>0.8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  <c r="AY13" s="113">
        <v>0</v>
      </c>
      <c r="AZ13" s="113">
        <v>0</v>
      </c>
      <c r="BA13" s="113">
        <v>0</v>
      </c>
    </row>
    <row r="14" spans="1:53" customFormat="1" x14ac:dyDescent="0.15">
      <c r="A14" s="191" t="s">
        <v>204</v>
      </c>
      <c r="B14" s="113">
        <v>0.8</v>
      </c>
      <c r="C14" s="113">
        <v>0.8</v>
      </c>
      <c r="D14" s="113">
        <v>0.8</v>
      </c>
      <c r="E14" s="113">
        <v>0</v>
      </c>
      <c r="F14" s="113">
        <v>0</v>
      </c>
      <c r="G14" s="113">
        <v>0.8</v>
      </c>
      <c r="H14" s="113">
        <v>0.8</v>
      </c>
      <c r="I14" s="113">
        <v>0</v>
      </c>
      <c r="J14" s="113">
        <v>0</v>
      </c>
      <c r="K14" s="113">
        <v>0.8</v>
      </c>
      <c r="L14" s="113">
        <v>0.8</v>
      </c>
      <c r="M14" s="113">
        <v>0.8</v>
      </c>
      <c r="N14" s="113">
        <v>0</v>
      </c>
      <c r="O14" s="113">
        <v>0.8</v>
      </c>
      <c r="P14" s="113">
        <v>0.8</v>
      </c>
      <c r="Q14" s="113">
        <v>0.8</v>
      </c>
      <c r="R14" s="113">
        <v>0.8</v>
      </c>
      <c r="S14" s="113">
        <v>0.8</v>
      </c>
      <c r="T14" s="113">
        <v>0</v>
      </c>
      <c r="U14" s="113">
        <v>0.8</v>
      </c>
      <c r="V14" s="113">
        <v>0.8</v>
      </c>
      <c r="W14" s="113">
        <v>0.8</v>
      </c>
      <c r="X14" s="113">
        <v>0.8</v>
      </c>
      <c r="Y14" s="113">
        <v>0.8</v>
      </c>
      <c r="Z14" s="113">
        <v>0.8</v>
      </c>
      <c r="AA14" s="113">
        <v>0</v>
      </c>
      <c r="AB14" s="113">
        <v>0.8</v>
      </c>
      <c r="AC14" s="113">
        <v>0.8</v>
      </c>
      <c r="AD14" s="113">
        <v>0.8</v>
      </c>
      <c r="AE14" s="113">
        <v>0</v>
      </c>
      <c r="AF14" s="113">
        <v>0.8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  <c r="AY14" s="113">
        <v>0</v>
      </c>
      <c r="AZ14" s="113">
        <v>0</v>
      </c>
      <c r="BA14" s="113">
        <v>0</v>
      </c>
    </row>
    <row r="15" spans="1:53" customFormat="1" x14ac:dyDescent="0.15">
      <c r="A15" s="191" t="s">
        <v>205</v>
      </c>
      <c r="B15" s="113">
        <v>0</v>
      </c>
      <c r="C15" s="113">
        <v>0.8</v>
      </c>
      <c r="D15" s="113">
        <v>0.8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0.8</v>
      </c>
      <c r="M15" s="113">
        <v>0</v>
      </c>
      <c r="N15" s="113">
        <v>0</v>
      </c>
      <c r="O15" s="113">
        <v>0.8</v>
      </c>
      <c r="P15" s="113">
        <v>0</v>
      </c>
      <c r="Q15" s="113">
        <v>0</v>
      </c>
      <c r="R15" s="113">
        <v>0</v>
      </c>
      <c r="S15" s="113">
        <v>0.8</v>
      </c>
      <c r="T15" s="113">
        <v>0</v>
      </c>
      <c r="U15" s="113">
        <v>0.8</v>
      </c>
      <c r="V15" s="113">
        <v>0.8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  <c r="AY15" s="113">
        <v>0</v>
      </c>
      <c r="AZ15" s="113">
        <v>0</v>
      </c>
      <c r="BA15" s="113">
        <v>0</v>
      </c>
    </row>
    <row r="16" spans="1:53" customFormat="1" x14ac:dyDescent="0.15">
      <c r="A16" s="191" t="s">
        <v>206</v>
      </c>
      <c r="B16" s="113">
        <v>0</v>
      </c>
      <c r="C16" s="113">
        <v>0.8</v>
      </c>
      <c r="D16" s="113">
        <v>0.8</v>
      </c>
      <c r="E16" s="113">
        <v>0.8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0.8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0.8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0.8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  <c r="AY16" s="113">
        <v>0</v>
      </c>
      <c r="AZ16" s="113">
        <v>0</v>
      </c>
      <c r="BA16" s="113">
        <v>0</v>
      </c>
    </row>
    <row r="17" spans="1:53" customFormat="1" x14ac:dyDescent="0.15">
      <c r="A17" s="191" t="s">
        <v>207</v>
      </c>
      <c r="B17" s="113">
        <v>0</v>
      </c>
      <c r="C17" s="113">
        <v>0</v>
      </c>
      <c r="D17" s="113">
        <v>0.8</v>
      </c>
      <c r="E17" s="113">
        <v>0</v>
      </c>
      <c r="F17" s="113">
        <v>0</v>
      </c>
      <c r="G17" s="113">
        <v>0.8</v>
      </c>
      <c r="H17" s="113">
        <v>0</v>
      </c>
      <c r="I17" s="113">
        <v>0</v>
      </c>
      <c r="J17" s="113">
        <v>0</v>
      </c>
      <c r="K17" s="113">
        <v>0</v>
      </c>
      <c r="L17" s="113">
        <v>0.8</v>
      </c>
      <c r="M17" s="113">
        <v>0</v>
      </c>
      <c r="N17" s="113">
        <v>0</v>
      </c>
      <c r="O17" s="113">
        <v>0.8</v>
      </c>
      <c r="P17" s="113">
        <v>0</v>
      </c>
      <c r="Q17" s="113">
        <v>0</v>
      </c>
      <c r="R17" s="113">
        <v>0</v>
      </c>
      <c r="S17" s="113">
        <v>0.8</v>
      </c>
      <c r="T17" s="113">
        <v>0</v>
      </c>
      <c r="U17" s="113">
        <v>0.8</v>
      </c>
      <c r="V17" s="113">
        <v>0.8</v>
      </c>
      <c r="W17" s="113">
        <v>0.8</v>
      </c>
      <c r="X17" s="113">
        <v>0.8</v>
      </c>
      <c r="Y17" s="113">
        <v>0</v>
      </c>
      <c r="Z17" s="113">
        <v>0</v>
      </c>
      <c r="AA17" s="113">
        <v>0</v>
      </c>
      <c r="AB17" s="113">
        <v>0.8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  <c r="AY17" s="113">
        <v>0</v>
      </c>
      <c r="AZ17" s="113">
        <v>0</v>
      </c>
      <c r="BA17" s="113">
        <v>0</v>
      </c>
    </row>
    <row r="18" spans="1:53" customFormat="1" x14ac:dyDescent="0.15">
      <c r="A18" s="191" t="s">
        <v>208</v>
      </c>
      <c r="B18" s="113">
        <v>0</v>
      </c>
      <c r="C18" s="113">
        <v>0.8</v>
      </c>
      <c r="D18" s="113">
        <v>0.8</v>
      </c>
      <c r="E18" s="113">
        <v>0.8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0.8</v>
      </c>
      <c r="M18" s="113">
        <v>0.8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0.8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0.8</v>
      </c>
      <c r="Z18" s="113">
        <v>0.8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  <c r="BA18" s="113">
        <v>0</v>
      </c>
    </row>
    <row r="19" spans="1:53" customFormat="1" x14ac:dyDescent="0.15">
      <c r="A19" s="191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0.8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13">
        <v>0</v>
      </c>
      <c r="AX19" s="113">
        <v>0</v>
      </c>
      <c r="AY19" s="113">
        <v>0</v>
      </c>
      <c r="AZ19" s="113">
        <v>0</v>
      </c>
      <c r="BA19" s="113">
        <v>0</v>
      </c>
    </row>
    <row r="20" spans="1:53" customFormat="1" x14ac:dyDescent="0.15">
      <c r="A20" s="191" t="s">
        <v>210</v>
      </c>
      <c r="B20" s="113">
        <v>0</v>
      </c>
      <c r="C20" s="113">
        <v>0.8</v>
      </c>
      <c r="D20" s="113">
        <v>0</v>
      </c>
      <c r="E20" s="113">
        <v>0.8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0.8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0.8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  <c r="BA20" s="113">
        <v>0</v>
      </c>
    </row>
    <row r="21" spans="1:53" customFormat="1" x14ac:dyDescent="0.15">
      <c r="A21" s="191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0.8</v>
      </c>
      <c r="V21" s="113">
        <v>0.8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  <c r="BA21" s="113">
        <v>0</v>
      </c>
    </row>
    <row r="22" spans="1:53" customFormat="1" x14ac:dyDescent="0.15">
      <c r="A22" s="191" t="s">
        <v>212</v>
      </c>
      <c r="B22" s="113">
        <v>0</v>
      </c>
      <c r="C22" s="113">
        <v>0.8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0.8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0</v>
      </c>
      <c r="AZ22" s="113">
        <v>0</v>
      </c>
      <c r="BA22" s="113">
        <v>0</v>
      </c>
    </row>
    <row r="23" spans="1:53" customFormat="1" x14ac:dyDescent="0.15">
      <c r="A23" s="191" t="s">
        <v>213</v>
      </c>
      <c r="B23" s="113">
        <v>0.8</v>
      </c>
      <c r="C23" s="113">
        <v>0</v>
      </c>
      <c r="D23" s="113">
        <v>0.8</v>
      </c>
      <c r="E23" s="113">
        <v>0.8</v>
      </c>
      <c r="F23" s="113">
        <v>0</v>
      </c>
      <c r="G23" s="113">
        <v>0.8</v>
      </c>
      <c r="H23" s="113">
        <v>0</v>
      </c>
      <c r="I23" s="113">
        <v>0</v>
      </c>
      <c r="J23" s="113">
        <v>0</v>
      </c>
      <c r="K23" s="113">
        <v>0</v>
      </c>
      <c r="L23" s="113">
        <v>0.8</v>
      </c>
      <c r="M23" s="113">
        <v>0</v>
      </c>
      <c r="N23" s="113">
        <v>0</v>
      </c>
      <c r="O23" s="113">
        <v>0.8</v>
      </c>
      <c r="P23" s="113">
        <v>0</v>
      </c>
      <c r="Q23" s="113">
        <v>0</v>
      </c>
      <c r="R23" s="113">
        <v>0</v>
      </c>
      <c r="S23" s="113">
        <v>0.8</v>
      </c>
      <c r="T23" s="113">
        <v>0</v>
      </c>
      <c r="U23" s="113">
        <v>0.8</v>
      </c>
      <c r="V23" s="113">
        <v>0.8</v>
      </c>
      <c r="W23" s="113">
        <v>0.8</v>
      </c>
      <c r="X23" s="113">
        <v>0.8</v>
      </c>
      <c r="Y23" s="113">
        <v>0</v>
      </c>
      <c r="Z23" s="113">
        <v>0</v>
      </c>
      <c r="AA23" s="113">
        <v>0</v>
      </c>
      <c r="AB23" s="113">
        <v>0.8</v>
      </c>
      <c r="AC23" s="113">
        <v>0</v>
      </c>
      <c r="AD23" s="113">
        <v>0</v>
      </c>
      <c r="AE23" s="113">
        <v>0</v>
      </c>
      <c r="AF23" s="113">
        <v>0.8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  <c r="BA23" s="113">
        <v>0</v>
      </c>
    </row>
    <row r="24" spans="1:53" customFormat="1" x14ac:dyDescent="0.15">
      <c r="A24" s="191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0.8</v>
      </c>
      <c r="M24" s="113">
        <v>0.8</v>
      </c>
      <c r="N24" s="113">
        <v>0</v>
      </c>
      <c r="O24" s="113">
        <v>0.8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0.8</v>
      </c>
      <c r="V24" s="113">
        <v>0.8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0.8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  <c r="AY24" s="113">
        <v>0</v>
      </c>
      <c r="AZ24" s="113">
        <v>0</v>
      </c>
      <c r="BA24" s="113">
        <v>0</v>
      </c>
    </row>
    <row r="25" spans="1:53" customFormat="1" x14ac:dyDescent="0.15">
      <c r="A25" s="191" t="s">
        <v>215</v>
      </c>
      <c r="B25" s="113">
        <v>0</v>
      </c>
      <c r="C25" s="113">
        <v>0.8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0.8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0.8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13">
        <v>0</v>
      </c>
      <c r="AX25" s="113">
        <v>0</v>
      </c>
      <c r="AY25" s="113">
        <v>0</v>
      </c>
      <c r="AZ25" s="113">
        <v>0</v>
      </c>
      <c r="BA25" s="113">
        <v>0</v>
      </c>
    </row>
    <row r="26" spans="1:53" customFormat="1" x14ac:dyDescent="0.15">
      <c r="A26" s="191" t="s">
        <v>216</v>
      </c>
      <c r="B26" s="113">
        <v>0</v>
      </c>
      <c r="C26" s="113">
        <v>0.8</v>
      </c>
      <c r="D26" s="113">
        <v>0.8</v>
      </c>
      <c r="E26" s="113">
        <v>0</v>
      </c>
      <c r="F26" s="113">
        <v>0</v>
      </c>
      <c r="G26" s="113">
        <v>0.8</v>
      </c>
      <c r="H26" s="113">
        <v>0</v>
      </c>
      <c r="I26" s="113">
        <v>0</v>
      </c>
      <c r="J26" s="113">
        <v>0</v>
      </c>
      <c r="K26" s="113">
        <v>0</v>
      </c>
      <c r="L26" s="113">
        <v>0.8</v>
      </c>
      <c r="M26" s="113">
        <v>0.8</v>
      </c>
      <c r="N26" s="113">
        <v>0</v>
      </c>
      <c r="O26" s="113">
        <v>0.8</v>
      </c>
      <c r="P26" s="113">
        <v>0</v>
      </c>
      <c r="Q26" s="113">
        <v>0</v>
      </c>
      <c r="R26" s="113">
        <v>0</v>
      </c>
      <c r="S26" s="113">
        <v>0.8</v>
      </c>
      <c r="T26" s="113">
        <v>0</v>
      </c>
      <c r="U26" s="113">
        <v>0.8</v>
      </c>
      <c r="V26" s="113">
        <v>0.8</v>
      </c>
      <c r="W26" s="113">
        <v>0</v>
      </c>
      <c r="X26" s="113">
        <v>0.8</v>
      </c>
      <c r="Y26" s="113">
        <v>0</v>
      </c>
      <c r="Z26" s="113">
        <v>0</v>
      </c>
      <c r="AA26" s="113">
        <v>0</v>
      </c>
      <c r="AB26" s="113">
        <v>0.8</v>
      </c>
      <c r="AC26" s="113">
        <v>0.8</v>
      </c>
      <c r="AD26" s="113">
        <v>0</v>
      </c>
      <c r="AE26" s="113">
        <v>0</v>
      </c>
      <c r="AF26" s="113">
        <v>0.8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  <c r="BA26" s="113">
        <v>0</v>
      </c>
    </row>
    <row r="27" spans="1:53" customFormat="1" x14ac:dyDescent="0.15">
      <c r="A27" s="191" t="s">
        <v>217</v>
      </c>
      <c r="B27" s="113">
        <v>0</v>
      </c>
      <c r="C27" s="113">
        <v>0.8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0.8</v>
      </c>
      <c r="M27" s="113">
        <v>0.8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0.8</v>
      </c>
      <c r="T27" s="113">
        <v>0</v>
      </c>
      <c r="U27" s="113">
        <v>0</v>
      </c>
      <c r="V27" s="113">
        <v>0.8</v>
      </c>
      <c r="W27" s="113">
        <v>0</v>
      </c>
      <c r="X27" s="113">
        <v>0</v>
      </c>
      <c r="Y27" s="113">
        <v>0.8</v>
      </c>
      <c r="Z27" s="113">
        <v>0</v>
      </c>
      <c r="AA27" s="113">
        <v>0</v>
      </c>
      <c r="AB27" s="113">
        <v>0.8</v>
      </c>
      <c r="AC27" s="113">
        <v>0</v>
      </c>
      <c r="AD27" s="113">
        <v>0</v>
      </c>
      <c r="AE27" s="113">
        <v>0</v>
      </c>
      <c r="AF27" s="113">
        <v>0.8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  <c r="AY27" s="113">
        <v>0</v>
      </c>
      <c r="AZ27" s="113">
        <v>0</v>
      </c>
      <c r="BA27" s="113">
        <v>0</v>
      </c>
    </row>
    <row r="28" spans="1:53" customFormat="1" x14ac:dyDescent="0.15">
      <c r="A28" s="191" t="s">
        <v>218</v>
      </c>
      <c r="B28" s="113">
        <v>0</v>
      </c>
      <c r="C28" s="113">
        <v>0.8</v>
      </c>
      <c r="D28" s="113">
        <v>0</v>
      </c>
      <c r="E28" s="113">
        <v>0</v>
      </c>
      <c r="F28" s="113">
        <v>0</v>
      </c>
      <c r="G28" s="113">
        <v>0.8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0.8</v>
      </c>
      <c r="P28" s="113">
        <v>0</v>
      </c>
      <c r="Q28" s="113">
        <v>0</v>
      </c>
      <c r="R28" s="113">
        <v>0</v>
      </c>
      <c r="S28" s="113">
        <v>0.8</v>
      </c>
      <c r="T28" s="113">
        <v>0</v>
      </c>
      <c r="U28" s="113">
        <v>0.8</v>
      </c>
      <c r="V28" s="113">
        <v>0.8</v>
      </c>
      <c r="W28" s="113">
        <v>0</v>
      </c>
      <c r="X28" s="113">
        <v>0.8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  <c r="AY28" s="113">
        <v>0</v>
      </c>
      <c r="AZ28" s="113">
        <v>0</v>
      </c>
      <c r="BA28" s="113">
        <v>0</v>
      </c>
    </row>
    <row r="29" spans="1:53" customFormat="1" x14ac:dyDescent="0.15">
      <c r="A29" s="191" t="s">
        <v>219</v>
      </c>
      <c r="B29" s="113">
        <v>0.8</v>
      </c>
      <c r="C29" s="113">
        <v>0.8</v>
      </c>
      <c r="D29" s="113">
        <v>0.8</v>
      </c>
      <c r="E29" s="113">
        <v>0.8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0.8</v>
      </c>
      <c r="M29" s="113">
        <v>0.8</v>
      </c>
      <c r="N29" s="113">
        <v>0</v>
      </c>
      <c r="O29" s="113">
        <v>0.8</v>
      </c>
      <c r="P29" s="113">
        <v>0</v>
      </c>
      <c r="Q29" s="113">
        <v>0.8</v>
      </c>
      <c r="R29" s="113">
        <v>0</v>
      </c>
      <c r="S29" s="113">
        <v>0.8</v>
      </c>
      <c r="T29" s="113">
        <v>0</v>
      </c>
      <c r="U29" s="113">
        <v>0.8</v>
      </c>
      <c r="V29" s="113">
        <v>0.8</v>
      </c>
      <c r="W29" s="113">
        <v>0.8</v>
      </c>
      <c r="X29" s="113">
        <v>0.8</v>
      </c>
      <c r="Y29" s="113">
        <v>0.8</v>
      </c>
      <c r="Z29" s="113">
        <v>0</v>
      </c>
      <c r="AA29" s="113">
        <v>0</v>
      </c>
      <c r="AB29" s="113">
        <v>0</v>
      </c>
      <c r="AC29" s="113">
        <v>0.8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  <c r="AY29" s="113">
        <v>0</v>
      </c>
      <c r="AZ29" s="113">
        <v>0</v>
      </c>
      <c r="BA29" s="113">
        <v>0</v>
      </c>
    </row>
    <row r="30" spans="1:53" customFormat="1" x14ac:dyDescent="0.15">
      <c r="A30" s="191" t="s">
        <v>220</v>
      </c>
      <c r="B30" s="113">
        <v>0.8</v>
      </c>
      <c r="C30" s="113">
        <v>0.8</v>
      </c>
      <c r="D30" s="113">
        <v>0</v>
      </c>
      <c r="E30" s="113">
        <v>0</v>
      </c>
      <c r="F30" s="113">
        <v>0</v>
      </c>
      <c r="G30" s="113">
        <v>0.8</v>
      </c>
      <c r="H30" s="113">
        <v>0.8</v>
      </c>
      <c r="I30" s="113">
        <v>0</v>
      </c>
      <c r="J30" s="113">
        <v>0</v>
      </c>
      <c r="K30" s="113">
        <v>0.8</v>
      </c>
      <c r="L30" s="113">
        <v>0.8</v>
      </c>
      <c r="M30" s="113">
        <v>0.8</v>
      </c>
      <c r="N30" s="113">
        <v>0</v>
      </c>
      <c r="O30" s="113">
        <v>0.8</v>
      </c>
      <c r="P30" s="113">
        <v>0</v>
      </c>
      <c r="Q30" s="113">
        <v>0.8</v>
      </c>
      <c r="R30" s="113">
        <v>0.8</v>
      </c>
      <c r="S30" s="113">
        <v>0.8</v>
      </c>
      <c r="T30" s="113">
        <v>0</v>
      </c>
      <c r="U30" s="113">
        <v>0.8</v>
      </c>
      <c r="V30" s="113">
        <v>0.8</v>
      </c>
      <c r="W30" s="113">
        <v>0.8</v>
      </c>
      <c r="X30" s="113">
        <v>0.8</v>
      </c>
      <c r="Y30" s="113">
        <v>0.8</v>
      </c>
      <c r="Z30" s="113">
        <v>0.8</v>
      </c>
      <c r="AA30" s="113">
        <v>0</v>
      </c>
      <c r="AB30" s="113">
        <v>0.8</v>
      </c>
      <c r="AC30" s="113">
        <v>0.8</v>
      </c>
      <c r="AD30" s="113">
        <v>0.8</v>
      </c>
      <c r="AE30" s="113">
        <v>0</v>
      </c>
      <c r="AF30" s="113">
        <v>0.8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  <c r="AY30" s="113">
        <v>0</v>
      </c>
      <c r="AZ30" s="113">
        <v>0</v>
      </c>
      <c r="BA30" s="113">
        <v>0</v>
      </c>
    </row>
    <row r="31" spans="1:53" customFormat="1" x14ac:dyDescent="0.15">
      <c r="A31" s="191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0.8</v>
      </c>
      <c r="M31" s="113">
        <v>0</v>
      </c>
      <c r="N31" s="113">
        <v>0</v>
      </c>
      <c r="O31" s="113">
        <v>0</v>
      </c>
      <c r="P31" s="113">
        <v>0</v>
      </c>
      <c r="Q31" s="113">
        <v>0.8</v>
      </c>
      <c r="R31" s="113">
        <v>0.8</v>
      </c>
      <c r="S31" s="113">
        <v>0</v>
      </c>
      <c r="T31" s="113">
        <v>0</v>
      </c>
      <c r="U31" s="113">
        <v>0.8</v>
      </c>
      <c r="V31" s="113">
        <v>0</v>
      </c>
      <c r="W31" s="113">
        <v>0</v>
      </c>
      <c r="X31" s="113">
        <v>0.8</v>
      </c>
      <c r="Y31" s="113">
        <v>0</v>
      </c>
      <c r="Z31" s="113">
        <v>0.8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0.8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  <c r="AY31" s="113">
        <v>0</v>
      </c>
      <c r="AZ31" s="113">
        <v>0</v>
      </c>
      <c r="BA31" s="113">
        <v>0</v>
      </c>
    </row>
    <row r="32" spans="1:53" customFormat="1" x14ac:dyDescent="0.15">
      <c r="A32" s="191" t="s">
        <v>222</v>
      </c>
      <c r="B32" s="113">
        <v>0.8</v>
      </c>
      <c r="C32" s="113">
        <v>0.8</v>
      </c>
      <c r="D32" s="113">
        <v>0.8</v>
      </c>
      <c r="E32" s="113">
        <v>0.8</v>
      </c>
      <c r="F32" s="113">
        <v>0</v>
      </c>
      <c r="G32" s="113">
        <v>0.8</v>
      </c>
      <c r="H32" s="113">
        <v>0.8</v>
      </c>
      <c r="I32" s="113">
        <v>0</v>
      </c>
      <c r="J32" s="113">
        <v>0</v>
      </c>
      <c r="K32" s="113">
        <v>0.8</v>
      </c>
      <c r="L32" s="113">
        <v>0.8</v>
      </c>
      <c r="M32" s="113">
        <v>0</v>
      </c>
      <c r="N32" s="113">
        <v>0</v>
      </c>
      <c r="O32" s="113">
        <v>0.8</v>
      </c>
      <c r="P32" s="113">
        <v>0</v>
      </c>
      <c r="Q32" s="113">
        <v>0.8</v>
      </c>
      <c r="R32" s="113">
        <v>0.8</v>
      </c>
      <c r="S32" s="113">
        <v>0</v>
      </c>
      <c r="T32" s="113">
        <v>0</v>
      </c>
      <c r="U32" s="113">
        <v>0.8</v>
      </c>
      <c r="V32" s="113">
        <v>0.8</v>
      </c>
      <c r="W32" s="113">
        <v>0</v>
      </c>
      <c r="X32" s="113">
        <v>0.8</v>
      </c>
      <c r="Y32" s="113">
        <v>0</v>
      </c>
      <c r="Z32" s="113">
        <v>0.8</v>
      </c>
      <c r="AA32" s="113">
        <v>0.8</v>
      </c>
      <c r="AB32" s="113">
        <v>0</v>
      </c>
      <c r="AC32" s="113">
        <v>0</v>
      </c>
      <c r="AD32" s="113">
        <v>0.8</v>
      </c>
      <c r="AE32" s="113">
        <v>0.8</v>
      </c>
      <c r="AF32" s="113">
        <v>0.8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  <c r="AY32" s="113">
        <v>0</v>
      </c>
      <c r="AZ32" s="113">
        <v>0</v>
      </c>
      <c r="BA32" s="113">
        <v>0</v>
      </c>
    </row>
    <row r="33" spans="1:53" x14ac:dyDescent="0.15">
      <c r="A33" s="191" t="s">
        <v>223</v>
      </c>
      <c r="B33" s="113">
        <v>0.8</v>
      </c>
      <c r="C33" s="113">
        <v>0.8</v>
      </c>
      <c r="D33" s="113">
        <v>0.8</v>
      </c>
      <c r="E33" s="113">
        <v>0.8</v>
      </c>
      <c r="F33" s="113">
        <v>0</v>
      </c>
      <c r="G33" s="113">
        <v>0</v>
      </c>
      <c r="H33" s="113">
        <v>0.8</v>
      </c>
      <c r="I33" s="113">
        <v>0</v>
      </c>
      <c r="J33" s="113">
        <v>0</v>
      </c>
      <c r="K33" s="113">
        <v>0.8</v>
      </c>
      <c r="L33" s="113">
        <v>0.8</v>
      </c>
      <c r="M33" s="113">
        <v>0.8</v>
      </c>
      <c r="N33" s="113">
        <v>0.8</v>
      </c>
      <c r="O33" s="113">
        <v>0.8</v>
      </c>
      <c r="P33" s="113">
        <v>0.8</v>
      </c>
      <c r="Q33" s="113">
        <v>0.8</v>
      </c>
      <c r="R33" s="113">
        <v>0.8</v>
      </c>
      <c r="S33" s="113">
        <v>0.8</v>
      </c>
      <c r="T33" s="113">
        <v>0</v>
      </c>
      <c r="U33" s="113">
        <v>0.8</v>
      </c>
      <c r="V33" s="113">
        <v>0</v>
      </c>
      <c r="W33" s="113">
        <v>0.8</v>
      </c>
      <c r="X33" s="113">
        <v>0.8</v>
      </c>
      <c r="Y33" s="113">
        <v>0.8</v>
      </c>
      <c r="Z33" s="113">
        <v>0.8</v>
      </c>
      <c r="AA33" s="113">
        <v>0</v>
      </c>
      <c r="AB33" s="113">
        <v>0.8</v>
      </c>
      <c r="AC33" s="113">
        <v>0.8</v>
      </c>
      <c r="AD33" s="113">
        <v>0.8</v>
      </c>
      <c r="AE33" s="113">
        <v>0.8</v>
      </c>
      <c r="AF33" s="113">
        <v>0.8</v>
      </c>
      <c r="AG33" s="113">
        <v>0.8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13">
        <v>0</v>
      </c>
      <c r="AX33" s="113">
        <v>0</v>
      </c>
      <c r="AY33" s="113">
        <v>0</v>
      </c>
      <c r="AZ33" s="113">
        <v>0</v>
      </c>
      <c r="BA33" s="113">
        <v>0</v>
      </c>
    </row>
    <row r="34" spans="1:53" x14ac:dyDescent="0.15">
      <c r="A34" s="191" t="s">
        <v>224</v>
      </c>
      <c r="B34" s="113">
        <v>0</v>
      </c>
      <c r="C34" s="113">
        <v>0.8</v>
      </c>
      <c r="D34" s="113">
        <v>0</v>
      </c>
      <c r="E34" s="113">
        <v>0</v>
      </c>
      <c r="F34" s="113">
        <v>0.8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0.8</v>
      </c>
      <c r="M34" s="113">
        <v>0.8</v>
      </c>
      <c r="N34" s="113">
        <v>0.8</v>
      </c>
      <c r="O34" s="113">
        <v>0</v>
      </c>
      <c r="P34" s="113">
        <v>0</v>
      </c>
      <c r="Q34" s="113">
        <v>0.8</v>
      </c>
      <c r="R34" s="113">
        <v>0.8</v>
      </c>
      <c r="S34" s="113">
        <v>0.8</v>
      </c>
      <c r="T34" s="113">
        <v>0.8</v>
      </c>
      <c r="U34" s="113">
        <v>0</v>
      </c>
      <c r="V34" s="113">
        <v>0</v>
      </c>
      <c r="W34" s="113">
        <v>0.8</v>
      </c>
      <c r="X34" s="113">
        <v>0.8</v>
      </c>
      <c r="Y34" s="113">
        <v>0.8</v>
      </c>
      <c r="Z34" s="113">
        <v>0.8</v>
      </c>
      <c r="AA34" s="113">
        <v>0.8</v>
      </c>
      <c r="AB34" s="113">
        <v>0</v>
      </c>
      <c r="AC34" s="113">
        <v>0.8</v>
      </c>
      <c r="AD34" s="113">
        <v>0.8</v>
      </c>
      <c r="AE34" s="113">
        <v>0.8</v>
      </c>
      <c r="AF34" s="113">
        <v>0</v>
      </c>
      <c r="AG34" s="113">
        <v>0.8</v>
      </c>
      <c r="AH34" s="113">
        <v>0.8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13">
        <v>0</v>
      </c>
      <c r="AX34" s="113">
        <v>0</v>
      </c>
      <c r="AY34" s="113">
        <v>0</v>
      </c>
      <c r="AZ34" s="113">
        <v>0</v>
      </c>
      <c r="BA34" s="113">
        <v>0</v>
      </c>
    </row>
    <row r="35" spans="1:53" x14ac:dyDescent="0.15">
      <c r="A35" s="191" t="s">
        <v>225</v>
      </c>
      <c r="B35" s="113">
        <v>0</v>
      </c>
      <c r="C35" s="113">
        <v>0.8</v>
      </c>
      <c r="D35" s="113">
        <v>0</v>
      </c>
      <c r="E35" s="113">
        <v>0</v>
      </c>
      <c r="F35" s="113">
        <v>0</v>
      </c>
      <c r="G35" s="113">
        <v>0</v>
      </c>
      <c r="H35" s="113">
        <v>0.8</v>
      </c>
      <c r="I35" s="113">
        <v>0</v>
      </c>
      <c r="J35" s="113">
        <v>0</v>
      </c>
      <c r="K35" s="113">
        <v>0</v>
      </c>
      <c r="L35" s="113">
        <v>0.8</v>
      </c>
      <c r="M35" s="113">
        <v>0.8</v>
      </c>
      <c r="N35" s="113">
        <v>0.8</v>
      </c>
      <c r="O35" s="113">
        <v>0</v>
      </c>
      <c r="P35" s="113">
        <v>0.8</v>
      </c>
      <c r="Q35" s="113">
        <v>0.8</v>
      </c>
      <c r="R35" s="113">
        <v>0.8</v>
      </c>
      <c r="S35" s="113">
        <v>0.8</v>
      </c>
      <c r="T35" s="113">
        <v>0.8</v>
      </c>
      <c r="U35" s="113">
        <v>0.8</v>
      </c>
      <c r="V35" s="113">
        <v>0</v>
      </c>
      <c r="W35" s="113">
        <v>0.8</v>
      </c>
      <c r="X35" s="113">
        <v>0</v>
      </c>
      <c r="Y35" s="113">
        <v>0</v>
      </c>
      <c r="Z35" s="113">
        <v>0.8</v>
      </c>
      <c r="AA35" s="113">
        <v>0.8</v>
      </c>
      <c r="AB35" s="113">
        <v>0.8</v>
      </c>
      <c r="AC35" s="113">
        <v>0.8</v>
      </c>
      <c r="AD35" s="113">
        <v>0.8</v>
      </c>
      <c r="AE35" s="113">
        <v>0.8</v>
      </c>
      <c r="AF35" s="113">
        <v>0.8</v>
      </c>
      <c r="AG35" s="113">
        <v>0.8</v>
      </c>
      <c r="AH35" s="113">
        <v>0</v>
      </c>
      <c r="AI35" s="113">
        <v>0</v>
      </c>
      <c r="AJ35" s="113">
        <v>0</v>
      </c>
      <c r="AK35" s="113">
        <v>0.8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  <c r="AU35" s="113">
        <v>0</v>
      </c>
      <c r="AV35" s="113">
        <v>0</v>
      </c>
      <c r="AW35" s="113">
        <v>0</v>
      </c>
      <c r="AX35" s="113">
        <v>0</v>
      </c>
      <c r="AY35" s="113">
        <v>0</v>
      </c>
      <c r="AZ35" s="113">
        <v>0</v>
      </c>
      <c r="BA35" s="113">
        <v>0</v>
      </c>
    </row>
    <row r="36" spans="1:53" x14ac:dyDescent="0.15">
      <c r="A36" s="191" t="s">
        <v>226</v>
      </c>
      <c r="B36" s="113">
        <v>0</v>
      </c>
      <c r="C36" s="113">
        <v>0.8</v>
      </c>
      <c r="D36" s="113">
        <v>0</v>
      </c>
      <c r="E36" s="113">
        <v>0</v>
      </c>
      <c r="F36" s="113">
        <v>0</v>
      </c>
      <c r="G36" s="113">
        <v>0</v>
      </c>
      <c r="H36" s="113">
        <v>0.8</v>
      </c>
      <c r="I36" s="113">
        <v>0</v>
      </c>
      <c r="J36" s="113">
        <v>0</v>
      </c>
      <c r="K36" s="113">
        <v>0.8</v>
      </c>
      <c r="L36" s="113">
        <v>0.8</v>
      </c>
      <c r="M36" s="113">
        <v>0.8</v>
      </c>
      <c r="N36" s="113">
        <v>0.8</v>
      </c>
      <c r="O36" s="113">
        <v>0</v>
      </c>
      <c r="P36" s="113">
        <v>0.8</v>
      </c>
      <c r="Q36" s="113">
        <v>0.8</v>
      </c>
      <c r="R36" s="113">
        <v>0.8</v>
      </c>
      <c r="S36" s="113">
        <v>0</v>
      </c>
      <c r="T36" s="113">
        <v>0.8</v>
      </c>
      <c r="U36" s="113">
        <v>0.8</v>
      </c>
      <c r="V36" s="113">
        <v>0</v>
      </c>
      <c r="W36" s="113">
        <v>0.8</v>
      </c>
      <c r="X36" s="113">
        <v>0</v>
      </c>
      <c r="Y36" s="113">
        <v>0</v>
      </c>
      <c r="Z36" s="113">
        <v>0.8</v>
      </c>
      <c r="AA36" s="113">
        <v>0.8</v>
      </c>
      <c r="AB36" s="113">
        <v>0.8</v>
      </c>
      <c r="AC36" s="113">
        <v>0.8</v>
      </c>
      <c r="AD36" s="113">
        <v>0.8</v>
      </c>
      <c r="AE36" s="113">
        <v>0</v>
      </c>
      <c r="AF36" s="113">
        <v>0.8</v>
      </c>
      <c r="AG36" s="113">
        <v>0.8</v>
      </c>
      <c r="AH36" s="113">
        <v>0</v>
      </c>
      <c r="AI36" s="113">
        <v>0</v>
      </c>
      <c r="AJ36" s="113">
        <v>0</v>
      </c>
      <c r="AK36" s="113">
        <v>0.8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  <c r="AY36" s="113">
        <v>0</v>
      </c>
      <c r="AZ36" s="113">
        <v>0</v>
      </c>
      <c r="BA36" s="113">
        <v>0</v>
      </c>
    </row>
    <row r="37" spans="1:53" x14ac:dyDescent="0.15">
      <c r="A37" s="191" t="s">
        <v>227</v>
      </c>
      <c r="B37" s="113">
        <v>0</v>
      </c>
      <c r="C37" s="113">
        <v>0.8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0.8</v>
      </c>
      <c r="L37" s="113">
        <v>0.8</v>
      </c>
      <c r="M37" s="113">
        <v>0.8</v>
      </c>
      <c r="N37" s="113">
        <v>0</v>
      </c>
      <c r="O37" s="113">
        <v>0</v>
      </c>
      <c r="P37" s="113">
        <v>0</v>
      </c>
      <c r="Q37" s="113">
        <v>0.8</v>
      </c>
      <c r="R37" s="113">
        <v>0.8</v>
      </c>
      <c r="S37" s="113">
        <v>0</v>
      </c>
      <c r="T37" s="113">
        <v>0</v>
      </c>
      <c r="U37" s="113">
        <v>0</v>
      </c>
      <c r="V37" s="113">
        <v>0</v>
      </c>
      <c r="W37" s="113">
        <v>0.8</v>
      </c>
      <c r="X37" s="113">
        <v>0.8</v>
      </c>
      <c r="Y37" s="113">
        <v>0</v>
      </c>
      <c r="Z37" s="113">
        <v>0.8</v>
      </c>
      <c r="AA37" s="113">
        <v>0.8</v>
      </c>
      <c r="AB37" s="113">
        <v>0.8</v>
      </c>
      <c r="AC37" s="113">
        <v>0</v>
      </c>
      <c r="AD37" s="113">
        <v>0.8</v>
      </c>
      <c r="AE37" s="113">
        <v>0</v>
      </c>
      <c r="AF37" s="113">
        <v>0</v>
      </c>
      <c r="AG37" s="113">
        <v>0.8</v>
      </c>
      <c r="AH37" s="113">
        <v>0</v>
      </c>
      <c r="AI37" s="113">
        <v>0</v>
      </c>
      <c r="AJ37" s="113">
        <v>0</v>
      </c>
      <c r="AK37" s="113">
        <v>0</v>
      </c>
      <c r="AL37" s="113">
        <v>0</v>
      </c>
      <c r="AM37" s="113">
        <v>0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  <c r="AY37" s="113">
        <v>0</v>
      </c>
      <c r="AZ37" s="113">
        <v>0</v>
      </c>
      <c r="BA37" s="113">
        <v>0</v>
      </c>
    </row>
    <row r="38" spans="1:53" x14ac:dyDescent="0.15">
      <c r="A38" s="191" t="s">
        <v>228</v>
      </c>
      <c r="B38" s="113">
        <v>0</v>
      </c>
      <c r="C38" s="113">
        <v>0.8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0.8</v>
      </c>
      <c r="O38" s="113">
        <v>0</v>
      </c>
      <c r="P38" s="113">
        <v>0</v>
      </c>
      <c r="Q38" s="113">
        <v>0.8</v>
      </c>
      <c r="R38" s="113">
        <v>0</v>
      </c>
      <c r="S38" s="113">
        <v>0</v>
      </c>
      <c r="T38" s="113">
        <v>0</v>
      </c>
      <c r="U38" s="113">
        <v>0.8</v>
      </c>
      <c r="V38" s="113">
        <v>0</v>
      </c>
      <c r="W38" s="113">
        <v>0</v>
      </c>
      <c r="X38" s="113">
        <v>0</v>
      </c>
      <c r="Y38" s="113">
        <v>0</v>
      </c>
      <c r="Z38" s="113">
        <v>0.8</v>
      </c>
      <c r="AA38" s="113">
        <v>0.8</v>
      </c>
      <c r="AB38" s="113">
        <v>0.8</v>
      </c>
      <c r="AC38" s="113">
        <v>0.8</v>
      </c>
      <c r="AD38" s="113">
        <v>0.8</v>
      </c>
      <c r="AE38" s="113">
        <v>0</v>
      </c>
      <c r="AF38" s="113">
        <v>0</v>
      </c>
      <c r="AG38" s="113">
        <v>0.8</v>
      </c>
      <c r="AH38" s="113">
        <v>0</v>
      </c>
      <c r="AI38" s="113">
        <v>0.8</v>
      </c>
      <c r="AJ38" s="113">
        <v>0</v>
      </c>
      <c r="AK38" s="113">
        <v>0</v>
      </c>
      <c r="AL38" s="113">
        <v>0</v>
      </c>
      <c r="AM38" s="113">
        <v>0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  <c r="AY38" s="113">
        <v>0</v>
      </c>
      <c r="AZ38" s="113">
        <v>0</v>
      </c>
      <c r="BA38" s="113">
        <v>0</v>
      </c>
    </row>
    <row r="39" spans="1:53" x14ac:dyDescent="0.15">
      <c r="A39" s="191" t="s">
        <v>229</v>
      </c>
      <c r="B39" s="113">
        <v>0.8</v>
      </c>
      <c r="C39" s="113">
        <v>0.8</v>
      </c>
      <c r="D39" s="113">
        <v>0.8</v>
      </c>
      <c r="E39" s="113">
        <v>0.8</v>
      </c>
      <c r="F39" s="113">
        <v>0</v>
      </c>
      <c r="G39" s="113">
        <v>0.8</v>
      </c>
      <c r="H39" s="113">
        <v>0.8</v>
      </c>
      <c r="I39" s="113">
        <v>0</v>
      </c>
      <c r="J39" s="113">
        <v>0</v>
      </c>
      <c r="K39" s="113">
        <v>0.8</v>
      </c>
      <c r="L39" s="113">
        <v>0.8</v>
      </c>
      <c r="M39" s="113">
        <v>0.8</v>
      </c>
      <c r="N39" s="113">
        <v>0.8</v>
      </c>
      <c r="O39" s="113">
        <v>0.8</v>
      </c>
      <c r="P39" s="113">
        <v>0.8</v>
      </c>
      <c r="Q39" s="113">
        <v>0.8</v>
      </c>
      <c r="R39" s="113">
        <v>0.8</v>
      </c>
      <c r="S39" s="113">
        <v>0.8</v>
      </c>
      <c r="T39" s="113">
        <v>0</v>
      </c>
      <c r="U39" s="113">
        <v>0.8</v>
      </c>
      <c r="V39" s="113">
        <v>0.8</v>
      </c>
      <c r="W39" s="113">
        <v>0.8</v>
      </c>
      <c r="X39" s="113">
        <v>0.8</v>
      </c>
      <c r="Y39" s="113">
        <v>0.8</v>
      </c>
      <c r="Z39" s="113">
        <v>0.8</v>
      </c>
      <c r="AA39" s="113">
        <v>0</v>
      </c>
      <c r="AB39" s="113">
        <v>0.8</v>
      </c>
      <c r="AC39" s="113">
        <v>0.8</v>
      </c>
      <c r="AD39" s="113">
        <v>0.8</v>
      </c>
      <c r="AE39" s="113">
        <v>0.8</v>
      </c>
      <c r="AF39" s="113">
        <v>0.8</v>
      </c>
      <c r="AG39" s="113">
        <v>0</v>
      </c>
      <c r="AH39" s="113">
        <v>0</v>
      </c>
      <c r="AI39" s="113">
        <v>0</v>
      </c>
      <c r="AJ39" s="113">
        <v>0</v>
      </c>
      <c r="AK39" s="113">
        <v>0</v>
      </c>
      <c r="AL39" s="113">
        <v>0</v>
      </c>
      <c r="AM39" s="113">
        <v>0.8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  <c r="AY39" s="113">
        <v>0</v>
      </c>
      <c r="AZ39" s="113">
        <v>0</v>
      </c>
      <c r="BA39" s="113">
        <v>0</v>
      </c>
    </row>
    <row r="40" spans="1:53" x14ac:dyDescent="0.15">
      <c r="A40" s="191" t="s">
        <v>230</v>
      </c>
      <c r="B40" s="113">
        <v>0</v>
      </c>
      <c r="C40" s="113">
        <v>0.8</v>
      </c>
      <c r="D40" s="113">
        <v>0</v>
      </c>
      <c r="E40" s="113">
        <v>0</v>
      </c>
      <c r="F40" s="113">
        <v>0.8</v>
      </c>
      <c r="G40" s="113">
        <v>0.8</v>
      </c>
      <c r="H40" s="113">
        <v>0</v>
      </c>
      <c r="I40" s="113">
        <v>0</v>
      </c>
      <c r="J40" s="113">
        <v>0</v>
      </c>
      <c r="K40" s="113">
        <v>0</v>
      </c>
      <c r="L40" s="113">
        <v>0.8</v>
      </c>
      <c r="M40" s="113">
        <v>0.8</v>
      </c>
      <c r="N40" s="113">
        <v>0.8</v>
      </c>
      <c r="O40" s="113">
        <v>0</v>
      </c>
      <c r="P40" s="113">
        <v>0</v>
      </c>
      <c r="Q40" s="113">
        <v>0.8</v>
      </c>
      <c r="R40" s="113">
        <v>0.8</v>
      </c>
      <c r="S40" s="113">
        <v>0.8</v>
      </c>
      <c r="T40" s="113">
        <v>0.8</v>
      </c>
      <c r="U40" s="113">
        <v>0</v>
      </c>
      <c r="V40" s="113">
        <v>0</v>
      </c>
      <c r="W40" s="113">
        <v>0.8</v>
      </c>
      <c r="X40" s="113">
        <v>0.8</v>
      </c>
      <c r="Y40" s="113">
        <v>0.8</v>
      </c>
      <c r="Z40" s="113">
        <v>0.8</v>
      </c>
      <c r="AA40" s="113">
        <v>0.8</v>
      </c>
      <c r="AB40" s="113">
        <v>0</v>
      </c>
      <c r="AC40" s="113">
        <v>0.8</v>
      </c>
      <c r="AD40" s="113">
        <v>0.8</v>
      </c>
      <c r="AE40" s="113">
        <v>0.8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3">
        <v>0</v>
      </c>
      <c r="AM40" s="113">
        <v>0.8</v>
      </c>
      <c r="AN40" s="113">
        <v>0</v>
      </c>
      <c r="AO40" s="113">
        <v>0</v>
      </c>
      <c r="AP40" s="113">
        <v>0</v>
      </c>
      <c r="AQ40" s="113">
        <v>0.8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  <c r="AY40" s="113">
        <v>0</v>
      </c>
      <c r="AZ40" s="113">
        <v>0</v>
      </c>
      <c r="BA40" s="113">
        <v>0</v>
      </c>
    </row>
    <row r="41" spans="1:53" x14ac:dyDescent="0.15">
      <c r="A41" s="191" t="s">
        <v>231</v>
      </c>
      <c r="B41" s="113">
        <v>0</v>
      </c>
      <c r="C41" s="113">
        <v>0</v>
      </c>
      <c r="D41" s="113">
        <v>0</v>
      </c>
      <c r="E41" s="113">
        <v>0</v>
      </c>
      <c r="F41" s="113">
        <v>0</v>
      </c>
      <c r="G41" s="113">
        <v>0.8</v>
      </c>
      <c r="H41" s="113">
        <v>0.8</v>
      </c>
      <c r="I41" s="113">
        <v>0</v>
      </c>
      <c r="J41" s="113">
        <v>0</v>
      </c>
      <c r="K41" s="113">
        <v>0.8</v>
      </c>
      <c r="L41" s="113">
        <v>0.8</v>
      </c>
      <c r="M41" s="113">
        <v>0.8</v>
      </c>
      <c r="N41" s="113">
        <v>0.8</v>
      </c>
      <c r="O41" s="113">
        <v>0</v>
      </c>
      <c r="P41" s="113">
        <v>0.8</v>
      </c>
      <c r="Q41" s="113">
        <v>0.8</v>
      </c>
      <c r="R41" s="113">
        <v>0.8</v>
      </c>
      <c r="S41" s="113">
        <v>0.8</v>
      </c>
      <c r="T41" s="113">
        <v>0.8</v>
      </c>
      <c r="U41" s="113">
        <v>0.8</v>
      </c>
      <c r="V41" s="113">
        <v>0</v>
      </c>
      <c r="W41" s="113">
        <v>0.8</v>
      </c>
      <c r="X41" s="113">
        <v>0</v>
      </c>
      <c r="Y41" s="113">
        <v>0</v>
      </c>
      <c r="Z41" s="113">
        <v>0.8</v>
      </c>
      <c r="AA41" s="113">
        <v>0.8</v>
      </c>
      <c r="AB41" s="113">
        <v>0.8</v>
      </c>
      <c r="AC41" s="113">
        <v>0.8</v>
      </c>
      <c r="AD41" s="113">
        <v>0.8</v>
      </c>
      <c r="AE41" s="113">
        <v>0.8</v>
      </c>
      <c r="AF41" s="113">
        <v>0.8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0.8</v>
      </c>
      <c r="AN41" s="113">
        <v>0</v>
      </c>
      <c r="AO41" s="113">
        <v>0</v>
      </c>
      <c r="AP41" s="113">
        <v>0</v>
      </c>
      <c r="AQ41" s="113">
        <v>0.8</v>
      </c>
      <c r="AR41" s="113">
        <v>0</v>
      </c>
      <c r="AS41" s="113">
        <v>0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  <c r="AY41" s="113">
        <v>0</v>
      </c>
      <c r="AZ41" s="113">
        <v>0</v>
      </c>
      <c r="BA41" s="113">
        <v>0</v>
      </c>
    </row>
    <row r="42" spans="1:53" x14ac:dyDescent="0.15">
      <c r="A42" s="191" t="s">
        <v>232</v>
      </c>
      <c r="B42" s="113">
        <v>0</v>
      </c>
      <c r="C42" s="113">
        <v>0</v>
      </c>
      <c r="D42" s="113">
        <v>0</v>
      </c>
      <c r="E42" s="113">
        <v>0</v>
      </c>
      <c r="F42" s="113">
        <v>0</v>
      </c>
      <c r="G42" s="113">
        <v>0.8</v>
      </c>
      <c r="H42" s="113">
        <v>0.8</v>
      </c>
      <c r="I42" s="113">
        <v>0</v>
      </c>
      <c r="J42" s="113">
        <v>0</v>
      </c>
      <c r="K42" s="113">
        <v>0.8</v>
      </c>
      <c r="L42" s="113">
        <v>0.8</v>
      </c>
      <c r="M42" s="113">
        <v>0.8</v>
      </c>
      <c r="N42" s="113">
        <v>0.8</v>
      </c>
      <c r="O42" s="113">
        <v>0</v>
      </c>
      <c r="P42" s="113">
        <v>0.8</v>
      </c>
      <c r="Q42" s="113">
        <v>0.8</v>
      </c>
      <c r="R42" s="113">
        <v>0.8</v>
      </c>
      <c r="S42" s="113">
        <v>0</v>
      </c>
      <c r="T42" s="113">
        <v>0.8</v>
      </c>
      <c r="U42" s="113">
        <v>0.8</v>
      </c>
      <c r="V42" s="113">
        <v>0.8</v>
      </c>
      <c r="W42" s="113">
        <v>0.8</v>
      </c>
      <c r="X42" s="113">
        <v>0</v>
      </c>
      <c r="Y42" s="113">
        <v>0</v>
      </c>
      <c r="Z42" s="113">
        <v>0.8</v>
      </c>
      <c r="AA42" s="113">
        <v>0.8</v>
      </c>
      <c r="AB42" s="113">
        <v>0.8</v>
      </c>
      <c r="AC42" s="113">
        <v>0.8</v>
      </c>
      <c r="AD42" s="113">
        <v>0.8</v>
      </c>
      <c r="AE42" s="113">
        <v>0</v>
      </c>
      <c r="AF42" s="113">
        <v>0.8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0.8</v>
      </c>
      <c r="AN42" s="113">
        <v>0</v>
      </c>
      <c r="AO42" s="113">
        <v>0</v>
      </c>
      <c r="AP42" s="113">
        <v>0</v>
      </c>
      <c r="AQ42" s="113">
        <v>0.8</v>
      </c>
      <c r="AR42" s="113">
        <v>0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  <c r="AY42" s="113">
        <v>0</v>
      </c>
      <c r="AZ42" s="113">
        <v>0</v>
      </c>
      <c r="BA42" s="113">
        <v>0</v>
      </c>
    </row>
    <row r="43" spans="1:53" x14ac:dyDescent="0.15">
      <c r="A43" s="191" t="s">
        <v>233</v>
      </c>
      <c r="B43" s="113">
        <v>0</v>
      </c>
      <c r="C43" s="113">
        <v>0.8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0.8</v>
      </c>
      <c r="L43" s="113">
        <v>0.8</v>
      </c>
      <c r="M43" s="113">
        <v>0.8</v>
      </c>
      <c r="N43" s="113">
        <v>0</v>
      </c>
      <c r="O43" s="113">
        <v>0</v>
      </c>
      <c r="P43" s="113">
        <v>0</v>
      </c>
      <c r="Q43" s="113">
        <v>0.8</v>
      </c>
      <c r="R43" s="113">
        <v>0.8</v>
      </c>
      <c r="S43" s="113">
        <v>0</v>
      </c>
      <c r="T43" s="113">
        <v>0</v>
      </c>
      <c r="U43" s="113">
        <v>0</v>
      </c>
      <c r="V43" s="113">
        <v>0.8</v>
      </c>
      <c r="W43" s="113">
        <v>0.8</v>
      </c>
      <c r="X43" s="113">
        <v>0.8</v>
      </c>
      <c r="Y43" s="113">
        <v>0</v>
      </c>
      <c r="Z43" s="113">
        <v>0.8</v>
      </c>
      <c r="AA43" s="113">
        <v>0.8</v>
      </c>
      <c r="AB43" s="113">
        <v>0.8</v>
      </c>
      <c r="AC43" s="113">
        <v>0.8</v>
      </c>
      <c r="AD43" s="113">
        <v>0.8</v>
      </c>
      <c r="AE43" s="113">
        <v>0</v>
      </c>
      <c r="AF43" s="113">
        <v>0</v>
      </c>
      <c r="AG43" s="113">
        <v>0</v>
      </c>
      <c r="AH43" s="113">
        <v>0</v>
      </c>
      <c r="AI43" s="113">
        <v>0</v>
      </c>
      <c r="AJ43" s="113">
        <v>0</v>
      </c>
      <c r="AK43" s="113">
        <v>0</v>
      </c>
      <c r="AL43" s="113">
        <v>0</v>
      </c>
      <c r="AM43" s="113">
        <v>0.8</v>
      </c>
      <c r="AN43" s="113">
        <v>0</v>
      </c>
      <c r="AO43" s="113">
        <v>0</v>
      </c>
      <c r="AP43" s="113">
        <v>0</v>
      </c>
      <c r="AQ43" s="113">
        <v>0</v>
      </c>
      <c r="AR43" s="113">
        <v>0</v>
      </c>
      <c r="AS43" s="113">
        <v>0</v>
      </c>
      <c r="AT43" s="113">
        <v>0</v>
      </c>
      <c r="AU43" s="113">
        <v>0</v>
      </c>
      <c r="AV43" s="113">
        <v>0</v>
      </c>
      <c r="AW43" s="113">
        <v>0</v>
      </c>
      <c r="AX43" s="113">
        <v>0</v>
      </c>
      <c r="AY43" s="113">
        <v>0</v>
      </c>
      <c r="AZ43" s="113">
        <v>0</v>
      </c>
      <c r="BA43" s="113">
        <v>0</v>
      </c>
    </row>
    <row r="44" spans="1:53" x14ac:dyDescent="0.15">
      <c r="A44" s="191" t="s">
        <v>234</v>
      </c>
      <c r="B44" s="113">
        <v>0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</v>
      </c>
      <c r="N44" s="113">
        <v>0.8</v>
      </c>
      <c r="O44" s="113">
        <v>0</v>
      </c>
      <c r="P44" s="113">
        <v>0</v>
      </c>
      <c r="Q44" s="113">
        <v>0.8</v>
      </c>
      <c r="R44" s="113">
        <v>0</v>
      </c>
      <c r="S44" s="113">
        <v>0</v>
      </c>
      <c r="T44" s="113">
        <v>0</v>
      </c>
      <c r="U44" s="113">
        <v>0.8</v>
      </c>
      <c r="V44" s="113">
        <v>0</v>
      </c>
      <c r="W44" s="113">
        <v>0</v>
      </c>
      <c r="X44" s="113">
        <v>0</v>
      </c>
      <c r="Y44" s="113">
        <v>0</v>
      </c>
      <c r="Z44" s="113">
        <v>0.8</v>
      </c>
      <c r="AA44" s="113">
        <v>0.8</v>
      </c>
      <c r="AB44" s="113">
        <v>0.8</v>
      </c>
      <c r="AC44" s="113">
        <v>0.8</v>
      </c>
      <c r="AD44" s="113">
        <v>0.8</v>
      </c>
      <c r="AE44" s="113">
        <v>0</v>
      </c>
      <c r="AF44" s="113">
        <v>0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0.8</v>
      </c>
      <c r="AN44" s="113">
        <v>0</v>
      </c>
      <c r="AO44" s="113">
        <v>0.8</v>
      </c>
      <c r="AP44" s="113">
        <v>0</v>
      </c>
      <c r="AQ44" s="113">
        <v>0.8</v>
      </c>
      <c r="AR44" s="113">
        <v>0</v>
      </c>
      <c r="AS44" s="113">
        <v>0</v>
      </c>
      <c r="AT44" s="113">
        <v>0</v>
      </c>
      <c r="AU44" s="113">
        <v>0</v>
      </c>
      <c r="AV44" s="113">
        <v>0</v>
      </c>
      <c r="AW44" s="113">
        <v>0</v>
      </c>
      <c r="AX44" s="113">
        <v>0</v>
      </c>
      <c r="AY44" s="113">
        <v>0</v>
      </c>
      <c r="AZ44" s="113">
        <v>0</v>
      </c>
      <c r="BA44" s="113">
        <v>0</v>
      </c>
    </row>
    <row r="45" spans="1:53" x14ac:dyDescent="0.15">
      <c r="A45" s="191" t="s">
        <v>235</v>
      </c>
      <c r="B45" s="113">
        <v>0</v>
      </c>
      <c r="C45" s="113">
        <v>0</v>
      </c>
      <c r="D45" s="113">
        <v>0</v>
      </c>
      <c r="E45" s="113">
        <v>0.8</v>
      </c>
      <c r="F45" s="113">
        <v>0</v>
      </c>
      <c r="G45" s="113">
        <v>0</v>
      </c>
      <c r="H45" s="113">
        <v>0.8</v>
      </c>
      <c r="I45" s="113">
        <v>0.8</v>
      </c>
      <c r="J45" s="113">
        <v>0.8</v>
      </c>
      <c r="K45" s="113">
        <v>0.8</v>
      </c>
      <c r="L45" s="113">
        <v>0.8</v>
      </c>
      <c r="M45" s="113">
        <v>0.8</v>
      </c>
      <c r="N45" s="113">
        <v>0.8</v>
      </c>
      <c r="O45" s="113">
        <v>0</v>
      </c>
      <c r="P45" s="113">
        <v>0.8</v>
      </c>
      <c r="Q45" s="113">
        <v>0</v>
      </c>
      <c r="R45" s="113">
        <v>0</v>
      </c>
      <c r="S45" s="113">
        <v>0</v>
      </c>
      <c r="T45" s="113">
        <v>0</v>
      </c>
      <c r="U45" s="113">
        <v>0</v>
      </c>
      <c r="V45" s="113">
        <v>0.8</v>
      </c>
      <c r="W45" s="113">
        <v>0.8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0.8</v>
      </c>
      <c r="AD45" s="113">
        <v>0.8</v>
      </c>
      <c r="AE45" s="113">
        <v>0</v>
      </c>
      <c r="AF45" s="113">
        <v>0</v>
      </c>
      <c r="AG45" s="113">
        <v>0</v>
      </c>
      <c r="AH45" s="113">
        <v>0</v>
      </c>
      <c r="AI45" s="113">
        <v>0</v>
      </c>
      <c r="AJ45" s="113">
        <v>0</v>
      </c>
      <c r="AK45" s="113">
        <v>0</v>
      </c>
      <c r="AL45" s="113">
        <v>0</v>
      </c>
      <c r="AM45" s="113">
        <v>0</v>
      </c>
      <c r="AN45" s="113">
        <v>0</v>
      </c>
      <c r="AO45" s="113">
        <v>0</v>
      </c>
      <c r="AP45" s="113">
        <v>0.8</v>
      </c>
      <c r="AQ45" s="113">
        <v>0</v>
      </c>
      <c r="AR45" s="113">
        <v>0</v>
      </c>
      <c r="AS45" s="113">
        <v>0</v>
      </c>
      <c r="AT45" s="113">
        <v>0.8</v>
      </c>
      <c r="AU45" s="113">
        <v>0</v>
      </c>
      <c r="AV45" s="113">
        <v>0</v>
      </c>
      <c r="AW45" s="113">
        <v>0</v>
      </c>
      <c r="AX45" s="113">
        <v>0</v>
      </c>
      <c r="AY45" s="113">
        <v>0</v>
      </c>
      <c r="AZ45" s="113">
        <v>0</v>
      </c>
      <c r="BA45" s="113">
        <v>0</v>
      </c>
    </row>
    <row r="46" spans="1:53" x14ac:dyDescent="0.15">
      <c r="A46" s="191" t="s">
        <v>236</v>
      </c>
      <c r="B46" s="113">
        <v>0</v>
      </c>
      <c r="C46" s="113">
        <v>0</v>
      </c>
      <c r="D46" s="113">
        <v>0.8</v>
      </c>
      <c r="E46" s="113">
        <v>0.8</v>
      </c>
      <c r="F46" s="113">
        <v>0</v>
      </c>
      <c r="G46" s="113">
        <v>0.8</v>
      </c>
      <c r="H46" s="113">
        <v>0.8</v>
      </c>
      <c r="I46" s="113">
        <v>0</v>
      </c>
      <c r="J46" s="113">
        <v>0</v>
      </c>
      <c r="K46" s="113">
        <v>0.8</v>
      </c>
      <c r="L46" s="113">
        <v>0</v>
      </c>
      <c r="M46" s="113">
        <v>0.8</v>
      </c>
      <c r="N46" s="113">
        <v>0.8</v>
      </c>
      <c r="O46" s="113">
        <v>0</v>
      </c>
      <c r="P46" s="113">
        <v>0.8</v>
      </c>
      <c r="Q46" s="113">
        <v>0</v>
      </c>
      <c r="R46" s="113">
        <v>0</v>
      </c>
      <c r="S46" s="113">
        <v>0.8</v>
      </c>
      <c r="T46" s="113">
        <v>0</v>
      </c>
      <c r="U46" s="113">
        <v>0.8</v>
      </c>
      <c r="V46" s="113">
        <v>0.8</v>
      </c>
      <c r="W46" s="113">
        <v>0.8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0.8</v>
      </c>
      <c r="AD46" s="113">
        <v>0.8</v>
      </c>
      <c r="AE46" s="113">
        <v>0</v>
      </c>
      <c r="AF46" s="113">
        <v>0.8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</v>
      </c>
      <c r="AM46" s="113">
        <v>0</v>
      </c>
      <c r="AN46" s="113">
        <v>0</v>
      </c>
      <c r="AO46" s="113">
        <v>0</v>
      </c>
      <c r="AP46" s="113">
        <v>0</v>
      </c>
      <c r="AQ46" s="113">
        <v>0</v>
      </c>
      <c r="AR46" s="113">
        <v>0</v>
      </c>
      <c r="AS46" s="113">
        <v>0</v>
      </c>
      <c r="AT46" s="113">
        <v>0.8</v>
      </c>
      <c r="AU46" s="113">
        <v>0</v>
      </c>
      <c r="AV46" s="113">
        <v>0</v>
      </c>
      <c r="AW46" s="113">
        <v>0</v>
      </c>
      <c r="AX46" s="113">
        <v>0</v>
      </c>
      <c r="AY46" s="113">
        <v>0</v>
      </c>
      <c r="AZ46" s="113">
        <v>0</v>
      </c>
      <c r="BA46" s="113">
        <v>0</v>
      </c>
    </row>
    <row r="47" spans="1:53" x14ac:dyDescent="0.15">
      <c r="A47" s="191" t="s">
        <v>237</v>
      </c>
      <c r="B47" s="113">
        <v>0</v>
      </c>
      <c r="C47" s="113">
        <v>0</v>
      </c>
      <c r="D47" s="113">
        <v>0</v>
      </c>
      <c r="E47" s="113">
        <v>0.8</v>
      </c>
      <c r="F47" s="113">
        <v>0</v>
      </c>
      <c r="G47" s="113">
        <v>0</v>
      </c>
      <c r="H47" s="113">
        <v>0.8</v>
      </c>
      <c r="I47" s="113">
        <v>0</v>
      </c>
      <c r="J47" s="113">
        <v>0.8</v>
      </c>
      <c r="K47" s="113">
        <v>0.8</v>
      </c>
      <c r="L47" s="113">
        <v>0.8</v>
      </c>
      <c r="M47" s="113">
        <v>0.8</v>
      </c>
      <c r="N47" s="113">
        <v>0.8</v>
      </c>
      <c r="O47" s="113">
        <v>0</v>
      </c>
      <c r="P47" s="113">
        <v>0.8</v>
      </c>
      <c r="Q47" s="113">
        <v>0</v>
      </c>
      <c r="R47" s="113">
        <v>0</v>
      </c>
      <c r="S47" s="113">
        <v>0</v>
      </c>
      <c r="T47" s="113">
        <v>0</v>
      </c>
      <c r="U47" s="113">
        <v>0</v>
      </c>
      <c r="V47" s="113">
        <v>0</v>
      </c>
      <c r="W47" s="113">
        <v>0.8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113">
        <v>0.8</v>
      </c>
      <c r="AE47" s="113">
        <v>0</v>
      </c>
      <c r="AF47" s="113">
        <v>0</v>
      </c>
      <c r="AG47" s="113">
        <v>0</v>
      </c>
      <c r="AH47" s="113">
        <v>0</v>
      </c>
      <c r="AI47" s="113">
        <v>0</v>
      </c>
      <c r="AJ47" s="113">
        <v>0.8</v>
      </c>
      <c r="AK47" s="113">
        <v>0</v>
      </c>
      <c r="AL47" s="113">
        <v>0</v>
      </c>
      <c r="AM47" s="113">
        <v>0</v>
      </c>
      <c r="AN47" s="113">
        <v>0</v>
      </c>
      <c r="AO47" s="113">
        <v>0</v>
      </c>
      <c r="AP47" s="113">
        <v>0</v>
      </c>
      <c r="AQ47" s="113">
        <v>0</v>
      </c>
      <c r="AR47" s="113">
        <v>0</v>
      </c>
      <c r="AS47" s="113">
        <v>0</v>
      </c>
      <c r="AT47" s="113">
        <v>0</v>
      </c>
      <c r="AU47" s="113">
        <v>0</v>
      </c>
      <c r="AV47" s="113">
        <v>0.8</v>
      </c>
      <c r="AW47" s="113">
        <v>0</v>
      </c>
      <c r="AX47" s="113">
        <v>0</v>
      </c>
      <c r="AY47" s="113">
        <v>0</v>
      </c>
      <c r="AZ47" s="113">
        <v>0</v>
      </c>
      <c r="BA47" s="113">
        <v>0</v>
      </c>
    </row>
    <row r="48" spans="1:53" x14ac:dyDescent="0.15">
      <c r="A48" s="191" t="s">
        <v>238</v>
      </c>
      <c r="B48" s="113">
        <v>0</v>
      </c>
      <c r="C48" s="113">
        <v>0</v>
      </c>
      <c r="D48" s="113">
        <v>0.8</v>
      </c>
      <c r="E48" s="113">
        <v>0.8</v>
      </c>
      <c r="F48" s="113">
        <v>0</v>
      </c>
      <c r="G48" s="113">
        <v>0</v>
      </c>
      <c r="H48" s="113">
        <v>0.8</v>
      </c>
      <c r="I48" s="113">
        <v>0</v>
      </c>
      <c r="J48" s="113">
        <v>0</v>
      </c>
      <c r="K48" s="113">
        <v>0.8</v>
      </c>
      <c r="L48" s="113">
        <v>0</v>
      </c>
      <c r="M48" s="113">
        <v>0.8</v>
      </c>
      <c r="N48" s="113">
        <v>0.8</v>
      </c>
      <c r="O48" s="113">
        <v>0</v>
      </c>
      <c r="P48" s="113">
        <v>0.8</v>
      </c>
      <c r="Q48" s="113">
        <v>0</v>
      </c>
      <c r="R48" s="113">
        <v>0</v>
      </c>
      <c r="S48" s="113">
        <v>0</v>
      </c>
      <c r="T48" s="113">
        <v>0</v>
      </c>
      <c r="U48" s="113">
        <v>0.8</v>
      </c>
      <c r="V48" s="113">
        <v>0</v>
      </c>
      <c r="W48" s="113">
        <v>0.8</v>
      </c>
      <c r="X48" s="113">
        <v>0</v>
      </c>
      <c r="Y48" s="113">
        <v>0</v>
      </c>
      <c r="Z48" s="113">
        <v>0</v>
      </c>
      <c r="AA48" s="113">
        <v>0</v>
      </c>
      <c r="AB48" s="113">
        <v>0</v>
      </c>
      <c r="AC48" s="113">
        <v>0.8</v>
      </c>
      <c r="AD48" s="113">
        <v>0.8</v>
      </c>
      <c r="AE48" s="113">
        <v>0</v>
      </c>
      <c r="AF48" s="113">
        <v>0.8</v>
      </c>
      <c r="AG48" s="113">
        <v>0</v>
      </c>
      <c r="AH48" s="113">
        <v>0</v>
      </c>
      <c r="AI48" s="113">
        <v>0</v>
      </c>
      <c r="AJ48" s="113">
        <v>0</v>
      </c>
      <c r="AK48" s="113">
        <v>0</v>
      </c>
      <c r="AL48" s="113">
        <v>0</v>
      </c>
      <c r="AM48" s="113">
        <v>0</v>
      </c>
      <c r="AN48" s="113">
        <v>0</v>
      </c>
      <c r="AO48" s="113">
        <v>0</v>
      </c>
      <c r="AP48" s="113">
        <v>0</v>
      </c>
      <c r="AQ48" s="113">
        <v>0</v>
      </c>
      <c r="AR48" s="113">
        <v>0</v>
      </c>
      <c r="AS48" s="113">
        <v>0</v>
      </c>
      <c r="AT48" s="113">
        <v>0</v>
      </c>
      <c r="AU48" s="113">
        <v>0</v>
      </c>
      <c r="AV48" s="113">
        <v>0.8</v>
      </c>
      <c r="AW48" s="113">
        <v>0</v>
      </c>
      <c r="AX48" s="113">
        <v>0</v>
      </c>
      <c r="AY48" s="113">
        <v>0</v>
      </c>
      <c r="AZ48" s="113">
        <v>0</v>
      </c>
      <c r="BA48" s="113">
        <v>0</v>
      </c>
    </row>
    <row r="49" spans="1:53" x14ac:dyDescent="0.15">
      <c r="A49" s="191" t="s">
        <v>239</v>
      </c>
      <c r="B49" s="113">
        <v>0</v>
      </c>
      <c r="C49" s="113">
        <v>0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0</v>
      </c>
      <c r="J49" s="113">
        <v>0.8</v>
      </c>
      <c r="K49" s="113">
        <v>0</v>
      </c>
      <c r="L49" s="113">
        <v>0</v>
      </c>
      <c r="M49" s="113">
        <v>0.8</v>
      </c>
      <c r="N49" s="113">
        <v>0</v>
      </c>
      <c r="O49" s="113">
        <v>0</v>
      </c>
      <c r="P49" s="113">
        <v>0</v>
      </c>
      <c r="Q49" s="113">
        <v>0</v>
      </c>
      <c r="R49" s="113">
        <v>0</v>
      </c>
      <c r="S49" s="113">
        <v>0</v>
      </c>
      <c r="T49" s="113">
        <v>0</v>
      </c>
      <c r="U49" s="113">
        <v>0</v>
      </c>
      <c r="V49" s="113">
        <v>0</v>
      </c>
      <c r="W49" s="113">
        <v>0</v>
      </c>
      <c r="X49" s="113">
        <v>0</v>
      </c>
      <c r="Y49" s="113">
        <v>0</v>
      </c>
      <c r="Z49" s="113">
        <v>0</v>
      </c>
      <c r="AA49" s="113">
        <v>0</v>
      </c>
      <c r="AB49" s="113">
        <v>0</v>
      </c>
      <c r="AC49" s="113">
        <v>0</v>
      </c>
      <c r="AD49" s="113">
        <v>0</v>
      </c>
      <c r="AE49" s="113">
        <v>0</v>
      </c>
      <c r="AF49" s="113">
        <v>0</v>
      </c>
      <c r="AG49" s="113">
        <v>0</v>
      </c>
      <c r="AH49" s="113">
        <v>0.8</v>
      </c>
      <c r="AI49" s="113">
        <v>0</v>
      </c>
      <c r="AJ49" s="113">
        <v>0</v>
      </c>
      <c r="AK49" s="113">
        <v>0</v>
      </c>
      <c r="AL49" s="113">
        <v>0</v>
      </c>
      <c r="AM49" s="113">
        <v>0</v>
      </c>
      <c r="AN49" s="113">
        <v>0</v>
      </c>
      <c r="AO49" s="113">
        <v>0</v>
      </c>
      <c r="AP49" s="113">
        <v>0</v>
      </c>
      <c r="AQ49" s="113">
        <v>0</v>
      </c>
      <c r="AR49" s="113">
        <v>0</v>
      </c>
      <c r="AS49" s="113">
        <v>0</v>
      </c>
      <c r="AT49" s="113">
        <v>0</v>
      </c>
      <c r="AU49" s="113">
        <v>0.8</v>
      </c>
      <c r="AV49" s="113">
        <v>0.8</v>
      </c>
      <c r="AW49" s="113">
        <v>0</v>
      </c>
      <c r="AX49" s="113">
        <v>0</v>
      </c>
      <c r="AY49" s="113">
        <v>0</v>
      </c>
      <c r="AZ49" s="113">
        <v>0</v>
      </c>
      <c r="BA49" s="113">
        <v>0</v>
      </c>
    </row>
    <row r="50" spans="1:53" x14ac:dyDescent="0.15">
      <c r="A50" s="191" t="s">
        <v>240</v>
      </c>
      <c r="B50" s="113">
        <v>0</v>
      </c>
      <c r="C50" s="113">
        <v>0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0.8</v>
      </c>
      <c r="J50" s="113">
        <v>0.8</v>
      </c>
      <c r="K50" s="113">
        <v>0</v>
      </c>
      <c r="L50" s="113">
        <v>0</v>
      </c>
      <c r="M50" s="113">
        <v>0.8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0</v>
      </c>
      <c r="AI50" s="113">
        <v>0</v>
      </c>
      <c r="AJ50" s="113">
        <v>0</v>
      </c>
      <c r="AK50" s="113">
        <v>0</v>
      </c>
      <c r="AL50" s="113">
        <v>0</v>
      </c>
      <c r="AM50" s="113">
        <v>0</v>
      </c>
      <c r="AN50" s="113">
        <v>0.8</v>
      </c>
      <c r="AO50" s="113">
        <v>0</v>
      </c>
      <c r="AP50" s="113">
        <v>0</v>
      </c>
      <c r="AQ50" s="113">
        <v>0</v>
      </c>
      <c r="AR50" s="113">
        <v>0</v>
      </c>
      <c r="AS50" s="113">
        <v>0.8</v>
      </c>
      <c r="AT50" s="113">
        <v>0.8</v>
      </c>
      <c r="AU50" s="113">
        <v>0</v>
      </c>
      <c r="AV50" s="113">
        <v>0</v>
      </c>
      <c r="AW50" s="113">
        <v>0</v>
      </c>
      <c r="AX50" s="113">
        <v>0</v>
      </c>
      <c r="AY50" s="113">
        <v>0</v>
      </c>
      <c r="AZ50" s="113">
        <v>0</v>
      </c>
      <c r="BA50" s="113">
        <v>0</v>
      </c>
    </row>
    <row r="51" spans="1:53" x14ac:dyDescent="0.15">
      <c r="A51" s="191" t="s">
        <v>241</v>
      </c>
      <c r="B51" s="113">
        <v>0</v>
      </c>
      <c r="C51" s="113">
        <v>0</v>
      </c>
      <c r="D51" s="113">
        <v>0</v>
      </c>
      <c r="E51" s="113">
        <v>0</v>
      </c>
      <c r="F51" s="113">
        <v>0.8</v>
      </c>
      <c r="G51" s="113">
        <v>0</v>
      </c>
      <c r="H51" s="113">
        <v>0</v>
      </c>
      <c r="I51" s="113">
        <v>0</v>
      </c>
      <c r="J51" s="113">
        <v>0</v>
      </c>
      <c r="K51" s="113">
        <v>0</v>
      </c>
      <c r="L51" s="113">
        <v>0</v>
      </c>
      <c r="M51" s="113">
        <v>0.8</v>
      </c>
      <c r="N51" s="113">
        <v>0</v>
      </c>
      <c r="O51" s="113">
        <v>0</v>
      </c>
      <c r="P51" s="113">
        <v>0</v>
      </c>
      <c r="Q51" s="113">
        <v>0.8</v>
      </c>
      <c r="R51" s="113">
        <v>0</v>
      </c>
      <c r="S51" s="113">
        <v>0</v>
      </c>
      <c r="T51" s="113">
        <v>0</v>
      </c>
      <c r="U51" s="113">
        <v>0</v>
      </c>
      <c r="V51" s="113">
        <v>0</v>
      </c>
      <c r="W51" s="113">
        <v>0</v>
      </c>
      <c r="X51" s="113">
        <v>0</v>
      </c>
      <c r="Y51" s="113">
        <v>0</v>
      </c>
      <c r="Z51" s="113">
        <v>0.8</v>
      </c>
      <c r="AA51" s="113">
        <v>0.8</v>
      </c>
      <c r="AB51" s="113">
        <v>0</v>
      </c>
      <c r="AC51" s="113">
        <v>0</v>
      </c>
      <c r="AD51" s="113">
        <v>0</v>
      </c>
      <c r="AE51" s="113">
        <v>0</v>
      </c>
      <c r="AF51" s="113">
        <v>0</v>
      </c>
      <c r="AG51" s="113">
        <v>0.8</v>
      </c>
      <c r="AH51" s="113">
        <v>0</v>
      </c>
      <c r="AI51" s="113">
        <v>0</v>
      </c>
      <c r="AJ51" s="113">
        <v>0</v>
      </c>
      <c r="AK51" s="113">
        <v>0</v>
      </c>
      <c r="AL51" s="113">
        <v>0</v>
      </c>
      <c r="AM51" s="113">
        <v>0</v>
      </c>
      <c r="AN51" s="113">
        <v>0</v>
      </c>
      <c r="AO51" s="113">
        <v>0</v>
      </c>
      <c r="AP51" s="113">
        <v>0</v>
      </c>
      <c r="AQ51" s="113">
        <v>0</v>
      </c>
      <c r="AR51" s="113">
        <v>0</v>
      </c>
      <c r="AS51" s="113">
        <v>0</v>
      </c>
      <c r="AT51" s="113">
        <v>0</v>
      </c>
      <c r="AU51" s="113">
        <v>0</v>
      </c>
      <c r="AV51" s="113">
        <v>0</v>
      </c>
      <c r="AW51" s="113">
        <v>0</v>
      </c>
      <c r="AX51" s="113">
        <v>0</v>
      </c>
      <c r="AY51" s="113">
        <v>0</v>
      </c>
      <c r="AZ51" s="113">
        <v>0</v>
      </c>
      <c r="BA51" s="113">
        <v>0</v>
      </c>
    </row>
    <row r="52" spans="1:53" x14ac:dyDescent="0.15">
      <c r="A52" s="191" t="s">
        <v>242</v>
      </c>
      <c r="B52" s="113">
        <v>0</v>
      </c>
      <c r="C52" s="113">
        <v>0.8</v>
      </c>
      <c r="D52" s="113">
        <v>0</v>
      </c>
      <c r="E52" s="113">
        <v>0</v>
      </c>
      <c r="F52" s="113">
        <v>0.8</v>
      </c>
      <c r="G52" s="113">
        <v>0</v>
      </c>
      <c r="H52" s="113">
        <v>0.8</v>
      </c>
      <c r="I52" s="113">
        <v>0</v>
      </c>
      <c r="J52" s="113">
        <v>0</v>
      </c>
      <c r="K52" s="113">
        <v>0.8</v>
      </c>
      <c r="L52" s="113">
        <v>0</v>
      </c>
      <c r="M52" s="113">
        <v>0.8</v>
      </c>
      <c r="N52" s="113">
        <v>0</v>
      </c>
      <c r="O52" s="113">
        <v>0.8</v>
      </c>
      <c r="P52" s="113">
        <v>0</v>
      </c>
      <c r="Q52" s="113">
        <v>0</v>
      </c>
      <c r="R52" s="113">
        <v>0</v>
      </c>
      <c r="S52" s="113">
        <v>0.8</v>
      </c>
      <c r="T52" s="113">
        <v>0</v>
      </c>
      <c r="U52" s="113">
        <v>0</v>
      </c>
      <c r="V52" s="113">
        <v>0</v>
      </c>
      <c r="W52" s="113">
        <v>0.8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3">
        <v>0.8</v>
      </c>
      <c r="AH52" s="113">
        <v>0.8</v>
      </c>
      <c r="AI52" s="113">
        <v>0.8</v>
      </c>
      <c r="AJ52" s="113">
        <v>0.8</v>
      </c>
      <c r="AK52" s="113">
        <v>0.8</v>
      </c>
      <c r="AL52" s="113">
        <v>0.8</v>
      </c>
      <c r="AM52" s="113">
        <v>0.8</v>
      </c>
      <c r="AN52" s="113">
        <v>0.8</v>
      </c>
      <c r="AO52" s="113">
        <v>0.8</v>
      </c>
      <c r="AP52" s="113">
        <v>0.8</v>
      </c>
      <c r="AQ52" s="113">
        <v>0.8</v>
      </c>
      <c r="AR52" s="113">
        <v>0.8</v>
      </c>
      <c r="AS52" s="113">
        <v>0.8</v>
      </c>
      <c r="AT52" s="113">
        <v>0.8</v>
      </c>
      <c r="AU52" s="113">
        <v>0.8</v>
      </c>
      <c r="AV52" s="113">
        <v>0.8</v>
      </c>
      <c r="AW52" s="113">
        <v>0</v>
      </c>
      <c r="AX52" s="113">
        <v>0</v>
      </c>
      <c r="AY52" s="113">
        <v>0</v>
      </c>
      <c r="AZ52" s="113">
        <v>0</v>
      </c>
      <c r="BA52" s="113">
        <v>0</v>
      </c>
    </row>
    <row r="53" spans="1:53" x14ac:dyDescent="0.15">
      <c r="A53" s="191" t="s">
        <v>243</v>
      </c>
      <c r="B53" s="113">
        <v>0</v>
      </c>
      <c r="C53" s="113">
        <v>0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</v>
      </c>
      <c r="L53" s="113">
        <v>0</v>
      </c>
      <c r="M53" s="113">
        <v>0</v>
      </c>
      <c r="N53" s="113">
        <v>0</v>
      </c>
      <c r="O53" s="113">
        <v>0</v>
      </c>
      <c r="P53" s="113">
        <v>0</v>
      </c>
      <c r="Q53" s="113">
        <v>0</v>
      </c>
      <c r="R53" s="113">
        <v>0</v>
      </c>
      <c r="S53" s="113">
        <v>0</v>
      </c>
      <c r="T53" s="113">
        <v>0</v>
      </c>
      <c r="U53" s="113">
        <v>0</v>
      </c>
      <c r="V53" s="113">
        <v>0</v>
      </c>
      <c r="W53" s="113">
        <v>0</v>
      </c>
      <c r="X53" s="113">
        <v>0</v>
      </c>
      <c r="Y53" s="113">
        <v>0</v>
      </c>
      <c r="Z53" s="113">
        <v>0</v>
      </c>
      <c r="AA53" s="113">
        <v>0</v>
      </c>
      <c r="AB53" s="113">
        <v>0</v>
      </c>
      <c r="AC53" s="113">
        <v>0</v>
      </c>
      <c r="AD53" s="113">
        <v>0</v>
      </c>
      <c r="AE53" s="113">
        <v>0</v>
      </c>
      <c r="AF53" s="113">
        <v>0</v>
      </c>
      <c r="AG53" s="113">
        <v>0</v>
      </c>
      <c r="AH53" s="113">
        <v>0</v>
      </c>
      <c r="AI53" s="113">
        <v>0</v>
      </c>
      <c r="AJ53" s="113">
        <v>0</v>
      </c>
      <c r="AK53" s="113">
        <v>0</v>
      </c>
      <c r="AL53" s="113">
        <v>0</v>
      </c>
      <c r="AM53" s="113">
        <v>0</v>
      </c>
      <c r="AN53" s="113">
        <v>0</v>
      </c>
      <c r="AO53" s="113">
        <v>0</v>
      </c>
      <c r="AP53" s="113">
        <v>0</v>
      </c>
      <c r="AQ53" s="113">
        <v>0</v>
      </c>
      <c r="AR53" s="113">
        <v>0</v>
      </c>
      <c r="AS53" s="113">
        <v>0</v>
      </c>
      <c r="AT53" s="113">
        <v>0</v>
      </c>
      <c r="AU53" s="113">
        <v>0</v>
      </c>
      <c r="AV53" s="113">
        <v>0</v>
      </c>
      <c r="AW53" s="113">
        <v>0</v>
      </c>
      <c r="AX53" s="113">
        <v>0</v>
      </c>
      <c r="AY53" s="113">
        <v>0</v>
      </c>
      <c r="AZ53" s="113">
        <v>0</v>
      </c>
      <c r="BA53" s="113">
        <v>0</v>
      </c>
    </row>
    <row r="54" spans="1:53" x14ac:dyDescent="0.15">
      <c r="A54" s="191" t="s">
        <v>248</v>
      </c>
      <c r="B54" s="113">
        <v>0.8</v>
      </c>
      <c r="C54" s="113">
        <v>0.8</v>
      </c>
      <c r="D54" s="113">
        <v>0</v>
      </c>
      <c r="E54" s="113">
        <v>0</v>
      </c>
      <c r="F54" s="113">
        <v>0</v>
      </c>
      <c r="G54" s="113">
        <v>0.8</v>
      </c>
      <c r="H54" s="113">
        <v>0.8</v>
      </c>
      <c r="I54" s="113">
        <v>0</v>
      </c>
      <c r="J54" s="113">
        <v>0</v>
      </c>
      <c r="K54" s="113">
        <v>0.8</v>
      </c>
      <c r="L54" s="113">
        <v>0</v>
      </c>
      <c r="M54" s="113">
        <v>0</v>
      </c>
      <c r="N54" s="113">
        <v>0</v>
      </c>
      <c r="O54" s="113">
        <v>0</v>
      </c>
      <c r="P54" s="113">
        <v>0</v>
      </c>
      <c r="Q54" s="113">
        <v>0</v>
      </c>
      <c r="R54" s="113">
        <v>0</v>
      </c>
      <c r="S54" s="113">
        <v>0</v>
      </c>
      <c r="T54" s="113">
        <v>0</v>
      </c>
      <c r="U54" s="113">
        <v>0.8</v>
      </c>
      <c r="V54" s="113">
        <v>0.8</v>
      </c>
      <c r="W54" s="113">
        <v>0</v>
      </c>
      <c r="X54" s="113">
        <v>0</v>
      </c>
      <c r="Y54" s="113">
        <v>0</v>
      </c>
      <c r="Z54" s="113">
        <v>0</v>
      </c>
      <c r="AA54" s="113">
        <v>0</v>
      </c>
      <c r="AB54" s="113">
        <v>0</v>
      </c>
      <c r="AC54" s="113">
        <v>0</v>
      </c>
      <c r="AD54" s="113">
        <v>0.8</v>
      </c>
      <c r="AE54" s="113">
        <v>0</v>
      </c>
      <c r="AF54" s="113">
        <v>0</v>
      </c>
      <c r="AG54" s="113">
        <v>0</v>
      </c>
      <c r="AH54" s="113">
        <v>0</v>
      </c>
      <c r="AI54" s="113">
        <v>0</v>
      </c>
      <c r="AJ54" s="113">
        <v>0</v>
      </c>
      <c r="AK54" s="113">
        <v>0</v>
      </c>
      <c r="AL54" s="113">
        <v>0</v>
      </c>
      <c r="AM54" s="113">
        <v>0</v>
      </c>
      <c r="AN54" s="113">
        <v>0</v>
      </c>
      <c r="AO54" s="113">
        <v>0</v>
      </c>
      <c r="AP54" s="113">
        <v>0</v>
      </c>
      <c r="AQ54" s="113">
        <v>0</v>
      </c>
      <c r="AR54" s="113">
        <v>0</v>
      </c>
      <c r="AS54" s="113">
        <v>0</v>
      </c>
      <c r="AT54" s="113">
        <v>0</v>
      </c>
      <c r="AU54" s="113">
        <v>0</v>
      </c>
      <c r="AV54" s="113">
        <v>0</v>
      </c>
      <c r="AW54" s="113">
        <v>0</v>
      </c>
      <c r="AX54" s="113">
        <v>0</v>
      </c>
      <c r="AY54" s="113">
        <v>0</v>
      </c>
      <c r="AZ54" s="113">
        <v>0</v>
      </c>
      <c r="BA54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A54"/>
  <sheetViews>
    <sheetView workbookViewId="0">
      <selection activeCell="A3" sqref="A3"/>
    </sheetView>
  </sheetViews>
  <sheetFormatPr baseColWidth="10" defaultRowHeight="13" x14ac:dyDescent="0.15"/>
  <cols>
    <col min="1" max="1" width="21.6640625" style="113" bestFit="1" customWidth="1"/>
    <col min="2" max="53" width="2.33203125" style="113" customWidth="1"/>
    <col min="54" max="16384" width="10.83203125" style="113"/>
  </cols>
  <sheetData>
    <row r="1" spans="1:53" x14ac:dyDescent="0.15">
      <c r="A1" s="63" t="s">
        <v>139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  <c r="AK1" s="194" t="s">
        <v>227</v>
      </c>
      <c r="AL1" s="194" t="s">
        <v>228</v>
      </c>
      <c r="AM1" s="194" t="s">
        <v>229</v>
      </c>
      <c r="AN1" s="194" t="s">
        <v>230</v>
      </c>
      <c r="AO1" s="194" t="s">
        <v>231</v>
      </c>
      <c r="AP1" s="194" t="s">
        <v>232</v>
      </c>
      <c r="AQ1" s="194" t="s">
        <v>233</v>
      </c>
      <c r="AR1" s="194" t="s">
        <v>234</v>
      </c>
      <c r="AS1" s="194" t="s">
        <v>235</v>
      </c>
      <c r="AT1" s="194" t="s">
        <v>236</v>
      </c>
      <c r="AU1" s="194" t="s">
        <v>237</v>
      </c>
      <c r="AV1" s="194" t="s">
        <v>238</v>
      </c>
      <c r="AW1" s="194" t="s">
        <v>239</v>
      </c>
      <c r="AX1" s="194" t="s">
        <v>240</v>
      </c>
      <c r="AY1" s="194" t="s">
        <v>241</v>
      </c>
      <c r="AZ1" s="194" t="s">
        <v>242</v>
      </c>
      <c r="BA1" s="194" t="s">
        <v>243</v>
      </c>
    </row>
    <row r="2" spans="1:53" customFormat="1" x14ac:dyDescent="0.15">
      <c r="A2" s="193" t="s">
        <v>192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  <c r="AY2" s="113">
        <v>0</v>
      </c>
      <c r="AZ2" s="113">
        <v>0</v>
      </c>
      <c r="BA2" s="113">
        <v>0</v>
      </c>
    </row>
    <row r="3" spans="1:53" customFormat="1" x14ac:dyDescent="0.15">
      <c r="A3" s="193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  <c r="AY3" s="113">
        <v>0</v>
      </c>
      <c r="AZ3" s="113">
        <v>0</v>
      </c>
      <c r="BA3" s="113">
        <v>0</v>
      </c>
    </row>
    <row r="4" spans="1:53" customFormat="1" x14ac:dyDescent="0.15">
      <c r="A4" s="193" t="s">
        <v>194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1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  <c r="AZ4" s="113">
        <v>0</v>
      </c>
      <c r="BA4" s="113">
        <v>0</v>
      </c>
    </row>
    <row r="5" spans="1:53" customFormat="1" x14ac:dyDescent="0.15">
      <c r="A5" s="193" t="s">
        <v>195</v>
      </c>
      <c r="B5" s="113">
        <v>0</v>
      </c>
      <c r="C5" s="113">
        <v>1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1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customFormat="1" x14ac:dyDescent="0.15">
      <c r="A6" s="193" t="s">
        <v>196</v>
      </c>
      <c r="B6" s="113">
        <v>1</v>
      </c>
      <c r="C6" s="113">
        <v>1</v>
      </c>
      <c r="D6" s="113">
        <v>1</v>
      </c>
      <c r="E6" s="113">
        <v>1</v>
      </c>
      <c r="F6" s="113">
        <v>0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1</v>
      </c>
      <c r="M6" s="113">
        <v>0</v>
      </c>
      <c r="N6" s="113">
        <v>0</v>
      </c>
      <c r="O6" s="113">
        <v>1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1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  <c r="AY6" s="113">
        <v>0</v>
      </c>
      <c r="AZ6" s="113">
        <v>0</v>
      </c>
      <c r="BA6" s="113">
        <v>0</v>
      </c>
    </row>
    <row r="7" spans="1:53" customFormat="1" x14ac:dyDescent="0.15">
      <c r="A7" s="193" t="s">
        <v>197</v>
      </c>
      <c r="B7" s="113">
        <v>0</v>
      </c>
      <c r="C7" s="113">
        <v>1</v>
      </c>
      <c r="D7" s="113">
        <v>0</v>
      </c>
      <c r="E7" s="113">
        <v>0</v>
      </c>
      <c r="F7" s="113">
        <v>0</v>
      </c>
      <c r="G7" s="113">
        <v>1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1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1</v>
      </c>
      <c r="V7" s="113">
        <v>0</v>
      </c>
      <c r="W7" s="113">
        <v>1</v>
      </c>
      <c r="X7" s="113">
        <v>1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  <c r="AZ7" s="113">
        <v>0</v>
      </c>
      <c r="BA7" s="113">
        <v>0</v>
      </c>
    </row>
    <row r="8" spans="1:53" customFormat="1" x14ac:dyDescent="0.15">
      <c r="A8" s="193" t="s">
        <v>198</v>
      </c>
      <c r="B8" s="113">
        <v>1</v>
      </c>
      <c r="C8" s="113">
        <v>0</v>
      </c>
      <c r="D8" s="113">
        <v>0</v>
      </c>
      <c r="E8" s="113">
        <v>0</v>
      </c>
      <c r="F8" s="113">
        <v>0</v>
      </c>
      <c r="G8" s="113">
        <v>1</v>
      </c>
      <c r="H8" s="113">
        <v>0</v>
      </c>
      <c r="I8" s="113">
        <v>0</v>
      </c>
      <c r="J8" s="113">
        <v>0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1</v>
      </c>
      <c r="V8" s="113">
        <v>0</v>
      </c>
      <c r="W8" s="113">
        <v>1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1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  <c r="AZ8" s="113">
        <v>0</v>
      </c>
      <c r="BA8" s="113">
        <v>0</v>
      </c>
    </row>
    <row r="9" spans="1:53" customFormat="1" x14ac:dyDescent="0.15">
      <c r="A9" s="193" t="s">
        <v>199</v>
      </c>
      <c r="B9" s="113">
        <v>1</v>
      </c>
      <c r="C9" s="113">
        <v>1</v>
      </c>
      <c r="D9" s="113">
        <v>0</v>
      </c>
      <c r="E9" s="113">
        <v>0</v>
      </c>
      <c r="F9" s="113">
        <v>0</v>
      </c>
      <c r="G9" s="113">
        <v>1</v>
      </c>
      <c r="H9" s="113">
        <v>1</v>
      </c>
      <c r="I9" s="113">
        <v>0</v>
      </c>
      <c r="J9" s="113">
        <v>0</v>
      </c>
      <c r="K9" s="113">
        <v>1</v>
      </c>
      <c r="L9" s="113">
        <v>1</v>
      </c>
      <c r="M9" s="113">
        <v>0</v>
      </c>
      <c r="N9" s="113">
        <v>0</v>
      </c>
      <c r="O9" s="113">
        <v>1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1</v>
      </c>
      <c r="V9" s="113">
        <v>1</v>
      </c>
      <c r="W9" s="113">
        <v>1</v>
      </c>
      <c r="X9" s="113">
        <v>1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1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  <c r="AZ9" s="113">
        <v>0</v>
      </c>
      <c r="BA9" s="113">
        <v>0</v>
      </c>
    </row>
    <row r="10" spans="1:53" customFormat="1" x14ac:dyDescent="0.15">
      <c r="A10" s="193" t="s">
        <v>200</v>
      </c>
      <c r="B10" s="113">
        <v>1</v>
      </c>
      <c r="C10" s="113">
        <v>1</v>
      </c>
      <c r="D10" s="113">
        <v>1</v>
      </c>
      <c r="E10" s="113">
        <v>1</v>
      </c>
      <c r="F10" s="113">
        <v>0</v>
      </c>
      <c r="G10" s="113">
        <v>1</v>
      </c>
      <c r="H10" s="113">
        <v>1</v>
      </c>
      <c r="I10" s="113">
        <v>0</v>
      </c>
      <c r="J10" s="113">
        <v>0</v>
      </c>
      <c r="K10" s="113">
        <v>1</v>
      </c>
      <c r="L10" s="113">
        <v>1</v>
      </c>
      <c r="M10" s="113">
        <v>1</v>
      </c>
      <c r="N10" s="113">
        <v>0</v>
      </c>
      <c r="O10" s="113">
        <v>1</v>
      </c>
      <c r="P10" s="113">
        <v>1</v>
      </c>
      <c r="Q10" s="113">
        <v>0</v>
      </c>
      <c r="R10" s="113">
        <v>1</v>
      </c>
      <c r="S10" s="113">
        <v>0</v>
      </c>
      <c r="T10" s="113">
        <v>0</v>
      </c>
      <c r="U10" s="113">
        <v>1</v>
      </c>
      <c r="V10" s="113">
        <v>1</v>
      </c>
      <c r="W10" s="113">
        <v>1</v>
      </c>
      <c r="X10" s="113">
        <v>1</v>
      </c>
      <c r="Y10" s="113">
        <v>1</v>
      </c>
      <c r="Z10" s="113">
        <v>1</v>
      </c>
      <c r="AA10" s="113">
        <v>0</v>
      </c>
      <c r="AB10" s="113">
        <v>0</v>
      </c>
      <c r="AC10" s="113">
        <v>0</v>
      </c>
      <c r="AD10" s="113">
        <v>0</v>
      </c>
      <c r="AE10" s="113">
        <v>1</v>
      </c>
      <c r="AF10" s="113">
        <v>1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  <c r="BA10" s="113">
        <v>0</v>
      </c>
    </row>
    <row r="11" spans="1:53" customFormat="1" x14ac:dyDescent="0.15">
      <c r="A11" s="193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1</v>
      </c>
      <c r="H11" s="113">
        <v>1</v>
      </c>
      <c r="I11" s="113">
        <v>0</v>
      </c>
      <c r="J11" s="113">
        <v>0</v>
      </c>
      <c r="K11" s="113">
        <v>1</v>
      </c>
      <c r="L11" s="113">
        <v>1</v>
      </c>
      <c r="M11" s="113">
        <v>1</v>
      </c>
      <c r="N11" s="113">
        <v>0</v>
      </c>
      <c r="O11" s="113">
        <v>1</v>
      </c>
      <c r="P11" s="113">
        <v>1</v>
      </c>
      <c r="Q11" s="113">
        <v>0</v>
      </c>
      <c r="R11" s="113">
        <v>0</v>
      </c>
      <c r="S11" s="113">
        <v>1</v>
      </c>
      <c r="T11" s="113">
        <v>0</v>
      </c>
      <c r="U11" s="113">
        <v>1</v>
      </c>
      <c r="V11" s="113">
        <v>1</v>
      </c>
      <c r="W11" s="113">
        <v>1</v>
      </c>
      <c r="X11" s="113">
        <v>1</v>
      </c>
      <c r="Y11" s="113">
        <v>1</v>
      </c>
      <c r="Z11" s="113">
        <v>0</v>
      </c>
      <c r="AA11" s="113">
        <v>0</v>
      </c>
      <c r="AB11" s="113">
        <v>1</v>
      </c>
      <c r="AC11" s="113">
        <v>0</v>
      </c>
      <c r="AD11" s="113">
        <v>0</v>
      </c>
      <c r="AE11" s="113">
        <v>1</v>
      </c>
      <c r="AF11" s="113">
        <v>1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  <c r="AY11" s="113">
        <v>0</v>
      </c>
      <c r="AZ11" s="113">
        <v>0</v>
      </c>
      <c r="BA11" s="113">
        <v>0</v>
      </c>
    </row>
    <row r="12" spans="1:53" customFormat="1" x14ac:dyDescent="0.15">
      <c r="A12" s="193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1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  <c r="AY12" s="113">
        <v>0</v>
      </c>
      <c r="AZ12" s="113">
        <v>0</v>
      </c>
      <c r="BA12" s="113">
        <v>0</v>
      </c>
    </row>
    <row r="13" spans="1:53" customFormat="1" x14ac:dyDescent="0.15">
      <c r="A13" s="193" t="s">
        <v>203</v>
      </c>
      <c r="B13" s="113">
        <v>1</v>
      </c>
      <c r="C13" s="113">
        <v>1</v>
      </c>
      <c r="D13" s="113">
        <v>1</v>
      </c>
      <c r="E13" s="113">
        <v>1</v>
      </c>
      <c r="F13" s="113">
        <v>0</v>
      </c>
      <c r="G13" s="113">
        <v>1</v>
      </c>
      <c r="H13" s="113">
        <v>1</v>
      </c>
      <c r="I13" s="113">
        <v>0</v>
      </c>
      <c r="J13" s="113">
        <v>0</v>
      </c>
      <c r="K13" s="113">
        <v>0</v>
      </c>
      <c r="L13" s="113">
        <v>1</v>
      </c>
      <c r="M13" s="113">
        <v>1</v>
      </c>
      <c r="N13" s="113">
        <v>0</v>
      </c>
      <c r="O13" s="113">
        <v>1</v>
      </c>
      <c r="P13" s="113">
        <v>0</v>
      </c>
      <c r="Q13" s="113">
        <v>1</v>
      </c>
      <c r="R13" s="113">
        <v>0</v>
      </c>
      <c r="S13" s="113">
        <v>1</v>
      </c>
      <c r="T13" s="113">
        <v>0</v>
      </c>
      <c r="U13" s="113">
        <v>1</v>
      </c>
      <c r="V13" s="113">
        <v>1</v>
      </c>
      <c r="W13" s="113">
        <v>1</v>
      </c>
      <c r="X13" s="113">
        <v>1</v>
      </c>
      <c r="Y13" s="113">
        <v>0</v>
      </c>
      <c r="Z13" s="113">
        <v>1</v>
      </c>
      <c r="AA13" s="113">
        <v>0</v>
      </c>
      <c r="AB13" s="113">
        <v>1</v>
      </c>
      <c r="AC13" s="113">
        <v>1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  <c r="AY13" s="113">
        <v>0</v>
      </c>
      <c r="AZ13" s="113">
        <v>0</v>
      </c>
      <c r="BA13" s="113">
        <v>0</v>
      </c>
    </row>
    <row r="14" spans="1:53" customFormat="1" x14ac:dyDescent="0.15">
      <c r="A14" s="193" t="s">
        <v>204</v>
      </c>
      <c r="B14" s="113">
        <v>1</v>
      </c>
      <c r="C14" s="113">
        <v>1</v>
      </c>
      <c r="D14" s="113">
        <v>1</v>
      </c>
      <c r="E14" s="113">
        <v>0</v>
      </c>
      <c r="F14" s="113">
        <v>0</v>
      </c>
      <c r="G14" s="113">
        <v>1</v>
      </c>
      <c r="H14" s="113">
        <v>1</v>
      </c>
      <c r="I14" s="113">
        <v>0</v>
      </c>
      <c r="J14" s="113">
        <v>0</v>
      </c>
      <c r="K14" s="113">
        <v>1</v>
      </c>
      <c r="L14" s="113">
        <v>1</v>
      </c>
      <c r="M14" s="113">
        <v>1</v>
      </c>
      <c r="N14" s="113">
        <v>0</v>
      </c>
      <c r="O14" s="113">
        <v>1</v>
      </c>
      <c r="P14" s="113">
        <v>1</v>
      </c>
      <c r="Q14" s="113">
        <v>1</v>
      </c>
      <c r="R14" s="113">
        <v>1</v>
      </c>
      <c r="S14" s="113">
        <v>1</v>
      </c>
      <c r="T14" s="113">
        <v>0</v>
      </c>
      <c r="U14" s="113">
        <v>1</v>
      </c>
      <c r="V14" s="113">
        <v>1</v>
      </c>
      <c r="W14" s="113">
        <v>1</v>
      </c>
      <c r="X14" s="113">
        <v>1</v>
      </c>
      <c r="Y14" s="113">
        <v>1</v>
      </c>
      <c r="Z14" s="113">
        <v>1</v>
      </c>
      <c r="AA14" s="113">
        <v>0</v>
      </c>
      <c r="AB14" s="113">
        <v>1</v>
      </c>
      <c r="AC14" s="113">
        <v>1</v>
      </c>
      <c r="AD14" s="113">
        <v>1</v>
      </c>
      <c r="AE14" s="113">
        <v>0</v>
      </c>
      <c r="AF14" s="113">
        <v>1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  <c r="AY14" s="113">
        <v>0</v>
      </c>
      <c r="AZ14" s="113">
        <v>0</v>
      </c>
      <c r="BA14" s="113">
        <v>0</v>
      </c>
    </row>
    <row r="15" spans="1:53" customFormat="1" x14ac:dyDescent="0.15">
      <c r="A15" s="193" t="s">
        <v>205</v>
      </c>
      <c r="B15" s="113">
        <v>0</v>
      </c>
      <c r="C15" s="113">
        <v>1</v>
      </c>
      <c r="D15" s="113">
        <v>1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1</v>
      </c>
      <c r="M15" s="113">
        <v>0</v>
      </c>
      <c r="N15" s="113">
        <v>0</v>
      </c>
      <c r="O15" s="113">
        <v>1</v>
      </c>
      <c r="P15" s="113">
        <v>0</v>
      </c>
      <c r="Q15" s="113">
        <v>0</v>
      </c>
      <c r="R15" s="113">
        <v>0</v>
      </c>
      <c r="S15" s="113">
        <v>1</v>
      </c>
      <c r="T15" s="113">
        <v>0</v>
      </c>
      <c r="U15" s="113">
        <v>1</v>
      </c>
      <c r="V15" s="113">
        <v>1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  <c r="AY15" s="113">
        <v>0</v>
      </c>
      <c r="AZ15" s="113">
        <v>0</v>
      </c>
      <c r="BA15" s="113">
        <v>0</v>
      </c>
    </row>
    <row r="16" spans="1:53" customFormat="1" x14ac:dyDescent="0.15">
      <c r="A16" s="193" t="s">
        <v>206</v>
      </c>
      <c r="B16" s="113">
        <v>0</v>
      </c>
      <c r="C16" s="113">
        <v>1</v>
      </c>
      <c r="D16" s="113">
        <v>1</v>
      </c>
      <c r="E16" s="113">
        <v>1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1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1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1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  <c r="AY16" s="113">
        <v>0</v>
      </c>
      <c r="AZ16" s="113">
        <v>0</v>
      </c>
      <c r="BA16" s="113">
        <v>0</v>
      </c>
    </row>
    <row r="17" spans="1:53" customFormat="1" x14ac:dyDescent="0.15">
      <c r="A17" s="193" t="s">
        <v>207</v>
      </c>
      <c r="B17" s="113">
        <v>0</v>
      </c>
      <c r="C17" s="113">
        <v>0</v>
      </c>
      <c r="D17" s="113">
        <v>1</v>
      </c>
      <c r="E17" s="113">
        <v>0</v>
      </c>
      <c r="F17" s="113">
        <v>0</v>
      </c>
      <c r="G17" s="113">
        <v>1</v>
      </c>
      <c r="H17" s="113">
        <v>0</v>
      </c>
      <c r="I17" s="113">
        <v>0</v>
      </c>
      <c r="J17" s="113">
        <v>0</v>
      </c>
      <c r="K17" s="113">
        <v>0</v>
      </c>
      <c r="L17" s="113">
        <v>1</v>
      </c>
      <c r="M17" s="113">
        <v>0</v>
      </c>
      <c r="N17" s="113">
        <v>0</v>
      </c>
      <c r="O17" s="113">
        <v>1</v>
      </c>
      <c r="P17" s="113">
        <v>0</v>
      </c>
      <c r="Q17" s="113">
        <v>0</v>
      </c>
      <c r="R17" s="113">
        <v>0</v>
      </c>
      <c r="S17" s="113">
        <v>1</v>
      </c>
      <c r="T17" s="113">
        <v>0</v>
      </c>
      <c r="U17" s="113">
        <v>1</v>
      </c>
      <c r="V17" s="113">
        <v>1</v>
      </c>
      <c r="W17" s="113">
        <v>1</v>
      </c>
      <c r="X17" s="113">
        <v>1</v>
      </c>
      <c r="Y17" s="113">
        <v>0</v>
      </c>
      <c r="Z17" s="113">
        <v>0</v>
      </c>
      <c r="AA17" s="113">
        <v>0</v>
      </c>
      <c r="AB17" s="113">
        <v>1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  <c r="AY17" s="113">
        <v>0</v>
      </c>
      <c r="AZ17" s="113">
        <v>0</v>
      </c>
      <c r="BA17" s="113">
        <v>0</v>
      </c>
    </row>
    <row r="18" spans="1:53" customFormat="1" x14ac:dyDescent="0.15">
      <c r="A18" s="193" t="s">
        <v>208</v>
      </c>
      <c r="B18" s="113">
        <v>0</v>
      </c>
      <c r="C18" s="113">
        <v>1</v>
      </c>
      <c r="D18" s="113">
        <v>1</v>
      </c>
      <c r="E18" s="113">
        <v>1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1</v>
      </c>
      <c r="M18" s="113">
        <v>1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1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1</v>
      </c>
      <c r="Z18" s="113">
        <v>1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  <c r="BA18" s="113">
        <v>0</v>
      </c>
    </row>
    <row r="19" spans="1:53" customFormat="1" x14ac:dyDescent="0.15">
      <c r="A19" s="193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1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13">
        <v>0</v>
      </c>
      <c r="AX19" s="113">
        <v>0</v>
      </c>
      <c r="AY19" s="113">
        <v>0</v>
      </c>
      <c r="AZ19" s="113">
        <v>0</v>
      </c>
      <c r="BA19" s="113">
        <v>0</v>
      </c>
    </row>
    <row r="20" spans="1:53" customFormat="1" x14ac:dyDescent="0.15">
      <c r="A20" s="193" t="s">
        <v>210</v>
      </c>
      <c r="B20" s="113">
        <v>0</v>
      </c>
      <c r="C20" s="113">
        <v>1</v>
      </c>
      <c r="D20" s="113">
        <v>0</v>
      </c>
      <c r="E20" s="113">
        <v>1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1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1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  <c r="BA20" s="113">
        <v>0</v>
      </c>
    </row>
    <row r="21" spans="1:53" customFormat="1" x14ac:dyDescent="0.15">
      <c r="A21" s="193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1</v>
      </c>
      <c r="V21" s="113">
        <v>1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  <c r="BA21" s="113">
        <v>0</v>
      </c>
    </row>
    <row r="22" spans="1:53" customFormat="1" x14ac:dyDescent="0.15">
      <c r="A22" s="193" t="s">
        <v>212</v>
      </c>
      <c r="B22" s="113">
        <v>0</v>
      </c>
      <c r="C22" s="113">
        <v>1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1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0</v>
      </c>
      <c r="AZ22" s="113">
        <v>0</v>
      </c>
      <c r="BA22" s="113">
        <v>0</v>
      </c>
    </row>
    <row r="23" spans="1:53" customFormat="1" x14ac:dyDescent="0.15">
      <c r="A23" s="193" t="s">
        <v>213</v>
      </c>
      <c r="B23" s="113">
        <v>1</v>
      </c>
      <c r="C23" s="113">
        <v>0</v>
      </c>
      <c r="D23" s="113">
        <v>1</v>
      </c>
      <c r="E23" s="113">
        <v>1</v>
      </c>
      <c r="F23" s="113">
        <v>0</v>
      </c>
      <c r="G23" s="113">
        <v>1</v>
      </c>
      <c r="H23" s="113">
        <v>0</v>
      </c>
      <c r="I23" s="113">
        <v>0</v>
      </c>
      <c r="J23" s="113">
        <v>0</v>
      </c>
      <c r="K23" s="113">
        <v>0</v>
      </c>
      <c r="L23" s="113">
        <v>1</v>
      </c>
      <c r="M23" s="113">
        <v>0</v>
      </c>
      <c r="N23" s="113">
        <v>0</v>
      </c>
      <c r="O23" s="113">
        <v>1</v>
      </c>
      <c r="P23" s="113">
        <v>0</v>
      </c>
      <c r="Q23" s="113">
        <v>0</v>
      </c>
      <c r="R23" s="113">
        <v>0</v>
      </c>
      <c r="S23" s="113">
        <v>1</v>
      </c>
      <c r="T23" s="113">
        <v>0</v>
      </c>
      <c r="U23" s="113">
        <v>1</v>
      </c>
      <c r="V23" s="113">
        <v>1</v>
      </c>
      <c r="W23" s="113">
        <v>1</v>
      </c>
      <c r="X23" s="113">
        <v>1</v>
      </c>
      <c r="Y23" s="113">
        <v>0</v>
      </c>
      <c r="Z23" s="113">
        <v>0</v>
      </c>
      <c r="AA23" s="113">
        <v>0</v>
      </c>
      <c r="AB23" s="113">
        <v>1</v>
      </c>
      <c r="AC23" s="113">
        <v>0</v>
      </c>
      <c r="AD23" s="113">
        <v>0</v>
      </c>
      <c r="AE23" s="113">
        <v>0</v>
      </c>
      <c r="AF23" s="113">
        <v>1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  <c r="BA23" s="113">
        <v>0</v>
      </c>
    </row>
    <row r="24" spans="1:53" customFormat="1" x14ac:dyDescent="0.15">
      <c r="A24" s="193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1</v>
      </c>
      <c r="M24" s="113">
        <v>1</v>
      </c>
      <c r="N24" s="113">
        <v>0</v>
      </c>
      <c r="O24" s="113">
        <v>1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1</v>
      </c>
      <c r="V24" s="113">
        <v>1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1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  <c r="AY24" s="113">
        <v>0</v>
      </c>
      <c r="AZ24" s="113">
        <v>0</v>
      </c>
      <c r="BA24" s="113">
        <v>0</v>
      </c>
    </row>
    <row r="25" spans="1:53" customFormat="1" x14ac:dyDescent="0.15">
      <c r="A25" s="193" t="s">
        <v>215</v>
      </c>
      <c r="B25" s="113">
        <v>0</v>
      </c>
      <c r="C25" s="113">
        <v>1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1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1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13">
        <v>0</v>
      </c>
      <c r="AX25" s="113">
        <v>0</v>
      </c>
      <c r="AY25" s="113">
        <v>0</v>
      </c>
      <c r="AZ25" s="113">
        <v>0</v>
      </c>
      <c r="BA25" s="113">
        <v>0</v>
      </c>
    </row>
    <row r="26" spans="1:53" customFormat="1" x14ac:dyDescent="0.15">
      <c r="A26" s="193" t="s">
        <v>216</v>
      </c>
      <c r="B26" s="113">
        <v>0</v>
      </c>
      <c r="C26" s="113">
        <v>1</v>
      </c>
      <c r="D26" s="113">
        <v>1</v>
      </c>
      <c r="E26" s="113">
        <v>0</v>
      </c>
      <c r="F26" s="113">
        <v>0</v>
      </c>
      <c r="G26" s="113">
        <v>1</v>
      </c>
      <c r="H26" s="113">
        <v>0</v>
      </c>
      <c r="I26" s="113">
        <v>0</v>
      </c>
      <c r="J26" s="113">
        <v>0</v>
      </c>
      <c r="K26" s="113">
        <v>0</v>
      </c>
      <c r="L26" s="113">
        <v>1</v>
      </c>
      <c r="M26" s="113">
        <v>1</v>
      </c>
      <c r="N26" s="113">
        <v>0</v>
      </c>
      <c r="O26" s="113">
        <v>1</v>
      </c>
      <c r="P26" s="113">
        <v>0</v>
      </c>
      <c r="Q26" s="113">
        <v>0</v>
      </c>
      <c r="R26" s="113">
        <v>0</v>
      </c>
      <c r="S26" s="113">
        <v>1</v>
      </c>
      <c r="T26" s="113">
        <v>0</v>
      </c>
      <c r="U26" s="113">
        <v>1</v>
      </c>
      <c r="V26" s="113">
        <v>1</v>
      </c>
      <c r="W26" s="113">
        <v>0</v>
      </c>
      <c r="X26" s="113">
        <v>1</v>
      </c>
      <c r="Y26" s="113">
        <v>0</v>
      </c>
      <c r="Z26" s="113">
        <v>0</v>
      </c>
      <c r="AA26" s="113">
        <v>0</v>
      </c>
      <c r="AB26" s="113">
        <v>1</v>
      </c>
      <c r="AC26" s="113">
        <v>1</v>
      </c>
      <c r="AD26" s="113">
        <v>0</v>
      </c>
      <c r="AE26" s="113">
        <v>0</v>
      </c>
      <c r="AF26" s="113">
        <v>1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  <c r="BA26" s="113">
        <v>0</v>
      </c>
    </row>
    <row r="27" spans="1:53" customFormat="1" x14ac:dyDescent="0.15">
      <c r="A27" s="193" t="s">
        <v>217</v>
      </c>
      <c r="B27" s="113">
        <v>0</v>
      </c>
      <c r="C27" s="113">
        <v>1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1</v>
      </c>
      <c r="M27" s="113">
        <v>1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1</v>
      </c>
      <c r="T27" s="113">
        <v>0</v>
      </c>
      <c r="U27" s="113">
        <v>0</v>
      </c>
      <c r="V27" s="113">
        <v>1</v>
      </c>
      <c r="W27" s="113">
        <v>0</v>
      </c>
      <c r="X27" s="113">
        <v>0</v>
      </c>
      <c r="Y27" s="113">
        <v>1</v>
      </c>
      <c r="Z27" s="113">
        <v>0</v>
      </c>
      <c r="AA27" s="113">
        <v>0</v>
      </c>
      <c r="AB27" s="113">
        <v>1</v>
      </c>
      <c r="AC27" s="113">
        <v>0</v>
      </c>
      <c r="AD27" s="113">
        <v>0</v>
      </c>
      <c r="AE27" s="113">
        <v>0</v>
      </c>
      <c r="AF27" s="113">
        <v>1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  <c r="AY27" s="113">
        <v>0</v>
      </c>
      <c r="AZ27" s="113">
        <v>0</v>
      </c>
      <c r="BA27" s="113">
        <v>0</v>
      </c>
    </row>
    <row r="28" spans="1:53" customFormat="1" x14ac:dyDescent="0.15">
      <c r="A28" s="193" t="s">
        <v>218</v>
      </c>
      <c r="B28" s="113">
        <v>0</v>
      </c>
      <c r="C28" s="113">
        <v>1</v>
      </c>
      <c r="D28" s="113">
        <v>0</v>
      </c>
      <c r="E28" s="113">
        <v>0</v>
      </c>
      <c r="F28" s="113">
        <v>0</v>
      </c>
      <c r="G28" s="113">
        <v>1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1</v>
      </c>
      <c r="P28" s="113">
        <v>0</v>
      </c>
      <c r="Q28" s="113">
        <v>0</v>
      </c>
      <c r="R28" s="113">
        <v>0</v>
      </c>
      <c r="S28" s="113">
        <v>1</v>
      </c>
      <c r="T28" s="113">
        <v>0</v>
      </c>
      <c r="U28" s="113">
        <v>1</v>
      </c>
      <c r="V28" s="113">
        <v>1</v>
      </c>
      <c r="W28" s="113">
        <v>0</v>
      </c>
      <c r="X28" s="113">
        <v>1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  <c r="AY28" s="113">
        <v>0</v>
      </c>
      <c r="AZ28" s="113">
        <v>0</v>
      </c>
      <c r="BA28" s="113">
        <v>0</v>
      </c>
    </row>
    <row r="29" spans="1:53" customFormat="1" x14ac:dyDescent="0.15">
      <c r="A29" s="193" t="s">
        <v>219</v>
      </c>
      <c r="B29" s="113">
        <v>1</v>
      </c>
      <c r="C29" s="113">
        <v>1</v>
      </c>
      <c r="D29" s="113">
        <v>1</v>
      </c>
      <c r="E29" s="113">
        <v>1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1</v>
      </c>
      <c r="M29" s="113">
        <v>1</v>
      </c>
      <c r="N29" s="113">
        <v>0</v>
      </c>
      <c r="O29" s="113">
        <v>1</v>
      </c>
      <c r="P29" s="113">
        <v>0</v>
      </c>
      <c r="Q29" s="113">
        <v>1</v>
      </c>
      <c r="R29" s="113">
        <v>0</v>
      </c>
      <c r="S29" s="113">
        <v>1</v>
      </c>
      <c r="T29" s="113">
        <v>0</v>
      </c>
      <c r="U29" s="113">
        <v>1</v>
      </c>
      <c r="V29" s="113">
        <v>1</v>
      </c>
      <c r="W29" s="113">
        <v>1</v>
      </c>
      <c r="X29" s="113">
        <v>1</v>
      </c>
      <c r="Y29" s="113">
        <v>1</v>
      </c>
      <c r="Z29" s="113">
        <v>0</v>
      </c>
      <c r="AA29" s="113">
        <v>0</v>
      </c>
      <c r="AB29" s="113">
        <v>0</v>
      </c>
      <c r="AC29" s="113">
        <v>1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  <c r="AY29" s="113">
        <v>0</v>
      </c>
      <c r="AZ29" s="113">
        <v>0</v>
      </c>
      <c r="BA29" s="113">
        <v>0</v>
      </c>
    </row>
    <row r="30" spans="1:53" customFormat="1" x14ac:dyDescent="0.15">
      <c r="A30" s="193" t="s">
        <v>220</v>
      </c>
      <c r="B30" s="113">
        <v>1</v>
      </c>
      <c r="C30" s="113">
        <v>1</v>
      </c>
      <c r="D30" s="113">
        <v>0</v>
      </c>
      <c r="E30" s="113">
        <v>0</v>
      </c>
      <c r="F30" s="113">
        <v>0</v>
      </c>
      <c r="G30" s="113">
        <v>1</v>
      </c>
      <c r="H30" s="113">
        <v>1</v>
      </c>
      <c r="I30" s="113">
        <v>0</v>
      </c>
      <c r="J30" s="113">
        <v>0</v>
      </c>
      <c r="K30" s="113">
        <v>1</v>
      </c>
      <c r="L30" s="113">
        <v>1</v>
      </c>
      <c r="M30" s="113">
        <v>1</v>
      </c>
      <c r="N30" s="113">
        <v>0</v>
      </c>
      <c r="O30" s="113">
        <v>1</v>
      </c>
      <c r="P30" s="113">
        <v>0</v>
      </c>
      <c r="Q30" s="113">
        <v>1</v>
      </c>
      <c r="R30" s="113">
        <v>1</v>
      </c>
      <c r="S30" s="113">
        <v>1</v>
      </c>
      <c r="T30" s="113">
        <v>0</v>
      </c>
      <c r="U30" s="113">
        <v>1</v>
      </c>
      <c r="V30" s="113">
        <v>1</v>
      </c>
      <c r="W30" s="113">
        <v>1</v>
      </c>
      <c r="X30" s="113">
        <v>1</v>
      </c>
      <c r="Y30" s="113">
        <v>1</v>
      </c>
      <c r="Z30" s="113">
        <v>1</v>
      </c>
      <c r="AA30" s="113">
        <v>0</v>
      </c>
      <c r="AB30" s="113">
        <v>1</v>
      </c>
      <c r="AC30" s="113">
        <v>1</v>
      </c>
      <c r="AD30" s="113">
        <v>1</v>
      </c>
      <c r="AE30" s="113">
        <v>0</v>
      </c>
      <c r="AF30" s="113">
        <v>1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  <c r="AY30" s="113">
        <v>0</v>
      </c>
      <c r="AZ30" s="113">
        <v>0</v>
      </c>
      <c r="BA30" s="113">
        <v>0</v>
      </c>
    </row>
    <row r="31" spans="1:53" customFormat="1" x14ac:dyDescent="0.15">
      <c r="A31" s="193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1</v>
      </c>
      <c r="M31" s="113">
        <v>0</v>
      </c>
      <c r="N31" s="113">
        <v>0</v>
      </c>
      <c r="O31" s="113">
        <v>0</v>
      </c>
      <c r="P31" s="113">
        <v>0</v>
      </c>
      <c r="Q31" s="113">
        <v>1</v>
      </c>
      <c r="R31" s="113">
        <v>1</v>
      </c>
      <c r="S31" s="113">
        <v>0</v>
      </c>
      <c r="T31" s="113">
        <v>0</v>
      </c>
      <c r="U31" s="113">
        <v>1</v>
      </c>
      <c r="V31" s="113">
        <v>0</v>
      </c>
      <c r="W31" s="113">
        <v>0</v>
      </c>
      <c r="X31" s="113">
        <v>1</v>
      </c>
      <c r="Y31" s="113">
        <v>0</v>
      </c>
      <c r="Z31" s="113">
        <v>1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1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  <c r="AY31" s="113">
        <v>0</v>
      </c>
      <c r="AZ31" s="113">
        <v>0</v>
      </c>
      <c r="BA31" s="113">
        <v>0</v>
      </c>
    </row>
    <row r="32" spans="1:53" x14ac:dyDescent="0.15">
      <c r="A32" s="193" t="s">
        <v>222</v>
      </c>
      <c r="B32" s="113">
        <v>1</v>
      </c>
      <c r="C32" s="113">
        <v>1</v>
      </c>
      <c r="D32" s="113">
        <v>1</v>
      </c>
      <c r="E32" s="113">
        <v>1</v>
      </c>
      <c r="F32" s="113">
        <v>0</v>
      </c>
      <c r="G32" s="113">
        <v>1</v>
      </c>
      <c r="H32" s="113">
        <v>1</v>
      </c>
      <c r="I32" s="113">
        <v>0</v>
      </c>
      <c r="J32" s="113">
        <v>0</v>
      </c>
      <c r="K32" s="113">
        <v>1</v>
      </c>
      <c r="L32" s="113">
        <v>1</v>
      </c>
      <c r="M32" s="113">
        <v>0</v>
      </c>
      <c r="N32" s="113">
        <v>0</v>
      </c>
      <c r="O32" s="113">
        <v>1</v>
      </c>
      <c r="P32" s="113">
        <v>0</v>
      </c>
      <c r="Q32" s="113">
        <v>1</v>
      </c>
      <c r="R32" s="113">
        <v>1</v>
      </c>
      <c r="S32" s="113">
        <v>0</v>
      </c>
      <c r="T32" s="113">
        <v>0</v>
      </c>
      <c r="U32" s="113">
        <v>1</v>
      </c>
      <c r="V32" s="113">
        <v>1</v>
      </c>
      <c r="W32" s="113">
        <v>0</v>
      </c>
      <c r="X32" s="113">
        <v>1</v>
      </c>
      <c r="Y32" s="113">
        <v>0</v>
      </c>
      <c r="Z32" s="113">
        <v>1</v>
      </c>
      <c r="AA32" s="113">
        <v>1</v>
      </c>
      <c r="AB32" s="113">
        <v>0</v>
      </c>
      <c r="AC32" s="113">
        <v>0</v>
      </c>
      <c r="AD32" s="113">
        <v>1</v>
      </c>
      <c r="AE32" s="113">
        <v>1</v>
      </c>
      <c r="AF32" s="113">
        <v>1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  <c r="AY32" s="113">
        <v>0</v>
      </c>
      <c r="AZ32" s="113">
        <v>0</v>
      </c>
      <c r="BA32" s="113">
        <v>0</v>
      </c>
    </row>
    <row r="33" spans="1:53" x14ac:dyDescent="0.15">
      <c r="A33" s="193" t="s">
        <v>223</v>
      </c>
      <c r="B33" s="113">
        <v>1</v>
      </c>
      <c r="C33" s="113">
        <v>1</v>
      </c>
      <c r="D33" s="113">
        <v>1</v>
      </c>
      <c r="E33" s="113">
        <v>1</v>
      </c>
      <c r="F33" s="113">
        <v>0</v>
      </c>
      <c r="G33" s="113">
        <v>0</v>
      </c>
      <c r="H33" s="113">
        <v>1</v>
      </c>
      <c r="I33" s="113">
        <v>0</v>
      </c>
      <c r="J33" s="113">
        <v>0</v>
      </c>
      <c r="K33" s="113">
        <v>1</v>
      </c>
      <c r="L33" s="113">
        <v>1</v>
      </c>
      <c r="M33" s="113">
        <v>1</v>
      </c>
      <c r="N33" s="113">
        <v>1</v>
      </c>
      <c r="O33" s="113">
        <v>1</v>
      </c>
      <c r="P33" s="113">
        <v>1</v>
      </c>
      <c r="Q33" s="113">
        <v>1</v>
      </c>
      <c r="R33" s="113">
        <v>1</v>
      </c>
      <c r="S33" s="113">
        <v>1</v>
      </c>
      <c r="T33" s="113">
        <v>0</v>
      </c>
      <c r="U33" s="113">
        <v>1</v>
      </c>
      <c r="V33" s="113">
        <v>0</v>
      </c>
      <c r="W33" s="113">
        <v>1</v>
      </c>
      <c r="X33" s="113">
        <v>1</v>
      </c>
      <c r="Y33" s="113">
        <v>1</v>
      </c>
      <c r="Z33" s="113">
        <v>1</v>
      </c>
      <c r="AA33" s="113">
        <v>0</v>
      </c>
      <c r="AB33" s="113">
        <v>1</v>
      </c>
      <c r="AC33" s="113">
        <v>1</v>
      </c>
      <c r="AD33" s="113">
        <v>1</v>
      </c>
      <c r="AE33" s="113">
        <v>1</v>
      </c>
      <c r="AF33" s="113">
        <v>1</v>
      </c>
      <c r="AG33" s="113">
        <v>1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13">
        <v>0</v>
      </c>
      <c r="AX33" s="113">
        <v>0</v>
      </c>
      <c r="AY33" s="113">
        <v>0</v>
      </c>
      <c r="AZ33" s="113">
        <v>0</v>
      </c>
      <c r="BA33" s="113">
        <v>0</v>
      </c>
    </row>
    <row r="34" spans="1:53" x14ac:dyDescent="0.15">
      <c r="A34" s="193" t="s">
        <v>224</v>
      </c>
      <c r="B34" s="113">
        <v>0</v>
      </c>
      <c r="C34" s="113">
        <v>1</v>
      </c>
      <c r="D34" s="113">
        <v>0</v>
      </c>
      <c r="E34" s="113">
        <v>0</v>
      </c>
      <c r="F34" s="113">
        <v>1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1</v>
      </c>
      <c r="M34" s="113">
        <v>1</v>
      </c>
      <c r="N34" s="113">
        <v>1</v>
      </c>
      <c r="O34" s="113">
        <v>0</v>
      </c>
      <c r="P34" s="113">
        <v>0</v>
      </c>
      <c r="Q34" s="113">
        <v>1</v>
      </c>
      <c r="R34" s="113">
        <v>1</v>
      </c>
      <c r="S34" s="113">
        <v>1</v>
      </c>
      <c r="T34" s="113">
        <v>1</v>
      </c>
      <c r="U34" s="113">
        <v>0</v>
      </c>
      <c r="V34" s="113">
        <v>0</v>
      </c>
      <c r="W34" s="113">
        <v>1</v>
      </c>
      <c r="X34" s="113">
        <v>1</v>
      </c>
      <c r="Y34" s="113">
        <v>1</v>
      </c>
      <c r="Z34" s="113">
        <v>1</v>
      </c>
      <c r="AA34" s="113">
        <v>1</v>
      </c>
      <c r="AB34" s="113">
        <v>0</v>
      </c>
      <c r="AC34" s="113">
        <v>1</v>
      </c>
      <c r="AD34" s="113">
        <v>1</v>
      </c>
      <c r="AE34" s="113">
        <v>1</v>
      </c>
      <c r="AF34" s="113">
        <v>0</v>
      </c>
      <c r="AG34" s="113">
        <v>1</v>
      </c>
      <c r="AH34" s="113">
        <v>1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13">
        <v>0</v>
      </c>
      <c r="AX34" s="113">
        <v>0</v>
      </c>
      <c r="AY34" s="113">
        <v>0</v>
      </c>
      <c r="AZ34" s="113">
        <v>0</v>
      </c>
      <c r="BA34" s="113">
        <v>0</v>
      </c>
    </row>
    <row r="35" spans="1:53" x14ac:dyDescent="0.15">
      <c r="A35" s="193" t="s">
        <v>225</v>
      </c>
      <c r="B35" s="113">
        <v>0</v>
      </c>
      <c r="C35" s="113">
        <v>1</v>
      </c>
      <c r="D35" s="113">
        <v>0</v>
      </c>
      <c r="E35" s="113">
        <v>0</v>
      </c>
      <c r="F35" s="113">
        <v>0</v>
      </c>
      <c r="G35" s="113">
        <v>0</v>
      </c>
      <c r="H35" s="113">
        <v>1</v>
      </c>
      <c r="I35" s="113">
        <v>0</v>
      </c>
      <c r="J35" s="113">
        <v>0</v>
      </c>
      <c r="K35" s="113">
        <v>0</v>
      </c>
      <c r="L35" s="113">
        <v>1</v>
      </c>
      <c r="M35" s="113">
        <v>1</v>
      </c>
      <c r="N35" s="113">
        <v>1</v>
      </c>
      <c r="O35" s="113">
        <v>0</v>
      </c>
      <c r="P35" s="113">
        <v>1</v>
      </c>
      <c r="Q35" s="113">
        <v>1</v>
      </c>
      <c r="R35" s="113">
        <v>1</v>
      </c>
      <c r="S35" s="113">
        <v>1</v>
      </c>
      <c r="T35" s="113">
        <v>1</v>
      </c>
      <c r="U35" s="113">
        <v>1</v>
      </c>
      <c r="V35" s="113">
        <v>0</v>
      </c>
      <c r="W35" s="113">
        <v>1</v>
      </c>
      <c r="X35" s="113">
        <v>0</v>
      </c>
      <c r="Y35" s="113">
        <v>0</v>
      </c>
      <c r="Z35" s="113">
        <v>1</v>
      </c>
      <c r="AA35" s="113">
        <v>1</v>
      </c>
      <c r="AB35" s="113">
        <v>1</v>
      </c>
      <c r="AC35" s="113">
        <v>1</v>
      </c>
      <c r="AD35" s="113">
        <v>1</v>
      </c>
      <c r="AE35" s="113">
        <v>1</v>
      </c>
      <c r="AF35" s="113">
        <v>1</v>
      </c>
      <c r="AG35" s="113">
        <v>1</v>
      </c>
      <c r="AH35" s="113">
        <v>0</v>
      </c>
      <c r="AI35" s="113">
        <v>0</v>
      </c>
      <c r="AJ35" s="113">
        <v>0</v>
      </c>
      <c r="AK35" s="113">
        <v>1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  <c r="AU35" s="113">
        <v>0</v>
      </c>
      <c r="AV35" s="113">
        <v>0</v>
      </c>
      <c r="AW35" s="113">
        <v>0</v>
      </c>
      <c r="AX35" s="113">
        <v>0</v>
      </c>
      <c r="AY35" s="113">
        <v>0</v>
      </c>
      <c r="AZ35" s="113">
        <v>0</v>
      </c>
      <c r="BA35" s="113">
        <v>0</v>
      </c>
    </row>
    <row r="36" spans="1:53" x14ac:dyDescent="0.15">
      <c r="A36" s="193" t="s">
        <v>226</v>
      </c>
      <c r="B36" s="113">
        <v>0</v>
      </c>
      <c r="C36" s="113">
        <v>1</v>
      </c>
      <c r="D36" s="113">
        <v>0</v>
      </c>
      <c r="E36" s="113">
        <v>0</v>
      </c>
      <c r="F36" s="113">
        <v>0</v>
      </c>
      <c r="G36" s="113">
        <v>0</v>
      </c>
      <c r="H36" s="113">
        <v>1</v>
      </c>
      <c r="I36" s="113">
        <v>0</v>
      </c>
      <c r="J36" s="113">
        <v>0</v>
      </c>
      <c r="K36" s="113">
        <v>1</v>
      </c>
      <c r="L36" s="113">
        <v>1</v>
      </c>
      <c r="M36" s="113">
        <v>1</v>
      </c>
      <c r="N36" s="113">
        <v>1</v>
      </c>
      <c r="O36" s="113">
        <v>0</v>
      </c>
      <c r="P36" s="113">
        <v>1</v>
      </c>
      <c r="Q36" s="113">
        <v>1</v>
      </c>
      <c r="R36" s="113">
        <v>1</v>
      </c>
      <c r="S36" s="113">
        <v>0</v>
      </c>
      <c r="T36" s="113">
        <v>1</v>
      </c>
      <c r="U36" s="113">
        <v>1</v>
      </c>
      <c r="V36" s="113">
        <v>0</v>
      </c>
      <c r="W36" s="113">
        <v>1</v>
      </c>
      <c r="X36" s="113">
        <v>0</v>
      </c>
      <c r="Y36" s="113">
        <v>0</v>
      </c>
      <c r="Z36" s="113">
        <v>1</v>
      </c>
      <c r="AA36" s="113">
        <v>1</v>
      </c>
      <c r="AB36" s="113">
        <v>1</v>
      </c>
      <c r="AC36" s="113">
        <v>1</v>
      </c>
      <c r="AD36" s="113">
        <v>1</v>
      </c>
      <c r="AE36" s="113">
        <v>0</v>
      </c>
      <c r="AF36" s="113">
        <v>1</v>
      </c>
      <c r="AG36" s="113">
        <v>1</v>
      </c>
      <c r="AH36" s="113">
        <v>0</v>
      </c>
      <c r="AI36" s="113">
        <v>0</v>
      </c>
      <c r="AJ36" s="113">
        <v>0</v>
      </c>
      <c r="AK36" s="113">
        <v>1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  <c r="AY36" s="113">
        <v>0</v>
      </c>
      <c r="AZ36" s="113">
        <v>0</v>
      </c>
      <c r="BA36" s="113">
        <v>0</v>
      </c>
    </row>
    <row r="37" spans="1:53" x14ac:dyDescent="0.15">
      <c r="A37" s="193" t="s">
        <v>227</v>
      </c>
      <c r="B37" s="113">
        <v>0</v>
      </c>
      <c r="C37" s="113">
        <v>1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1</v>
      </c>
      <c r="L37" s="113">
        <v>1</v>
      </c>
      <c r="M37" s="113">
        <v>1</v>
      </c>
      <c r="N37" s="113">
        <v>0</v>
      </c>
      <c r="O37" s="113">
        <v>0</v>
      </c>
      <c r="P37" s="113">
        <v>0</v>
      </c>
      <c r="Q37" s="113">
        <v>1</v>
      </c>
      <c r="R37" s="113">
        <v>1</v>
      </c>
      <c r="S37" s="113">
        <v>0</v>
      </c>
      <c r="T37" s="113">
        <v>0</v>
      </c>
      <c r="U37" s="113">
        <v>0</v>
      </c>
      <c r="V37" s="113">
        <v>0</v>
      </c>
      <c r="W37" s="113">
        <v>1</v>
      </c>
      <c r="X37" s="113">
        <v>1</v>
      </c>
      <c r="Y37" s="113">
        <v>0</v>
      </c>
      <c r="Z37" s="113">
        <v>1</v>
      </c>
      <c r="AA37" s="113">
        <v>1</v>
      </c>
      <c r="AB37" s="113">
        <v>1</v>
      </c>
      <c r="AC37" s="113">
        <v>0</v>
      </c>
      <c r="AD37" s="113">
        <v>1</v>
      </c>
      <c r="AE37" s="113">
        <v>0</v>
      </c>
      <c r="AF37" s="113">
        <v>0</v>
      </c>
      <c r="AG37" s="113">
        <v>1</v>
      </c>
      <c r="AH37" s="113">
        <v>0</v>
      </c>
      <c r="AI37" s="113">
        <v>0</v>
      </c>
      <c r="AJ37" s="113">
        <v>0</v>
      </c>
      <c r="AK37" s="113">
        <v>0</v>
      </c>
      <c r="AL37" s="113">
        <v>0</v>
      </c>
      <c r="AM37" s="113">
        <v>0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  <c r="AY37" s="113">
        <v>0</v>
      </c>
      <c r="AZ37" s="113">
        <v>0</v>
      </c>
      <c r="BA37" s="113">
        <v>0</v>
      </c>
    </row>
    <row r="38" spans="1:53" x14ac:dyDescent="0.15">
      <c r="A38" s="193" t="s">
        <v>228</v>
      </c>
      <c r="B38" s="113">
        <v>0</v>
      </c>
      <c r="C38" s="113">
        <v>1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1</v>
      </c>
      <c r="O38" s="113">
        <v>0</v>
      </c>
      <c r="P38" s="113">
        <v>0</v>
      </c>
      <c r="Q38" s="113">
        <v>1</v>
      </c>
      <c r="R38" s="113">
        <v>0</v>
      </c>
      <c r="S38" s="113">
        <v>0</v>
      </c>
      <c r="T38" s="113">
        <v>0</v>
      </c>
      <c r="U38" s="113">
        <v>1</v>
      </c>
      <c r="V38" s="113">
        <v>0</v>
      </c>
      <c r="W38" s="113">
        <v>0</v>
      </c>
      <c r="X38" s="113">
        <v>0</v>
      </c>
      <c r="Y38" s="113">
        <v>0</v>
      </c>
      <c r="Z38" s="113">
        <v>1</v>
      </c>
      <c r="AA38" s="113">
        <v>1</v>
      </c>
      <c r="AB38" s="113">
        <v>1</v>
      </c>
      <c r="AC38" s="113">
        <v>1</v>
      </c>
      <c r="AD38" s="113">
        <v>1</v>
      </c>
      <c r="AE38" s="113">
        <v>0</v>
      </c>
      <c r="AF38" s="113">
        <v>0</v>
      </c>
      <c r="AG38" s="113">
        <v>1</v>
      </c>
      <c r="AH38" s="113">
        <v>0</v>
      </c>
      <c r="AI38" s="113">
        <v>1</v>
      </c>
      <c r="AJ38" s="113">
        <v>0</v>
      </c>
      <c r="AK38" s="113">
        <v>0</v>
      </c>
      <c r="AL38" s="113">
        <v>0</v>
      </c>
      <c r="AM38" s="113">
        <v>0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  <c r="AY38" s="113">
        <v>0</v>
      </c>
      <c r="AZ38" s="113">
        <v>0</v>
      </c>
      <c r="BA38" s="113">
        <v>0</v>
      </c>
    </row>
    <row r="39" spans="1:53" x14ac:dyDescent="0.15">
      <c r="A39" s="193" t="s">
        <v>229</v>
      </c>
      <c r="B39" s="113">
        <v>1</v>
      </c>
      <c r="C39" s="113">
        <v>1</v>
      </c>
      <c r="D39" s="113">
        <v>1</v>
      </c>
      <c r="E39" s="113">
        <v>1</v>
      </c>
      <c r="F39" s="113">
        <v>0</v>
      </c>
      <c r="G39" s="113">
        <v>1</v>
      </c>
      <c r="H39" s="113">
        <v>1</v>
      </c>
      <c r="I39" s="113">
        <v>0</v>
      </c>
      <c r="J39" s="113">
        <v>0</v>
      </c>
      <c r="K39" s="113">
        <v>1</v>
      </c>
      <c r="L39" s="113">
        <v>1</v>
      </c>
      <c r="M39" s="113">
        <v>1</v>
      </c>
      <c r="N39" s="113">
        <v>1</v>
      </c>
      <c r="O39" s="113">
        <v>1</v>
      </c>
      <c r="P39" s="113">
        <v>1</v>
      </c>
      <c r="Q39" s="113">
        <v>1</v>
      </c>
      <c r="R39" s="113">
        <v>1</v>
      </c>
      <c r="S39" s="113">
        <v>1</v>
      </c>
      <c r="T39" s="113">
        <v>0</v>
      </c>
      <c r="U39" s="113">
        <v>1</v>
      </c>
      <c r="V39" s="113">
        <v>1</v>
      </c>
      <c r="W39" s="113">
        <v>1</v>
      </c>
      <c r="X39" s="113">
        <v>1</v>
      </c>
      <c r="Y39" s="113">
        <v>1</v>
      </c>
      <c r="Z39" s="113">
        <v>1</v>
      </c>
      <c r="AA39" s="113">
        <v>0</v>
      </c>
      <c r="AB39" s="113">
        <v>1</v>
      </c>
      <c r="AC39" s="113">
        <v>1</v>
      </c>
      <c r="AD39" s="113">
        <v>1</v>
      </c>
      <c r="AE39" s="113">
        <v>1</v>
      </c>
      <c r="AF39" s="113">
        <v>1</v>
      </c>
      <c r="AG39" s="113">
        <v>0</v>
      </c>
      <c r="AH39" s="113">
        <v>0</v>
      </c>
      <c r="AI39" s="113">
        <v>0</v>
      </c>
      <c r="AJ39" s="113">
        <v>0</v>
      </c>
      <c r="AK39" s="113">
        <v>0</v>
      </c>
      <c r="AL39" s="113">
        <v>0</v>
      </c>
      <c r="AM39" s="113">
        <v>1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  <c r="AY39" s="113">
        <v>0</v>
      </c>
      <c r="AZ39" s="113">
        <v>0</v>
      </c>
      <c r="BA39" s="113">
        <v>0</v>
      </c>
    </row>
    <row r="40" spans="1:53" x14ac:dyDescent="0.15">
      <c r="A40" s="193" t="s">
        <v>230</v>
      </c>
      <c r="B40" s="113">
        <v>0</v>
      </c>
      <c r="C40" s="113">
        <v>1</v>
      </c>
      <c r="D40" s="113">
        <v>0</v>
      </c>
      <c r="E40" s="113">
        <v>0</v>
      </c>
      <c r="F40" s="113">
        <v>1</v>
      </c>
      <c r="G40" s="113">
        <v>1</v>
      </c>
      <c r="H40" s="113">
        <v>0</v>
      </c>
      <c r="I40" s="113">
        <v>0</v>
      </c>
      <c r="J40" s="113">
        <v>0</v>
      </c>
      <c r="K40" s="113">
        <v>0</v>
      </c>
      <c r="L40" s="113">
        <v>1</v>
      </c>
      <c r="M40" s="113">
        <v>1</v>
      </c>
      <c r="N40" s="113">
        <v>1</v>
      </c>
      <c r="O40" s="113">
        <v>0</v>
      </c>
      <c r="P40" s="113">
        <v>0</v>
      </c>
      <c r="Q40" s="113">
        <v>1</v>
      </c>
      <c r="R40" s="113">
        <v>1</v>
      </c>
      <c r="S40" s="113">
        <v>1</v>
      </c>
      <c r="T40" s="113">
        <v>1</v>
      </c>
      <c r="U40" s="113">
        <v>0</v>
      </c>
      <c r="V40" s="113">
        <v>0</v>
      </c>
      <c r="W40" s="113">
        <v>1</v>
      </c>
      <c r="X40" s="113">
        <v>1</v>
      </c>
      <c r="Y40" s="113">
        <v>1</v>
      </c>
      <c r="Z40" s="113">
        <v>1</v>
      </c>
      <c r="AA40" s="113">
        <v>1</v>
      </c>
      <c r="AB40" s="113">
        <v>0</v>
      </c>
      <c r="AC40" s="113">
        <v>1</v>
      </c>
      <c r="AD40" s="113">
        <v>1</v>
      </c>
      <c r="AE40" s="113">
        <v>1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3">
        <v>0</v>
      </c>
      <c r="AM40" s="113">
        <v>1</v>
      </c>
      <c r="AN40" s="113">
        <v>0</v>
      </c>
      <c r="AO40" s="113">
        <v>0</v>
      </c>
      <c r="AP40" s="113">
        <v>0</v>
      </c>
      <c r="AQ40" s="113">
        <v>1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  <c r="AY40" s="113">
        <v>0</v>
      </c>
      <c r="AZ40" s="113">
        <v>0</v>
      </c>
      <c r="BA40" s="113">
        <v>0</v>
      </c>
    </row>
    <row r="41" spans="1:53" x14ac:dyDescent="0.15">
      <c r="A41" s="193" t="s">
        <v>231</v>
      </c>
      <c r="B41" s="113">
        <v>0</v>
      </c>
      <c r="C41" s="113">
        <v>0</v>
      </c>
      <c r="D41" s="113">
        <v>0</v>
      </c>
      <c r="E41" s="113">
        <v>0</v>
      </c>
      <c r="F41" s="113">
        <v>0</v>
      </c>
      <c r="G41" s="113">
        <v>1</v>
      </c>
      <c r="H41" s="113">
        <v>1</v>
      </c>
      <c r="I41" s="113">
        <v>0</v>
      </c>
      <c r="J41" s="113">
        <v>0</v>
      </c>
      <c r="K41" s="113">
        <v>1</v>
      </c>
      <c r="L41" s="113">
        <v>1</v>
      </c>
      <c r="M41" s="113">
        <v>1</v>
      </c>
      <c r="N41" s="113">
        <v>1</v>
      </c>
      <c r="O41" s="113">
        <v>0</v>
      </c>
      <c r="P41" s="113">
        <v>1</v>
      </c>
      <c r="Q41" s="113">
        <v>1</v>
      </c>
      <c r="R41" s="113">
        <v>1</v>
      </c>
      <c r="S41" s="113">
        <v>1</v>
      </c>
      <c r="T41" s="113">
        <v>1</v>
      </c>
      <c r="U41" s="113">
        <v>1</v>
      </c>
      <c r="V41" s="113">
        <v>0</v>
      </c>
      <c r="W41" s="113">
        <v>1</v>
      </c>
      <c r="X41" s="113">
        <v>0</v>
      </c>
      <c r="Y41" s="113">
        <v>0</v>
      </c>
      <c r="Z41" s="113">
        <v>1</v>
      </c>
      <c r="AA41" s="113">
        <v>1</v>
      </c>
      <c r="AB41" s="113">
        <v>1</v>
      </c>
      <c r="AC41" s="113">
        <v>1</v>
      </c>
      <c r="AD41" s="113">
        <v>1</v>
      </c>
      <c r="AE41" s="113">
        <v>1</v>
      </c>
      <c r="AF41" s="113">
        <v>1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1</v>
      </c>
      <c r="AN41" s="113">
        <v>0</v>
      </c>
      <c r="AO41" s="113">
        <v>0</v>
      </c>
      <c r="AP41" s="113">
        <v>0</v>
      </c>
      <c r="AQ41" s="113">
        <v>1</v>
      </c>
      <c r="AR41" s="113">
        <v>0</v>
      </c>
      <c r="AS41" s="113">
        <v>0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  <c r="AY41" s="113">
        <v>0</v>
      </c>
      <c r="AZ41" s="113">
        <v>0</v>
      </c>
      <c r="BA41" s="113">
        <v>0</v>
      </c>
    </row>
    <row r="42" spans="1:53" x14ac:dyDescent="0.15">
      <c r="A42" s="193" t="s">
        <v>232</v>
      </c>
      <c r="B42" s="113">
        <v>0</v>
      </c>
      <c r="C42" s="113">
        <v>0</v>
      </c>
      <c r="D42" s="113">
        <v>0</v>
      </c>
      <c r="E42" s="113">
        <v>0</v>
      </c>
      <c r="F42" s="113">
        <v>0</v>
      </c>
      <c r="G42" s="113">
        <v>1</v>
      </c>
      <c r="H42" s="113">
        <v>1</v>
      </c>
      <c r="I42" s="113">
        <v>0</v>
      </c>
      <c r="J42" s="113">
        <v>0</v>
      </c>
      <c r="K42" s="113">
        <v>1</v>
      </c>
      <c r="L42" s="113">
        <v>1</v>
      </c>
      <c r="M42" s="113">
        <v>1</v>
      </c>
      <c r="N42" s="113">
        <v>1</v>
      </c>
      <c r="O42" s="113">
        <v>0</v>
      </c>
      <c r="P42" s="113">
        <v>1</v>
      </c>
      <c r="Q42" s="113">
        <v>1</v>
      </c>
      <c r="R42" s="113">
        <v>1</v>
      </c>
      <c r="S42" s="113">
        <v>0</v>
      </c>
      <c r="T42" s="113">
        <v>1</v>
      </c>
      <c r="U42" s="113">
        <v>1</v>
      </c>
      <c r="V42" s="113">
        <v>1</v>
      </c>
      <c r="W42" s="113">
        <v>1</v>
      </c>
      <c r="X42" s="113">
        <v>0</v>
      </c>
      <c r="Y42" s="113">
        <v>0</v>
      </c>
      <c r="Z42" s="113">
        <v>1</v>
      </c>
      <c r="AA42" s="113">
        <v>1</v>
      </c>
      <c r="AB42" s="113">
        <v>1</v>
      </c>
      <c r="AC42" s="113">
        <v>1</v>
      </c>
      <c r="AD42" s="113">
        <v>1</v>
      </c>
      <c r="AE42" s="113">
        <v>0</v>
      </c>
      <c r="AF42" s="113">
        <v>1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1</v>
      </c>
      <c r="AN42" s="113">
        <v>0</v>
      </c>
      <c r="AO42" s="113">
        <v>0</v>
      </c>
      <c r="AP42" s="113">
        <v>0</v>
      </c>
      <c r="AQ42" s="113">
        <v>1</v>
      </c>
      <c r="AR42" s="113">
        <v>0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  <c r="AY42" s="113">
        <v>0</v>
      </c>
      <c r="AZ42" s="113">
        <v>0</v>
      </c>
      <c r="BA42" s="113">
        <v>0</v>
      </c>
    </row>
    <row r="43" spans="1:53" x14ac:dyDescent="0.15">
      <c r="A43" s="193" t="s">
        <v>233</v>
      </c>
      <c r="B43" s="113">
        <v>0</v>
      </c>
      <c r="C43" s="113">
        <v>1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1</v>
      </c>
      <c r="L43" s="113">
        <v>1</v>
      </c>
      <c r="M43" s="113">
        <v>1</v>
      </c>
      <c r="N43" s="113">
        <v>0</v>
      </c>
      <c r="O43" s="113">
        <v>0</v>
      </c>
      <c r="P43" s="113">
        <v>0</v>
      </c>
      <c r="Q43" s="113">
        <v>1</v>
      </c>
      <c r="R43" s="113">
        <v>1</v>
      </c>
      <c r="S43" s="113">
        <v>0</v>
      </c>
      <c r="T43" s="113">
        <v>0</v>
      </c>
      <c r="U43" s="113">
        <v>0</v>
      </c>
      <c r="V43" s="113">
        <v>1</v>
      </c>
      <c r="W43" s="113">
        <v>1</v>
      </c>
      <c r="X43" s="113">
        <v>1</v>
      </c>
      <c r="Y43" s="113">
        <v>0</v>
      </c>
      <c r="Z43" s="113">
        <v>1</v>
      </c>
      <c r="AA43" s="113">
        <v>1</v>
      </c>
      <c r="AB43" s="113">
        <v>1</v>
      </c>
      <c r="AC43" s="113">
        <v>1</v>
      </c>
      <c r="AD43" s="113">
        <v>1</v>
      </c>
      <c r="AE43" s="113">
        <v>0</v>
      </c>
      <c r="AF43" s="113">
        <v>0</v>
      </c>
      <c r="AG43" s="113">
        <v>0</v>
      </c>
      <c r="AH43" s="113">
        <v>0</v>
      </c>
      <c r="AI43" s="113">
        <v>0</v>
      </c>
      <c r="AJ43" s="113">
        <v>0</v>
      </c>
      <c r="AK43" s="113">
        <v>0</v>
      </c>
      <c r="AL43" s="113">
        <v>0</v>
      </c>
      <c r="AM43" s="113">
        <v>1</v>
      </c>
      <c r="AN43" s="113">
        <v>0</v>
      </c>
      <c r="AO43" s="113">
        <v>0</v>
      </c>
      <c r="AP43" s="113">
        <v>0</v>
      </c>
      <c r="AQ43" s="113">
        <v>0</v>
      </c>
      <c r="AR43" s="113">
        <v>0</v>
      </c>
      <c r="AS43" s="113">
        <v>0</v>
      </c>
      <c r="AT43" s="113">
        <v>0</v>
      </c>
      <c r="AU43" s="113">
        <v>0</v>
      </c>
      <c r="AV43" s="113">
        <v>0</v>
      </c>
      <c r="AW43" s="113">
        <v>0</v>
      </c>
      <c r="AX43" s="113">
        <v>0</v>
      </c>
      <c r="AY43" s="113">
        <v>0</v>
      </c>
      <c r="AZ43" s="113">
        <v>0</v>
      </c>
      <c r="BA43" s="113">
        <v>0</v>
      </c>
    </row>
    <row r="44" spans="1:53" x14ac:dyDescent="0.15">
      <c r="A44" s="193" t="s">
        <v>234</v>
      </c>
      <c r="B44" s="113">
        <v>0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</v>
      </c>
      <c r="N44" s="113">
        <v>1</v>
      </c>
      <c r="O44" s="113">
        <v>0</v>
      </c>
      <c r="P44" s="113">
        <v>0</v>
      </c>
      <c r="Q44" s="113">
        <v>1</v>
      </c>
      <c r="R44" s="113">
        <v>0</v>
      </c>
      <c r="S44" s="113">
        <v>0</v>
      </c>
      <c r="T44" s="113">
        <v>0</v>
      </c>
      <c r="U44" s="113">
        <v>1</v>
      </c>
      <c r="V44" s="113">
        <v>0</v>
      </c>
      <c r="W44" s="113">
        <v>0</v>
      </c>
      <c r="X44" s="113">
        <v>0</v>
      </c>
      <c r="Y44" s="113">
        <v>0</v>
      </c>
      <c r="Z44" s="113">
        <v>1</v>
      </c>
      <c r="AA44" s="113">
        <v>1</v>
      </c>
      <c r="AB44" s="113">
        <v>1</v>
      </c>
      <c r="AC44" s="113">
        <v>1</v>
      </c>
      <c r="AD44" s="113">
        <v>1</v>
      </c>
      <c r="AE44" s="113">
        <v>0</v>
      </c>
      <c r="AF44" s="113">
        <v>0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1</v>
      </c>
      <c r="AN44" s="113">
        <v>0</v>
      </c>
      <c r="AO44" s="113">
        <v>1</v>
      </c>
      <c r="AP44" s="113">
        <v>0</v>
      </c>
      <c r="AQ44" s="113">
        <v>1</v>
      </c>
      <c r="AR44" s="113">
        <v>0</v>
      </c>
      <c r="AS44" s="113">
        <v>0</v>
      </c>
      <c r="AT44" s="113">
        <v>0</v>
      </c>
      <c r="AU44" s="113">
        <v>0</v>
      </c>
      <c r="AV44" s="113">
        <v>0</v>
      </c>
      <c r="AW44" s="113">
        <v>0</v>
      </c>
      <c r="AX44" s="113">
        <v>0</v>
      </c>
      <c r="AY44" s="113">
        <v>0</v>
      </c>
      <c r="AZ44" s="113">
        <v>0</v>
      </c>
      <c r="BA44" s="113">
        <v>0</v>
      </c>
    </row>
    <row r="45" spans="1:53" x14ac:dyDescent="0.15">
      <c r="A45" s="193" t="s">
        <v>235</v>
      </c>
      <c r="B45" s="113">
        <v>0</v>
      </c>
      <c r="C45" s="113">
        <v>0</v>
      </c>
      <c r="D45" s="113">
        <v>0</v>
      </c>
      <c r="E45" s="113">
        <v>1</v>
      </c>
      <c r="F45" s="113">
        <v>0</v>
      </c>
      <c r="G45" s="113">
        <v>0</v>
      </c>
      <c r="H45" s="113">
        <v>1</v>
      </c>
      <c r="I45" s="113">
        <v>1</v>
      </c>
      <c r="J45" s="113">
        <v>1</v>
      </c>
      <c r="K45" s="113">
        <v>1</v>
      </c>
      <c r="L45" s="113">
        <v>1</v>
      </c>
      <c r="M45" s="113">
        <v>1</v>
      </c>
      <c r="N45" s="113">
        <v>1</v>
      </c>
      <c r="O45" s="113">
        <v>0</v>
      </c>
      <c r="P45" s="113">
        <v>1</v>
      </c>
      <c r="Q45" s="113">
        <v>0</v>
      </c>
      <c r="R45" s="113">
        <v>0</v>
      </c>
      <c r="S45" s="113">
        <v>0</v>
      </c>
      <c r="T45" s="113">
        <v>0</v>
      </c>
      <c r="U45" s="113">
        <v>0</v>
      </c>
      <c r="V45" s="113">
        <v>1</v>
      </c>
      <c r="W45" s="113">
        <v>1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1</v>
      </c>
      <c r="AD45" s="113">
        <v>1</v>
      </c>
      <c r="AE45" s="113">
        <v>0</v>
      </c>
      <c r="AF45" s="113">
        <v>0</v>
      </c>
      <c r="AG45" s="113">
        <v>0</v>
      </c>
      <c r="AH45" s="113">
        <v>0</v>
      </c>
      <c r="AI45" s="113">
        <v>0</v>
      </c>
      <c r="AJ45" s="113">
        <v>0</v>
      </c>
      <c r="AK45" s="113">
        <v>0</v>
      </c>
      <c r="AL45" s="113">
        <v>0</v>
      </c>
      <c r="AM45" s="113">
        <v>0</v>
      </c>
      <c r="AN45" s="113">
        <v>0</v>
      </c>
      <c r="AO45" s="113">
        <v>0</v>
      </c>
      <c r="AP45" s="113">
        <v>1</v>
      </c>
      <c r="AQ45" s="113">
        <v>0</v>
      </c>
      <c r="AR45" s="113">
        <v>0</v>
      </c>
      <c r="AS45" s="113">
        <v>0</v>
      </c>
      <c r="AT45" s="113">
        <v>1</v>
      </c>
      <c r="AU45" s="113">
        <v>0</v>
      </c>
      <c r="AV45" s="113">
        <v>0</v>
      </c>
      <c r="AW45" s="113">
        <v>0</v>
      </c>
      <c r="AX45" s="113">
        <v>0</v>
      </c>
      <c r="AY45" s="113">
        <v>0</v>
      </c>
      <c r="AZ45" s="113">
        <v>0</v>
      </c>
      <c r="BA45" s="113">
        <v>0</v>
      </c>
    </row>
    <row r="46" spans="1:53" x14ac:dyDescent="0.15">
      <c r="A46" s="193" t="s">
        <v>236</v>
      </c>
      <c r="B46" s="113">
        <v>0</v>
      </c>
      <c r="C46" s="113">
        <v>0</v>
      </c>
      <c r="D46" s="113">
        <v>1</v>
      </c>
      <c r="E46" s="113">
        <v>1</v>
      </c>
      <c r="F46" s="113">
        <v>0</v>
      </c>
      <c r="G46" s="113">
        <v>1</v>
      </c>
      <c r="H46" s="113">
        <v>1</v>
      </c>
      <c r="I46" s="113">
        <v>0</v>
      </c>
      <c r="J46" s="113">
        <v>0</v>
      </c>
      <c r="K46" s="113">
        <v>1</v>
      </c>
      <c r="L46" s="113">
        <v>0</v>
      </c>
      <c r="M46" s="113">
        <v>1</v>
      </c>
      <c r="N46" s="113">
        <v>1</v>
      </c>
      <c r="O46" s="113">
        <v>0</v>
      </c>
      <c r="P46" s="113">
        <v>1</v>
      </c>
      <c r="Q46" s="113">
        <v>0</v>
      </c>
      <c r="R46" s="113">
        <v>0</v>
      </c>
      <c r="S46" s="113">
        <v>1</v>
      </c>
      <c r="T46" s="113">
        <v>0</v>
      </c>
      <c r="U46" s="113">
        <v>1</v>
      </c>
      <c r="V46" s="113">
        <v>1</v>
      </c>
      <c r="W46" s="113">
        <v>1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1</v>
      </c>
      <c r="AD46" s="113">
        <v>1</v>
      </c>
      <c r="AE46" s="113">
        <v>0</v>
      </c>
      <c r="AF46" s="113">
        <v>1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</v>
      </c>
      <c r="AM46" s="113">
        <v>0</v>
      </c>
      <c r="AN46" s="113">
        <v>0</v>
      </c>
      <c r="AO46" s="113">
        <v>0</v>
      </c>
      <c r="AP46" s="113">
        <v>0</v>
      </c>
      <c r="AQ46" s="113">
        <v>0</v>
      </c>
      <c r="AR46" s="113">
        <v>0</v>
      </c>
      <c r="AS46" s="113">
        <v>0</v>
      </c>
      <c r="AT46" s="113">
        <v>1</v>
      </c>
      <c r="AU46" s="113">
        <v>0</v>
      </c>
      <c r="AV46" s="113">
        <v>0</v>
      </c>
      <c r="AW46" s="113">
        <v>0</v>
      </c>
      <c r="AX46" s="113">
        <v>0</v>
      </c>
      <c r="AY46" s="113">
        <v>0</v>
      </c>
      <c r="AZ46" s="113">
        <v>0</v>
      </c>
      <c r="BA46" s="113">
        <v>0</v>
      </c>
    </row>
    <row r="47" spans="1:53" x14ac:dyDescent="0.15">
      <c r="A47" s="193" t="s">
        <v>237</v>
      </c>
      <c r="B47" s="113">
        <v>0</v>
      </c>
      <c r="C47" s="113">
        <v>0</v>
      </c>
      <c r="D47" s="113">
        <v>0</v>
      </c>
      <c r="E47" s="113">
        <v>1</v>
      </c>
      <c r="F47" s="113">
        <v>0</v>
      </c>
      <c r="G47" s="113">
        <v>0</v>
      </c>
      <c r="H47" s="113">
        <v>1</v>
      </c>
      <c r="I47" s="113">
        <v>0</v>
      </c>
      <c r="J47" s="113">
        <v>1</v>
      </c>
      <c r="K47" s="113">
        <v>1</v>
      </c>
      <c r="L47" s="113">
        <v>1</v>
      </c>
      <c r="M47" s="113">
        <v>1</v>
      </c>
      <c r="N47" s="113">
        <v>1</v>
      </c>
      <c r="O47" s="113">
        <v>0</v>
      </c>
      <c r="P47" s="113">
        <v>1</v>
      </c>
      <c r="Q47" s="113">
        <v>0</v>
      </c>
      <c r="R47" s="113">
        <v>0</v>
      </c>
      <c r="S47" s="113">
        <v>0</v>
      </c>
      <c r="T47" s="113">
        <v>0</v>
      </c>
      <c r="U47" s="113">
        <v>0</v>
      </c>
      <c r="V47" s="113">
        <v>0</v>
      </c>
      <c r="W47" s="113">
        <v>1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113">
        <v>1</v>
      </c>
      <c r="AE47" s="113">
        <v>0</v>
      </c>
      <c r="AF47" s="113">
        <v>0</v>
      </c>
      <c r="AG47" s="113">
        <v>0</v>
      </c>
      <c r="AH47" s="113">
        <v>0</v>
      </c>
      <c r="AI47" s="113">
        <v>0</v>
      </c>
      <c r="AJ47" s="113">
        <v>1</v>
      </c>
      <c r="AK47" s="113">
        <v>0</v>
      </c>
      <c r="AL47" s="113">
        <v>0</v>
      </c>
      <c r="AM47" s="113">
        <v>0</v>
      </c>
      <c r="AN47" s="113">
        <v>0</v>
      </c>
      <c r="AO47" s="113">
        <v>0</v>
      </c>
      <c r="AP47" s="113">
        <v>0</v>
      </c>
      <c r="AQ47" s="113">
        <v>0</v>
      </c>
      <c r="AR47" s="113">
        <v>0</v>
      </c>
      <c r="AS47" s="113">
        <v>0</v>
      </c>
      <c r="AT47" s="113">
        <v>0</v>
      </c>
      <c r="AU47" s="113">
        <v>0</v>
      </c>
      <c r="AV47" s="113">
        <v>1</v>
      </c>
      <c r="AW47" s="113">
        <v>0</v>
      </c>
      <c r="AX47" s="113">
        <v>0</v>
      </c>
      <c r="AY47" s="113">
        <v>0</v>
      </c>
      <c r="AZ47" s="113">
        <v>0</v>
      </c>
      <c r="BA47" s="113">
        <v>0</v>
      </c>
    </row>
    <row r="48" spans="1:53" x14ac:dyDescent="0.15">
      <c r="A48" s="193" t="s">
        <v>238</v>
      </c>
      <c r="B48" s="113">
        <v>0</v>
      </c>
      <c r="C48" s="113">
        <v>0</v>
      </c>
      <c r="D48" s="113">
        <v>1</v>
      </c>
      <c r="E48" s="113">
        <v>1</v>
      </c>
      <c r="F48" s="113">
        <v>0</v>
      </c>
      <c r="G48" s="113">
        <v>0</v>
      </c>
      <c r="H48" s="113">
        <v>1</v>
      </c>
      <c r="I48" s="113">
        <v>0</v>
      </c>
      <c r="J48" s="113">
        <v>0</v>
      </c>
      <c r="K48" s="113">
        <v>1</v>
      </c>
      <c r="L48" s="113">
        <v>0</v>
      </c>
      <c r="M48" s="113">
        <v>1</v>
      </c>
      <c r="N48" s="113">
        <v>1</v>
      </c>
      <c r="O48" s="113">
        <v>0</v>
      </c>
      <c r="P48" s="113">
        <v>1</v>
      </c>
      <c r="Q48" s="113">
        <v>0</v>
      </c>
      <c r="R48" s="113">
        <v>0</v>
      </c>
      <c r="S48" s="113">
        <v>0</v>
      </c>
      <c r="T48" s="113">
        <v>0</v>
      </c>
      <c r="U48" s="113">
        <v>1</v>
      </c>
      <c r="V48" s="113">
        <v>0</v>
      </c>
      <c r="W48" s="113">
        <v>1</v>
      </c>
      <c r="X48" s="113">
        <v>0</v>
      </c>
      <c r="Y48" s="113">
        <v>0</v>
      </c>
      <c r="Z48" s="113">
        <v>0</v>
      </c>
      <c r="AA48" s="113">
        <v>0</v>
      </c>
      <c r="AB48" s="113">
        <v>0</v>
      </c>
      <c r="AC48" s="113">
        <v>1</v>
      </c>
      <c r="AD48" s="113">
        <v>1</v>
      </c>
      <c r="AE48" s="113">
        <v>0</v>
      </c>
      <c r="AF48" s="113">
        <v>1</v>
      </c>
      <c r="AG48" s="113">
        <v>0</v>
      </c>
      <c r="AH48" s="113">
        <v>0</v>
      </c>
      <c r="AI48" s="113">
        <v>0</v>
      </c>
      <c r="AJ48" s="113">
        <v>0</v>
      </c>
      <c r="AK48" s="113">
        <v>0</v>
      </c>
      <c r="AL48" s="113">
        <v>0</v>
      </c>
      <c r="AM48" s="113">
        <v>0</v>
      </c>
      <c r="AN48" s="113">
        <v>0</v>
      </c>
      <c r="AO48" s="113">
        <v>0</v>
      </c>
      <c r="AP48" s="113">
        <v>0</v>
      </c>
      <c r="AQ48" s="113">
        <v>0</v>
      </c>
      <c r="AR48" s="113">
        <v>0</v>
      </c>
      <c r="AS48" s="113">
        <v>0</v>
      </c>
      <c r="AT48" s="113">
        <v>0</v>
      </c>
      <c r="AU48" s="113">
        <v>0</v>
      </c>
      <c r="AV48" s="113">
        <v>1</v>
      </c>
      <c r="AW48" s="113">
        <v>0</v>
      </c>
      <c r="AX48" s="113">
        <v>0</v>
      </c>
      <c r="AY48" s="113">
        <v>0</v>
      </c>
      <c r="AZ48" s="113">
        <v>0</v>
      </c>
      <c r="BA48" s="113">
        <v>0</v>
      </c>
    </row>
    <row r="49" spans="1:53" x14ac:dyDescent="0.15">
      <c r="A49" s="193" t="s">
        <v>239</v>
      </c>
      <c r="B49" s="113">
        <v>0</v>
      </c>
      <c r="C49" s="113">
        <v>0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0</v>
      </c>
      <c r="J49" s="113">
        <v>1</v>
      </c>
      <c r="K49" s="113">
        <v>0</v>
      </c>
      <c r="L49" s="113">
        <v>0</v>
      </c>
      <c r="M49" s="113">
        <v>1</v>
      </c>
      <c r="N49" s="113">
        <v>0</v>
      </c>
      <c r="O49" s="113">
        <v>0</v>
      </c>
      <c r="P49" s="113">
        <v>0</v>
      </c>
      <c r="Q49" s="113">
        <v>0</v>
      </c>
      <c r="R49" s="113">
        <v>0</v>
      </c>
      <c r="S49" s="113">
        <v>0</v>
      </c>
      <c r="T49" s="113">
        <v>0</v>
      </c>
      <c r="U49" s="113">
        <v>0</v>
      </c>
      <c r="V49" s="113">
        <v>0</v>
      </c>
      <c r="W49" s="113">
        <v>0</v>
      </c>
      <c r="X49" s="113">
        <v>0</v>
      </c>
      <c r="Y49" s="113">
        <v>0</v>
      </c>
      <c r="Z49" s="113">
        <v>0</v>
      </c>
      <c r="AA49" s="113">
        <v>0</v>
      </c>
      <c r="AB49" s="113">
        <v>0</v>
      </c>
      <c r="AC49" s="113">
        <v>0</v>
      </c>
      <c r="AD49" s="113">
        <v>0</v>
      </c>
      <c r="AE49" s="113">
        <v>0</v>
      </c>
      <c r="AF49" s="113">
        <v>0</v>
      </c>
      <c r="AG49" s="113">
        <v>0</v>
      </c>
      <c r="AH49" s="113">
        <v>1</v>
      </c>
      <c r="AI49" s="113">
        <v>0</v>
      </c>
      <c r="AJ49" s="113">
        <v>0</v>
      </c>
      <c r="AK49" s="113">
        <v>0</v>
      </c>
      <c r="AL49" s="113">
        <v>0</v>
      </c>
      <c r="AM49" s="113">
        <v>0</v>
      </c>
      <c r="AN49" s="113">
        <v>0</v>
      </c>
      <c r="AO49" s="113">
        <v>0</v>
      </c>
      <c r="AP49" s="113">
        <v>0</v>
      </c>
      <c r="AQ49" s="113">
        <v>0</v>
      </c>
      <c r="AR49" s="113">
        <v>0</v>
      </c>
      <c r="AS49" s="113">
        <v>0</v>
      </c>
      <c r="AT49" s="113">
        <v>0</v>
      </c>
      <c r="AU49" s="113">
        <v>1</v>
      </c>
      <c r="AV49" s="113">
        <v>1</v>
      </c>
      <c r="AW49" s="113">
        <v>0</v>
      </c>
      <c r="AX49" s="113">
        <v>0</v>
      </c>
      <c r="AY49" s="113">
        <v>0</v>
      </c>
      <c r="AZ49" s="113">
        <v>0</v>
      </c>
      <c r="BA49" s="113">
        <v>0</v>
      </c>
    </row>
    <row r="50" spans="1:53" x14ac:dyDescent="0.15">
      <c r="A50" s="193" t="s">
        <v>240</v>
      </c>
      <c r="B50" s="113">
        <v>0</v>
      </c>
      <c r="C50" s="113">
        <v>0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1</v>
      </c>
      <c r="J50" s="113">
        <v>1</v>
      </c>
      <c r="K50" s="113">
        <v>0</v>
      </c>
      <c r="L50" s="113">
        <v>0</v>
      </c>
      <c r="M50" s="113">
        <v>1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0</v>
      </c>
      <c r="AI50" s="113">
        <v>0</v>
      </c>
      <c r="AJ50" s="113">
        <v>0</v>
      </c>
      <c r="AK50" s="113">
        <v>0</v>
      </c>
      <c r="AL50" s="113">
        <v>0</v>
      </c>
      <c r="AM50" s="113">
        <v>0</v>
      </c>
      <c r="AN50" s="113">
        <v>1</v>
      </c>
      <c r="AO50" s="113">
        <v>0</v>
      </c>
      <c r="AP50" s="113">
        <v>0</v>
      </c>
      <c r="AQ50" s="113">
        <v>0</v>
      </c>
      <c r="AR50" s="113">
        <v>0</v>
      </c>
      <c r="AS50" s="113">
        <v>1</v>
      </c>
      <c r="AT50" s="113">
        <v>1</v>
      </c>
      <c r="AU50" s="113">
        <v>0</v>
      </c>
      <c r="AV50" s="113">
        <v>0</v>
      </c>
      <c r="AW50" s="113">
        <v>0</v>
      </c>
      <c r="AX50" s="113">
        <v>0</v>
      </c>
      <c r="AY50" s="113">
        <v>0</v>
      </c>
      <c r="AZ50" s="113">
        <v>0</v>
      </c>
      <c r="BA50" s="113">
        <v>0</v>
      </c>
    </row>
    <row r="51" spans="1:53" x14ac:dyDescent="0.15">
      <c r="A51" s="193" t="s">
        <v>241</v>
      </c>
      <c r="B51" s="113">
        <v>0</v>
      </c>
      <c r="C51" s="113">
        <v>0</v>
      </c>
      <c r="D51" s="113">
        <v>0</v>
      </c>
      <c r="E51" s="113">
        <v>0</v>
      </c>
      <c r="F51" s="113">
        <v>1</v>
      </c>
      <c r="G51" s="113">
        <v>0</v>
      </c>
      <c r="H51" s="113">
        <v>0</v>
      </c>
      <c r="I51" s="113">
        <v>0</v>
      </c>
      <c r="J51" s="113">
        <v>0</v>
      </c>
      <c r="K51" s="113">
        <v>0</v>
      </c>
      <c r="L51" s="113">
        <v>0</v>
      </c>
      <c r="M51" s="113">
        <v>1</v>
      </c>
      <c r="N51" s="113">
        <v>0</v>
      </c>
      <c r="O51" s="113">
        <v>0</v>
      </c>
      <c r="P51" s="113">
        <v>0</v>
      </c>
      <c r="Q51" s="113">
        <v>1</v>
      </c>
      <c r="R51" s="113">
        <v>0</v>
      </c>
      <c r="S51" s="113">
        <v>0</v>
      </c>
      <c r="T51" s="113">
        <v>0</v>
      </c>
      <c r="U51" s="113">
        <v>0</v>
      </c>
      <c r="V51" s="113">
        <v>0</v>
      </c>
      <c r="W51" s="113">
        <v>0</v>
      </c>
      <c r="X51" s="113">
        <v>0</v>
      </c>
      <c r="Y51" s="113">
        <v>0</v>
      </c>
      <c r="Z51" s="113">
        <v>1</v>
      </c>
      <c r="AA51" s="113">
        <v>1</v>
      </c>
      <c r="AB51" s="113">
        <v>0</v>
      </c>
      <c r="AC51" s="113">
        <v>0</v>
      </c>
      <c r="AD51" s="113">
        <v>0</v>
      </c>
      <c r="AE51" s="113">
        <v>0</v>
      </c>
      <c r="AF51" s="113">
        <v>0</v>
      </c>
      <c r="AG51" s="113">
        <v>1</v>
      </c>
      <c r="AH51" s="113">
        <v>0</v>
      </c>
      <c r="AI51" s="113">
        <v>0</v>
      </c>
      <c r="AJ51" s="113">
        <v>0</v>
      </c>
      <c r="AK51" s="113">
        <v>0</v>
      </c>
      <c r="AL51" s="113">
        <v>0</v>
      </c>
      <c r="AM51" s="113">
        <v>0</v>
      </c>
      <c r="AN51" s="113">
        <v>0</v>
      </c>
      <c r="AO51" s="113">
        <v>0</v>
      </c>
      <c r="AP51" s="113">
        <v>0</v>
      </c>
      <c r="AQ51" s="113">
        <v>0</v>
      </c>
      <c r="AR51" s="113">
        <v>0</v>
      </c>
      <c r="AS51" s="113">
        <v>0</v>
      </c>
      <c r="AT51" s="113">
        <v>0</v>
      </c>
      <c r="AU51" s="113">
        <v>0</v>
      </c>
      <c r="AV51" s="113">
        <v>0</v>
      </c>
      <c r="AW51" s="113">
        <v>0</v>
      </c>
      <c r="AX51" s="113">
        <v>0</v>
      </c>
      <c r="AY51" s="113">
        <v>0</v>
      </c>
      <c r="AZ51" s="113">
        <v>0</v>
      </c>
      <c r="BA51" s="113">
        <v>0</v>
      </c>
    </row>
    <row r="52" spans="1:53" x14ac:dyDescent="0.15">
      <c r="A52" s="193" t="s">
        <v>242</v>
      </c>
      <c r="B52" s="113">
        <v>0</v>
      </c>
      <c r="C52" s="113">
        <v>1</v>
      </c>
      <c r="D52" s="113">
        <v>0</v>
      </c>
      <c r="E52" s="113">
        <v>0</v>
      </c>
      <c r="F52" s="113">
        <v>1</v>
      </c>
      <c r="G52" s="113">
        <v>0</v>
      </c>
      <c r="H52" s="113">
        <v>1</v>
      </c>
      <c r="I52" s="113">
        <v>0</v>
      </c>
      <c r="J52" s="113">
        <v>0</v>
      </c>
      <c r="K52" s="113">
        <v>1</v>
      </c>
      <c r="L52" s="113">
        <v>0</v>
      </c>
      <c r="M52" s="113">
        <v>1</v>
      </c>
      <c r="N52" s="113">
        <v>0</v>
      </c>
      <c r="O52" s="113">
        <v>1</v>
      </c>
      <c r="P52" s="113">
        <v>0</v>
      </c>
      <c r="Q52" s="113">
        <v>0</v>
      </c>
      <c r="R52" s="113">
        <v>0</v>
      </c>
      <c r="S52" s="113">
        <v>1</v>
      </c>
      <c r="T52" s="113">
        <v>0</v>
      </c>
      <c r="U52" s="113">
        <v>0</v>
      </c>
      <c r="V52" s="113">
        <v>0</v>
      </c>
      <c r="W52" s="113">
        <v>1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3">
        <v>1</v>
      </c>
      <c r="AH52" s="113">
        <v>1</v>
      </c>
      <c r="AI52" s="113">
        <v>1</v>
      </c>
      <c r="AJ52" s="113">
        <v>1</v>
      </c>
      <c r="AK52" s="113">
        <v>1</v>
      </c>
      <c r="AL52" s="113">
        <v>1</v>
      </c>
      <c r="AM52" s="113">
        <v>1</v>
      </c>
      <c r="AN52" s="113">
        <v>1</v>
      </c>
      <c r="AO52" s="113">
        <v>1</v>
      </c>
      <c r="AP52" s="113">
        <v>1</v>
      </c>
      <c r="AQ52" s="113">
        <v>1</v>
      </c>
      <c r="AR52" s="113">
        <v>1</v>
      </c>
      <c r="AS52" s="113">
        <v>1</v>
      </c>
      <c r="AT52" s="113">
        <v>1</v>
      </c>
      <c r="AU52" s="113">
        <v>1</v>
      </c>
      <c r="AV52" s="113">
        <v>1</v>
      </c>
      <c r="AW52" s="113">
        <v>0</v>
      </c>
      <c r="AX52" s="113">
        <v>0</v>
      </c>
      <c r="AY52" s="113">
        <v>0</v>
      </c>
      <c r="AZ52" s="113">
        <v>0</v>
      </c>
      <c r="BA52" s="113">
        <v>0</v>
      </c>
    </row>
    <row r="53" spans="1:53" x14ac:dyDescent="0.15">
      <c r="A53" s="193" t="s">
        <v>243</v>
      </c>
      <c r="B53" s="113">
        <v>0</v>
      </c>
      <c r="C53" s="113">
        <v>0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</v>
      </c>
      <c r="L53" s="113">
        <v>0</v>
      </c>
      <c r="M53" s="113">
        <v>0</v>
      </c>
      <c r="N53" s="113">
        <v>0</v>
      </c>
      <c r="O53" s="113">
        <v>0</v>
      </c>
      <c r="P53" s="113">
        <v>0</v>
      </c>
      <c r="Q53" s="113">
        <v>0</v>
      </c>
      <c r="R53" s="113">
        <v>0</v>
      </c>
      <c r="S53" s="113">
        <v>0</v>
      </c>
      <c r="T53" s="113">
        <v>0</v>
      </c>
      <c r="U53" s="113">
        <v>0</v>
      </c>
      <c r="V53" s="113">
        <v>0</v>
      </c>
      <c r="W53" s="113">
        <v>0</v>
      </c>
      <c r="X53" s="113">
        <v>0</v>
      </c>
      <c r="Y53" s="113">
        <v>0</v>
      </c>
      <c r="Z53" s="113">
        <v>0</v>
      </c>
      <c r="AA53" s="113">
        <v>0</v>
      </c>
      <c r="AB53" s="113">
        <v>0</v>
      </c>
      <c r="AC53" s="113">
        <v>0</v>
      </c>
      <c r="AD53" s="113">
        <v>0</v>
      </c>
      <c r="AE53" s="113">
        <v>0</v>
      </c>
      <c r="AF53" s="113">
        <v>0</v>
      </c>
      <c r="AG53" s="113">
        <v>0</v>
      </c>
      <c r="AH53" s="113">
        <v>0</v>
      </c>
      <c r="AI53" s="113">
        <v>0</v>
      </c>
      <c r="AJ53" s="113">
        <v>0</v>
      </c>
      <c r="AK53" s="113">
        <v>0</v>
      </c>
      <c r="AL53" s="113">
        <v>0</v>
      </c>
      <c r="AM53" s="113">
        <v>0</v>
      </c>
      <c r="AN53" s="113">
        <v>0</v>
      </c>
      <c r="AO53" s="113">
        <v>0</v>
      </c>
      <c r="AP53" s="113">
        <v>0</v>
      </c>
      <c r="AQ53" s="113">
        <v>0</v>
      </c>
      <c r="AR53" s="113">
        <v>0</v>
      </c>
      <c r="AS53" s="113">
        <v>0</v>
      </c>
      <c r="AT53" s="113">
        <v>0</v>
      </c>
      <c r="AU53" s="113">
        <v>0</v>
      </c>
      <c r="AV53" s="113">
        <v>0</v>
      </c>
      <c r="AW53" s="113">
        <v>0</v>
      </c>
      <c r="AX53" s="113">
        <v>0</v>
      </c>
      <c r="AY53" s="113">
        <v>0</v>
      </c>
      <c r="AZ53" s="113">
        <v>0</v>
      </c>
      <c r="BA53" s="113">
        <v>0</v>
      </c>
    </row>
    <row r="54" spans="1:53" x14ac:dyDescent="0.15">
      <c r="A54" s="193" t="s">
        <v>248</v>
      </c>
      <c r="B54" s="113">
        <v>1</v>
      </c>
      <c r="C54" s="113">
        <v>1</v>
      </c>
      <c r="D54" s="113">
        <v>0</v>
      </c>
      <c r="E54" s="113">
        <v>0</v>
      </c>
      <c r="F54" s="113">
        <v>0</v>
      </c>
      <c r="G54" s="113">
        <v>1</v>
      </c>
      <c r="H54" s="113">
        <v>1</v>
      </c>
      <c r="I54" s="113">
        <v>0</v>
      </c>
      <c r="J54" s="113">
        <v>0</v>
      </c>
      <c r="K54" s="113">
        <v>1</v>
      </c>
      <c r="L54" s="113">
        <v>0</v>
      </c>
      <c r="M54" s="113">
        <v>0</v>
      </c>
      <c r="N54" s="113">
        <v>0</v>
      </c>
      <c r="O54" s="113">
        <v>0</v>
      </c>
      <c r="P54" s="113">
        <v>0</v>
      </c>
      <c r="Q54" s="113">
        <v>0</v>
      </c>
      <c r="R54" s="113">
        <v>0</v>
      </c>
      <c r="S54" s="113">
        <v>0</v>
      </c>
      <c r="T54" s="113">
        <v>0</v>
      </c>
      <c r="U54" s="113">
        <v>1</v>
      </c>
      <c r="V54" s="113">
        <v>1</v>
      </c>
      <c r="W54" s="113">
        <v>0</v>
      </c>
      <c r="X54" s="113">
        <v>0</v>
      </c>
      <c r="Y54" s="113">
        <v>0</v>
      </c>
      <c r="Z54" s="113">
        <v>0</v>
      </c>
      <c r="AA54" s="113">
        <v>0</v>
      </c>
      <c r="AB54" s="113">
        <v>0</v>
      </c>
      <c r="AC54" s="113">
        <v>0</v>
      </c>
      <c r="AD54" s="113">
        <v>1</v>
      </c>
      <c r="AE54" s="113">
        <v>0</v>
      </c>
      <c r="AF54" s="113">
        <v>0</v>
      </c>
      <c r="AG54" s="113">
        <v>0</v>
      </c>
      <c r="AH54" s="113">
        <v>0</v>
      </c>
      <c r="AI54" s="113">
        <v>0</v>
      </c>
      <c r="AJ54" s="113">
        <v>0</v>
      </c>
      <c r="AK54" s="113">
        <v>0</v>
      </c>
      <c r="AL54" s="113">
        <v>0</v>
      </c>
      <c r="AM54" s="113">
        <v>0</v>
      </c>
      <c r="AN54" s="113">
        <v>0</v>
      </c>
      <c r="AO54" s="113">
        <v>0</v>
      </c>
      <c r="AP54" s="113">
        <v>0</v>
      </c>
      <c r="AQ54" s="113">
        <v>0</v>
      </c>
      <c r="AR54" s="113">
        <v>0</v>
      </c>
      <c r="AS54" s="113">
        <v>0</v>
      </c>
      <c r="AT54" s="113">
        <v>0</v>
      </c>
      <c r="AU54" s="113">
        <v>0</v>
      </c>
      <c r="AV54" s="113">
        <v>0</v>
      </c>
      <c r="AW54" s="113">
        <v>0</v>
      </c>
      <c r="AX54" s="113">
        <v>0</v>
      </c>
      <c r="AY54" s="113">
        <v>0</v>
      </c>
      <c r="AZ54" s="113">
        <v>0</v>
      </c>
      <c r="BA54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96" t="s">
        <v>244</v>
      </c>
      <c r="D1" s="196" t="s">
        <v>245</v>
      </c>
      <c r="E1" s="196" t="s">
        <v>246</v>
      </c>
      <c r="F1" s="196" t="s">
        <v>247</v>
      </c>
    </row>
    <row r="2" spans="1:6" x14ac:dyDescent="0.15">
      <c r="A2">
        <v>1</v>
      </c>
      <c r="B2" s="195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95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5" t="s">
        <v>194</v>
      </c>
      <c r="C4">
        <v>0.8</v>
      </c>
      <c r="D4">
        <v>0.8</v>
      </c>
      <c r="E4">
        <v>0</v>
      </c>
      <c r="F4">
        <v>0</v>
      </c>
    </row>
    <row r="5" spans="1:6" x14ac:dyDescent="0.15">
      <c r="A5">
        <v>4</v>
      </c>
      <c r="B5" s="195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5" t="s">
        <v>196</v>
      </c>
      <c r="C6">
        <v>0.8</v>
      </c>
      <c r="D6">
        <v>0.8</v>
      </c>
      <c r="E6">
        <v>0</v>
      </c>
      <c r="F6">
        <v>0</v>
      </c>
    </row>
    <row r="7" spans="1:6" x14ac:dyDescent="0.15">
      <c r="A7">
        <v>6</v>
      </c>
      <c r="B7" s="195" t="s">
        <v>197</v>
      </c>
      <c r="C7">
        <v>0.8</v>
      </c>
      <c r="D7">
        <v>0</v>
      </c>
      <c r="E7">
        <v>0.8</v>
      </c>
      <c r="F7">
        <v>0</v>
      </c>
    </row>
    <row r="8" spans="1:6" x14ac:dyDescent="0.15">
      <c r="A8">
        <v>7</v>
      </c>
      <c r="B8" s="195" t="s">
        <v>198</v>
      </c>
      <c r="C8">
        <v>0</v>
      </c>
      <c r="D8">
        <v>0</v>
      </c>
      <c r="E8">
        <v>0.8</v>
      </c>
      <c r="F8">
        <v>0</v>
      </c>
    </row>
    <row r="9" spans="1:6" x14ac:dyDescent="0.15">
      <c r="A9">
        <v>8</v>
      </c>
      <c r="B9" s="195" t="s">
        <v>199</v>
      </c>
      <c r="C9">
        <v>0</v>
      </c>
      <c r="D9">
        <v>0</v>
      </c>
      <c r="E9">
        <v>0.8</v>
      </c>
      <c r="F9">
        <v>0</v>
      </c>
    </row>
    <row r="10" spans="1:6" x14ac:dyDescent="0.15">
      <c r="A10">
        <v>9</v>
      </c>
      <c r="B10" s="195" t="s">
        <v>200</v>
      </c>
      <c r="C10">
        <v>0.8</v>
      </c>
      <c r="D10">
        <v>0</v>
      </c>
      <c r="E10">
        <v>0.8</v>
      </c>
      <c r="F10">
        <v>0</v>
      </c>
    </row>
    <row r="11" spans="1:6" x14ac:dyDescent="0.15">
      <c r="A11">
        <v>10</v>
      </c>
      <c r="B11" s="195" t="s">
        <v>201</v>
      </c>
      <c r="C11">
        <v>0.8</v>
      </c>
      <c r="D11">
        <v>0</v>
      </c>
      <c r="E11">
        <v>0.8</v>
      </c>
      <c r="F11">
        <v>0</v>
      </c>
    </row>
    <row r="12" spans="1:6" x14ac:dyDescent="0.15">
      <c r="A12">
        <v>11</v>
      </c>
      <c r="B12" s="195" t="s">
        <v>202</v>
      </c>
      <c r="C12">
        <v>0.8</v>
      </c>
      <c r="D12">
        <v>0.8</v>
      </c>
      <c r="E12">
        <v>0</v>
      </c>
      <c r="F12">
        <v>0</v>
      </c>
    </row>
    <row r="13" spans="1:6" x14ac:dyDescent="0.15">
      <c r="A13">
        <v>12</v>
      </c>
      <c r="B13" s="195" t="s">
        <v>203</v>
      </c>
      <c r="C13">
        <v>0.8</v>
      </c>
      <c r="D13">
        <v>0.8</v>
      </c>
      <c r="E13">
        <v>0</v>
      </c>
      <c r="F13">
        <v>0</v>
      </c>
    </row>
    <row r="14" spans="1:6" x14ac:dyDescent="0.15">
      <c r="A14">
        <v>13</v>
      </c>
      <c r="B14" s="195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95" t="s">
        <v>205</v>
      </c>
      <c r="C15">
        <v>0.8</v>
      </c>
      <c r="D15">
        <v>0.8</v>
      </c>
      <c r="E15">
        <v>0</v>
      </c>
      <c r="F15">
        <v>0</v>
      </c>
    </row>
    <row r="16" spans="1:6" x14ac:dyDescent="0.15">
      <c r="A16">
        <v>15</v>
      </c>
      <c r="B16" s="195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95" t="s">
        <v>207</v>
      </c>
      <c r="C17">
        <v>0.8</v>
      </c>
      <c r="D17">
        <v>0.8</v>
      </c>
      <c r="E17">
        <v>0</v>
      </c>
      <c r="F17">
        <v>0</v>
      </c>
    </row>
    <row r="18" spans="1:6" x14ac:dyDescent="0.15">
      <c r="A18">
        <v>17</v>
      </c>
      <c r="B18" s="195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95" t="s">
        <v>209</v>
      </c>
      <c r="C19">
        <v>0.8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95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95" t="s">
        <v>211</v>
      </c>
      <c r="C21">
        <v>0.8</v>
      </c>
      <c r="D21">
        <v>0.8</v>
      </c>
      <c r="E21">
        <v>0</v>
      </c>
      <c r="F21">
        <v>0</v>
      </c>
    </row>
    <row r="22" spans="1:6" x14ac:dyDescent="0.15">
      <c r="A22">
        <v>21</v>
      </c>
      <c r="B22" s="195" t="s">
        <v>212</v>
      </c>
      <c r="C22">
        <v>0</v>
      </c>
      <c r="D22">
        <v>0.8</v>
      </c>
      <c r="E22">
        <v>0</v>
      </c>
      <c r="F22">
        <v>0</v>
      </c>
    </row>
    <row r="23" spans="1:6" x14ac:dyDescent="0.15">
      <c r="A23">
        <v>22</v>
      </c>
      <c r="B23" s="195" t="s">
        <v>213</v>
      </c>
      <c r="C23">
        <v>0.8</v>
      </c>
      <c r="D23">
        <v>0.8</v>
      </c>
      <c r="E23">
        <v>0</v>
      </c>
      <c r="F23">
        <v>0</v>
      </c>
    </row>
    <row r="24" spans="1:6" x14ac:dyDescent="0.15">
      <c r="A24">
        <v>23</v>
      </c>
      <c r="B24" s="195" t="s">
        <v>214</v>
      </c>
      <c r="C24">
        <v>0.8</v>
      </c>
      <c r="D24">
        <v>0.8</v>
      </c>
      <c r="E24">
        <v>0</v>
      </c>
      <c r="F24">
        <v>0</v>
      </c>
    </row>
    <row r="25" spans="1:6" x14ac:dyDescent="0.15">
      <c r="A25">
        <v>24</v>
      </c>
      <c r="B25" s="195" t="s">
        <v>215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95" t="s">
        <v>216</v>
      </c>
      <c r="C26">
        <v>0.8</v>
      </c>
      <c r="D26">
        <v>0.8</v>
      </c>
      <c r="E26">
        <v>0</v>
      </c>
      <c r="F26">
        <v>0</v>
      </c>
    </row>
    <row r="27" spans="1:6" x14ac:dyDescent="0.15">
      <c r="A27">
        <v>26</v>
      </c>
      <c r="B27" s="195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95" t="s">
        <v>218</v>
      </c>
      <c r="C28">
        <v>0.8</v>
      </c>
      <c r="D28">
        <v>0.8</v>
      </c>
      <c r="E28">
        <v>0</v>
      </c>
      <c r="F28">
        <v>0</v>
      </c>
    </row>
    <row r="29" spans="1:6" x14ac:dyDescent="0.15">
      <c r="A29">
        <v>28</v>
      </c>
      <c r="B29" s="195" t="s">
        <v>219</v>
      </c>
      <c r="C29">
        <v>0.8</v>
      </c>
      <c r="D29">
        <v>0.8</v>
      </c>
      <c r="E29">
        <v>0</v>
      </c>
      <c r="F29">
        <v>0</v>
      </c>
    </row>
    <row r="30" spans="1:6" x14ac:dyDescent="0.15">
      <c r="A30">
        <v>29</v>
      </c>
      <c r="B30" s="195" t="s">
        <v>220</v>
      </c>
      <c r="C30">
        <v>0</v>
      </c>
      <c r="D30">
        <v>0.8</v>
      </c>
      <c r="E30">
        <v>0</v>
      </c>
      <c r="F30">
        <v>0</v>
      </c>
    </row>
    <row r="31" spans="1:6" x14ac:dyDescent="0.15">
      <c r="A31">
        <v>30</v>
      </c>
      <c r="B31" s="195" t="s">
        <v>221</v>
      </c>
      <c r="C31">
        <v>0.8</v>
      </c>
      <c r="D31">
        <v>0.8</v>
      </c>
      <c r="E31">
        <v>0</v>
      </c>
      <c r="F31">
        <v>0</v>
      </c>
    </row>
    <row r="32" spans="1:6" x14ac:dyDescent="0.15">
      <c r="A32">
        <v>31</v>
      </c>
      <c r="B32" s="195" t="s">
        <v>222</v>
      </c>
      <c r="C32">
        <v>0.8</v>
      </c>
      <c r="D32">
        <v>0.8</v>
      </c>
      <c r="E32">
        <v>0</v>
      </c>
      <c r="F32">
        <v>0</v>
      </c>
    </row>
    <row r="33" spans="1:6" x14ac:dyDescent="0.15">
      <c r="A33">
        <v>32</v>
      </c>
      <c r="B33" s="195" t="s">
        <v>223</v>
      </c>
      <c r="C33">
        <v>0</v>
      </c>
      <c r="D33">
        <v>0</v>
      </c>
      <c r="E33">
        <v>0</v>
      </c>
      <c r="F33">
        <v>0.8</v>
      </c>
    </row>
    <row r="34" spans="1:6" x14ac:dyDescent="0.15">
      <c r="A34">
        <v>33</v>
      </c>
      <c r="B34" s="195" t="s">
        <v>224</v>
      </c>
      <c r="C34">
        <v>0</v>
      </c>
      <c r="D34">
        <v>0</v>
      </c>
      <c r="E34">
        <v>0</v>
      </c>
      <c r="F34">
        <v>0.8</v>
      </c>
    </row>
    <row r="35" spans="1:6" x14ac:dyDescent="0.15">
      <c r="A35">
        <v>34</v>
      </c>
      <c r="B35" s="195" t="s">
        <v>225</v>
      </c>
      <c r="C35">
        <v>0</v>
      </c>
      <c r="D35">
        <v>0</v>
      </c>
      <c r="E35">
        <v>0</v>
      </c>
      <c r="F35">
        <v>0.8</v>
      </c>
    </row>
    <row r="36" spans="1:6" x14ac:dyDescent="0.15">
      <c r="A36">
        <v>35</v>
      </c>
      <c r="B36" s="195" t="s">
        <v>226</v>
      </c>
      <c r="C36">
        <v>0</v>
      </c>
      <c r="D36">
        <v>0</v>
      </c>
      <c r="E36">
        <v>0</v>
      </c>
      <c r="F36">
        <v>0.8</v>
      </c>
    </row>
    <row r="37" spans="1:6" x14ac:dyDescent="0.15">
      <c r="A37">
        <v>36</v>
      </c>
      <c r="B37" s="195" t="s">
        <v>227</v>
      </c>
      <c r="C37">
        <v>0</v>
      </c>
      <c r="D37">
        <v>0</v>
      </c>
      <c r="E37">
        <v>0</v>
      </c>
      <c r="F37">
        <v>0.8</v>
      </c>
    </row>
    <row r="38" spans="1:6" x14ac:dyDescent="0.15">
      <c r="A38">
        <v>37</v>
      </c>
      <c r="B38" s="195" t="s">
        <v>228</v>
      </c>
      <c r="C38">
        <v>0</v>
      </c>
      <c r="D38">
        <v>0</v>
      </c>
      <c r="E38">
        <v>0</v>
      </c>
      <c r="F38">
        <v>0.8</v>
      </c>
    </row>
    <row r="39" spans="1:6" x14ac:dyDescent="0.15">
      <c r="A39">
        <v>38</v>
      </c>
      <c r="B39" s="195" t="s">
        <v>229</v>
      </c>
      <c r="C39">
        <v>0.8</v>
      </c>
      <c r="D39">
        <v>0.8</v>
      </c>
      <c r="E39">
        <v>0</v>
      </c>
      <c r="F39">
        <v>0</v>
      </c>
    </row>
    <row r="40" spans="1:6" x14ac:dyDescent="0.15">
      <c r="A40">
        <v>39</v>
      </c>
      <c r="B40" s="195" t="s">
        <v>230</v>
      </c>
      <c r="C40">
        <v>0</v>
      </c>
      <c r="D40">
        <v>0.8</v>
      </c>
      <c r="E40">
        <v>0</v>
      </c>
      <c r="F40">
        <v>0</v>
      </c>
    </row>
    <row r="41" spans="1:6" x14ac:dyDescent="0.15">
      <c r="A41">
        <v>40</v>
      </c>
      <c r="B41" s="195" t="s">
        <v>231</v>
      </c>
      <c r="C41">
        <v>0</v>
      </c>
      <c r="D41">
        <v>0</v>
      </c>
      <c r="E41">
        <v>0</v>
      </c>
      <c r="F41">
        <v>0</v>
      </c>
    </row>
    <row r="42" spans="1:6" x14ac:dyDescent="0.15">
      <c r="A42">
        <v>41</v>
      </c>
      <c r="B42" s="195" t="s">
        <v>232</v>
      </c>
      <c r="C42">
        <v>0</v>
      </c>
      <c r="D42">
        <v>0</v>
      </c>
      <c r="E42">
        <v>0</v>
      </c>
      <c r="F42">
        <v>0</v>
      </c>
    </row>
    <row r="43" spans="1:6" x14ac:dyDescent="0.15">
      <c r="A43">
        <v>42</v>
      </c>
      <c r="B43" s="195" t="s">
        <v>233</v>
      </c>
      <c r="C43">
        <v>0</v>
      </c>
      <c r="D43">
        <v>0</v>
      </c>
      <c r="E43">
        <v>0</v>
      </c>
      <c r="F43">
        <v>0</v>
      </c>
    </row>
    <row r="44" spans="1:6" x14ac:dyDescent="0.15">
      <c r="A44">
        <v>43</v>
      </c>
      <c r="B44" s="195" t="s">
        <v>234</v>
      </c>
      <c r="C44">
        <v>0</v>
      </c>
      <c r="D44">
        <v>0</v>
      </c>
      <c r="E44">
        <v>0</v>
      </c>
      <c r="F44">
        <v>0</v>
      </c>
    </row>
    <row r="45" spans="1:6" x14ac:dyDescent="0.15">
      <c r="A45">
        <v>44</v>
      </c>
      <c r="B45" s="195" t="s">
        <v>235</v>
      </c>
      <c r="C45">
        <v>0</v>
      </c>
      <c r="D45">
        <v>0</v>
      </c>
      <c r="E45">
        <v>0</v>
      </c>
      <c r="F45">
        <v>0</v>
      </c>
    </row>
    <row r="46" spans="1:6" x14ac:dyDescent="0.15">
      <c r="A46">
        <v>45</v>
      </c>
      <c r="B46" s="195" t="s">
        <v>236</v>
      </c>
      <c r="C46">
        <v>0</v>
      </c>
      <c r="D46">
        <v>0</v>
      </c>
      <c r="E46">
        <v>0</v>
      </c>
      <c r="F46">
        <v>0</v>
      </c>
    </row>
    <row r="47" spans="1:6" x14ac:dyDescent="0.15">
      <c r="A47">
        <v>46</v>
      </c>
      <c r="B47" s="195" t="s">
        <v>237</v>
      </c>
      <c r="C47">
        <v>0</v>
      </c>
      <c r="D47">
        <v>0</v>
      </c>
      <c r="E47">
        <v>0</v>
      </c>
      <c r="F47">
        <v>0.8</v>
      </c>
    </row>
    <row r="48" spans="1:6" x14ac:dyDescent="0.15">
      <c r="A48">
        <v>47</v>
      </c>
      <c r="B48" s="195" t="s">
        <v>238</v>
      </c>
      <c r="C48">
        <v>0</v>
      </c>
      <c r="D48">
        <v>0</v>
      </c>
      <c r="E48">
        <v>0</v>
      </c>
      <c r="F48">
        <v>0.8</v>
      </c>
    </row>
    <row r="49" spans="1:6" x14ac:dyDescent="0.15">
      <c r="A49">
        <v>48</v>
      </c>
      <c r="B49" s="195" t="s">
        <v>239</v>
      </c>
      <c r="C49">
        <v>0</v>
      </c>
      <c r="D49">
        <v>0</v>
      </c>
      <c r="E49">
        <v>0</v>
      </c>
      <c r="F49">
        <v>0.8</v>
      </c>
    </row>
    <row r="50" spans="1:6" x14ac:dyDescent="0.15">
      <c r="A50">
        <v>49</v>
      </c>
      <c r="B50" s="195" t="s">
        <v>240</v>
      </c>
      <c r="C50">
        <v>0</v>
      </c>
      <c r="D50">
        <v>0</v>
      </c>
      <c r="E50">
        <v>0</v>
      </c>
      <c r="F50">
        <v>0</v>
      </c>
    </row>
    <row r="51" spans="1:6" x14ac:dyDescent="0.15">
      <c r="A51">
        <v>50</v>
      </c>
      <c r="B51" s="195" t="s">
        <v>241</v>
      </c>
      <c r="C51">
        <v>0</v>
      </c>
      <c r="D51">
        <v>0</v>
      </c>
      <c r="E51">
        <v>0</v>
      </c>
      <c r="F51">
        <v>0.8</v>
      </c>
    </row>
    <row r="52" spans="1:6" x14ac:dyDescent="0.15">
      <c r="A52">
        <v>51</v>
      </c>
      <c r="B52" s="195" t="s">
        <v>242</v>
      </c>
      <c r="C52">
        <v>0</v>
      </c>
      <c r="D52">
        <v>0</v>
      </c>
      <c r="E52">
        <v>0</v>
      </c>
      <c r="F52">
        <v>0</v>
      </c>
    </row>
    <row r="53" spans="1:6" x14ac:dyDescent="0.15">
      <c r="A53">
        <v>52</v>
      </c>
      <c r="B53" s="195" t="s">
        <v>243</v>
      </c>
      <c r="C53">
        <v>0</v>
      </c>
      <c r="D53">
        <v>0</v>
      </c>
      <c r="E53">
        <v>0</v>
      </c>
      <c r="F5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5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98" t="s">
        <v>244</v>
      </c>
      <c r="D1" s="198" t="s">
        <v>245</v>
      </c>
      <c r="E1" s="198" t="s">
        <v>246</v>
      </c>
      <c r="F1" s="198" t="s">
        <v>247</v>
      </c>
    </row>
    <row r="2" spans="1:6" x14ac:dyDescent="0.15">
      <c r="A2">
        <v>1</v>
      </c>
      <c r="B2" s="197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97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7" t="s">
        <v>194</v>
      </c>
      <c r="C4">
        <v>0.8</v>
      </c>
      <c r="D4">
        <v>0.8</v>
      </c>
      <c r="E4">
        <v>0</v>
      </c>
      <c r="F4">
        <v>0</v>
      </c>
    </row>
    <row r="5" spans="1:6" x14ac:dyDescent="0.15">
      <c r="A5">
        <v>4</v>
      </c>
      <c r="B5" s="197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7" t="s">
        <v>196</v>
      </c>
      <c r="C6">
        <v>0.8</v>
      </c>
      <c r="D6">
        <v>0.8</v>
      </c>
      <c r="E6">
        <v>0</v>
      </c>
      <c r="F6">
        <v>0</v>
      </c>
    </row>
    <row r="7" spans="1:6" x14ac:dyDescent="0.15">
      <c r="A7">
        <v>6</v>
      </c>
      <c r="B7" s="197" t="s">
        <v>197</v>
      </c>
      <c r="C7">
        <v>0.8</v>
      </c>
      <c r="D7">
        <v>0</v>
      </c>
      <c r="E7">
        <v>0.8</v>
      </c>
      <c r="F7">
        <v>0</v>
      </c>
    </row>
    <row r="8" spans="1:6" x14ac:dyDescent="0.15">
      <c r="A8">
        <v>7</v>
      </c>
      <c r="B8" s="197" t="s">
        <v>198</v>
      </c>
      <c r="C8">
        <v>0</v>
      </c>
      <c r="D8">
        <v>0</v>
      </c>
      <c r="E8">
        <v>0.8</v>
      </c>
      <c r="F8">
        <v>0</v>
      </c>
    </row>
    <row r="9" spans="1:6" x14ac:dyDescent="0.15">
      <c r="A9">
        <v>8</v>
      </c>
      <c r="B9" s="197" t="s">
        <v>199</v>
      </c>
      <c r="C9">
        <v>0</v>
      </c>
      <c r="D9">
        <v>0</v>
      </c>
      <c r="E9">
        <v>0.8</v>
      </c>
      <c r="F9">
        <v>0</v>
      </c>
    </row>
    <row r="10" spans="1:6" x14ac:dyDescent="0.15">
      <c r="A10">
        <v>9</v>
      </c>
      <c r="B10" s="197" t="s">
        <v>200</v>
      </c>
      <c r="C10">
        <v>0.8</v>
      </c>
      <c r="D10">
        <v>0</v>
      </c>
      <c r="E10">
        <v>0.8</v>
      </c>
      <c r="F10">
        <v>0</v>
      </c>
    </row>
    <row r="11" spans="1:6" x14ac:dyDescent="0.15">
      <c r="A11">
        <v>10</v>
      </c>
      <c r="B11" s="197" t="s">
        <v>201</v>
      </c>
      <c r="C11">
        <v>0.8</v>
      </c>
      <c r="D11">
        <v>0</v>
      </c>
      <c r="E11">
        <v>0.8</v>
      </c>
      <c r="F11">
        <v>0</v>
      </c>
    </row>
    <row r="12" spans="1:6" x14ac:dyDescent="0.15">
      <c r="A12">
        <v>11</v>
      </c>
      <c r="B12" s="197" t="s">
        <v>202</v>
      </c>
      <c r="C12">
        <v>0.8</v>
      </c>
      <c r="D12">
        <v>0.8</v>
      </c>
      <c r="E12">
        <v>0</v>
      </c>
      <c r="F12">
        <v>0</v>
      </c>
    </row>
    <row r="13" spans="1:6" x14ac:dyDescent="0.15">
      <c r="A13">
        <v>12</v>
      </c>
      <c r="B13" s="197" t="s">
        <v>203</v>
      </c>
      <c r="C13">
        <v>0.8</v>
      </c>
      <c r="D13">
        <v>0.8</v>
      </c>
      <c r="E13">
        <v>0</v>
      </c>
      <c r="F13">
        <v>0</v>
      </c>
    </row>
    <row r="14" spans="1:6" x14ac:dyDescent="0.15">
      <c r="A14">
        <v>13</v>
      </c>
      <c r="B14" s="197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97" t="s">
        <v>205</v>
      </c>
      <c r="C15">
        <v>0.8</v>
      </c>
      <c r="D15">
        <v>0.8</v>
      </c>
      <c r="E15">
        <v>0</v>
      </c>
      <c r="F15">
        <v>0</v>
      </c>
    </row>
    <row r="16" spans="1:6" x14ac:dyDescent="0.15">
      <c r="A16">
        <v>15</v>
      </c>
      <c r="B16" s="197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97" t="s">
        <v>207</v>
      </c>
      <c r="C17">
        <v>0.8</v>
      </c>
      <c r="D17">
        <v>0.8</v>
      </c>
      <c r="E17">
        <v>0</v>
      </c>
      <c r="F17">
        <v>0</v>
      </c>
    </row>
    <row r="18" spans="1:6" x14ac:dyDescent="0.15">
      <c r="A18">
        <v>17</v>
      </c>
      <c r="B18" s="197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97" t="s">
        <v>209</v>
      </c>
      <c r="C19">
        <v>0.8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97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97" t="s">
        <v>211</v>
      </c>
      <c r="C21">
        <v>0.8</v>
      </c>
      <c r="D21">
        <v>0.8</v>
      </c>
      <c r="E21">
        <v>0</v>
      </c>
      <c r="F21">
        <v>0</v>
      </c>
    </row>
    <row r="22" spans="1:6" x14ac:dyDescent="0.15">
      <c r="A22">
        <v>21</v>
      </c>
      <c r="B22" s="197" t="s">
        <v>212</v>
      </c>
      <c r="C22">
        <v>0</v>
      </c>
      <c r="D22">
        <v>0.8</v>
      </c>
      <c r="E22">
        <v>0</v>
      </c>
      <c r="F22">
        <v>0</v>
      </c>
    </row>
    <row r="23" spans="1:6" x14ac:dyDescent="0.15">
      <c r="A23">
        <v>22</v>
      </c>
      <c r="B23" s="197" t="s">
        <v>213</v>
      </c>
      <c r="C23">
        <v>0.8</v>
      </c>
      <c r="D23">
        <v>0.8</v>
      </c>
      <c r="E23">
        <v>0</v>
      </c>
      <c r="F23">
        <v>0</v>
      </c>
    </row>
    <row r="24" spans="1:6" x14ac:dyDescent="0.15">
      <c r="A24">
        <v>23</v>
      </c>
      <c r="B24" s="197" t="s">
        <v>214</v>
      </c>
      <c r="C24">
        <v>0.8</v>
      </c>
      <c r="D24">
        <v>0.8</v>
      </c>
      <c r="E24">
        <v>0</v>
      </c>
      <c r="F24">
        <v>0</v>
      </c>
    </row>
    <row r="25" spans="1:6" x14ac:dyDescent="0.15">
      <c r="A25">
        <v>24</v>
      </c>
      <c r="B25" s="197" t="s">
        <v>215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97" t="s">
        <v>216</v>
      </c>
      <c r="C26">
        <v>0.8</v>
      </c>
      <c r="D26">
        <v>0.8</v>
      </c>
      <c r="E26">
        <v>0</v>
      </c>
      <c r="F26">
        <v>0</v>
      </c>
    </row>
    <row r="27" spans="1:6" x14ac:dyDescent="0.15">
      <c r="A27">
        <v>26</v>
      </c>
      <c r="B27" s="197" t="s">
        <v>217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97" t="s">
        <v>218</v>
      </c>
      <c r="C28">
        <v>0.8</v>
      </c>
      <c r="D28">
        <v>0.8</v>
      </c>
      <c r="E28">
        <v>0</v>
      </c>
      <c r="F28">
        <v>0</v>
      </c>
    </row>
    <row r="29" spans="1:6" x14ac:dyDescent="0.15">
      <c r="A29">
        <v>28</v>
      </c>
      <c r="B29" s="197" t="s">
        <v>219</v>
      </c>
      <c r="C29">
        <v>0.8</v>
      </c>
      <c r="D29">
        <v>0.8</v>
      </c>
      <c r="E29">
        <v>0</v>
      </c>
      <c r="F29">
        <v>0</v>
      </c>
    </row>
    <row r="30" spans="1:6" x14ac:dyDescent="0.15">
      <c r="A30">
        <v>29</v>
      </c>
      <c r="B30" s="197" t="s">
        <v>220</v>
      </c>
      <c r="C30">
        <v>0</v>
      </c>
      <c r="D30">
        <v>0.8</v>
      </c>
      <c r="E30">
        <v>0</v>
      </c>
      <c r="F30">
        <v>0</v>
      </c>
    </row>
    <row r="31" spans="1:6" x14ac:dyDescent="0.15">
      <c r="A31">
        <v>30</v>
      </c>
      <c r="B31" s="197" t="s">
        <v>221</v>
      </c>
      <c r="C31">
        <v>0.8</v>
      </c>
      <c r="D31">
        <v>0.8</v>
      </c>
      <c r="E31">
        <v>0</v>
      </c>
      <c r="F31">
        <v>0</v>
      </c>
    </row>
    <row r="32" spans="1:6" x14ac:dyDescent="0.15">
      <c r="A32">
        <v>31</v>
      </c>
      <c r="B32" s="197" t="s">
        <v>222</v>
      </c>
      <c r="C32">
        <v>0.8</v>
      </c>
      <c r="D32">
        <v>0.8</v>
      </c>
      <c r="E32">
        <v>0</v>
      </c>
      <c r="F32">
        <v>0</v>
      </c>
    </row>
    <row r="33" spans="1:6" x14ac:dyDescent="0.15">
      <c r="A33">
        <v>32</v>
      </c>
      <c r="B33" s="197" t="s">
        <v>223</v>
      </c>
      <c r="C33">
        <v>0</v>
      </c>
      <c r="D33">
        <v>0</v>
      </c>
      <c r="E33">
        <v>0</v>
      </c>
      <c r="F33">
        <v>0.8</v>
      </c>
    </row>
    <row r="34" spans="1:6" x14ac:dyDescent="0.15">
      <c r="A34">
        <v>33</v>
      </c>
      <c r="B34" s="197" t="s">
        <v>224</v>
      </c>
      <c r="C34">
        <v>0</v>
      </c>
      <c r="D34">
        <v>0</v>
      </c>
      <c r="E34">
        <v>0</v>
      </c>
      <c r="F34">
        <v>0.8</v>
      </c>
    </row>
    <row r="35" spans="1:6" x14ac:dyDescent="0.15">
      <c r="A35">
        <v>34</v>
      </c>
      <c r="B35" s="197" t="s">
        <v>225</v>
      </c>
      <c r="C35">
        <v>0</v>
      </c>
      <c r="D35">
        <v>0</v>
      </c>
      <c r="E35">
        <v>0</v>
      </c>
      <c r="F35">
        <v>0.8</v>
      </c>
    </row>
    <row r="36" spans="1:6" x14ac:dyDescent="0.15">
      <c r="A36">
        <v>35</v>
      </c>
      <c r="B36" s="197" t="s">
        <v>226</v>
      </c>
      <c r="C36">
        <v>0</v>
      </c>
      <c r="D36">
        <v>0</v>
      </c>
      <c r="E36">
        <v>0</v>
      </c>
      <c r="F36">
        <v>0.8</v>
      </c>
    </row>
    <row r="37" spans="1:6" x14ac:dyDescent="0.15">
      <c r="A37">
        <v>36</v>
      </c>
      <c r="B37" s="197" t="s">
        <v>227</v>
      </c>
      <c r="C37">
        <v>0</v>
      </c>
      <c r="D37">
        <v>0</v>
      </c>
      <c r="E37">
        <v>0</v>
      </c>
      <c r="F37">
        <v>0.8</v>
      </c>
    </row>
    <row r="38" spans="1:6" x14ac:dyDescent="0.15">
      <c r="A38">
        <v>37</v>
      </c>
      <c r="B38" s="197" t="s">
        <v>228</v>
      </c>
      <c r="C38">
        <v>0</v>
      </c>
      <c r="D38">
        <v>0</v>
      </c>
      <c r="E38">
        <v>0</v>
      </c>
      <c r="F38">
        <v>0.8</v>
      </c>
    </row>
    <row r="39" spans="1:6" x14ac:dyDescent="0.15">
      <c r="A39">
        <v>38</v>
      </c>
      <c r="B39" s="197" t="s">
        <v>229</v>
      </c>
      <c r="C39">
        <v>0.8</v>
      </c>
      <c r="D39">
        <v>0.8</v>
      </c>
      <c r="E39">
        <v>0</v>
      </c>
      <c r="F39">
        <v>0</v>
      </c>
    </row>
    <row r="40" spans="1:6" x14ac:dyDescent="0.15">
      <c r="A40">
        <v>39</v>
      </c>
      <c r="B40" s="197" t="s">
        <v>230</v>
      </c>
      <c r="C40">
        <v>0</v>
      </c>
      <c r="D40">
        <v>0.8</v>
      </c>
      <c r="E40">
        <v>0</v>
      </c>
      <c r="F40">
        <v>0</v>
      </c>
    </row>
    <row r="41" spans="1:6" x14ac:dyDescent="0.15">
      <c r="A41">
        <v>40</v>
      </c>
      <c r="B41" s="197" t="s">
        <v>231</v>
      </c>
      <c r="C41">
        <v>0</v>
      </c>
      <c r="D41">
        <v>0</v>
      </c>
      <c r="E41">
        <v>0</v>
      </c>
      <c r="F41">
        <v>0</v>
      </c>
    </row>
    <row r="42" spans="1:6" x14ac:dyDescent="0.15">
      <c r="A42">
        <v>41</v>
      </c>
      <c r="B42" s="197" t="s">
        <v>232</v>
      </c>
      <c r="C42">
        <v>0</v>
      </c>
      <c r="D42">
        <v>0</v>
      </c>
      <c r="E42">
        <v>0</v>
      </c>
      <c r="F42">
        <v>0</v>
      </c>
    </row>
    <row r="43" spans="1:6" x14ac:dyDescent="0.15">
      <c r="A43">
        <v>42</v>
      </c>
      <c r="B43" s="197" t="s">
        <v>233</v>
      </c>
      <c r="C43">
        <v>0</v>
      </c>
      <c r="D43">
        <v>0</v>
      </c>
      <c r="E43">
        <v>0</v>
      </c>
      <c r="F43">
        <v>0</v>
      </c>
    </row>
    <row r="44" spans="1:6" x14ac:dyDescent="0.15">
      <c r="A44">
        <v>43</v>
      </c>
      <c r="B44" s="197" t="s">
        <v>234</v>
      </c>
      <c r="C44">
        <v>0</v>
      </c>
      <c r="D44">
        <v>0</v>
      </c>
      <c r="E44">
        <v>0</v>
      </c>
      <c r="F44">
        <v>0</v>
      </c>
    </row>
    <row r="45" spans="1:6" x14ac:dyDescent="0.15">
      <c r="A45">
        <v>44</v>
      </c>
      <c r="B45" s="197" t="s">
        <v>235</v>
      </c>
      <c r="C45">
        <v>0</v>
      </c>
      <c r="D45">
        <v>0</v>
      </c>
      <c r="E45">
        <v>0</v>
      </c>
      <c r="F45">
        <v>0</v>
      </c>
    </row>
    <row r="46" spans="1:6" x14ac:dyDescent="0.15">
      <c r="A46">
        <v>45</v>
      </c>
      <c r="B46" s="197" t="s">
        <v>236</v>
      </c>
      <c r="C46">
        <v>0</v>
      </c>
      <c r="D46">
        <v>0</v>
      </c>
      <c r="E46">
        <v>0</v>
      </c>
      <c r="F46">
        <v>0</v>
      </c>
    </row>
    <row r="47" spans="1:6" x14ac:dyDescent="0.15">
      <c r="A47">
        <v>46</v>
      </c>
      <c r="B47" s="197" t="s">
        <v>237</v>
      </c>
      <c r="C47">
        <v>0</v>
      </c>
      <c r="D47">
        <v>0</v>
      </c>
      <c r="E47">
        <v>0</v>
      </c>
      <c r="F47">
        <v>0.8</v>
      </c>
    </row>
    <row r="48" spans="1:6" x14ac:dyDescent="0.15">
      <c r="A48">
        <v>47</v>
      </c>
      <c r="B48" s="197" t="s">
        <v>238</v>
      </c>
      <c r="C48">
        <v>0</v>
      </c>
      <c r="D48">
        <v>0</v>
      </c>
      <c r="E48">
        <v>0</v>
      </c>
      <c r="F48">
        <v>0.8</v>
      </c>
    </row>
    <row r="49" spans="1:6" x14ac:dyDescent="0.15">
      <c r="A49">
        <v>48</v>
      </c>
      <c r="B49" s="197" t="s">
        <v>239</v>
      </c>
      <c r="C49">
        <v>0</v>
      </c>
      <c r="D49">
        <v>0</v>
      </c>
      <c r="E49">
        <v>0</v>
      </c>
      <c r="F49">
        <v>0.8</v>
      </c>
    </row>
    <row r="50" spans="1:6" x14ac:dyDescent="0.15">
      <c r="A50">
        <v>49</v>
      </c>
      <c r="B50" s="197" t="s">
        <v>240</v>
      </c>
      <c r="C50">
        <v>0</v>
      </c>
      <c r="D50">
        <v>0</v>
      </c>
      <c r="E50">
        <v>0</v>
      </c>
      <c r="F50">
        <v>0</v>
      </c>
    </row>
    <row r="51" spans="1:6" x14ac:dyDescent="0.15">
      <c r="A51">
        <v>50</v>
      </c>
      <c r="B51" s="197" t="s">
        <v>241</v>
      </c>
      <c r="C51">
        <v>0</v>
      </c>
      <c r="D51">
        <v>0</v>
      </c>
      <c r="E51">
        <v>0</v>
      </c>
      <c r="F51">
        <v>0.8</v>
      </c>
    </row>
    <row r="52" spans="1:6" x14ac:dyDescent="0.15">
      <c r="A52">
        <v>51</v>
      </c>
      <c r="B52" s="197" t="s">
        <v>242</v>
      </c>
      <c r="C52">
        <v>0</v>
      </c>
      <c r="D52">
        <v>0</v>
      </c>
      <c r="E52">
        <v>0</v>
      </c>
      <c r="F52">
        <v>0</v>
      </c>
    </row>
    <row r="53" spans="1:6" x14ac:dyDescent="0.15">
      <c r="A53">
        <v>52</v>
      </c>
      <c r="B53" s="197" t="s">
        <v>243</v>
      </c>
      <c r="C53">
        <v>0</v>
      </c>
      <c r="D53">
        <v>0</v>
      </c>
      <c r="E53">
        <v>0</v>
      </c>
      <c r="F5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6"/>
    <col min="2" max="2" width="41.83203125" style="86" bestFit="1" customWidth="1"/>
    <col min="3" max="3" width="9.33203125" style="86" bestFit="1" customWidth="1"/>
    <col min="4" max="4" width="13" style="86" bestFit="1" customWidth="1"/>
    <col min="5" max="6" width="9.33203125" style="86" bestFit="1" customWidth="1"/>
    <col min="7" max="7" width="9.33203125" style="102" bestFit="1" customWidth="1"/>
    <col min="8" max="8" width="9.33203125" style="86" bestFit="1" customWidth="1"/>
    <col min="9" max="9" width="11" style="86" customWidth="1"/>
    <col min="10" max="10" width="8.83203125" style="86"/>
    <col min="15" max="16384" width="8.83203125" style="8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192</v>
      </c>
      <c r="C2" s="8">
        <v>4.1559481620788574</v>
      </c>
      <c r="D2" s="9">
        <v>9.9999997764825821E-3</v>
      </c>
      <c r="E2" s="9">
        <v>3.9999999105930328E-2</v>
      </c>
      <c r="F2" s="9">
        <v>12.460000038146973</v>
      </c>
      <c r="G2" s="7">
        <v>0</v>
      </c>
      <c r="H2" s="9">
        <v>3.2102728728204966E-3</v>
      </c>
      <c r="I2">
        <v>0</v>
      </c>
      <c r="J2"/>
    </row>
    <row r="3" spans="1:10" ht="15" customHeight="1" x14ac:dyDescent="0.15">
      <c r="A3" s="151">
        <v>2</v>
      </c>
      <c r="B3" s="151" t="s">
        <v>193</v>
      </c>
      <c r="C3" s="8">
        <v>3.4430243968963623</v>
      </c>
      <c r="D3" s="9">
        <v>9.9999997764825821E-3</v>
      </c>
      <c r="E3" s="9">
        <v>0.2800000011920929</v>
      </c>
      <c r="F3" s="9">
        <v>67</v>
      </c>
      <c r="G3" s="7">
        <v>0</v>
      </c>
      <c r="H3" s="9">
        <v>4.1791046969592571E-3</v>
      </c>
      <c r="I3">
        <v>0</v>
      </c>
      <c r="J3"/>
    </row>
    <row r="4" spans="1:10" ht="15" customHeight="1" x14ac:dyDescent="0.15">
      <c r="A4" s="152">
        <v>3</v>
      </c>
      <c r="B4" s="152" t="s">
        <v>194</v>
      </c>
      <c r="C4" s="8">
        <v>3.9444091320037842</v>
      </c>
      <c r="D4" s="9">
        <v>0.11999999731779099</v>
      </c>
      <c r="E4" s="9">
        <v>0.20999999344348907</v>
      </c>
      <c r="F4" s="9">
        <v>2.0999999046325684</v>
      </c>
      <c r="G4" s="9">
        <v>0.65654736757278442</v>
      </c>
      <c r="H4" s="9">
        <v>0.10000000149011612</v>
      </c>
      <c r="I4">
        <v>1.4000000432133675E-2</v>
      </c>
      <c r="J4"/>
    </row>
    <row r="5" spans="1:10" ht="15" customHeight="1" x14ac:dyDescent="0.15">
      <c r="A5" s="153">
        <v>4</v>
      </c>
      <c r="B5" s="153" t="s">
        <v>195</v>
      </c>
      <c r="C5" s="8">
        <v>3.8023838996887207</v>
      </c>
      <c r="D5" s="9">
        <v>5.3343668696470559E-5</v>
      </c>
      <c r="E5" s="9">
        <v>0.30000001192092896</v>
      </c>
      <c r="F5" s="9">
        <v>17.884120941162109</v>
      </c>
      <c r="G5" s="9">
        <v>0.9741092324256897</v>
      </c>
      <c r="H5" s="9">
        <v>1.6774658113718033E-2</v>
      </c>
      <c r="I5">
        <v>0</v>
      </c>
      <c r="J5"/>
    </row>
    <row r="6" spans="1:10" ht="15" customHeight="1" x14ac:dyDescent="0.15">
      <c r="A6" s="154">
        <v>5</v>
      </c>
      <c r="B6" s="154" t="s">
        <v>196</v>
      </c>
      <c r="C6" s="8">
        <v>2.0953896045684814</v>
      </c>
      <c r="D6" s="9">
        <v>0.41999998688697815</v>
      </c>
      <c r="E6" s="9">
        <v>0.80000001192092896</v>
      </c>
      <c r="F6" s="9">
        <v>8.2200002670288086</v>
      </c>
      <c r="G6" s="9">
        <v>0.79374873638153076</v>
      </c>
      <c r="H6" s="9">
        <v>9.7323596477508545E-2</v>
      </c>
      <c r="I6">
        <v>0.10300000011920929</v>
      </c>
      <c r="J6"/>
    </row>
    <row r="7" spans="1:10" ht="15" customHeight="1" x14ac:dyDescent="0.15">
      <c r="A7" s="155">
        <v>6</v>
      </c>
      <c r="B7" s="155" t="s">
        <v>197</v>
      </c>
      <c r="C7" s="8">
        <v>3.8399796485900879</v>
      </c>
      <c r="D7" s="9">
        <v>3.4200000762939453</v>
      </c>
      <c r="E7" s="9">
        <v>0.95999997854232788</v>
      </c>
      <c r="F7" s="9">
        <v>5.4000000953674316</v>
      </c>
      <c r="G7" s="9">
        <v>0.90037697553634644</v>
      </c>
      <c r="H7" s="9">
        <v>0.17777776718139648</v>
      </c>
      <c r="I7">
        <v>2.6789999008178711</v>
      </c>
      <c r="J7"/>
    </row>
    <row r="8" spans="1:10" ht="15" customHeight="1" x14ac:dyDescent="0.15">
      <c r="A8" s="156">
        <v>7</v>
      </c>
      <c r="B8" s="156" t="s">
        <v>198</v>
      </c>
      <c r="C8" s="8">
        <v>3.19838547706604</v>
      </c>
      <c r="D8" s="9">
        <v>1.4500000476837158</v>
      </c>
      <c r="E8" s="9">
        <v>0.44999998807907104</v>
      </c>
      <c r="F8" s="9">
        <v>2.9999997615814209</v>
      </c>
      <c r="G8" s="9">
        <v>0.73497438430786133</v>
      </c>
      <c r="H8" s="9">
        <v>0.15000000596046448</v>
      </c>
      <c r="I8">
        <v>0.289000004529953</v>
      </c>
      <c r="J8"/>
    </row>
    <row r="9" spans="1:10" ht="15" customHeight="1" x14ac:dyDescent="0.15">
      <c r="A9" s="157">
        <v>8</v>
      </c>
      <c r="B9" s="157" t="s">
        <v>199</v>
      </c>
      <c r="C9" s="8">
        <v>2.9000000953674316</v>
      </c>
      <c r="D9" s="9">
        <v>11.789999961853027</v>
      </c>
      <c r="E9" s="9">
        <v>0.64999997615814209</v>
      </c>
      <c r="F9" s="9">
        <v>4.3333330154418945</v>
      </c>
      <c r="G9" s="9">
        <v>0.77021539211273193</v>
      </c>
      <c r="H9" s="9">
        <v>0.15000000596046448</v>
      </c>
      <c r="I9">
        <v>1.8009999990463257</v>
      </c>
      <c r="J9"/>
    </row>
    <row r="10" spans="1:10" ht="15" customHeight="1" x14ac:dyDescent="0.15">
      <c r="A10" s="158">
        <v>9</v>
      </c>
      <c r="B10" s="158" t="s">
        <v>200</v>
      </c>
      <c r="C10" s="8">
        <v>2.7777779102325439</v>
      </c>
      <c r="D10" s="9">
        <v>18</v>
      </c>
      <c r="E10" s="9">
        <v>0.99000000953674316</v>
      </c>
      <c r="F10" s="9">
        <v>7.6500000953674316</v>
      </c>
      <c r="G10" s="9">
        <v>0.78446751832962036</v>
      </c>
      <c r="H10" s="9">
        <v>0.12941175699234009</v>
      </c>
      <c r="I10">
        <v>2.309999942779541</v>
      </c>
      <c r="J10"/>
    </row>
    <row r="11" spans="1:10" ht="15" customHeight="1" x14ac:dyDescent="0.15">
      <c r="A11" s="159">
        <v>10</v>
      </c>
      <c r="B11" s="159" t="s">
        <v>201</v>
      </c>
      <c r="C11" s="8">
        <v>3.2317318916320801</v>
      </c>
      <c r="D11" s="9">
        <v>10</v>
      </c>
      <c r="E11" s="9">
        <v>0.72000002861022949</v>
      </c>
      <c r="F11" s="9">
        <v>3.6000001430511475</v>
      </c>
      <c r="G11" s="9">
        <v>0.84398448467254639</v>
      </c>
      <c r="H11" s="9">
        <v>0.20000000298023224</v>
      </c>
      <c r="I11">
        <v>3.812000036239624</v>
      </c>
      <c r="J11"/>
    </row>
    <row r="12" spans="1:10" ht="15" customHeight="1" x14ac:dyDescent="0.15">
      <c r="A12" s="160">
        <v>11</v>
      </c>
      <c r="B12" s="160" t="s">
        <v>202</v>
      </c>
      <c r="C12" s="8">
        <v>3.6423420906066895</v>
      </c>
      <c r="D12" s="9">
        <v>1.2400000095367432</v>
      </c>
      <c r="E12" s="9">
        <v>0.30000001192092896</v>
      </c>
      <c r="F12" s="9">
        <v>2</v>
      </c>
      <c r="G12" s="9">
        <v>4.6849921345710754E-2</v>
      </c>
      <c r="H12" s="9">
        <v>0.15000000596046448</v>
      </c>
      <c r="I12">
        <v>6.3000001013278961E-2</v>
      </c>
      <c r="J12"/>
    </row>
    <row r="13" spans="1:10" ht="15" customHeight="1" x14ac:dyDescent="0.15">
      <c r="A13" s="161">
        <v>12</v>
      </c>
      <c r="B13" s="161" t="s">
        <v>203</v>
      </c>
      <c r="C13" s="8">
        <v>3.0471420288085938</v>
      </c>
      <c r="D13" s="9">
        <v>0.82999998331069946</v>
      </c>
      <c r="E13" s="9">
        <v>0.57999998331069946</v>
      </c>
      <c r="F13" s="9">
        <v>2.8999998569488525</v>
      </c>
      <c r="G13" s="9">
        <v>0.85809463262557983</v>
      </c>
      <c r="H13" s="9">
        <v>0.20000000298023224</v>
      </c>
      <c r="I13">
        <v>0.1210000067949295</v>
      </c>
      <c r="J13"/>
    </row>
    <row r="14" spans="1:10" ht="15" customHeight="1" x14ac:dyDescent="0.15">
      <c r="A14" s="162">
        <v>13</v>
      </c>
      <c r="B14" s="162" t="s">
        <v>204</v>
      </c>
      <c r="C14" s="8">
        <v>3.1233677864074707</v>
      </c>
      <c r="D14" s="9">
        <v>4.2100000381469727</v>
      </c>
      <c r="E14" s="9">
        <v>0.62000000476837158</v>
      </c>
      <c r="F14" s="9">
        <v>3.0999999046325684</v>
      </c>
      <c r="G14" s="9">
        <v>0.95079880952835083</v>
      </c>
      <c r="H14" s="9">
        <v>0.20000000298023224</v>
      </c>
      <c r="I14">
        <v>0</v>
      </c>
      <c r="J14"/>
    </row>
    <row r="15" spans="1:10" ht="15" customHeight="1" x14ac:dyDescent="0.15">
      <c r="A15" s="163">
        <v>14</v>
      </c>
      <c r="B15" s="163" t="s">
        <v>205</v>
      </c>
      <c r="C15" s="8">
        <v>3.6588242053985596</v>
      </c>
      <c r="D15" s="9">
        <v>7.6999999582767487E-2</v>
      </c>
      <c r="E15" s="9">
        <v>0.60000002384185791</v>
      </c>
      <c r="F15" s="9">
        <v>3.8499999046325684</v>
      </c>
      <c r="G15" s="9">
        <v>0.7544405460357666</v>
      </c>
      <c r="H15" s="9">
        <v>0.15584416687488556</v>
      </c>
      <c r="I15">
        <v>3.0000000260770321E-3</v>
      </c>
      <c r="J15"/>
    </row>
    <row r="16" spans="1:10" ht="15" customHeight="1" x14ac:dyDescent="0.15">
      <c r="A16" s="164">
        <v>15</v>
      </c>
      <c r="B16" s="164" t="s">
        <v>206</v>
      </c>
      <c r="C16" s="8">
        <v>3.2300384044647217</v>
      </c>
      <c r="D16" s="9">
        <v>3.5229569766670465E-3</v>
      </c>
      <c r="E16" s="9">
        <v>1.1699999570846558</v>
      </c>
      <c r="F16" s="9">
        <v>9.9402074813842773</v>
      </c>
      <c r="G16" s="9">
        <v>0.70600837469100952</v>
      </c>
      <c r="H16" s="9">
        <v>0.11770377308130264</v>
      </c>
      <c r="I16">
        <v>0</v>
      </c>
      <c r="J16"/>
    </row>
    <row r="17" spans="1:10" ht="15" customHeight="1" x14ac:dyDescent="0.15">
      <c r="A17" s="165">
        <v>16</v>
      </c>
      <c r="B17" s="165" t="s">
        <v>207</v>
      </c>
      <c r="C17" s="8">
        <v>3.1505718231201172</v>
      </c>
      <c r="D17" s="9">
        <v>1.690000057220459</v>
      </c>
      <c r="E17" s="9">
        <v>0.47999998927116394</v>
      </c>
      <c r="F17" s="9">
        <v>4.6999998092651367</v>
      </c>
      <c r="G17" s="9">
        <v>0.88369470834732056</v>
      </c>
      <c r="H17" s="9">
        <v>0.10212766379117966</v>
      </c>
      <c r="I17">
        <v>0.16699999570846558</v>
      </c>
      <c r="J17"/>
    </row>
    <row r="18" spans="1:10" ht="15" customHeight="1" x14ac:dyDescent="0.15">
      <c r="A18" s="166">
        <v>17</v>
      </c>
      <c r="B18" s="166" t="s">
        <v>208</v>
      </c>
      <c r="C18" s="8">
        <v>3.1411364078521729</v>
      </c>
      <c r="D18" s="9">
        <v>1.2495813891291618E-2</v>
      </c>
      <c r="E18" s="9">
        <v>0.75999999046325684</v>
      </c>
      <c r="F18" s="9">
        <v>21.072868347167969</v>
      </c>
      <c r="G18" s="9">
        <v>0.88430148363113403</v>
      </c>
      <c r="H18" s="9">
        <v>3.6065332591533661E-2</v>
      </c>
      <c r="I18">
        <v>0</v>
      </c>
      <c r="J18"/>
    </row>
    <row r="19" spans="1:10" ht="15" customHeight="1" x14ac:dyDescent="0.15">
      <c r="A19" s="167">
        <v>18</v>
      </c>
      <c r="B19" s="167" t="s">
        <v>209</v>
      </c>
      <c r="C19" s="8">
        <v>3.4764778614044189</v>
      </c>
      <c r="D19" s="9">
        <v>0.60000002384185791</v>
      </c>
      <c r="E19" s="9">
        <v>0.34000000357627869</v>
      </c>
      <c r="F19" s="9">
        <v>4.0999999046325684</v>
      </c>
      <c r="G19" s="9">
        <v>0.22566589713096619</v>
      </c>
      <c r="H19" s="9">
        <v>8.2926832139492035E-2</v>
      </c>
      <c r="I19">
        <v>3.4000001847743988E-2</v>
      </c>
      <c r="J19"/>
    </row>
    <row r="20" spans="1:10" ht="15" customHeight="1" x14ac:dyDescent="0.15">
      <c r="A20" s="168">
        <v>19</v>
      </c>
      <c r="B20" s="168" t="s">
        <v>210</v>
      </c>
      <c r="C20" s="8">
        <v>3.0451762676239014</v>
      </c>
      <c r="D20" s="9">
        <v>1.6645949799567461E-3</v>
      </c>
      <c r="E20" s="9">
        <v>0.57999998331069946</v>
      </c>
      <c r="F20" s="9">
        <v>22.327184677124023</v>
      </c>
      <c r="G20" s="9">
        <v>0.7800254225730896</v>
      </c>
      <c r="H20" s="9">
        <v>2.5977300480008125E-2</v>
      </c>
      <c r="I20">
        <v>0</v>
      </c>
      <c r="J20"/>
    </row>
    <row r="21" spans="1:10" ht="15" customHeight="1" x14ac:dyDescent="0.15">
      <c r="A21" s="169">
        <v>20</v>
      </c>
      <c r="B21" s="169" t="s">
        <v>211</v>
      </c>
      <c r="C21" s="8">
        <v>4.0623798370361328</v>
      </c>
      <c r="D21" s="9">
        <v>0.20000000298023224</v>
      </c>
      <c r="E21" s="9">
        <v>0.23999999463558197</v>
      </c>
      <c r="F21" s="9">
        <v>1.5999999046325684</v>
      </c>
      <c r="G21" s="9">
        <v>0.78704160451889038</v>
      </c>
      <c r="H21" s="9">
        <v>0.15000000596046448</v>
      </c>
      <c r="I21">
        <v>1.0999999940395355E-2</v>
      </c>
      <c r="J21"/>
    </row>
    <row r="22" spans="1:10" ht="15" customHeight="1" x14ac:dyDescent="0.15">
      <c r="A22" s="170">
        <v>21</v>
      </c>
      <c r="B22" s="170" t="s">
        <v>212</v>
      </c>
      <c r="C22" s="8">
        <v>4.0773501396179199</v>
      </c>
      <c r="D22" s="9">
        <v>0.36000001430511475</v>
      </c>
      <c r="E22" s="9">
        <v>0.4699999988079071</v>
      </c>
      <c r="F22" s="9">
        <v>3.3499999046325684</v>
      </c>
      <c r="G22" s="9">
        <v>0.46729278564453125</v>
      </c>
      <c r="H22" s="9">
        <v>0.1402985155582428</v>
      </c>
      <c r="I22">
        <v>7.1000002324581146E-2</v>
      </c>
      <c r="J22"/>
    </row>
    <row r="23" spans="1:10" ht="15" customHeight="1" x14ac:dyDescent="0.15">
      <c r="A23" s="171">
        <v>22</v>
      </c>
      <c r="B23" s="171" t="s">
        <v>213</v>
      </c>
      <c r="C23" s="8">
        <v>3.2390472888946533</v>
      </c>
      <c r="D23" s="9">
        <v>1.5499999523162842</v>
      </c>
      <c r="E23" s="9">
        <v>0.56999999284744263</v>
      </c>
      <c r="F23" s="9">
        <v>6.1999998092651367</v>
      </c>
      <c r="G23" s="9">
        <v>0.90769511461257935</v>
      </c>
      <c r="H23" s="9">
        <v>9.1935485601425171E-2</v>
      </c>
      <c r="I23">
        <v>0.14600001275539398</v>
      </c>
      <c r="J23"/>
    </row>
    <row r="24" spans="1:10" ht="15" customHeight="1" x14ac:dyDescent="0.15">
      <c r="A24" s="172">
        <v>23</v>
      </c>
      <c r="B24" s="172" t="s">
        <v>214</v>
      </c>
      <c r="C24" s="8">
        <v>3.778939962387085</v>
      </c>
      <c r="D24" s="9">
        <v>0.10999999940395355</v>
      </c>
      <c r="E24" s="9">
        <v>0.43000000715255737</v>
      </c>
      <c r="F24" s="9">
        <v>3.1500000953674316</v>
      </c>
      <c r="G24" s="10"/>
      <c r="H24" s="9">
        <v>0.13650792837142944</v>
      </c>
      <c r="I24">
        <v>2.5000002235174179E-2</v>
      </c>
      <c r="J24"/>
    </row>
    <row r="25" spans="1:10" ht="15" customHeight="1" x14ac:dyDescent="0.15">
      <c r="A25" s="173">
        <v>24</v>
      </c>
      <c r="B25" s="173" t="s">
        <v>215</v>
      </c>
      <c r="C25" s="8">
        <v>3.5310215950012207</v>
      </c>
      <c r="D25" s="9">
        <v>3.747142618522048E-4</v>
      </c>
      <c r="E25" s="9">
        <v>0.43999999761581421</v>
      </c>
      <c r="F25" s="9">
        <v>16.193628311157227</v>
      </c>
      <c r="G25" s="10"/>
      <c r="H25" s="9">
        <v>2.717117965221405E-2</v>
      </c>
      <c r="I25">
        <v>0</v>
      </c>
      <c r="J25"/>
    </row>
    <row r="26" spans="1:10" ht="15" customHeight="1" x14ac:dyDescent="0.15">
      <c r="A26" s="174">
        <v>25</v>
      </c>
      <c r="B26" s="174" t="s">
        <v>216</v>
      </c>
      <c r="C26" s="8">
        <v>2.9632866382598877</v>
      </c>
      <c r="D26" s="9">
        <v>1.2899999618530273</v>
      </c>
      <c r="E26" s="9">
        <v>0.43999999761581421</v>
      </c>
      <c r="F26" s="9">
        <v>2.3599998950958252</v>
      </c>
      <c r="G26" s="9">
        <v>0.87044763565063477</v>
      </c>
      <c r="H26" s="9">
        <v>0.18644069135189056</v>
      </c>
      <c r="I26">
        <v>1.39999995008111E-2</v>
      </c>
      <c r="J26"/>
    </row>
    <row r="27" spans="1:10" ht="15" customHeight="1" x14ac:dyDescent="0.15">
      <c r="A27" s="175">
        <v>26</v>
      </c>
      <c r="B27" s="175" t="s">
        <v>217</v>
      </c>
      <c r="C27" s="8">
        <v>2.5979733467102051</v>
      </c>
      <c r="D27" s="9">
        <v>1.0739034973084927E-2</v>
      </c>
      <c r="E27" s="9">
        <v>0.86000001430511475</v>
      </c>
      <c r="F27" s="9">
        <v>9.7905158996582031</v>
      </c>
      <c r="G27" s="9">
        <v>0.93875837326049805</v>
      </c>
      <c r="H27" s="9">
        <v>8.7840110063552856E-2</v>
      </c>
      <c r="I27">
        <v>0</v>
      </c>
      <c r="J27"/>
    </row>
    <row r="28" spans="1:10" ht="15" customHeight="1" x14ac:dyDescent="0.15">
      <c r="A28" s="176">
        <v>27</v>
      </c>
      <c r="B28" s="176" t="s">
        <v>218</v>
      </c>
      <c r="C28" s="8">
        <v>3.4180893898010254</v>
      </c>
      <c r="D28" s="9">
        <v>0.2199999988079071</v>
      </c>
      <c r="E28" s="9">
        <v>0.28999999165534973</v>
      </c>
      <c r="F28" s="9">
        <v>4.25</v>
      </c>
      <c r="G28" s="9">
        <v>5.3949330002069473E-2</v>
      </c>
      <c r="H28" s="9">
        <v>6.8235293030738831E-2</v>
      </c>
      <c r="I28">
        <v>1.7000000923871994E-2</v>
      </c>
      <c r="J28"/>
    </row>
    <row r="29" spans="1:10" ht="15" customHeight="1" x14ac:dyDescent="0.15">
      <c r="A29" s="177">
        <v>28</v>
      </c>
      <c r="B29" s="177" t="s">
        <v>219</v>
      </c>
      <c r="C29" s="8">
        <v>3.3066847324371338</v>
      </c>
      <c r="D29" s="9">
        <v>0.34999999403953552</v>
      </c>
      <c r="E29" s="9">
        <v>0.57999998331069946</v>
      </c>
      <c r="F29" s="9">
        <v>2.8999998569488525</v>
      </c>
      <c r="G29" s="9">
        <v>0.88186079263687134</v>
      </c>
      <c r="H29" s="9">
        <v>0.20000000298023224</v>
      </c>
      <c r="I29">
        <v>9.0000005438923836E-3</v>
      </c>
      <c r="J29"/>
    </row>
    <row r="30" spans="1:10" ht="15" customHeight="1" x14ac:dyDescent="0.15">
      <c r="A30" s="178">
        <v>29</v>
      </c>
      <c r="B30" s="178" t="s">
        <v>220</v>
      </c>
      <c r="C30" s="8">
        <v>3.0507023334503174</v>
      </c>
      <c r="D30" s="9">
        <v>6.195000171661377</v>
      </c>
      <c r="E30" s="9">
        <v>0.81999999284744263</v>
      </c>
      <c r="F30" s="9">
        <v>7.5999999046325684</v>
      </c>
      <c r="G30" s="9">
        <v>0.94984418153762817</v>
      </c>
      <c r="H30" s="9">
        <v>0.10789473354816437</v>
      </c>
      <c r="I30">
        <v>4.999999888241291E-3</v>
      </c>
      <c r="J30"/>
    </row>
    <row r="31" spans="1:10" ht="15" customHeight="1" x14ac:dyDescent="0.15">
      <c r="A31" s="179">
        <v>30</v>
      </c>
      <c r="B31" s="179" t="s">
        <v>221</v>
      </c>
      <c r="C31" s="8">
        <v>3.1515533924102783</v>
      </c>
      <c r="D31" s="9">
        <v>1.3700000047683716</v>
      </c>
      <c r="E31" s="9">
        <v>1.3999999761581421</v>
      </c>
      <c r="F31" s="9">
        <v>4.6666665077209473</v>
      </c>
      <c r="G31" s="9">
        <v>0.63798385858535767</v>
      </c>
      <c r="H31" s="9">
        <v>0.30000001192092896</v>
      </c>
      <c r="I31">
        <v>0.88300001621246338</v>
      </c>
      <c r="J31"/>
    </row>
    <row r="32" spans="1:10" ht="15" customHeight="1" x14ac:dyDescent="0.15">
      <c r="A32" s="207">
        <v>31</v>
      </c>
      <c r="B32" s="207" t="s">
        <v>222</v>
      </c>
      <c r="C32" s="8">
        <v>3.5623462200164795</v>
      </c>
      <c r="D32" s="9">
        <v>1</v>
      </c>
      <c r="E32" s="9">
        <v>1.2000000476837158</v>
      </c>
      <c r="F32" s="9">
        <v>4</v>
      </c>
      <c r="G32" s="9">
        <v>0.83862787485122681</v>
      </c>
      <c r="H32" s="9">
        <v>0.30000001192092896</v>
      </c>
      <c r="I32">
        <v>0.25499999523162842</v>
      </c>
      <c r="J32"/>
    </row>
    <row r="33" spans="1:10" ht="15" customHeight="1" x14ac:dyDescent="0.15">
      <c r="A33" s="208">
        <v>32</v>
      </c>
      <c r="B33" s="208" t="s">
        <v>223</v>
      </c>
      <c r="C33" s="8">
        <v>2.432642936706543</v>
      </c>
      <c r="D33" s="9">
        <v>9.119999885559082</v>
      </c>
      <c r="E33" s="9">
        <v>1.440000057220459</v>
      </c>
      <c r="F33" s="9">
        <v>7.2000002861022949</v>
      </c>
      <c r="G33" s="9">
        <v>0.94639104604721069</v>
      </c>
      <c r="H33" s="9">
        <v>0.20000000298023224</v>
      </c>
      <c r="I33">
        <v>0.91200000047683716</v>
      </c>
      <c r="J33"/>
    </row>
    <row r="34" spans="1:10" ht="15" customHeight="1" x14ac:dyDescent="0.15">
      <c r="A34" s="209">
        <v>33</v>
      </c>
      <c r="B34" s="209" t="s">
        <v>224</v>
      </c>
      <c r="C34" s="8">
        <v>2.0526316165924072</v>
      </c>
      <c r="D34" s="9">
        <v>17.860000610351562</v>
      </c>
      <c r="E34" s="9">
        <v>1.5</v>
      </c>
      <c r="F34" s="9">
        <v>16.666666030883789</v>
      </c>
      <c r="G34" s="9">
        <v>0.95491135120391846</v>
      </c>
      <c r="H34" s="9">
        <v>9.0000003576278687E-2</v>
      </c>
      <c r="I34">
        <v>1.7860000133514404</v>
      </c>
      <c r="J34"/>
    </row>
    <row r="35" spans="1:10" ht="15" customHeight="1" x14ac:dyDescent="0.15">
      <c r="A35" s="210">
        <v>34</v>
      </c>
      <c r="B35" s="210" t="s">
        <v>225</v>
      </c>
      <c r="C35" s="8">
        <v>2.0299999713897705</v>
      </c>
      <c r="D35" s="9">
        <v>5.3199996948242188</v>
      </c>
      <c r="E35" s="9">
        <v>3</v>
      </c>
      <c r="F35" s="9">
        <v>33.333332061767578</v>
      </c>
      <c r="G35" s="9">
        <v>0.83867347240447998</v>
      </c>
      <c r="H35" s="9">
        <v>9.0000003576278687E-2</v>
      </c>
      <c r="I35">
        <v>0.53200000524520874</v>
      </c>
      <c r="J35"/>
    </row>
    <row r="36" spans="1:10" ht="15" customHeight="1" x14ac:dyDescent="0.15">
      <c r="A36" s="211">
        <v>35</v>
      </c>
      <c r="B36" s="211" t="s">
        <v>226</v>
      </c>
      <c r="C36" s="8">
        <v>2.0999999046325684</v>
      </c>
      <c r="D36" s="9">
        <v>1.1399999856948853</v>
      </c>
      <c r="E36" s="9">
        <v>2.4000000953674316</v>
      </c>
      <c r="F36" s="9">
        <v>12</v>
      </c>
      <c r="G36" s="9">
        <v>0.99594265222549438</v>
      </c>
      <c r="H36" s="9">
        <v>0.20000000298023224</v>
      </c>
      <c r="I36">
        <v>5.7000000029802322E-2</v>
      </c>
      <c r="J36"/>
    </row>
    <row r="37" spans="1:10" ht="15" customHeight="1" x14ac:dyDescent="0.15">
      <c r="A37" s="212">
        <v>36</v>
      </c>
      <c r="B37" s="212" t="s">
        <v>227</v>
      </c>
      <c r="C37" s="8">
        <v>2.207399845123291</v>
      </c>
      <c r="D37" s="9">
        <v>0.56999999284744263</v>
      </c>
      <c r="E37" s="9">
        <v>1.7999999523162842</v>
      </c>
      <c r="F37" s="9">
        <v>9</v>
      </c>
      <c r="G37" s="9">
        <v>0.8850705623626709</v>
      </c>
      <c r="H37" s="9">
        <v>0.19999998807907104</v>
      </c>
      <c r="I37">
        <v>1.7100000753998756E-2</v>
      </c>
      <c r="J37"/>
    </row>
    <row r="38" spans="1:10" ht="15" customHeight="1" x14ac:dyDescent="0.15">
      <c r="A38" s="213">
        <v>37</v>
      </c>
      <c r="B38" s="213" t="s">
        <v>228</v>
      </c>
      <c r="C38" s="8">
        <v>2</v>
      </c>
      <c r="D38" s="9">
        <v>2.0899999141693115</v>
      </c>
      <c r="E38" s="9">
        <v>9</v>
      </c>
      <c r="F38" s="9">
        <v>99.999992370605469</v>
      </c>
      <c r="G38" s="9">
        <v>0.95228701829910278</v>
      </c>
      <c r="H38" s="9">
        <v>9.0000003576278687E-2</v>
      </c>
      <c r="I38">
        <v>0.41800001263618469</v>
      </c>
      <c r="J38"/>
    </row>
    <row r="39" spans="1:10" ht="15" customHeight="1" x14ac:dyDescent="0.15">
      <c r="A39" s="214">
        <v>38</v>
      </c>
      <c r="B39" s="214" t="s">
        <v>229</v>
      </c>
      <c r="C39" s="8">
        <v>2.5237264633178711</v>
      </c>
      <c r="D39" s="9">
        <v>8.1000003814697266</v>
      </c>
      <c r="E39" s="9">
        <v>1.5</v>
      </c>
      <c r="F39" s="9">
        <v>7.5</v>
      </c>
      <c r="G39" s="9">
        <v>0.73254060745239258</v>
      </c>
      <c r="H39" s="9">
        <v>0.20000000298023224</v>
      </c>
      <c r="I39">
        <v>5.0000003539025784E-3</v>
      </c>
      <c r="J39"/>
    </row>
    <row r="40" spans="1:10" ht="15" customHeight="1" x14ac:dyDescent="0.15">
      <c r="A40" s="215">
        <v>39</v>
      </c>
      <c r="B40" s="215" t="s">
        <v>230</v>
      </c>
      <c r="C40" s="8">
        <v>2</v>
      </c>
      <c r="D40" s="9">
        <v>26.211601257324219</v>
      </c>
      <c r="E40" s="9">
        <v>1.5</v>
      </c>
      <c r="F40" s="9">
        <v>16.666666030883789</v>
      </c>
      <c r="G40" s="9">
        <v>0.49976503849029541</v>
      </c>
      <c r="H40" s="9">
        <v>9.0000003576278687E-2</v>
      </c>
      <c r="I40">
        <v>3.0100000003585592E-6</v>
      </c>
      <c r="J40"/>
    </row>
    <row r="41" spans="1:10" ht="15" customHeight="1" x14ac:dyDescent="0.15">
      <c r="A41" s="216">
        <v>40</v>
      </c>
      <c r="B41" s="216" t="s">
        <v>231</v>
      </c>
      <c r="C41" s="8">
        <v>2.0010001659393311</v>
      </c>
      <c r="D41" s="9">
        <v>31.76820182800293</v>
      </c>
      <c r="E41" s="9">
        <v>3</v>
      </c>
      <c r="F41" s="9">
        <v>33</v>
      </c>
      <c r="G41" s="9">
        <v>0.40921670198440552</v>
      </c>
      <c r="H41" s="9">
        <v>9.0909093618392944E-2</v>
      </c>
      <c r="I41">
        <v>0</v>
      </c>
      <c r="J41"/>
    </row>
    <row r="42" spans="1:10" ht="15" customHeight="1" x14ac:dyDescent="0.15">
      <c r="A42" s="217">
        <v>41</v>
      </c>
      <c r="B42" s="217" t="s">
        <v>232</v>
      </c>
      <c r="C42" s="8">
        <v>2.0999999046325684</v>
      </c>
      <c r="D42" s="9">
        <v>8.0352001190185547</v>
      </c>
      <c r="E42" s="9">
        <v>2.4000000953674316</v>
      </c>
      <c r="F42" s="9">
        <v>12</v>
      </c>
      <c r="G42" s="9">
        <v>0.79660212993621826</v>
      </c>
      <c r="H42" s="9">
        <v>0.20000000298023224</v>
      </c>
      <c r="I42">
        <v>0</v>
      </c>
      <c r="J42"/>
    </row>
    <row r="43" spans="1:10" ht="15" customHeight="1" x14ac:dyDescent="0.15">
      <c r="A43" s="218">
        <v>42</v>
      </c>
      <c r="B43" s="218" t="s">
        <v>233</v>
      </c>
      <c r="C43" s="8">
        <v>2.1020400524139404</v>
      </c>
      <c r="D43" s="9">
        <v>17.212499618530273</v>
      </c>
      <c r="E43" s="9">
        <v>1.7999999523162842</v>
      </c>
      <c r="F43" s="9">
        <v>9</v>
      </c>
      <c r="G43" s="9">
        <v>0.2237793505191803</v>
      </c>
      <c r="H43" s="9">
        <v>0.19999998807907104</v>
      </c>
      <c r="I43">
        <v>0</v>
      </c>
      <c r="J43"/>
    </row>
    <row r="44" spans="1:10" ht="15" customHeight="1" x14ac:dyDescent="0.15">
      <c r="A44" s="219">
        <v>43</v>
      </c>
      <c r="B44" s="219" t="s">
        <v>234</v>
      </c>
      <c r="C44" s="8">
        <v>2</v>
      </c>
      <c r="D44" s="9">
        <v>8.9099998474121094</v>
      </c>
      <c r="E44" s="9">
        <v>9</v>
      </c>
      <c r="F44" s="9">
        <v>99.999992370605469</v>
      </c>
      <c r="G44" s="9">
        <v>0.25308355689048767</v>
      </c>
      <c r="H44" s="9">
        <v>9.0000003576278687E-2</v>
      </c>
      <c r="I44">
        <v>0</v>
      </c>
      <c r="J44"/>
    </row>
    <row r="45" spans="1:10" ht="15" customHeight="1" x14ac:dyDescent="0.15">
      <c r="A45" s="220">
        <v>44</v>
      </c>
      <c r="B45" s="220" t="s">
        <v>235</v>
      </c>
      <c r="C45" s="8">
        <v>2</v>
      </c>
      <c r="D45" s="9">
        <v>55.080001831054688</v>
      </c>
      <c r="E45" s="9">
        <v>24</v>
      </c>
      <c r="F45" s="9">
        <v>112</v>
      </c>
      <c r="G45" s="9">
        <v>0.14552752673625946</v>
      </c>
      <c r="H45" s="9">
        <v>0.2142857164144516</v>
      </c>
      <c r="I45">
        <v>0</v>
      </c>
      <c r="J45"/>
    </row>
    <row r="46" spans="1:10" ht="15" customHeight="1" x14ac:dyDescent="0.15">
      <c r="A46" s="221">
        <v>45</v>
      </c>
      <c r="B46" s="221" t="s">
        <v>236</v>
      </c>
      <c r="C46" s="8">
        <v>2.4020617008209229</v>
      </c>
      <c r="D46" s="9">
        <v>3.410099983215332</v>
      </c>
      <c r="E46" s="9">
        <v>4.3000001907348633</v>
      </c>
      <c r="F46" s="9">
        <v>17</v>
      </c>
      <c r="G46" s="9">
        <v>0.72764492034912109</v>
      </c>
      <c r="H46" s="9">
        <v>0.25294119119644165</v>
      </c>
      <c r="I46">
        <v>0</v>
      </c>
      <c r="J46"/>
    </row>
    <row r="47" spans="1:10" ht="15" customHeight="1" x14ac:dyDescent="0.15">
      <c r="A47" s="222">
        <v>46</v>
      </c>
      <c r="B47" s="222" t="s">
        <v>237</v>
      </c>
      <c r="C47" s="8">
        <v>2</v>
      </c>
      <c r="D47" s="9">
        <v>1.8322434425354004</v>
      </c>
      <c r="E47" s="9">
        <v>24</v>
      </c>
      <c r="F47" s="9">
        <v>112</v>
      </c>
      <c r="G47" s="9">
        <v>0.8000139594078064</v>
      </c>
      <c r="H47" s="9">
        <v>0.2142857164144516</v>
      </c>
      <c r="I47">
        <v>0.4449470043182373</v>
      </c>
      <c r="J47"/>
    </row>
    <row r="48" spans="1:10" ht="15" customHeight="1" x14ac:dyDescent="0.15">
      <c r="A48" s="223">
        <v>47</v>
      </c>
      <c r="B48" s="223" t="s">
        <v>238</v>
      </c>
      <c r="C48" s="8">
        <v>2.4042553901672363</v>
      </c>
      <c r="D48" s="9">
        <v>2.6042845249176025</v>
      </c>
      <c r="E48" s="9">
        <v>4.3000001907348633</v>
      </c>
      <c r="F48" s="9">
        <v>17</v>
      </c>
      <c r="G48" s="9">
        <v>0.80010581016540527</v>
      </c>
      <c r="H48" s="9">
        <v>0.25294119119644165</v>
      </c>
      <c r="I48">
        <v>0.25009399652481079</v>
      </c>
      <c r="J48"/>
    </row>
    <row r="49" spans="1:10" ht="15" customHeight="1" x14ac:dyDescent="0.15">
      <c r="A49" s="224">
        <v>48</v>
      </c>
      <c r="B49" s="224" t="s">
        <v>239</v>
      </c>
      <c r="C49" s="8">
        <v>1</v>
      </c>
      <c r="D49" s="9">
        <v>5.886199951171875</v>
      </c>
      <c r="E49" s="9">
        <v>100</v>
      </c>
      <c r="F49" s="10"/>
      <c r="G49" s="9">
        <v>0.42842811346054077</v>
      </c>
      <c r="H49" s="10"/>
      <c r="I49">
        <v>11.77239990234375</v>
      </c>
      <c r="J49"/>
    </row>
    <row r="50" spans="1:10" ht="15" customHeight="1" x14ac:dyDescent="0.15">
      <c r="A50" s="225">
        <v>49</v>
      </c>
      <c r="B50" s="225" t="s">
        <v>240</v>
      </c>
      <c r="C50" s="8">
        <v>1</v>
      </c>
      <c r="D50" s="9">
        <v>67.821304321289062</v>
      </c>
      <c r="E50" s="9">
        <v>100</v>
      </c>
      <c r="F50" s="10"/>
      <c r="G50" s="9">
        <v>0.85195845365524292</v>
      </c>
      <c r="H50" s="10"/>
      <c r="I50">
        <v>0</v>
      </c>
      <c r="J50"/>
    </row>
    <row r="51" spans="1:10" ht="15" customHeight="1" x14ac:dyDescent="0.15">
      <c r="A51" s="226">
        <v>50</v>
      </c>
      <c r="B51" s="226" t="s">
        <v>241</v>
      </c>
      <c r="C51" s="8">
        <v>1</v>
      </c>
      <c r="D51" s="9">
        <v>548.803955078125</v>
      </c>
      <c r="E51" s="9">
        <v>4.059999942779541</v>
      </c>
      <c r="F51" s="10"/>
      <c r="G51" s="9">
        <v>1.4003904536366463E-2</v>
      </c>
      <c r="H51" s="10"/>
      <c r="I51">
        <v>13.720100402832031</v>
      </c>
      <c r="J51"/>
    </row>
    <row r="52" spans="1:10" ht="15" customHeight="1" x14ac:dyDescent="0.15">
      <c r="A52" s="227">
        <v>51</v>
      </c>
      <c r="B52" s="227" t="s">
        <v>242</v>
      </c>
      <c r="C52" s="8">
        <v>1</v>
      </c>
      <c r="D52" s="9">
        <v>560</v>
      </c>
      <c r="E52" s="10"/>
      <c r="F52" s="10"/>
      <c r="G52" s="7">
        <v>0.4629051685333252</v>
      </c>
      <c r="H52" s="10"/>
      <c r="I52">
        <v>0</v>
      </c>
      <c r="J52"/>
    </row>
    <row r="53" spans="1:10" ht="15" customHeight="1" x14ac:dyDescent="0.15">
      <c r="A53" s="228">
        <v>52</v>
      </c>
      <c r="B53" s="228" t="s">
        <v>243</v>
      </c>
      <c r="C53" s="8">
        <v>1</v>
      </c>
      <c r="D53" s="9">
        <v>5</v>
      </c>
      <c r="E53" s="10"/>
      <c r="F53" s="10"/>
      <c r="G53" s="7">
        <v>0</v>
      </c>
      <c r="H53" s="10"/>
      <c r="I53">
        <v>0</v>
      </c>
      <c r="J53"/>
    </row>
    <row r="54" spans="1:10" ht="15" customHeight="1" x14ac:dyDescent="0.15">
      <c r="A54" s="229">
        <v>53</v>
      </c>
      <c r="B54" s="229" t="s">
        <v>244</v>
      </c>
      <c r="C54" s="8">
        <v>4.0988163948059082</v>
      </c>
      <c r="D54" s="10"/>
      <c r="E54" s="10"/>
      <c r="F54" s="10"/>
      <c r="G54" s="10"/>
      <c r="H54" s="10"/>
      <c r="I54">
        <v>0.60299992561340332</v>
      </c>
      <c r="J54"/>
    </row>
    <row r="55" spans="1:10" ht="15" customHeight="1" x14ac:dyDescent="0.15">
      <c r="A55" s="230">
        <v>54</v>
      </c>
      <c r="B55" s="230" t="s">
        <v>245</v>
      </c>
      <c r="C55" s="8">
        <v>4.2464871406555176</v>
      </c>
      <c r="D55" s="10"/>
      <c r="E55" s="10"/>
      <c r="F55" s="10"/>
      <c r="G55" s="10"/>
      <c r="H55" s="10"/>
      <c r="I55">
        <v>1.4620028734207153</v>
      </c>
      <c r="J55"/>
    </row>
    <row r="56" spans="1:10" ht="15" customHeight="1" x14ac:dyDescent="0.15">
      <c r="A56" s="231">
        <v>55</v>
      </c>
      <c r="B56" s="231" t="s">
        <v>246</v>
      </c>
      <c r="C56" s="8">
        <v>4.2333974838256836</v>
      </c>
      <c r="D56" s="10"/>
      <c r="E56" s="10"/>
      <c r="F56" s="10"/>
      <c r="G56" s="10"/>
      <c r="H56" s="10"/>
      <c r="I56">
        <v>10.772000312805176</v>
      </c>
      <c r="J56"/>
    </row>
    <row r="57" spans="1:10" ht="15" customHeight="1" x14ac:dyDescent="0.15">
      <c r="A57" s="232">
        <v>56</v>
      </c>
      <c r="B57" s="232" t="s">
        <v>247</v>
      </c>
      <c r="C57" s="8">
        <v>2.1682407855987549</v>
      </c>
      <c r="D57" s="10"/>
      <c r="E57" s="10"/>
      <c r="F57" s="10"/>
      <c r="G57" s="10"/>
      <c r="H57" s="10"/>
      <c r="I57">
        <v>29.909641265869141</v>
      </c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6" bestFit="1" customWidth="1"/>
    <col min="2" max="4" width="9.5" style="86" bestFit="1" customWidth="1"/>
    <col min="5" max="7" width="9" style="86" bestFit="1" customWidth="1"/>
    <col min="8" max="16" width="12.6640625" style="86" bestFit="1" customWidth="1"/>
    <col min="17" max="17" width="12.33203125" style="86" bestFit="1" customWidth="1"/>
    <col min="18" max="18" width="8.83203125" style="86"/>
    <col min="19" max="21" width="9.33203125" style="86" bestFit="1" customWidth="1"/>
    <col min="22" max="23" width="8.83203125" style="86"/>
    <col min="24" max="24" width="9.33203125" style="86" bestFit="1" customWidth="1"/>
    <col min="25" max="27" width="8.83203125" style="86"/>
    <col min="28" max="58" width="9" style="86" bestFit="1" customWidth="1"/>
    <col min="59" max="59" width="12.33203125" style="86" bestFit="1" customWidth="1"/>
    <col min="60" max="60" width="9" style="86" bestFit="1" customWidth="1"/>
    <col min="61" max="61" width="11.33203125" style="86" bestFit="1" customWidth="1"/>
    <col min="62" max="77" width="9" style="86" bestFit="1" customWidth="1"/>
    <col min="78" max="78" width="12.33203125" style="86" bestFit="1" customWidth="1"/>
    <col min="79" max="79" width="9" style="86" bestFit="1" customWidth="1"/>
    <col min="80" max="80" width="12.33203125" style="86" bestFit="1" customWidth="1"/>
    <col min="81" max="107" width="9" style="86" bestFit="1" customWidth="1"/>
    <col min="108" max="108" width="11.33203125" style="86" bestFit="1" customWidth="1"/>
    <col min="109" max="124" width="9" style="86" bestFit="1" customWidth="1"/>
    <col min="125" max="125" width="10.33203125" style="86" bestFit="1" customWidth="1"/>
    <col min="126" max="129" width="9.33203125" style="86" bestFit="1" customWidth="1"/>
    <col min="130" max="130" width="9" style="86" bestFit="1" customWidth="1"/>
    <col min="131" max="134" width="9.33203125" style="86" bestFit="1" customWidth="1"/>
    <col min="135" max="165" width="9" style="86" bestFit="1" customWidth="1"/>
    <col min="166" max="166" width="12.33203125" style="86" bestFit="1" customWidth="1"/>
    <col min="167" max="170" width="9" style="86" bestFit="1" customWidth="1"/>
    <col min="171" max="176" width="8.83203125" style="86"/>
    <col min="177" max="177" width="13.83203125" style="86" bestFit="1" customWidth="1"/>
    <col min="178" max="16384" width="8.83203125" style="8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252</v>
      </c>
      <c r="E1" t="s">
        <v>253</v>
      </c>
      <c r="F1" t="s">
        <v>254</v>
      </c>
      <c r="G1" t="s">
        <v>255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 t="s">
        <v>213</v>
      </c>
      <c r="AD1" t="s">
        <v>214</v>
      </c>
      <c r="AE1" t="s">
        <v>215</v>
      </c>
      <c r="AF1" t="s">
        <v>216</v>
      </c>
      <c r="AG1" t="s">
        <v>217</v>
      </c>
      <c r="AH1" t="s">
        <v>218</v>
      </c>
      <c r="AI1" t="s">
        <v>219</v>
      </c>
      <c r="AJ1" t="s">
        <v>220</v>
      </c>
      <c r="AK1" t="s">
        <v>221</v>
      </c>
      <c r="AL1" t="s">
        <v>222</v>
      </c>
      <c r="AM1" t="s">
        <v>223</v>
      </c>
      <c r="AN1" t="s">
        <v>224</v>
      </c>
      <c r="AO1" t="s">
        <v>225</v>
      </c>
      <c r="AP1" t="s">
        <v>226</v>
      </c>
      <c r="AQ1" t="s">
        <v>227</v>
      </c>
      <c r="AR1" t="s">
        <v>228</v>
      </c>
      <c r="AS1" t="s">
        <v>229</v>
      </c>
      <c r="AT1" t="s">
        <v>230</v>
      </c>
      <c r="AU1" t="s">
        <v>231</v>
      </c>
      <c r="AV1" t="s">
        <v>232</v>
      </c>
      <c r="AW1" t="s">
        <v>233</v>
      </c>
      <c r="AX1" t="s">
        <v>234</v>
      </c>
      <c r="AY1" t="s">
        <v>235</v>
      </c>
      <c r="AZ1" t="s">
        <v>236</v>
      </c>
      <c r="BA1" t="s">
        <v>237</v>
      </c>
      <c r="BB1" t="s">
        <v>238</v>
      </c>
      <c r="BC1" t="s">
        <v>239</v>
      </c>
      <c r="BD1" t="s">
        <v>240</v>
      </c>
      <c r="BE1" t="s">
        <v>241</v>
      </c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3.9999999105930328E-2</v>
      </c>
      <c r="C2">
        <v>3.9999999105930328E-2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0.2800000011920929</v>
      </c>
      <c r="C3">
        <v>0.2800000011920929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0.20999999344348907</v>
      </c>
      <c r="C4">
        <v>7.2125047445297241E-2</v>
      </c>
      <c r="D4" s="233">
        <v>5.8333337306976318E-2</v>
      </c>
      <c r="E4" s="233">
        <v>5.8333337306976318E-2</v>
      </c>
      <c r="F4"/>
      <c r="G4"/>
      <c r="H4"/>
      <c r="I4"/>
      <c r="J4"/>
      <c r="K4"/>
      <c r="L4"/>
      <c r="M4"/>
      <c r="N4"/>
      <c r="O4"/>
      <c r="P4"/>
      <c r="Q4"/>
      <c r="R4" s="262">
        <v>2.1208276972174644E-2</v>
      </c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0.30000001192092896</v>
      </c>
      <c r="C5">
        <v>7.7672307379543781E-3</v>
      </c>
      <c r="D5"/>
      <c r="E5"/>
      <c r="F5"/>
      <c r="G5"/>
      <c r="H5"/>
      <c r="I5" s="253">
        <v>0.12551537156105042</v>
      </c>
      <c r="J5"/>
      <c r="K5"/>
      <c r="L5"/>
      <c r="M5"/>
      <c r="N5"/>
      <c r="O5"/>
      <c r="P5"/>
      <c r="Q5"/>
      <c r="R5"/>
      <c r="S5"/>
      <c r="T5"/>
      <c r="U5" s="254">
        <v>0.16671741008758545</v>
      </c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0.80000001192092896</v>
      </c>
      <c r="C6">
        <v>0.16500101983547211</v>
      </c>
      <c r="D6" s="142">
        <v>9.5238097012042999E-2</v>
      </c>
      <c r="E6" s="238">
        <v>0.15000000596046448</v>
      </c>
      <c r="F6"/>
      <c r="G6"/>
      <c r="H6" s="19">
        <v>1.4268254861235619E-2</v>
      </c>
      <c r="I6" s="244">
        <v>3.1894106417894363E-2</v>
      </c>
      <c r="J6" s="259">
        <v>4.6158544719219208E-2</v>
      </c>
      <c r="K6" s="11">
        <v>1.8929927318822592E-4</v>
      </c>
      <c r="L6"/>
      <c r="M6"/>
      <c r="N6"/>
      <c r="O6"/>
      <c r="P6"/>
      <c r="Q6"/>
      <c r="R6" s="279">
        <v>0.29524928331375122</v>
      </c>
      <c r="S6"/>
      <c r="T6"/>
      <c r="U6" s="11">
        <v>6.7851238418370485E-4</v>
      </c>
      <c r="V6"/>
      <c r="W6"/>
      <c r="X6"/>
      <c r="Y6"/>
      <c r="Z6"/>
      <c r="AA6" s="14">
        <v>1.3228947063907981E-3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0.95999997854232788</v>
      </c>
      <c r="C7">
        <v>9.5638103783130646E-2</v>
      </c>
      <c r="D7" s="14">
        <v>2.3391812574118376E-3</v>
      </c>
      <c r="E7"/>
      <c r="F7" s="247">
        <v>0.78099411725997925</v>
      </c>
      <c r="G7"/>
      <c r="H7"/>
      <c r="I7" s="11">
        <v>4.9419380957260728E-5</v>
      </c>
      <c r="J7"/>
      <c r="K7"/>
      <c r="L7"/>
      <c r="M7" s="112">
        <v>6.4719974994659424E-2</v>
      </c>
      <c r="N7"/>
      <c r="O7"/>
      <c r="P7"/>
      <c r="Q7"/>
      <c r="R7"/>
      <c r="S7"/>
      <c r="T7"/>
      <c r="U7" s="11">
        <v>4.1313748806715012E-4</v>
      </c>
      <c r="V7"/>
      <c r="W7"/>
      <c r="X7"/>
      <c r="Y7"/>
      <c r="Z7"/>
      <c r="AA7" s="11">
        <v>9.3850644771009684E-4</v>
      </c>
      <c r="AB7"/>
      <c r="AC7" s="18">
        <v>1.1244670487940311E-2</v>
      </c>
      <c r="AD7" s="12">
        <v>3.6628858651965857E-3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0.44999998807907104</v>
      </c>
      <c r="C8">
        <v>0.11926152557134628</v>
      </c>
      <c r="D8"/>
      <c r="E8"/>
      <c r="F8" s="248">
        <v>0.19931034743785858</v>
      </c>
      <c r="G8"/>
      <c r="H8" s="15">
        <v>4.1328733786940575E-3</v>
      </c>
      <c r="I8"/>
      <c r="J8"/>
      <c r="K8"/>
      <c r="L8"/>
      <c r="M8" s="79">
        <v>6.3655786216259003E-2</v>
      </c>
      <c r="N8"/>
      <c r="O8"/>
      <c r="P8"/>
      <c r="Q8"/>
      <c r="R8"/>
      <c r="S8"/>
      <c r="T8"/>
      <c r="U8"/>
      <c r="V8"/>
      <c r="W8"/>
      <c r="X8"/>
      <c r="Y8"/>
      <c r="Z8"/>
      <c r="AA8" s="21">
        <v>9.0024983510375023E-3</v>
      </c>
      <c r="AB8"/>
      <c r="AC8" s="146">
        <v>1.3260954059660435E-2</v>
      </c>
      <c r="AD8"/>
      <c r="AE8"/>
      <c r="AF8"/>
      <c r="AG8"/>
      <c r="AH8"/>
      <c r="AI8"/>
      <c r="AJ8"/>
      <c r="AK8"/>
      <c r="AL8" s="69">
        <v>4.1376005858182907E-2</v>
      </c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0.64999997615814209</v>
      </c>
      <c r="C9">
        <v>0.14935998618602753</v>
      </c>
      <c r="D9"/>
      <c r="E9"/>
      <c r="F9" s="249">
        <v>0.15275657176971436</v>
      </c>
      <c r="G9"/>
      <c r="H9" s="11">
        <v>4.2273115832358599E-4</v>
      </c>
      <c r="I9" s="11">
        <v>3.7141697248443961E-4</v>
      </c>
      <c r="J9"/>
      <c r="K9"/>
      <c r="L9"/>
      <c r="M9" s="299">
        <v>0.28183478116989136</v>
      </c>
      <c r="N9" s="19">
        <v>1.1065828613936901E-2</v>
      </c>
      <c r="O9"/>
      <c r="P9"/>
      <c r="Q9" s="12">
        <v>3.0554912518709898E-3</v>
      </c>
      <c r="R9" s="22">
        <v>5.0472370348870754E-3</v>
      </c>
      <c r="S9"/>
      <c r="T9"/>
      <c r="U9" s="14">
        <v>1.0248784674331546E-3</v>
      </c>
      <c r="V9"/>
      <c r="W9"/>
      <c r="X9"/>
      <c r="Y9"/>
      <c r="Z9"/>
      <c r="AA9" s="11">
        <v>2.4410612240899354E-5</v>
      </c>
      <c r="AB9" s="18">
        <v>7.9576792195439339E-3</v>
      </c>
      <c r="AC9" s="146">
        <v>1.9570877775549889E-2</v>
      </c>
      <c r="AD9" s="11">
        <v>5.4591381922364235E-4</v>
      </c>
      <c r="AE9"/>
      <c r="AF9"/>
      <c r="AG9"/>
      <c r="AH9"/>
      <c r="AI9"/>
      <c r="AJ9"/>
      <c r="AK9"/>
      <c r="AL9" s="26">
        <v>1.6962174326181412E-2</v>
      </c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0.99000000953674316</v>
      </c>
      <c r="C10">
        <v>0.21337716281414032</v>
      </c>
      <c r="D10" s="23">
        <v>6.0000000521540642E-3</v>
      </c>
      <c r="E10"/>
      <c r="F10" s="110">
        <v>0.12233332544565201</v>
      </c>
      <c r="G10"/>
      <c r="H10" s="11">
        <v>8.3066668594256043E-4</v>
      </c>
      <c r="I10" s="23">
        <v>6.6977618262171745E-3</v>
      </c>
      <c r="J10" s="14">
        <v>2.1540652960538864E-3</v>
      </c>
      <c r="K10" s="11">
        <v>4.4169828470330685E-6</v>
      </c>
      <c r="L10"/>
      <c r="M10" s="304">
        <v>0.50252705812454224</v>
      </c>
      <c r="N10" s="65">
        <v>2.1502749994397163E-2</v>
      </c>
      <c r="O10"/>
      <c r="P10"/>
      <c r="Q10" s="21">
        <v>2.000424824655056E-2</v>
      </c>
      <c r="R10" s="65">
        <v>2.0943015813827515E-2</v>
      </c>
      <c r="S10" s="14">
        <v>2.6737840380519629E-3</v>
      </c>
      <c r="T10"/>
      <c r="U10" s="14">
        <v>1.1653685942292213E-3</v>
      </c>
      <c r="V10" s="11">
        <v>2.4334050976904109E-5</v>
      </c>
      <c r="W10"/>
      <c r="X10" s="11">
        <v>7.3089970101136714E-5</v>
      </c>
      <c r="Y10"/>
      <c r="Z10"/>
      <c r="AA10" s="11">
        <v>1.5988951417966746E-5</v>
      </c>
      <c r="AB10" s="23">
        <v>6.0309814289212227E-3</v>
      </c>
      <c r="AC10" s="257">
        <v>2.2486530244350433E-2</v>
      </c>
      <c r="AD10" s="11">
        <v>3.5757356090471148E-4</v>
      </c>
      <c r="AE10" s="11">
        <v>1.2885099749837536E-5</v>
      </c>
      <c r="AF10" s="14">
        <v>2.3469717707484961E-3</v>
      </c>
      <c r="AG10"/>
      <c r="AH10"/>
      <c r="AI10"/>
      <c r="AJ10"/>
      <c r="AK10" s="12">
        <v>3.5518514923751354E-3</v>
      </c>
      <c r="AL10" s="28">
        <v>3.488609567284584E-2</v>
      </c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0.72000002861022949</v>
      </c>
      <c r="C11">
        <v>0.11233117431402206</v>
      </c>
      <c r="D11" s="11">
        <v>3.0000001424923539E-4</v>
      </c>
      <c r="E11"/>
      <c r="F11" s="250">
        <v>0.38089999556541443</v>
      </c>
      <c r="G11"/>
      <c r="H11"/>
      <c r="I11"/>
      <c r="J11"/>
      <c r="K11"/>
      <c r="L11"/>
      <c r="M11" s="261">
        <v>0.12922123074531555</v>
      </c>
      <c r="N11" s="18">
        <v>8.6247585713863373E-3</v>
      </c>
      <c r="O11"/>
      <c r="P11"/>
      <c r="Q11" s="15">
        <v>7.5769089162349701E-3</v>
      </c>
      <c r="R11" s="16">
        <v>1.1160423047840595E-2</v>
      </c>
      <c r="S11" s="12">
        <v>2.406406681984663E-3</v>
      </c>
      <c r="T11"/>
      <c r="U11" s="11">
        <v>3.1875696731731296E-4</v>
      </c>
      <c r="V11" s="11">
        <v>4.3801290303235874E-5</v>
      </c>
      <c r="W11"/>
      <c r="X11"/>
      <c r="Y11" s="18">
        <v>8.0608697608113289E-3</v>
      </c>
      <c r="Z11"/>
      <c r="AA11" s="14">
        <v>1.0546729899942875E-3</v>
      </c>
      <c r="AB11" s="19">
        <v>1.2665058486163616E-2</v>
      </c>
      <c r="AC11" s="12">
        <v>2.8842580504715443E-3</v>
      </c>
      <c r="AD11" s="11">
        <v>3.8174184737727046E-4</v>
      </c>
      <c r="AE11" s="11">
        <v>2.3193180823000148E-5</v>
      </c>
      <c r="AF11"/>
      <c r="AG11"/>
      <c r="AH11" s="14">
        <v>1.2520016171038151E-3</v>
      </c>
      <c r="AI11"/>
      <c r="AJ11"/>
      <c r="AK11" s="15">
        <v>6.3933329656720161E-3</v>
      </c>
      <c r="AL11" s="29">
        <v>3.4401439130306244E-2</v>
      </c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0.30000001192092896</v>
      </c>
      <c r="C12">
        <v>0.28594502806663513</v>
      </c>
      <c r="D12" s="110">
        <v>3.7096772342920303E-2</v>
      </c>
      <c r="E12" s="239">
        <v>1.3709678314626217E-2</v>
      </c>
      <c r="F12"/>
      <c r="G12"/>
      <c r="H12"/>
      <c r="I12"/>
      <c r="J12"/>
      <c r="K12"/>
      <c r="L12"/>
      <c r="M12"/>
      <c r="N12"/>
      <c r="O12"/>
      <c r="P12"/>
      <c r="Q12"/>
      <c r="R12" s="18">
        <v>3.5711054224520922E-3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0.57999998331069946</v>
      </c>
      <c r="C13">
        <v>8.2305110991001129E-2</v>
      </c>
      <c r="D13" s="234">
        <v>6.3855424523353577E-2</v>
      </c>
      <c r="E13" s="79">
        <v>8.1927716732025146E-2</v>
      </c>
      <c r="F13"/>
      <c r="G13"/>
      <c r="H13" s="18">
        <v>7.2200805880129337E-3</v>
      </c>
      <c r="I13" s="274">
        <v>2.8243577107787132E-2</v>
      </c>
      <c r="J13" s="76">
        <v>4.5548547059297562E-2</v>
      </c>
      <c r="K13" s="11">
        <v>9.5789990155026317E-5</v>
      </c>
      <c r="L13"/>
      <c r="M13" s="239">
        <v>2.6667751371860504E-2</v>
      </c>
      <c r="N13" s="16">
        <v>8.967091329395771E-3</v>
      </c>
      <c r="O13"/>
      <c r="P13"/>
      <c r="Q13"/>
      <c r="R13" s="27">
        <v>4.4820979237556458E-2</v>
      </c>
      <c r="S13" s="66">
        <v>2.3929070681333542E-2</v>
      </c>
      <c r="T13"/>
      <c r="U13" s="257">
        <v>1.3660822995007038E-2</v>
      </c>
      <c r="V13"/>
      <c r="W13" s="252">
        <v>1.9149579107761383E-2</v>
      </c>
      <c r="X13"/>
      <c r="Y13" s="70">
        <v>2.9630355536937714E-2</v>
      </c>
      <c r="Z13"/>
      <c r="AA13" s="17">
        <v>7.7873850241303444E-3</v>
      </c>
      <c r="AB13" s="15">
        <v>5.5703441612422466E-3</v>
      </c>
      <c r="AC13" s="244">
        <v>2.3166727274656296E-2</v>
      </c>
      <c r="AD13" s="65">
        <v>1.2834765017032623E-2</v>
      </c>
      <c r="AE13"/>
      <c r="AF13" s="20">
        <v>2.5449097156524658E-2</v>
      </c>
      <c r="AG13"/>
      <c r="AH13" s="146">
        <v>1.7598425969481468E-2</v>
      </c>
      <c r="AI13" s="21">
        <v>1.157138217240572E-2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0.62000000476837158</v>
      </c>
      <c r="C14">
        <v>3.0504738911986351E-2</v>
      </c>
      <c r="D14"/>
      <c r="E14"/>
      <c r="F14"/>
      <c r="G14"/>
      <c r="H14" s="14">
        <v>1.423436333425343E-3</v>
      </c>
      <c r="I14" s="22">
        <v>5.4091187193989754E-3</v>
      </c>
      <c r="J14" s="14">
        <v>1.7061118269339204E-3</v>
      </c>
      <c r="K14"/>
      <c r="L14"/>
      <c r="M14" s="246">
        <v>0.13154521584510803</v>
      </c>
      <c r="N14" s="16">
        <v>1.0333110578358173E-2</v>
      </c>
      <c r="O14"/>
      <c r="P14"/>
      <c r="Q14" s="286">
        <v>8.5528850555419922E-2</v>
      </c>
      <c r="R14" s="29">
        <v>2.9454797506332397E-2</v>
      </c>
      <c r="S14" s="259">
        <v>3.4867167472839355E-2</v>
      </c>
      <c r="T14"/>
      <c r="U14" s="14">
        <v>1.4575750101357698E-3</v>
      </c>
      <c r="V14" s="11">
        <v>1.0404107160866261E-4</v>
      </c>
      <c r="W14" s="287">
        <v>8.872029185295105E-2</v>
      </c>
      <c r="X14" s="11">
        <v>6.2499741034116596E-5</v>
      </c>
      <c r="Y14" s="112">
        <v>4.0891297161579132E-2</v>
      </c>
      <c r="Z14"/>
      <c r="AA14" s="11">
        <v>1.3197523367125541E-4</v>
      </c>
      <c r="AB14" s="23">
        <v>4.1530611924827099E-3</v>
      </c>
      <c r="AC14" s="288">
        <v>0.10006234049797058</v>
      </c>
      <c r="AD14" s="19">
        <v>1.0909046046435833E-2</v>
      </c>
      <c r="AE14" s="11">
        <v>5.509068796527572E-5</v>
      </c>
      <c r="AF14" s="17">
        <v>9.1086989268660545E-3</v>
      </c>
      <c r="AG14"/>
      <c r="AH14" s="23">
        <v>3.9524808526039124E-3</v>
      </c>
      <c r="AI14" s="12">
        <v>2.2812939714640379E-3</v>
      </c>
      <c r="AJ14" s="19">
        <v>1.1188278906047344E-2</v>
      </c>
      <c r="AK14"/>
      <c r="AL14" s="26">
        <v>1.6149502247571945E-2</v>
      </c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0.60000002384185791</v>
      </c>
      <c r="C15">
        <v>0.14733567833900452</v>
      </c>
      <c r="D15" s="65">
        <v>1.2987013906240463E-2</v>
      </c>
      <c r="E15" s="20">
        <v>2.5974027812480927E-2</v>
      </c>
      <c r="F15"/>
      <c r="G15"/>
      <c r="H15"/>
      <c r="I15" s="269">
        <v>4.3491963297128677E-2</v>
      </c>
      <c r="J15" s="271">
        <v>0.12588693201541901</v>
      </c>
      <c r="K15"/>
      <c r="L15"/>
      <c r="M15"/>
      <c r="N15"/>
      <c r="O15"/>
      <c r="P15"/>
      <c r="Q15"/>
      <c r="R15" s="268">
        <v>3.2200712710618973E-2</v>
      </c>
      <c r="S15"/>
      <c r="T15"/>
      <c r="U15" s="69">
        <v>5.4881211370229721E-2</v>
      </c>
      <c r="V15"/>
      <c r="W15"/>
      <c r="X15"/>
      <c r="Y15" s="272">
        <v>0.12775687873363495</v>
      </c>
      <c r="Z15"/>
      <c r="AA15" s="18">
        <v>7.2157890535891056E-3</v>
      </c>
      <c r="AB15" s="13">
        <v>2.226981520652771E-2</v>
      </c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1.1699999570846558</v>
      </c>
      <c r="C16">
        <v>0.34397017955780029</v>
      </c>
      <c r="D16"/>
      <c r="E16"/>
      <c r="F16"/>
      <c r="G16"/>
      <c r="H16"/>
      <c r="I16" s="266">
        <v>0.38020402193069458</v>
      </c>
      <c r="J16" s="147">
        <v>7.1540839970111847E-2</v>
      </c>
      <c r="K16" s="21">
        <v>2.2567886859178543E-2</v>
      </c>
      <c r="L16"/>
      <c r="M16"/>
      <c r="N16"/>
      <c r="O16"/>
      <c r="P16"/>
      <c r="Q16"/>
      <c r="R16" s="261">
        <v>0.2111942321062088</v>
      </c>
      <c r="S16"/>
      <c r="T16"/>
      <c r="U16"/>
      <c r="V16"/>
      <c r="W16"/>
      <c r="X16" s="78">
        <v>7.4688367545604706E-2</v>
      </c>
      <c r="Y16"/>
      <c r="Z16"/>
      <c r="AA16"/>
      <c r="AB16"/>
      <c r="AC16"/>
      <c r="AD16"/>
      <c r="AE16" s="259">
        <v>6.5834410488605499E-2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0.47999998927116394</v>
      </c>
      <c r="C17">
        <v>5.5826537311077118E-2</v>
      </c>
      <c r="D17" s="64">
        <v>2.6035502552986145E-2</v>
      </c>
      <c r="E17" s="240">
        <v>7.2781063616275787E-2</v>
      </c>
      <c r="F17"/>
      <c r="G17"/>
      <c r="H17"/>
      <c r="I17"/>
      <c r="J17" s="70">
        <v>2.4905264377593994E-2</v>
      </c>
      <c r="K17"/>
      <c r="L17"/>
      <c r="M17" s="234">
        <v>5.2388709038496017E-2</v>
      </c>
      <c r="N17"/>
      <c r="O17"/>
      <c r="P17"/>
      <c r="Q17"/>
      <c r="R17" s="69">
        <v>4.4013991951942444E-2</v>
      </c>
      <c r="S17"/>
      <c r="T17"/>
      <c r="U17" s="12">
        <v>1.8861358985304832E-3</v>
      </c>
      <c r="V17"/>
      <c r="W17"/>
      <c r="X17"/>
      <c r="Y17" s="285">
        <v>0.14552189409732819</v>
      </c>
      <c r="Z17"/>
      <c r="AA17" s="17">
        <v>6.7708790302276611E-3</v>
      </c>
      <c r="AB17" s="146">
        <v>1.4274507761001587E-2</v>
      </c>
      <c r="AC17" s="67">
        <v>2.8444353491067886E-2</v>
      </c>
      <c r="AD17" s="23">
        <v>2.8296727687120438E-3</v>
      </c>
      <c r="AE17"/>
      <c r="AF17"/>
      <c r="AG17"/>
      <c r="AH17" s="15">
        <v>4.3215053156018257E-3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0.75999999046325684</v>
      </c>
      <c r="C18">
        <v>8.7930873036384583E-2</v>
      </c>
      <c r="D18"/>
      <c r="E18"/>
      <c r="F18"/>
      <c r="G18"/>
      <c r="H18"/>
      <c r="I18" s="79">
        <v>0.10720009356737137</v>
      </c>
      <c r="J18" s="265">
        <v>0.10084791481494904</v>
      </c>
      <c r="K18" s="22">
        <v>6.3625862821936607E-3</v>
      </c>
      <c r="L18"/>
      <c r="M18"/>
      <c r="N18"/>
      <c r="O18"/>
      <c r="P18"/>
      <c r="Q18"/>
      <c r="R18" s="111">
        <v>0.11908438801765442</v>
      </c>
      <c r="S18" s="149">
        <v>0.1925770491361618</v>
      </c>
      <c r="T18"/>
      <c r="U18"/>
      <c r="V18"/>
      <c r="W18"/>
      <c r="X18"/>
      <c r="Y18" s="263">
        <v>7.8724600374698639E-2</v>
      </c>
      <c r="Z18"/>
      <c r="AA18"/>
      <c r="AB18"/>
      <c r="AC18"/>
      <c r="AD18"/>
      <c r="AE18" s="257">
        <v>1.8560759723186493E-2</v>
      </c>
      <c r="AF18" s="78">
        <v>4.8711705952882767E-2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0.34000000357627869</v>
      </c>
      <c r="C19">
        <v>0.26327359676361084</v>
      </c>
      <c r="D19" s="235">
        <v>5.6666668504476547E-2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 s="67">
        <v>2.0059738308191299E-2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0.57999998331069946</v>
      </c>
      <c r="C20">
        <v>0.12758524715900421</v>
      </c>
      <c r="D20"/>
      <c r="E20"/>
      <c r="F20"/>
      <c r="G20"/>
      <c r="H20"/>
      <c r="I20" s="241">
        <v>0.12070975452661514</v>
      </c>
      <c r="J20"/>
      <c r="K20" s="256">
        <v>4.7762785106897354E-2</v>
      </c>
      <c r="L20"/>
      <c r="M20"/>
      <c r="N20"/>
      <c r="O20"/>
      <c r="P20"/>
      <c r="Q20"/>
      <c r="R20"/>
      <c r="S20" s="260">
        <v>0.14460992813110352</v>
      </c>
      <c r="T20"/>
      <c r="U20"/>
      <c r="V20"/>
      <c r="W20"/>
      <c r="X20"/>
      <c r="Y20"/>
      <c r="Z20"/>
      <c r="AA20"/>
      <c r="AB20"/>
      <c r="AC20"/>
      <c r="AD20"/>
      <c r="AE20" s="258">
        <v>0.13933227956295013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0.23999999463558197</v>
      </c>
      <c r="C21">
        <v>5.1110014319419861E-2</v>
      </c>
      <c r="D21" s="65">
        <v>5.0000003539025784E-3</v>
      </c>
      <c r="E21" s="241">
        <v>4.9999997019767761E-2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 s="64">
        <v>1.3270387426018715E-2</v>
      </c>
      <c r="AB21" s="275">
        <v>0.12061958760023117</v>
      </c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0.4699999988079071</v>
      </c>
      <c r="C22">
        <v>0.25037238001823425</v>
      </c>
      <c r="D22"/>
      <c r="E22" s="242">
        <v>0.19722221791744232</v>
      </c>
      <c r="F22"/>
      <c r="G22"/>
      <c r="H22"/>
      <c r="I22" s="11">
        <v>1.8076394917443395E-4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 s="29">
        <v>2.2224631160497665E-2</v>
      </c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0.56999999284744263</v>
      </c>
      <c r="C23">
        <v>5.2613783627748489E-2</v>
      </c>
      <c r="D23" s="18">
        <v>6.4516128040850163E-3</v>
      </c>
      <c r="E23" s="243">
        <v>8.7741941213607788E-2</v>
      </c>
      <c r="F23"/>
      <c r="G23"/>
      <c r="H23" s="23">
        <v>3.8662368897348642E-3</v>
      </c>
      <c r="I23"/>
      <c r="J23" s="65">
        <v>1.2507475912570953E-2</v>
      </c>
      <c r="K23" s="11">
        <v>5.1293995056767017E-5</v>
      </c>
      <c r="L23"/>
      <c r="M23" s="70">
        <v>2.8560290113091469E-2</v>
      </c>
      <c r="N23"/>
      <c r="O23"/>
      <c r="P23"/>
      <c r="Q23"/>
      <c r="R23" s="24">
        <v>1.6000606119632721E-2</v>
      </c>
      <c r="S23"/>
      <c r="T23"/>
      <c r="U23" s="22">
        <v>4.6229278668761253E-3</v>
      </c>
      <c r="V23"/>
      <c r="W23"/>
      <c r="X23"/>
      <c r="Y23" s="278">
        <v>6.3466303050518036E-2</v>
      </c>
      <c r="Z23"/>
      <c r="AA23" s="21">
        <v>1.1456904001533985E-2</v>
      </c>
      <c r="AB23" s="283">
        <v>0.15563826262950897</v>
      </c>
      <c r="AC23" s="281">
        <v>9.3040585517883301E-2</v>
      </c>
      <c r="AD23" s="22">
        <v>4.9257013015449047E-3</v>
      </c>
      <c r="AE23"/>
      <c r="AF23"/>
      <c r="AG23"/>
      <c r="AH23" s="24">
        <v>1.615486666560173E-2</v>
      </c>
      <c r="AI23"/>
      <c r="AJ23"/>
      <c r="AK23"/>
      <c r="AL23" s="257">
        <v>1.2901215814054012E-2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0.43000000715255737</v>
      </c>
      <c r="C24">
        <v>0.48110264539718628</v>
      </c>
      <c r="D24" s="236">
        <v>0.15454547107219696</v>
      </c>
      <c r="E24" s="81">
        <v>7.2727277874946594E-2</v>
      </c>
      <c r="F24"/>
      <c r="G24"/>
      <c r="H24"/>
      <c r="I24"/>
      <c r="J24"/>
      <c r="K24"/>
      <c r="L24"/>
      <c r="M24"/>
      <c r="N24"/>
      <c r="O24"/>
      <c r="P24"/>
      <c r="Q24"/>
      <c r="R24" s="268">
        <v>2.25405003875494E-2</v>
      </c>
      <c r="S24" s="262">
        <v>4.3752826750278473E-2</v>
      </c>
      <c r="T24"/>
      <c r="U24" s="23">
        <v>2.5906835217028856E-3</v>
      </c>
      <c r="V24"/>
      <c r="W24"/>
      <c r="X24"/>
      <c r="Y24"/>
      <c r="Z24"/>
      <c r="AA24" s="270">
        <v>3.478800505399704E-2</v>
      </c>
      <c r="AB24" s="28">
        <v>1.5588871203362942E-2</v>
      </c>
      <c r="AC24"/>
      <c r="AD24"/>
      <c r="AE24"/>
      <c r="AF24"/>
      <c r="AG24"/>
      <c r="AH24" s="264">
        <v>5.6909188628196716E-2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0.43999999761581421</v>
      </c>
      <c r="C25">
        <v>133.63900756835938</v>
      </c>
      <c r="D25"/>
      <c r="E25"/>
      <c r="F25"/>
      <c r="G25"/>
      <c r="H25"/>
      <c r="I25" s="21">
        <v>8.9371595531702042E-3</v>
      </c>
      <c r="J25"/>
      <c r="K25"/>
      <c r="L25"/>
      <c r="M25"/>
      <c r="N25"/>
      <c r="O25"/>
      <c r="P25"/>
      <c r="Q25"/>
      <c r="R25" s="240">
        <v>6.6186271607875824E-2</v>
      </c>
      <c r="S25"/>
      <c r="T25"/>
      <c r="U25"/>
      <c r="V25"/>
      <c r="W25"/>
      <c r="X25"/>
      <c r="Y25"/>
      <c r="Z25"/>
      <c r="AA25"/>
      <c r="AB25" s="255">
        <v>0.16088181734085083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0.43999999761581421</v>
      </c>
      <c r="C26">
        <v>5.7003039866685867E-2</v>
      </c>
      <c r="D26" s="16">
        <v>6.9767441600561142E-3</v>
      </c>
      <c r="E26" s="22">
        <v>3.8759689778089523E-3</v>
      </c>
      <c r="F26"/>
      <c r="G26"/>
      <c r="H26"/>
      <c r="I26" s="18">
        <v>5.1920637488365173E-3</v>
      </c>
      <c r="J26" s="17">
        <v>6.4474162645637989E-3</v>
      </c>
      <c r="K26"/>
      <c r="L26"/>
      <c r="M26" s="284">
        <v>0.18874143064022064</v>
      </c>
      <c r="N26"/>
      <c r="O26"/>
      <c r="P26"/>
      <c r="Q26"/>
      <c r="R26" s="65">
        <v>9.6102897077798843E-3</v>
      </c>
      <c r="S26" s="19">
        <v>7.4617248028516769E-3</v>
      </c>
      <c r="T26"/>
      <c r="U26" s="23">
        <v>2.6918947696685791E-3</v>
      </c>
      <c r="V26"/>
      <c r="W26"/>
      <c r="X26"/>
      <c r="Y26" s="72">
        <v>3.1243681907653809E-2</v>
      </c>
      <c r="Z26"/>
      <c r="AA26" s="19">
        <v>8.0053377896547318E-3</v>
      </c>
      <c r="AB26" s="78">
        <v>2.804233692586422E-2</v>
      </c>
      <c r="AC26"/>
      <c r="AD26" s="23">
        <v>2.9592390637844801E-3</v>
      </c>
      <c r="AE26"/>
      <c r="AF26"/>
      <c r="AG26"/>
      <c r="AH26" s="18">
        <v>4.8527219332754612E-3</v>
      </c>
      <c r="AI26" s="252">
        <v>1.4890309423208237E-2</v>
      </c>
      <c r="AJ26"/>
      <c r="AK26"/>
      <c r="AL26" s="79">
        <v>6.2005840241909027E-2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0.86000001430511475</v>
      </c>
      <c r="C27">
        <v>5.2667800337076187E-2</v>
      </c>
      <c r="D27"/>
      <c r="E27"/>
      <c r="F27"/>
      <c r="G27"/>
      <c r="H27"/>
      <c r="I27" s="11">
        <v>3.1184189720079303E-4</v>
      </c>
      <c r="J27"/>
      <c r="K27"/>
      <c r="L27"/>
      <c r="M27"/>
      <c r="N27"/>
      <c r="O27"/>
      <c r="P27"/>
      <c r="Q27"/>
      <c r="R27" s="258">
        <v>0.20777006447315216</v>
      </c>
      <c r="S27" s="141">
        <v>0.11206343770027161</v>
      </c>
      <c r="T27"/>
      <c r="U27"/>
      <c r="V27"/>
      <c r="W27"/>
      <c r="X27"/>
      <c r="Y27" s="267">
        <v>0.2290075421333313</v>
      </c>
      <c r="Z27"/>
      <c r="AA27"/>
      <c r="AB27" s="264">
        <v>0.11228380352258682</v>
      </c>
      <c r="AC27"/>
      <c r="AD27"/>
      <c r="AE27" s="26">
        <v>2.1597079932689667E-2</v>
      </c>
      <c r="AF27"/>
      <c r="AG27"/>
      <c r="AH27" s="262">
        <v>8.704955130815506E-2</v>
      </c>
      <c r="AI27"/>
      <c r="AJ27"/>
      <c r="AK27"/>
      <c r="AL27" s="20">
        <v>3.7248864769935608E-2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0.28999999165534973</v>
      </c>
      <c r="C28">
        <v>0.27435469627380371</v>
      </c>
      <c r="D28" s="16">
        <v>4.5454548671841621E-3</v>
      </c>
      <c r="E28" s="148">
        <v>7.2727277874946594E-2</v>
      </c>
      <c r="F28"/>
      <c r="G28"/>
      <c r="H28"/>
      <c r="I28" s="25">
        <v>9.3504255637526512E-3</v>
      </c>
      <c r="J28"/>
      <c r="K28"/>
      <c r="L28"/>
      <c r="M28" s="28">
        <v>1.0066955350339413E-2</v>
      </c>
      <c r="N28"/>
      <c r="O28"/>
      <c r="P28"/>
      <c r="Q28"/>
      <c r="R28"/>
      <c r="S28"/>
      <c r="T28"/>
      <c r="U28" s="18">
        <v>3.3663366921246052E-3</v>
      </c>
      <c r="V28"/>
      <c r="W28"/>
      <c r="X28"/>
      <c r="Y28" s="265">
        <v>3.8650110363960266E-2</v>
      </c>
      <c r="Z28"/>
      <c r="AA28" s="147">
        <v>1.739400252699852E-2</v>
      </c>
      <c r="AB28" s="273">
        <v>8.3700887858867645E-2</v>
      </c>
      <c r="AC28"/>
      <c r="AD28" s="15">
        <v>3.1165960244834423E-3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0.57999998331069946</v>
      </c>
      <c r="C29">
        <v>6.8520739674568176E-2</v>
      </c>
      <c r="D29" s="23">
        <v>2.8571430593729019E-3</v>
      </c>
      <c r="E29" s="244">
        <v>2.2857144474983215E-2</v>
      </c>
      <c r="F29"/>
      <c r="G29"/>
      <c r="H29" s="146">
        <v>1.7121905460953712E-2</v>
      </c>
      <c r="I29" s="76">
        <v>4.5927509665489197E-2</v>
      </c>
      <c r="J29" s="29">
        <v>2.7695124968886375E-2</v>
      </c>
      <c r="K29" s="11">
        <v>2.2715912200510502E-4</v>
      </c>
      <c r="L29"/>
      <c r="M29"/>
      <c r="N29"/>
      <c r="O29"/>
      <c r="P29"/>
      <c r="Q29"/>
      <c r="R29" s="18">
        <v>7.0841573178768158E-3</v>
      </c>
      <c r="S29" s="18">
        <v>6.8754483945667744E-3</v>
      </c>
      <c r="T29"/>
      <c r="U29" s="21">
        <v>1.1062048375606537E-2</v>
      </c>
      <c r="V29"/>
      <c r="W29" s="277">
        <v>0.11352961510419846</v>
      </c>
      <c r="X29"/>
      <c r="Y29" s="276">
        <v>7.0266269147396088E-2</v>
      </c>
      <c r="Z29"/>
      <c r="AA29" s="21">
        <v>1.0933372192084789E-2</v>
      </c>
      <c r="AB29" s="263">
        <v>5.9844672679901123E-2</v>
      </c>
      <c r="AC29" s="75">
        <v>5.4938241839408875E-2</v>
      </c>
      <c r="AD29" s="22">
        <v>4.7153704799711704E-3</v>
      </c>
      <c r="AE29" s="14">
        <v>6.6266232170164585E-4</v>
      </c>
      <c r="AF29"/>
      <c r="AG29"/>
      <c r="AH29"/>
      <c r="AI29" s="75">
        <v>5.4881423711776733E-2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0.81999999284744263</v>
      </c>
      <c r="C30">
        <v>4.1127771139144897E-2</v>
      </c>
      <c r="D30"/>
      <c r="E30" s="14">
        <v>8.0710247857496142E-4</v>
      </c>
      <c r="F30"/>
      <c r="G30"/>
      <c r="H30" s="14">
        <v>9.6733926329761744E-4</v>
      </c>
      <c r="I30" s="12">
        <v>3.1539148185402155E-3</v>
      </c>
      <c r="J30"/>
      <c r="K30"/>
      <c r="L30"/>
      <c r="M30" s="291">
        <v>0.1847507655620575</v>
      </c>
      <c r="N30" s="14">
        <v>1.7314323922619224E-3</v>
      </c>
      <c r="O30"/>
      <c r="P30"/>
      <c r="Q30" s="295">
        <v>0.29061856865882874</v>
      </c>
      <c r="R30" s="29">
        <v>3.8032107055187225E-2</v>
      </c>
      <c r="S30" s="19">
        <v>1.3986864127218723E-2</v>
      </c>
      <c r="T30"/>
      <c r="U30" s="11">
        <v>5.3608976304531097E-4</v>
      </c>
      <c r="V30"/>
      <c r="W30" s="76">
        <v>6.4141020178794861E-2</v>
      </c>
      <c r="X30" s="11">
        <v>4.2473588837310672E-4</v>
      </c>
      <c r="Y30" s="257">
        <v>1.8658274784684181E-2</v>
      </c>
      <c r="Z30"/>
      <c r="AA30" s="23">
        <v>5.1009338349103928E-3</v>
      </c>
      <c r="AB30" s="78">
        <v>5.2553903311491013E-2</v>
      </c>
      <c r="AC30" s="259">
        <v>4.655783623456955E-2</v>
      </c>
      <c r="AD30" s="14">
        <v>2.0718749146908522E-3</v>
      </c>
      <c r="AE30" s="11">
        <v>3.7438545405166224E-5</v>
      </c>
      <c r="AF30" s="15">
        <v>7.3200291953980923E-3</v>
      </c>
      <c r="AG30"/>
      <c r="AH30" s="23">
        <v>4.4364719651639462E-3</v>
      </c>
      <c r="AI30" s="12">
        <v>3.100645262748003E-3</v>
      </c>
      <c r="AJ30" s="15">
        <v>7.6033342629671097E-3</v>
      </c>
      <c r="AK30"/>
      <c r="AL30" s="244">
        <v>3.2281521707773209E-2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1.3999999761581421</v>
      </c>
      <c r="C31">
        <v>0.50682258605957031</v>
      </c>
      <c r="D31" s="237">
        <v>0.15912407636642456</v>
      </c>
      <c r="E31" s="245">
        <v>0.48540148138999939</v>
      </c>
      <c r="F31"/>
      <c r="G31"/>
      <c r="H31"/>
      <c r="I31"/>
      <c r="J31"/>
      <c r="K31"/>
      <c r="L31"/>
      <c r="M31"/>
      <c r="N31"/>
      <c r="O31"/>
      <c r="P31"/>
      <c r="Q31"/>
      <c r="R31" s="23">
        <v>8.2245385274291039E-3</v>
      </c>
      <c r="S31"/>
      <c r="T31"/>
      <c r="U31"/>
      <c r="V31"/>
      <c r="W31" s="26">
        <v>3.6728505045175552E-2</v>
      </c>
      <c r="X31" s="11">
        <v>1.2921862071380019E-4</v>
      </c>
      <c r="Y31"/>
      <c r="Z31"/>
      <c r="AA31" s="11">
        <v>7.8101555118337274E-5</v>
      </c>
      <c r="AB31"/>
      <c r="AC31"/>
      <c r="AD31" s="17">
        <v>1.8174184486269951E-2</v>
      </c>
      <c r="AE31"/>
      <c r="AF31" s="78">
        <v>9.0444982051849365E-2</v>
      </c>
      <c r="AG31"/>
      <c r="AH31"/>
      <c r="AI31"/>
      <c r="AJ31"/>
      <c r="AK31"/>
      <c r="AL31" s="282">
        <v>0.11677011847496033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1.2000000476837158</v>
      </c>
      <c r="C32">
        <v>0.19364656507968903</v>
      </c>
      <c r="D32" s="11">
        <v>1.0000000474974513E-3</v>
      </c>
      <c r="E32" s="246">
        <v>0.25400000810623169</v>
      </c>
      <c r="F32"/>
      <c r="G32"/>
      <c r="H32" s="25">
        <v>3.7795331329107285E-2</v>
      </c>
      <c r="I32" s="11">
        <v>9.0382206963113276E-7</v>
      </c>
      <c r="J32" s="16">
        <v>1.9386587664484978E-2</v>
      </c>
      <c r="K32" s="11">
        <v>3.9752845623297617E-5</v>
      </c>
      <c r="L32"/>
      <c r="M32" s="280">
        <v>0.12922124564647675</v>
      </c>
      <c r="N32" s="269">
        <v>8.6977377533912659E-2</v>
      </c>
      <c r="O32"/>
      <c r="P32"/>
      <c r="Q32" s="147">
        <v>7.2048455476760864E-2</v>
      </c>
      <c r="R32" s="68">
        <v>7.44028240442276E-2</v>
      </c>
      <c r="S32"/>
      <c r="T32"/>
      <c r="U32" s="12">
        <v>4.2630280368030071E-3</v>
      </c>
      <c r="V32"/>
      <c r="W32" s="17">
        <v>1.6949241980910301E-2</v>
      </c>
      <c r="X32" s="11">
        <v>1.7702950572129339E-4</v>
      </c>
      <c r="Y32"/>
      <c r="Z32"/>
      <c r="AA32" s="66">
        <v>4.9177974462509155E-2</v>
      </c>
      <c r="AB32" s="18">
        <v>1.5284368768334389E-2</v>
      </c>
      <c r="AC32"/>
      <c r="AD32" s="12">
        <v>4.3196803890168667E-3</v>
      </c>
      <c r="AE32"/>
      <c r="AF32" s="263">
        <v>0.12390962988138199</v>
      </c>
      <c r="AG32" s="12">
        <v>4.7791223041713238E-3</v>
      </c>
      <c r="AH32"/>
      <c r="AI32"/>
      <c r="AJ32" s="67">
        <v>7.0653952658176422E-2</v>
      </c>
      <c r="AK32" s="24">
        <v>3.1966663897037506E-2</v>
      </c>
      <c r="AL32" s="252">
        <v>4.0000326931476593E-2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1.440000057220459</v>
      </c>
      <c r="C33">
        <v>7.7196896076202393E-2</v>
      </c>
      <c r="D33"/>
      <c r="E33"/>
      <c r="F33"/>
      <c r="G33" s="251">
        <v>0.10000000149011612</v>
      </c>
      <c r="H33" s="11">
        <v>1.8216371245216578E-4</v>
      </c>
      <c r="I33" s="15">
        <v>1.4688072726130486E-2</v>
      </c>
      <c r="J33" s="11">
        <v>1.0628611780703068E-3</v>
      </c>
      <c r="K33" s="11">
        <v>2.1759449282399146E-6</v>
      </c>
      <c r="L33"/>
      <c r="M33"/>
      <c r="N33" s="11">
        <v>7.3447544127702713E-4</v>
      </c>
      <c r="O33"/>
      <c r="P33"/>
      <c r="Q33" s="20">
        <v>6.3171304762363434E-2</v>
      </c>
      <c r="R33" s="24">
        <v>4.0791019797325134E-2</v>
      </c>
      <c r="S33" s="18">
        <v>1.583007350564003E-2</v>
      </c>
      <c r="T33" s="81">
        <v>0.2432752400636673</v>
      </c>
      <c r="U33" s="12">
        <v>5.7274140417575836E-3</v>
      </c>
      <c r="V33" s="11">
        <v>5.7633285177871585E-4</v>
      </c>
      <c r="W33" s="13">
        <v>5.2267160266637802E-2</v>
      </c>
      <c r="X33" s="14">
        <v>2.886554691940546E-3</v>
      </c>
      <c r="Y33" s="20">
        <v>6.2035620212554932E-2</v>
      </c>
      <c r="Z33"/>
      <c r="AA33" s="11">
        <v>8.1128091551363468E-4</v>
      </c>
      <c r="AB33"/>
      <c r="AC33" s="251">
        <v>0.10014498233795166</v>
      </c>
      <c r="AD33" s="12">
        <v>5.3183687850832939E-3</v>
      </c>
      <c r="AE33" s="11">
        <v>1.1078061652369797E-4</v>
      </c>
      <c r="AF33" s="12">
        <v>5.8778747916221619E-3</v>
      </c>
      <c r="AG33"/>
      <c r="AH33" s="15">
        <v>1.2812884524464607E-2</v>
      </c>
      <c r="AI33" s="22">
        <v>1.0020661167800426E-2</v>
      </c>
      <c r="AJ33" s="280">
        <v>0.15490593016147614</v>
      </c>
      <c r="AK33" s="274">
        <v>7.0102334022521973E-2</v>
      </c>
      <c r="AL33" s="24">
        <v>3.9467532187700272E-2</v>
      </c>
      <c r="AM33" s="148">
        <v>0.36000001430511475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1.5</v>
      </c>
      <c r="C34">
        <v>6.7632973194122314E-2</v>
      </c>
      <c r="D34"/>
      <c r="E34"/>
      <c r="F34"/>
      <c r="G34" s="112">
        <v>9.9999994039535522E-2</v>
      </c>
      <c r="H34"/>
      <c r="I34" s="23">
        <v>7.5002922676503658E-3</v>
      </c>
      <c r="J34"/>
      <c r="K34"/>
      <c r="L34" s="22">
        <v>1.2448742985725403E-2</v>
      </c>
      <c r="M34"/>
      <c r="N34"/>
      <c r="O34"/>
      <c r="P34"/>
      <c r="Q34"/>
      <c r="R34" s="14">
        <v>2.9161237180233002E-3</v>
      </c>
      <c r="S34" s="23">
        <v>1.0240026749670506E-2</v>
      </c>
      <c r="T34" s="12">
        <v>7.3073906823992729E-3</v>
      </c>
      <c r="U34"/>
      <c r="V34"/>
      <c r="W34" s="146">
        <v>4.4482685625553131E-2</v>
      </c>
      <c r="X34" s="14">
        <v>2.2109781857579947E-3</v>
      </c>
      <c r="Y34" s="14">
        <v>4.131881520152092E-3</v>
      </c>
      <c r="Z34" s="11">
        <v>4.161894612479955E-4</v>
      </c>
      <c r="AA34"/>
      <c r="AB34"/>
      <c r="AC34" s="15">
        <v>1.5072210691869259E-2</v>
      </c>
      <c r="AD34" s="11">
        <v>5.0791350076906383E-6</v>
      </c>
      <c r="AE34" s="11">
        <v>5.487006637849845E-5</v>
      </c>
      <c r="AF34" s="14">
        <v>3.0902684666216373E-3</v>
      </c>
      <c r="AG34" s="11">
        <v>2.6758803869597614E-4</v>
      </c>
      <c r="AH34"/>
      <c r="AI34" s="11">
        <v>7.3911261279135942E-4</v>
      </c>
      <c r="AJ34" s="252">
        <v>5.0097227096557617E-2</v>
      </c>
      <c r="AK34" s="12">
        <v>7.1593867614865303E-3</v>
      </c>
      <c r="AL34"/>
      <c r="AM34" s="80">
        <v>0.33089363574981689</v>
      </c>
      <c r="AN34" s="254">
        <v>0.83333331346511841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3</v>
      </c>
      <c r="C35">
        <v>0.48397958278656006</v>
      </c>
      <c r="D35"/>
      <c r="E35"/>
      <c r="F35"/>
      <c r="G35" s="252">
        <v>0.10000000894069672</v>
      </c>
      <c r="H35"/>
      <c r="I35" s="23">
        <v>2.0143646746873856E-2</v>
      </c>
      <c r="J35"/>
      <c r="K35"/>
      <c r="L35"/>
      <c r="M35"/>
      <c r="N35" s="11">
        <v>4.1147104639094323E-5</v>
      </c>
      <c r="O35"/>
      <c r="P35"/>
      <c r="Q35"/>
      <c r="R35" s="14">
        <v>6.992747075855732E-3</v>
      </c>
      <c r="S35" s="16">
        <v>4.9299374222755432E-2</v>
      </c>
      <c r="T35" s="259">
        <v>0.17172370851039886</v>
      </c>
      <c r="U35"/>
      <c r="V35" s="11">
        <v>6.5866607474163175E-4</v>
      </c>
      <c r="W35" s="292">
        <v>0.26432248950004578</v>
      </c>
      <c r="X35" s="14">
        <v>7.422570139169693E-3</v>
      </c>
      <c r="Y35" s="12">
        <v>1.3871317729353905E-2</v>
      </c>
      <c r="Z35" s="11">
        <v>1.0479057673364878E-3</v>
      </c>
      <c r="AA35" s="11">
        <v>2.2540801728609949E-4</v>
      </c>
      <c r="AB35"/>
      <c r="AC35" s="18">
        <v>3.6142550408840179E-2</v>
      </c>
      <c r="AD35"/>
      <c r="AE35"/>
      <c r="AF35" s="15">
        <v>3.1464368104934692E-2</v>
      </c>
      <c r="AG35" s="11">
        <v>8.9833128731697798E-4</v>
      </c>
      <c r="AH35" s="14">
        <v>7.0287827402353287E-3</v>
      </c>
      <c r="AI35" s="11">
        <v>1.9086974207311869E-3</v>
      </c>
      <c r="AJ35" s="281">
        <v>0.48684722185134888</v>
      </c>
      <c r="AK35" s="22">
        <v>2.403508685529232E-2</v>
      </c>
      <c r="AL35" s="14">
        <v>7.5176255777478218E-3</v>
      </c>
      <c r="AM35" s="303">
        <v>1.1108572483062744</v>
      </c>
      <c r="AN35"/>
      <c r="AO35"/>
      <c r="AP35"/>
      <c r="AQ35" s="67">
        <v>0.17357145249843597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2.4000000953674316</v>
      </c>
      <c r="C36">
        <v>9.7376350313425064E-3</v>
      </c>
      <c r="D36"/>
      <c r="E36"/>
      <c r="F36"/>
      <c r="G36" s="65">
        <v>5.000000074505806E-2</v>
      </c>
      <c r="H36"/>
      <c r="I36" s="11">
        <v>3.2313764677383006E-4</v>
      </c>
      <c r="J36"/>
      <c r="K36"/>
      <c r="L36"/>
      <c r="M36"/>
      <c r="N36" s="11">
        <v>9.0249342611059546E-4</v>
      </c>
      <c r="O36"/>
      <c r="P36"/>
      <c r="Q36" s="11">
        <v>7.9124048352241516E-4</v>
      </c>
      <c r="R36" s="19">
        <v>4.3499220162630081E-2</v>
      </c>
      <c r="S36" s="16">
        <v>3.9064988493919373E-2</v>
      </c>
      <c r="T36" s="284">
        <v>1.0303421020507812</v>
      </c>
      <c r="U36"/>
      <c r="V36" s="14">
        <v>3.0737747438251972E-3</v>
      </c>
      <c r="W36" s="146">
        <v>6.9711156189441681E-2</v>
      </c>
      <c r="X36" s="18">
        <v>3.0020168051123619E-2</v>
      </c>
      <c r="Y36"/>
      <c r="Z36" s="14">
        <v>4.8902267590165138E-3</v>
      </c>
      <c r="AA36" s="11">
        <v>1.1732359416782856E-4</v>
      </c>
      <c r="AB36"/>
      <c r="AC36" s="19">
        <v>4.2167510837316513E-2</v>
      </c>
      <c r="AD36"/>
      <c r="AE36"/>
      <c r="AF36" s="14">
        <v>3.8953975308686495E-3</v>
      </c>
      <c r="AG36" s="14">
        <v>4.1922125965356827E-3</v>
      </c>
      <c r="AH36" s="14">
        <v>4.9201487563550472E-3</v>
      </c>
      <c r="AI36" s="15">
        <v>2.220628596842289E-2</v>
      </c>
      <c r="AJ36" s="28">
        <v>8.2636184990406036E-2</v>
      </c>
      <c r="AK36"/>
      <c r="AL36" s="14">
        <v>3.5088039003312588E-3</v>
      </c>
      <c r="AM36" s="290">
        <v>0.86400002241134644</v>
      </c>
      <c r="AN36"/>
      <c r="AO36"/>
      <c r="AP36"/>
      <c r="AQ36" s="13">
        <v>8.999999612569809E-2</v>
      </c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1.7999999523162842</v>
      </c>
      <c r="C37">
        <v>0.20687298476696014</v>
      </c>
      <c r="D37"/>
      <c r="E37"/>
      <c r="F37"/>
      <c r="G37" s="19">
        <v>3.0000001192092896E-2</v>
      </c>
      <c r="H37"/>
      <c r="I37" s="11">
        <v>1.1750460835173726E-3</v>
      </c>
      <c r="J37"/>
      <c r="K37"/>
      <c r="L37"/>
      <c r="M37"/>
      <c r="N37"/>
      <c r="O37"/>
      <c r="P37"/>
      <c r="Q37" s="12">
        <v>8.7036415934562683E-3</v>
      </c>
      <c r="R37" s="14">
        <v>3.9655896835029125E-3</v>
      </c>
      <c r="S37" s="29">
        <v>8.443528413772583E-2</v>
      </c>
      <c r="T37"/>
      <c r="U37"/>
      <c r="V37"/>
      <c r="W37" s="244">
        <v>6.9711171090602875E-2</v>
      </c>
      <c r="X37" s="11">
        <v>1.109208824345842E-5</v>
      </c>
      <c r="Y37"/>
      <c r="Z37"/>
      <c r="AA37"/>
      <c r="AB37"/>
      <c r="AC37" s="15">
        <v>1.6867011785507202E-2</v>
      </c>
      <c r="AD37" s="14">
        <v>2.5008667726069689E-3</v>
      </c>
      <c r="AE37"/>
      <c r="AF37" s="239">
        <v>8.0091111361980438E-2</v>
      </c>
      <c r="AG37" s="12">
        <v>8.3844251930713654E-3</v>
      </c>
      <c r="AH37" s="146">
        <v>5.2645578980445862E-2</v>
      </c>
      <c r="AI37"/>
      <c r="AJ37" s="239">
        <v>8.2636237144470215E-2</v>
      </c>
      <c r="AK37"/>
      <c r="AL37"/>
      <c r="AM37" s="289">
        <v>1.1519999504089355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9</v>
      </c>
      <c r="C38">
        <v>0.42941683530807495</v>
      </c>
      <c r="D38"/>
      <c r="E38"/>
      <c r="F38"/>
      <c r="G38" s="65">
        <v>0.20000001788139343</v>
      </c>
      <c r="H38"/>
      <c r="I38" s="11">
        <v>1.8063797324430197E-4</v>
      </c>
      <c r="J38"/>
      <c r="K38"/>
      <c r="L38"/>
      <c r="M38"/>
      <c r="N38"/>
      <c r="O38"/>
      <c r="P38"/>
      <c r="Q38"/>
      <c r="R38"/>
      <c r="S38"/>
      <c r="T38" s="268">
        <v>0.46833735704421997</v>
      </c>
      <c r="U38"/>
      <c r="V38"/>
      <c r="W38" s="11">
        <v>6.225334363989532E-4</v>
      </c>
      <c r="X38"/>
      <c r="Y38"/>
      <c r="Z38"/>
      <c r="AA38" s="11">
        <v>5.7376583572477102E-4</v>
      </c>
      <c r="AB38"/>
      <c r="AC38"/>
      <c r="AD38"/>
      <c r="AE38"/>
      <c r="AF38" s="22">
        <v>6.8356595933437347E-2</v>
      </c>
      <c r="AG38" s="11">
        <v>2.2866614162921906E-3</v>
      </c>
      <c r="AH38" s="11">
        <v>6.9888485595583916E-3</v>
      </c>
      <c r="AI38" s="11">
        <v>1.8826697487384081E-3</v>
      </c>
      <c r="AJ38" s="270">
        <v>0.72026318311691284</v>
      </c>
      <c r="AK38"/>
      <c r="AL38"/>
      <c r="AM38" s="306">
        <v>4.5556368827819824</v>
      </c>
      <c r="AN38"/>
      <c r="AO38" s="301">
        <v>2.5454542636871338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1.5</v>
      </c>
      <c r="C39">
        <v>0.40118908882141113</v>
      </c>
      <c r="D39" s="11">
        <v>1.2345678987912834E-4</v>
      </c>
      <c r="E39" s="11">
        <v>4.9382715951651335E-4</v>
      </c>
      <c r="F39"/>
      <c r="G39"/>
      <c r="H39" s="11">
        <v>2.0510282774921507E-4</v>
      </c>
      <c r="I39" s="12">
        <v>5.1266816444694996E-3</v>
      </c>
      <c r="J39" s="11">
        <v>1.1967029422521591E-3</v>
      </c>
      <c r="K39" s="11">
        <v>2.4499527171428781E-6</v>
      </c>
      <c r="L39"/>
      <c r="M39" s="16">
        <v>2.2790342569351196E-2</v>
      </c>
      <c r="N39" s="14">
        <v>2.6844877284020185E-3</v>
      </c>
      <c r="O39"/>
      <c r="P39"/>
      <c r="Q39" s="296">
        <v>0.26672330498695374</v>
      </c>
      <c r="R39" s="25">
        <v>4.8377141356468201E-2</v>
      </c>
      <c r="S39" s="18">
        <v>1.8522609025239944E-2</v>
      </c>
      <c r="T39" s="25">
        <v>4.833703488111496E-2</v>
      </c>
      <c r="U39" s="17">
        <v>1.9345929846167564E-2</v>
      </c>
      <c r="V39" s="11">
        <v>6.4890808425843716E-4</v>
      </c>
      <c r="W39" s="252">
        <v>4.9056004732847214E-2</v>
      </c>
      <c r="X39" s="14">
        <v>2.4883074220269918E-3</v>
      </c>
      <c r="Y39" s="15">
        <v>1.5180984511971474E-2</v>
      </c>
      <c r="Z39"/>
      <c r="AA39" s="12">
        <v>6.4301961101591587E-3</v>
      </c>
      <c r="AB39" s="23">
        <v>8.2407062873244286E-3</v>
      </c>
      <c r="AC39" s="244">
        <v>5.9346862137317657E-2</v>
      </c>
      <c r="AD39" s="18">
        <v>1.7964266240596771E-2</v>
      </c>
      <c r="AE39" s="11">
        <v>1.2473076640162617E-4</v>
      </c>
      <c r="AF39" s="17">
        <v>1.9854150712490082E-2</v>
      </c>
      <c r="AG39"/>
      <c r="AH39" s="146">
        <v>4.3279074132442474E-2</v>
      </c>
      <c r="AI39" s="26">
        <v>3.7287544459104538E-2</v>
      </c>
      <c r="AJ39" s="67">
        <v>8.7206296622753143E-2</v>
      </c>
      <c r="AK39" s="76">
        <v>0.11839505285024643</v>
      </c>
      <c r="AL39" s="252">
        <v>4.9378775060176849E-2</v>
      </c>
      <c r="AM39"/>
      <c r="AN39"/>
      <c r="AO39"/>
      <c r="AP39"/>
      <c r="AQ39"/>
      <c r="AR39"/>
      <c r="AS39" s="143">
        <v>0.14999999105930328</v>
      </c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1.5</v>
      </c>
      <c r="C40">
        <v>0.75035244226455688</v>
      </c>
      <c r="D40"/>
      <c r="E40" s="11">
        <v>1.148346484569629E-7</v>
      </c>
      <c r="F40"/>
      <c r="G40"/>
      <c r="H40"/>
      <c r="I40" s="11">
        <v>5.1105325110256672E-4</v>
      </c>
      <c r="J40"/>
      <c r="K40"/>
      <c r="L40" s="14">
        <v>3.6352698225528002E-3</v>
      </c>
      <c r="M40" s="14">
        <v>2.1128251682966948E-3</v>
      </c>
      <c r="N40"/>
      <c r="O40"/>
      <c r="P40"/>
      <c r="Q40"/>
      <c r="R40" s="14">
        <v>3.7237608339637518E-3</v>
      </c>
      <c r="S40" s="12">
        <v>5.8756424114108086E-3</v>
      </c>
      <c r="T40" s="12">
        <v>4.9790930934250355E-3</v>
      </c>
      <c r="U40"/>
      <c r="V40"/>
      <c r="W40" s="70">
        <v>7.5797297060489655E-2</v>
      </c>
      <c r="X40" s="11">
        <v>1.3853063574060798E-3</v>
      </c>
      <c r="Y40" s="23">
        <v>9.3825627118349075E-3</v>
      </c>
      <c r="Z40" s="11">
        <v>2.8358222334645689E-4</v>
      </c>
      <c r="AA40"/>
      <c r="AB40"/>
      <c r="AC40" s="26">
        <v>3.7045944482088089E-2</v>
      </c>
      <c r="AD40" s="11">
        <v>1.0382414984633215E-5</v>
      </c>
      <c r="AE40" s="11">
        <v>3.7387238990049809E-5</v>
      </c>
      <c r="AF40" s="12">
        <v>6.3169188797473907E-3</v>
      </c>
      <c r="AG40" s="11">
        <v>1.8232851289212704E-4</v>
      </c>
      <c r="AH40"/>
      <c r="AI40" s="12">
        <v>5.1117837429046631E-3</v>
      </c>
      <c r="AJ40" s="243">
        <v>0.23355619609355927</v>
      </c>
      <c r="AK40" s="282">
        <v>0.12561485171318054</v>
      </c>
      <c r="AL40"/>
      <c r="AM40"/>
      <c r="AN40"/>
      <c r="AO40"/>
      <c r="AP40"/>
      <c r="AQ40"/>
      <c r="AR40"/>
      <c r="AS40" s="27">
        <v>0.11588380485773087</v>
      </c>
      <c r="AT40"/>
      <c r="AU40"/>
      <c r="AV40"/>
      <c r="AW40" s="76">
        <v>0.11820147186517715</v>
      </c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3</v>
      </c>
      <c r="C41">
        <v>1.7723498344421387</v>
      </c>
      <c r="D41"/>
      <c r="E41"/>
      <c r="F41"/>
      <c r="G41"/>
      <c r="H41"/>
      <c r="I41"/>
      <c r="J41"/>
      <c r="K41"/>
      <c r="L41"/>
      <c r="M41" s="14">
        <v>6.4680934883654118E-3</v>
      </c>
      <c r="N41" s="11">
        <v>6.2015489675104618E-5</v>
      </c>
      <c r="O41"/>
      <c r="P41"/>
      <c r="Q41" s="19">
        <v>5.4405562579631805E-2</v>
      </c>
      <c r="R41" s="11">
        <v>2.7453524526208639E-3</v>
      </c>
      <c r="S41" s="14">
        <v>3.7874451372772455E-3</v>
      </c>
      <c r="T41" s="257">
        <v>7.0660971105098724E-2</v>
      </c>
      <c r="U41"/>
      <c r="V41" s="11">
        <v>1.1030222231056541E-4</v>
      </c>
      <c r="W41" s="12">
        <v>1.2257746420800686E-2</v>
      </c>
      <c r="X41" s="11">
        <v>8.2826189463958144E-4</v>
      </c>
      <c r="Y41" s="12">
        <v>1.0992863215506077E-2</v>
      </c>
      <c r="Z41" s="11">
        <v>1.7548548930790275E-4</v>
      </c>
      <c r="AA41" s="11">
        <v>1.1324258230160922E-4</v>
      </c>
      <c r="AB41"/>
      <c r="AC41" s="257">
        <v>6.9000937044620514E-2</v>
      </c>
      <c r="AD41"/>
      <c r="AE41"/>
      <c r="AF41" s="11">
        <v>2.2609392181038857E-3</v>
      </c>
      <c r="AG41" s="11">
        <v>1.5043729217723012E-4</v>
      </c>
      <c r="AH41" s="11">
        <v>2.7587378863245249E-3</v>
      </c>
      <c r="AI41" s="14">
        <v>4.7797039151191711E-3</v>
      </c>
      <c r="AJ41" s="307">
        <v>0.43284440040588379</v>
      </c>
      <c r="AK41" s="18">
        <v>3.4212406724691391E-2</v>
      </c>
      <c r="AL41" s="18">
        <v>3.7138272076845169E-2</v>
      </c>
      <c r="AM41"/>
      <c r="AN41"/>
      <c r="AO41"/>
      <c r="AP41"/>
      <c r="AQ41"/>
      <c r="AR41"/>
      <c r="AS41" s="305">
        <v>0.28684347867965698</v>
      </c>
      <c r="AT41"/>
      <c r="AU41"/>
      <c r="AV41"/>
      <c r="AW41" s="78">
        <v>0.19505353271961212</v>
      </c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2.4000000953674316</v>
      </c>
      <c r="C42">
        <v>0.48815491795539856</v>
      </c>
      <c r="D42"/>
      <c r="E42"/>
      <c r="F42"/>
      <c r="G42"/>
      <c r="H42"/>
      <c r="I42"/>
      <c r="J42"/>
      <c r="K42"/>
      <c r="L42"/>
      <c r="M42" s="22">
        <v>1.8379310145974159E-2</v>
      </c>
      <c r="N42" s="11">
        <v>1.3076608302071691E-3</v>
      </c>
      <c r="O42"/>
      <c r="P42"/>
      <c r="Q42" s="11">
        <v>8.9624756947159767E-4</v>
      </c>
      <c r="R42" s="23">
        <v>1.2346146628260612E-2</v>
      </c>
      <c r="S42" s="14">
        <v>6.2685529701411724E-3</v>
      </c>
      <c r="T42" s="293">
        <v>0.20735989511013031</v>
      </c>
      <c r="U42"/>
      <c r="V42" s="11">
        <v>4.360940947663039E-4</v>
      </c>
      <c r="W42" s="26">
        <v>6.1745073646306992E-2</v>
      </c>
      <c r="X42" s="14">
        <v>4.5026317238807678E-3</v>
      </c>
      <c r="Y42"/>
      <c r="Z42" s="11">
        <v>6.9380452623590827E-4</v>
      </c>
      <c r="AA42" s="11">
        <v>4.9936155846808106E-5</v>
      </c>
      <c r="AB42" s="11">
        <v>3.0423927819356322E-4</v>
      </c>
      <c r="AC42" s="257">
        <v>5.450797826051712E-2</v>
      </c>
      <c r="AD42"/>
      <c r="AE42"/>
      <c r="AF42" s="11">
        <v>1.6579866642132401E-3</v>
      </c>
      <c r="AG42" s="11">
        <v>5.9477327158674598E-4</v>
      </c>
      <c r="AH42" s="14">
        <v>5.4535134695470333E-3</v>
      </c>
      <c r="AI42" s="23">
        <v>1.5469325706362724E-2</v>
      </c>
      <c r="AJ42" s="300">
        <v>0.52745741605758667</v>
      </c>
      <c r="AK42"/>
      <c r="AL42" s="11">
        <v>1.9912556745111942E-3</v>
      </c>
      <c r="AM42"/>
      <c r="AN42"/>
      <c r="AO42"/>
      <c r="AP42"/>
      <c r="AQ42"/>
      <c r="AR42"/>
      <c r="AS42" s="149">
        <v>0.60483872890472412</v>
      </c>
      <c r="AT42"/>
      <c r="AU42"/>
      <c r="AV42"/>
      <c r="AW42" s="288">
        <v>0.38558465242385864</v>
      </c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1.7999999523162842</v>
      </c>
      <c r="C43">
        <v>1.3971971273422241</v>
      </c>
      <c r="D43"/>
      <c r="E43"/>
      <c r="F43"/>
      <c r="G43"/>
      <c r="H43"/>
      <c r="I43" s="11">
        <v>1.3688618309970479E-5</v>
      </c>
      <c r="J43"/>
      <c r="K43"/>
      <c r="L43"/>
      <c r="M43"/>
      <c r="N43"/>
      <c r="O43"/>
      <c r="P43"/>
      <c r="Q43" s="11">
        <v>1.0459736222401261E-3</v>
      </c>
      <c r="R43" s="11">
        <v>1.3132236199453473E-4</v>
      </c>
      <c r="S43" s="12">
        <v>6.6407723352313042E-3</v>
      </c>
      <c r="T43"/>
      <c r="U43"/>
      <c r="V43"/>
      <c r="W43" s="19">
        <v>3.2780960202217102E-2</v>
      </c>
      <c r="X43" s="11">
        <v>3.6731969998982095E-7</v>
      </c>
      <c r="Y43"/>
      <c r="Z43"/>
      <c r="AA43"/>
      <c r="AB43" s="11">
        <v>3.0976184461906087E-6</v>
      </c>
      <c r="AC43" s="21">
        <v>3.6651335656642914E-2</v>
      </c>
      <c r="AD43" s="11">
        <v>2.484521537553519E-4</v>
      </c>
      <c r="AE43"/>
      <c r="AF43" s="19">
        <v>3.2606977969408035E-2</v>
      </c>
      <c r="AG43" s="11">
        <v>2.7765418053604662E-4</v>
      </c>
      <c r="AH43" s="14">
        <v>5.091656930744648E-3</v>
      </c>
      <c r="AI43" s="11">
        <v>1.4046088326722383E-3</v>
      </c>
      <c r="AJ43" s="147">
        <v>0.10943535715341568</v>
      </c>
      <c r="AK43"/>
      <c r="AL43"/>
      <c r="AM43"/>
      <c r="AN43"/>
      <c r="AO43"/>
      <c r="AP43"/>
      <c r="AQ43"/>
      <c r="AR43"/>
      <c r="AS43" s="298">
        <v>0.17647060751914978</v>
      </c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9</v>
      </c>
      <c r="C44">
        <v>6.7222480773925781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8">
        <v>0.10985691100358963</v>
      </c>
      <c r="U44"/>
      <c r="V44"/>
      <c r="W44" s="11">
        <v>1.4602634473703802E-4</v>
      </c>
      <c r="X44"/>
      <c r="Y44"/>
      <c r="Z44"/>
      <c r="AA44" s="11">
        <v>4.0376131073571742E-4</v>
      </c>
      <c r="AB44"/>
      <c r="AC44"/>
      <c r="AD44"/>
      <c r="AE44"/>
      <c r="AF44" s="23">
        <v>4.8102781176567078E-2</v>
      </c>
      <c r="AG44" s="11">
        <v>5.3637736709788442E-4</v>
      </c>
      <c r="AH44" s="11">
        <v>4.9180779606103897E-3</v>
      </c>
      <c r="AI44" s="11">
        <v>1.3248417526483536E-3</v>
      </c>
      <c r="AJ44" s="251">
        <v>0.62434846162796021</v>
      </c>
      <c r="AK44"/>
      <c r="AL44"/>
      <c r="AM44"/>
      <c r="AN44"/>
      <c r="AO44"/>
      <c r="AP44"/>
      <c r="AQ44"/>
      <c r="AR44"/>
      <c r="AS44" s="237">
        <v>1.022727370262146</v>
      </c>
      <c r="AT44"/>
      <c r="AU44" s="17">
        <v>0.11766001582145691</v>
      </c>
      <c r="AV44"/>
      <c r="AW44" s="244">
        <v>0.34772726893424988</v>
      </c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24</v>
      </c>
      <c r="C45">
        <v>20.507339477539062</v>
      </c>
      <c r="D45"/>
      <c r="E45"/>
      <c r="F45"/>
      <c r="G45"/>
      <c r="H45"/>
      <c r="I45"/>
      <c r="J45"/>
      <c r="K45" s="11">
        <v>8.660749131195189E-7</v>
      </c>
      <c r="L45"/>
      <c r="M45"/>
      <c r="N45" s="14">
        <v>4.3439213186502457E-2</v>
      </c>
      <c r="O45" s="28">
        <v>0.83480381965637207</v>
      </c>
      <c r="P45" s="251">
        <v>1.6666666269302368</v>
      </c>
      <c r="Q45" s="15">
        <v>0.23207540810108185</v>
      </c>
      <c r="R45" s="11">
        <v>3.319052848382853E-5</v>
      </c>
      <c r="S45" s="11">
        <v>1.0484405793249607E-3</v>
      </c>
      <c r="T45" s="11">
        <v>1.7376059666275978E-2</v>
      </c>
      <c r="U45"/>
      <c r="V45" s="11">
        <v>6.4858373661991209E-5</v>
      </c>
      <c r="W45"/>
      <c r="X45"/>
      <c r="Y45"/>
      <c r="Z45"/>
      <c r="AA45"/>
      <c r="AB45" s="11">
        <v>3.8046832742111292E-6</v>
      </c>
      <c r="AC45" s="11">
        <v>1.8850816413760185E-2</v>
      </c>
      <c r="AD45"/>
      <c r="AE45"/>
      <c r="AF45"/>
      <c r="AG45"/>
      <c r="AH45"/>
      <c r="AI45" s="11">
        <v>3.6870985059067607E-4</v>
      </c>
      <c r="AJ45" s="23">
        <v>0.12396973371505737</v>
      </c>
      <c r="AK45"/>
      <c r="AL45"/>
      <c r="AM45"/>
      <c r="AN45"/>
      <c r="AO45"/>
      <c r="AP45"/>
      <c r="AQ45"/>
      <c r="AR45"/>
      <c r="AS45"/>
      <c r="AT45"/>
      <c r="AU45"/>
      <c r="AV45" s="22">
        <v>0.17505882680416107</v>
      </c>
      <c r="AW45"/>
      <c r="AX45"/>
      <c r="AY45"/>
      <c r="AZ45" s="16">
        <v>0.37889999151229858</v>
      </c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4.3000001907348633</v>
      </c>
      <c r="C46">
        <v>1.1711268424987793</v>
      </c>
      <c r="D46"/>
      <c r="E46"/>
      <c r="F46"/>
      <c r="G46"/>
      <c r="H46"/>
      <c r="I46"/>
      <c r="J46" s="11">
        <v>2.8425247874110937E-3</v>
      </c>
      <c r="K46" s="11">
        <v>2.0983288777642883E-5</v>
      </c>
      <c r="L46"/>
      <c r="M46" s="292">
        <v>0.37893679738044739</v>
      </c>
      <c r="N46" s="70">
        <v>0.21686775982379913</v>
      </c>
      <c r="O46"/>
      <c r="P46"/>
      <c r="Q46" s="279">
        <v>1.5838675498962402</v>
      </c>
      <c r="R46"/>
      <c r="S46" s="14">
        <v>7.056012749671936E-3</v>
      </c>
      <c r="T46" s="15">
        <v>4.5288056135177612E-2</v>
      </c>
      <c r="U46"/>
      <c r="V46" s="11">
        <v>3.0811582109890878E-4</v>
      </c>
      <c r="W46"/>
      <c r="X46"/>
      <c r="Y46" s="23">
        <v>2.393743209540844E-2</v>
      </c>
      <c r="Z46"/>
      <c r="AA46" s="11">
        <v>1.0549583239480853E-3</v>
      </c>
      <c r="AB46" s="11">
        <v>1.4376111794263124E-3</v>
      </c>
      <c r="AC46" s="23">
        <v>2.8192481026053429E-2</v>
      </c>
      <c r="AD46"/>
      <c r="AE46"/>
      <c r="AF46"/>
      <c r="AG46"/>
      <c r="AH46"/>
      <c r="AI46" s="14">
        <v>5.9554087929427624E-3</v>
      </c>
      <c r="AJ46" s="78">
        <v>0.27618780732154846</v>
      </c>
      <c r="AK46"/>
      <c r="AL46" s="18">
        <v>4.6919841319322586E-2</v>
      </c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294">
        <v>0.50999999046325684</v>
      </c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24</v>
      </c>
      <c r="C47">
        <v>4.7996649742126465</v>
      </c>
      <c r="D47"/>
      <c r="E47"/>
      <c r="F47"/>
      <c r="G47" s="15">
        <v>0.24284273386001587</v>
      </c>
      <c r="H47"/>
      <c r="I47"/>
      <c r="J47"/>
      <c r="K47" s="11">
        <v>2.6035519113065675E-5</v>
      </c>
      <c r="L47"/>
      <c r="M47"/>
      <c r="N47" s="14">
        <v>5.6964542716741562E-2</v>
      </c>
      <c r="O47"/>
      <c r="P47" s="245">
        <v>8.3504180908203125</v>
      </c>
      <c r="Q47" s="268">
        <v>1.2779821157455444</v>
      </c>
      <c r="R47" s="11">
        <v>9.9775730632245541E-4</v>
      </c>
      <c r="S47" s="14">
        <v>3.5490196198225021E-2</v>
      </c>
      <c r="T47" s="65">
        <v>0.52235054969787598</v>
      </c>
      <c r="U47"/>
      <c r="V47" s="11">
        <v>1.9115103641524911E-3</v>
      </c>
      <c r="W47"/>
      <c r="X47"/>
      <c r="Y47"/>
      <c r="Z47"/>
      <c r="AA47"/>
      <c r="AB47"/>
      <c r="AC47" s="23">
        <v>0.12967739999294281</v>
      </c>
      <c r="AD47"/>
      <c r="AE47"/>
      <c r="AF47"/>
      <c r="AG47"/>
      <c r="AH47"/>
      <c r="AI47"/>
      <c r="AJ47" s="12">
        <v>0.10283049941062927</v>
      </c>
      <c r="AK47"/>
      <c r="AL47"/>
      <c r="AM47"/>
      <c r="AN47"/>
      <c r="AO47"/>
      <c r="AP47" s="25">
        <v>0.74662572145462036</v>
      </c>
      <c r="AQ47"/>
      <c r="AR47"/>
      <c r="AS47"/>
      <c r="AT47"/>
      <c r="AU47"/>
      <c r="AV47"/>
      <c r="AW47"/>
      <c r="AX47"/>
      <c r="AY47"/>
      <c r="AZ47"/>
      <c r="BA47"/>
      <c r="BB47" s="308">
        <v>7.7322192192077637</v>
      </c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4.3000001907348633</v>
      </c>
      <c r="C48">
        <v>0.85954505205154419</v>
      </c>
      <c r="D48"/>
      <c r="E48"/>
      <c r="F48"/>
      <c r="G48" s="65">
        <v>9.6031747758388519E-2</v>
      </c>
      <c r="H48"/>
      <c r="I48"/>
      <c r="J48" s="11">
        <v>3.7220562808215618E-3</v>
      </c>
      <c r="K48" s="11">
        <v>2.7475920433062129E-5</v>
      </c>
      <c r="L48"/>
      <c r="M48"/>
      <c r="N48" s="22">
        <v>3.558037057518959E-2</v>
      </c>
      <c r="O48"/>
      <c r="P48"/>
      <c r="Q48" s="302">
        <v>2.073946475982666</v>
      </c>
      <c r="R48"/>
      <c r="S48" s="15">
        <v>4.3324042111635208E-2</v>
      </c>
      <c r="T48" s="17">
        <v>5.9301044791936874E-2</v>
      </c>
      <c r="U48"/>
      <c r="V48" s="11">
        <v>4.0345275192521513E-4</v>
      </c>
      <c r="W48"/>
      <c r="X48"/>
      <c r="Y48"/>
      <c r="Z48"/>
      <c r="AA48" s="11">
        <v>4.604606656357646E-4</v>
      </c>
      <c r="AB48"/>
      <c r="AC48" s="18">
        <v>5.4046060889959335E-2</v>
      </c>
      <c r="AD48"/>
      <c r="AE48"/>
      <c r="AF48"/>
      <c r="AG48"/>
      <c r="AH48"/>
      <c r="AI48" s="11">
        <v>2.07950035110116E-3</v>
      </c>
      <c r="AJ48" s="22">
        <v>3.6173179745674133E-2</v>
      </c>
      <c r="AK48"/>
      <c r="AL48" s="12">
        <v>1.5359430573880672E-2</v>
      </c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 s="297">
        <v>1.0199998617172241</v>
      </c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100</v>
      </c>
      <c r="C49">
        <v>57.157188415527344</v>
      </c>
      <c r="D49"/>
      <c r="E49"/>
      <c r="F49"/>
      <c r="G49" s="21">
        <v>2</v>
      </c>
      <c r="H49"/>
      <c r="I49"/>
      <c r="J49"/>
      <c r="K49"/>
      <c r="L49"/>
      <c r="M49"/>
      <c r="N49"/>
      <c r="O49"/>
      <c r="P49" s="17">
        <v>1.2996500730514526</v>
      </c>
      <c r="Q49"/>
      <c r="R49"/>
      <c r="S49" s="11">
        <v>2.5532593950629234E-2</v>
      </c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 s="70">
        <v>5.0570259094238281</v>
      </c>
      <c r="AO49"/>
      <c r="AP49"/>
      <c r="AQ49"/>
      <c r="AR49"/>
      <c r="AS49"/>
      <c r="AT49"/>
      <c r="AU49"/>
      <c r="AV49"/>
      <c r="AW49"/>
      <c r="AX49"/>
      <c r="AY49"/>
      <c r="AZ49"/>
      <c r="BA49" s="309">
        <v>31.376804351806641</v>
      </c>
      <c r="BB49" s="25">
        <v>3.0837996006011963</v>
      </c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100</v>
      </c>
      <c r="C50">
        <v>14.804154396057129</v>
      </c>
      <c r="D50"/>
      <c r="E50"/>
      <c r="F50"/>
      <c r="G50"/>
      <c r="H50"/>
      <c r="I50"/>
      <c r="J50"/>
      <c r="K50"/>
      <c r="L50"/>
      <c r="M50"/>
      <c r="N50"/>
      <c r="O50" s="11">
        <v>7.5330309569835663E-2</v>
      </c>
      <c r="P50" s="12">
        <v>0.33838927745819092</v>
      </c>
      <c r="Q50"/>
      <c r="R50"/>
      <c r="S50" s="11">
        <v>5.5399234406650066E-4</v>
      </c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26">
        <v>2.5765354633331299</v>
      </c>
      <c r="AU50"/>
      <c r="AV50"/>
      <c r="AW50"/>
      <c r="AX50"/>
      <c r="AY50" s="310">
        <v>81.863128662109375</v>
      </c>
      <c r="AZ50" s="12">
        <v>0.34190851449966431</v>
      </c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4.059999942779541</v>
      </c>
      <c r="C51">
        <v>4.0031442642211914</v>
      </c>
      <c r="D51"/>
      <c r="E51"/>
      <c r="F51"/>
      <c r="G51" s="23">
        <v>2.5000002235174179E-2</v>
      </c>
      <c r="H51"/>
      <c r="I51"/>
      <c r="J51"/>
      <c r="K51"/>
      <c r="L51" s="14">
        <v>5.2150492556393147E-3</v>
      </c>
      <c r="M51"/>
      <c r="N51"/>
      <c r="O51"/>
      <c r="P51"/>
      <c r="Q51"/>
      <c r="R51"/>
      <c r="S51" s="11">
        <v>4.3848209315910935E-4</v>
      </c>
      <c r="T51"/>
      <c r="U51"/>
      <c r="V51"/>
      <c r="W51" s="11">
        <v>7.5835979077965021E-4</v>
      </c>
      <c r="X51"/>
      <c r="Y51"/>
      <c r="Z51"/>
      <c r="AA51"/>
      <c r="AB51"/>
      <c r="AC51"/>
      <c r="AD51"/>
      <c r="AE51"/>
      <c r="AF51" s="11">
        <v>1.4183111488819122E-3</v>
      </c>
      <c r="AG51" s="11">
        <v>9.5790754130575806E-5</v>
      </c>
      <c r="AH51"/>
      <c r="AI51"/>
      <c r="AJ51"/>
      <c r="AK51"/>
      <c r="AL51"/>
      <c r="AM51" s="23">
        <v>2.3929856717586517E-2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0.4629051685333252</v>
      </c>
      <c r="D52"/>
      <c r="E52"/>
      <c r="F52"/>
      <c r="G52"/>
      <c r="H52"/>
      <c r="I52" s="9">
        <v>2.8273831121623516E-3</v>
      </c>
      <c r="J52"/>
      <c r="K52"/>
      <c r="L52" s="9">
        <v>0.27273961901664734</v>
      </c>
      <c r="M52"/>
      <c r="N52" s="9">
        <v>0.21751198172569275</v>
      </c>
      <c r="O52"/>
      <c r="P52"/>
      <c r="Q52" s="9">
        <v>0.70176595449447632</v>
      </c>
      <c r="R52"/>
      <c r="S52" s="9">
        <v>8.9379273355007172E-2</v>
      </c>
      <c r="T52"/>
      <c r="U52" s="9">
        <v>1.5518416184931993E-3</v>
      </c>
      <c r="V52"/>
      <c r="W52"/>
      <c r="X52"/>
      <c r="Y52" s="9">
        <v>0.1229659765958786</v>
      </c>
      <c r="Z52"/>
      <c r="AA52"/>
      <c r="AB52"/>
      <c r="AC52" s="9">
        <v>0.28965270519256592</v>
      </c>
      <c r="AD52"/>
      <c r="AE52"/>
      <c r="AF52"/>
      <c r="AG52"/>
      <c r="AH52"/>
      <c r="AI52"/>
      <c r="AJ52"/>
      <c r="AK52"/>
      <c r="AL52"/>
      <c r="AM52" s="9">
        <v>26.265600204467773</v>
      </c>
      <c r="AN52" s="9">
        <v>253.01667785644531</v>
      </c>
      <c r="AO52" s="9">
        <v>172.01332092285156</v>
      </c>
      <c r="AP52" s="9">
        <v>12.311999320983887</v>
      </c>
      <c r="AQ52" s="9">
        <v>4.1040000915527344</v>
      </c>
      <c r="AR52" s="9">
        <v>208.99996948242188</v>
      </c>
      <c r="AS52" s="9">
        <v>30.375001907348633</v>
      </c>
      <c r="AT52" s="9">
        <v>262.11602783203125</v>
      </c>
      <c r="AU52" s="9">
        <v>1047.3023681640625</v>
      </c>
      <c r="AV52" s="9">
        <v>86.780158996582031</v>
      </c>
      <c r="AW52" s="9">
        <v>139.42124938964844</v>
      </c>
      <c r="AX52" s="9">
        <v>890.99993896484375</v>
      </c>
      <c r="AY52" s="9">
        <v>616.89605712890625</v>
      </c>
      <c r="AZ52" s="9">
        <v>12.174057006835938</v>
      </c>
      <c r="BA52" s="9">
        <v>20.521127700805664</v>
      </c>
      <c r="BB52" s="9">
        <v>9.2972946166992188</v>
      </c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/>
      <c r="C53">
        <v>0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192</v>
      </c>
      <c r="E5">
        <v>4</v>
      </c>
      <c r="F5">
        <v>3.16</v>
      </c>
      <c r="G5">
        <v>4</v>
      </c>
      <c r="H5" s="200" t="s">
        <v>192</v>
      </c>
      <c r="J5" s="57"/>
      <c r="K5" s="58"/>
    </row>
    <row r="6" spans="1:12" ht="14" thickBot="1" x14ac:dyDescent="0.2">
      <c r="A6" s="41" t="s">
        <v>121</v>
      </c>
      <c r="D6" s="199" t="s">
        <v>193</v>
      </c>
      <c r="E6">
        <v>5</v>
      </c>
      <c r="F6">
        <v>3.16</v>
      </c>
      <c r="G6">
        <v>5</v>
      </c>
      <c r="H6" s="200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194</v>
      </c>
      <c r="E7">
        <v>6</v>
      </c>
      <c r="F7">
        <v>3.24</v>
      </c>
      <c r="G7">
        <v>6</v>
      </c>
      <c r="H7" s="200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195</v>
      </c>
      <c r="E8">
        <v>7</v>
      </c>
      <c r="F8">
        <v>3.24</v>
      </c>
      <c r="G8">
        <v>7</v>
      </c>
      <c r="H8" s="200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196</v>
      </c>
      <c r="E9">
        <v>8</v>
      </c>
      <c r="F9">
        <v>3.14</v>
      </c>
      <c r="G9">
        <v>8</v>
      </c>
      <c r="H9" s="200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197</v>
      </c>
      <c r="E10">
        <v>9</v>
      </c>
      <c r="F10">
        <v>3.1</v>
      </c>
      <c r="G10">
        <v>9</v>
      </c>
      <c r="H10" s="200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198</v>
      </c>
      <c r="E11">
        <v>10</v>
      </c>
      <c r="F11">
        <v>3.14</v>
      </c>
      <c r="G11">
        <v>10</v>
      </c>
      <c r="H11" s="200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199</v>
      </c>
      <c r="E12">
        <v>11</v>
      </c>
      <c r="F12">
        <v>3.14</v>
      </c>
      <c r="G12">
        <v>11</v>
      </c>
      <c r="H12" s="200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200</v>
      </c>
      <c r="E13">
        <v>12</v>
      </c>
      <c r="F13">
        <v>3.14</v>
      </c>
      <c r="G13">
        <v>12</v>
      </c>
      <c r="H13" s="200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201</v>
      </c>
      <c r="E14">
        <v>13</v>
      </c>
      <c r="F14">
        <v>3.14</v>
      </c>
      <c r="G14">
        <v>13</v>
      </c>
      <c r="H14" s="200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202</v>
      </c>
      <c r="E15">
        <v>14</v>
      </c>
      <c r="F15">
        <v>3.14</v>
      </c>
      <c r="G15">
        <v>14</v>
      </c>
      <c r="H15" s="200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203</v>
      </c>
      <c r="E16">
        <v>15</v>
      </c>
      <c r="F16">
        <v>3</v>
      </c>
      <c r="G16">
        <v>15</v>
      </c>
      <c r="H16" s="200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204</v>
      </c>
      <c r="E17">
        <v>16</v>
      </c>
      <c r="F17">
        <v>3</v>
      </c>
      <c r="G17">
        <v>16</v>
      </c>
      <c r="H17" s="200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205</v>
      </c>
      <c r="E18">
        <v>17</v>
      </c>
      <c r="F18">
        <v>3.24</v>
      </c>
      <c r="G18">
        <v>17</v>
      </c>
      <c r="H18" s="200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206</v>
      </c>
      <c r="E19">
        <v>18</v>
      </c>
      <c r="F19">
        <v>3.24</v>
      </c>
      <c r="G19">
        <v>18</v>
      </c>
      <c r="H19" s="200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207</v>
      </c>
      <c r="E20">
        <v>19</v>
      </c>
      <c r="F20">
        <v>3.24</v>
      </c>
      <c r="G20">
        <v>19</v>
      </c>
      <c r="H20" s="200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208</v>
      </c>
      <c r="E21">
        <v>20</v>
      </c>
      <c r="F21">
        <v>3.24</v>
      </c>
      <c r="G21">
        <v>20</v>
      </c>
      <c r="H21" s="200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209</v>
      </c>
      <c r="E22">
        <v>21</v>
      </c>
      <c r="F22">
        <v>3.24</v>
      </c>
      <c r="G22">
        <v>21</v>
      </c>
      <c r="H22" s="200" t="s">
        <v>209</v>
      </c>
    </row>
    <row r="23" spans="1:12" x14ac:dyDescent="0.15">
      <c r="A23" s="36" t="s">
        <v>129</v>
      </c>
      <c r="B23" s="44">
        <v>4</v>
      </c>
      <c r="C23" s="38"/>
      <c r="D23" s="199" t="s">
        <v>210</v>
      </c>
      <c r="E23">
        <v>22</v>
      </c>
      <c r="F23">
        <v>3.24</v>
      </c>
      <c r="G23">
        <v>22</v>
      </c>
      <c r="H23" s="200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211</v>
      </c>
      <c r="E24">
        <v>23</v>
      </c>
      <c r="F24">
        <v>3.14</v>
      </c>
      <c r="G24">
        <v>23</v>
      </c>
      <c r="H24" s="200" t="s">
        <v>211</v>
      </c>
    </row>
    <row r="25" spans="1:12" x14ac:dyDescent="0.15">
      <c r="A25" s="36" t="s">
        <v>70</v>
      </c>
      <c r="B25" s="44">
        <v>4.2</v>
      </c>
      <c r="C25" s="38"/>
      <c r="D25" s="199" t="s">
        <v>212</v>
      </c>
      <c r="E25">
        <v>24</v>
      </c>
      <c r="F25">
        <v>3</v>
      </c>
      <c r="G25">
        <v>24</v>
      </c>
      <c r="H25" s="200" t="s">
        <v>212</v>
      </c>
    </row>
    <row r="26" spans="1:12" x14ac:dyDescent="0.15">
      <c r="A26" s="36" t="s">
        <v>123</v>
      </c>
      <c r="B26" s="44">
        <v>4.3</v>
      </c>
      <c r="C26" s="38"/>
      <c r="D26" s="199" t="s">
        <v>213</v>
      </c>
      <c r="E26">
        <v>25</v>
      </c>
      <c r="F26">
        <v>3</v>
      </c>
      <c r="G26">
        <v>25</v>
      </c>
      <c r="H26" s="200" t="s">
        <v>213</v>
      </c>
    </row>
    <row r="27" spans="1:12" x14ac:dyDescent="0.15">
      <c r="A27" s="36" t="s">
        <v>125</v>
      </c>
      <c r="B27" s="44">
        <v>6.1</v>
      </c>
      <c r="D27" s="199" t="s">
        <v>214</v>
      </c>
      <c r="E27">
        <v>26</v>
      </c>
      <c r="F27">
        <v>3.24</v>
      </c>
      <c r="G27">
        <v>26</v>
      </c>
      <c r="H27" s="200" t="s">
        <v>214</v>
      </c>
    </row>
    <row r="28" spans="1:12" x14ac:dyDescent="0.15">
      <c r="A28" s="36" t="s">
        <v>124</v>
      </c>
      <c r="B28" s="44">
        <v>6.2</v>
      </c>
      <c r="D28" s="199" t="s">
        <v>215</v>
      </c>
      <c r="E28">
        <v>27</v>
      </c>
      <c r="F28">
        <v>3.24</v>
      </c>
      <c r="G28">
        <v>27</v>
      </c>
      <c r="H28" s="200" t="s">
        <v>215</v>
      </c>
    </row>
    <row r="29" spans="1:12" x14ac:dyDescent="0.15">
      <c r="A29" s="36" t="s">
        <v>44</v>
      </c>
      <c r="B29" s="44">
        <v>5</v>
      </c>
      <c r="D29" s="199" t="s">
        <v>216</v>
      </c>
      <c r="E29">
        <v>28</v>
      </c>
      <c r="F29">
        <v>3.24</v>
      </c>
      <c r="G29">
        <v>28</v>
      </c>
      <c r="H29" s="200" t="s">
        <v>216</v>
      </c>
    </row>
    <row r="30" spans="1:12" x14ac:dyDescent="0.15">
      <c r="A30" s="36" t="s">
        <v>73</v>
      </c>
      <c r="B30" s="44">
        <v>7</v>
      </c>
      <c r="D30" s="199" t="s">
        <v>217</v>
      </c>
      <c r="E30">
        <v>29</v>
      </c>
      <c r="F30">
        <v>3.24</v>
      </c>
      <c r="G30">
        <v>29</v>
      </c>
      <c r="H30" s="200" t="s">
        <v>217</v>
      </c>
    </row>
    <row r="31" spans="1:12" x14ac:dyDescent="0.15">
      <c r="A31" s="36" t="s">
        <v>169</v>
      </c>
      <c r="B31" s="44">
        <v>3.14</v>
      </c>
      <c r="D31" s="199" t="s">
        <v>218</v>
      </c>
      <c r="E31">
        <v>30</v>
      </c>
      <c r="F31">
        <v>3.24</v>
      </c>
      <c r="G31">
        <v>30</v>
      </c>
      <c r="H31" s="200" t="s">
        <v>218</v>
      </c>
    </row>
    <row r="32" spans="1:12" ht="12" customHeight="1" thickBot="1" x14ac:dyDescent="0.2">
      <c r="A32" s="42" t="s">
        <v>170</v>
      </c>
      <c r="B32" s="45">
        <v>9</v>
      </c>
      <c r="D32" s="199" t="s">
        <v>219</v>
      </c>
      <c r="E32">
        <v>31</v>
      </c>
      <c r="F32">
        <v>3.24</v>
      </c>
      <c r="G32">
        <v>31</v>
      </c>
      <c r="H32" s="200" t="s">
        <v>219</v>
      </c>
    </row>
    <row r="33" spans="4:8" customFormat="1" ht="12" customHeight="1" x14ac:dyDescent="0.15">
      <c r="D33" s="199" t="s">
        <v>220</v>
      </c>
      <c r="E33">
        <v>32</v>
      </c>
      <c r="F33">
        <v>3</v>
      </c>
      <c r="G33">
        <v>32</v>
      </c>
      <c r="H33" s="200" t="s">
        <v>220</v>
      </c>
    </row>
    <row r="34" spans="4:8" customFormat="1" ht="12" customHeight="1" x14ac:dyDescent="0.15">
      <c r="D34" s="199" t="s">
        <v>221</v>
      </c>
      <c r="E34">
        <v>33</v>
      </c>
      <c r="F34">
        <v>3.23</v>
      </c>
      <c r="G34">
        <v>33</v>
      </c>
      <c r="H34" s="200" t="s">
        <v>221</v>
      </c>
    </row>
    <row r="35" spans="4:8" customFormat="1" x14ac:dyDescent="0.15">
      <c r="D35" s="199" t="s">
        <v>222</v>
      </c>
      <c r="E35">
        <v>34</v>
      </c>
      <c r="F35">
        <v>3.13</v>
      </c>
      <c r="G35">
        <v>34</v>
      </c>
      <c r="H35" s="200" t="s">
        <v>222</v>
      </c>
    </row>
    <row r="36" spans="4:8" customFormat="1" x14ac:dyDescent="0.15">
      <c r="D36" s="199" t="s">
        <v>223</v>
      </c>
      <c r="E36">
        <v>35</v>
      </c>
      <c r="F36">
        <v>3.21</v>
      </c>
      <c r="G36">
        <v>35</v>
      </c>
      <c r="H36" s="200" t="s">
        <v>223</v>
      </c>
    </row>
    <row r="37" spans="4:8" customFormat="1" ht="12" customHeight="1" x14ac:dyDescent="0.15">
      <c r="D37" s="199" t="s">
        <v>224</v>
      </c>
      <c r="E37">
        <v>36</v>
      </c>
      <c r="F37">
        <v>3.21</v>
      </c>
      <c r="G37">
        <v>36</v>
      </c>
      <c r="H37" s="200" t="s">
        <v>224</v>
      </c>
    </row>
    <row r="38" spans="4:8" customFormat="1" x14ac:dyDescent="0.15">
      <c r="D38" s="199" t="s">
        <v>225</v>
      </c>
      <c r="E38">
        <v>37</v>
      </c>
      <c r="F38">
        <v>3.21</v>
      </c>
      <c r="G38">
        <v>37</v>
      </c>
      <c r="H38" s="200" t="s">
        <v>225</v>
      </c>
    </row>
    <row r="39" spans="4:8" customFormat="1" x14ac:dyDescent="0.15">
      <c r="D39" s="199" t="s">
        <v>226</v>
      </c>
      <c r="E39">
        <v>38</v>
      </c>
      <c r="F39">
        <v>3.21</v>
      </c>
      <c r="G39">
        <v>38</v>
      </c>
      <c r="H39" s="200" t="s">
        <v>226</v>
      </c>
    </row>
    <row r="40" spans="4:8" customFormat="1" x14ac:dyDescent="0.15">
      <c r="D40" s="199" t="s">
        <v>227</v>
      </c>
      <c r="E40">
        <v>39</v>
      </c>
      <c r="F40">
        <v>3.21</v>
      </c>
      <c r="G40">
        <v>39</v>
      </c>
      <c r="H40" s="200" t="s">
        <v>227</v>
      </c>
    </row>
    <row r="41" spans="4:8" customFormat="1" x14ac:dyDescent="0.15">
      <c r="D41" s="199" t="s">
        <v>228</v>
      </c>
      <c r="E41">
        <v>40</v>
      </c>
      <c r="F41">
        <v>3.21</v>
      </c>
      <c r="G41">
        <v>40</v>
      </c>
      <c r="H41" s="200" t="s">
        <v>228</v>
      </c>
    </row>
    <row r="42" spans="4:8" customFormat="1" x14ac:dyDescent="0.15">
      <c r="D42" s="199" t="s">
        <v>229</v>
      </c>
      <c r="E42">
        <v>41</v>
      </c>
      <c r="F42">
        <v>3.01</v>
      </c>
      <c r="G42">
        <v>41</v>
      </c>
      <c r="H42" s="200" t="s">
        <v>229</v>
      </c>
    </row>
    <row r="43" spans="4:8" customFormat="1" x14ac:dyDescent="0.15">
      <c r="D43" s="199" t="s">
        <v>230</v>
      </c>
      <c r="E43">
        <v>42</v>
      </c>
      <c r="F43">
        <v>3.01</v>
      </c>
      <c r="G43">
        <v>42</v>
      </c>
      <c r="H43" s="200" t="s">
        <v>230</v>
      </c>
    </row>
    <row r="44" spans="4:8" customFormat="1" x14ac:dyDescent="0.15">
      <c r="D44" s="199" t="s">
        <v>231</v>
      </c>
      <c r="E44">
        <v>43</v>
      </c>
      <c r="F44">
        <v>3.21</v>
      </c>
      <c r="G44">
        <v>43</v>
      </c>
      <c r="H44" s="200" t="s">
        <v>231</v>
      </c>
    </row>
    <row r="45" spans="4:8" customFormat="1" x14ac:dyDescent="0.15">
      <c r="D45" s="199" t="s">
        <v>232</v>
      </c>
      <c r="E45">
        <v>44</v>
      </c>
      <c r="F45">
        <v>3.01</v>
      </c>
      <c r="G45">
        <v>44</v>
      </c>
      <c r="H45" s="200" t="s">
        <v>232</v>
      </c>
    </row>
    <row r="46" spans="4:8" customFormat="1" x14ac:dyDescent="0.15">
      <c r="D46" s="199" t="s">
        <v>233</v>
      </c>
      <c r="E46">
        <v>45</v>
      </c>
      <c r="F46">
        <v>3.01</v>
      </c>
      <c r="G46">
        <v>45</v>
      </c>
      <c r="H46" s="200" t="s">
        <v>233</v>
      </c>
    </row>
    <row r="47" spans="4:8" customFormat="1" x14ac:dyDescent="0.15">
      <c r="D47" s="199" t="s">
        <v>234</v>
      </c>
      <c r="E47">
        <v>46</v>
      </c>
      <c r="F47">
        <v>3.21</v>
      </c>
      <c r="G47">
        <v>46</v>
      </c>
      <c r="H47" s="200" t="s">
        <v>234</v>
      </c>
    </row>
    <row r="48" spans="4:8" customFormat="1" x14ac:dyDescent="0.15">
      <c r="D48" s="199" t="s">
        <v>235</v>
      </c>
      <c r="E48">
        <v>47</v>
      </c>
      <c r="F48">
        <v>3.11</v>
      </c>
      <c r="G48">
        <v>47</v>
      </c>
      <c r="H48" s="200" t="s">
        <v>235</v>
      </c>
    </row>
    <row r="49" spans="4:8" customFormat="1" x14ac:dyDescent="0.15">
      <c r="D49" s="199" t="s">
        <v>236</v>
      </c>
      <c r="E49">
        <v>48</v>
      </c>
      <c r="F49">
        <v>3.11</v>
      </c>
      <c r="G49">
        <v>48</v>
      </c>
      <c r="H49" s="200" t="s">
        <v>236</v>
      </c>
    </row>
    <row r="50" spans="4:8" customFormat="1" ht="12" customHeight="1" x14ac:dyDescent="0.15">
      <c r="D50" s="199" t="s">
        <v>237</v>
      </c>
      <c r="E50">
        <v>49</v>
      </c>
      <c r="F50">
        <v>3.11</v>
      </c>
      <c r="G50">
        <v>49</v>
      </c>
      <c r="H50" s="200" t="s">
        <v>237</v>
      </c>
    </row>
    <row r="51" spans="4:8" customFormat="1" x14ac:dyDescent="0.15">
      <c r="D51" s="199" t="s">
        <v>238</v>
      </c>
      <c r="E51">
        <v>50</v>
      </c>
      <c r="F51">
        <v>3.11</v>
      </c>
      <c r="G51">
        <v>50</v>
      </c>
      <c r="H51" s="200" t="s">
        <v>238</v>
      </c>
    </row>
    <row r="52" spans="4:8" customFormat="1" ht="12" customHeight="1" x14ac:dyDescent="0.15">
      <c r="D52" s="199" t="s">
        <v>239</v>
      </c>
      <c r="E52">
        <v>51</v>
      </c>
      <c r="F52">
        <v>2</v>
      </c>
      <c r="G52">
        <v>51</v>
      </c>
      <c r="H52" s="200" t="s">
        <v>239</v>
      </c>
    </row>
    <row r="53" spans="4:8" customFormat="1" x14ac:dyDescent="0.15">
      <c r="D53" s="199" t="s">
        <v>240</v>
      </c>
      <c r="E53">
        <v>52</v>
      </c>
      <c r="F53">
        <v>2.1</v>
      </c>
      <c r="G53">
        <v>52</v>
      </c>
      <c r="H53" s="200" t="s">
        <v>240</v>
      </c>
    </row>
    <row r="54" spans="4:8" customFormat="1" ht="12" customHeight="1" x14ac:dyDescent="0.15">
      <c r="D54" s="199" t="s">
        <v>241</v>
      </c>
      <c r="E54">
        <v>53</v>
      </c>
      <c r="F54">
        <v>2.2200000000000002</v>
      </c>
      <c r="G54">
        <v>53</v>
      </c>
      <c r="H54" s="200" t="s">
        <v>241</v>
      </c>
    </row>
    <row r="55" spans="4:8" customFormat="1" ht="12" customHeight="1" x14ac:dyDescent="0.15">
      <c r="D55" s="199" t="s">
        <v>242</v>
      </c>
      <c r="E55">
        <v>54</v>
      </c>
      <c r="F55">
        <v>4.0999999999999996</v>
      </c>
      <c r="G55">
        <v>54</v>
      </c>
      <c r="H55" s="200" t="s">
        <v>242</v>
      </c>
    </row>
    <row r="56" spans="4:8" customFormat="1" x14ac:dyDescent="0.15">
      <c r="D56" s="199" t="s">
        <v>243</v>
      </c>
      <c r="E56">
        <v>55</v>
      </c>
      <c r="F56">
        <v>4.3</v>
      </c>
      <c r="G56">
        <v>55</v>
      </c>
      <c r="H56" s="200" t="s">
        <v>243</v>
      </c>
    </row>
    <row r="57" spans="4:8" customFormat="1" x14ac:dyDescent="0.15">
      <c r="D57" s="199" t="s">
        <v>244</v>
      </c>
      <c r="E57">
        <v>56</v>
      </c>
      <c r="F57">
        <v>5</v>
      </c>
      <c r="G57">
        <v>56</v>
      </c>
      <c r="H57" s="200" t="s">
        <v>244</v>
      </c>
    </row>
    <row r="58" spans="4:8" customFormat="1" x14ac:dyDescent="0.15">
      <c r="D58" s="199" t="s">
        <v>245</v>
      </c>
      <c r="E58">
        <v>57</v>
      </c>
      <c r="F58">
        <v>5</v>
      </c>
      <c r="G58">
        <v>57</v>
      </c>
      <c r="H58" s="200" t="s">
        <v>245</v>
      </c>
    </row>
    <row r="59" spans="4:8" customFormat="1" x14ac:dyDescent="0.15">
      <c r="D59" s="199" t="s">
        <v>246</v>
      </c>
      <c r="E59">
        <v>58</v>
      </c>
      <c r="F59">
        <v>5</v>
      </c>
      <c r="G59">
        <v>58</v>
      </c>
      <c r="H59" s="200" t="s">
        <v>246</v>
      </c>
    </row>
    <row r="60" spans="4:8" customFormat="1" x14ac:dyDescent="0.15">
      <c r="D60" s="199" t="s">
        <v>247</v>
      </c>
      <c r="E60">
        <v>59</v>
      </c>
      <c r="F60">
        <v>5</v>
      </c>
      <c r="G60">
        <v>59</v>
      </c>
      <c r="H60" s="200" t="s">
        <v>247</v>
      </c>
    </row>
    <row r="61" spans="4:8" customFormat="1" x14ac:dyDescent="0.15">
      <c r="D61" s="199" t="s">
        <v>138</v>
      </c>
      <c r="E61">
        <v>60</v>
      </c>
      <c r="F61">
        <v>6.1</v>
      </c>
      <c r="G61">
        <v>60</v>
      </c>
      <c r="H61" s="200" t="s">
        <v>138</v>
      </c>
    </row>
    <row r="62" spans="4:8" customFormat="1" x14ac:dyDescent="0.15">
      <c r="D62" s="199" t="s">
        <v>45</v>
      </c>
      <c r="E62">
        <v>61</v>
      </c>
      <c r="F62">
        <v>6.2</v>
      </c>
      <c r="G62">
        <v>61</v>
      </c>
      <c r="H62" s="200" t="s">
        <v>45</v>
      </c>
    </row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6" style="87" bestFit="1" customWidth="1"/>
    <col min="2" max="2" width="13.83203125" style="86" customWidth="1"/>
    <col min="3" max="3" width="16" style="86" customWidth="1"/>
    <col min="4" max="4" width="10.83203125" style="86" customWidth="1"/>
    <col min="5" max="5" width="13.83203125" style="86" customWidth="1"/>
    <col min="6" max="6" width="21.6640625" style="86" bestFit="1" customWidth="1"/>
    <col min="7" max="9" width="2.33203125" style="86" customWidth="1"/>
    <col min="10" max="10" width="2.33203125" style="86" bestFit="1" customWidth="1"/>
    <col min="11" max="15" width="2.33203125" style="86" customWidth="1"/>
    <col min="16" max="16" width="2.33203125" style="73" customWidth="1"/>
    <col min="17" max="17" width="2.33203125" style="86" customWidth="1"/>
    <col min="18" max="18" width="2.33203125" style="74" customWidth="1"/>
    <col min="19" max="16384" width="11.5" style="86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8" t="s">
        <v>48</v>
      </c>
      <c r="L1" s="74"/>
      <c r="M1" s="88" t="s">
        <v>119</v>
      </c>
      <c r="N1" s="74"/>
      <c r="O1" s="88" t="s">
        <v>49</v>
      </c>
      <c r="P1" s="77"/>
      <c r="Q1" s="88" t="s">
        <v>50</v>
      </c>
      <c r="R1" s="71" t="s">
        <v>154</v>
      </c>
    </row>
    <row r="2" spans="1:23" ht="15" customHeight="1" x14ac:dyDescent="0.15">
      <c r="A2" s="88" t="s">
        <v>51</v>
      </c>
      <c r="B2" s="89">
        <v>0.5</v>
      </c>
      <c r="C2" s="87" t="s">
        <v>52</v>
      </c>
      <c r="D2" s="90"/>
      <c r="F2" s="1"/>
      <c r="G2" s="91"/>
      <c r="H2" s="91"/>
      <c r="I2" s="91" t="s">
        <v>133</v>
      </c>
      <c r="J2" s="91" t="s">
        <v>133</v>
      </c>
      <c r="K2" s="91" t="s">
        <v>52</v>
      </c>
      <c r="L2" s="91" t="s">
        <v>53</v>
      </c>
      <c r="M2" s="91" t="s">
        <v>52</v>
      </c>
      <c r="N2" s="91" t="s">
        <v>53</v>
      </c>
      <c r="O2" s="91" t="s">
        <v>52</v>
      </c>
      <c r="P2" s="92" t="s">
        <v>53</v>
      </c>
      <c r="Q2" s="91"/>
      <c r="R2" s="93" t="s">
        <v>155</v>
      </c>
    </row>
    <row r="3" spans="1:23" ht="15" customHeight="1" thickBot="1" x14ac:dyDescent="0.2">
      <c r="A3" s="88" t="s">
        <v>54</v>
      </c>
      <c r="B3" s="94">
        <v>0.5</v>
      </c>
      <c r="C3" s="87" t="s">
        <v>53</v>
      </c>
      <c r="D3" s="9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4">
        <v>0</v>
      </c>
    </row>
    <row r="5" spans="1:23" ht="15" customHeight="1" x14ac:dyDescent="0.15">
      <c r="A5" s="88" t="s">
        <v>55</v>
      </c>
      <c r="B5" s="95">
        <v>0.5</v>
      </c>
      <c r="C5" s="87" t="s">
        <v>52</v>
      </c>
      <c r="D5" s="9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4">
        <v>0</v>
      </c>
    </row>
    <row r="6" spans="1:23" ht="15" customHeight="1" thickBot="1" x14ac:dyDescent="0.2">
      <c r="A6" s="88"/>
      <c r="B6" s="96">
        <v>0.5</v>
      </c>
      <c r="C6" s="87" t="s">
        <v>53</v>
      </c>
      <c r="D6" s="90"/>
      <c r="F6" s="201" t="s">
        <v>192</v>
      </c>
      <c r="G6" s="86">
        <v>0</v>
      </c>
      <c r="H6" s="86">
        <v>0</v>
      </c>
      <c r="I6" s="86">
        <v>0</v>
      </c>
      <c r="J6" s="86">
        <v>0</v>
      </c>
      <c r="K6" s="86">
        <v>1</v>
      </c>
      <c r="L6" s="86">
        <v>0</v>
      </c>
      <c r="M6" s="86">
        <v>1</v>
      </c>
      <c r="N6" s="86">
        <v>0</v>
      </c>
      <c r="O6" s="86">
        <v>1</v>
      </c>
      <c r="P6" s="73">
        <v>0</v>
      </c>
      <c r="Q6" s="86">
        <v>0</v>
      </c>
      <c r="R6" s="74">
        <v>1</v>
      </c>
      <c r="S6"/>
      <c r="T6"/>
    </row>
    <row r="7" spans="1:23" ht="15" customHeight="1" thickBot="1" x14ac:dyDescent="0.2">
      <c r="F7" s="201" t="s">
        <v>193</v>
      </c>
      <c r="G7" s="86">
        <v>0</v>
      </c>
      <c r="H7" s="86">
        <v>0</v>
      </c>
      <c r="I7" s="86">
        <v>0</v>
      </c>
      <c r="J7" s="86">
        <v>0</v>
      </c>
      <c r="K7" s="86">
        <v>1</v>
      </c>
      <c r="L7" s="86">
        <v>0</v>
      </c>
      <c r="M7" s="86">
        <v>1</v>
      </c>
      <c r="N7" s="86">
        <v>0</v>
      </c>
      <c r="O7" s="86">
        <v>1</v>
      </c>
      <c r="P7" s="73">
        <v>0</v>
      </c>
      <c r="Q7" s="86">
        <v>0</v>
      </c>
      <c r="R7" s="74">
        <v>1</v>
      </c>
      <c r="S7"/>
      <c r="T7"/>
    </row>
    <row r="8" spans="1:23" ht="15" customHeight="1" x14ac:dyDescent="0.15">
      <c r="A8" s="88" t="s">
        <v>56</v>
      </c>
      <c r="B8" s="95">
        <v>6.1321644985137091E-2</v>
      </c>
      <c r="C8" s="202" t="s">
        <v>239</v>
      </c>
      <c r="D8" s="90" t="s">
        <v>160</v>
      </c>
      <c r="F8" s="201" t="s">
        <v>194</v>
      </c>
      <c r="G8" s="86">
        <v>0</v>
      </c>
      <c r="H8" s="86">
        <v>0</v>
      </c>
      <c r="I8" s="86">
        <v>0</v>
      </c>
      <c r="J8" s="86">
        <v>0</v>
      </c>
      <c r="K8" s="86">
        <v>1</v>
      </c>
      <c r="L8" s="86">
        <v>0</v>
      </c>
      <c r="M8" s="86">
        <v>1</v>
      </c>
      <c r="N8" s="86">
        <v>0</v>
      </c>
      <c r="O8" s="86">
        <v>1</v>
      </c>
      <c r="P8" s="73">
        <v>0</v>
      </c>
      <c r="Q8" s="86">
        <v>0</v>
      </c>
      <c r="R8" s="74">
        <v>1</v>
      </c>
      <c r="S8"/>
      <c r="T8"/>
      <c r="W8"/>
    </row>
    <row r="9" spans="1:23" ht="15" customHeight="1" x14ac:dyDescent="0.15">
      <c r="A9" s="128" t="s">
        <v>168</v>
      </c>
      <c r="B9" s="97">
        <v>0.70655328475307522</v>
      </c>
      <c r="C9" s="202" t="s">
        <v>240</v>
      </c>
      <c r="D9" s="90" t="s">
        <v>160</v>
      </c>
      <c r="F9" s="201" t="s">
        <v>195</v>
      </c>
      <c r="G9" s="86">
        <v>0</v>
      </c>
      <c r="H9" s="86">
        <v>0</v>
      </c>
      <c r="I9" s="86">
        <v>0</v>
      </c>
      <c r="J9" s="86">
        <v>0</v>
      </c>
      <c r="K9" s="86">
        <v>1</v>
      </c>
      <c r="L9" s="86">
        <v>0</v>
      </c>
      <c r="M9" s="86">
        <v>1</v>
      </c>
      <c r="N9" s="86">
        <v>0</v>
      </c>
      <c r="O9" s="86">
        <v>1</v>
      </c>
      <c r="P9" s="73">
        <v>0</v>
      </c>
      <c r="Q9" s="86">
        <v>0</v>
      </c>
      <c r="R9" s="74">
        <v>1</v>
      </c>
      <c r="S9"/>
      <c r="T9"/>
      <c r="W9"/>
    </row>
    <row r="10" spans="1:23" ht="15" customHeight="1" x14ac:dyDescent="0.15">
      <c r="B10" s="97">
        <v>0.23212507026178777</v>
      </c>
      <c r="C10" s="202" t="s">
        <v>241</v>
      </c>
      <c r="D10" s="90" t="s">
        <v>160</v>
      </c>
      <c r="F10" s="201" t="s">
        <v>196</v>
      </c>
      <c r="G10" s="86">
        <v>0</v>
      </c>
      <c r="H10" s="86">
        <v>0</v>
      </c>
      <c r="I10" s="86">
        <v>0</v>
      </c>
      <c r="J10" s="86">
        <v>0</v>
      </c>
      <c r="K10" s="86">
        <v>1</v>
      </c>
      <c r="L10" s="86">
        <v>0</v>
      </c>
      <c r="M10" s="86">
        <v>1</v>
      </c>
      <c r="N10" s="86">
        <v>0</v>
      </c>
      <c r="O10" s="86">
        <v>1</v>
      </c>
      <c r="P10" s="73">
        <v>0</v>
      </c>
      <c r="Q10" s="86">
        <v>0</v>
      </c>
      <c r="R10" s="74">
        <v>1</v>
      </c>
      <c r="S10"/>
      <c r="T10"/>
      <c r="W10"/>
    </row>
    <row r="11" spans="1:23" ht="15" customHeight="1" x14ac:dyDescent="0.15">
      <c r="A11" s="88"/>
      <c r="B11" s="97"/>
      <c r="C11" s="100"/>
      <c r="D11" s="90" t="s">
        <v>160</v>
      </c>
      <c r="F11" s="201" t="s">
        <v>197</v>
      </c>
      <c r="G11" s="86">
        <v>0</v>
      </c>
      <c r="H11" s="86">
        <v>0</v>
      </c>
      <c r="I11" s="86">
        <v>0</v>
      </c>
      <c r="J11" s="86">
        <v>0</v>
      </c>
      <c r="K11" s="86">
        <v>1</v>
      </c>
      <c r="L11" s="86">
        <v>0</v>
      </c>
      <c r="M11" s="86">
        <v>1</v>
      </c>
      <c r="N11" s="86">
        <v>0</v>
      </c>
      <c r="O11" s="86">
        <v>1</v>
      </c>
      <c r="P11" s="73">
        <v>0</v>
      </c>
      <c r="Q11" s="86">
        <v>0</v>
      </c>
      <c r="R11" s="74">
        <v>1</v>
      </c>
      <c r="S11"/>
      <c r="T11"/>
      <c r="W11"/>
    </row>
    <row r="12" spans="1:23" ht="15" customHeight="1" x14ac:dyDescent="0.15">
      <c r="B12" s="97"/>
      <c r="C12" s="101"/>
      <c r="D12" s="90" t="s">
        <v>160</v>
      </c>
      <c r="F12" s="201" t="s">
        <v>198</v>
      </c>
      <c r="G12" s="86">
        <v>0</v>
      </c>
      <c r="H12" s="86">
        <v>0</v>
      </c>
      <c r="I12" s="86">
        <v>0</v>
      </c>
      <c r="J12" s="86">
        <v>0</v>
      </c>
      <c r="K12" s="86">
        <v>1</v>
      </c>
      <c r="L12" s="86">
        <v>0</v>
      </c>
      <c r="M12" s="86">
        <v>1</v>
      </c>
      <c r="N12" s="86">
        <v>0</v>
      </c>
      <c r="O12" s="86">
        <v>1</v>
      </c>
      <c r="P12" s="73">
        <v>0</v>
      </c>
      <c r="Q12" s="86">
        <v>0</v>
      </c>
      <c r="R12" s="74">
        <v>1</v>
      </c>
      <c r="S12"/>
      <c r="T12"/>
      <c r="W12"/>
    </row>
    <row r="13" spans="1:23" ht="15" customHeight="1" x14ac:dyDescent="0.15">
      <c r="B13" s="97"/>
      <c r="C13" s="101"/>
      <c r="D13" s="90" t="s">
        <v>160</v>
      </c>
      <c r="F13" s="201" t="s">
        <v>199</v>
      </c>
      <c r="G13" s="86">
        <v>0</v>
      </c>
      <c r="H13" s="86">
        <v>0</v>
      </c>
      <c r="I13" s="86">
        <v>0</v>
      </c>
      <c r="J13" s="86">
        <v>0</v>
      </c>
      <c r="K13" s="86">
        <v>1</v>
      </c>
      <c r="L13" s="86">
        <v>0</v>
      </c>
      <c r="M13" s="86">
        <v>1</v>
      </c>
      <c r="N13" s="86">
        <v>0</v>
      </c>
      <c r="O13" s="86">
        <v>1</v>
      </c>
      <c r="P13" s="73">
        <v>0</v>
      </c>
      <c r="Q13" s="86">
        <v>0</v>
      </c>
      <c r="R13" s="74">
        <v>1</v>
      </c>
      <c r="S13"/>
      <c r="T13"/>
      <c r="W13"/>
    </row>
    <row r="14" spans="1:23" ht="15" customHeight="1" x14ac:dyDescent="0.15">
      <c r="B14" s="97"/>
      <c r="C14" s="85"/>
      <c r="D14" s="90" t="s">
        <v>160</v>
      </c>
      <c r="F14" s="201" t="s">
        <v>200</v>
      </c>
      <c r="G14" s="86">
        <v>0</v>
      </c>
      <c r="H14" s="86">
        <v>0</v>
      </c>
      <c r="I14" s="86">
        <v>0</v>
      </c>
      <c r="J14" s="86">
        <v>0</v>
      </c>
      <c r="K14" s="86">
        <v>1</v>
      </c>
      <c r="L14" s="86">
        <v>0</v>
      </c>
      <c r="M14" s="86">
        <v>1</v>
      </c>
      <c r="N14" s="86">
        <v>0</v>
      </c>
      <c r="O14" s="86">
        <v>1</v>
      </c>
      <c r="P14" s="73">
        <v>0</v>
      </c>
      <c r="Q14" s="86">
        <v>0</v>
      </c>
      <c r="R14" s="74">
        <v>1</v>
      </c>
      <c r="S14"/>
      <c r="T14"/>
      <c r="W14"/>
    </row>
    <row r="15" spans="1:23" ht="15" customHeight="1" x14ac:dyDescent="0.15">
      <c r="B15" s="97"/>
      <c r="C15" s="85"/>
      <c r="D15" s="90" t="s">
        <v>160</v>
      </c>
      <c r="F15" s="201" t="s">
        <v>201</v>
      </c>
      <c r="G15" s="86">
        <v>0</v>
      </c>
      <c r="H15" s="86">
        <v>0</v>
      </c>
      <c r="I15" s="86">
        <v>0</v>
      </c>
      <c r="J15" s="86">
        <v>0</v>
      </c>
      <c r="K15" s="86">
        <v>1</v>
      </c>
      <c r="L15" s="86">
        <v>0</v>
      </c>
      <c r="M15" s="86">
        <v>1</v>
      </c>
      <c r="N15" s="86">
        <v>0</v>
      </c>
      <c r="O15" s="86">
        <v>1</v>
      </c>
      <c r="P15" s="73">
        <v>0</v>
      </c>
      <c r="Q15" s="86">
        <v>0</v>
      </c>
      <c r="R15" s="74">
        <v>1</v>
      </c>
      <c r="S15"/>
      <c r="T15"/>
      <c r="W15"/>
    </row>
    <row r="16" spans="1:23" ht="15" customHeight="1" x14ac:dyDescent="0.15">
      <c r="B16" s="97"/>
      <c r="C16" s="85"/>
      <c r="D16" s="90" t="s">
        <v>160</v>
      </c>
      <c r="F16" s="201" t="s">
        <v>202</v>
      </c>
      <c r="G16" s="86">
        <v>0</v>
      </c>
      <c r="H16" s="86">
        <v>0</v>
      </c>
      <c r="I16" s="86">
        <v>0</v>
      </c>
      <c r="J16" s="86">
        <v>0</v>
      </c>
      <c r="K16" s="86">
        <v>1</v>
      </c>
      <c r="L16" s="86">
        <v>0</v>
      </c>
      <c r="M16" s="86">
        <v>1</v>
      </c>
      <c r="N16" s="86">
        <v>0</v>
      </c>
      <c r="O16" s="86">
        <v>1</v>
      </c>
      <c r="P16" s="73">
        <v>0</v>
      </c>
      <c r="Q16" s="86">
        <v>0</v>
      </c>
      <c r="R16" s="74">
        <v>1</v>
      </c>
      <c r="S16"/>
      <c r="T16"/>
    </row>
    <row r="17" spans="1:20" ht="15" customHeight="1" thickBot="1" x14ac:dyDescent="0.2">
      <c r="B17" s="96"/>
      <c r="C17" s="85"/>
      <c r="D17" s="90" t="s">
        <v>160</v>
      </c>
      <c r="F17" s="201" t="s">
        <v>203</v>
      </c>
      <c r="G17" s="86">
        <v>0</v>
      </c>
      <c r="H17" s="86">
        <v>0</v>
      </c>
      <c r="I17" s="86">
        <v>0</v>
      </c>
      <c r="J17" s="86">
        <v>0</v>
      </c>
      <c r="K17" s="86">
        <v>1</v>
      </c>
      <c r="L17" s="86">
        <v>0</v>
      </c>
      <c r="M17" s="86">
        <v>1</v>
      </c>
      <c r="N17" s="86">
        <v>0</v>
      </c>
      <c r="O17" s="86">
        <v>1</v>
      </c>
      <c r="P17" s="73">
        <v>0</v>
      </c>
      <c r="Q17" s="86">
        <v>0</v>
      </c>
      <c r="R17" s="74">
        <v>1</v>
      </c>
      <c r="S17"/>
      <c r="T17"/>
    </row>
    <row r="18" spans="1:20" ht="15" customHeight="1" thickBot="1" x14ac:dyDescent="0.2">
      <c r="B18" s="98"/>
      <c r="F18" s="201" t="s">
        <v>204</v>
      </c>
      <c r="G18" s="86">
        <v>0</v>
      </c>
      <c r="H18" s="86">
        <v>0</v>
      </c>
      <c r="I18" s="86">
        <v>0</v>
      </c>
      <c r="J18" s="86">
        <v>0</v>
      </c>
      <c r="K18" s="86">
        <v>1</v>
      </c>
      <c r="L18" s="86">
        <v>0</v>
      </c>
      <c r="M18" s="86">
        <v>1</v>
      </c>
      <c r="N18" s="86">
        <v>0</v>
      </c>
      <c r="O18" s="86">
        <v>1</v>
      </c>
      <c r="P18" s="73">
        <v>0</v>
      </c>
      <c r="Q18" s="86">
        <v>0</v>
      </c>
      <c r="R18" s="74">
        <v>1</v>
      </c>
      <c r="S18"/>
      <c r="T18"/>
    </row>
    <row r="19" spans="1:20" ht="15" customHeight="1" x14ac:dyDescent="0.15">
      <c r="A19" s="88" t="s">
        <v>57</v>
      </c>
      <c r="B19" s="95">
        <v>6.1321644985137091E-2</v>
      </c>
      <c r="C19" s="203" t="s">
        <v>239</v>
      </c>
      <c r="D19" s="90" t="s">
        <v>160</v>
      </c>
      <c r="F19" s="201" t="s">
        <v>205</v>
      </c>
      <c r="G19" s="86">
        <v>0</v>
      </c>
      <c r="H19" s="86">
        <v>0</v>
      </c>
      <c r="I19" s="86">
        <v>0</v>
      </c>
      <c r="J19" s="86">
        <v>0</v>
      </c>
      <c r="K19" s="86">
        <v>1</v>
      </c>
      <c r="L19" s="86">
        <v>0</v>
      </c>
      <c r="M19" s="86">
        <v>1</v>
      </c>
      <c r="N19" s="86">
        <v>0</v>
      </c>
      <c r="O19" s="86">
        <v>1</v>
      </c>
      <c r="P19" s="73">
        <v>0</v>
      </c>
      <c r="Q19" s="86">
        <v>0</v>
      </c>
      <c r="R19" s="74">
        <v>1</v>
      </c>
      <c r="S19"/>
      <c r="T19"/>
    </row>
    <row r="20" spans="1:20" ht="15" customHeight="1" x14ac:dyDescent="0.15">
      <c r="A20" s="128" t="s">
        <v>168</v>
      </c>
      <c r="B20" s="97">
        <v>0.70655328475307522</v>
      </c>
      <c r="C20" s="203" t="s">
        <v>240</v>
      </c>
      <c r="D20" s="90" t="s">
        <v>160</v>
      </c>
      <c r="F20" s="201" t="s">
        <v>206</v>
      </c>
      <c r="G20" s="86">
        <v>0</v>
      </c>
      <c r="H20" s="86">
        <v>0</v>
      </c>
      <c r="I20" s="86">
        <v>0</v>
      </c>
      <c r="J20" s="86">
        <v>0</v>
      </c>
      <c r="K20" s="86">
        <v>1</v>
      </c>
      <c r="L20" s="86">
        <v>0</v>
      </c>
      <c r="M20" s="86">
        <v>1</v>
      </c>
      <c r="N20" s="86">
        <v>0</v>
      </c>
      <c r="O20" s="86">
        <v>1</v>
      </c>
      <c r="P20" s="73">
        <v>0</v>
      </c>
      <c r="Q20" s="86">
        <v>0</v>
      </c>
      <c r="R20" s="74">
        <v>1</v>
      </c>
      <c r="S20"/>
      <c r="T20"/>
    </row>
    <row r="21" spans="1:20" ht="15" customHeight="1" x14ac:dyDescent="0.15">
      <c r="B21" s="97">
        <v>0.23212507026178777</v>
      </c>
      <c r="C21" s="203" t="s">
        <v>241</v>
      </c>
      <c r="D21" s="90" t="s">
        <v>160</v>
      </c>
      <c r="F21" s="201" t="s">
        <v>207</v>
      </c>
      <c r="G21" s="86">
        <v>0</v>
      </c>
      <c r="H21" s="86">
        <v>0</v>
      </c>
      <c r="I21" s="86">
        <v>0</v>
      </c>
      <c r="J21" s="86">
        <v>0</v>
      </c>
      <c r="K21" s="86">
        <v>1</v>
      </c>
      <c r="L21" s="86">
        <v>0</v>
      </c>
      <c r="M21" s="86">
        <v>1</v>
      </c>
      <c r="N21" s="86">
        <v>0</v>
      </c>
      <c r="O21" s="86">
        <v>1</v>
      </c>
      <c r="P21" s="73">
        <v>0</v>
      </c>
      <c r="Q21" s="86">
        <v>0</v>
      </c>
      <c r="R21" s="74">
        <v>1</v>
      </c>
      <c r="S21"/>
      <c r="T21"/>
    </row>
    <row r="22" spans="1:20" ht="15" customHeight="1" x14ac:dyDescent="0.15">
      <c r="A22" s="86"/>
      <c r="B22" s="97"/>
      <c r="C22" s="100"/>
      <c r="D22" s="90" t="s">
        <v>160</v>
      </c>
      <c r="F22" s="201" t="s">
        <v>208</v>
      </c>
      <c r="G22" s="86">
        <v>0</v>
      </c>
      <c r="H22" s="86">
        <v>0</v>
      </c>
      <c r="I22" s="86">
        <v>0</v>
      </c>
      <c r="J22" s="86">
        <v>0</v>
      </c>
      <c r="K22" s="86">
        <v>1</v>
      </c>
      <c r="L22" s="86">
        <v>0</v>
      </c>
      <c r="M22" s="86">
        <v>1</v>
      </c>
      <c r="N22" s="86">
        <v>0</v>
      </c>
      <c r="O22" s="86">
        <v>1</v>
      </c>
      <c r="P22" s="73">
        <v>0</v>
      </c>
      <c r="Q22" s="86">
        <v>0</v>
      </c>
      <c r="R22" s="74">
        <v>1</v>
      </c>
      <c r="S22"/>
      <c r="T22"/>
    </row>
    <row r="23" spans="1:20" ht="15" customHeight="1" x14ac:dyDescent="0.15">
      <c r="A23" s="86"/>
      <c r="B23" s="97"/>
      <c r="C23" s="101"/>
      <c r="D23" s="90" t="s">
        <v>160</v>
      </c>
      <c r="F23" s="201" t="s">
        <v>209</v>
      </c>
      <c r="G23" s="86">
        <v>0</v>
      </c>
      <c r="H23" s="86">
        <v>0</v>
      </c>
      <c r="I23" s="86">
        <v>0</v>
      </c>
      <c r="J23" s="86">
        <v>0</v>
      </c>
      <c r="K23" s="86">
        <v>1</v>
      </c>
      <c r="L23" s="86">
        <v>0</v>
      </c>
      <c r="M23" s="86">
        <v>1</v>
      </c>
      <c r="N23" s="86">
        <v>0</v>
      </c>
      <c r="O23" s="86">
        <v>1</v>
      </c>
      <c r="P23" s="73">
        <v>0</v>
      </c>
      <c r="Q23" s="86">
        <v>0</v>
      </c>
      <c r="R23" s="74">
        <v>1</v>
      </c>
      <c r="S23"/>
      <c r="T23"/>
    </row>
    <row r="24" spans="1:20" ht="15" customHeight="1" x14ac:dyDescent="0.15">
      <c r="A24" s="86"/>
      <c r="B24" s="97"/>
      <c r="C24" s="101"/>
      <c r="D24" s="90" t="s">
        <v>160</v>
      </c>
      <c r="F24" s="201" t="s">
        <v>210</v>
      </c>
      <c r="G24" s="86">
        <v>0</v>
      </c>
      <c r="H24" s="86">
        <v>0</v>
      </c>
      <c r="I24" s="86">
        <v>0</v>
      </c>
      <c r="J24" s="86">
        <v>0</v>
      </c>
      <c r="K24" s="86">
        <v>1</v>
      </c>
      <c r="L24" s="86">
        <v>0</v>
      </c>
      <c r="M24" s="86">
        <v>1</v>
      </c>
      <c r="N24" s="86">
        <v>0</v>
      </c>
      <c r="O24" s="86">
        <v>1</v>
      </c>
      <c r="P24" s="73">
        <v>0</v>
      </c>
      <c r="Q24" s="86">
        <v>0</v>
      </c>
      <c r="R24" s="74">
        <v>1</v>
      </c>
      <c r="S24"/>
      <c r="T24"/>
    </row>
    <row r="25" spans="1:20" ht="15" customHeight="1" x14ac:dyDescent="0.15">
      <c r="A25" s="86"/>
      <c r="B25" s="97"/>
      <c r="C25" s="85"/>
      <c r="D25" s="90" t="s">
        <v>160</v>
      </c>
      <c r="F25" s="201" t="s">
        <v>211</v>
      </c>
      <c r="G25" s="86">
        <v>0</v>
      </c>
      <c r="H25" s="86">
        <v>0</v>
      </c>
      <c r="I25" s="86">
        <v>0</v>
      </c>
      <c r="J25" s="86">
        <v>0</v>
      </c>
      <c r="K25" s="86">
        <v>1</v>
      </c>
      <c r="L25" s="86">
        <v>0</v>
      </c>
      <c r="M25" s="86">
        <v>1</v>
      </c>
      <c r="N25" s="86">
        <v>0</v>
      </c>
      <c r="O25" s="86">
        <v>1</v>
      </c>
      <c r="P25" s="73">
        <v>0</v>
      </c>
      <c r="Q25" s="86">
        <v>0</v>
      </c>
      <c r="R25" s="74">
        <v>1</v>
      </c>
      <c r="S25"/>
      <c r="T25"/>
    </row>
    <row r="26" spans="1:20" ht="15" customHeight="1" x14ac:dyDescent="0.15">
      <c r="B26" s="97"/>
      <c r="C26" s="85"/>
      <c r="D26" s="90" t="s">
        <v>160</v>
      </c>
      <c r="F26" s="201" t="s">
        <v>212</v>
      </c>
      <c r="G26" s="86">
        <v>0</v>
      </c>
      <c r="H26" s="86">
        <v>0</v>
      </c>
      <c r="I26" s="86">
        <v>0</v>
      </c>
      <c r="J26" s="86">
        <v>0</v>
      </c>
      <c r="K26" s="86">
        <v>1</v>
      </c>
      <c r="L26" s="86">
        <v>0</v>
      </c>
      <c r="M26" s="86">
        <v>1</v>
      </c>
      <c r="N26" s="86">
        <v>0</v>
      </c>
      <c r="O26" s="86">
        <v>1</v>
      </c>
      <c r="P26" s="73">
        <v>0</v>
      </c>
      <c r="Q26" s="86">
        <v>0</v>
      </c>
      <c r="R26" s="74">
        <v>1</v>
      </c>
      <c r="S26"/>
      <c r="T26"/>
    </row>
    <row r="27" spans="1:20" ht="15" customHeight="1" x14ac:dyDescent="0.15">
      <c r="B27" s="97"/>
      <c r="C27" s="85"/>
      <c r="D27" s="90" t="s">
        <v>160</v>
      </c>
      <c r="F27" s="201" t="s">
        <v>213</v>
      </c>
      <c r="G27" s="86">
        <v>0</v>
      </c>
      <c r="H27" s="86">
        <v>0</v>
      </c>
      <c r="I27" s="86">
        <v>0</v>
      </c>
      <c r="J27" s="86">
        <v>0</v>
      </c>
      <c r="K27" s="86">
        <v>1</v>
      </c>
      <c r="L27" s="86">
        <v>0</v>
      </c>
      <c r="M27" s="86">
        <v>1</v>
      </c>
      <c r="N27" s="86">
        <v>0</v>
      </c>
      <c r="O27" s="86">
        <v>1</v>
      </c>
      <c r="P27" s="73">
        <v>0</v>
      </c>
      <c r="Q27" s="86">
        <v>0</v>
      </c>
      <c r="R27" s="74">
        <v>1</v>
      </c>
      <c r="S27"/>
      <c r="T27"/>
    </row>
    <row r="28" spans="1:20" ht="15" customHeight="1" thickBot="1" x14ac:dyDescent="0.2">
      <c r="B28" s="96"/>
      <c r="C28" s="85"/>
      <c r="D28" s="90" t="s">
        <v>160</v>
      </c>
      <c r="F28" s="201" t="s">
        <v>214</v>
      </c>
      <c r="G28" s="86">
        <v>0</v>
      </c>
      <c r="H28" s="86">
        <v>0</v>
      </c>
      <c r="I28" s="86">
        <v>0</v>
      </c>
      <c r="J28" s="86">
        <v>0</v>
      </c>
      <c r="K28" s="86">
        <v>1</v>
      </c>
      <c r="L28" s="86">
        <v>0</v>
      </c>
      <c r="M28" s="86">
        <v>1</v>
      </c>
      <c r="N28" s="86">
        <v>0</v>
      </c>
      <c r="O28" s="86">
        <v>1</v>
      </c>
      <c r="P28" s="73">
        <v>0</v>
      </c>
      <c r="Q28" s="86">
        <v>0</v>
      </c>
      <c r="R28" s="74">
        <v>1</v>
      </c>
      <c r="S28"/>
      <c r="T28"/>
    </row>
    <row r="29" spans="1:20" ht="15" customHeight="1" x14ac:dyDescent="0.15">
      <c r="F29" s="201" t="s">
        <v>215</v>
      </c>
      <c r="G29" s="86">
        <v>0</v>
      </c>
      <c r="H29" s="86">
        <v>0</v>
      </c>
      <c r="I29" s="86">
        <v>0</v>
      </c>
      <c r="J29" s="86">
        <v>0</v>
      </c>
      <c r="K29" s="86">
        <v>1</v>
      </c>
      <c r="L29" s="86">
        <v>0</v>
      </c>
      <c r="M29" s="86">
        <v>1</v>
      </c>
      <c r="N29" s="86">
        <v>0</v>
      </c>
      <c r="O29" s="86">
        <v>1</v>
      </c>
      <c r="P29" s="73">
        <v>0</v>
      </c>
      <c r="Q29" s="86">
        <v>0</v>
      </c>
      <c r="R29" s="74">
        <v>1</v>
      </c>
      <c r="S29"/>
      <c r="T29"/>
    </row>
    <row r="30" spans="1:20" ht="15" customHeight="1" x14ac:dyDescent="0.15">
      <c r="F30" s="201" t="s">
        <v>216</v>
      </c>
      <c r="G30" s="86">
        <v>0</v>
      </c>
      <c r="H30" s="86">
        <v>0</v>
      </c>
      <c r="I30" s="86">
        <v>0</v>
      </c>
      <c r="J30" s="86">
        <v>0</v>
      </c>
      <c r="K30" s="86">
        <v>1</v>
      </c>
      <c r="L30" s="86">
        <v>0</v>
      </c>
      <c r="M30" s="86">
        <v>1</v>
      </c>
      <c r="N30" s="86">
        <v>0</v>
      </c>
      <c r="O30" s="86">
        <v>1</v>
      </c>
      <c r="P30" s="73">
        <v>0</v>
      </c>
      <c r="Q30" s="86">
        <v>0</v>
      </c>
      <c r="R30" s="74">
        <v>1</v>
      </c>
      <c r="S30"/>
      <c r="T30"/>
    </row>
    <row r="31" spans="1:20" ht="15" customHeight="1" x14ac:dyDescent="0.15">
      <c r="A31" s="129"/>
      <c r="B31" s="138" t="s">
        <v>17</v>
      </c>
      <c r="C31" s="138" t="s">
        <v>1</v>
      </c>
      <c r="D31" s="138" t="s">
        <v>161</v>
      </c>
      <c r="E31" s="139" t="s">
        <v>163</v>
      </c>
      <c r="F31" s="201" t="s">
        <v>217</v>
      </c>
      <c r="G31" s="86">
        <v>0</v>
      </c>
      <c r="H31" s="86">
        <v>0</v>
      </c>
      <c r="I31" s="86">
        <v>0</v>
      </c>
      <c r="J31" s="86">
        <v>0</v>
      </c>
      <c r="K31" s="86">
        <v>1</v>
      </c>
      <c r="L31" s="86">
        <v>0</v>
      </c>
      <c r="M31" s="86">
        <v>1</v>
      </c>
      <c r="N31" s="86">
        <v>0</v>
      </c>
      <c r="O31" s="86">
        <v>1</v>
      </c>
      <c r="P31" s="73">
        <v>0</v>
      </c>
      <c r="Q31" s="86">
        <v>0</v>
      </c>
      <c r="R31" s="74">
        <v>1</v>
      </c>
      <c r="S31"/>
      <c r="T31"/>
    </row>
    <row r="32" spans="1:20" ht="15" customHeight="1" x14ac:dyDescent="0.15">
      <c r="A32" s="204" t="s">
        <v>239</v>
      </c>
      <c r="B32" s="98">
        <v>5.8861999999999997</v>
      </c>
      <c r="C32" s="98">
        <v>100</v>
      </c>
      <c r="D32" s="98">
        <v>588.62</v>
      </c>
      <c r="E32" s="130">
        <v>6.1321644985137091E-2</v>
      </c>
      <c r="F32" s="201" t="s">
        <v>218</v>
      </c>
      <c r="G32" s="86">
        <v>0</v>
      </c>
      <c r="H32" s="86">
        <v>0</v>
      </c>
      <c r="I32" s="86">
        <v>0</v>
      </c>
      <c r="J32" s="86">
        <v>0</v>
      </c>
      <c r="K32" s="86">
        <v>1</v>
      </c>
      <c r="L32" s="86">
        <v>0</v>
      </c>
      <c r="M32" s="86">
        <v>1</v>
      </c>
      <c r="N32" s="86">
        <v>0</v>
      </c>
      <c r="O32" s="86">
        <v>1</v>
      </c>
      <c r="P32" s="73">
        <v>0</v>
      </c>
      <c r="Q32" s="86">
        <v>0</v>
      </c>
      <c r="R32" s="74">
        <v>1</v>
      </c>
      <c r="S32"/>
      <c r="T32"/>
    </row>
    <row r="33" spans="1:20" ht="15" customHeight="1" x14ac:dyDescent="0.15">
      <c r="A33" s="204" t="s">
        <v>240</v>
      </c>
      <c r="B33" s="98">
        <v>67.821304299999994</v>
      </c>
      <c r="C33" s="98">
        <v>100</v>
      </c>
      <c r="D33" s="98">
        <v>6782.1304299999993</v>
      </c>
      <c r="E33" s="130">
        <v>0.70655328475307522</v>
      </c>
      <c r="F33" s="201" t="s">
        <v>219</v>
      </c>
      <c r="G33" s="86">
        <v>0</v>
      </c>
      <c r="H33" s="86">
        <v>0</v>
      </c>
      <c r="I33" s="86">
        <v>0</v>
      </c>
      <c r="J33" s="86">
        <v>0</v>
      </c>
      <c r="K33" s="86">
        <v>1</v>
      </c>
      <c r="L33" s="86">
        <v>0</v>
      </c>
      <c r="M33" s="86">
        <v>1</v>
      </c>
      <c r="N33" s="86">
        <v>0</v>
      </c>
      <c r="O33" s="86">
        <v>1</v>
      </c>
      <c r="P33" s="73">
        <v>0</v>
      </c>
      <c r="Q33" s="86">
        <v>0</v>
      </c>
      <c r="R33" s="74">
        <v>1</v>
      </c>
      <c r="S33"/>
      <c r="T33"/>
    </row>
    <row r="34" spans="1:20" ht="15" customHeight="1" x14ac:dyDescent="0.15">
      <c r="A34" s="204" t="s">
        <v>241</v>
      </c>
      <c r="B34" s="98">
        <v>548.80395499999997</v>
      </c>
      <c r="C34" s="98">
        <v>4.0599999999999996</v>
      </c>
      <c r="D34" s="98">
        <v>2228.1440572999995</v>
      </c>
      <c r="E34" s="130">
        <v>0.23212507026178777</v>
      </c>
      <c r="F34" s="201" t="s">
        <v>220</v>
      </c>
      <c r="G34" s="86">
        <v>0</v>
      </c>
      <c r="H34" s="86">
        <v>0</v>
      </c>
      <c r="I34" s="86">
        <v>0</v>
      </c>
      <c r="J34" s="86">
        <v>0</v>
      </c>
      <c r="K34" s="86">
        <v>1</v>
      </c>
      <c r="L34" s="86">
        <v>0</v>
      </c>
      <c r="M34" s="86">
        <v>1</v>
      </c>
      <c r="N34" s="86">
        <v>0</v>
      </c>
      <c r="O34" s="86">
        <v>1</v>
      </c>
      <c r="P34" s="73">
        <v>0</v>
      </c>
      <c r="Q34" s="86">
        <v>0</v>
      </c>
      <c r="R34" s="74">
        <v>1</v>
      </c>
      <c r="S34"/>
      <c r="T34"/>
    </row>
    <row r="35" spans="1:20" ht="15" customHeight="1" x14ac:dyDescent="0.15">
      <c r="A35" s="131"/>
      <c r="B35" s="98"/>
      <c r="C35" s="98"/>
      <c r="D35" s="98"/>
      <c r="E35" s="130"/>
      <c r="F35" s="201" t="s">
        <v>221</v>
      </c>
      <c r="G35" s="86">
        <v>0</v>
      </c>
      <c r="H35" s="86">
        <v>0</v>
      </c>
      <c r="I35" s="86">
        <v>0</v>
      </c>
      <c r="J35" s="86">
        <v>0</v>
      </c>
      <c r="K35" s="86">
        <v>1</v>
      </c>
      <c r="L35" s="86">
        <v>0</v>
      </c>
      <c r="M35" s="86">
        <v>1</v>
      </c>
      <c r="N35" s="86">
        <v>0</v>
      </c>
      <c r="O35" s="86">
        <v>1</v>
      </c>
      <c r="P35" s="73">
        <v>0</v>
      </c>
      <c r="Q35" s="86">
        <v>0</v>
      </c>
      <c r="R35" s="74">
        <v>1</v>
      </c>
      <c r="S35"/>
      <c r="T35"/>
    </row>
    <row r="36" spans="1:20" ht="15" customHeight="1" x14ac:dyDescent="0.15">
      <c r="A36" s="132"/>
      <c r="B36" s="98"/>
      <c r="C36" s="98"/>
      <c r="D36" s="98"/>
      <c r="E36" s="130"/>
      <c r="F36" s="201" t="s">
        <v>222</v>
      </c>
      <c r="G36" s="86">
        <v>0</v>
      </c>
      <c r="H36" s="86">
        <v>0</v>
      </c>
      <c r="I36" s="86">
        <v>0</v>
      </c>
      <c r="J36" s="86">
        <v>0</v>
      </c>
      <c r="K36" s="86">
        <v>1</v>
      </c>
      <c r="L36" s="86">
        <v>0</v>
      </c>
      <c r="M36" s="86">
        <v>1</v>
      </c>
      <c r="N36" s="86">
        <v>0</v>
      </c>
      <c r="O36" s="86">
        <v>1</v>
      </c>
      <c r="P36" s="73">
        <v>0</v>
      </c>
      <c r="Q36" s="86">
        <v>0</v>
      </c>
      <c r="R36" s="74">
        <v>1</v>
      </c>
      <c r="S36"/>
      <c r="T36"/>
    </row>
    <row r="37" spans="1:20" ht="15" customHeight="1" x14ac:dyDescent="0.15">
      <c r="A37" s="132"/>
      <c r="B37" s="98"/>
      <c r="C37" s="98"/>
      <c r="D37" s="98"/>
      <c r="E37" s="130"/>
      <c r="F37" s="201" t="s">
        <v>223</v>
      </c>
      <c r="G37" s="86">
        <v>0</v>
      </c>
      <c r="H37" s="86">
        <v>0</v>
      </c>
      <c r="I37" s="86">
        <v>0</v>
      </c>
      <c r="J37" s="86">
        <v>0</v>
      </c>
      <c r="K37" s="86">
        <v>1</v>
      </c>
      <c r="L37" s="86">
        <v>0</v>
      </c>
      <c r="M37" s="86">
        <v>1</v>
      </c>
      <c r="N37" s="86">
        <v>0</v>
      </c>
      <c r="O37" s="86">
        <v>1</v>
      </c>
      <c r="P37" s="73">
        <v>0</v>
      </c>
      <c r="Q37" s="86">
        <v>0</v>
      </c>
      <c r="R37" s="74">
        <v>1</v>
      </c>
      <c r="S37"/>
      <c r="T37"/>
    </row>
    <row r="38" spans="1:20" ht="15" customHeight="1" x14ac:dyDescent="0.15">
      <c r="A38" s="133"/>
      <c r="B38" s="98"/>
      <c r="C38" s="98"/>
      <c r="D38" s="98"/>
      <c r="E38" s="130"/>
      <c r="F38" s="201" t="s">
        <v>224</v>
      </c>
      <c r="G38" s="86">
        <v>0</v>
      </c>
      <c r="H38" s="86">
        <v>0</v>
      </c>
      <c r="I38" s="86">
        <v>0</v>
      </c>
      <c r="J38" s="86">
        <v>0</v>
      </c>
      <c r="K38" s="86">
        <v>1</v>
      </c>
      <c r="L38" s="86">
        <v>0</v>
      </c>
      <c r="M38" s="86">
        <v>1</v>
      </c>
      <c r="N38" s="86">
        <v>0</v>
      </c>
      <c r="O38" s="86">
        <v>1</v>
      </c>
      <c r="P38" s="73">
        <v>0</v>
      </c>
      <c r="Q38" s="86">
        <v>0</v>
      </c>
      <c r="R38" s="74">
        <v>1</v>
      </c>
      <c r="S38"/>
      <c r="T38"/>
    </row>
    <row r="39" spans="1:20" ht="15" customHeight="1" x14ac:dyDescent="0.15">
      <c r="A39" s="133"/>
      <c r="B39" s="98"/>
      <c r="C39" s="98"/>
      <c r="D39" s="98"/>
      <c r="E39" s="130"/>
      <c r="F39" s="201" t="s">
        <v>225</v>
      </c>
      <c r="G39" s="86">
        <v>0</v>
      </c>
      <c r="H39" s="86">
        <v>0</v>
      </c>
      <c r="I39" s="86">
        <v>0</v>
      </c>
      <c r="J39" s="86">
        <v>0</v>
      </c>
      <c r="K39" s="86">
        <v>1</v>
      </c>
      <c r="L39" s="86">
        <v>0</v>
      </c>
      <c r="M39" s="86">
        <v>1</v>
      </c>
      <c r="N39" s="86">
        <v>0</v>
      </c>
      <c r="O39" s="86">
        <v>1</v>
      </c>
      <c r="P39" s="73">
        <v>0</v>
      </c>
      <c r="Q39" s="86">
        <v>0</v>
      </c>
      <c r="R39" s="74">
        <v>1</v>
      </c>
      <c r="S39"/>
      <c r="T39"/>
    </row>
    <row r="40" spans="1:20" ht="15" customHeight="1" x14ac:dyDescent="0.15">
      <c r="A40" s="133"/>
      <c r="B40" s="98"/>
      <c r="C40" s="98"/>
      <c r="D40" s="98"/>
      <c r="E40" s="130"/>
      <c r="F40" s="201" t="s">
        <v>226</v>
      </c>
      <c r="G40" s="86">
        <v>0</v>
      </c>
      <c r="H40" s="86">
        <v>0</v>
      </c>
      <c r="I40" s="86">
        <v>0</v>
      </c>
      <c r="J40" s="86">
        <v>0</v>
      </c>
      <c r="K40" s="86">
        <v>1</v>
      </c>
      <c r="L40" s="86">
        <v>0</v>
      </c>
      <c r="M40" s="86">
        <v>1</v>
      </c>
      <c r="N40" s="86">
        <v>0</v>
      </c>
      <c r="O40" s="86">
        <v>1</v>
      </c>
      <c r="P40" s="73">
        <v>0</v>
      </c>
      <c r="Q40" s="86">
        <v>0</v>
      </c>
      <c r="R40" s="74">
        <v>1</v>
      </c>
      <c r="S40"/>
      <c r="T40"/>
    </row>
    <row r="41" spans="1:20" ht="15" customHeight="1" thickBot="1" x14ac:dyDescent="0.2">
      <c r="A41" s="133"/>
      <c r="B41" s="98"/>
      <c r="C41" s="98"/>
      <c r="D41" s="99"/>
      <c r="E41" s="134"/>
      <c r="F41" s="201" t="s">
        <v>227</v>
      </c>
      <c r="G41" s="86">
        <v>0</v>
      </c>
      <c r="H41" s="86">
        <v>0</v>
      </c>
      <c r="I41" s="86">
        <v>0</v>
      </c>
      <c r="J41" s="86">
        <v>0</v>
      </c>
      <c r="K41" s="86">
        <v>1</v>
      </c>
      <c r="L41" s="86">
        <v>0</v>
      </c>
      <c r="M41" s="86">
        <v>1</v>
      </c>
      <c r="N41" s="86">
        <v>0</v>
      </c>
      <c r="O41" s="86">
        <v>1</v>
      </c>
      <c r="P41" s="73">
        <v>0</v>
      </c>
      <c r="Q41" s="86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9598.8944872999982</v>
      </c>
      <c r="E42" s="137">
        <f>SUM(E32:E41)</f>
        <v>1.0000000000000002</v>
      </c>
      <c r="F42" s="201" t="s">
        <v>228</v>
      </c>
      <c r="G42" s="86">
        <v>0</v>
      </c>
      <c r="H42" s="86">
        <v>0</v>
      </c>
      <c r="I42" s="86">
        <v>0</v>
      </c>
      <c r="J42" s="86">
        <v>0</v>
      </c>
      <c r="K42" s="86">
        <v>1</v>
      </c>
      <c r="L42" s="86">
        <v>0</v>
      </c>
      <c r="M42" s="86">
        <v>1</v>
      </c>
      <c r="N42" s="86">
        <v>0</v>
      </c>
      <c r="O42" s="86">
        <v>1</v>
      </c>
      <c r="P42" s="73">
        <v>0</v>
      </c>
      <c r="Q42" s="86">
        <v>0</v>
      </c>
      <c r="R42" s="74">
        <v>1</v>
      </c>
      <c r="S42"/>
      <c r="T42"/>
    </row>
    <row r="43" spans="1:20" ht="15" customHeight="1" x14ac:dyDescent="0.15">
      <c r="A43" s="86"/>
      <c r="F43" s="201" t="s">
        <v>229</v>
      </c>
      <c r="G43" s="86">
        <v>0</v>
      </c>
      <c r="H43" s="86">
        <v>0</v>
      </c>
      <c r="I43" s="86">
        <v>0</v>
      </c>
      <c r="J43" s="86">
        <v>0</v>
      </c>
      <c r="K43" s="86">
        <v>1</v>
      </c>
      <c r="L43" s="86">
        <v>0</v>
      </c>
      <c r="M43" s="86">
        <v>1</v>
      </c>
      <c r="N43" s="86">
        <v>0</v>
      </c>
      <c r="O43" s="86">
        <v>1</v>
      </c>
      <c r="P43" s="73">
        <v>0</v>
      </c>
      <c r="Q43" s="86">
        <v>0</v>
      </c>
      <c r="R43" s="74">
        <v>1</v>
      </c>
      <c r="S43"/>
      <c r="T43"/>
    </row>
    <row r="44" spans="1:20" ht="15" customHeight="1" x14ac:dyDescent="0.15">
      <c r="A44" s="86"/>
      <c r="F44" s="201" t="s">
        <v>230</v>
      </c>
      <c r="G44" s="86">
        <v>0</v>
      </c>
      <c r="H44" s="86">
        <v>0</v>
      </c>
      <c r="I44" s="86">
        <v>0</v>
      </c>
      <c r="J44" s="86">
        <v>0</v>
      </c>
      <c r="K44" s="86">
        <v>1</v>
      </c>
      <c r="L44" s="86">
        <v>0</v>
      </c>
      <c r="M44" s="86">
        <v>1</v>
      </c>
      <c r="N44" s="86">
        <v>0</v>
      </c>
      <c r="O44" s="86">
        <v>1</v>
      </c>
      <c r="P44" s="73">
        <v>0</v>
      </c>
      <c r="Q44" s="86">
        <v>0</v>
      </c>
      <c r="R44" s="74">
        <v>1</v>
      </c>
    </row>
    <row r="45" spans="1:20" ht="15" customHeight="1" x14ac:dyDescent="0.15">
      <c r="A45" s="86"/>
      <c r="F45" s="201" t="s">
        <v>231</v>
      </c>
      <c r="G45" s="86">
        <v>0</v>
      </c>
      <c r="H45" s="86">
        <v>0</v>
      </c>
      <c r="I45" s="86">
        <v>0</v>
      </c>
      <c r="J45" s="86">
        <v>0</v>
      </c>
      <c r="K45" s="86">
        <v>1</v>
      </c>
      <c r="L45" s="86">
        <v>0</v>
      </c>
      <c r="M45" s="86">
        <v>1</v>
      </c>
      <c r="N45" s="86">
        <v>0</v>
      </c>
      <c r="O45" s="86">
        <v>1</v>
      </c>
      <c r="P45" s="73">
        <v>0</v>
      </c>
      <c r="Q45" s="86">
        <v>0</v>
      </c>
      <c r="R45" s="74">
        <v>1</v>
      </c>
    </row>
    <row r="46" spans="1:20" ht="15" customHeight="1" x14ac:dyDescent="0.15">
      <c r="A46" s="86"/>
      <c r="F46" s="201" t="s">
        <v>232</v>
      </c>
      <c r="G46" s="86">
        <v>0</v>
      </c>
      <c r="H46" s="86">
        <v>0</v>
      </c>
      <c r="I46" s="86">
        <v>0</v>
      </c>
      <c r="J46" s="86">
        <v>0</v>
      </c>
      <c r="K46" s="86">
        <v>1</v>
      </c>
      <c r="L46" s="86">
        <v>0</v>
      </c>
      <c r="M46" s="86">
        <v>1</v>
      </c>
      <c r="N46" s="86">
        <v>0</v>
      </c>
      <c r="O46" s="86">
        <v>1</v>
      </c>
      <c r="P46" s="73">
        <v>0</v>
      </c>
      <c r="Q46" s="86">
        <v>0</v>
      </c>
      <c r="R46" s="74">
        <v>1</v>
      </c>
    </row>
    <row r="47" spans="1:20" ht="15" customHeight="1" x14ac:dyDescent="0.15">
      <c r="A47" s="86"/>
      <c r="F47" s="201" t="s">
        <v>233</v>
      </c>
      <c r="G47" s="86">
        <v>0</v>
      </c>
      <c r="H47" s="86">
        <v>0</v>
      </c>
      <c r="I47" s="86">
        <v>0</v>
      </c>
      <c r="J47" s="86">
        <v>0</v>
      </c>
      <c r="K47" s="86">
        <v>1</v>
      </c>
      <c r="L47" s="86">
        <v>0</v>
      </c>
      <c r="M47" s="86">
        <v>1</v>
      </c>
      <c r="N47" s="86">
        <v>0</v>
      </c>
      <c r="O47" s="86">
        <v>1</v>
      </c>
      <c r="P47" s="73">
        <v>0</v>
      </c>
      <c r="Q47" s="86">
        <v>0</v>
      </c>
      <c r="R47" s="74">
        <v>1</v>
      </c>
    </row>
    <row r="48" spans="1:20" ht="15" customHeight="1" x14ac:dyDescent="0.15">
      <c r="A48" s="86"/>
      <c r="F48" s="201" t="s">
        <v>234</v>
      </c>
      <c r="G48" s="86">
        <v>0</v>
      </c>
      <c r="H48" s="86">
        <v>0</v>
      </c>
      <c r="I48" s="86">
        <v>0</v>
      </c>
      <c r="J48" s="86">
        <v>0</v>
      </c>
      <c r="K48" s="86">
        <v>1</v>
      </c>
      <c r="L48" s="86">
        <v>0</v>
      </c>
      <c r="M48" s="86">
        <v>1</v>
      </c>
      <c r="N48" s="86">
        <v>0</v>
      </c>
      <c r="O48" s="86">
        <v>1</v>
      </c>
      <c r="P48" s="73">
        <v>0</v>
      </c>
      <c r="Q48" s="86">
        <v>0</v>
      </c>
      <c r="R48" s="74">
        <v>1</v>
      </c>
    </row>
    <row r="49" spans="6:18" s="86" customFormat="1" ht="15" customHeight="1" x14ac:dyDescent="0.15">
      <c r="F49" s="201" t="s">
        <v>235</v>
      </c>
      <c r="G49" s="86">
        <v>0</v>
      </c>
      <c r="H49" s="86">
        <v>0</v>
      </c>
      <c r="I49" s="86">
        <v>0</v>
      </c>
      <c r="J49" s="86">
        <v>0</v>
      </c>
      <c r="K49" s="86">
        <v>1</v>
      </c>
      <c r="L49" s="86">
        <v>0</v>
      </c>
      <c r="M49" s="86">
        <v>1</v>
      </c>
      <c r="N49" s="86">
        <v>0</v>
      </c>
      <c r="O49" s="86">
        <v>1</v>
      </c>
      <c r="P49" s="73">
        <v>0</v>
      </c>
      <c r="Q49" s="86">
        <v>0</v>
      </c>
      <c r="R49" s="74">
        <v>1</v>
      </c>
    </row>
    <row r="50" spans="6:18" s="86" customFormat="1" ht="15" customHeight="1" x14ac:dyDescent="0.15">
      <c r="F50" s="201" t="s">
        <v>236</v>
      </c>
      <c r="G50" s="86">
        <v>0</v>
      </c>
      <c r="H50" s="86">
        <v>0</v>
      </c>
      <c r="I50" s="86">
        <v>0</v>
      </c>
      <c r="J50" s="86">
        <v>0</v>
      </c>
      <c r="K50" s="86">
        <v>1</v>
      </c>
      <c r="L50" s="86">
        <v>0</v>
      </c>
      <c r="M50" s="86">
        <v>1</v>
      </c>
      <c r="N50" s="86">
        <v>0</v>
      </c>
      <c r="O50" s="86">
        <v>1</v>
      </c>
      <c r="P50" s="73">
        <v>0</v>
      </c>
      <c r="Q50" s="86">
        <v>0</v>
      </c>
      <c r="R50" s="74">
        <v>1</v>
      </c>
    </row>
    <row r="51" spans="6:18" s="86" customFormat="1" ht="15" customHeight="1" x14ac:dyDescent="0.15">
      <c r="F51" s="201" t="s">
        <v>237</v>
      </c>
      <c r="G51" s="86">
        <v>0</v>
      </c>
      <c r="H51" s="86">
        <v>0</v>
      </c>
      <c r="I51" s="86">
        <v>0</v>
      </c>
      <c r="J51" s="86">
        <v>0</v>
      </c>
      <c r="K51" s="86">
        <v>1</v>
      </c>
      <c r="L51" s="86">
        <v>0</v>
      </c>
      <c r="M51" s="86">
        <v>1</v>
      </c>
      <c r="N51" s="86">
        <v>0</v>
      </c>
      <c r="O51" s="86">
        <v>1</v>
      </c>
      <c r="P51" s="73">
        <v>0</v>
      </c>
      <c r="Q51" s="86">
        <v>0</v>
      </c>
      <c r="R51" s="74">
        <v>1</v>
      </c>
    </row>
    <row r="52" spans="6:18" s="86" customFormat="1" ht="15" customHeight="1" x14ac:dyDescent="0.15">
      <c r="F52" s="201" t="s">
        <v>238</v>
      </c>
      <c r="G52" s="86">
        <v>0</v>
      </c>
      <c r="H52" s="86">
        <v>0</v>
      </c>
      <c r="I52" s="86">
        <v>0</v>
      </c>
      <c r="J52" s="86">
        <v>0</v>
      </c>
      <c r="K52" s="86">
        <v>1</v>
      </c>
      <c r="L52" s="86">
        <v>0</v>
      </c>
      <c r="M52" s="86">
        <v>1</v>
      </c>
      <c r="N52" s="86">
        <v>0</v>
      </c>
      <c r="O52" s="86">
        <v>1</v>
      </c>
      <c r="P52" s="73">
        <v>0</v>
      </c>
      <c r="Q52" s="86">
        <v>0</v>
      </c>
      <c r="R52" s="74">
        <v>1</v>
      </c>
    </row>
    <row r="53" spans="6:18" s="86" customFormat="1" ht="15" customHeight="1" x14ac:dyDescent="0.15">
      <c r="F53" s="201" t="s">
        <v>239</v>
      </c>
      <c r="G53" s="86">
        <v>0</v>
      </c>
      <c r="H53" s="86">
        <v>0</v>
      </c>
      <c r="I53" s="86">
        <v>0</v>
      </c>
      <c r="J53" s="86">
        <v>0</v>
      </c>
      <c r="K53" s="86">
        <v>0</v>
      </c>
      <c r="L53" s="86">
        <v>0</v>
      </c>
      <c r="M53" s="86">
        <v>1</v>
      </c>
      <c r="N53" s="86">
        <v>0</v>
      </c>
      <c r="O53" s="86">
        <v>0</v>
      </c>
      <c r="P53" s="73">
        <v>0</v>
      </c>
      <c r="Q53" s="86">
        <v>0</v>
      </c>
      <c r="R53" s="74">
        <v>1</v>
      </c>
    </row>
    <row r="54" spans="6:18" s="86" customFormat="1" ht="15" customHeight="1" x14ac:dyDescent="0.15">
      <c r="F54" s="201" t="s">
        <v>240</v>
      </c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1</v>
      </c>
      <c r="N54" s="86">
        <v>0</v>
      </c>
      <c r="O54" s="86">
        <v>0</v>
      </c>
      <c r="P54" s="73">
        <v>0</v>
      </c>
      <c r="Q54" s="86">
        <v>0</v>
      </c>
      <c r="R54" s="74">
        <v>1</v>
      </c>
    </row>
    <row r="55" spans="6:18" s="86" customFormat="1" ht="15" customHeight="1" x14ac:dyDescent="0.15">
      <c r="F55" s="201" t="s">
        <v>241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1</v>
      </c>
      <c r="N55" s="86">
        <v>0</v>
      </c>
      <c r="O55" s="86">
        <v>0</v>
      </c>
      <c r="P55" s="73">
        <v>0</v>
      </c>
      <c r="Q55" s="86">
        <v>0</v>
      </c>
      <c r="R55" s="74">
        <v>1</v>
      </c>
    </row>
    <row r="56" spans="6:18" s="86" customFormat="1" ht="15" customHeight="1" x14ac:dyDescent="0.15">
      <c r="F56" s="201" t="s">
        <v>242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1</v>
      </c>
      <c r="M56" s="86">
        <v>0</v>
      </c>
      <c r="N56" s="86">
        <v>1</v>
      </c>
      <c r="O56" s="86">
        <v>0</v>
      </c>
      <c r="P56" s="73">
        <v>1</v>
      </c>
      <c r="Q56" s="86">
        <v>0</v>
      </c>
      <c r="R56" s="74">
        <v>1</v>
      </c>
    </row>
    <row r="57" spans="6:18" s="86" customFormat="1" ht="15" customHeight="1" x14ac:dyDescent="0.15">
      <c r="F57" s="201" t="s">
        <v>243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1</v>
      </c>
      <c r="M57" s="86">
        <v>0</v>
      </c>
      <c r="N57" s="86">
        <v>1</v>
      </c>
      <c r="O57" s="86">
        <v>0</v>
      </c>
      <c r="P57" s="73">
        <v>1</v>
      </c>
      <c r="Q57" s="86">
        <v>0</v>
      </c>
      <c r="R57" s="74">
        <v>1</v>
      </c>
    </row>
    <row r="58" spans="6:18" s="86" customFormat="1" ht="15" customHeight="1" x14ac:dyDescent="0.15">
      <c r="F58" s="201" t="s">
        <v>244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1</v>
      </c>
      <c r="M58" s="86">
        <v>0</v>
      </c>
      <c r="N58" s="86">
        <v>0</v>
      </c>
      <c r="O58" s="86">
        <v>0</v>
      </c>
      <c r="P58" s="73">
        <v>0</v>
      </c>
      <c r="Q58" s="86">
        <v>0</v>
      </c>
      <c r="R58" s="74">
        <v>1</v>
      </c>
    </row>
    <row r="59" spans="6:18" s="86" customFormat="1" ht="15" customHeight="1" x14ac:dyDescent="0.15">
      <c r="F59" s="201" t="s">
        <v>245</v>
      </c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1</v>
      </c>
      <c r="M59" s="86">
        <v>0</v>
      </c>
      <c r="N59" s="86">
        <v>0</v>
      </c>
      <c r="O59" s="86">
        <v>0</v>
      </c>
      <c r="P59" s="73">
        <v>0</v>
      </c>
      <c r="Q59" s="86">
        <v>0</v>
      </c>
      <c r="R59" s="74">
        <v>1</v>
      </c>
    </row>
    <row r="60" spans="6:18" s="86" customFormat="1" ht="15" customHeight="1" x14ac:dyDescent="0.15">
      <c r="F60" s="201" t="s">
        <v>246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1</v>
      </c>
      <c r="M60" s="86">
        <v>0</v>
      </c>
      <c r="N60" s="86">
        <v>0</v>
      </c>
      <c r="O60" s="86">
        <v>0</v>
      </c>
      <c r="P60" s="73">
        <v>0</v>
      </c>
      <c r="Q60" s="86">
        <v>0</v>
      </c>
      <c r="R60" s="74">
        <v>1</v>
      </c>
    </row>
    <row r="61" spans="6:18" s="86" customFormat="1" ht="15" customHeight="1" x14ac:dyDescent="0.15">
      <c r="F61" s="201" t="s">
        <v>247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1</v>
      </c>
      <c r="M61" s="86">
        <v>0</v>
      </c>
      <c r="N61" s="86">
        <v>0</v>
      </c>
      <c r="O61" s="86">
        <v>0</v>
      </c>
      <c r="P61" s="73">
        <v>0</v>
      </c>
      <c r="Q61" s="86">
        <v>0</v>
      </c>
      <c r="R61" s="74">
        <v>1</v>
      </c>
    </row>
    <row r="62" spans="6:18" s="8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4" customWidth="1"/>
    <col min="3" max="5" width="7.83203125" style="114" customWidth="1"/>
    <col min="6" max="8" width="8.83203125" style="6"/>
    <col min="9" max="9" width="15.5" style="6" customWidth="1"/>
    <col min="10" max="10" width="12.1640625" style="6" customWidth="1"/>
    <col min="11" max="11" width="10" style="6" customWidth="1"/>
    <col min="12" max="12" width="10.1640625" style="6" customWidth="1"/>
    <col min="13" max="13" width="7.33203125" style="6" customWidth="1"/>
    <col min="14" max="14" width="9" style="6" customWidth="1"/>
    <col min="15" max="15" width="8.83203125" style="6" customWidth="1"/>
    <col min="16" max="16" width="7.5" style="6" customWidth="1"/>
    <col min="17" max="17" width="10.5" style="6" customWidth="1"/>
    <col min="18" max="18" width="15.33203125" style="6" customWidth="1"/>
    <col min="19" max="19" width="16" style="6" customWidth="1"/>
    <col min="20" max="20" width="9.6640625" style="6" customWidth="1"/>
    <col min="21" max="21" width="9.5" style="6" customWidth="1"/>
    <col min="22" max="22" width="11.33203125" style="6" customWidth="1"/>
    <col min="23" max="23" width="11.5" style="6" customWidth="1"/>
    <col min="24" max="24" width="13.33203125" style="6" customWidth="1"/>
    <col min="25" max="25" width="14" style="6" customWidth="1"/>
    <col min="26" max="26" width="9.5" style="6" customWidth="1"/>
    <col min="27" max="27" width="9.6640625" style="6" customWidth="1"/>
    <col min="28" max="28" width="13.83203125" style="6" customWidth="1"/>
    <col min="29" max="29" width="7" style="6" customWidth="1"/>
    <col min="30" max="30" width="7.5" style="6" customWidth="1"/>
    <col min="31" max="31" width="11.5" style="6" customWidth="1"/>
    <col min="32" max="32" width="10.5" style="6" customWidth="1"/>
    <col min="33" max="33" width="10.1640625" style="6" customWidth="1"/>
    <col min="34" max="34" width="10.33203125" style="6" customWidth="1"/>
    <col min="35" max="35" width="8.5" style="6" customWidth="1"/>
    <col min="36" max="36" width="10.5" style="6" customWidth="1"/>
    <col min="37" max="37" width="7.83203125" style="6" customWidth="1"/>
    <col min="38" max="38" width="15" style="6" customWidth="1"/>
    <col min="39" max="39" width="12" customWidth="1"/>
    <col min="40" max="40" width="16.1640625" customWidth="1"/>
    <col min="41" max="41" width="11.83203125" customWidth="1"/>
    <col min="42" max="42" width="9.83203125" customWidth="1"/>
    <col min="43" max="44" width="14.5" customWidth="1"/>
    <col min="45" max="45" width="15" customWidth="1"/>
    <col min="46" max="46" width="17.5" customWidth="1"/>
    <col min="47" max="47" width="13.1640625" customWidth="1"/>
    <col min="48" max="48" width="11.1640625" customWidth="1"/>
    <col min="49" max="49" width="15.83203125" customWidth="1"/>
    <col min="50" max="50" width="15.6640625" customWidth="1"/>
    <col min="51" max="51" width="16.33203125" customWidth="1"/>
    <col min="52" max="52" width="15.83203125" customWidth="1"/>
    <col min="53" max="53" width="16.5" customWidth="1"/>
    <col min="54" max="54" width="19" customWidth="1"/>
    <col min="55" max="55" width="19.5" customWidth="1"/>
    <col min="56" max="56" width="16" customWidth="1"/>
    <col min="57" max="57" width="12.83203125" customWidth="1"/>
    <col min="58" max="58" width="16.83203125" customWidth="1"/>
    <col min="59" max="59" width="7.6640625" customWidth="1"/>
    <col min="60" max="60" width="21.6640625" customWidth="1"/>
    <col min="61" max="61" width="8.5" customWidth="1"/>
    <col min="62" max="62" width="9.1640625" customWidth="1"/>
    <col min="63" max="63" width="7.5" customWidth="1"/>
    <col min="64" max="64" width="8" customWidth="1"/>
    <col min="81" max="81" width="22.1640625" bestFit="1" customWidth="1"/>
  </cols>
  <sheetData>
    <row r="1" spans="1:64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192</v>
      </c>
      <c r="J1" s="206" t="s">
        <v>193</v>
      </c>
      <c r="K1" s="206" t="s">
        <v>194</v>
      </c>
      <c r="L1" s="206" t="s">
        <v>195</v>
      </c>
      <c r="M1" s="206" t="s">
        <v>196</v>
      </c>
      <c r="N1" s="206" t="s">
        <v>197</v>
      </c>
      <c r="O1" s="206" t="s">
        <v>198</v>
      </c>
      <c r="P1" s="206" t="s">
        <v>199</v>
      </c>
      <c r="Q1" s="206" t="s">
        <v>200</v>
      </c>
      <c r="R1" s="206" t="s">
        <v>201</v>
      </c>
      <c r="S1" s="206" t="s">
        <v>202</v>
      </c>
      <c r="T1" s="206" t="s">
        <v>203</v>
      </c>
      <c r="U1" s="206" t="s">
        <v>204</v>
      </c>
      <c r="V1" s="206" t="s">
        <v>205</v>
      </c>
      <c r="W1" s="206" t="s">
        <v>206</v>
      </c>
      <c r="X1" s="206" t="s">
        <v>207</v>
      </c>
      <c r="Y1" s="206" t="s">
        <v>208</v>
      </c>
      <c r="Z1" s="206" t="s">
        <v>209</v>
      </c>
      <c r="AA1" s="206" t="s">
        <v>210</v>
      </c>
      <c r="AB1" s="206" t="s">
        <v>211</v>
      </c>
      <c r="AC1" s="206" t="s">
        <v>212</v>
      </c>
      <c r="AD1" s="206" t="s">
        <v>213</v>
      </c>
      <c r="AE1" s="206" t="s">
        <v>214</v>
      </c>
      <c r="AF1" s="206" t="s">
        <v>215</v>
      </c>
      <c r="AG1" s="206" t="s">
        <v>216</v>
      </c>
      <c r="AH1" s="206" t="s">
        <v>217</v>
      </c>
      <c r="AI1" s="206" t="s">
        <v>218</v>
      </c>
      <c r="AJ1" s="206" t="s">
        <v>219</v>
      </c>
      <c r="AK1" s="206" t="s">
        <v>220</v>
      </c>
      <c r="AL1" s="206" t="s">
        <v>221</v>
      </c>
      <c r="AM1" s="206" t="s">
        <v>222</v>
      </c>
      <c r="AN1" s="206" t="s">
        <v>223</v>
      </c>
      <c r="AO1" s="206" t="s">
        <v>224</v>
      </c>
      <c r="AP1" s="206" t="s">
        <v>225</v>
      </c>
      <c r="AQ1" s="206" t="s">
        <v>226</v>
      </c>
      <c r="AR1" s="206" t="s">
        <v>227</v>
      </c>
      <c r="AS1" s="206" t="s">
        <v>228</v>
      </c>
      <c r="AT1" s="206" t="s">
        <v>229</v>
      </c>
      <c r="AU1" s="206" t="s">
        <v>230</v>
      </c>
      <c r="AV1" s="206" t="s">
        <v>231</v>
      </c>
      <c r="AW1" s="206" t="s">
        <v>232</v>
      </c>
      <c r="AX1" s="206" t="s">
        <v>233</v>
      </c>
      <c r="AY1" s="206" t="s">
        <v>234</v>
      </c>
      <c r="AZ1" s="206" t="s">
        <v>235</v>
      </c>
      <c r="BA1" s="206" t="s">
        <v>236</v>
      </c>
      <c r="BB1" s="206" t="s">
        <v>237</v>
      </c>
      <c r="BC1" s="206" t="s">
        <v>238</v>
      </c>
      <c r="BD1" s="206" t="s">
        <v>239</v>
      </c>
      <c r="BE1" s="206" t="s">
        <v>240</v>
      </c>
      <c r="BF1" s="206" t="s">
        <v>241</v>
      </c>
      <c r="BG1" s="206" t="s">
        <v>242</v>
      </c>
      <c r="BH1" s="206" t="s">
        <v>243</v>
      </c>
      <c r="BI1" s="206" t="s">
        <v>244</v>
      </c>
      <c r="BJ1" s="206" t="s">
        <v>245</v>
      </c>
      <c r="BK1" s="206" t="s">
        <v>246</v>
      </c>
      <c r="BL1" s="206" t="s">
        <v>247</v>
      </c>
    </row>
    <row r="2" spans="1:64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4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4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4" x14ac:dyDescent="0.15">
      <c r="A5" s="205" t="s">
        <v>192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4" x14ac:dyDescent="0.15">
      <c r="A6" s="205" t="s">
        <v>193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4" x14ac:dyDescent="0.15">
      <c r="A7" s="205" t="s">
        <v>194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4" x14ac:dyDescent="0.15">
      <c r="A8" s="205" t="s">
        <v>195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4" x14ac:dyDescent="0.15">
      <c r="A9" s="205" t="s">
        <v>196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4" x14ac:dyDescent="0.15">
      <c r="A10" s="205" t="s">
        <v>197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4" x14ac:dyDescent="0.15">
      <c r="A11" s="205" t="s">
        <v>198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4" x14ac:dyDescent="0.15">
      <c r="A12" s="205" t="s">
        <v>199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4" x14ac:dyDescent="0.15">
      <c r="A13" s="205" t="s">
        <v>200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4" x14ac:dyDescent="0.15">
      <c r="A14" s="205" t="s">
        <v>201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4" x14ac:dyDescent="0.15">
      <c r="A15" s="205" t="s">
        <v>202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4" x14ac:dyDescent="0.15">
      <c r="A16" s="205" t="s">
        <v>203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204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205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206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207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208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209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210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211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212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213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214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215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216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217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218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219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220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221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222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223</v>
      </c>
      <c r="B36" s="114">
        <v>0</v>
      </c>
      <c r="C36"/>
      <c r="D36"/>
    </row>
    <row r="37" spans="1:38" ht="15" customHeight="1" x14ac:dyDescent="0.15">
      <c r="A37" s="205" t="s">
        <v>224</v>
      </c>
      <c r="B37" s="114">
        <v>0</v>
      </c>
      <c r="C37"/>
      <c r="D37"/>
    </row>
    <row r="38" spans="1:38" ht="15" customHeight="1" x14ac:dyDescent="0.15">
      <c r="A38" s="205" t="s">
        <v>225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226</v>
      </c>
      <c r="B39" s="114">
        <v>0</v>
      </c>
      <c r="C39"/>
      <c r="D39"/>
    </row>
    <row r="40" spans="1:38" ht="15" customHeight="1" x14ac:dyDescent="0.15">
      <c r="A40" s="205" t="s">
        <v>227</v>
      </c>
      <c r="B40" s="114">
        <v>0</v>
      </c>
      <c r="C40"/>
      <c r="D40"/>
    </row>
    <row r="41" spans="1:38" ht="15" customHeight="1" x14ac:dyDescent="0.15">
      <c r="A41" s="205" t="s">
        <v>228</v>
      </c>
      <c r="B41" s="114">
        <v>0</v>
      </c>
      <c r="C41"/>
      <c r="D41"/>
    </row>
    <row r="42" spans="1:38" ht="15" customHeight="1" x14ac:dyDescent="0.15">
      <c r="A42" s="205" t="s">
        <v>229</v>
      </c>
      <c r="B42" s="114">
        <v>0</v>
      </c>
    </row>
    <row r="43" spans="1:38" ht="15" customHeight="1" x14ac:dyDescent="0.15">
      <c r="A43" s="205" t="s">
        <v>230</v>
      </c>
      <c r="B43" s="114">
        <v>0</v>
      </c>
    </row>
    <row r="44" spans="1:38" ht="15" customHeight="1" x14ac:dyDescent="0.15">
      <c r="A44" s="205" t="s">
        <v>231</v>
      </c>
      <c r="B44" s="114">
        <v>0</v>
      </c>
    </row>
    <row r="45" spans="1:38" ht="15" customHeight="1" x14ac:dyDescent="0.15">
      <c r="A45" s="205" t="s">
        <v>232</v>
      </c>
      <c r="B45" s="114">
        <v>0</v>
      </c>
    </row>
    <row r="46" spans="1:38" ht="15" customHeight="1" x14ac:dyDescent="0.15">
      <c r="A46" s="205" t="s">
        <v>233</v>
      </c>
      <c r="B46" s="114">
        <v>0</v>
      </c>
    </row>
    <row r="47" spans="1:38" ht="15" customHeight="1" x14ac:dyDescent="0.15">
      <c r="A47" s="205" t="s">
        <v>234</v>
      </c>
      <c r="B47" s="114">
        <v>0</v>
      </c>
    </row>
    <row r="48" spans="1:38" ht="15" customHeight="1" x14ac:dyDescent="0.15">
      <c r="A48" s="205" t="s">
        <v>235</v>
      </c>
      <c r="B48" s="114">
        <v>0</v>
      </c>
    </row>
    <row r="49" spans="1:38" ht="15" customHeight="1" x14ac:dyDescent="0.15">
      <c r="A49" s="205" t="s">
        <v>236</v>
      </c>
      <c r="B49" s="114">
        <v>0</v>
      </c>
    </row>
    <row r="50" spans="1:38" ht="15" customHeight="1" x14ac:dyDescent="0.15">
      <c r="A50" s="205" t="s">
        <v>237</v>
      </c>
      <c r="B50" s="114">
        <v>0</v>
      </c>
    </row>
    <row r="51" spans="1:38" ht="15" customHeight="1" x14ac:dyDescent="0.15">
      <c r="A51" s="205" t="s">
        <v>238</v>
      </c>
      <c r="B51" s="114">
        <v>0</v>
      </c>
    </row>
    <row r="52" spans="1:38" ht="15" customHeight="1" x14ac:dyDescent="0.15">
      <c r="A52" s="205" t="s">
        <v>239</v>
      </c>
      <c r="B52" s="114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240</v>
      </c>
      <c r="B53" s="114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241</v>
      </c>
      <c r="B54" s="114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242</v>
      </c>
      <c r="B55" s="114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243</v>
      </c>
      <c r="B56" s="114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244</v>
      </c>
      <c r="B57" s="114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245</v>
      </c>
      <c r="B58" s="114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246</v>
      </c>
      <c r="B59" s="114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247</v>
      </c>
      <c r="B60" s="114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2022-10-23T22:14:28Z</dcterms:modified>
</cp:coreProperties>
</file>