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32F723A9-8A49-AE40-949A-AA095481257A}" xr6:coauthVersionLast="45" xr6:coauthVersionMax="45" xr10:uidLastSave="{00000000-0000-0000-0000-000000000000}"/>
  <bookViews>
    <workbookView xWindow="0" yWindow="460" windowWidth="25600" windowHeight="14240" tabRatio="728" firstSheet="8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Main!$C$2:$N$28</definedName>
    <definedName name="matDetritus">Detritus!$C$2:$E$28</definedName>
    <definedName name="matDiet">Diets!$B$2:$V$25</definedName>
    <definedName name="matDiscards">Discards!$C$2:$F$24</definedName>
    <definedName name="matFishery">Fishing!$C$2:$F$24</definedName>
    <definedName name="matFishing">Fishing!#REF!</definedName>
    <definedName name="matMort">Mortalities!$A$1:$AD$24</definedName>
    <definedName name="matOut">MainOutputs!$A$2:$I$28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" i="1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<sst xmlns="http://schemas.openxmlformats.org/spreadsheetml/2006/main" count="826" uniqueCount="229">
  <si>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</si>
  <si>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</si>
  <si>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</si>
  <si>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</si>
  <si>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</si>
  <si>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</si>
  <si>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</si>
  <si>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</si>
  <si>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</si>
  <si>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</si>
  <si>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</si>
  <si>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</si>
  <si>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</si>
  <si>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</si>
  <si>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</si>
  <si>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</si>
  <si>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</si>
  <si>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</si>
  <si>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</si>
  <si>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</si>
  <si>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</si>
  <si>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</si>
  <si>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</si>
  <si>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</si>
  <si>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</si>
  <si>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</si>
  <si>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</si>
  <si>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</si>
  <si>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</si>
  <si>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</si>
  <si>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</si>
  <si>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</si>
  <si>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</si>
  <si>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</si>
  <si>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</si>
  <si>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</si>
  <si>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</si>
  <si>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</si>
  <si>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</si>
  <si>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</si>
  <si>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</si>
  <si>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</si>
  <si>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</si>
  <si>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</si>
  <si>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</si>
  <si>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</si>
  <si>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</si>
  <si>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</si>
  <si>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</si>
  <si>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</si>
  <si>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</si>
  <si>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</si>
  <si>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</si>
  <si>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</si>
  <si>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</si>
  <si>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</si>
  <si>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</si>
  <si>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</si>
  <si>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</si>
  <si>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</si>
  <si>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</si>
  <si>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</si>
  <si>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</si>
  <si>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</si>
  <si>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</si>
  <si>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</si>
  <si>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</si>
  <si>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</si>
  <si>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</si>
  <si>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</si>
  <si>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</si>
  <si>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</si>
  <si>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</si>
  <si>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</si>
  <si>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</si>
  <si>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</si>
  <si>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</si>
  <si>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</si>
  <si>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</si>
  <si>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</si>
  <si>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</si>
  <si>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</si>
  <si>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</si>
  <si>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</si>
  <si>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</si>
  <si>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</si>
  <si>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</si>
  <si>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</si>
  <si>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</si>
  <si>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</si>
  <si>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</si>
  <si>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</si>
  <si>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</si>
  <si>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</si>
  <si>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</si>
  <si>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</si>
  <si>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</si>
  <si>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</si>
  <si>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</si>
  <si>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</si>
  <si>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</si>
  <si>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</si>
  <si>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</si>
  <si>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</si>
  <si>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</si>
  <si>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</si>
  <si>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</si>
  <si>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</si>
  <si>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</si>
  <si>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</si>
  <si>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</si>
  <si>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</si>
  <si>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</si>
  <si>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</si>
  <si>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</si>
  <si>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</si>
  <si>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</si>
  <si>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</si>
  <si>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</si>
  <si>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</si>
  <si>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</si>
  <si>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</si>
  <si>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</si>
  <si>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</si>
  <si>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</si>
  <si>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</si>
  <si>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</si>
  <si>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</si>
  <si>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</si>
  <si>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</si>
  <si>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</si>
  <si>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</si>
  <si>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</si>
  <si>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</si>
  <si>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</si>
  <si>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</si>
  <si>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</si>
  <si>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</si>
  <si>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</si>
  <si>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</si>
  <si>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</si>
  <si>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</si>
  <si>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</si>
  <si>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</si>
  <si>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</si>
  <si>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</si>
  <si>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</si>
  <si>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</si>
  <si>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</si>
  <si>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</si>
  <si>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</si>
  <si>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</si>
  <si>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</si>
  <si>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</si>
  <si>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</si>
  <si>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</si>
  <si>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</si>
  <si>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</si>
  <si>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</si>
  <si>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</si>
  <si>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</si>
  <si>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</si>
  <si>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</si>
  <si>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</si>
  <si>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</si>
  <si>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</si>
  <si>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</si>
  <si>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</si>
  <si>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</si>
  <si>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</si>
  <si>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</si>
  <si>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</si>
  <si>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</si>
  <si>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</si>
  <si>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</si>
  <si>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</si>
  <si>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</si>
  <si>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</si>
  <si>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</si>
  <si>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</si>
  <si>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</si>
  <si>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</si>
  <si>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</si>
  <si>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</si>
  <si>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</si>
  <si>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Greenland, West Coast</t>
  </si>
  <si>
    <t>Greenland</t>
  </si>
  <si>
    <t>BOX(-56.1540567402334 59.2195972756728,-43.9419094816227 71.0465032958415)</t>
  </si>
  <si>
    <t>open ocean</t>
  </si>
  <si>
    <t>WetWeight</t>
  </si>
  <si>
    <t>Soren Pedersen and Dirk 04-Apr-01 version for SAUP report;; 04-Apr-01 11:22:45; 09-Apr-01 9:48:11; 29-Jun-01 14:54:01; 2003-03-21 14:25:46; 03/08/2003 1:16:59 PM; 6/28/2010 4:41:30 PM</t>
  </si>
  <si>
    <t>Pedersen S.A.,Zeller D.(2001). A mass balance model for the West Greenland marine ecosystem Fisheries Impacts on North Atlantic Ecosystems: Models and Analyses. pp 111-127. In Guénette S.,Christensen V.,Pauly D.,Guénette S.,Christensen V.,Pauly D.</t>
  </si>
  <si>
    <t>Baleen whales</t>
  </si>
  <si>
    <t>Toothed whales</t>
  </si>
  <si>
    <t>Seals</t>
  </si>
  <si>
    <t>Seabirds</t>
  </si>
  <si>
    <t>Cod 4+</t>
  </si>
  <si>
    <t>Cod juv</t>
  </si>
  <si>
    <t>Grl. halibut 5+</t>
  </si>
  <si>
    <t>Grl. halibut juv</t>
  </si>
  <si>
    <t>Redfish larger than 14cm</t>
  </si>
  <si>
    <t>Redfish juv less 15cm</t>
  </si>
  <si>
    <t>Polar cod</t>
  </si>
  <si>
    <t>Thorny ray</t>
  </si>
  <si>
    <t>Long rough Dab</t>
  </si>
  <si>
    <t>Other pel fish</t>
  </si>
  <si>
    <t>Other bot fish</t>
  </si>
  <si>
    <t>Northern shrimp</t>
  </si>
  <si>
    <t>Benthos</t>
  </si>
  <si>
    <t>Squids</t>
  </si>
  <si>
    <t>Large Zooplankton</t>
  </si>
  <si>
    <t>Small Zooplankton</t>
  </si>
  <si>
    <t>Phytoplankton</t>
  </si>
  <si>
    <t>Detritus</t>
  </si>
  <si>
    <t>detritus_TerminalBenthic</t>
  </si>
  <si>
    <t>Shrimp trawl</t>
  </si>
  <si>
    <t>Deep water</t>
  </si>
  <si>
    <t>Coastal Gear</t>
  </si>
  <si>
    <t>Other gear</t>
  </si>
  <si>
    <t>Import</t>
  </si>
  <si>
    <t>export</t>
  </si>
  <si>
    <t>sum</t>
  </si>
  <si>
    <t>TOTAL</t>
  </si>
  <si>
    <t>F Shrimp trawl</t>
  </si>
  <si>
    <t>F Deep water</t>
  </si>
  <si>
    <t>F Coastal Gear</t>
  </si>
  <si>
    <t>F Other gear</t>
  </si>
  <si>
    <t>original ba values</t>
  </si>
  <si>
    <t>&lt;&lt;--original b = 0.05400207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</si>
</sst>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0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FF6B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1" borderId="2" xfId="0" applyFont="1" applyFill="1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6" borderId="0" xfId="0" applyFill="1"/>
    <xf numFmtId="0" fontId="0" fillId="3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1" borderId="2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0" fontId="0" fillId="3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8" fillId="77" borderId="0" xfId="0" applyFont="1" applyFill="1"/>
    <xf numFmtId="0" fontId="13" fillId="0" borderId="0" xfId="0" applyFont="1" applyFill="1"/>
    <xf numFmtId="0" fontId="0" fillId="77" borderId="0" xfId="0" applyFont="1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49" fontId="13" fillId="0" borderId="28" xfId="0" applyNumberFormat="1" applyFont="1" applyBorder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16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8" t="s">
        <v>164</v>
      </c>
    </row>
    <row r="6" spans="2:4" ht="14" thickBot="1" x14ac:dyDescent="0.2">
      <c r="B6" s="42" t="s">
        <v>141</v>
      </c>
    </row>
    <row r="7" spans="2:4" x14ac:dyDescent="0.15">
      <c r="B7" s="58" t="s">
        <v>143</v>
      </c>
    </row>
    <row r="8" spans="2:4" x14ac:dyDescent="0.15">
      <c r="B8" s="58" t="s">
        <v>142</v>
      </c>
    </row>
    <row r="9" spans="2:4" x14ac:dyDescent="0.15">
      <c r="B9" s="58" t="s">
        <v>144</v>
      </c>
    </row>
    <row r="10" spans="2:4" x14ac:dyDescent="0.15">
      <c r="B10" s="58" t="s">
        <v>147</v>
      </c>
    </row>
    <row r="11" spans="2:4" x14ac:dyDescent="0.15">
      <c r="B11" s="58" t="s">
        <v>151</v>
      </c>
    </row>
    <row r="12" spans="2:4" x14ac:dyDescent="0.15">
      <c r="B12" s="58" t="s">
        <v>153</v>
      </c>
    </row>
    <row r="13" spans="2:4" x14ac:dyDescent="0.15">
      <c r="B13" s="58" t="s">
        <v>165</v>
      </c>
    </row>
    <row r="15" spans="2:4" ht="14" thickBot="1" x14ac:dyDescent="0.2"/>
    <row r="16" spans="2:4" ht="14" thickBot="1" x14ac:dyDescent="0.2">
      <c r="B16" s="43" t="s">
        <v>137</v>
      </c>
      <c r="C16" s="44"/>
      <c r="D16" s="26">
        <v>41373</v>
      </c>
    </row>
    <row r="17" spans="2:4" x14ac:dyDescent="0.15">
      <c r="B17" s="45" t="s">
        <v>58</v>
      </c>
      <c r="C17" s="29">
        <v>0</v>
      </c>
    </row>
    <row r="18" spans="2:4" x14ac:dyDescent="0.15">
      <c r="B18" s="45" t="s">
        <v>59</v>
      </c>
      <c r="C18" s="29">
        <v>1</v>
      </c>
    </row>
    <row r="19" spans="2:4" x14ac:dyDescent="0.15">
      <c r="B19" s="45" t="s">
        <v>60</v>
      </c>
      <c r="C19" s="29">
        <v>2</v>
      </c>
    </row>
    <row r="20" spans="2:4" ht="14" thickBot="1" x14ac:dyDescent="0.2">
      <c r="B20" s="46" t="s">
        <v>44</v>
      </c>
      <c r="C20" s="30">
        <v>3</v>
      </c>
    </row>
    <row r="21" spans="2:4" x14ac:dyDescent="0.15">
      <c r="B21" s="47" t="s">
        <v>140</v>
      </c>
    </row>
    <row r="22" spans="2:4" ht="14" thickBot="1" x14ac:dyDescent="0.2"/>
    <row r="23" spans="2:4" ht="14" thickBot="1" x14ac:dyDescent="0.2">
      <c r="B23" s="43" t="s">
        <v>65</v>
      </c>
      <c r="C23" s="44"/>
      <c r="D23" s="26" t="s">
        <v>148</v>
      </c>
    </row>
    <row r="24" spans="2:4" x14ac:dyDescent="0.15">
      <c r="B24" s="49" t="s">
        <v>38</v>
      </c>
      <c r="C24" s="27">
        <v>1</v>
      </c>
    </row>
    <row r="25" spans="2:4" x14ac:dyDescent="0.15">
      <c r="B25" s="45" t="s">
        <v>40</v>
      </c>
      <c r="C25" s="29">
        <v>1.1000000000000001</v>
      </c>
    </row>
    <row r="26" spans="2:4" x14ac:dyDescent="0.15">
      <c r="B26" s="45" t="s">
        <v>41</v>
      </c>
      <c r="C26" s="29">
        <v>1.2</v>
      </c>
    </row>
    <row r="27" spans="2:4" x14ac:dyDescent="0.15">
      <c r="B27" s="45"/>
      <c r="C27" s="29"/>
    </row>
    <row r="28" spans="2:4" x14ac:dyDescent="0.15">
      <c r="B28" s="45" t="s">
        <v>42</v>
      </c>
      <c r="C28" s="29">
        <v>2.1</v>
      </c>
    </row>
    <row r="29" spans="2:4" x14ac:dyDescent="0.15">
      <c r="B29" s="45" t="s">
        <v>43</v>
      </c>
      <c r="C29" s="29">
        <v>2.2000000000000002</v>
      </c>
    </row>
    <row r="30" spans="2:4" x14ac:dyDescent="0.15">
      <c r="B30" s="45" t="s">
        <v>67</v>
      </c>
      <c r="C30" s="29">
        <v>2.2999999999999998</v>
      </c>
    </row>
    <row r="31" spans="2:4" x14ac:dyDescent="0.15">
      <c r="B31" s="45"/>
      <c r="C31" s="29"/>
    </row>
    <row r="32" spans="2:4" x14ac:dyDescent="0.15">
      <c r="B32" s="45" t="s">
        <v>62</v>
      </c>
      <c r="C32" s="29">
        <v>3.11</v>
      </c>
    </row>
    <row r="33" spans="2:3" x14ac:dyDescent="0.15">
      <c r="B33" s="45" t="s">
        <v>61</v>
      </c>
      <c r="C33" s="29">
        <v>3.12</v>
      </c>
    </row>
    <row r="34" spans="2:3" x14ac:dyDescent="0.15">
      <c r="B34" s="45" t="s">
        <v>68</v>
      </c>
      <c r="C34" s="29">
        <v>3.13</v>
      </c>
    </row>
    <row r="35" spans="2:3" x14ac:dyDescent="0.15">
      <c r="B35" s="45"/>
      <c r="C35" s="29"/>
    </row>
    <row r="36" spans="2:3" x14ac:dyDescent="0.15">
      <c r="B36" s="45" t="s">
        <v>66</v>
      </c>
      <c r="C36" s="29">
        <v>3.21</v>
      </c>
    </row>
    <row r="37" spans="2:3" x14ac:dyDescent="0.15">
      <c r="B37" s="45" t="s">
        <v>63</v>
      </c>
      <c r="C37" s="29">
        <v>3.22</v>
      </c>
    </row>
    <row r="38" spans="2:3" x14ac:dyDescent="0.15">
      <c r="B38" s="45" t="s">
        <v>69</v>
      </c>
      <c r="C38" s="29">
        <v>3.23</v>
      </c>
    </row>
    <row r="39" spans="2:3" x14ac:dyDescent="0.15">
      <c r="B39" s="45"/>
      <c r="C39" s="29"/>
    </row>
    <row r="40" spans="2:3" x14ac:dyDescent="0.15">
      <c r="B40" s="45" t="s">
        <v>64</v>
      </c>
      <c r="C40" s="29">
        <v>8</v>
      </c>
    </row>
    <row r="41" spans="2:3" x14ac:dyDescent="0.15">
      <c r="B41" s="45"/>
      <c r="C41" s="29"/>
    </row>
    <row r="42" spans="2:3" x14ac:dyDescent="0.15">
      <c r="B42" s="45" t="s">
        <v>71</v>
      </c>
      <c r="C42" s="29">
        <v>4.0999999999999996</v>
      </c>
    </row>
    <row r="43" spans="2:3" x14ac:dyDescent="0.15">
      <c r="B43" s="45" t="s">
        <v>70</v>
      </c>
      <c r="C43" s="29">
        <v>4.2</v>
      </c>
    </row>
    <row r="44" spans="2:3" x14ac:dyDescent="0.15">
      <c r="B44" s="45" t="s">
        <v>72</v>
      </c>
      <c r="C44" s="29">
        <v>4.3</v>
      </c>
    </row>
    <row r="45" spans="2:3" x14ac:dyDescent="0.15">
      <c r="B45" s="28"/>
      <c r="C45" s="29"/>
    </row>
    <row r="46" spans="2:3" x14ac:dyDescent="0.15">
      <c r="B46" s="45" t="s">
        <v>138</v>
      </c>
      <c r="C46" s="29">
        <v>6.1</v>
      </c>
    </row>
    <row r="47" spans="2:3" x14ac:dyDescent="0.15">
      <c r="B47" s="45" t="s">
        <v>45</v>
      </c>
      <c r="C47" s="29">
        <v>6.2</v>
      </c>
    </row>
    <row r="48" spans="2:3" x14ac:dyDescent="0.15">
      <c r="B48" s="45"/>
      <c r="C48" s="29"/>
    </row>
    <row r="49" spans="2:4" x14ac:dyDescent="0.15">
      <c r="B49" s="45" t="s">
        <v>44</v>
      </c>
      <c r="C49" s="29">
        <v>5</v>
      </c>
    </row>
    <row r="50" spans="2:4" x14ac:dyDescent="0.15">
      <c r="B50" s="45"/>
      <c r="C50" s="29"/>
    </row>
    <row r="51" spans="2:4" ht="14" thickBot="1" x14ac:dyDescent="0.2">
      <c r="B51" s="46" t="s">
        <v>73</v>
      </c>
      <c r="C51" s="30">
        <v>7</v>
      </c>
    </row>
    <row r="53" spans="2:4" x14ac:dyDescent="0.15">
      <c r="B53" s="136" t="s">
        <v>171</v>
      </c>
      <c r="C53" s="102">
        <v>168</v>
      </c>
      <c r="D53" s="102"/>
    </row>
    <row r="54" spans="2:4" x14ac:dyDescent="0.15">
      <c r="B54" s="136" t="s">
        <v>172</v>
      </c>
      <c r="C54" s="136" t="s">
        <v>185</v>
      </c>
      <c r="D54" s="102"/>
    </row>
    <row r="55" spans="2:4" x14ac:dyDescent="0.15">
      <c r="B55" s="136" t="s">
        <v>173</v>
      </c>
      <c r="C55" s="136" t="s">
        <v>186</v>
      </c>
      <c r="D55" s="102"/>
    </row>
    <row r="56" spans="2:4" x14ac:dyDescent="0.15">
      <c r="B56" s="136" t="s">
        <v>174</v>
      </c>
      <c r="C56" s="102">
        <v>240000</v>
      </c>
      <c r="D56" s="102"/>
    </row>
    <row r="57" spans="2:4" x14ac:dyDescent="0.15">
      <c r="B57" s="136" t="s">
        <v>175</v>
      </c>
      <c r="C57" s="136" t="s">
        <v>187</v>
      </c>
      <c r="D57" s="102"/>
    </row>
    <row r="58" spans="2:4" x14ac:dyDescent="0.15">
      <c r="B58" s="136" t="s">
        <v>176</v>
      </c>
      <c r="C58" s="136" t="s">
        <v>188</v>
      </c>
      <c r="D58" s="102"/>
    </row>
    <row r="59" spans="2:4" x14ac:dyDescent="0.15">
      <c r="B59" s="136" t="s">
        <v>177</v>
      </c>
      <c r="C59" s="136" t="s">
        <v>189</v>
      </c>
      <c r="D59" s="102"/>
    </row>
    <row r="60" spans="2:4" x14ac:dyDescent="0.15">
      <c r="B60" s="136" t="s">
        <v>178</v>
      </c>
      <c r="C60" s="136" t="s">
        <v>190</v>
      </c>
      <c r="D60" s="102"/>
    </row>
    <row r="61" spans="2:4" x14ac:dyDescent="0.15">
      <c r="B61" s="136" t="s">
        <v>179</v>
      </c>
      <c r="C61" s="102">
        <v>22</v>
      </c>
      <c r="D61" s="102"/>
    </row>
    <row r="62" spans="2:4" x14ac:dyDescent="0.15">
      <c r="B62" s="136" t="s">
        <v>180</v>
      </c>
      <c r="C62" s="102">
        <v>4</v>
      </c>
      <c r="D62" s="102"/>
    </row>
    <row r="63" spans="2:4" x14ac:dyDescent="0.15">
      <c r="B63" s="136" t="s">
        <v>181</v>
      </c>
      <c r="C63" s="102">
        <v>1997</v>
      </c>
      <c r="D63" s="102"/>
    </row>
    <row r="64" spans="2:4" x14ac:dyDescent="0.15">
      <c r="B64" s="136" t="s">
        <v>182</v>
      </c>
      <c r="C64" s="102">
        <v>1</v>
      </c>
      <c r="D64" s="102"/>
    </row>
    <row r="65" spans="2:4" x14ac:dyDescent="0.15">
      <c r="B65" s="136" t="s">
        <v>183</v>
      </c>
      <c r="C65" s="136" t="s">
        <v>191</v>
      </c>
      <c r="D65" s="102"/>
    </row>
    <row r="66" spans="2:4" x14ac:dyDescent="0.15">
      <c r="B66" s="136" t="s">
        <v>184</v>
      </c>
      <c r="D66" s="102"/>
    </row>
    <row r="67" spans="2:4" x14ac:dyDescent="0.15">
      <c r="B67" s="102"/>
      <c r="C67" s="102"/>
      <c r="D67" s="102"/>
    </row>
    <row r="68" spans="2:4" x14ac:dyDescent="0.15">
      <c r="B68" s="102"/>
      <c r="C68" s="102"/>
      <c r="D68" s="10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E22" sqref="E22"/>
    </sheetView>
  </sheetViews>
  <sheetFormatPr baseColWidth="10" defaultColWidth="8.83203125" defaultRowHeight="15" customHeight="1" x14ac:dyDescent="0.15"/>
  <cols>
    <col min="1" max="1" width="22.5" style="76" customWidth="1"/>
    <col min="2" max="3" width="3.33203125" style="76" customWidth="1"/>
    <col min="4" max="4" width="14.33203125" style="76" customWidth="1"/>
    <col min="5" max="5" width="21.83203125" style="76" bestFit="1" customWidth="1"/>
    <col min="6" max="6" width="2.33203125" style="76" bestFit="1" customWidth="1"/>
    <col min="7" max="7" width="12.83203125" style="76" bestFit="1" customWidth="1"/>
    <col min="8" max="8" width="10.83203125" style="76" customWidth="1"/>
    <col min="9" max="9" width="4.83203125" style="76" customWidth="1"/>
    <col min="10" max="10" width="11.83203125" style="76" customWidth="1"/>
    <col min="11" max="11" width="12.83203125" style="76" customWidth="1"/>
    <col min="12" max="12" width="13.5" style="76" customWidth="1"/>
    <col min="13" max="13" width="3.83203125" style="76" customWidth="1"/>
    <col min="14" max="14" width="2.33203125" style="76" customWidth="1"/>
    <col min="16" max="25" width="8.83203125" style="7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6"/>
  </cols>
  <sheetData>
    <row r="1" spans="1:46" s="93" customFormat="1" ht="15" customHeight="1" x14ac:dyDescent="0.15">
      <c r="A1" s="72" t="s">
        <v>18</v>
      </c>
      <c r="C1" s="73" t="s">
        <v>8</v>
      </c>
      <c r="D1" s="72" t="s">
        <v>23</v>
      </c>
      <c r="E1" s="72" t="s">
        <v>0</v>
      </c>
      <c r="F1" s="72" t="s">
        <v>7</v>
      </c>
      <c r="G1" s="74" t="s">
        <v>13</v>
      </c>
      <c r="H1" s="72" t="s">
        <v>1</v>
      </c>
      <c r="I1" s="72" t="s">
        <v>2</v>
      </c>
      <c r="J1" s="72" t="s">
        <v>14</v>
      </c>
      <c r="K1" s="72" t="s">
        <v>3</v>
      </c>
      <c r="L1" s="72" t="s">
        <v>4</v>
      </c>
      <c r="M1" s="72" t="s">
        <v>5</v>
      </c>
      <c r="N1" s="7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3">
        <v>1</v>
      </c>
      <c r="D2"/>
      <c r="E2" s="137" t="s">
        <v>192</v>
      </c>
      <c r="F2" s="76">
        <v>0</v>
      </c>
      <c r="G2" s="76">
        <v>0.45800000000000002</v>
      </c>
      <c r="H2" s="76">
        <v>0.03</v>
      </c>
      <c r="I2" s="6">
        <v>4</v>
      </c>
      <c r="J2" s="6">
        <v>0.51855899999999999</v>
      </c>
      <c r="K2" s="6">
        <v>7.4999999999999997E-3</v>
      </c>
      <c r="L2" s="201">
        <v>0</v>
      </c>
      <c r="M2" s="76">
        <v>0.2</v>
      </c>
      <c r="N2" s="76">
        <v>0</v>
      </c>
      <c r="P2" s="200" t="s">
        <v>227</v>
      </c>
    </row>
    <row r="3" spans="1:46" ht="15" customHeight="1" x14ac:dyDescent="0.15">
      <c r="A3" s="1" t="s">
        <v>9</v>
      </c>
      <c r="B3" s="4">
        <v>21</v>
      </c>
      <c r="C3" s="76">
        <v>2</v>
      </c>
      <c r="D3"/>
      <c r="E3" s="137" t="s">
        <v>193</v>
      </c>
      <c r="F3" s="76">
        <v>0</v>
      </c>
      <c r="G3" s="76">
        <v>4.9000000000000002E-2</v>
      </c>
      <c r="H3" s="76">
        <v>0.06</v>
      </c>
      <c r="I3" s="76">
        <v>10</v>
      </c>
      <c r="J3" s="76">
        <v>0.9</v>
      </c>
      <c r="K3" s="76">
        <v>6.0000000000000001E-3</v>
      </c>
      <c r="L3" s="200">
        <v>0</v>
      </c>
      <c r="M3" s="76">
        <v>0.2</v>
      </c>
      <c r="N3" s="76">
        <v>0</v>
      </c>
      <c r="P3" s="200">
        <v>-7.8622510000000007E-3</v>
      </c>
    </row>
    <row r="4" spans="1:46" ht="15" customHeight="1" x14ac:dyDescent="0.15">
      <c r="A4" s="1" t="s">
        <v>10</v>
      </c>
      <c r="B4" s="4">
        <v>2</v>
      </c>
      <c r="C4" s="76">
        <v>3</v>
      </c>
      <c r="D4"/>
      <c r="E4" s="137" t="s">
        <v>194</v>
      </c>
      <c r="F4" s="76">
        <v>0</v>
      </c>
      <c r="G4" s="76">
        <v>0.50900000000000001</v>
      </c>
      <c r="H4" s="76">
        <v>7.0000000000000007E-2</v>
      </c>
      <c r="I4" s="76">
        <v>15</v>
      </c>
      <c r="J4" s="76">
        <v>0.9</v>
      </c>
      <c r="K4" s="76">
        <v>4.6666664999999996E-3</v>
      </c>
      <c r="L4" s="200">
        <v>0</v>
      </c>
      <c r="M4" s="76">
        <v>0.2</v>
      </c>
      <c r="N4" s="76">
        <v>0</v>
      </c>
      <c r="P4" s="200">
        <v>-3.0297316599999999E-2</v>
      </c>
      <c r="V4" s="1" t="s">
        <v>29</v>
      </c>
    </row>
    <row r="5" spans="1:46" ht="15" customHeight="1" thickBot="1" x14ac:dyDescent="0.2">
      <c r="A5" s="1" t="s">
        <v>11</v>
      </c>
      <c r="B5" s="4">
        <v>4</v>
      </c>
      <c r="C5" s="76">
        <v>4</v>
      </c>
      <c r="D5"/>
      <c r="E5" s="137" t="s">
        <v>195</v>
      </c>
      <c r="F5" s="76">
        <v>0</v>
      </c>
      <c r="G5" s="76">
        <v>8.0000000000000002E-3</v>
      </c>
      <c r="H5" s="76">
        <v>1</v>
      </c>
      <c r="I5" s="76">
        <v>99</v>
      </c>
      <c r="J5" s="76">
        <v>0.211231366</v>
      </c>
      <c r="K5" s="76">
        <v>1.0101010000000001E-2</v>
      </c>
      <c r="L5" s="200">
        <v>0</v>
      </c>
      <c r="M5" s="76">
        <v>0.2</v>
      </c>
      <c r="N5" s="76">
        <v>0</v>
      </c>
      <c r="P5" s="200">
        <v>0</v>
      </c>
      <c r="Q5" s="68"/>
      <c r="R5" s="68"/>
    </row>
    <row r="6" spans="1:46" ht="15" customHeight="1" thickBot="1" x14ac:dyDescent="0.2">
      <c r="B6" s="1"/>
      <c r="C6" s="76">
        <v>5</v>
      </c>
      <c r="D6"/>
      <c r="E6" s="137" t="s">
        <v>196</v>
      </c>
      <c r="F6" s="76">
        <v>0</v>
      </c>
      <c r="G6" s="76">
        <v>4.7E-2</v>
      </c>
      <c r="H6" s="76">
        <v>0.3</v>
      </c>
      <c r="I6" s="76">
        <v>2.5</v>
      </c>
      <c r="J6" s="76">
        <v>0.263297856</v>
      </c>
      <c r="K6" s="76">
        <v>0.12000000500000001</v>
      </c>
      <c r="L6" s="200">
        <v>0</v>
      </c>
      <c r="M6" s="76">
        <v>0.2</v>
      </c>
      <c r="N6" s="76">
        <v>0</v>
      </c>
      <c r="P6" s="200">
        <v>0</v>
      </c>
      <c r="Q6" s="68"/>
      <c r="R6" s="68"/>
      <c r="W6" s="32" t="s">
        <v>31</v>
      </c>
      <c r="X6" s="48">
        <f>MAX(MainOutputs!G:G)</f>
        <v>1.3328187465667725</v>
      </c>
    </row>
    <row r="7" spans="1:46" ht="15" customHeight="1" x14ac:dyDescent="0.15">
      <c r="A7" s="2" t="s">
        <v>27</v>
      </c>
      <c r="B7" s="76">
        <f ca="1">COUNTIF(OFFSET(cornerDiets,1,1,NumLiving+NumDead+1,NumLiving+NumDead),"&gt;0")+NumLiving+NumDead+1</f>
        <v>156</v>
      </c>
      <c r="C7" s="76">
        <v>6</v>
      </c>
      <c r="D7"/>
      <c r="E7" s="137" t="s">
        <v>197</v>
      </c>
      <c r="F7" s="76">
        <v>0</v>
      </c>
      <c r="G7" s="76">
        <v>0.01</v>
      </c>
      <c r="H7" s="76">
        <v>0.6</v>
      </c>
      <c r="I7" s="76">
        <v>3.5</v>
      </c>
      <c r="J7" s="76">
        <v>0.63350039999999996</v>
      </c>
      <c r="K7" s="76">
        <v>0.171428576</v>
      </c>
      <c r="L7" s="200">
        <v>0</v>
      </c>
      <c r="M7" s="76">
        <v>0.2</v>
      </c>
      <c r="N7" s="76">
        <v>0</v>
      </c>
      <c r="P7" s="200">
        <v>0.2251195</v>
      </c>
      <c r="Q7" s="68"/>
      <c r="R7" s="68"/>
    </row>
    <row r="8" spans="1:46" ht="15" customHeight="1" x14ac:dyDescent="0.15">
      <c r="A8" s="2" t="s">
        <v>28</v>
      </c>
      <c r="B8" s="76">
        <f ca="1">COUNTIF(OFFSET(cornerFishing,1,2,NumLiving+NumDead,NumGears),"&gt;0")+NumDead*COUNTIF(OFFSET(cornerDiscards,1,2,NumLiving+NumDead,NumGears),"&gt;0")+NumLiving+NumDead+1</f>
        <v>58</v>
      </c>
      <c r="C8" s="76">
        <v>7</v>
      </c>
      <c r="D8"/>
      <c r="E8" s="137" t="s">
        <v>198</v>
      </c>
      <c r="F8" s="76">
        <v>0</v>
      </c>
      <c r="G8" s="76">
        <v>0.46673799999999999</v>
      </c>
      <c r="H8" s="76">
        <v>0.7</v>
      </c>
      <c r="I8" s="76">
        <v>1.8</v>
      </c>
      <c r="J8" s="76">
        <v>0.84302169999999998</v>
      </c>
      <c r="K8" s="76">
        <v>0.38888889999999998</v>
      </c>
      <c r="L8" s="200">
        <v>0</v>
      </c>
      <c r="M8" s="76">
        <v>0.2</v>
      </c>
      <c r="N8" s="76">
        <v>0</v>
      </c>
      <c r="P8" s="200">
        <v>0.42850595699999999</v>
      </c>
      <c r="Q8" s="68"/>
      <c r="R8" s="68"/>
    </row>
    <row r="9" spans="1:46" ht="15" customHeight="1" x14ac:dyDescent="0.15">
      <c r="B9" s="1"/>
      <c r="C9" s="76">
        <v>8</v>
      </c>
      <c r="D9"/>
      <c r="E9" s="137" t="s">
        <v>199</v>
      </c>
      <c r="F9" s="76">
        <v>0</v>
      </c>
      <c r="G9" s="76">
        <v>0.84093379999999995</v>
      </c>
      <c r="H9" s="76">
        <v>0.9</v>
      </c>
      <c r="I9" s="76">
        <v>3.4</v>
      </c>
      <c r="J9" s="76">
        <v>0.95</v>
      </c>
      <c r="K9" s="76">
        <v>0.26470586699999998</v>
      </c>
      <c r="L9" s="200">
        <v>0</v>
      </c>
      <c r="M9" s="76">
        <v>0.2</v>
      </c>
      <c r="N9" s="76">
        <v>0</v>
      </c>
      <c r="P9" s="200">
        <v>0.136753455</v>
      </c>
      <c r="Q9" s="68"/>
      <c r="R9" s="68"/>
    </row>
    <row r="10" spans="1:46" ht="15" customHeight="1" x14ac:dyDescent="0.15">
      <c r="B10" s="1"/>
      <c r="C10" s="76">
        <v>9</v>
      </c>
      <c r="D10"/>
      <c r="E10" s="137" t="s">
        <v>200</v>
      </c>
      <c r="F10" s="76">
        <v>0</v>
      </c>
      <c r="G10" s="76">
        <v>3.63999978E-2</v>
      </c>
      <c r="H10" s="76">
        <v>1.095008</v>
      </c>
      <c r="I10" s="76">
        <v>2.5</v>
      </c>
      <c r="J10" s="76">
        <v>0.95</v>
      </c>
      <c r="K10" s="76">
        <v>0.43800319999999998</v>
      </c>
      <c r="L10" s="200">
        <v>0</v>
      </c>
      <c r="M10" s="76">
        <v>0.2</v>
      </c>
      <c r="N10" s="76">
        <v>0</v>
      </c>
      <c r="P10" s="200">
        <v>0</v>
      </c>
    </row>
    <row r="11" spans="1:46" ht="15" customHeight="1" x14ac:dyDescent="0.15">
      <c r="C11" s="76">
        <v>10</v>
      </c>
      <c r="D11"/>
      <c r="E11" s="137" t="s">
        <v>201</v>
      </c>
      <c r="F11" s="76">
        <v>0</v>
      </c>
      <c r="G11" s="76">
        <v>0.17211999</v>
      </c>
      <c r="H11" s="76">
        <v>1.95050609</v>
      </c>
      <c r="I11" s="76">
        <v>5</v>
      </c>
      <c r="J11" s="76">
        <v>0.95</v>
      </c>
      <c r="K11" s="76">
        <v>0.39010122400000002</v>
      </c>
      <c r="L11" s="200">
        <v>0</v>
      </c>
      <c r="M11" s="76">
        <v>0.2</v>
      </c>
      <c r="N11" s="76">
        <v>0</v>
      </c>
      <c r="P11" s="200">
        <v>0.106231779</v>
      </c>
    </row>
    <row r="12" spans="1:46" ht="15" customHeight="1" x14ac:dyDescent="0.15">
      <c r="C12" s="76">
        <v>11</v>
      </c>
      <c r="D12"/>
      <c r="E12" s="137" t="s">
        <v>202</v>
      </c>
      <c r="F12" s="76">
        <v>0</v>
      </c>
      <c r="G12" s="76">
        <v>2.5128586300000002</v>
      </c>
      <c r="H12" s="76">
        <v>1</v>
      </c>
      <c r="I12" s="76">
        <v>5</v>
      </c>
      <c r="J12" s="76">
        <v>0.95</v>
      </c>
      <c r="K12" s="76">
        <v>0.2</v>
      </c>
      <c r="L12" s="200">
        <v>0</v>
      </c>
      <c r="M12" s="76">
        <v>0.2</v>
      </c>
      <c r="N12" s="76">
        <v>0</v>
      </c>
      <c r="P12" s="200">
        <v>4.7296730000000002E-2</v>
      </c>
    </row>
    <row r="13" spans="1:46" ht="15" customHeight="1" x14ac:dyDescent="0.15">
      <c r="C13" s="76">
        <v>12</v>
      </c>
      <c r="D13"/>
      <c r="E13" s="137" t="s">
        <v>203</v>
      </c>
      <c r="F13" s="76">
        <v>0</v>
      </c>
      <c r="G13" s="76">
        <v>3.4000000000000002E-2</v>
      </c>
      <c r="H13" s="76">
        <v>0.4</v>
      </c>
      <c r="I13" s="76">
        <v>1.3</v>
      </c>
      <c r="J13" s="76">
        <v>0.19018278999999999</v>
      </c>
      <c r="K13" s="76">
        <v>0.30769231899999999</v>
      </c>
      <c r="L13" s="200">
        <v>0</v>
      </c>
      <c r="M13" s="76">
        <v>0.2</v>
      </c>
      <c r="N13" s="76">
        <v>0</v>
      </c>
      <c r="P13" s="200">
        <v>0</v>
      </c>
    </row>
    <row r="14" spans="1:46" ht="15" customHeight="1" x14ac:dyDescent="0.15">
      <c r="C14" s="76">
        <v>13</v>
      </c>
      <c r="D14"/>
      <c r="E14" s="232" t="s">
        <v>204</v>
      </c>
      <c r="F14" s="76">
        <v>0</v>
      </c>
      <c r="G14" s="202"/>
      <c r="H14" s="76">
        <v>0.6</v>
      </c>
      <c r="I14" s="76">
        <v>2</v>
      </c>
      <c r="J14" s="76">
        <v>0.95</v>
      </c>
      <c r="K14" s="76">
        <v>0.3</v>
      </c>
      <c r="L14" s="200">
        <v>0</v>
      </c>
      <c r="M14" s="76">
        <v>0.2</v>
      </c>
      <c r="N14" s="76">
        <v>0</v>
      </c>
      <c r="P14" s="200">
        <v>-0.2189421</v>
      </c>
      <c r="Q14" s="200" t="s">
        <v>228</v>
      </c>
    </row>
    <row r="15" spans="1:46" ht="15" customHeight="1" x14ac:dyDescent="0.15">
      <c r="C15" s="76">
        <v>14</v>
      </c>
      <c r="D15"/>
      <c r="E15" s="137" t="s">
        <v>205</v>
      </c>
      <c r="F15" s="76">
        <v>0</v>
      </c>
      <c r="G15" s="76">
        <v>3.6360000000000001</v>
      </c>
      <c r="H15" s="76">
        <v>1.1000000000000001</v>
      </c>
      <c r="I15" s="76">
        <v>2.5</v>
      </c>
      <c r="J15" s="76">
        <v>0.94197696399999997</v>
      </c>
      <c r="K15" s="76">
        <v>0.44</v>
      </c>
      <c r="L15" s="200">
        <v>0</v>
      </c>
      <c r="M15" s="76">
        <v>0.2</v>
      </c>
      <c r="N15" s="76">
        <v>0</v>
      </c>
      <c r="P15" s="200">
        <v>0</v>
      </c>
    </row>
    <row r="16" spans="1:46" ht="15" customHeight="1" x14ac:dyDescent="0.15">
      <c r="C16" s="76">
        <v>15</v>
      </c>
      <c r="D16"/>
      <c r="E16" s="137" t="s">
        <v>206</v>
      </c>
      <c r="F16" s="76">
        <v>0</v>
      </c>
      <c r="G16" s="76">
        <v>1.77102673</v>
      </c>
      <c r="H16" s="76">
        <v>0.6</v>
      </c>
      <c r="I16" s="76">
        <v>2</v>
      </c>
      <c r="J16" s="76">
        <v>0.95</v>
      </c>
      <c r="K16" s="76">
        <v>0.3</v>
      </c>
      <c r="L16" s="200">
        <v>0</v>
      </c>
      <c r="M16" s="76">
        <v>0.2</v>
      </c>
      <c r="N16" s="76">
        <v>0</v>
      </c>
      <c r="P16" s="200">
        <v>0</v>
      </c>
    </row>
    <row r="17" spans="1:22" ht="15" customHeight="1" x14ac:dyDescent="0.15">
      <c r="C17" s="76">
        <v>16</v>
      </c>
      <c r="D17"/>
      <c r="E17" s="137" t="s">
        <v>207</v>
      </c>
      <c r="F17" s="76">
        <v>0</v>
      </c>
      <c r="G17" s="76">
        <v>1.7196399</v>
      </c>
      <c r="H17" s="76">
        <v>0.9</v>
      </c>
      <c r="I17" s="76">
        <v>6</v>
      </c>
      <c r="J17" s="76">
        <v>0.91355969999999997</v>
      </c>
      <c r="K17" s="76">
        <v>0.149999991</v>
      </c>
      <c r="L17" s="200">
        <v>0</v>
      </c>
      <c r="M17" s="76">
        <v>0.2</v>
      </c>
      <c r="N17" s="76">
        <v>0</v>
      </c>
      <c r="P17" s="200">
        <v>0</v>
      </c>
      <c r="V17" s="1" t="s">
        <v>30</v>
      </c>
    </row>
    <row r="18" spans="1:22" ht="15" customHeight="1" x14ac:dyDescent="0.15">
      <c r="C18" s="76">
        <v>17</v>
      </c>
      <c r="D18"/>
      <c r="E18" s="137" t="s">
        <v>208</v>
      </c>
      <c r="F18" s="76">
        <v>0</v>
      </c>
      <c r="G18" s="76">
        <v>85</v>
      </c>
      <c r="H18" s="76">
        <v>1.5</v>
      </c>
      <c r="I18" s="76">
        <v>9.75</v>
      </c>
      <c r="J18" s="76">
        <v>0.49830055200000001</v>
      </c>
      <c r="K18" s="76">
        <v>0.15384616000000001</v>
      </c>
      <c r="L18" s="200">
        <v>0</v>
      </c>
      <c r="M18" s="76">
        <v>0.2</v>
      </c>
      <c r="N18" s="76">
        <v>0</v>
      </c>
      <c r="P18" s="200">
        <v>0</v>
      </c>
      <c r="V18" s="1"/>
    </row>
    <row r="19" spans="1:22" ht="15" customHeight="1" x14ac:dyDescent="0.15">
      <c r="C19" s="76">
        <v>18</v>
      </c>
      <c r="D19"/>
      <c r="E19" s="137" t="s">
        <v>209</v>
      </c>
      <c r="F19" s="76">
        <v>0</v>
      </c>
      <c r="G19" s="76">
        <v>0.3760252</v>
      </c>
      <c r="H19" s="76">
        <v>2.44</v>
      </c>
      <c r="I19" s="76">
        <v>6</v>
      </c>
      <c r="J19" s="76">
        <v>0.95</v>
      </c>
      <c r="K19" s="76">
        <v>0.40666666600000001</v>
      </c>
      <c r="L19" s="200">
        <v>0</v>
      </c>
      <c r="M19" s="76">
        <v>0.2</v>
      </c>
      <c r="N19" s="76">
        <v>0</v>
      </c>
      <c r="P19" s="200">
        <v>0</v>
      </c>
    </row>
    <row r="20" spans="1:22" ht="15" customHeight="1" thickBot="1" x14ac:dyDescent="0.2">
      <c r="C20" s="76">
        <v>19</v>
      </c>
      <c r="D20"/>
      <c r="E20" s="137" t="s">
        <v>210</v>
      </c>
      <c r="F20" s="76">
        <v>0</v>
      </c>
      <c r="G20" s="76">
        <v>25</v>
      </c>
      <c r="H20" s="76">
        <v>4</v>
      </c>
      <c r="I20" s="76">
        <v>15</v>
      </c>
      <c r="J20" s="76">
        <v>0.71335965400000001</v>
      </c>
      <c r="K20" s="76">
        <v>0.26666668100000002</v>
      </c>
      <c r="L20" s="200">
        <v>0</v>
      </c>
      <c r="M20" s="76">
        <v>0.2</v>
      </c>
      <c r="N20" s="76">
        <v>0</v>
      </c>
      <c r="P20" s="200">
        <v>0</v>
      </c>
    </row>
    <row r="21" spans="1:22" ht="15" customHeight="1" thickBot="1" x14ac:dyDescent="0.2">
      <c r="A21" s="43" t="s">
        <v>137</v>
      </c>
      <c r="B21" s="94"/>
      <c r="C21" s="76">
        <v>20</v>
      </c>
      <c r="D21"/>
      <c r="E21" s="137" t="s">
        <v>211</v>
      </c>
      <c r="F21" s="76">
        <v>0</v>
      </c>
      <c r="G21" s="76">
        <v>15</v>
      </c>
      <c r="H21" s="76">
        <v>20</v>
      </c>
      <c r="I21" s="76">
        <v>50</v>
      </c>
      <c r="J21" s="76">
        <v>0.904129446</v>
      </c>
      <c r="K21" s="76">
        <v>0.4</v>
      </c>
      <c r="L21" s="200">
        <v>0</v>
      </c>
      <c r="M21" s="76">
        <v>0.4</v>
      </c>
      <c r="N21" s="76">
        <v>0</v>
      </c>
      <c r="P21" s="200">
        <v>0</v>
      </c>
    </row>
    <row r="22" spans="1:22" ht="15" customHeight="1" x14ac:dyDescent="0.15">
      <c r="A22" s="95" t="s">
        <v>58</v>
      </c>
      <c r="B22" s="96">
        <v>0</v>
      </c>
      <c r="C22" s="76">
        <v>21</v>
      </c>
      <c r="D22"/>
      <c r="E22" s="137" t="s">
        <v>212</v>
      </c>
      <c r="F22" s="76">
        <v>1</v>
      </c>
      <c r="G22" s="76">
        <v>20</v>
      </c>
      <c r="H22" s="76">
        <v>50</v>
      </c>
      <c r="I22" s="76">
        <v>0</v>
      </c>
      <c r="J22" s="76">
        <v>0.78959089999999998</v>
      </c>
      <c r="K22" s="76">
        <v>0</v>
      </c>
      <c r="L22" s="200">
        <v>0</v>
      </c>
      <c r="M22" s="76">
        <v>0</v>
      </c>
      <c r="N22" s="76">
        <v>0</v>
      </c>
      <c r="P22" s="200">
        <v>0</v>
      </c>
    </row>
    <row r="23" spans="1:22" ht="15" customHeight="1" x14ac:dyDescent="0.15">
      <c r="A23" s="95" t="s">
        <v>59</v>
      </c>
      <c r="B23" s="96">
        <v>1</v>
      </c>
      <c r="C23" s="76">
        <v>22</v>
      </c>
      <c r="D23"/>
      <c r="E23" s="137" t="s">
        <v>213</v>
      </c>
      <c r="F23" s="76">
        <v>2</v>
      </c>
      <c r="G23" s="76">
        <v>0</v>
      </c>
      <c r="H23" s="76">
        <v>0</v>
      </c>
      <c r="I23" s="76">
        <v>0</v>
      </c>
      <c r="J23" s="76">
        <v>0.90348994699999996</v>
      </c>
      <c r="K23" s="76">
        <v>0</v>
      </c>
      <c r="L23" s="200">
        <v>0</v>
      </c>
      <c r="M23" s="76">
        <v>0</v>
      </c>
      <c r="N23" s="76">
        <v>0</v>
      </c>
      <c r="P23" s="200">
        <v>-8.5332629999999993E-3</v>
      </c>
    </row>
    <row r="24" spans="1:22" ht="15" customHeight="1" x14ac:dyDescent="0.15">
      <c r="A24" s="95" t="s">
        <v>60</v>
      </c>
      <c r="B24" s="96">
        <v>2</v>
      </c>
      <c r="C24" s="76">
        <v>23</v>
      </c>
      <c r="D24"/>
      <c r="E24" s="137" t="s">
        <v>214</v>
      </c>
      <c r="F24" s="76">
        <v>2</v>
      </c>
      <c r="G24" s="76">
        <v>5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  <c r="N24" s="76">
        <v>0</v>
      </c>
    </row>
    <row r="25" spans="1:22" ht="15" customHeight="1" thickBot="1" x14ac:dyDescent="0.2">
      <c r="A25" s="97" t="s">
        <v>44</v>
      </c>
      <c r="B25" s="98">
        <v>3</v>
      </c>
      <c r="C25" s="76">
        <v>24</v>
      </c>
      <c r="D25"/>
      <c r="E25" s="137" t="s">
        <v>215</v>
      </c>
      <c r="F25" s="76">
        <v>3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</row>
    <row r="26" spans="1:22" ht="15" customHeight="1" x14ac:dyDescent="0.15">
      <c r="A26" s="99" t="s">
        <v>140</v>
      </c>
      <c r="C26" s="76">
        <v>25</v>
      </c>
      <c r="D26"/>
      <c r="E26" s="137" t="s">
        <v>216</v>
      </c>
      <c r="F26" s="76">
        <v>3</v>
      </c>
      <c r="G26" s="76">
        <v>0</v>
      </c>
      <c r="H26" s="76">
        <v>0</v>
      </c>
      <c r="I26" s="76">
        <v>0</v>
      </c>
      <c r="J26" s="76">
        <v>0</v>
      </c>
      <c r="K26" s="76">
        <v>0</v>
      </c>
      <c r="L26" s="76">
        <v>0</v>
      </c>
      <c r="M26" s="76">
        <v>0</v>
      </c>
      <c r="N26" s="76">
        <v>0</v>
      </c>
    </row>
    <row r="27" spans="1:22" ht="15" customHeight="1" x14ac:dyDescent="0.15">
      <c r="C27" s="76">
        <v>26</v>
      </c>
      <c r="D27"/>
      <c r="E27" s="137" t="s">
        <v>217</v>
      </c>
      <c r="F27" s="76">
        <v>3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</row>
    <row r="28" spans="1:22" ht="15" customHeight="1" x14ac:dyDescent="0.15">
      <c r="C28" s="76">
        <v>27</v>
      </c>
      <c r="D28"/>
      <c r="E28" s="137" t="s">
        <v>218</v>
      </c>
      <c r="F28" s="76">
        <v>3</v>
      </c>
      <c r="G28" s="76">
        <v>0</v>
      </c>
      <c r="H28" s="76">
        <v>0</v>
      </c>
      <c r="I28" s="76">
        <v>0</v>
      </c>
      <c r="J28" s="76">
        <v>0</v>
      </c>
      <c r="K28" s="76">
        <v>0</v>
      </c>
      <c r="L28" s="76">
        <v>0</v>
      </c>
      <c r="M28" s="76">
        <v>0</v>
      </c>
      <c r="N28" s="76">
        <v>0</v>
      </c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83203125" style="133" bestFit="1" customWidth="1"/>
    <col min="2" max="2" width="13.83203125" style="133" bestFit="1" customWidth="1"/>
    <col min="3" max="3" width="5.83203125" style="133" bestFit="1" customWidth="1"/>
    <col min="4" max="4" width="14.83203125" style="133" bestFit="1" customWidth="1"/>
    <col min="5" max="6" width="13.83203125" style="133" bestFit="1" customWidth="1"/>
    <col min="7" max="7" width="12.83203125" style="133" bestFit="1" customWidth="1"/>
    <col min="8" max="8" width="14.83203125" style="133" bestFit="1" customWidth="1"/>
    <col min="9" max="10" width="4.83203125" style="133" bestFit="1" customWidth="1"/>
    <col min="11" max="11" width="12.83203125" style="133" bestFit="1" customWidth="1"/>
    <col min="12" max="12" width="3.83203125" style="133" bestFit="1" customWidth="1"/>
    <col min="13" max="21" width="4.83203125" style="133" bestFit="1" customWidth="1"/>
    <col min="22" max="24" width="2.33203125" style="133" bestFit="1" customWidth="1"/>
    <col min="25" max="29" width="9" style="133" bestFit="1" customWidth="1"/>
    <col min="30" max="16384" width="8.83203125" style="133"/>
  </cols>
  <sheetData>
    <row r="1" spans="1:34" x14ac:dyDescent="0.15">
      <c r="A1" s="132" t="s">
        <v>19</v>
      </c>
      <c r="B1" s="139" t="s">
        <v>192</v>
      </c>
      <c r="C1" s="139" t="s">
        <v>193</v>
      </c>
      <c r="D1" s="139" t="s">
        <v>194</v>
      </c>
      <c r="E1" s="139" t="s">
        <v>195</v>
      </c>
      <c r="F1" s="139" t="s">
        <v>196</v>
      </c>
      <c r="G1" s="139" t="s">
        <v>197</v>
      </c>
      <c r="H1" s="139" t="s">
        <v>198</v>
      </c>
      <c r="I1" s="139" t="s">
        <v>199</v>
      </c>
      <c r="J1" s="139" t="s">
        <v>200</v>
      </c>
      <c r="K1" s="139" t="s">
        <v>201</v>
      </c>
      <c r="L1" s="139" t="s">
        <v>202</v>
      </c>
      <c r="M1" s="139" t="s">
        <v>203</v>
      </c>
      <c r="N1" s="139" t="s">
        <v>204</v>
      </c>
      <c r="O1" s="139" t="s">
        <v>205</v>
      </c>
      <c r="P1" s="139" t="s">
        <v>206</v>
      </c>
      <c r="Q1" s="139" t="s">
        <v>207</v>
      </c>
      <c r="R1" s="139" t="s">
        <v>208</v>
      </c>
      <c r="S1" s="139" t="s">
        <v>209</v>
      </c>
      <c r="T1" s="139" t="s">
        <v>210</v>
      </c>
      <c r="U1" s="139" t="s">
        <v>211</v>
      </c>
      <c r="V1" s="139" t="s">
        <v>212</v>
      </c>
      <c r="W1" s="139" t="s">
        <v>213</v>
      </c>
      <c r="X1" s="139" t="s">
        <v>214</v>
      </c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38" t="s">
        <v>192</v>
      </c>
      <c r="B2" s="133">
        <v>0</v>
      </c>
      <c r="C2" s="133">
        <v>0</v>
      </c>
      <c r="D2" s="133">
        <v>0</v>
      </c>
      <c r="E2" s="133">
        <v>0</v>
      </c>
      <c r="F2" s="133">
        <v>0</v>
      </c>
      <c r="G2" s="133">
        <v>0</v>
      </c>
      <c r="H2" s="133">
        <v>0</v>
      </c>
      <c r="I2" s="133">
        <v>0</v>
      </c>
      <c r="J2" s="133">
        <v>0</v>
      </c>
      <c r="K2" s="133">
        <v>0</v>
      </c>
      <c r="L2" s="133">
        <v>0</v>
      </c>
      <c r="M2" s="133">
        <v>0</v>
      </c>
      <c r="N2" s="133">
        <v>0</v>
      </c>
      <c r="O2" s="133">
        <v>0</v>
      </c>
      <c r="P2" s="133">
        <v>0</v>
      </c>
      <c r="Q2" s="133">
        <v>0</v>
      </c>
      <c r="R2" s="133">
        <v>0</v>
      </c>
      <c r="S2" s="133">
        <v>0</v>
      </c>
      <c r="T2" s="133">
        <v>0</v>
      </c>
      <c r="U2" s="133">
        <v>0</v>
      </c>
      <c r="V2" s="133">
        <v>0</v>
      </c>
      <c r="W2" s="133">
        <v>0</v>
      </c>
      <c r="X2" s="133">
        <v>0</v>
      </c>
    </row>
    <row r="3" spans="1:34" customFormat="1" x14ac:dyDescent="0.15">
      <c r="A3" s="138" t="s">
        <v>193</v>
      </c>
      <c r="B3" s="133">
        <v>0</v>
      </c>
      <c r="C3" s="133">
        <v>0</v>
      </c>
      <c r="D3" s="133">
        <v>0</v>
      </c>
      <c r="E3" s="133">
        <v>0</v>
      </c>
      <c r="F3" s="133">
        <v>0</v>
      </c>
      <c r="G3" s="133">
        <v>0</v>
      </c>
      <c r="H3" s="133">
        <v>0</v>
      </c>
      <c r="I3" s="133">
        <v>0</v>
      </c>
      <c r="J3" s="133">
        <v>0</v>
      </c>
      <c r="K3" s="133">
        <v>0</v>
      </c>
      <c r="L3" s="133">
        <v>0</v>
      </c>
      <c r="M3" s="133">
        <v>0</v>
      </c>
      <c r="N3" s="133">
        <v>0</v>
      </c>
      <c r="O3" s="133">
        <v>0</v>
      </c>
      <c r="P3" s="133">
        <v>0</v>
      </c>
      <c r="Q3" s="133">
        <v>0</v>
      </c>
      <c r="R3" s="133">
        <v>0</v>
      </c>
      <c r="S3" s="133">
        <v>0</v>
      </c>
      <c r="T3" s="133">
        <v>0</v>
      </c>
      <c r="U3" s="133">
        <v>0</v>
      </c>
      <c r="V3" s="133">
        <v>0</v>
      </c>
      <c r="W3" s="133">
        <v>0</v>
      </c>
      <c r="X3" s="133">
        <v>0</v>
      </c>
    </row>
    <row r="4" spans="1:34" customFormat="1" x14ac:dyDescent="0.15">
      <c r="A4" s="138" t="s">
        <v>194</v>
      </c>
      <c r="B4" s="133">
        <v>0</v>
      </c>
      <c r="C4" s="133">
        <v>0.01</v>
      </c>
      <c r="D4" s="133">
        <v>0</v>
      </c>
      <c r="E4" s="133">
        <v>0</v>
      </c>
      <c r="F4" s="133">
        <v>0</v>
      </c>
      <c r="G4" s="133">
        <v>0</v>
      </c>
      <c r="H4" s="133">
        <v>0</v>
      </c>
      <c r="I4" s="133">
        <v>0</v>
      </c>
      <c r="J4" s="133">
        <v>0</v>
      </c>
      <c r="K4" s="133">
        <v>0</v>
      </c>
      <c r="L4" s="133">
        <v>0</v>
      </c>
      <c r="M4" s="133">
        <v>0</v>
      </c>
      <c r="N4" s="133">
        <v>0</v>
      </c>
      <c r="O4" s="133">
        <v>0</v>
      </c>
      <c r="P4" s="133">
        <v>0</v>
      </c>
      <c r="Q4" s="133">
        <v>0</v>
      </c>
      <c r="R4" s="133">
        <v>0</v>
      </c>
      <c r="S4" s="133">
        <v>0</v>
      </c>
      <c r="T4" s="133">
        <v>0</v>
      </c>
      <c r="U4" s="133">
        <v>0</v>
      </c>
      <c r="V4" s="133">
        <v>0</v>
      </c>
      <c r="W4" s="133">
        <v>0</v>
      </c>
      <c r="X4" s="133">
        <v>0</v>
      </c>
    </row>
    <row r="5" spans="1:34" customFormat="1" x14ac:dyDescent="0.15">
      <c r="A5" s="138" t="s">
        <v>195</v>
      </c>
      <c r="B5" s="133">
        <v>0</v>
      </c>
      <c r="C5" s="133">
        <v>0</v>
      </c>
      <c r="D5" s="133">
        <v>0</v>
      </c>
      <c r="E5" s="133">
        <v>0</v>
      </c>
      <c r="F5" s="133">
        <v>0</v>
      </c>
      <c r="G5" s="133">
        <v>0</v>
      </c>
      <c r="H5" s="133">
        <v>0</v>
      </c>
      <c r="I5" s="133">
        <v>0</v>
      </c>
      <c r="J5" s="133">
        <v>0</v>
      </c>
      <c r="K5" s="133">
        <v>0</v>
      </c>
      <c r="L5" s="133">
        <v>0</v>
      </c>
      <c r="M5" s="133">
        <v>0</v>
      </c>
      <c r="N5" s="133">
        <v>0</v>
      </c>
      <c r="O5" s="133">
        <v>0</v>
      </c>
      <c r="P5" s="133">
        <v>0</v>
      </c>
      <c r="Q5" s="133">
        <v>0</v>
      </c>
      <c r="R5" s="133">
        <v>0</v>
      </c>
      <c r="S5" s="133">
        <v>0</v>
      </c>
      <c r="T5" s="133">
        <v>0</v>
      </c>
      <c r="U5" s="133">
        <v>0</v>
      </c>
      <c r="V5" s="133">
        <v>0</v>
      </c>
      <c r="W5" s="133">
        <v>0</v>
      </c>
      <c r="X5" s="133">
        <v>0</v>
      </c>
    </row>
    <row r="6" spans="1:34" customFormat="1" x14ac:dyDescent="0.15">
      <c r="A6" s="138" t="s">
        <v>196</v>
      </c>
      <c r="B6" s="133">
        <v>0</v>
      </c>
      <c r="C6" s="133">
        <v>0</v>
      </c>
      <c r="D6" s="133">
        <v>0</v>
      </c>
      <c r="E6" s="133">
        <v>0</v>
      </c>
      <c r="F6" s="133">
        <v>0</v>
      </c>
      <c r="G6" s="133">
        <v>0</v>
      </c>
      <c r="H6" s="133">
        <v>0</v>
      </c>
      <c r="I6" s="133">
        <v>0</v>
      </c>
      <c r="J6" s="133">
        <v>0</v>
      </c>
      <c r="K6" s="133">
        <v>0</v>
      </c>
      <c r="L6" s="133">
        <v>0</v>
      </c>
      <c r="M6" s="133">
        <v>0</v>
      </c>
      <c r="N6" s="133">
        <v>0</v>
      </c>
      <c r="O6" s="133">
        <v>0</v>
      </c>
      <c r="P6" s="133">
        <v>0</v>
      </c>
      <c r="Q6" s="133">
        <v>0</v>
      </c>
      <c r="R6" s="133">
        <v>0</v>
      </c>
      <c r="S6" s="133">
        <v>0</v>
      </c>
      <c r="T6" s="133">
        <v>0</v>
      </c>
      <c r="U6" s="133">
        <v>0</v>
      </c>
      <c r="V6" s="133">
        <v>0</v>
      </c>
      <c r="W6" s="133">
        <v>0</v>
      </c>
      <c r="X6" s="133">
        <v>0</v>
      </c>
    </row>
    <row r="7" spans="1:34" customFormat="1" x14ac:dyDescent="0.15">
      <c r="A7" s="138" t="s">
        <v>197</v>
      </c>
      <c r="B7" s="133">
        <v>0</v>
      </c>
      <c r="C7" s="133">
        <v>0</v>
      </c>
      <c r="D7" s="133">
        <v>0</v>
      </c>
      <c r="E7" s="133">
        <v>0</v>
      </c>
      <c r="F7" s="133">
        <v>1.0210735394699013E-2</v>
      </c>
      <c r="G7" s="133">
        <v>1.0001311899986882E-2</v>
      </c>
      <c r="H7" s="133">
        <v>0</v>
      </c>
      <c r="I7" s="133">
        <v>0</v>
      </c>
      <c r="J7" s="133">
        <v>0</v>
      </c>
      <c r="K7" s="133">
        <v>0</v>
      </c>
      <c r="L7" s="133">
        <v>0</v>
      </c>
      <c r="M7" s="133">
        <v>0</v>
      </c>
      <c r="N7" s="133">
        <v>0</v>
      </c>
      <c r="O7" s="133">
        <v>0</v>
      </c>
      <c r="P7" s="133">
        <v>0</v>
      </c>
      <c r="Q7" s="133">
        <v>0</v>
      </c>
      <c r="R7" s="133">
        <v>0</v>
      </c>
      <c r="S7" s="133">
        <v>0</v>
      </c>
      <c r="T7" s="133">
        <v>0</v>
      </c>
      <c r="U7" s="133">
        <v>0</v>
      </c>
      <c r="V7" s="133">
        <v>0</v>
      </c>
      <c r="W7" s="133">
        <v>0</v>
      </c>
      <c r="X7" s="133">
        <v>0</v>
      </c>
    </row>
    <row r="8" spans="1:34" customFormat="1" x14ac:dyDescent="0.15">
      <c r="A8" s="138" t="s">
        <v>198</v>
      </c>
      <c r="B8" s="133">
        <v>0</v>
      </c>
      <c r="C8" s="133">
        <v>0.04</v>
      </c>
      <c r="D8" s="133">
        <v>0</v>
      </c>
      <c r="E8" s="133">
        <v>0</v>
      </c>
      <c r="F8" s="133">
        <v>0</v>
      </c>
      <c r="G8" s="133">
        <v>0</v>
      </c>
      <c r="H8" s="133">
        <v>0</v>
      </c>
      <c r="I8" s="133">
        <v>0</v>
      </c>
      <c r="J8" s="133">
        <v>0</v>
      </c>
      <c r="K8" s="133">
        <v>0</v>
      </c>
      <c r="L8" s="133">
        <v>0</v>
      </c>
      <c r="M8" s="133">
        <v>0</v>
      </c>
      <c r="N8" s="133">
        <v>0</v>
      </c>
      <c r="O8" s="133">
        <v>0</v>
      </c>
      <c r="P8" s="133">
        <v>0</v>
      </c>
      <c r="Q8" s="133">
        <v>0</v>
      </c>
      <c r="R8" s="133">
        <v>0</v>
      </c>
      <c r="S8" s="133">
        <v>0</v>
      </c>
      <c r="T8" s="133">
        <v>0</v>
      </c>
      <c r="U8" s="133">
        <v>0</v>
      </c>
      <c r="V8" s="133">
        <v>0</v>
      </c>
      <c r="W8" s="133">
        <v>0</v>
      </c>
      <c r="X8" s="133">
        <v>0</v>
      </c>
    </row>
    <row r="9" spans="1:34" customFormat="1" x14ac:dyDescent="0.15">
      <c r="A9" s="138" t="s">
        <v>199</v>
      </c>
      <c r="B9" s="133">
        <v>0</v>
      </c>
      <c r="C9" s="133">
        <v>0.05</v>
      </c>
      <c r="D9" s="133">
        <v>5.0000149557498673E-2</v>
      </c>
      <c r="E9" s="133">
        <v>0</v>
      </c>
      <c r="F9" s="133">
        <v>0</v>
      </c>
      <c r="G9" s="133">
        <v>0</v>
      </c>
      <c r="H9" s="133">
        <v>4.9986846665377458E-3</v>
      </c>
      <c r="I9" s="133">
        <v>0.05</v>
      </c>
      <c r="J9" s="133">
        <v>0.01</v>
      </c>
      <c r="K9" s="133">
        <v>2.9999999400000008E-2</v>
      </c>
      <c r="L9" s="133">
        <v>0</v>
      </c>
      <c r="M9" s="133">
        <v>0</v>
      </c>
      <c r="N9" s="133">
        <v>0</v>
      </c>
      <c r="O9" s="133">
        <v>0</v>
      </c>
      <c r="P9" s="133">
        <v>0</v>
      </c>
      <c r="Q9" s="133">
        <v>0</v>
      </c>
      <c r="R9" s="133">
        <v>0</v>
      </c>
      <c r="S9" s="133">
        <v>0</v>
      </c>
      <c r="T9" s="133">
        <v>0</v>
      </c>
      <c r="U9" s="133">
        <v>0</v>
      </c>
      <c r="V9" s="133">
        <v>0</v>
      </c>
      <c r="W9" s="133">
        <v>0</v>
      </c>
      <c r="X9" s="133">
        <v>0</v>
      </c>
    </row>
    <row r="10" spans="1:34" customFormat="1" x14ac:dyDescent="0.15">
      <c r="A10" s="138" t="s">
        <v>200</v>
      </c>
      <c r="B10" s="133">
        <v>0</v>
      </c>
      <c r="C10" s="133">
        <v>0.02</v>
      </c>
      <c r="D10" s="133">
        <v>2.0000061322999457E-3</v>
      </c>
      <c r="E10" s="133">
        <v>0</v>
      </c>
      <c r="F10" s="133">
        <v>1.0210735394699013E-2</v>
      </c>
      <c r="G10" s="133">
        <v>0</v>
      </c>
      <c r="H10" s="133">
        <v>5.2617733589870987E-3</v>
      </c>
      <c r="I10" s="133">
        <v>0</v>
      </c>
      <c r="J10" s="133">
        <v>0</v>
      </c>
      <c r="K10" s="133">
        <v>0</v>
      </c>
      <c r="L10" s="133">
        <v>0</v>
      </c>
      <c r="M10" s="133">
        <v>0</v>
      </c>
      <c r="N10" s="133">
        <v>0</v>
      </c>
      <c r="O10" s="133">
        <v>0</v>
      </c>
      <c r="P10" s="133">
        <v>0</v>
      </c>
      <c r="Q10" s="133">
        <v>0</v>
      </c>
      <c r="R10" s="133">
        <v>0</v>
      </c>
      <c r="S10" s="133">
        <v>0</v>
      </c>
      <c r="T10" s="133">
        <v>0</v>
      </c>
      <c r="U10" s="133">
        <v>0</v>
      </c>
      <c r="V10" s="133">
        <v>0</v>
      </c>
      <c r="W10" s="133">
        <v>0</v>
      </c>
      <c r="X10" s="133">
        <v>0</v>
      </c>
    </row>
    <row r="11" spans="1:34" customFormat="1" x14ac:dyDescent="0.15">
      <c r="A11" s="138" t="s">
        <v>201</v>
      </c>
      <c r="B11" s="133">
        <v>0</v>
      </c>
      <c r="C11" s="133">
        <v>0.01</v>
      </c>
      <c r="D11" s="133">
        <v>5.0000149557498669E-3</v>
      </c>
      <c r="E11" s="133">
        <v>0</v>
      </c>
      <c r="F11" s="133">
        <v>5.0011473104656964E-2</v>
      </c>
      <c r="G11" s="133">
        <v>5.0016929499830706E-2</v>
      </c>
      <c r="H11" s="133">
        <v>1.9994738666150983E-2</v>
      </c>
      <c r="I11" s="133">
        <v>0.05</v>
      </c>
      <c r="J11" s="133">
        <v>0.03</v>
      </c>
      <c r="K11" s="133">
        <v>2.9999999400000008E-2</v>
      </c>
      <c r="L11" s="133">
        <v>0</v>
      </c>
      <c r="M11" s="133">
        <v>0.05</v>
      </c>
      <c r="N11" s="133">
        <v>0</v>
      </c>
      <c r="O11" s="133">
        <v>0</v>
      </c>
      <c r="P11" s="133">
        <v>0.01</v>
      </c>
      <c r="Q11" s="133">
        <v>0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</row>
    <row r="12" spans="1:34" customFormat="1" x14ac:dyDescent="0.15">
      <c r="A12" s="138" t="s">
        <v>202</v>
      </c>
      <c r="B12" s="133">
        <v>0</v>
      </c>
      <c r="C12" s="133">
        <v>0.05</v>
      </c>
      <c r="D12" s="133">
        <v>0.24600073482289347</v>
      </c>
      <c r="E12" s="133">
        <v>5.2631578926315793E-2</v>
      </c>
      <c r="F12" s="133">
        <v>1.0001340600959918E-2</v>
      </c>
      <c r="G12" s="133">
        <v>0</v>
      </c>
      <c r="H12" s="133">
        <v>0.15495922166267034</v>
      </c>
      <c r="I12" s="133">
        <v>0.05</v>
      </c>
      <c r="J12" s="133">
        <v>0</v>
      </c>
      <c r="K12" s="133">
        <v>0</v>
      </c>
      <c r="L12" s="133">
        <v>0</v>
      </c>
      <c r="M12" s="133">
        <v>0</v>
      </c>
      <c r="N12" s="133">
        <v>0</v>
      </c>
      <c r="O12" s="133">
        <v>0</v>
      </c>
      <c r="P12" s="133">
        <v>0.01</v>
      </c>
      <c r="Q12" s="133">
        <v>0</v>
      </c>
      <c r="R12" s="133">
        <v>0</v>
      </c>
      <c r="S12" s="133">
        <v>0</v>
      </c>
      <c r="T12" s="133">
        <v>0</v>
      </c>
      <c r="U12" s="133">
        <v>0</v>
      </c>
      <c r="V12" s="133">
        <v>0</v>
      </c>
      <c r="W12" s="133">
        <v>0</v>
      </c>
      <c r="X12" s="133">
        <v>0</v>
      </c>
    </row>
    <row r="13" spans="1:34" customFormat="1" x14ac:dyDescent="0.15">
      <c r="A13" s="138" t="s">
        <v>203</v>
      </c>
      <c r="B13" s="133">
        <v>0</v>
      </c>
      <c r="C13" s="133">
        <v>0</v>
      </c>
      <c r="D13" s="133">
        <v>0</v>
      </c>
      <c r="E13" s="133">
        <v>0</v>
      </c>
      <c r="F13" s="133">
        <v>0</v>
      </c>
      <c r="G13" s="133">
        <v>0</v>
      </c>
      <c r="H13" s="133">
        <v>0</v>
      </c>
      <c r="I13" s="133">
        <v>0</v>
      </c>
      <c r="J13" s="133">
        <v>0</v>
      </c>
      <c r="K13" s="133">
        <v>0</v>
      </c>
      <c r="L13" s="133">
        <v>0</v>
      </c>
      <c r="M13" s="133">
        <v>0</v>
      </c>
      <c r="N13" s="133">
        <v>0</v>
      </c>
      <c r="O13" s="133">
        <v>0</v>
      </c>
      <c r="P13" s="133">
        <v>0</v>
      </c>
      <c r="Q13" s="133">
        <v>0</v>
      </c>
      <c r="R13" s="133">
        <v>0</v>
      </c>
      <c r="S13" s="133">
        <v>0</v>
      </c>
      <c r="T13" s="133">
        <v>0</v>
      </c>
      <c r="U13" s="133">
        <v>0</v>
      </c>
      <c r="V13" s="133">
        <v>0</v>
      </c>
      <c r="W13" s="133">
        <v>0</v>
      </c>
      <c r="X13" s="133">
        <v>0</v>
      </c>
    </row>
    <row r="14" spans="1:34" customFormat="1" x14ac:dyDescent="0.15">
      <c r="A14" s="138" t="s">
        <v>204</v>
      </c>
      <c r="B14" s="133">
        <v>0</v>
      </c>
      <c r="C14" s="133">
        <v>0</v>
      </c>
      <c r="D14" s="133">
        <v>0</v>
      </c>
      <c r="E14" s="133">
        <v>0</v>
      </c>
      <c r="F14" s="133">
        <v>1.0210735394699013E-2</v>
      </c>
      <c r="G14" s="133">
        <v>0</v>
      </c>
      <c r="H14" s="133">
        <v>4.9986846665377458E-3</v>
      </c>
      <c r="I14" s="133">
        <v>0</v>
      </c>
      <c r="J14" s="133">
        <v>0</v>
      </c>
      <c r="K14" s="133">
        <v>0</v>
      </c>
      <c r="L14" s="133">
        <v>0</v>
      </c>
      <c r="M14" s="133">
        <v>0</v>
      </c>
      <c r="N14" s="133">
        <v>0</v>
      </c>
      <c r="O14" s="133">
        <v>0</v>
      </c>
      <c r="P14" s="133">
        <v>0.01</v>
      </c>
      <c r="Q14" s="133">
        <v>0</v>
      </c>
      <c r="R14" s="133">
        <v>0</v>
      </c>
      <c r="S14" s="133">
        <v>0</v>
      </c>
      <c r="T14" s="133">
        <v>0</v>
      </c>
      <c r="U14" s="133">
        <v>0</v>
      </c>
      <c r="V14" s="133">
        <v>0</v>
      </c>
      <c r="W14" s="133">
        <v>0</v>
      </c>
      <c r="X14" s="133">
        <v>0</v>
      </c>
    </row>
    <row r="15" spans="1:34" customFormat="1" x14ac:dyDescent="0.15">
      <c r="A15" s="138" t="s">
        <v>205</v>
      </c>
      <c r="B15" s="133">
        <v>0.20002443529930355</v>
      </c>
      <c r="C15" s="133">
        <v>0.29499999999999998</v>
      </c>
      <c r="D15" s="133">
        <v>0.20000541022995211</v>
      </c>
      <c r="E15" s="133">
        <v>0.31578948095789522</v>
      </c>
      <c r="F15" s="133">
        <v>0.24003215882303849</v>
      </c>
      <c r="G15" s="133">
        <v>0.19993445100065552</v>
      </c>
      <c r="H15" s="133">
        <v>0.19994738666150985</v>
      </c>
      <c r="I15" s="133">
        <v>0.2</v>
      </c>
      <c r="J15" s="133">
        <v>0.08</v>
      </c>
      <c r="K15" s="133">
        <v>0</v>
      </c>
      <c r="L15" s="133">
        <v>0</v>
      </c>
      <c r="M15" s="133">
        <v>0</v>
      </c>
      <c r="N15" s="133">
        <v>0</v>
      </c>
      <c r="O15" s="133">
        <v>0.05</v>
      </c>
      <c r="P15" s="133">
        <v>0.01</v>
      </c>
      <c r="Q15" s="133">
        <v>0</v>
      </c>
      <c r="R15" s="133">
        <v>0</v>
      </c>
      <c r="S15" s="133">
        <v>0.09</v>
      </c>
      <c r="T15" s="133">
        <v>0</v>
      </c>
      <c r="U15" s="133">
        <v>0</v>
      </c>
      <c r="V15" s="133">
        <v>0</v>
      </c>
      <c r="W15" s="133">
        <v>0</v>
      </c>
      <c r="X15" s="133">
        <v>0</v>
      </c>
    </row>
    <row r="16" spans="1:34" customFormat="1" x14ac:dyDescent="0.15">
      <c r="A16" s="138" t="s">
        <v>206</v>
      </c>
      <c r="B16" s="133">
        <v>3.8172601612080852E-2</v>
      </c>
      <c r="C16" s="133">
        <v>0.06</v>
      </c>
      <c r="D16" s="133">
        <v>4.7000139584048764E-2</v>
      </c>
      <c r="E16" s="133">
        <v>0</v>
      </c>
      <c r="F16" s="133">
        <v>0.1500916135122608</v>
      </c>
      <c r="G16" s="133">
        <v>0.18506263014937371</v>
      </c>
      <c r="H16" s="133">
        <v>0.20994474099458635</v>
      </c>
      <c r="I16" s="133">
        <v>0.05</v>
      </c>
      <c r="J16" s="133">
        <v>0</v>
      </c>
      <c r="K16" s="133">
        <v>0</v>
      </c>
      <c r="L16" s="133">
        <v>0</v>
      </c>
      <c r="M16" s="133">
        <v>0</v>
      </c>
      <c r="N16" s="133">
        <v>0</v>
      </c>
      <c r="O16" s="133">
        <v>0</v>
      </c>
      <c r="P16" s="133">
        <v>0.05</v>
      </c>
      <c r="Q16" s="133">
        <v>0</v>
      </c>
      <c r="R16" s="133">
        <v>0</v>
      </c>
      <c r="S16" s="133">
        <v>0</v>
      </c>
      <c r="T16" s="133">
        <v>0</v>
      </c>
      <c r="U16" s="133">
        <v>0</v>
      </c>
      <c r="V16" s="133">
        <v>0</v>
      </c>
      <c r="W16" s="133">
        <v>0</v>
      </c>
      <c r="X16" s="133">
        <v>0</v>
      </c>
    </row>
    <row r="17" spans="1:24" customFormat="1" x14ac:dyDescent="0.15">
      <c r="A17" s="138" t="s">
        <v>207</v>
      </c>
      <c r="B17" s="133">
        <v>0</v>
      </c>
      <c r="C17" s="133">
        <v>0.02</v>
      </c>
      <c r="D17" s="133">
        <v>2.0000059822999468E-2</v>
      </c>
      <c r="E17" s="133">
        <v>0</v>
      </c>
      <c r="F17" s="133">
        <v>0.20012217201634711</v>
      </c>
      <c r="G17" s="133">
        <v>9.9967229000327715E-2</v>
      </c>
      <c r="H17" s="133">
        <v>0.14996053799613251</v>
      </c>
      <c r="I17" s="133">
        <v>0.2</v>
      </c>
      <c r="J17" s="133">
        <v>0.2</v>
      </c>
      <c r="K17" s="133">
        <v>2.9999999400000008E-2</v>
      </c>
      <c r="L17" s="133">
        <v>0</v>
      </c>
      <c r="M17" s="133">
        <v>0.1</v>
      </c>
      <c r="N17" s="133">
        <v>0.1</v>
      </c>
      <c r="O17" s="133">
        <v>0</v>
      </c>
      <c r="P17" s="133">
        <v>0.05</v>
      </c>
      <c r="Q17" s="133">
        <v>0</v>
      </c>
      <c r="R17" s="133">
        <v>0</v>
      </c>
      <c r="S17" s="133">
        <v>0</v>
      </c>
      <c r="T17" s="133">
        <v>0</v>
      </c>
      <c r="U17" s="133">
        <v>0</v>
      </c>
      <c r="V17" s="133">
        <v>0</v>
      </c>
      <c r="W17" s="133">
        <v>0</v>
      </c>
      <c r="X17" s="133">
        <v>0</v>
      </c>
    </row>
    <row r="18" spans="1:24" customFormat="1" x14ac:dyDescent="0.15">
      <c r="A18" s="138" t="s">
        <v>208</v>
      </c>
      <c r="B18" s="133">
        <v>0</v>
      </c>
      <c r="C18" s="133">
        <v>0.05</v>
      </c>
      <c r="D18" s="133">
        <v>0</v>
      </c>
      <c r="E18" s="133">
        <v>5.2631578926315793E-2</v>
      </c>
      <c r="F18" s="133">
        <v>0.11907268743972667</v>
      </c>
      <c r="G18" s="133">
        <v>0.20493280695067193</v>
      </c>
      <c r="H18" s="133">
        <v>0.14996053799613251</v>
      </c>
      <c r="I18" s="133">
        <v>0.1</v>
      </c>
      <c r="J18" s="133">
        <v>0.05</v>
      </c>
      <c r="K18" s="133">
        <v>0</v>
      </c>
      <c r="L18" s="133">
        <v>0</v>
      </c>
      <c r="M18" s="133">
        <v>0.5</v>
      </c>
      <c r="N18" s="133">
        <v>0.65</v>
      </c>
      <c r="O18" s="133">
        <v>0.06</v>
      </c>
      <c r="P18" s="133">
        <v>0.65</v>
      </c>
      <c r="Q18" s="133">
        <v>0.2</v>
      </c>
      <c r="R18" s="133">
        <v>7.0000000000000007E-2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</row>
    <row r="19" spans="1:24" customFormat="1" x14ac:dyDescent="0.15">
      <c r="A19" s="138" t="s">
        <v>209</v>
      </c>
      <c r="B19" s="133">
        <v>0</v>
      </c>
      <c r="C19" s="133">
        <v>0.12</v>
      </c>
      <c r="D19" s="133">
        <v>3.0000088434499216E-2</v>
      </c>
      <c r="E19" s="133">
        <v>5.2631578926315793E-2</v>
      </c>
      <c r="F19" s="133">
        <v>4.0005362303839678E-2</v>
      </c>
      <c r="G19" s="133">
        <v>0</v>
      </c>
      <c r="H19" s="133">
        <v>9.9973693330754926E-2</v>
      </c>
      <c r="I19" s="133">
        <v>0.05</v>
      </c>
      <c r="J19" s="133">
        <v>0.01</v>
      </c>
      <c r="K19" s="133">
        <v>8.0000018399999623E-2</v>
      </c>
      <c r="L19" s="133">
        <v>0</v>
      </c>
      <c r="M19" s="133">
        <v>0</v>
      </c>
      <c r="N19" s="133">
        <v>0</v>
      </c>
      <c r="O19" s="133">
        <v>0.02</v>
      </c>
      <c r="P19" s="133">
        <v>0.01</v>
      </c>
      <c r="Q19" s="133">
        <v>0</v>
      </c>
      <c r="R19" s="133">
        <v>0</v>
      </c>
      <c r="S19" s="133">
        <v>0.01</v>
      </c>
      <c r="T19" s="133">
        <v>0</v>
      </c>
      <c r="U19" s="133">
        <v>0</v>
      </c>
      <c r="V19" s="133">
        <v>0</v>
      </c>
      <c r="W19" s="133">
        <v>0</v>
      </c>
      <c r="X19" s="133">
        <v>0</v>
      </c>
    </row>
    <row r="20" spans="1:24" customFormat="1" x14ac:dyDescent="0.15">
      <c r="A20" s="138" t="s">
        <v>210</v>
      </c>
      <c r="B20" s="133">
        <v>0.46405668677438433</v>
      </c>
      <c r="C20" s="133">
        <v>4.4999999999999998E-2</v>
      </c>
      <c r="D20" s="133">
        <v>0.10000029911499735</v>
      </c>
      <c r="E20" s="133">
        <v>0.52631578226315745</v>
      </c>
      <c r="F20" s="133">
        <v>0.14001877181343875</v>
      </c>
      <c r="G20" s="133">
        <v>0.20006771199932291</v>
      </c>
      <c r="H20" s="133">
        <v>0</v>
      </c>
      <c r="I20" s="133">
        <v>0.25</v>
      </c>
      <c r="J20" s="133">
        <v>0.52</v>
      </c>
      <c r="K20" s="133">
        <v>0.6099999878000002</v>
      </c>
      <c r="L20" s="133">
        <v>0.6</v>
      </c>
      <c r="M20" s="133">
        <v>0.05</v>
      </c>
      <c r="N20" s="133">
        <v>0</v>
      </c>
      <c r="O20" s="133">
        <v>0.6</v>
      </c>
      <c r="P20" s="133">
        <v>0.1</v>
      </c>
      <c r="Q20" s="133">
        <v>0.1</v>
      </c>
      <c r="R20" s="133">
        <v>0.04</v>
      </c>
      <c r="S20" s="133">
        <v>0.75</v>
      </c>
      <c r="T20" s="133">
        <v>0.05</v>
      </c>
      <c r="U20" s="133">
        <v>0</v>
      </c>
      <c r="V20" s="133">
        <v>0</v>
      </c>
      <c r="W20" s="133">
        <v>0</v>
      </c>
      <c r="X20" s="133">
        <v>0</v>
      </c>
    </row>
    <row r="21" spans="1:24" customFormat="1" x14ac:dyDescent="0.15">
      <c r="A21" s="138" t="s">
        <v>211</v>
      </c>
      <c r="B21" s="133">
        <v>6.871068284174553E-2</v>
      </c>
      <c r="C21" s="133">
        <v>0</v>
      </c>
      <c r="D21" s="133">
        <v>0</v>
      </c>
      <c r="E21" s="133">
        <v>0</v>
      </c>
      <c r="F21" s="133">
        <v>2.00122142016348E-2</v>
      </c>
      <c r="G21" s="133">
        <v>5.0016929499830706E-2</v>
      </c>
      <c r="H21" s="133">
        <v>0</v>
      </c>
      <c r="I21" s="133">
        <v>0</v>
      </c>
      <c r="J21" s="133">
        <v>0.1</v>
      </c>
      <c r="K21" s="133">
        <v>0.21999999560000005</v>
      </c>
      <c r="L21" s="133">
        <v>0.4</v>
      </c>
      <c r="M21" s="133">
        <v>0</v>
      </c>
      <c r="N21" s="133">
        <v>0</v>
      </c>
      <c r="O21" s="133">
        <v>0.27</v>
      </c>
      <c r="P21" s="133">
        <v>0</v>
      </c>
      <c r="Q21" s="133">
        <v>0.25</v>
      </c>
      <c r="R21" s="133">
        <v>7.0000000000000007E-2</v>
      </c>
      <c r="S21" s="133">
        <v>0.15</v>
      </c>
      <c r="T21" s="133">
        <v>0.5</v>
      </c>
      <c r="U21" s="133">
        <v>0.02</v>
      </c>
      <c r="V21" s="133">
        <v>0</v>
      </c>
      <c r="W21" s="133">
        <v>0</v>
      </c>
      <c r="X21" s="133">
        <v>0</v>
      </c>
    </row>
    <row r="22" spans="1:24" customFormat="1" x14ac:dyDescent="0.15">
      <c r="A22" s="138" t="s">
        <v>212</v>
      </c>
      <c r="B22" s="133">
        <v>0</v>
      </c>
      <c r="C22" s="133">
        <v>0</v>
      </c>
      <c r="D22" s="133">
        <v>0</v>
      </c>
      <c r="E22" s="133">
        <v>0</v>
      </c>
      <c r="F22" s="133">
        <v>0</v>
      </c>
      <c r="G22" s="133">
        <v>0</v>
      </c>
      <c r="H22" s="133">
        <v>0</v>
      </c>
      <c r="I22" s="133">
        <v>0</v>
      </c>
      <c r="J22" s="133">
        <v>0</v>
      </c>
      <c r="K22" s="133">
        <v>0</v>
      </c>
      <c r="L22" s="133">
        <v>0</v>
      </c>
      <c r="M22" s="133">
        <v>0</v>
      </c>
      <c r="N22" s="133">
        <v>0</v>
      </c>
      <c r="O22" s="133">
        <v>0</v>
      </c>
      <c r="P22" s="133">
        <v>0</v>
      </c>
      <c r="Q22" s="133">
        <v>0.05</v>
      </c>
      <c r="R22" s="133">
        <v>0.02</v>
      </c>
      <c r="S22" s="133">
        <v>0</v>
      </c>
      <c r="T22" s="133">
        <v>0.4</v>
      </c>
      <c r="U22" s="133">
        <v>0.83</v>
      </c>
      <c r="V22" s="133">
        <v>0</v>
      </c>
      <c r="W22" s="133">
        <v>0</v>
      </c>
      <c r="X22" s="133">
        <v>0</v>
      </c>
    </row>
    <row r="23" spans="1:24" customFormat="1" x14ac:dyDescent="0.15">
      <c r="A23" s="138" t="s">
        <v>213</v>
      </c>
      <c r="B23" s="133">
        <v>0</v>
      </c>
      <c r="C23" s="133">
        <v>0</v>
      </c>
      <c r="D23" s="133">
        <v>0</v>
      </c>
      <c r="E23" s="133">
        <v>0</v>
      </c>
      <c r="F23" s="133">
        <v>0</v>
      </c>
      <c r="G23" s="133">
        <v>0</v>
      </c>
      <c r="H23" s="133">
        <v>0</v>
      </c>
      <c r="I23" s="133">
        <v>0</v>
      </c>
      <c r="J23" s="133">
        <v>0</v>
      </c>
      <c r="K23" s="133">
        <v>0</v>
      </c>
      <c r="L23" s="133">
        <v>0</v>
      </c>
      <c r="M23" s="133">
        <v>0.3</v>
      </c>
      <c r="N23" s="133">
        <v>0.25</v>
      </c>
      <c r="O23" s="133">
        <v>0</v>
      </c>
      <c r="P23" s="133">
        <v>0.1</v>
      </c>
      <c r="Q23" s="133">
        <v>0.4</v>
      </c>
      <c r="R23" s="133">
        <v>0.8</v>
      </c>
      <c r="S23" s="133">
        <v>0</v>
      </c>
      <c r="T23" s="133">
        <v>0.05</v>
      </c>
      <c r="U23" s="133">
        <v>0.15</v>
      </c>
      <c r="V23" s="133">
        <v>0</v>
      </c>
      <c r="W23" s="133">
        <v>0</v>
      </c>
      <c r="X23" s="133">
        <v>0</v>
      </c>
    </row>
    <row r="24" spans="1:24" customFormat="1" x14ac:dyDescent="0.15">
      <c r="A24" s="138" t="s">
        <v>214</v>
      </c>
      <c r="B24" s="133">
        <v>0</v>
      </c>
      <c r="C24" s="133">
        <v>0</v>
      </c>
      <c r="D24" s="133">
        <v>0</v>
      </c>
      <c r="E24" s="133">
        <v>0</v>
      </c>
      <c r="F24" s="133">
        <v>0</v>
      </c>
      <c r="G24" s="133">
        <v>0</v>
      </c>
      <c r="H24" s="133">
        <v>0</v>
      </c>
      <c r="I24" s="133">
        <v>0</v>
      </c>
      <c r="J24" s="133">
        <v>0</v>
      </c>
      <c r="K24" s="133">
        <v>0</v>
      </c>
      <c r="L24" s="133">
        <v>0</v>
      </c>
      <c r="M24" s="133">
        <v>0</v>
      </c>
      <c r="N24" s="133">
        <v>0</v>
      </c>
      <c r="O24" s="133">
        <v>0</v>
      </c>
      <c r="P24" s="133">
        <v>0</v>
      </c>
      <c r="Q24" s="133">
        <v>0</v>
      </c>
      <c r="R24" s="133">
        <v>0</v>
      </c>
      <c r="S24" s="133">
        <v>0</v>
      </c>
      <c r="T24" s="133">
        <v>0</v>
      </c>
      <c r="U24" s="133">
        <v>0</v>
      </c>
      <c r="V24" s="133">
        <v>0</v>
      </c>
      <c r="W24" s="133">
        <v>0</v>
      </c>
      <c r="X24" s="133">
        <v>0</v>
      </c>
    </row>
    <row r="25" spans="1:24" customFormat="1" x14ac:dyDescent="0.15">
      <c r="A25" s="138" t="s">
        <v>219</v>
      </c>
      <c r="B25" s="133">
        <v>0.22903559347248556</v>
      </c>
      <c r="C25" s="133">
        <v>0.23</v>
      </c>
      <c r="D25" s="133">
        <v>0.29999309734506108</v>
      </c>
      <c r="E25" s="133">
        <v>0</v>
      </c>
      <c r="F25" s="133">
        <v>0</v>
      </c>
      <c r="G25" s="133">
        <v>0</v>
      </c>
      <c r="H25" s="133">
        <v>0</v>
      </c>
      <c r="I25" s="133">
        <v>0</v>
      </c>
      <c r="J25" s="133">
        <v>0</v>
      </c>
      <c r="K25" s="133">
        <v>0</v>
      </c>
      <c r="L25" s="133">
        <v>0</v>
      </c>
      <c r="M25" s="133">
        <v>0</v>
      </c>
      <c r="N25" s="133">
        <v>0</v>
      </c>
      <c r="O25" s="133">
        <v>0</v>
      </c>
      <c r="P25" s="133">
        <v>0</v>
      </c>
      <c r="Q25" s="133">
        <v>0</v>
      </c>
      <c r="R25" s="133">
        <v>0</v>
      </c>
      <c r="S25" s="133">
        <v>0</v>
      </c>
      <c r="T25" s="133">
        <v>0</v>
      </c>
      <c r="U25" s="133">
        <v>0</v>
      </c>
      <c r="V25" s="133">
        <v>0</v>
      </c>
      <c r="W25" s="133">
        <v>0</v>
      </c>
      <c r="X25" s="133">
        <v>0</v>
      </c>
    </row>
    <row r="26" spans="1:24" customFormat="1" x14ac:dyDescent="0.15"/>
    <row r="27" spans="1:24" customFormat="1" x14ac:dyDescent="0.15"/>
    <row r="28" spans="1:24" customFormat="1" x14ac:dyDescent="0.15"/>
    <row r="29" spans="1:24" customFormat="1" x14ac:dyDescent="0.15"/>
    <row r="30" spans="1:24" customFormat="1" x14ac:dyDescent="0.15"/>
    <row r="31" spans="1:24" customFormat="1" x14ac:dyDescent="0.15"/>
    <row r="32" spans="1:24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B31" sqref="B31"/>
    </sheetView>
  </sheetViews>
  <sheetFormatPr baseColWidth="10" defaultColWidth="8.83203125" defaultRowHeight="13" x14ac:dyDescent="0.15"/>
  <cols>
    <col min="1" max="1" width="3.33203125" customWidth="1"/>
    <col min="2" max="2" width="21.83203125" customWidth="1"/>
    <col min="3" max="4" width="27.5" style="104" customWidth="1"/>
    <col min="5" max="6" width="27.5" style="103" customWidth="1"/>
    <col min="7" max="8" width="8.83203125" style="104"/>
  </cols>
  <sheetData>
    <row r="1" spans="1:8" ht="70" x14ac:dyDescent="0.15">
      <c r="A1" s="5" t="s">
        <v>20</v>
      </c>
      <c r="B1" s="1" t="s">
        <v>0</v>
      </c>
      <c r="C1" s="141" t="s">
        <v>213</v>
      </c>
      <c r="D1" s="141" t="s">
        <v>214</v>
      </c>
      <c r="E1" s="141" t="s">
        <v>220</v>
      </c>
      <c r="F1" s="141" t="s">
        <v>221</v>
      </c>
      <c r="G1"/>
      <c r="H1"/>
    </row>
    <row r="2" spans="1:8" x14ac:dyDescent="0.15">
      <c r="A2">
        <v>1</v>
      </c>
      <c r="B2" s="140" t="s">
        <v>192</v>
      </c>
      <c r="C2" s="104">
        <v>1</v>
      </c>
      <c r="D2" s="104">
        <v>0</v>
      </c>
      <c r="E2" s="103">
        <v>0</v>
      </c>
      <c r="F2" s="103">
        <f>SUM(C2:E2)</f>
        <v>1</v>
      </c>
      <c r="G2"/>
      <c r="H2"/>
    </row>
    <row r="3" spans="1:8" x14ac:dyDescent="0.15">
      <c r="A3">
        <v>2</v>
      </c>
      <c r="B3" s="140" t="s">
        <v>193</v>
      </c>
      <c r="C3" s="104">
        <v>1</v>
      </c>
      <c r="D3" s="104">
        <v>0</v>
      </c>
      <c r="E3" s="103">
        <v>0</v>
      </c>
      <c r="F3" s="103">
        <f t="shared" ref="F3:F24" si="0">SUM(C3:E3)</f>
        <v>1</v>
      </c>
      <c r="G3"/>
      <c r="H3"/>
    </row>
    <row r="4" spans="1:8" x14ac:dyDescent="0.15">
      <c r="A4">
        <v>3</v>
      </c>
      <c r="B4" s="140" t="s">
        <v>194</v>
      </c>
      <c r="C4" s="104">
        <v>1</v>
      </c>
      <c r="D4" s="104">
        <v>0</v>
      </c>
      <c r="E4" s="103">
        <v>0</v>
      </c>
      <c r="F4" s="103">
        <f t="shared" si="0"/>
        <v>1</v>
      </c>
      <c r="G4"/>
      <c r="H4"/>
    </row>
    <row r="5" spans="1:8" x14ac:dyDescent="0.15">
      <c r="A5">
        <v>4</v>
      </c>
      <c r="B5" s="140" t="s">
        <v>195</v>
      </c>
      <c r="C5" s="104">
        <v>1</v>
      </c>
      <c r="D5" s="104">
        <v>0</v>
      </c>
      <c r="E5" s="103">
        <v>0</v>
      </c>
      <c r="F5" s="103">
        <f t="shared" si="0"/>
        <v>1</v>
      </c>
      <c r="G5"/>
      <c r="H5"/>
    </row>
    <row r="6" spans="1:8" x14ac:dyDescent="0.15">
      <c r="A6">
        <v>5</v>
      </c>
      <c r="B6" s="140" t="s">
        <v>196</v>
      </c>
      <c r="C6" s="104">
        <v>1</v>
      </c>
      <c r="D6" s="104">
        <v>0</v>
      </c>
      <c r="E6" s="103">
        <v>0</v>
      </c>
      <c r="F6" s="103">
        <f t="shared" si="0"/>
        <v>1</v>
      </c>
      <c r="G6"/>
      <c r="H6"/>
    </row>
    <row r="7" spans="1:8" x14ac:dyDescent="0.15">
      <c r="A7">
        <v>6</v>
      </c>
      <c r="B7" s="140" t="s">
        <v>197</v>
      </c>
      <c r="C7" s="104">
        <v>1</v>
      </c>
      <c r="D7" s="104">
        <v>0</v>
      </c>
      <c r="E7" s="103">
        <v>0</v>
      </c>
      <c r="F7" s="103">
        <f t="shared" si="0"/>
        <v>1</v>
      </c>
      <c r="G7"/>
      <c r="H7"/>
    </row>
    <row r="8" spans="1:8" x14ac:dyDescent="0.15">
      <c r="A8">
        <v>7</v>
      </c>
      <c r="B8" s="140" t="s">
        <v>198</v>
      </c>
      <c r="C8" s="104">
        <v>1</v>
      </c>
      <c r="D8" s="104">
        <v>0</v>
      </c>
      <c r="E8" s="103">
        <v>0</v>
      </c>
      <c r="F8" s="103">
        <f t="shared" si="0"/>
        <v>1</v>
      </c>
      <c r="G8"/>
      <c r="H8"/>
    </row>
    <row r="9" spans="1:8" x14ac:dyDescent="0.15">
      <c r="A9">
        <v>8</v>
      </c>
      <c r="B9" s="140" t="s">
        <v>199</v>
      </c>
      <c r="C9" s="104">
        <v>1</v>
      </c>
      <c r="D9" s="104">
        <v>0</v>
      </c>
      <c r="E9" s="103">
        <v>0</v>
      </c>
      <c r="F9" s="103">
        <f t="shared" si="0"/>
        <v>1</v>
      </c>
      <c r="G9"/>
      <c r="H9"/>
    </row>
    <row r="10" spans="1:8" x14ac:dyDescent="0.15">
      <c r="A10">
        <v>9</v>
      </c>
      <c r="B10" s="140" t="s">
        <v>200</v>
      </c>
      <c r="C10" s="104">
        <v>1</v>
      </c>
      <c r="D10" s="104">
        <v>0</v>
      </c>
      <c r="E10" s="103">
        <v>0</v>
      </c>
      <c r="F10" s="103">
        <f t="shared" si="0"/>
        <v>1</v>
      </c>
      <c r="G10"/>
      <c r="H10"/>
    </row>
    <row r="11" spans="1:8" x14ac:dyDescent="0.15">
      <c r="A11">
        <v>10</v>
      </c>
      <c r="B11" s="140" t="s">
        <v>201</v>
      </c>
      <c r="C11" s="104">
        <v>1</v>
      </c>
      <c r="D11" s="104">
        <v>0</v>
      </c>
      <c r="E11" s="103">
        <v>0</v>
      </c>
      <c r="F11" s="103">
        <f t="shared" si="0"/>
        <v>1</v>
      </c>
      <c r="G11"/>
      <c r="H11"/>
    </row>
    <row r="12" spans="1:8" x14ac:dyDescent="0.15">
      <c r="A12">
        <v>11</v>
      </c>
      <c r="B12" s="140" t="s">
        <v>202</v>
      </c>
      <c r="C12" s="104">
        <v>1</v>
      </c>
      <c r="D12" s="104">
        <v>0</v>
      </c>
      <c r="E12" s="103">
        <v>0</v>
      </c>
      <c r="F12" s="103">
        <f t="shared" si="0"/>
        <v>1</v>
      </c>
      <c r="G12"/>
      <c r="H12"/>
    </row>
    <row r="13" spans="1:8" x14ac:dyDescent="0.15">
      <c r="A13">
        <v>12</v>
      </c>
      <c r="B13" s="140" t="s">
        <v>203</v>
      </c>
      <c r="C13" s="104">
        <v>1</v>
      </c>
      <c r="D13" s="104">
        <v>0</v>
      </c>
      <c r="E13" s="103">
        <v>0</v>
      </c>
      <c r="F13" s="103">
        <f t="shared" si="0"/>
        <v>1</v>
      </c>
      <c r="G13"/>
      <c r="H13"/>
    </row>
    <row r="14" spans="1:8" x14ac:dyDescent="0.15">
      <c r="A14">
        <v>13</v>
      </c>
      <c r="B14" s="140" t="s">
        <v>204</v>
      </c>
      <c r="C14" s="104">
        <v>1</v>
      </c>
      <c r="D14" s="104">
        <v>0</v>
      </c>
      <c r="E14" s="103">
        <v>0</v>
      </c>
      <c r="F14" s="103">
        <f t="shared" si="0"/>
        <v>1</v>
      </c>
      <c r="G14"/>
      <c r="H14"/>
    </row>
    <row r="15" spans="1:8" x14ac:dyDescent="0.15">
      <c r="A15">
        <v>14</v>
      </c>
      <c r="B15" s="140" t="s">
        <v>205</v>
      </c>
      <c r="C15" s="104">
        <v>1</v>
      </c>
      <c r="D15" s="104">
        <v>0</v>
      </c>
      <c r="E15" s="103">
        <v>0</v>
      </c>
      <c r="F15" s="103">
        <f t="shared" si="0"/>
        <v>1</v>
      </c>
      <c r="G15"/>
      <c r="H15"/>
    </row>
    <row r="16" spans="1:8" x14ac:dyDescent="0.15">
      <c r="A16">
        <v>15</v>
      </c>
      <c r="B16" s="140" t="s">
        <v>206</v>
      </c>
      <c r="C16" s="104">
        <v>1</v>
      </c>
      <c r="D16" s="104">
        <v>0</v>
      </c>
      <c r="E16" s="103">
        <v>0</v>
      </c>
      <c r="F16" s="103">
        <f t="shared" si="0"/>
        <v>1</v>
      </c>
      <c r="G16"/>
      <c r="H16"/>
    </row>
    <row r="17" spans="1:8" ht="15" customHeight="1" x14ac:dyDescent="0.15">
      <c r="A17">
        <v>16</v>
      </c>
      <c r="B17" s="140" t="s">
        <v>207</v>
      </c>
      <c r="C17" s="104">
        <v>1</v>
      </c>
      <c r="D17" s="104">
        <v>0</v>
      </c>
      <c r="E17" s="103">
        <v>0</v>
      </c>
      <c r="F17" s="103">
        <f t="shared" si="0"/>
        <v>1</v>
      </c>
      <c r="G17"/>
      <c r="H17"/>
    </row>
    <row r="18" spans="1:8" ht="15" customHeight="1" x14ac:dyDescent="0.15">
      <c r="A18">
        <v>17</v>
      </c>
      <c r="B18" s="140" t="s">
        <v>208</v>
      </c>
      <c r="C18" s="104">
        <v>1</v>
      </c>
      <c r="D18" s="104">
        <v>0</v>
      </c>
      <c r="E18" s="103">
        <v>0</v>
      </c>
      <c r="F18" s="103">
        <f t="shared" si="0"/>
        <v>1</v>
      </c>
      <c r="G18"/>
      <c r="H18"/>
    </row>
    <row r="19" spans="1:8" ht="15" customHeight="1" x14ac:dyDescent="0.15">
      <c r="A19">
        <v>18</v>
      </c>
      <c r="B19" s="140" t="s">
        <v>209</v>
      </c>
      <c r="C19" s="104">
        <v>1</v>
      </c>
      <c r="D19" s="104">
        <v>0</v>
      </c>
      <c r="E19" s="103">
        <v>0</v>
      </c>
      <c r="F19" s="103">
        <f t="shared" si="0"/>
        <v>1</v>
      </c>
      <c r="G19"/>
      <c r="H19"/>
    </row>
    <row r="20" spans="1:8" ht="15" customHeight="1" x14ac:dyDescent="0.15">
      <c r="A20">
        <v>19</v>
      </c>
      <c r="B20" s="140" t="s">
        <v>210</v>
      </c>
      <c r="C20" s="104">
        <v>1</v>
      </c>
      <c r="D20" s="104">
        <v>0</v>
      </c>
      <c r="E20" s="103">
        <v>0</v>
      </c>
      <c r="F20" s="103">
        <f t="shared" si="0"/>
        <v>1</v>
      </c>
      <c r="G20"/>
      <c r="H20"/>
    </row>
    <row r="21" spans="1:8" ht="15" customHeight="1" x14ac:dyDescent="0.15">
      <c r="A21">
        <v>20</v>
      </c>
      <c r="B21" s="140" t="s">
        <v>211</v>
      </c>
      <c r="C21" s="104">
        <v>1</v>
      </c>
      <c r="D21" s="104">
        <v>0</v>
      </c>
      <c r="E21" s="103">
        <v>0</v>
      </c>
      <c r="F21" s="103">
        <f t="shared" si="0"/>
        <v>1</v>
      </c>
      <c r="G21"/>
      <c r="H21"/>
    </row>
    <row r="22" spans="1:8" ht="15" customHeight="1" x14ac:dyDescent="0.15">
      <c r="A22">
        <v>21</v>
      </c>
      <c r="B22" s="140" t="s">
        <v>212</v>
      </c>
      <c r="C22" s="104">
        <v>1</v>
      </c>
      <c r="D22" s="104">
        <v>0</v>
      </c>
      <c r="E22" s="103">
        <v>0</v>
      </c>
      <c r="F22" s="103">
        <f t="shared" si="0"/>
        <v>1</v>
      </c>
      <c r="G22"/>
      <c r="H22"/>
    </row>
    <row r="23" spans="1:8" ht="15" customHeight="1" x14ac:dyDescent="0.15">
      <c r="A23">
        <v>22</v>
      </c>
      <c r="B23" s="140" t="s">
        <v>213</v>
      </c>
      <c r="C23" s="104">
        <v>0</v>
      </c>
      <c r="D23" s="104">
        <v>1</v>
      </c>
      <c r="E23" s="103">
        <v>0</v>
      </c>
      <c r="F23" s="103">
        <f t="shared" si="0"/>
        <v>1</v>
      </c>
      <c r="G23"/>
      <c r="H23"/>
    </row>
    <row r="24" spans="1:8" ht="15" customHeight="1" x14ac:dyDescent="0.15">
      <c r="A24">
        <v>23</v>
      </c>
      <c r="B24" s="140" t="s">
        <v>214</v>
      </c>
      <c r="C24" s="104">
        <v>0</v>
      </c>
      <c r="D24" s="104">
        <v>0</v>
      </c>
      <c r="E24" s="103">
        <v>1</v>
      </c>
      <c r="F24" s="103">
        <f t="shared" si="0"/>
        <v>1</v>
      </c>
      <c r="G24"/>
      <c r="H24"/>
    </row>
    <row r="25" spans="1:8" ht="15" customHeight="1" x14ac:dyDescent="0.15">
      <c r="A25">
        <v>24</v>
      </c>
      <c r="B25" s="140" t="s">
        <v>215</v>
      </c>
      <c r="C25" s="104">
        <v>1</v>
      </c>
      <c r="D25" s="104">
        <v>0</v>
      </c>
      <c r="E25" s="103">
        <v>0</v>
      </c>
      <c r="F25" s="103">
        <f>SUM(C25:E25)</f>
        <v>1</v>
      </c>
      <c r="G25"/>
      <c r="H25"/>
    </row>
    <row r="26" spans="1:8" ht="15" customHeight="1" x14ac:dyDescent="0.15">
      <c r="A26">
        <v>25</v>
      </c>
      <c r="B26" s="140" t="s">
        <v>216</v>
      </c>
      <c r="C26" s="104">
        <v>1</v>
      </c>
      <c r="D26" s="104">
        <v>0</v>
      </c>
      <c r="E26" s="103">
        <v>0</v>
      </c>
      <c r="F26" s="103">
        <f>SUM(C26:E26)</f>
        <v>1</v>
      </c>
      <c r="G26"/>
      <c r="H26"/>
    </row>
    <row r="27" spans="1:8" ht="15" customHeight="1" x14ac:dyDescent="0.15">
      <c r="A27">
        <v>26</v>
      </c>
      <c r="B27" s="140" t="s">
        <v>217</v>
      </c>
      <c r="C27" s="104">
        <v>1</v>
      </c>
      <c r="D27" s="104">
        <v>0</v>
      </c>
      <c r="E27" s="103">
        <v>0</v>
      </c>
      <c r="F27" s="103">
        <f>SUM(C27:E27)</f>
        <v>1</v>
      </c>
      <c r="G27"/>
      <c r="H27"/>
    </row>
    <row r="28" spans="1:8" ht="15" customHeight="1" x14ac:dyDescent="0.15">
      <c r="A28">
        <v>27</v>
      </c>
      <c r="B28" s="140" t="s">
        <v>218</v>
      </c>
      <c r="C28" s="104">
        <v>1</v>
      </c>
      <c r="D28" s="104">
        <v>0</v>
      </c>
      <c r="E28" s="103">
        <v>0</v>
      </c>
      <c r="F28" s="103">
        <f>SUM(C28:E28)</f>
        <v>1</v>
      </c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4"/>
      <c r="F36" s="104"/>
      <c r="G36"/>
      <c r="H36"/>
    </row>
    <row r="37" spans="3:8" ht="15" customHeight="1" x14ac:dyDescent="0.15">
      <c r="C37"/>
      <c r="D37"/>
      <c r="E37" s="104"/>
      <c r="F37" s="104"/>
      <c r="G37"/>
      <c r="H37"/>
    </row>
    <row r="38" spans="3:8" ht="15" customHeight="1" x14ac:dyDescent="0.15">
      <c r="C38"/>
      <c r="D38"/>
      <c r="E38" s="104"/>
      <c r="F38" s="104"/>
      <c r="G38"/>
      <c r="H38"/>
    </row>
    <row r="39" spans="3:8" ht="15" customHeight="1" x14ac:dyDescent="0.15">
      <c r="C39"/>
      <c r="D39"/>
      <c r="E39" s="104"/>
      <c r="F39" s="104"/>
      <c r="G39"/>
      <c r="H39"/>
    </row>
    <row r="40" spans="3:8" ht="15" customHeight="1" x14ac:dyDescent="0.15">
      <c r="C40"/>
      <c r="D40"/>
      <c r="E40" s="104"/>
      <c r="F40" s="104"/>
      <c r="G40"/>
      <c r="H40"/>
    </row>
    <row r="41" spans="3:8" ht="15" customHeight="1" x14ac:dyDescent="0.15">
      <c r="C41"/>
      <c r="D41"/>
      <c r="E41" s="104"/>
      <c r="F41" s="104"/>
      <c r="G41"/>
      <c r="H41"/>
    </row>
    <row r="42" spans="3:8" ht="15" customHeight="1" x14ac:dyDescent="0.15">
      <c r="C42"/>
      <c r="D42"/>
      <c r="E42" s="104"/>
      <c r="F42" s="104"/>
      <c r="G42"/>
      <c r="H42"/>
    </row>
    <row r="43" spans="3:8" ht="15" customHeight="1" x14ac:dyDescent="0.15">
      <c r="C43"/>
      <c r="D43"/>
      <c r="E43" s="104"/>
      <c r="F43" s="104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4"/>
      <c r="F46" s="104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G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83203125" bestFit="1" customWidth="1"/>
    <col min="3" max="3" width="11.83203125" bestFit="1" customWidth="1"/>
    <col min="4" max="4" width="12.83203125" bestFit="1" customWidth="1"/>
    <col min="5" max="5" width="9.83203125" bestFit="1" customWidth="1"/>
    <col min="6" max="7" width="12.83203125" customWidth="1"/>
  </cols>
  <sheetData>
    <row r="1" spans="1:7" s="105" customFormat="1" ht="112" x14ac:dyDescent="0.15">
      <c r="A1" s="5" t="s">
        <v>21</v>
      </c>
      <c r="B1" s="3" t="s">
        <v>0</v>
      </c>
      <c r="C1" s="143" t="s">
        <v>215</v>
      </c>
      <c r="D1" s="143" t="s">
        <v>216</v>
      </c>
      <c r="E1" s="143" t="s">
        <v>217</v>
      </c>
      <c r="F1" s="143" t="s">
        <v>218</v>
      </c>
      <c r="G1" s="143" t="s">
        <v>222</v>
      </c>
    </row>
    <row r="2" spans="1:7" ht="15" customHeight="1" x14ac:dyDescent="0.15">
      <c r="A2">
        <v>1</v>
      </c>
      <c r="B2" s="142" t="s">
        <v>192</v>
      </c>
      <c r="C2">
        <v>0</v>
      </c>
      <c r="D2">
        <v>0</v>
      </c>
      <c r="E2">
        <v>0</v>
      </c>
      <c r="F2">
        <v>7.1250000000000003E-3</v>
      </c>
      <c r="G2">
        <v>7.1250000000000003E-3</v>
      </c>
    </row>
    <row r="3" spans="1:7" ht="15" customHeight="1" x14ac:dyDescent="0.15">
      <c r="A3">
        <v>2</v>
      </c>
      <c r="B3" s="142" t="s">
        <v>193</v>
      </c>
      <c r="C3">
        <v>0</v>
      </c>
      <c r="D3">
        <v>0</v>
      </c>
      <c r="E3">
        <v>0</v>
      </c>
      <c r="F3">
        <v>3.0312500000000001E-3</v>
      </c>
      <c r="G3">
        <v>3.0312500000000001E-3</v>
      </c>
    </row>
    <row r="4" spans="1:7" ht="15" customHeight="1" x14ac:dyDescent="0.15">
      <c r="A4">
        <v>3</v>
      </c>
      <c r="B4" s="142" t="s">
        <v>194</v>
      </c>
      <c r="C4">
        <v>0</v>
      </c>
      <c r="D4">
        <v>0</v>
      </c>
      <c r="E4">
        <v>0</v>
      </c>
      <c r="F4">
        <v>4.2588334499999998E-2</v>
      </c>
      <c r="G4">
        <v>4.2588334499999998E-2</v>
      </c>
    </row>
    <row r="5" spans="1:7" ht="15" customHeight="1" x14ac:dyDescent="0.15">
      <c r="A5">
        <v>4</v>
      </c>
      <c r="B5" s="142" t="s">
        <v>195</v>
      </c>
      <c r="C5">
        <v>0</v>
      </c>
      <c r="D5">
        <v>0</v>
      </c>
      <c r="E5">
        <v>0</v>
      </c>
      <c r="F5">
        <v>1.689851E-3</v>
      </c>
      <c r="G5">
        <v>1.689851E-3</v>
      </c>
    </row>
    <row r="6" spans="1:7" ht="15" customHeight="1" x14ac:dyDescent="0.15">
      <c r="A6">
        <v>5</v>
      </c>
      <c r="B6" s="142" t="s">
        <v>196</v>
      </c>
      <c r="C6">
        <v>0</v>
      </c>
      <c r="D6">
        <v>0</v>
      </c>
      <c r="E6">
        <v>0</v>
      </c>
      <c r="F6">
        <v>3.7125000000000001E-3</v>
      </c>
      <c r="G6">
        <v>3.7125000000000001E-3</v>
      </c>
    </row>
    <row r="7" spans="1:7" ht="15" customHeight="1" x14ac:dyDescent="0.15">
      <c r="A7">
        <v>6</v>
      </c>
      <c r="B7" s="142" t="s">
        <v>197</v>
      </c>
      <c r="C7">
        <v>0</v>
      </c>
      <c r="D7">
        <v>0</v>
      </c>
      <c r="E7">
        <v>0</v>
      </c>
      <c r="F7">
        <v>0</v>
      </c>
      <c r="G7">
        <v>0</v>
      </c>
    </row>
    <row r="8" spans="1:7" ht="15" customHeight="1" x14ac:dyDescent="0.15">
      <c r="A8">
        <v>7</v>
      </c>
      <c r="B8" s="142" t="s">
        <v>198</v>
      </c>
      <c r="C8">
        <v>0</v>
      </c>
      <c r="D8">
        <v>1.99916661E-2</v>
      </c>
      <c r="E8">
        <v>3.5837500000000001E-2</v>
      </c>
      <c r="F8">
        <v>0</v>
      </c>
      <c r="G8">
        <v>5.5829166100000001E-2</v>
      </c>
    </row>
    <row r="9" spans="1:7" ht="15" customHeight="1" x14ac:dyDescent="0.15">
      <c r="A9">
        <v>8</v>
      </c>
      <c r="B9" s="142" t="s">
        <v>199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ht="15" customHeight="1" x14ac:dyDescent="0.15">
      <c r="A10">
        <v>9</v>
      </c>
      <c r="B10" s="142" t="s">
        <v>200</v>
      </c>
      <c r="C10">
        <v>0</v>
      </c>
      <c r="D10">
        <v>4.5083329999999998E-3</v>
      </c>
      <c r="E10">
        <v>0</v>
      </c>
      <c r="F10">
        <v>0</v>
      </c>
      <c r="G10">
        <v>4.5083329999999998E-3</v>
      </c>
    </row>
    <row r="11" spans="1:7" ht="15" customHeight="1" x14ac:dyDescent="0.15">
      <c r="A11">
        <v>10</v>
      </c>
      <c r="B11" s="142" t="s">
        <v>201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ht="15" customHeight="1" x14ac:dyDescent="0.15">
      <c r="A12">
        <v>11</v>
      </c>
      <c r="B12" s="142" t="s">
        <v>202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ht="15" customHeight="1" x14ac:dyDescent="0.15">
      <c r="A13">
        <v>12</v>
      </c>
      <c r="B13" s="142" t="s">
        <v>203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ht="15" customHeight="1" x14ac:dyDescent="0.15">
      <c r="A14">
        <v>13</v>
      </c>
      <c r="B14" s="142" t="s">
        <v>204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ht="15" customHeight="1" x14ac:dyDescent="0.15">
      <c r="A15">
        <v>14</v>
      </c>
      <c r="B15" s="142" t="s">
        <v>205</v>
      </c>
      <c r="C15">
        <v>0</v>
      </c>
      <c r="D15">
        <v>6.7083300000000002E-4</v>
      </c>
      <c r="E15">
        <v>0</v>
      </c>
      <c r="F15">
        <v>0</v>
      </c>
      <c r="G15">
        <v>6.7083300000000002E-4</v>
      </c>
    </row>
    <row r="16" spans="1:7" ht="15" customHeight="1" x14ac:dyDescent="0.15">
      <c r="A16">
        <v>15</v>
      </c>
      <c r="B16" s="142" t="s">
        <v>206</v>
      </c>
      <c r="C16">
        <v>0</v>
      </c>
      <c r="D16">
        <v>1.8479166599999999E-2</v>
      </c>
      <c r="E16">
        <v>0</v>
      </c>
      <c r="F16">
        <v>0</v>
      </c>
      <c r="G16">
        <v>1.8479166599999999E-2</v>
      </c>
    </row>
    <row r="17" spans="1:7" ht="15" customHeight="1" x14ac:dyDescent="0.15">
      <c r="A17">
        <v>16</v>
      </c>
      <c r="B17" s="142" t="s">
        <v>207</v>
      </c>
      <c r="C17">
        <v>0.26666668100000002</v>
      </c>
      <c r="D17">
        <v>0</v>
      </c>
      <c r="E17">
        <v>0</v>
      </c>
      <c r="F17">
        <v>0</v>
      </c>
      <c r="G17">
        <v>0.26666668100000002</v>
      </c>
    </row>
    <row r="18" spans="1:7" ht="15" customHeight="1" x14ac:dyDescent="0.15">
      <c r="A18">
        <v>17</v>
      </c>
      <c r="B18" s="142" t="s">
        <v>208</v>
      </c>
      <c r="C18">
        <v>0</v>
      </c>
      <c r="D18">
        <v>0</v>
      </c>
      <c r="E18">
        <v>0</v>
      </c>
      <c r="F18">
        <v>1.34166665E-2</v>
      </c>
      <c r="G18">
        <v>1.34166665E-2</v>
      </c>
    </row>
    <row r="19" spans="1:7" ht="15" customHeight="1" x14ac:dyDescent="0.15">
      <c r="A19">
        <v>18</v>
      </c>
      <c r="B19" s="142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ht="15" customHeight="1" x14ac:dyDescent="0.15">
      <c r="A20">
        <v>19</v>
      </c>
      <c r="B20" s="142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ht="15" customHeight="1" x14ac:dyDescent="0.15">
      <c r="A21">
        <v>20</v>
      </c>
      <c r="B21" s="142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ht="15" customHeight="1" x14ac:dyDescent="0.15">
      <c r="A22">
        <v>21</v>
      </c>
      <c r="B22" s="142" t="s">
        <v>212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ht="15" customHeight="1" x14ac:dyDescent="0.15">
      <c r="A23">
        <v>22</v>
      </c>
      <c r="B23" s="142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ht="15" customHeight="1" x14ac:dyDescent="0.15">
      <c r="A24">
        <v>23</v>
      </c>
      <c r="B24" s="142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ht="15" customHeight="1" x14ac:dyDescent="0.15"/>
    <row r="26" spans="1:7" ht="15" customHeight="1" x14ac:dyDescent="0.15"/>
    <row r="27" spans="1:7" ht="15" customHeight="1" x14ac:dyDescent="0.15"/>
    <row r="28" spans="1:7" ht="15" customHeight="1" x14ac:dyDescent="0.15"/>
    <row r="29" spans="1:7" ht="15" customHeight="1" x14ac:dyDescent="0.15"/>
    <row r="30" spans="1:7" ht="15" customHeight="1" x14ac:dyDescent="0.15"/>
    <row r="31" spans="1:7" ht="15" customHeight="1" x14ac:dyDescent="0.15"/>
    <row r="32" spans="1:7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G2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83203125" bestFit="1" customWidth="1"/>
    <col min="3" max="3" width="12.83203125" bestFit="1" customWidth="1"/>
    <col min="4" max="4" width="11.83203125" bestFit="1" customWidth="1"/>
    <col min="5" max="5" width="2.33203125" bestFit="1" customWidth="1"/>
    <col min="6" max="6" width="2.33203125" customWidth="1"/>
    <col min="7" max="7" width="12.83203125" customWidth="1"/>
  </cols>
  <sheetData>
    <row r="1" spans="1:7" s="105" customFormat="1" ht="112" x14ac:dyDescent="0.15">
      <c r="A1" s="5" t="s">
        <v>22</v>
      </c>
      <c r="B1" s="3" t="s">
        <v>0</v>
      </c>
      <c r="C1" s="145" t="s">
        <v>215</v>
      </c>
      <c r="D1" s="145" t="s">
        <v>216</v>
      </c>
      <c r="E1" s="145" t="s">
        <v>217</v>
      </c>
      <c r="F1" s="145" t="s">
        <v>218</v>
      </c>
      <c r="G1" s="145" t="s">
        <v>222</v>
      </c>
    </row>
    <row r="2" spans="1:7" x14ac:dyDescent="0.15">
      <c r="A2">
        <v>1</v>
      </c>
      <c r="B2" s="144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44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44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44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>
        <v>5</v>
      </c>
      <c r="B6" s="144" t="s">
        <v>196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15">
      <c r="A7">
        <v>6</v>
      </c>
      <c r="B7" s="144" t="s">
        <v>197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44" t="s">
        <v>198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>
        <v>8</v>
      </c>
      <c r="B9" s="144" t="s">
        <v>199</v>
      </c>
      <c r="C9">
        <v>2.3860329999999999E-2</v>
      </c>
      <c r="D9">
        <v>0</v>
      </c>
      <c r="E9">
        <v>0</v>
      </c>
      <c r="F9">
        <v>0</v>
      </c>
      <c r="G9">
        <v>2.3860329999999999E-2</v>
      </c>
    </row>
    <row r="10" spans="1:7" x14ac:dyDescent="0.15">
      <c r="A10">
        <v>9</v>
      </c>
      <c r="B10" s="144" t="s">
        <v>200</v>
      </c>
      <c r="C10">
        <v>2.6666670000000002E-3</v>
      </c>
      <c r="D10">
        <v>0</v>
      </c>
      <c r="E10">
        <v>0</v>
      </c>
      <c r="F10">
        <v>0</v>
      </c>
      <c r="G10">
        <v>2.6666670000000002E-3</v>
      </c>
    </row>
    <row r="11" spans="1:7" x14ac:dyDescent="0.15">
      <c r="A11">
        <v>10</v>
      </c>
      <c r="B11" s="144" t="s">
        <v>201</v>
      </c>
      <c r="C11">
        <v>2.4012932599999998E-2</v>
      </c>
      <c r="D11">
        <v>0</v>
      </c>
      <c r="E11">
        <v>0</v>
      </c>
      <c r="F11">
        <v>0</v>
      </c>
      <c r="G11">
        <v>2.4012932599999998E-2</v>
      </c>
    </row>
    <row r="12" spans="1:7" x14ac:dyDescent="0.15">
      <c r="A12">
        <v>11</v>
      </c>
      <c r="B12" s="144" t="s">
        <v>202</v>
      </c>
      <c r="C12">
        <v>1.42256711E-2</v>
      </c>
      <c r="D12">
        <v>0</v>
      </c>
      <c r="E12">
        <v>0</v>
      </c>
      <c r="F12">
        <v>0</v>
      </c>
      <c r="G12">
        <v>1.42256711E-2</v>
      </c>
    </row>
    <row r="13" spans="1:7" x14ac:dyDescent="0.15">
      <c r="A13">
        <v>12</v>
      </c>
      <c r="B13" s="144" t="s">
        <v>203</v>
      </c>
      <c r="C13">
        <v>2.5864859999999998E-3</v>
      </c>
      <c r="D13">
        <v>0</v>
      </c>
      <c r="E13">
        <v>0</v>
      </c>
      <c r="F13">
        <v>0</v>
      </c>
      <c r="G13">
        <v>2.5864859999999998E-3</v>
      </c>
    </row>
    <row r="14" spans="1:7" x14ac:dyDescent="0.15">
      <c r="A14">
        <v>13</v>
      </c>
      <c r="B14" s="144" t="s">
        <v>204</v>
      </c>
      <c r="C14">
        <v>1.7846750000000001E-3</v>
      </c>
      <c r="D14">
        <v>0</v>
      </c>
      <c r="E14">
        <v>0</v>
      </c>
      <c r="F14">
        <v>0</v>
      </c>
      <c r="G14">
        <v>1.7846750000000001E-3</v>
      </c>
    </row>
    <row r="15" spans="1:7" x14ac:dyDescent="0.15">
      <c r="A15">
        <v>14</v>
      </c>
      <c r="B15" s="144" t="s">
        <v>205</v>
      </c>
      <c r="C15">
        <v>3.4464919999999998E-3</v>
      </c>
      <c r="D15">
        <v>0</v>
      </c>
      <c r="E15">
        <v>0</v>
      </c>
      <c r="F15">
        <v>0</v>
      </c>
      <c r="G15">
        <v>3.4464919999999998E-3</v>
      </c>
    </row>
    <row r="16" spans="1:7" x14ac:dyDescent="0.15">
      <c r="A16">
        <v>15</v>
      </c>
      <c r="B16" s="144" t="s">
        <v>206</v>
      </c>
      <c r="C16">
        <v>1.1277076800000001E-2</v>
      </c>
      <c r="D16">
        <v>9.95833E-4</v>
      </c>
      <c r="E16">
        <v>0</v>
      </c>
      <c r="F16">
        <v>0</v>
      </c>
      <c r="G16">
        <v>1.2272909800000001E-2</v>
      </c>
    </row>
    <row r="17" spans="1:7" x14ac:dyDescent="0.15">
      <c r="A17">
        <v>16</v>
      </c>
      <c r="B17" s="144" t="s">
        <v>207</v>
      </c>
      <c r="C17">
        <v>2.3551775099999998E-2</v>
      </c>
      <c r="D17">
        <v>0</v>
      </c>
      <c r="E17">
        <v>0</v>
      </c>
      <c r="F17">
        <v>0</v>
      </c>
      <c r="G17">
        <v>2.3551775099999998E-2</v>
      </c>
    </row>
    <row r="18" spans="1:7" x14ac:dyDescent="0.15">
      <c r="A18">
        <v>17</v>
      </c>
      <c r="B18" s="144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44" t="s">
        <v>209</v>
      </c>
      <c r="C19">
        <v>9.0138999999999996E-4</v>
      </c>
      <c r="D19">
        <v>0</v>
      </c>
      <c r="E19">
        <v>0</v>
      </c>
      <c r="F19">
        <v>0</v>
      </c>
      <c r="G19">
        <v>9.0138999999999996E-4</v>
      </c>
    </row>
    <row r="20" spans="1:7" x14ac:dyDescent="0.15">
      <c r="A20">
        <v>19</v>
      </c>
      <c r="B20" s="144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15">
      <c r="A21">
        <v>20</v>
      </c>
      <c r="B21" s="144" t="s">
        <v>211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15">
      <c r="A22">
        <v>21</v>
      </c>
      <c r="B22" s="144" t="s">
        <v>212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15">
      <c r="A23">
        <v>22</v>
      </c>
      <c r="B23" s="144" t="s">
        <v>213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15">
      <c r="A24">
        <v>23</v>
      </c>
      <c r="B24" s="144" t="s">
        <v>214</v>
      </c>
      <c r="C24">
        <v>0</v>
      </c>
      <c r="D24">
        <v>0</v>
      </c>
      <c r="E24">
        <v>0</v>
      </c>
      <c r="F24">
        <v>0</v>
      </c>
      <c r="G2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.83203125" bestFit="1" customWidth="1"/>
    <col min="6" max="6" width="4.83203125" bestFit="1" customWidth="1"/>
    <col min="7" max="9" width="3.83203125" bestFit="1" customWidth="1"/>
    <col min="10" max="11" width="4.83203125" style="10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6" customFormat="1" ht="14" thickBot="1" x14ac:dyDescent="0.2">
      <c r="D1" s="107" t="s">
        <v>8</v>
      </c>
      <c r="E1" s="107" t="s">
        <v>0</v>
      </c>
      <c r="F1" s="108" t="s">
        <v>99</v>
      </c>
      <c r="G1" s="109" t="s">
        <v>84</v>
      </c>
      <c r="H1" s="109" t="s">
        <v>85</v>
      </c>
      <c r="I1" s="109" t="s">
        <v>86</v>
      </c>
      <c r="J1" s="109" t="s">
        <v>87</v>
      </c>
      <c r="K1" s="109" t="s">
        <v>88</v>
      </c>
      <c r="L1" s="110" t="s">
        <v>89</v>
      </c>
      <c r="M1" s="110" t="s">
        <v>93</v>
      </c>
      <c r="N1" s="110" t="s">
        <v>92</v>
      </c>
      <c r="O1" s="110" t="s">
        <v>90</v>
      </c>
      <c r="P1" s="110" t="s">
        <v>91</v>
      </c>
      <c r="Q1" s="111" t="s">
        <v>94</v>
      </c>
      <c r="R1" s="111" t="s">
        <v>95</v>
      </c>
      <c r="S1" s="111" t="s">
        <v>96</v>
      </c>
      <c r="T1" s="111" t="s">
        <v>97</v>
      </c>
      <c r="U1" s="111" t="s">
        <v>98</v>
      </c>
      <c r="V1" s="109" t="s">
        <v>100</v>
      </c>
      <c r="W1" s="109" t="s">
        <v>101</v>
      </c>
      <c r="X1" s="109" t="s">
        <v>102</v>
      </c>
      <c r="Y1" s="109" t="s">
        <v>134</v>
      </c>
      <c r="Z1" s="110" t="s">
        <v>103</v>
      </c>
      <c r="AA1" s="110" t="s">
        <v>104</v>
      </c>
      <c r="AB1" s="110" t="s">
        <v>105</v>
      </c>
      <c r="AC1" s="112" t="s">
        <v>135</v>
      </c>
      <c r="AD1" s="111" t="s">
        <v>106</v>
      </c>
      <c r="AE1" s="111" t="s">
        <v>107</v>
      </c>
      <c r="AF1" s="111" t="s">
        <v>108</v>
      </c>
      <c r="AG1" s="111" t="s">
        <v>136</v>
      </c>
      <c r="AH1" s="109" t="s">
        <v>109</v>
      </c>
      <c r="AI1" s="109" t="s">
        <v>111</v>
      </c>
      <c r="AJ1" s="109" t="s">
        <v>110</v>
      </c>
      <c r="AK1" s="110" t="s">
        <v>115</v>
      </c>
      <c r="AL1" s="110" t="s">
        <v>116</v>
      </c>
      <c r="AM1" s="110" t="s">
        <v>117</v>
      </c>
      <c r="AN1" s="111" t="s">
        <v>112</v>
      </c>
      <c r="AO1" s="111" t="s">
        <v>113</v>
      </c>
      <c r="AP1" s="111" t="s">
        <v>114</v>
      </c>
    </row>
    <row r="2" spans="1:42" x14ac:dyDescent="0.15">
      <c r="A2" s="113" t="s">
        <v>74</v>
      </c>
      <c r="B2" s="114">
        <v>1</v>
      </c>
      <c r="D2">
        <v>1</v>
      </c>
      <c r="E2" s="146" t="s">
        <v>192</v>
      </c>
      <c r="F2">
        <v>0.98</v>
      </c>
      <c r="G2">
        <v>0.8</v>
      </c>
      <c r="H2">
        <v>0.8</v>
      </c>
      <c r="I2">
        <v>0.8</v>
      </c>
      <c r="J2" s="104">
        <v>0.25</v>
      </c>
      <c r="K2" s="104">
        <v>0.05</v>
      </c>
    </row>
    <row r="3" spans="1:42" x14ac:dyDescent="0.15">
      <c r="A3" s="113" t="s">
        <v>75</v>
      </c>
      <c r="B3" s="115">
        <v>1</v>
      </c>
      <c r="D3">
        <v>2</v>
      </c>
      <c r="E3" s="146" t="s">
        <v>193</v>
      </c>
      <c r="F3">
        <v>0.98</v>
      </c>
      <c r="G3">
        <v>0.8</v>
      </c>
      <c r="H3">
        <v>0.8</v>
      </c>
      <c r="I3">
        <v>0.8</v>
      </c>
      <c r="J3" s="104">
        <v>0.25</v>
      </c>
      <c r="K3" s="104">
        <v>0.05</v>
      </c>
    </row>
    <row r="4" spans="1:42" x14ac:dyDescent="0.15">
      <c r="A4" s="113" t="s">
        <v>76</v>
      </c>
      <c r="B4" s="115">
        <v>1</v>
      </c>
      <c r="D4">
        <v>3</v>
      </c>
      <c r="E4" s="146" t="s">
        <v>194</v>
      </c>
      <c r="F4">
        <v>0.98</v>
      </c>
      <c r="G4">
        <v>0.8</v>
      </c>
      <c r="H4">
        <v>0.8</v>
      </c>
      <c r="I4">
        <v>0.8</v>
      </c>
      <c r="J4" s="104">
        <v>0.25</v>
      </c>
      <c r="K4" s="104">
        <v>0.05</v>
      </c>
    </row>
    <row r="5" spans="1:42" x14ac:dyDescent="0.15">
      <c r="A5" s="113" t="s">
        <v>77</v>
      </c>
      <c r="B5" s="115">
        <v>1</v>
      </c>
      <c r="D5">
        <v>4</v>
      </c>
      <c r="E5" s="146" t="s">
        <v>195</v>
      </c>
      <c r="F5">
        <v>0.98</v>
      </c>
      <c r="G5">
        <v>0.8</v>
      </c>
      <c r="H5">
        <v>0.8</v>
      </c>
      <c r="I5">
        <v>0.8</v>
      </c>
      <c r="J5" s="104">
        <v>0.25</v>
      </c>
      <c r="K5" s="104">
        <v>0.05</v>
      </c>
    </row>
    <row r="6" spans="1:42" x14ac:dyDescent="0.15">
      <c r="A6" s="113" t="s">
        <v>78</v>
      </c>
      <c r="B6" s="115">
        <v>1</v>
      </c>
      <c r="D6">
        <v>5</v>
      </c>
      <c r="E6" s="146" t="s">
        <v>196</v>
      </c>
      <c r="F6">
        <v>0.98</v>
      </c>
      <c r="G6">
        <v>0.8</v>
      </c>
      <c r="H6">
        <v>0.8</v>
      </c>
      <c r="I6">
        <v>0.8</v>
      </c>
      <c r="J6" s="104">
        <v>0.25</v>
      </c>
      <c r="K6" s="104">
        <v>0.05</v>
      </c>
    </row>
    <row r="7" spans="1:42" x14ac:dyDescent="0.15">
      <c r="A7" s="113" t="s">
        <v>79</v>
      </c>
      <c r="B7" s="115">
        <v>1</v>
      </c>
      <c r="D7">
        <v>6</v>
      </c>
      <c r="E7" s="146" t="s">
        <v>197</v>
      </c>
      <c r="F7">
        <v>0.98</v>
      </c>
      <c r="G7">
        <v>0.8</v>
      </c>
      <c r="H7">
        <v>0.8</v>
      </c>
      <c r="I7">
        <v>0.8</v>
      </c>
      <c r="J7" s="104">
        <v>0.25</v>
      </c>
      <c r="K7" s="104">
        <v>0.05</v>
      </c>
    </row>
    <row r="8" spans="1:42" x14ac:dyDescent="0.15">
      <c r="A8" s="113" t="s">
        <v>80</v>
      </c>
      <c r="B8" s="115">
        <v>1</v>
      </c>
      <c r="D8">
        <v>7</v>
      </c>
      <c r="E8" s="146" t="s">
        <v>198</v>
      </c>
      <c r="F8">
        <v>0.98</v>
      </c>
      <c r="G8">
        <v>0.8</v>
      </c>
      <c r="H8">
        <v>0.8</v>
      </c>
      <c r="I8">
        <v>0.8</v>
      </c>
      <c r="J8" s="104">
        <v>0.25</v>
      </c>
      <c r="K8" s="104">
        <v>0.05</v>
      </c>
    </row>
    <row r="9" spans="1:42" x14ac:dyDescent="0.15">
      <c r="A9" s="113" t="s">
        <v>81</v>
      </c>
      <c r="B9" s="115">
        <v>0.1</v>
      </c>
      <c r="C9" s="57" t="s">
        <v>150</v>
      </c>
      <c r="D9">
        <v>8</v>
      </c>
      <c r="E9" s="146" t="s">
        <v>199</v>
      </c>
      <c r="F9">
        <v>0.98</v>
      </c>
      <c r="G9">
        <v>0.8</v>
      </c>
      <c r="H9">
        <v>0.8</v>
      </c>
      <c r="I9">
        <v>0.8</v>
      </c>
      <c r="J9" s="104">
        <v>0.25</v>
      </c>
      <c r="K9" s="104">
        <v>0.05</v>
      </c>
    </row>
    <row r="10" spans="1:42" ht="14" thickBot="1" x14ac:dyDescent="0.2">
      <c r="A10" s="113" t="s">
        <v>149</v>
      </c>
      <c r="B10" s="116">
        <f>1/3</f>
        <v>0.33333333333333331</v>
      </c>
      <c r="C10" s="57" t="s">
        <v>150</v>
      </c>
      <c r="D10">
        <v>9</v>
      </c>
      <c r="E10" s="146" t="s">
        <v>200</v>
      </c>
      <c r="F10">
        <v>0.98</v>
      </c>
      <c r="G10">
        <v>0.8</v>
      </c>
      <c r="H10">
        <v>0.8</v>
      </c>
      <c r="I10">
        <v>0.8</v>
      </c>
      <c r="J10" s="104">
        <v>0.25</v>
      </c>
      <c r="K10" s="104">
        <v>0.05</v>
      </c>
    </row>
    <row r="11" spans="1:42" x14ac:dyDescent="0.15">
      <c r="D11">
        <v>10</v>
      </c>
      <c r="E11" s="146" t="s">
        <v>201</v>
      </c>
      <c r="F11">
        <v>0.98</v>
      </c>
      <c r="G11">
        <v>0.8</v>
      </c>
      <c r="H11">
        <v>0.8</v>
      </c>
      <c r="I11">
        <v>0.8</v>
      </c>
      <c r="J11" s="104">
        <v>0.25</v>
      </c>
      <c r="K11" s="104">
        <v>0.05</v>
      </c>
    </row>
    <row r="12" spans="1:42" x14ac:dyDescent="0.15">
      <c r="D12">
        <v>11</v>
      </c>
      <c r="E12" s="146" t="s">
        <v>202</v>
      </c>
      <c r="F12">
        <v>0.98</v>
      </c>
      <c r="G12">
        <v>0.8</v>
      </c>
      <c r="H12">
        <v>0.8</v>
      </c>
      <c r="I12">
        <v>0.8</v>
      </c>
      <c r="J12" s="104">
        <v>0.25</v>
      </c>
      <c r="K12" s="104">
        <v>0.05</v>
      </c>
    </row>
    <row r="13" spans="1:42" x14ac:dyDescent="0.15">
      <c r="D13">
        <v>12</v>
      </c>
      <c r="E13" s="146" t="s">
        <v>203</v>
      </c>
      <c r="F13">
        <v>0.98</v>
      </c>
      <c r="G13">
        <v>0.8</v>
      </c>
      <c r="H13">
        <v>0.8</v>
      </c>
      <c r="I13">
        <v>0.8</v>
      </c>
      <c r="J13" s="104">
        <v>0.25</v>
      </c>
      <c r="K13" s="104">
        <v>0.05</v>
      </c>
    </row>
    <row r="14" spans="1:42" x14ac:dyDescent="0.15">
      <c r="D14">
        <v>13</v>
      </c>
      <c r="E14" s="146" t="s">
        <v>204</v>
      </c>
      <c r="F14">
        <v>0.98</v>
      </c>
      <c r="G14">
        <v>0.8</v>
      </c>
      <c r="H14">
        <v>0.8</v>
      </c>
      <c r="I14">
        <v>0.8</v>
      </c>
      <c r="J14" s="104">
        <v>0.25</v>
      </c>
      <c r="K14" s="104">
        <v>0.05</v>
      </c>
    </row>
    <row r="15" spans="1:42" x14ac:dyDescent="0.15">
      <c r="D15">
        <v>14</v>
      </c>
      <c r="E15" s="146" t="s">
        <v>205</v>
      </c>
      <c r="F15">
        <v>0.98</v>
      </c>
      <c r="G15">
        <v>0.8</v>
      </c>
      <c r="H15">
        <v>0.8</v>
      </c>
      <c r="I15">
        <v>0.8</v>
      </c>
      <c r="J15" s="104">
        <v>0.25</v>
      </c>
      <c r="K15" s="104">
        <v>0.05</v>
      </c>
    </row>
    <row r="16" spans="1:42" x14ac:dyDescent="0.15">
      <c r="D16">
        <v>15</v>
      </c>
      <c r="E16" s="146" t="s">
        <v>206</v>
      </c>
      <c r="F16">
        <v>0.98</v>
      </c>
      <c r="G16">
        <v>0.8</v>
      </c>
      <c r="H16">
        <v>0.8</v>
      </c>
      <c r="I16">
        <v>0.8</v>
      </c>
      <c r="J16" s="104">
        <v>0.25</v>
      </c>
      <c r="K16" s="104">
        <v>0.05</v>
      </c>
    </row>
    <row r="17" spans="4:33" ht="15" customHeight="1" x14ac:dyDescent="0.15">
      <c r="D17">
        <v>16</v>
      </c>
      <c r="E17" s="146" t="s">
        <v>207</v>
      </c>
      <c r="F17">
        <v>0.98</v>
      </c>
      <c r="G17">
        <v>0.8</v>
      </c>
      <c r="H17">
        <v>0.8</v>
      </c>
      <c r="I17">
        <v>0.8</v>
      </c>
      <c r="J17" s="104">
        <v>0.25</v>
      </c>
      <c r="K17" s="104">
        <v>0.05</v>
      </c>
    </row>
    <row r="18" spans="4:33" ht="15" customHeight="1" x14ac:dyDescent="0.15">
      <c r="D18">
        <v>17</v>
      </c>
      <c r="E18" s="146" t="s">
        <v>208</v>
      </c>
      <c r="F18">
        <v>0.98</v>
      </c>
      <c r="G18">
        <v>0.8</v>
      </c>
      <c r="H18">
        <v>0.8</v>
      </c>
      <c r="I18">
        <v>0.8</v>
      </c>
      <c r="J18" s="104">
        <v>0.25</v>
      </c>
      <c r="K18" s="104">
        <v>0.05</v>
      </c>
    </row>
    <row r="19" spans="4:33" ht="15" customHeight="1" x14ac:dyDescent="0.15">
      <c r="D19">
        <v>18</v>
      </c>
      <c r="E19" s="146" t="s">
        <v>209</v>
      </c>
      <c r="F19">
        <v>0.98</v>
      </c>
      <c r="G19">
        <v>0.8</v>
      </c>
      <c r="H19">
        <v>0.8</v>
      </c>
      <c r="I19">
        <v>0.8</v>
      </c>
      <c r="J19" s="104">
        <v>0.25</v>
      </c>
      <c r="K19" s="104">
        <v>0.05</v>
      </c>
    </row>
    <row r="20" spans="4:33" ht="15" customHeight="1" x14ac:dyDescent="0.15">
      <c r="D20">
        <v>19</v>
      </c>
      <c r="E20" s="146" t="s">
        <v>210</v>
      </c>
      <c r="F20">
        <v>0.98</v>
      </c>
      <c r="G20">
        <v>0.8</v>
      </c>
      <c r="H20">
        <v>0.8</v>
      </c>
      <c r="I20">
        <v>0.8</v>
      </c>
      <c r="J20" s="104">
        <v>0.25</v>
      </c>
      <c r="K20" s="104">
        <v>0.05</v>
      </c>
    </row>
    <row r="21" spans="4:33" ht="15" customHeight="1" x14ac:dyDescent="0.15">
      <c r="D21">
        <v>20</v>
      </c>
      <c r="E21" s="146" t="s">
        <v>211</v>
      </c>
      <c r="F21">
        <v>0.98</v>
      </c>
      <c r="G21">
        <v>0.8</v>
      </c>
      <c r="H21">
        <v>0.8</v>
      </c>
      <c r="I21">
        <v>0.8</v>
      </c>
      <c r="J21" s="104">
        <v>0.25</v>
      </c>
      <c r="K21" s="104">
        <v>0.05</v>
      </c>
    </row>
    <row r="22" spans="4:33" ht="15" customHeight="1" x14ac:dyDescent="0.15">
      <c r="D22">
        <v>21</v>
      </c>
      <c r="E22" s="146" t="s">
        <v>212</v>
      </c>
      <c r="F22">
        <v>0.98</v>
      </c>
      <c r="G22">
        <v>0.8</v>
      </c>
      <c r="H22">
        <v>0.8</v>
      </c>
      <c r="I22">
        <v>0</v>
      </c>
      <c r="J22" s="104">
        <v>0</v>
      </c>
      <c r="K22" s="104">
        <v>0</v>
      </c>
    </row>
    <row r="23" spans="4:33" ht="15" customHeight="1" x14ac:dyDescent="0.15">
      <c r="D23">
        <v>22</v>
      </c>
      <c r="E23" s="146" t="s">
        <v>213</v>
      </c>
      <c r="F23">
        <v>0.98</v>
      </c>
      <c r="G23">
        <v>0.8</v>
      </c>
      <c r="H23">
        <v>0</v>
      </c>
      <c r="I23">
        <v>0</v>
      </c>
      <c r="J23" s="104">
        <v>0</v>
      </c>
      <c r="K23" s="104">
        <v>0</v>
      </c>
    </row>
    <row r="24" spans="4:33" ht="15" customHeight="1" x14ac:dyDescent="0.15">
      <c r="D24">
        <v>23</v>
      </c>
      <c r="E24" s="146" t="s">
        <v>214</v>
      </c>
      <c r="F24">
        <v>0.98</v>
      </c>
      <c r="G24">
        <v>0.8</v>
      </c>
      <c r="H24">
        <v>0</v>
      </c>
      <c r="I24">
        <v>0</v>
      </c>
      <c r="J24" s="104">
        <v>0</v>
      </c>
      <c r="K24" s="104">
        <v>0</v>
      </c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83203125" style="102" bestFit="1" customWidth="1"/>
    <col min="2" max="21" width="3.83203125" style="102" customWidth="1"/>
    <col min="22" max="24" width="2.33203125" style="102" customWidth="1"/>
    <col min="25" max="16384" width="10.83203125" style="102"/>
  </cols>
  <sheetData>
    <row r="1" spans="1:30" x14ac:dyDescent="0.15">
      <c r="A1" s="59" t="s">
        <v>118</v>
      </c>
      <c r="B1" s="148" t="s">
        <v>192</v>
      </c>
      <c r="C1" s="148" t="s">
        <v>193</v>
      </c>
      <c r="D1" s="148" t="s">
        <v>194</v>
      </c>
      <c r="E1" s="148" t="s">
        <v>195</v>
      </c>
      <c r="F1" s="148" t="s">
        <v>196</v>
      </c>
      <c r="G1" s="148" t="s">
        <v>197</v>
      </c>
      <c r="H1" s="148" t="s">
        <v>198</v>
      </c>
      <c r="I1" s="148" t="s">
        <v>199</v>
      </c>
      <c r="J1" s="148" t="s">
        <v>200</v>
      </c>
      <c r="K1" s="148" t="s">
        <v>201</v>
      </c>
      <c r="L1" s="148" t="s">
        <v>202</v>
      </c>
      <c r="M1" s="148" t="s">
        <v>203</v>
      </c>
      <c r="N1" s="148" t="s">
        <v>204</v>
      </c>
      <c r="O1" s="148" t="s">
        <v>205</v>
      </c>
      <c r="P1" s="148" t="s">
        <v>206</v>
      </c>
      <c r="Q1" s="148" t="s">
        <v>207</v>
      </c>
      <c r="R1" s="148" t="s">
        <v>208</v>
      </c>
      <c r="S1" s="148" t="s">
        <v>209</v>
      </c>
      <c r="T1" s="148" t="s">
        <v>210</v>
      </c>
      <c r="U1" s="148" t="s">
        <v>211</v>
      </c>
      <c r="V1" s="148" t="s">
        <v>212</v>
      </c>
      <c r="W1" s="148" t="s">
        <v>213</v>
      </c>
      <c r="X1" s="148" t="s">
        <v>214</v>
      </c>
      <c r="Y1"/>
      <c r="Z1"/>
      <c r="AA1"/>
      <c r="AB1"/>
      <c r="AC1"/>
      <c r="AD1"/>
    </row>
    <row r="2" spans="1:30" customFormat="1" x14ac:dyDescent="0.15">
      <c r="A2" s="147" t="s">
        <v>192</v>
      </c>
      <c r="B2" s="102">
        <v>0</v>
      </c>
      <c r="C2" s="102">
        <v>0</v>
      </c>
      <c r="D2" s="102">
        <v>0</v>
      </c>
      <c r="E2" s="102">
        <v>0</v>
      </c>
      <c r="F2" s="102">
        <v>0</v>
      </c>
      <c r="G2" s="102">
        <v>0</v>
      </c>
      <c r="H2" s="102">
        <v>0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  <c r="X2" s="102">
        <v>0</v>
      </c>
    </row>
    <row r="3" spans="1:30" customFormat="1" x14ac:dyDescent="0.15">
      <c r="A3" s="147" t="s">
        <v>193</v>
      </c>
      <c r="B3" s="102">
        <v>0</v>
      </c>
      <c r="C3" s="102">
        <v>0</v>
      </c>
      <c r="D3" s="102">
        <v>0</v>
      </c>
      <c r="E3" s="102">
        <v>0</v>
      </c>
      <c r="F3" s="102">
        <v>0</v>
      </c>
      <c r="G3" s="102">
        <v>0</v>
      </c>
      <c r="H3" s="102">
        <v>0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</row>
    <row r="4" spans="1:30" customFormat="1" x14ac:dyDescent="0.15">
      <c r="A4" s="147" t="s">
        <v>194</v>
      </c>
      <c r="B4" s="102">
        <v>0</v>
      </c>
      <c r="C4" s="102">
        <v>0.8</v>
      </c>
      <c r="D4" s="102">
        <v>0</v>
      </c>
      <c r="E4" s="102">
        <v>0</v>
      </c>
      <c r="F4" s="102">
        <v>0</v>
      </c>
      <c r="G4" s="102">
        <v>0</v>
      </c>
      <c r="H4" s="102">
        <v>0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  <c r="X4" s="102">
        <v>0</v>
      </c>
    </row>
    <row r="5" spans="1:30" customFormat="1" x14ac:dyDescent="0.15">
      <c r="A5" s="147" t="s">
        <v>195</v>
      </c>
      <c r="B5" s="102">
        <v>0</v>
      </c>
      <c r="C5" s="102">
        <v>0</v>
      </c>
      <c r="D5" s="102">
        <v>0</v>
      </c>
      <c r="E5" s="102">
        <v>0</v>
      </c>
      <c r="F5" s="102">
        <v>0</v>
      </c>
      <c r="G5" s="102">
        <v>0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  <c r="W5" s="102">
        <v>0</v>
      </c>
      <c r="X5" s="102">
        <v>0</v>
      </c>
    </row>
    <row r="6" spans="1:30" customFormat="1" x14ac:dyDescent="0.15">
      <c r="A6" s="147" t="s">
        <v>196</v>
      </c>
      <c r="B6" s="102">
        <v>0</v>
      </c>
      <c r="C6" s="102">
        <v>0</v>
      </c>
      <c r="D6" s="102">
        <v>0</v>
      </c>
      <c r="E6" s="102">
        <v>0</v>
      </c>
      <c r="F6" s="102">
        <v>0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</row>
    <row r="7" spans="1:30" customFormat="1" x14ac:dyDescent="0.15">
      <c r="A7" s="147" t="s">
        <v>197</v>
      </c>
      <c r="B7" s="102">
        <v>0</v>
      </c>
      <c r="C7" s="102">
        <v>0</v>
      </c>
      <c r="D7" s="102">
        <v>0</v>
      </c>
      <c r="E7" s="102">
        <v>0</v>
      </c>
      <c r="F7" s="102">
        <v>0.8</v>
      </c>
      <c r="G7" s="102">
        <v>0.8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  <c r="X7" s="102">
        <v>0</v>
      </c>
    </row>
    <row r="8" spans="1:30" customFormat="1" x14ac:dyDescent="0.15">
      <c r="A8" s="147" t="s">
        <v>198</v>
      </c>
      <c r="B8" s="102">
        <v>0</v>
      </c>
      <c r="C8" s="102">
        <v>0.8</v>
      </c>
      <c r="D8" s="102">
        <v>0</v>
      </c>
      <c r="E8" s="102">
        <v>0</v>
      </c>
      <c r="F8" s="102">
        <v>0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  <c r="W8" s="102">
        <v>0</v>
      </c>
      <c r="X8" s="102">
        <v>0</v>
      </c>
    </row>
    <row r="9" spans="1:30" customFormat="1" x14ac:dyDescent="0.15">
      <c r="A9" s="147" t="s">
        <v>199</v>
      </c>
      <c r="B9" s="102">
        <v>0</v>
      </c>
      <c r="C9" s="102">
        <v>0.8</v>
      </c>
      <c r="D9" s="102">
        <v>0.8</v>
      </c>
      <c r="E9" s="102">
        <v>0</v>
      </c>
      <c r="F9" s="102">
        <v>0</v>
      </c>
      <c r="G9" s="102">
        <v>0</v>
      </c>
      <c r="H9" s="102">
        <v>0.8</v>
      </c>
      <c r="I9" s="102">
        <v>0.8</v>
      </c>
      <c r="J9" s="102">
        <v>0.8</v>
      </c>
      <c r="K9" s="102">
        <v>0.8</v>
      </c>
      <c r="L9" s="102">
        <v>0</v>
      </c>
      <c r="M9" s="102">
        <v>0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0</v>
      </c>
      <c r="X9" s="102">
        <v>0</v>
      </c>
    </row>
    <row r="10" spans="1:30" customFormat="1" x14ac:dyDescent="0.15">
      <c r="A10" s="147" t="s">
        <v>200</v>
      </c>
      <c r="B10" s="102">
        <v>0</v>
      </c>
      <c r="C10" s="102">
        <v>0.8</v>
      </c>
      <c r="D10" s="102">
        <v>0.8</v>
      </c>
      <c r="E10" s="102">
        <v>0</v>
      </c>
      <c r="F10" s="102">
        <v>0.8</v>
      </c>
      <c r="G10" s="102">
        <v>0</v>
      </c>
      <c r="H10" s="102">
        <v>0.8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  <c r="X10" s="102">
        <v>0</v>
      </c>
    </row>
    <row r="11" spans="1:30" customFormat="1" x14ac:dyDescent="0.15">
      <c r="A11" s="147" t="s">
        <v>201</v>
      </c>
      <c r="B11" s="102">
        <v>0</v>
      </c>
      <c r="C11" s="102">
        <v>0.8</v>
      </c>
      <c r="D11" s="102">
        <v>0.8</v>
      </c>
      <c r="E11" s="102">
        <v>0</v>
      </c>
      <c r="F11" s="102">
        <v>0.8</v>
      </c>
      <c r="G11" s="102">
        <v>0.8</v>
      </c>
      <c r="H11" s="102">
        <v>0.8</v>
      </c>
      <c r="I11" s="102">
        <v>0.8</v>
      </c>
      <c r="J11" s="102">
        <v>0.8</v>
      </c>
      <c r="K11" s="102">
        <v>0.8</v>
      </c>
      <c r="L11" s="102">
        <v>0</v>
      </c>
      <c r="M11" s="102">
        <v>0.8</v>
      </c>
      <c r="N11" s="102">
        <v>0</v>
      </c>
      <c r="O11" s="102">
        <v>0</v>
      </c>
      <c r="P11" s="102">
        <v>0.8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  <c r="W11" s="102">
        <v>0</v>
      </c>
      <c r="X11" s="102">
        <v>0</v>
      </c>
    </row>
    <row r="12" spans="1:30" customFormat="1" x14ac:dyDescent="0.15">
      <c r="A12" s="147" t="s">
        <v>202</v>
      </c>
      <c r="B12" s="102">
        <v>0</v>
      </c>
      <c r="C12" s="102">
        <v>0.8</v>
      </c>
      <c r="D12" s="102">
        <v>0.8</v>
      </c>
      <c r="E12" s="102">
        <v>0.8</v>
      </c>
      <c r="F12" s="102">
        <v>0.8</v>
      </c>
      <c r="G12" s="102">
        <v>0</v>
      </c>
      <c r="H12" s="102">
        <v>0.8</v>
      </c>
      <c r="I12" s="102">
        <v>0.8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0.8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102">
        <v>0</v>
      </c>
    </row>
    <row r="13" spans="1:30" customFormat="1" x14ac:dyDescent="0.15">
      <c r="A13" s="147" t="s">
        <v>203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  <c r="W13" s="102">
        <v>0</v>
      </c>
      <c r="X13" s="102">
        <v>0</v>
      </c>
    </row>
    <row r="14" spans="1:30" customFormat="1" x14ac:dyDescent="0.15">
      <c r="A14" s="147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0.8</v>
      </c>
      <c r="G14" s="102">
        <v>0</v>
      </c>
      <c r="H14" s="102">
        <v>0.8</v>
      </c>
      <c r="I14" s="102">
        <v>0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0.8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  <c r="W14" s="102">
        <v>0</v>
      </c>
      <c r="X14" s="102">
        <v>0</v>
      </c>
    </row>
    <row r="15" spans="1:30" customFormat="1" x14ac:dyDescent="0.15">
      <c r="A15" s="147" t="s">
        <v>205</v>
      </c>
      <c r="B15" s="102">
        <v>0.8</v>
      </c>
      <c r="C15" s="102">
        <v>0.8</v>
      </c>
      <c r="D15" s="102">
        <v>0.8</v>
      </c>
      <c r="E15" s="102">
        <v>0.8</v>
      </c>
      <c r="F15" s="102">
        <v>0.8</v>
      </c>
      <c r="G15" s="102">
        <v>0.8</v>
      </c>
      <c r="H15" s="102">
        <v>0.8</v>
      </c>
      <c r="I15" s="102">
        <v>0.8</v>
      </c>
      <c r="J15" s="102">
        <v>0.8</v>
      </c>
      <c r="K15" s="102">
        <v>0</v>
      </c>
      <c r="L15" s="102">
        <v>0</v>
      </c>
      <c r="M15" s="102">
        <v>0</v>
      </c>
      <c r="N15" s="102">
        <v>0</v>
      </c>
      <c r="O15" s="102">
        <v>0.8</v>
      </c>
      <c r="P15" s="102">
        <v>0.8</v>
      </c>
      <c r="Q15" s="102">
        <v>0</v>
      </c>
      <c r="R15" s="102">
        <v>0</v>
      </c>
      <c r="S15" s="102">
        <v>0.8</v>
      </c>
      <c r="T15" s="102">
        <v>0</v>
      </c>
      <c r="U15" s="102">
        <v>0</v>
      </c>
      <c r="V15" s="102">
        <v>0</v>
      </c>
      <c r="W15" s="102">
        <v>0</v>
      </c>
      <c r="X15" s="102">
        <v>0</v>
      </c>
    </row>
    <row r="16" spans="1:30" customFormat="1" x14ac:dyDescent="0.15">
      <c r="A16" s="147" t="s">
        <v>206</v>
      </c>
      <c r="B16" s="102">
        <v>0.8</v>
      </c>
      <c r="C16" s="102">
        <v>0.8</v>
      </c>
      <c r="D16" s="102">
        <v>0.8</v>
      </c>
      <c r="E16" s="102">
        <v>0</v>
      </c>
      <c r="F16" s="102">
        <v>0.8</v>
      </c>
      <c r="G16" s="102">
        <v>0.8</v>
      </c>
      <c r="H16" s="102">
        <v>0.8</v>
      </c>
      <c r="I16" s="102">
        <v>0.8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0</v>
      </c>
      <c r="P16" s="102">
        <v>0.8</v>
      </c>
      <c r="Q16" s="102">
        <v>0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  <c r="W16" s="102">
        <v>0</v>
      </c>
      <c r="X16" s="102">
        <v>0</v>
      </c>
    </row>
    <row r="17" spans="1:24" customFormat="1" x14ac:dyDescent="0.15">
      <c r="A17" s="147" t="s">
        <v>207</v>
      </c>
      <c r="B17" s="102">
        <v>0</v>
      </c>
      <c r="C17" s="102">
        <v>0.8</v>
      </c>
      <c r="D17" s="102">
        <v>0.8</v>
      </c>
      <c r="E17" s="102">
        <v>0</v>
      </c>
      <c r="F17" s="102">
        <v>0.8</v>
      </c>
      <c r="G17" s="102">
        <v>0.8</v>
      </c>
      <c r="H17" s="102">
        <v>0.8</v>
      </c>
      <c r="I17" s="102">
        <v>0.8</v>
      </c>
      <c r="J17" s="102">
        <v>0.8</v>
      </c>
      <c r="K17" s="102">
        <v>0.8</v>
      </c>
      <c r="L17" s="102">
        <v>0</v>
      </c>
      <c r="M17" s="102">
        <v>0.8</v>
      </c>
      <c r="N17" s="102">
        <v>0.8</v>
      </c>
      <c r="O17" s="102">
        <v>0</v>
      </c>
      <c r="P17" s="102">
        <v>0.8</v>
      </c>
      <c r="Q17" s="102">
        <v>0</v>
      </c>
      <c r="R17" s="102">
        <v>0</v>
      </c>
      <c r="S17" s="102">
        <v>0</v>
      </c>
      <c r="T17" s="102">
        <v>0</v>
      </c>
      <c r="U17" s="102">
        <v>0</v>
      </c>
      <c r="V17" s="102">
        <v>0</v>
      </c>
      <c r="W17" s="102">
        <v>0</v>
      </c>
      <c r="X17" s="102">
        <v>0</v>
      </c>
    </row>
    <row r="18" spans="1:24" customFormat="1" x14ac:dyDescent="0.15">
      <c r="A18" s="147" t="s">
        <v>208</v>
      </c>
      <c r="B18" s="102">
        <v>0</v>
      </c>
      <c r="C18" s="102">
        <v>0.8</v>
      </c>
      <c r="D18" s="102">
        <v>0</v>
      </c>
      <c r="E18" s="102">
        <v>0.8</v>
      </c>
      <c r="F18" s="102">
        <v>0.8</v>
      </c>
      <c r="G18" s="102">
        <v>0.8</v>
      </c>
      <c r="H18" s="102">
        <v>0.8</v>
      </c>
      <c r="I18" s="102">
        <v>0.8</v>
      </c>
      <c r="J18" s="102">
        <v>0.8</v>
      </c>
      <c r="K18" s="102">
        <v>0</v>
      </c>
      <c r="L18" s="102">
        <v>0</v>
      </c>
      <c r="M18" s="102">
        <v>0.8</v>
      </c>
      <c r="N18" s="102">
        <v>0.8</v>
      </c>
      <c r="O18" s="102">
        <v>0.8</v>
      </c>
      <c r="P18" s="102">
        <v>0.8</v>
      </c>
      <c r="Q18" s="102">
        <v>0.8</v>
      </c>
      <c r="R18" s="102">
        <v>0.8</v>
      </c>
      <c r="S18" s="102">
        <v>0</v>
      </c>
      <c r="T18" s="102">
        <v>0</v>
      </c>
      <c r="U18" s="102">
        <v>0</v>
      </c>
      <c r="V18" s="102">
        <v>0</v>
      </c>
      <c r="W18" s="102">
        <v>0</v>
      </c>
      <c r="X18" s="102">
        <v>0</v>
      </c>
    </row>
    <row r="19" spans="1:24" customFormat="1" x14ac:dyDescent="0.15">
      <c r="A19" s="147" t="s">
        <v>209</v>
      </c>
      <c r="B19" s="102">
        <v>0</v>
      </c>
      <c r="C19" s="102">
        <v>0.8</v>
      </c>
      <c r="D19" s="102">
        <v>0.8</v>
      </c>
      <c r="E19" s="102">
        <v>0.8</v>
      </c>
      <c r="F19" s="102">
        <v>0.8</v>
      </c>
      <c r="G19" s="102">
        <v>0</v>
      </c>
      <c r="H19" s="102">
        <v>0.8</v>
      </c>
      <c r="I19" s="102">
        <v>0.8</v>
      </c>
      <c r="J19" s="102">
        <v>0.8</v>
      </c>
      <c r="K19" s="102">
        <v>0.8</v>
      </c>
      <c r="L19" s="102">
        <v>0</v>
      </c>
      <c r="M19" s="102">
        <v>0</v>
      </c>
      <c r="N19" s="102">
        <v>0</v>
      </c>
      <c r="O19" s="102">
        <v>0.8</v>
      </c>
      <c r="P19" s="102">
        <v>0.8</v>
      </c>
      <c r="Q19" s="102">
        <v>0</v>
      </c>
      <c r="R19" s="102">
        <v>0</v>
      </c>
      <c r="S19" s="102">
        <v>0.8</v>
      </c>
      <c r="T19" s="102">
        <v>0</v>
      </c>
      <c r="U19" s="102">
        <v>0</v>
      </c>
      <c r="V19" s="102">
        <v>0</v>
      </c>
      <c r="W19" s="102">
        <v>0</v>
      </c>
      <c r="X19" s="102">
        <v>0</v>
      </c>
    </row>
    <row r="20" spans="1:24" customFormat="1" x14ac:dyDescent="0.15">
      <c r="A20" s="147" t="s">
        <v>210</v>
      </c>
      <c r="B20" s="102">
        <v>0.8</v>
      </c>
      <c r="C20" s="102">
        <v>0.8</v>
      </c>
      <c r="D20" s="102">
        <v>0.8</v>
      </c>
      <c r="E20" s="102">
        <v>0.8</v>
      </c>
      <c r="F20" s="102">
        <v>0.8</v>
      </c>
      <c r="G20" s="102">
        <v>0.8</v>
      </c>
      <c r="H20" s="102">
        <v>0</v>
      </c>
      <c r="I20" s="102">
        <v>0.8</v>
      </c>
      <c r="J20" s="102">
        <v>0.8</v>
      </c>
      <c r="K20" s="102">
        <v>0.8</v>
      </c>
      <c r="L20" s="102">
        <v>0.8</v>
      </c>
      <c r="M20" s="102">
        <v>0.8</v>
      </c>
      <c r="N20" s="102">
        <v>0</v>
      </c>
      <c r="O20" s="102">
        <v>0.8</v>
      </c>
      <c r="P20" s="102">
        <v>0.8</v>
      </c>
      <c r="Q20" s="102">
        <v>0.8</v>
      </c>
      <c r="R20" s="102">
        <v>0.8</v>
      </c>
      <c r="S20" s="102">
        <v>0.8</v>
      </c>
      <c r="T20" s="102">
        <v>0.8</v>
      </c>
      <c r="U20" s="102">
        <v>0</v>
      </c>
      <c r="V20" s="102">
        <v>0</v>
      </c>
      <c r="W20" s="102">
        <v>0</v>
      </c>
      <c r="X20" s="102">
        <v>0</v>
      </c>
    </row>
    <row r="21" spans="1:24" customFormat="1" x14ac:dyDescent="0.15">
      <c r="A21" s="147" t="s">
        <v>211</v>
      </c>
      <c r="B21" s="102">
        <v>0.8</v>
      </c>
      <c r="C21" s="102">
        <v>0</v>
      </c>
      <c r="D21" s="102">
        <v>0</v>
      </c>
      <c r="E21" s="102">
        <v>0</v>
      </c>
      <c r="F21" s="102">
        <v>0.8</v>
      </c>
      <c r="G21" s="102">
        <v>0.8</v>
      </c>
      <c r="H21" s="102">
        <v>0</v>
      </c>
      <c r="I21" s="102">
        <v>0</v>
      </c>
      <c r="J21" s="102">
        <v>0.8</v>
      </c>
      <c r="K21" s="102">
        <v>0.8</v>
      </c>
      <c r="L21" s="102">
        <v>0.8</v>
      </c>
      <c r="M21" s="102">
        <v>0</v>
      </c>
      <c r="N21" s="102">
        <v>0</v>
      </c>
      <c r="O21" s="102">
        <v>0.8</v>
      </c>
      <c r="P21" s="102">
        <v>0</v>
      </c>
      <c r="Q21" s="102">
        <v>0.8</v>
      </c>
      <c r="R21" s="102">
        <v>0.8</v>
      </c>
      <c r="S21" s="102">
        <v>0.8</v>
      </c>
      <c r="T21" s="102">
        <v>0.8</v>
      </c>
      <c r="U21" s="102">
        <v>0.8</v>
      </c>
      <c r="V21" s="102">
        <v>0</v>
      </c>
      <c r="W21" s="102">
        <v>0</v>
      </c>
      <c r="X21" s="102">
        <v>0</v>
      </c>
    </row>
    <row r="22" spans="1:24" customFormat="1" x14ac:dyDescent="0.15">
      <c r="A22" s="147" t="s">
        <v>212</v>
      </c>
      <c r="B22" s="102">
        <v>0</v>
      </c>
      <c r="C22" s="102">
        <v>0</v>
      </c>
      <c r="D22" s="102">
        <v>0</v>
      </c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0.8</v>
      </c>
      <c r="R22" s="102">
        <v>0.8</v>
      </c>
      <c r="S22" s="102">
        <v>0</v>
      </c>
      <c r="T22" s="102">
        <v>0.8</v>
      </c>
      <c r="U22" s="102">
        <v>0.8</v>
      </c>
      <c r="V22" s="102">
        <v>0</v>
      </c>
      <c r="W22" s="102">
        <v>0</v>
      </c>
      <c r="X22" s="102">
        <v>0</v>
      </c>
    </row>
    <row r="23" spans="1:24" customFormat="1" x14ac:dyDescent="0.15">
      <c r="A23" s="147" t="s">
        <v>213</v>
      </c>
      <c r="B23" s="102">
        <v>0</v>
      </c>
      <c r="C23" s="102">
        <v>0</v>
      </c>
      <c r="D23" s="102">
        <v>0</v>
      </c>
      <c r="E23" s="102">
        <v>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0.8</v>
      </c>
      <c r="N23" s="102">
        <v>0.8</v>
      </c>
      <c r="O23" s="102">
        <v>0</v>
      </c>
      <c r="P23" s="102">
        <v>0.8</v>
      </c>
      <c r="Q23" s="102">
        <v>0.8</v>
      </c>
      <c r="R23" s="102">
        <v>0.8</v>
      </c>
      <c r="S23" s="102">
        <v>0</v>
      </c>
      <c r="T23" s="102">
        <v>0.8</v>
      </c>
      <c r="U23" s="102">
        <v>0.8</v>
      </c>
      <c r="V23" s="102">
        <v>0</v>
      </c>
      <c r="W23" s="102">
        <v>0</v>
      </c>
      <c r="X23" s="102">
        <v>0</v>
      </c>
    </row>
    <row r="24" spans="1:24" customFormat="1" x14ac:dyDescent="0.15">
      <c r="A24" s="147" t="s">
        <v>214</v>
      </c>
      <c r="B24" s="102">
        <v>0</v>
      </c>
      <c r="C24" s="102">
        <v>0</v>
      </c>
      <c r="D24" s="102">
        <v>0</v>
      </c>
      <c r="E24" s="102">
        <v>0</v>
      </c>
      <c r="F24" s="102">
        <v>0</v>
      </c>
      <c r="G24" s="102">
        <v>0</v>
      </c>
      <c r="H24" s="102">
        <v>0</v>
      </c>
      <c r="I24" s="102">
        <v>0</v>
      </c>
      <c r="J24" s="102">
        <v>0</v>
      </c>
      <c r="K24" s="102">
        <v>0</v>
      </c>
      <c r="L24" s="102">
        <v>0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  <c r="X24" s="102">
        <v>0</v>
      </c>
    </row>
    <row r="25" spans="1:24" customFormat="1" x14ac:dyDescent="0.15">
      <c r="A25" s="147" t="s">
        <v>219</v>
      </c>
      <c r="B25" s="102">
        <v>0.8</v>
      </c>
      <c r="C25" s="102">
        <v>0.8</v>
      </c>
      <c r="D25" s="102">
        <v>0.8</v>
      </c>
      <c r="E25" s="102">
        <v>0</v>
      </c>
      <c r="F25" s="102">
        <v>0</v>
      </c>
      <c r="G25" s="102">
        <v>0</v>
      </c>
      <c r="H25" s="102">
        <v>0</v>
      </c>
      <c r="I25" s="102">
        <v>0</v>
      </c>
      <c r="J25" s="102">
        <v>0</v>
      </c>
      <c r="K25" s="102">
        <v>0</v>
      </c>
      <c r="L25" s="102">
        <v>0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0</v>
      </c>
      <c r="V25" s="102">
        <v>0</v>
      </c>
      <c r="W25" s="102">
        <v>0</v>
      </c>
      <c r="X25" s="102">
        <v>0</v>
      </c>
    </row>
    <row r="26" spans="1:24" customFormat="1" x14ac:dyDescent="0.15"/>
    <row r="27" spans="1:24" customFormat="1" x14ac:dyDescent="0.15"/>
    <row r="28" spans="1:24" customFormat="1" x14ac:dyDescent="0.15"/>
    <row r="29" spans="1:24" customFormat="1" x14ac:dyDescent="0.15"/>
    <row r="30" spans="1:24" customFormat="1" x14ac:dyDescent="0.15"/>
    <row r="31" spans="1:24" customFormat="1" x14ac:dyDescent="0.15"/>
    <row r="32" spans="1:24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83203125" style="102" bestFit="1" customWidth="1"/>
    <col min="2" max="24" width="2.33203125" style="102" customWidth="1"/>
    <col min="25" max="16384" width="10.83203125" style="102"/>
  </cols>
  <sheetData>
    <row r="1" spans="1:31" x14ac:dyDescent="0.15">
      <c r="A1" s="59" t="s">
        <v>139</v>
      </c>
      <c r="B1" s="150" t="s">
        <v>192</v>
      </c>
      <c r="C1" s="150" t="s">
        <v>193</v>
      </c>
      <c r="D1" s="150" t="s">
        <v>194</v>
      </c>
      <c r="E1" s="150" t="s">
        <v>195</v>
      </c>
      <c r="F1" s="150" t="s">
        <v>196</v>
      </c>
      <c r="G1" s="150" t="s">
        <v>197</v>
      </c>
      <c r="H1" s="150" t="s">
        <v>198</v>
      </c>
      <c r="I1" s="150" t="s">
        <v>199</v>
      </c>
      <c r="J1" s="150" t="s">
        <v>200</v>
      </c>
      <c r="K1" s="150" t="s">
        <v>201</v>
      </c>
      <c r="L1" s="150" t="s">
        <v>202</v>
      </c>
      <c r="M1" s="150" t="s">
        <v>203</v>
      </c>
      <c r="N1" s="150" t="s">
        <v>204</v>
      </c>
      <c r="O1" s="150" t="s">
        <v>205</v>
      </c>
      <c r="P1" s="150" t="s">
        <v>206</v>
      </c>
      <c r="Q1" s="150" t="s">
        <v>207</v>
      </c>
      <c r="R1" s="150" t="s">
        <v>208</v>
      </c>
      <c r="S1" s="150" t="s">
        <v>209</v>
      </c>
      <c r="T1" s="150" t="s">
        <v>210</v>
      </c>
      <c r="U1" s="150" t="s">
        <v>211</v>
      </c>
      <c r="V1" s="150" t="s">
        <v>212</v>
      </c>
      <c r="W1" s="150" t="s">
        <v>213</v>
      </c>
      <c r="X1" s="150" t="s">
        <v>214</v>
      </c>
      <c r="Y1"/>
      <c r="Z1"/>
      <c r="AA1"/>
      <c r="AB1"/>
      <c r="AC1"/>
      <c r="AD1"/>
      <c r="AE1"/>
    </row>
    <row r="2" spans="1:31" customFormat="1" x14ac:dyDescent="0.15">
      <c r="A2" s="149" t="s">
        <v>192</v>
      </c>
      <c r="B2" s="102">
        <v>0</v>
      </c>
      <c r="C2" s="102">
        <v>0</v>
      </c>
      <c r="D2" s="102">
        <v>0</v>
      </c>
      <c r="E2" s="102">
        <v>0</v>
      </c>
      <c r="F2" s="102">
        <v>0</v>
      </c>
      <c r="G2" s="102">
        <v>0</v>
      </c>
      <c r="H2" s="102">
        <v>0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  <c r="X2" s="102">
        <v>0</v>
      </c>
    </row>
    <row r="3" spans="1:31" customFormat="1" x14ac:dyDescent="0.15">
      <c r="A3" s="149" t="s">
        <v>193</v>
      </c>
      <c r="B3" s="102">
        <v>0</v>
      </c>
      <c r="C3" s="102">
        <v>0</v>
      </c>
      <c r="D3" s="102">
        <v>0</v>
      </c>
      <c r="E3" s="102">
        <v>0</v>
      </c>
      <c r="F3" s="102">
        <v>0</v>
      </c>
      <c r="G3" s="102">
        <v>0</v>
      </c>
      <c r="H3" s="102">
        <v>0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</row>
    <row r="4" spans="1:31" customFormat="1" x14ac:dyDescent="0.15">
      <c r="A4" s="149" t="s">
        <v>194</v>
      </c>
      <c r="B4" s="102">
        <v>0</v>
      </c>
      <c r="C4" s="102">
        <v>1</v>
      </c>
      <c r="D4" s="102">
        <v>0</v>
      </c>
      <c r="E4" s="102">
        <v>0</v>
      </c>
      <c r="F4" s="102">
        <v>0</v>
      </c>
      <c r="G4" s="102">
        <v>0</v>
      </c>
      <c r="H4" s="102">
        <v>0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  <c r="X4" s="102">
        <v>0</v>
      </c>
    </row>
    <row r="5" spans="1:31" customFormat="1" x14ac:dyDescent="0.15">
      <c r="A5" s="149" t="s">
        <v>195</v>
      </c>
      <c r="B5" s="102">
        <v>0</v>
      </c>
      <c r="C5" s="102">
        <v>0</v>
      </c>
      <c r="D5" s="102">
        <v>0</v>
      </c>
      <c r="E5" s="102">
        <v>0</v>
      </c>
      <c r="F5" s="102">
        <v>0</v>
      </c>
      <c r="G5" s="102">
        <v>0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  <c r="W5" s="102">
        <v>0</v>
      </c>
      <c r="X5" s="102">
        <v>0</v>
      </c>
    </row>
    <row r="6" spans="1:31" customFormat="1" x14ac:dyDescent="0.15">
      <c r="A6" s="149" t="s">
        <v>196</v>
      </c>
      <c r="B6" s="102">
        <v>0</v>
      </c>
      <c r="C6" s="102">
        <v>0</v>
      </c>
      <c r="D6" s="102">
        <v>0</v>
      </c>
      <c r="E6" s="102">
        <v>0</v>
      </c>
      <c r="F6" s="102">
        <v>0</v>
      </c>
      <c r="G6" s="102">
        <v>0</v>
      </c>
      <c r="H6" s="102">
        <v>0</v>
      </c>
      <c r="I6" s="102">
        <v>0</v>
      </c>
      <c r="J6" s="102">
        <v>0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</row>
    <row r="7" spans="1:31" customFormat="1" x14ac:dyDescent="0.15">
      <c r="A7" s="149" t="s">
        <v>197</v>
      </c>
      <c r="B7" s="102">
        <v>0</v>
      </c>
      <c r="C7" s="102">
        <v>0</v>
      </c>
      <c r="D7" s="102">
        <v>0</v>
      </c>
      <c r="E7" s="102">
        <v>0</v>
      </c>
      <c r="F7" s="102">
        <v>1</v>
      </c>
      <c r="G7" s="102">
        <v>1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  <c r="X7" s="102">
        <v>0</v>
      </c>
    </row>
    <row r="8" spans="1:31" customFormat="1" x14ac:dyDescent="0.15">
      <c r="A8" s="149" t="s">
        <v>198</v>
      </c>
      <c r="B8" s="102">
        <v>0</v>
      </c>
      <c r="C8" s="102">
        <v>1</v>
      </c>
      <c r="D8" s="102">
        <v>0</v>
      </c>
      <c r="E8" s="102">
        <v>0</v>
      </c>
      <c r="F8" s="102">
        <v>0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  <c r="W8" s="102">
        <v>0</v>
      </c>
      <c r="X8" s="102">
        <v>0</v>
      </c>
    </row>
    <row r="9" spans="1:31" customFormat="1" x14ac:dyDescent="0.15">
      <c r="A9" s="149" t="s">
        <v>199</v>
      </c>
      <c r="B9" s="102">
        <v>0</v>
      </c>
      <c r="C9" s="102">
        <v>1</v>
      </c>
      <c r="D9" s="102">
        <v>1</v>
      </c>
      <c r="E9" s="102">
        <v>0</v>
      </c>
      <c r="F9" s="102">
        <v>0</v>
      </c>
      <c r="G9" s="102">
        <v>0</v>
      </c>
      <c r="H9" s="102">
        <v>1</v>
      </c>
      <c r="I9" s="102">
        <v>1</v>
      </c>
      <c r="J9" s="102">
        <v>1</v>
      </c>
      <c r="K9" s="102">
        <v>1</v>
      </c>
      <c r="L9" s="102">
        <v>0</v>
      </c>
      <c r="M9" s="102">
        <v>0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0</v>
      </c>
      <c r="X9" s="102">
        <v>0</v>
      </c>
    </row>
    <row r="10" spans="1:31" customFormat="1" x14ac:dyDescent="0.15">
      <c r="A10" s="149" t="s">
        <v>200</v>
      </c>
      <c r="B10" s="102">
        <v>0</v>
      </c>
      <c r="C10" s="102">
        <v>1</v>
      </c>
      <c r="D10" s="102">
        <v>1</v>
      </c>
      <c r="E10" s="102">
        <v>0</v>
      </c>
      <c r="F10" s="102">
        <v>1</v>
      </c>
      <c r="G10" s="102">
        <v>0</v>
      </c>
      <c r="H10" s="102">
        <v>1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  <c r="X10" s="102">
        <v>0</v>
      </c>
    </row>
    <row r="11" spans="1:31" customFormat="1" x14ac:dyDescent="0.15">
      <c r="A11" s="149" t="s">
        <v>201</v>
      </c>
      <c r="B11" s="102">
        <v>0</v>
      </c>
      <c r="C11" s="102">
        <v>1</v>
      </c>
      <c r="D11" s="102">
        <v>1</v>
      </c>
      <c r="E11" s="102">
        <v>0</v>
      </c>
      <c r="F11" s="102">
        <v>1</v>
      </c>
      <c r="G11" s="102">
        <v>1</v>
      </c>
      <c r="H11" s="102">
        <v>1</v>
      </c>
      <c r="I11" s="102">
        <v>1</v>
      </c>
      <c r="J11" s="102">
        <v>1</v>
      </c>
      <c r="K11" s="102">
        <v>1</v>
      </c>
      <c r="L11" s="102">
        <v>0</v>
      </c>
      <c r="M11" s="102">
        <v>1</v>
      </c>
      <c r="N11" s="102">
        <v>0</v>
      </c>
      <c r="O11" s="102">
        <v>0</v>
      </c>
      <c r="P11" s="102">
        <v>1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  <c r="W11" s="102">
        <v>0</v>
      </c>
      <c r="X11" s="102">
        <v>0</v>
      </c>
    </row>
    <row r="12" spans="1:31" customFormat="1" x14ac:dyDescent="0.15">
      <c r="A12" s="149" t="s">
        <v>202</v>
      </c>
      <c r="B12" s="102">
        <v>0</v>
      </c>
      <c r="C12" s="102">
        <v>1</v>
      </c>
      <c r="D12" s="102">
        <v>1</v>
      </c>
      <c r="E12" s="102">
        <v>1</v>
      </c>
      <c r="F12" s="102">
        <v>1</v>
      </c>
      <c r="G12" s="102">
        <v>0</v>
      </c>
      <c r="H12" s="102">
        <v>1</v>
      </c>
      <c r="I12" s="102">
        <v>1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1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102">
        <v>0</v>
      </c>
    </row>
    <row r="13" spans="1:31" customFormat="1" x14ac:dyDescent="0.15">
      <c r="A13" s="149" t="s">
        <v>203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  <c r="W13" s="102">
        <v>0</v>
      </c>
      <c r="X13" s="102">
        <v>0</v>
      </c>
    </row>
    <row r="14" spans="1:31" customFormat="1" x14ac:dyDescent="0.15">
      <c r="A14" s="149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1</v>
      </c>
      <c r="G14" s="102">
        <v>0</v>
      </c>
      <c r="H14" s="102">
        <v>1</v>
      </c>
      <c r="I14" s="102">
        <v>0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1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  <c r="W14" s="102">
        <v>0</v>
      </c>
      <c r="X14" s="102">
        <v>0</v>
      </c>
    </row>
    <row r="15" spans="1:31" customFormat="1" x14ac:dyDescent="0.15">
      <c r="A15" s="149" t="s">
        <v>205</v>
      </c>
      <c r="B15" s="102">
        <v>1</v>
      </c>
      <c r="C15" s="102">
        <v>1</v>
      </c>
      <c r="D15" s="102">
        <v>1</v>
      </c>
      <c r="E15" s="102">
        <v>1</v>
      </c>
      <c r="F15" s="102">
        <v>1</v>
      </c>
      <c r="G15" s="102">
        <v>1</v>
      </c>
      <c r="H15" s="102">
        <v>1</v>
      </c>
      <c r="I15" s="102">
        <v>1</v>
      </c>
      <c r="J15" s="102">
        <v>1</v>
      </c>
      <c r="K15" s="102">
        <v>0</v>
      </c>
      <c r="L15" s="102">
        <v>0</v>
      </c>
      <c r="M15" s="102">
        <v>0</v>
      </c>
      <c r="N15" s="102">
        <v>0</v>
      </c>
      <c r="O15" s="102">
        <v>1</v>
      </c>
      <c r="P15" s="102">
        <v>1</v>
      </c>
      <c r="Q15" s="102">
        <v>0</v>
      </c>
      <c r="R15" s="102">
        <v>0</v>
      </c>
      <c r="S15" s="102">
        <v>1</v>
      </c>
      <c r="T15" s="102">
        <v>0</v>
      </c>
      <c r="U15" s="102">
        <v>0</v>
      </c>
      <c r="V15" s="102">
        <v>0</v>
      </c>
      <c r="W15" s="102">
        <v>0</v>
      </c>
      <c r="X15" s="102">
        <v>0</v>
      </c>
    </row>
    <row r="16" spans="1:31" customFormat="1" x14ac:dyDescent="0.15">
      <c r="A16" s="149" t="s">
        <v>206</v>
      </c>
      <c r="B16" s="102">
        <v>1</v>
      </c>
      <c r="C16" s="102">
        <v>1</v>
      </c>
      <c r="D16" s="102">
        <v>1</v>
      </c>
      <c r="E16" s="102">
        <v>0</v>
      </c>
      <c r="F16" s="102">
        <v>1</v>
      </c>
      <c r="G16" s="102">
        <v>1</v>
      </c>
      <c r="H16" s="102">
        <v>1</v>
      </c>
      <c r="I16" s="102">
        <v>1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0</v>
      </c>
      <c r="P16" s="102">
        <v>1</v>
      </c>
      <c r="Q16" s="102">
        <v>0</v>
      </c>
      <c r="R16" s="102">
        <v>0</v>
      </c>
      <c r="S16" s="102">
        <v>0</v>
      </c>
      <c r="T16" s="102">
        <v>0</v>
      </c>
      <c r="U16" s="102">
        <v>0</v>
      </c>
      <c r="V16" s="102">
        <v>0</v>
      </c>
      <c r="W16" s="102">
        <v>0</v>
      </c>
      <c r="X16" s="102">
        <v>0</v>
      </c>
    </row>
    <row r="17" spans="1:24" customFormat="1" x14ac:dyDescent="0.15">
      <c r="A17" s="149" t="s">
        <v>207</v>
      </c>
      <c r="B17" s="102">
        <v>0</v>
      </c>
      <c r="C17" s="102">
        <v>1</v>
      </c>
      <c r="D17" s="102">
        <v>1</v>
      </c>
      <c r="E17" s="102">
        <v>0</v>
      </c>
      <c r="F17" s="102">
        <v>1</v>
      </c>
      <c r="G17" s="102">
        <v>1</v>
      </c>
      <c r="H17" s="102">
        <v>1</v>
      </c>
      <c r="I17" s="102">
        <v>1</v>
      </c>
      <c r="J17" s="102">
        <v>1</v>
      </c>
      <c r="K17" s="102">
        <v>1</v>
      </c>
      <c r="L17" s="102">
        <v>0</v>
      </c>
      <c r="M17" s="102">
        <v>1</v>
      </c>
      <c r="N17" s="102">
        <v>1</v>
      </c>
      <c r="O17" s="102">
        <v>0</v>
      </c>
      <c r="P17" s="102">
        <v>1</v>
      </c>
      <c r="Q17" s="102">
        <v>0</v>
      </c>
      <c r="R17" s="102">
        <v>0</v>
      </c>
      <c r="S17" s="102">
        <v>0</v>
      </c>
      <c r="T17" s="102">
        <v>0</v>
      </c>
      <c r="U17" s="102">
        <v>0</v>
      </c>
      <c r="V17" s="102">
        <v>0</v>
      </c>
      <c r="W17" s="102">
        <v>0</v>
      </c>
      <c r="X17" s="102">
        <v>0</v>
      </c>
    </row>
    <row r="18" spans="1:24" customFormat="1" x14ac:dyDescent="0.15">
      <c r="A18" s="149" t="s">
        <v>208</v>
      </c>
      <c r="B18" s="102">
        <v>0</v>
      </c>
      <c r="C18" s="102">
        <v>1</v>
      </c>
      <c r="D18" s="102">
        <v>0</v>
      </c>
      <c r="E18" s="102">
        <v>1</v>
      </c>
      <c r="F18" s="102">
        <v>1</v>
      </c>
      <c r="G18" s="102">
        <v>1</v>
      </c>
      <c r="H18" s="102">
        <v>1</v>
      </c>
      <c r="I18" s="102">
        <v>1</v>
      </c>
      <c r="J18" s="102">
        <v>1</v>
      </c>
      <c r="K18" s="102">
        <v>0</v>
      </c>
      <c r="L18" s="102">
        <v>0</v>
      </c>
      <c r="M18" s="102">
        <v>1</v>
      </c>
      <c r="N18" s="102">
        <v>1</v>
      </c>
      <c r="O18" s="102">
        <v>1</v>
      </c>
      <c r="P18" s="102">
        <v>1</v>
      </c>
      <c r="Q18" s="102">
        <v>1</v>
      </c>
      <c r="R18" s="102">
        <v>1</v>
      </c>
      <c r="S18" s="102">
        <v>0</v>
      </c>
      <c r="T18" s="102">
        <v>0</v>
      </c>
      <c r="U18" s="102">
        <v>0</v>
      </c>
      <c r="V18" s="102">
        <v>0</v>
      </c>
      <c r="W18" s="102">
        <v>0</v>
      </c>
      <c r="X18" s="102">
        <v>0</v>
      </c>
    </row>
    <row r="19" spans="1:24" customFormat="1" x14ac:dyDescent="0.15">
      <c r="A19" s="149" t="s">
        <v>209</v>
      </c>
      <c r="B19" s="102">
        <v>0</v>
      </c>
      <c r="C19" s="102">
        <v>1</v>
      </c>
      <c r="D19" s="102">
        <v>1</v>
      </c>
      <c r="E19" s="102">
        <v>1</v>
      </c>
      <c r="F19" s="102">
        <v>1</v>
      </c>
      <c r="G19" s="102">
        <v>0</v>
      </c>
      <c r="H19" s="102">
        <v>1</v>
      </c>
      <c r="I19" s="102">
        <v>1</v>
      </c>
      <c r="J19" s="102">
        <v>1</v>
      </c>
      <c r="K19" s="102">
        <v>1</v>
      </c>
      <c r="L19" s="102">
        <v>0</v>
      </c>
      <c r="M19" s="102">
        <v>0</v>
      </c>
      <c r="N19" s="102">
        <v>0</v>
      </c>
      <c r="O19" s="102">
        <v>1</v>
      </c>
      <c r="P19" s="102">
        <v>1</v>
      </c>
      <c r="Q19" s="102">
        <v>0</v>
      </c>
      <c r="R19" s="102">
        <v>0</v>
      </c>
      <c r="S19" s="102">
        <v>1</v>
      </c>
      <c r="T19" s="102">
        <v>0</v>
      </c>
      <c r="U19" s="102">
        <v>0</v>
      </c>
      <c r="V19" s="102">
        <v>0</v>
      </c>
      <c r="W19" s="102">
        <v>0</v>
      </c>
      <c r="X19" s="102">
        <v>0</v>
      </c>
    </row>
    <row r="20" spans="1:24" customFormat="1" x14ac:dyDescent="0.15">
      <c r="A20" s="149" t="s">
        <v>210</v>
      </c>
      <c r="B20" s="102">
        <v>1</v>
      </c>
      <c r="C20" s="102">
        <v>1</v>
      </c>
      <c r="D20" s="102">
        <v>1</v>
      </c>
      <c r="E20" s="102">
        <v>1</v>
      </c>
      <c r="F20" s="102">
        <v>1</v>
      </c>
      <c r="G20" s="102">
        <v>1</v>
      </c>
      <c r="H20" s="102">
        <v>0</v>
      </c>
      <c r="I20" s="102">
        <v>1</v>
      </c>
      <c r="J20" s="102">
        <v>1</v>
      </c>
      <c r="K20" s="102">
        <v>1</v>
      </c>
      <c r="L20" s="102">
        <v>1</v>
      </c>
      <c r="M20" s="102">
        <v>1</v>
      </c>
      <c r="N20" s="102">
        <v>0</v>
      </c>
      <c r="O20" s="102">
        <v>1</v>
      </c>
      <c r="P20" s="102">
        <v>1</v>
      </c>
      <c r="Q20" s="102">
        <v>1</v>
      </c>
      <c r="R20" s="102">
        <v>1</v>
      </c>
      <c r="S20" s="102">
        <v>1</v>
      </c>
      <c r="T20" s="102">
        <v>1</v>
      </c>
      <c r="U20" s="102">
        <v>0</v>
      </c>
      <c r="V20" s="102">
        <v>0</v>
      </c>
      <c r="W20" s="102">
        <v>0</v>
      </c>
      <c r="X20" s="102">
        <v>0</v>
      </c>
    </row>
    <row r="21" spans="1:24" customFormat="1" x14ac:dyDescent="0.15">
      <c r="A21" s="149" t="s">
        <v>211</v>
      </c>
      <c r="B21" s="102">
        <v>1</v>
      </c>
      <c r="C21" s="102">
        <v>0</v>
      </c>
      <c r="D21" s="102">
        <v>0</v>
      </c>
      <c r="E21" s="102">
        <v>0</v>
      </c>
      <c r="F21" s="102">
        <v>1</v>
      </c>
      <c r="G21" s="102">
        <v>1</v>
      </c>
      <c r="H21" s="102">
        <v>0</v>
      </c>
      <c r="I21" s="102">
        <v>0</v>
      </c>
      <c r="J21" s="102">
        <v>1</v>
      </c>
      <c r="K21" s="102">
        <v>1</v>
      </c>
      <c r="L21" s="102">
        <v>1</v>
      </c>
      <c r="M21" s="102">
        <v>0</v>
      </c>
      <c r="N21" s="102">
        <v>0</v>
      </c>
      <c r="O21" s="102">
        <v>1</v>
      </c>
      <c r="P21" s="102">
        <v>0</v>
      </c>
      <c r="Q21" s="102">
        <v>1</v>
      </c>
      <c r="R21" s="102">
        <v>1</v>
      </c>
      <c r="S21" s="102">
        <v>1</v>
      </c>
      <c r="T21" s="102">
        <v>1</v>
      </c>
      <c r="U21" s="102">
        <v>1</v>
      </c>
      <c r="V21" s="102">
        <v>0</v>
      </c>
      <c r="W21" s="102">
        <v>0</v>
      </c>
      <c r="X21" s="102">
        <v>0</v>
      </c>
    </row>
    <row r="22" spans="1:24" customFormat="1" x14ac:dyDescent="0.15">
      <c r="A22" s="149" t="s">
        <v>212</v>
      </c>
      <c r="B22" s="102">
        <v>0</v>
      </c>
      <c r="C22" s="102">
        <v>0</v>
      </c>
      <c r="D22" s="102">
        <v>0</v>
      </c>
      <c r="E22" s="102">
        <v>0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2">
        <v>0</v>
      </c>
      <c r="N22" s="102">
        <v>0</v>
      </c>
      <c r="O22" s="102">
        <v>0</v>
      </c>
      <c r="P22" s="102">
        <v>0</v>
      </c>
      <c r="Q22" s="102">
        <v>1</v>
      </c>
      <c r="R22" s="102">
        <v>1</v>
      </c>
      <c r="S22" s="102">
        <v>0</v>
      </c>
      <c r="T22" s="102">
        <v>1</v>
      </c>
      <c r="U22" s="102">
        <v>1</v>
      </c>
      <c r="V22" s="102">
        <v>0</v>
      </c>
      <c r="W22" s="102">
        <v>0</v>
      </c>
      <c r="X22" s="102">
        <v>0</v>
      </c>
    </row>
    <row r="23" spans="1:24" customFormat="1" x14ac:dyDescent="0.15">
      <c r="A23" s="149" t="s">
        <v>213</v>
      </c>
      <c r="B23" s="102">
        <v>0</v>
      </c>
      <c r="C23" s="102">
        <v>0</v>
      </c>
      <c r="D23" s="102">
        <v>0</v>
      </c>
      <c r="E23" s="102">
        <v>0</v>
      </c>
      <c r="F23" s="102">
        <v>0</v>
      </c>
      <c r="G23" s="102">
        <v>0</v>
      </c>
      <c r="H23" s="102">
        <v>0</v>
      </c>
      <c r="I23" s="102">
        <v>0</v>
      </c>
      <c r="J23" s="102">
        <v>0</v>
      </c>
      <c r="K23" s="102">
        <v>0</v>
      </c>
      <c r="L23" s="102">
        <v>0</v>
      </c>
      <c r="M23" s="102">
        <v>1</v>
      </c>
      <c r="N23" s="102">
        <v>1</v>
      </c>
      <c r="O23" s="102">
        <v>0</v>
      </c>
      <c r="P23" s="102">
        <v>1</v>
      </c>
      <c r="Q23" s="102">
        <v>1</v>
      </c>
      <c r="R23" s="102">
        <v>1</v>
      </c>
      <c r="S23" s="102">
        <v>0</v>
      </c>
      <c r="T23" s="102">
        <v>1</v>
      </c>
      <c r="U23" s="102">
        <v>1</v>
      </c>
      <c r="V23" s="102">
        <v>0</v>
      </c>
      <c r="W23" s="102">
        <v>0</v>
      </c>
      <c r="X23" s="102">
        <v>0</v>
      </c>
    </row>
    <row r="24" spans="1:24" customFormat="1" x14ac:dyDescent="0.15">
      <c r="A24" s="149" t="s">
        <v>214</v>
      </c>
      <c r="B24" s="102">
        <v>0</v>
      </c>
      <c r="C24" s="102">
        <v>0</v>
      </c>
      <c r="D24" s="102">
        <v>0</v>
      </c>
      <c r="E24" s="102">
        <v>0</v>
      </c>
      <c r="F24" s="102">
        <v>0</v>
      </c>
      <c r="G24" s="102">
        <v>0</v>
      </c>
      <c r="H24" s="102">
        <v>0</v>
      </c>
      <c r="I24" s="102">
        <v>0</v>
      </c>
      <c r="J24" s="102">
        <v>0</v>
      </c>
      <c r="K24" s="102">
        <v>0</v>
      </c>
      <c r="L24" s="102">
        <v>0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  <c r="X24" s="102">
        <v>0</v>
      </c>
    </row>
    <row r="25" spans="1:24" customFormat="1" x14ac:dyDescent="0.15">
      <c r="A25" s="149" t="s">
        <v>219</v>
      </c>
      <c r="B25" s="102">
        <v>1</v>
      </c>
      <c r="C25" s="102">
        <v>1</v>
      </c>
      <c r="D25" s="102">
        <v>1</v>
      </c>
      <c r="E25" s="102">
        <v>0</v>
      </c>
      <c r="F25" s="102">
        <v>0</v>
      </c>
      <c r="G25" s="102">
        <v>0</v>
      </c>
      <c r="H25" s="102">
        <v>0</v>
      </c>
      <c r="I25" s="102">
        <v>0</v>
      </c>
      <c r="J25" s="102">
        <v>0</v>
      </c>
      <c r="K25" s="102">
        <v>0</v>
      </c>
      <c r="L25" s="102">
        <v>0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0</v>
      </c>
      <c r="V25" s="102">
        <v>0</v>
      </c>
      <c r="W25" s="102">
        <v>0</v>
      </c>
      <c r="X25" s="102">
        <v>0</v>
      </c>
    </row>
    <row r="26" spans="1:24" customFormat="1" x14ac:dyDescent="0.15"/>
    <row r="27" spans="1:24" customFormat="1" x14ac:dyDescent="0.15"/>
    <row r="28" spans="1:24" customFormat="1" x14ac:dyDescent="0.15"/>
    <row r="29" spans="1:24" customFormat="1" x14ac:dyDescent="0.15"/>
    <row r="30" spans="1:24" customFormat="1" x14ac:dyDescent="0.15"/>
    <row r="31" spans="1:24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F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832031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83</v>
      </c>
      <c r="B1" s="3" t="s">
        <v>0</v>
      </c>
      <c r="C1" s="152" t="s">
        <v>215</v>
      </c>
      <c r="D1" s="152" t="s">
        <v>216</v>
      </c>
      <c r="E1" s="152" t="s">
        <v>217</v>
      </c>
      <c r="F1" s="152" t="s">
        <v>218</v>
      </c>
    </row>
    <row r="2" spans="1:6" x14ac:dyDescent="0.15">
      <c r="A2">
        <v>1</v>
      </c>
      <c r="B2" s="151" t="s">
        <v>192</v>
      </c>
      <c r="C2">
        <v>0</v>
      </c>
      <c r="D2">
        <v>0</v>
      </c>
      <c r="E2">
        <v>0</v>
      </c>
      <c r="F2">
        <v>0.8</v>
      </c>
    </row>
    <row r="3" spans="1:6" x14ac:dyDescent="0.15">
      <c r="A3">
        <v>2</v>
      </c>
      <c r="B3" s="151" t="s">
        <v>193</v>
      </c>
      <c r="C3">
        <v>0</v>
      </c>
      <c r="D3">
        <v>0</v>
      </c>
      <c r="E3">
        <v>0</v>
      </c>
      <c r="F3">
        <v>0.8</v>
      </c>
    </row>
    <row r="4" spans="1:6" x14ac:dyDescent="0.15">
      <c r="A4">
        <v>3</v>
      </c>
      <c r="B4" s="151" t="s">
        <v>194</v>
      </c>
      <c r="C4">
        <v>0</v>
      </c>
      <c r="D4">
        <v>0</v>
      </c>
      <c r="E4">
        <v>0</v>
      </c>
      <c r="F4">
        <v>0.8</v>
      </c>
    </row>
    <row r="5" spans="1:6" x14ac:dyDescent="0.15">
      <c r="A5">
        <v>4</v>
      </c>
      <c r="B5" s="151" t="s">
        <v>195</v>
      </c>
      <c r="C5">
        <v>0</v>
      </c>
      <c r="D5">
        <v>0</v>
      </c>
      <c r="E5">
        <v>0</v>
      </c>
      <c r="F5">
        <v>0.8</v>
      </c>
    </row>
    <row r="6" spans="1:6" x14ac:dyDescent="0.15">
      <c r="A6">
        <v>5</v>
      </c>
      <c r="B6" s="151" t="s">
        <v>196</v>
      </c>
      <c r="C6">
        <v>0</v>
      </c>
      <c r="D6">
        <v>0</v>
      </c>
      <c r="E6">
        <v>0</v>
      </c>
      <c r="F6">
        <v>0.8</v>
      </c>
    </row>
    <row r="7" spans="1:6" x14ac:dyDescent="0.15">
      <c r="A7">
        <v>6</v>
      </c>
      <c r="B7" s="151" t="s">
        <v>197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51" t="s">
        <v>198</v>
      </c>
      <c r="C8">
        <v>0</v>
      </c>
      <c r="D8">
        <v>0.8</v>
      </c>
      <c r="E8">
        <v>0.8</v>
      </c>
      <c r="F8">
        <v>0</v>
      </c>
    </row>
    <row r="9" spans="1:6" x14ac:dyDescent="0.15">
      <c r="A9">
        <v>8</v>
      </c>
      <c r="B9" s="151" t="s">
        <v>199</v>
      </c>
      <c r="C9">
        <v>0.8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51" t="s">
        <v>200</v>
      </c>
      <c r="C10">
        <v>0.8</v>
      </c>
      <c r="D10">
        <v>0.8</v>
      </c>
      <c r="E10">
        <v>0</v>
      </c>
      <c r="F10">
        <v>0</v>
      </c>
    </row>
    <row r="11" spans="1:6" x14ac:dyDescent="0.15">
      <c r="A11">
        <v>10</v>
      </c>
      <c r="B11" s="151" t="s">
        <v>201</v>
      </c>
      <c r="C11">
        <v>0.8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51" t="s">
        <v>202</v>
      </c>
      <c r="C12">
        <v>0.8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51" t="s">
        <v>203</v>
      </c>
      <c r="C13">
        <v>0.8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51" t="s">
        <v>204</v>
      </c>
      <c r="C14">
        <v>0.8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51" t="s">
        <v>205</v>
      </c>
      <c r="C15">
        <v>0.8</v>
      </c>
      <c r="D15">
        <v>0.8</v>
      </c>
      <c r="E15">
        <v>0</v>
      </c>
      <c r="F15">
        <v>0</v>
      </c>
    </row>
    <row r="16" spans="1:6" x14ac:dyDescent="0.15">
      <c r="A16">
        <v>15</v>
      </c>
      <c r="B16" s="151" t="s">
        <v>206</v>
      </c>
      <c r="C16">
        <v>0.8</v>
      </c>
      <c r="D16">
        <v>0.8</v>
      </c>
      <c r="E16">
        <v>0</v>
      </c>
      <c r="F16">
        <v>0</v>
      </c>
    </row>
    <row r="17" spans="1:6" x14ac:dyDescent="0.15">
      <c r="A17">
        <v>16</v>
      </c>
      <c r="B17" s="151" t="s">
        <v>207</v>
      </c>
      <c r="C17">
        <v>0.8</v>
      </c>
      <c r="D17">
        <v>0</v>
      </c>
      <c r="E17">
        <v>0</v>
      </c>
      <c r="F17">
        <v>0</v>
      </c>
    </row>
    <row r="18" spans="1:6" x14ac:dyDescent="0.15">
      <c r="A18">
        <v>17</v>
      </c>
      <c r="B18" s="151" t="s">
        <v>208</v>
      </c>
      <c r="C18">
        <v>0</v>
      </c>
      <c r="D18">
        <v>0</v>
      </c>
      <c r="E18">
        <v>0</v>
      </c>
      <c r="F18">
        <v>0.8</v>
      </c>
    </row>
    <row r="19" spans="1:6" x14ac:dyDescent="0.15">
      <c r="A19">
        <v>18</v>
      </c>
      <c r="B19" s="151" t="s">
        <v>209</v>
      </c>
      <c r="C19">
        <v>0.8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51" t="s">
        <v>210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51" t="s">
        <v>211</v>
      </c>
      <c r="C21">
        <v>0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51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51" t="s">
        <v>213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51" t="s">
        <v>214</v>
      </c>
      <c r="C24">
        <v>0</v>
      </c>
      <c r="D24">
        <v>0</v>
      </c>
      <c r="E24">
        <v>0</v>
      </c>
      <c r="F2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F2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832031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82</v>
      </c>
      <c r="B1" s="3" t="s">
        <v>0</v>
      </c>
      <c r="C1" s="154" t="s">
        <v>215</v>
      </c>
      <c r="D1" s="154" t="s">
        <v>216</v>
      </c>
      <c r="E1" s="154" t="s">
        <v>217</v>
      </c>
      <c r="F1" s="154" t="s">
        <v>218</v>
      </c>
    </row>
    <row r="2" spans="1:6" x14ac:dyDescent="0.15">
      <c r="A2">
        <v>1</v>
      </c>
      <c r="B2" s="153" t="s">
        <v>192</v>
      </c>
      <c r="C2">
        <v>0</v>
      </c>
      <c r="D2">
        <v>0</v>
      </c>
      <c r="E2">
        <v>0</v>
      </c>
      <c r="F2">
        <v>0.8</v>
      </c>
    </row>
    <row r="3" spans="1:6" x14ac:dyDescent="0.15">
      <c r="A3">
        <v>2</v>
      </c>
      <c r="B3" s="153" t="s">
        <v>193</v>
      </c>
      <c r="C3">
        <v>0</v>
      </c>
      <c r="D3">
        <v>0</v>
      </c>
      <c r="E3">
        <v>0</v>
      </c>
      <c r="F3">
        <v>0.8</v>
      </c>
    </row>
    <row r="4" spans="1:6" x14ac:dyDescent="0.15">
      <c r="A4">
        <v>3</v>
      </c>
      <c r="B4" s="153" t="s">
        <v>194</v>
      </c>
      <c r="C4">
        <v>0</v>
      </c>
      <c r="D4">
        <v>0</v>
      </c>
      <c r="E4">
        <v>0</v>
      </c>
      <c r="F4">
        <v>0.8</v>
      </c>
    </row>
    <row r="5" spans="1:6" x14ac:dyDescent="0.15">
      <c r="A5">
        <v>4</v>
      </c>
      <c r="B5" s="153" t="s">
        <v>195</v>
      </c>
      <c r="C5">
        <v>0</v>
      </c>
      <c r="D5">
        <v>0</v>
      </c>
      <c r="E5">
        <v>0</v>
      </c>
      <c r="F5">
        <v>0.8</v>
      </c>
    </row>
    <row r="6" spans="1:6" x14ac:dyDescent="0.15">
      <c r="A6">
        <v>5</v>
      </c>
      <c r="B6" s="153" t="s">
        <v>196</v>
      </c>
      <c r="C6">
        <v>0</v>
      </c>
      <c r="D6">
        <v>0</v>
      </c>
      <c r="E6">
        <v>0</v>
      </c>
      <c r="F6">
        <v>0.8</v>
      </c>
    </row>
    <row r="7" spans="1:6" x14ac:dyDescent="0.15">
      <c r="A7">
        <v>6</v>
      </c>
      <c r="B7" s="153" t="s">
        <v>197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53" t="s">
        <v>198</v>
      </c>
      <c r="C8">
        <v>0</v>
      </c>
      <c r="D8">
        <v>0.8</v>
      </c>
      <c r="E8">
        <v>0.8</v>
      </c>
      <c r="F8">
        <v>0</v>
      </c>
    </row>
    <row r="9" spans="1:6" x14ac:dyDescent="0.15">
      <c r="A9">
        <v>8</v>
      </c>
      <c r="B9" s="153" t="s">
        <v>199</v>
      </c>
      <c r="C9">
        <v>0.8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53" t="s">
        <v>200</v>
      </c>
      <c r="C10">
        <v>0.8</v>
      </c>
      <c r="D10">
        <v>0.8</v>
      </c>
      <c r="E10">
        <v>0</v>
      </c>
      <c r="F10">
        <v>0</v>
      </c>
    </row>
    <row r="11" spans="1:6" x14ac:dyDescent="0.15">
      <c r="A11">
        <v>10</v>
      </c>
      <c r="B11" s="153" t="s">
        <v>201</v>
      </c>
      <c r="C11">
        <v>0.8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53" t="s">
        <v>202</v>
      </c>
      <c r="C12">
        <v>0.8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53" t="s">
        <v>203</v>
      </c>
      <c r="C13">
        <v>0.8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53" t="s">
        <v>204</v>
      </c>
      <c r="C14">
        <v>0.8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53" t="s">
        <v>205</v>
      </c>
      <c r="C15">
        <v>0.8</v>
      </c>
      <c r="D15">
        <v>0.8</v>
      </c>
      <c r="E15">
        <v>0</v>
      </c>
      <c r="F15">
        <v>0</v>
      </c>
    </row>
    <row r="16" spans="1:6" x14ac:dyDescent="0.15">
      <c r="A16">
        <v>15</v>
      </c>
      <c r="B16" s="153" t="s">
        <v>206</v>
      </c>
      <c r="C16">
        <v>0.8</v>
      </c>
      <c r="D16">
        <v>0.8</v>
      </c>
      <c r="E16">
        <v>0</v>
      </c>
      <c r="F16">
        <v>0</v>
      </c>
    </row>
    <row r="17" spans="1:6" x14ac:dyDescent="0.15">
      <c r="A17">
        <v>16</v>
      </c>
      <c r="B17" s="153" t="s">
        <v>207</v>
      </c>
      <c r="C17">
        <v>0.8</v>
      </c>
      <c r="D17">
        <v>0</v>
      </c>
      <c r="E17">
        <v>0</v>
      </c>
      <c r="F17">
        <v>0</v>
      </c>
    </row>
    <row r="18" spans="1:6" x14ac:dyDescent="0.15">
      <c r="A18">
        <v>17</v>
      </c>
      <c r="B18" s="153" t="s">
        <v>208</v>
      </c>
      <c r="C18">
        <v>0</v>
      </c>
      <c r="D18">
        <v>0</v>
      </c>
      <c r="E18">
        <v>0</v>
      </c>
      <c r="F18">
        <v>0.8</v>
      </c>
    </row>
    <row r="19" spans="1:6" x14ac:dyDescent="0.15">
      <c r="A19">
        <v>18</v>
      </c>
      <c r="B19" s="153" t="s">
        <v>209</v>
      </c>
      <c r="C19">
        <v>0.8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53" t="s">
        <v>210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53" t="s">
        <v>211</v>
      </c>
      <c r="C21">
        <v>0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53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53" t="s">
        <v>213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53" t="s">
        <v>214</v>
      </c>
      <c r="C24">
        <v>0</v>
      </c>
      <c r="D24">
        <v>0</v>
      </c>
      <c r="E24">
        <v>0</v>
      </c>
      <c r="F2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5" activePane="bottomRight" state="frozen"/>
      <selection pane="topRight" activeCell="C1" sqref="C1"/>
      <selection pane="bottomLeft" activeCell="A3" sqref="A3"/>
      <selection pane="bottomRight" activeCell="K15" sqref="K15"/>
    </sheetView>
  </sheetViews>
  <sheetFormatPr baseColWidth="10" defaultColWidth="8.83203125" defaultRowHeight="15" customHeight="1" x14ac:dyDescent="0.15"/>
  <cols>
    <col min="1" max="1" width="8.83203125" style="76"/>
    <col min="2" max="2" width="41.83203125" style="76" bestFit="1" customWidth="1"/>
    <col min="3" max="3" width="9.33203125" style="76" bestFit="1" customWidth="1"/>
    <col min="4" max="4" width="13" style="76" bestFit="1" customWidth="1"/>
    <col min="5" max="6" width="9.33203125" style="76" bestFit="1" customWidth="1"/>
    <col min="7" max="7" width="9.33203125" style="92" bestFit="1" customWidth="1"/>
    <col min="8" max="8" width="9.33203125" style="76" bestFit="1" customWidth="1"/>
    <col min="9" max="9" width="11" style="76" customWidth="1"/>
    <col min="10" max="10" width="8.83203125" style="76"/>
    <col min="15" max="16384" width="8.83203125" style="7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spans="1:10" ht="15" customHeight="1" x14ac:dyDescent="0.15">
      <c r="A2" s="203">
        <v>1</v>
      </c>
      <c r="B2" s="203" t="s">
        <v>192</v>
      </c>
      <c r="C2" s="8">
        <v>3.803135871887207</v>
      </c>
      <c r="D2" s="9">
        <v>0.45800000429153442</v>
      </c>
      <c r="E2" s="9">
        <v>2.9999999329447746E-2</v>
      </c>
      <c r="F2" s="9">
        <v>4</v>
      </c>
      <c r="G2" s="9">
        <v>0.51855897903442383</v>
      </c>
      <c r="H2" s="9">
        <v>7.4999998323619366E-3</v>
      </c>
      <c r="I2">
        <v>7.1250000037252903E-3</v>
      </c>
      <c r="J2"/>
    </row>
    <row r="3" spans="1:10" ht="15" customHeight="1" x14ac:dyDescent="0.15">
      <c r="A3" s="204">
        <v>2</v>
      </c>
      <c r="B3" s="204" t="s">
        <v>193</v>
      </c>
      <c r="C3" s="8">
        <v>4.4013447761535645</v>
      </c>
      <c r="D3" s="9">
        <v>4.8999998718500137E-2</v>
      </c>
      <c r="E3" s="9">
        <v>5.9999998658895493E-2</v>
      </c>
      <c r="F3" s="9">
        <v>10</v>
      </c>
      <c r="G3" s="163">
        <v>1.031037449836731</v>
      </c>
      <c r="H3" s="9">
        <v>6.0000000521540642E-3</v>
      </c>
      <c r="I3">
        <v>3.0312500894069672E-3</v>
      </c>
      <c r="J3"/>
    </row>
    <row r="4" spans="1:10" ht="15" customHeight="1" x14ac:dyDescent="0.15">
      <c r="A4" s="205">
        <v>3</v>
      </c>
      <c r="B4" s="205" t="s">
        <v>194</v>
      </c>
      <c r="C4" s="8">
        <v>4.3159117698669434</v>
      </c>
      <c r="D4" s="9">
        <v>0.50900000333786011</v>
      </c>
      <c r="E4" s="9">
        <v>7.0000000298023224E-2</v>
      </c>
      <c r="F4" s="9">
        <v>15</v>
      </c>
      <c r="G4" s="163">
        <v>1.3328187465667725</v>
      </c>
      <c r="H4" s="9">
        <v>4.6666665002703667E-3</v>
      </c>
      <c r="I4">
        <v>4.2588334530591965E-2</v>
      </c>
      <c r="J4"/>
    </row>
    <row r="5" spans="1:10" ht="15" customHeight="1" x14ac:dyDescent="0.15">
      <c r="A5" s="206">
        <v>4</v>
      </c>
      <c r="B5" s="206" t="s">
        <v>195</v>
      </c>
      <c r="C5" s="8">
        <v>3.9444084167480469</v>
      </c>
      <c r="D5" s="9">
        <v>8.0000003799796104E-3</v>
      </c>
      <c r="E5" s="9">
        <v>1</v>
      </c>
      <c r="F5" s="9">
        <v>99</v>
      </c>
      <c r="G5" s="9">
        <v>0.21123136579990387</v>
      </c>
      <c r="H5" s="9">
        <v>1.0101010091602802E-2</v>
      </c>
      <c r="I5">
        <v>1.689851051196456E-3</v>
      </c>
      <c r="J5"/>
    </row>
    <row r="6" spans="1:10" ht="15" customHeight="1" x14ac:dyDescent="0.15">
      <c r="A6" s="207">
        <v>5</v>
      </c>
      <c r="B6" s="207" t="s">
        <v>196</v>
      </c>
      <c r="C6" s="8">
        <v>3.9902989864349365</v>
      </c>
      <c r="D6" s="9">
        <v>4.6999998390674591E-2</v>
      </c>
      <c r="E6" s="9">
        <v>0.30000001192092896</v>
      </c>
      <c r="F6" s="9">
        <v>2.5</v>
      </c>
      <c r="G6" s="9">
        <v>0.26329785585403442</v>
      </c>
      <c r="H6" s="9">
        <v>0.12000000476837158</v>
      </c>
      <c r="I6">
        <v>3.7124999798834324E-3</v>
      </c>
      <c r="J6"/>
    </row>
    <row r="7" spans="1:10" ht="15" customHeight="1" x14ac:dyDescent="0.15">
      <c r="A7" s="208">
        <v>6</v>
      </c>
      <c r="B7" s="208" t="s">
        <v>197</v>
      </c>
      <c r="C7" s="8">
        <v>3.8599560260772705</v>
      </c>
      <c r="D7" s="9">
        <v>9.9999997764825821E-3</v>
      </c>
      <c r="E7" s="9">
        <v>0.60000002384185791</v>
      </c>
      <c r="F7" s="9">
        <v>3.5</v>
      </c>
      <c r="G7" s="9">
        <v>0.25830119848251343</v>
      </c>
      <c r="H7" s="9">
        <v>0.17142857611179352</v>
      </c>
      <c r="I7">
        <v>0</v>
      </c>
      <c r="J7"/>
    </row>
    <row r="8" spans="1:10" ht="15" customHeight="1" x14ac:dyDescent="0.15">
      <c r="A8" s="209">
        <v>7</v>
      </c>
      <c r="B8" s="209" t="s">
        <v>198</v>
      </c>
      <c r="C8" s="8">
        <v>4.1199793815612793</v>
      </c>
      <c r="D8" s="9">
        <v>0.46673798561096191</v>
      </c>
      <c r="E8" s="9">
        <v>0.69999998807907104</v>
      </c>
      <c r="F8" s="9">
        <v>1.7999999523162842</v>
      </c>
      <c r="G8" s="9">
        <v>0.23087033629417419</v>
      </c>
      <c r="H8" s="9">
        <v>0.3888888955116272</v>
      </c>
      <c r="I8">
        <v>5.5829167366027832E-2</v>
      </c>
      <c r="J8"/>
    </row>
    <row r="9" spans="1:10" ht="15" customHeight="1" x14ac:dyDescent="0.15">
      <c r="A9" s="210">
        <v>8</v>
      </c>
      <c r="B9" s="210" t="s">
        <v>199</v>
      </c>
      <c r="C9" s="8">
        <v>3.9884297847747803</v>
      </c>
      <c r="D9" s="9">
        <v>0.84093379974365234</v>
      </c>
      <c r="E9" s="9">
        <v>0.89999997615814209</v>
      </c>
      <c r="F9" s="9">
        <v>3.4000000953674316</v>
      </c>
      <c r="G9" s="9">
        <v>0.79805159568786621</v>
      </c>
      <c r="H9" s="9">
        <v>0.26470586657524109</v>
      </c>
      <c r="I9">
        <v>2.3860329762101173E-2</v>
      </c>
      <c r="J9"/>
    </row>
    <row r="10" spans="1:10" ht="15" customHeight="1" x14ac:dyDescent="0.15">
      <c r="A10" s="211">
        <v>9</v>
      </c>
      <c r="B10" s="211" t="s">
        <v>200</v>
      </c>
      <c r="C10" s="8">
        <v>3.6540210247039795</v>
      </c>
      <c r="D10" s="9">
        <v>3.6399997770786285E-2</v>
      </c>
      <c r="E10" s="9">
        <v>1.0950080156326294</v>
      </c>
      <c r="F10" s="9">
        <v>2.5</v>
      </c>
      <c r="G10" s="9">
        <v>0.94999998807907104</v>
      </c>
      <c r="H10" s="9">
        <v>0.43800321221351624</v>
      </c>
      <c r="I10">
        <v>7.1749999187886715E-3</v>
      </c>
      <c r="J10"/>
    </row>
    <row r="11" spans="1:10" ht="15" customHeight="1" x14ac:dyDescent="0.15">
      <c r="A11" s="212">
        <v>10</v>
      </c>
      <c r="B11" s="212" t="s">
        <v>201</v>
      </c>
      <c r="C11" s="8">
        <v>3.6197350025177002</v>
      </c>
      <c r="D11" s="9">
        <v>0.17211998999118805</v>
      </c>
      <c r="E11" s="9">
        <v>1.9505060911178589</v>
      </c>
      <c r="F11" s="9">
        <v>5</v>
      </c>
      <c r="G11" s="9">
        <v>0.89553630352020264</v>
      </c>
      <c r="H11" s="9">
        <v>0.39010122418403625</v>
      </c>
      <c r="I11">
        <v>2.4012932553887367E-2</v>
      </c>
      <c r="J11"/>
    </row>
    <row r="12" spans="1:10" ht="15" customHeight="1" x14ac:dyDescent="0.15">
      <c r="A12" s="213">
        <v>11</v>
      </c>
      <c r="B12" s="213" t="s">
        <v>202</v>
      </c>
      <c r="C12" s="8">
        <v>3.361976146697998</v>
      </c>
      <c r="D12" s="9">
        <v>2.5128586292266846</v>
      </c>
      <c r="E12" s="9">
        <v>1</v>
      </c>
      <c r="F12" s="9">
        <v>5</v>
      </c>
      <c r="G12" s="9">
        <v>0.90270322561264038</v>
      </c>
      <c r="H12" s="9">
        <v>0.20000000298023224</v>
      </c>
      <c r="I12">
        <v>1.42256710678339E-2</v>
      </c>
      <c r="J12"/>
    </row>
    <row r="13" spans="1:10" ht="15" customHeight="1" x14ac:dyDescent="0.15">
      <c r="A13" s="214">
        <v>12</v>
      </c>
      <c r="B13" s="214" t="s">
        <v>203</v>
      </c>
      <c r="C13" s="8">
        <v>2.9865105152130127</v>
      </c>
      <c r="D13" s="9">
        <v>3.4000001847743988E-2</v>
      </c>
      <c r="E13" s="9">
        <v>0.40000000596046448</v>
      </c>
      <c r="F13" s="9">
        <v>1.2999999523162842</v>
      </c>
      <c r="G13" s="9">
        <v>0.19018279016017914</v>
      </c>
      <c r="H13" s="9">
        <v>0.30769231915473938</v>
      </c>
      <c r="I13">
        <v>2.5864860508590937E-3</v>
      </c>
      <c r="J13"/>
    </row>
    <row r="14" spans="1:10" ht="15" customHeight="1" x14ac:dyDescent="0.15">
      <c r="A14" s="215">
        <v>13</v>
      </c>
      <c r="B14" s="215" t="s">
        <v>204</v>
      </c>
      <c r="C14" s="8">
        <v>2.9591066837310791</v>
      </c>
      <c r="D14" s="7">
        <v>7.4744746088981628E-2</v>
      </c>
      <c r="E14" s="9">
        <v>0.60000002384185791</v>
      </c>
      <c r="F14" s="9">
        <v>2</v>
      </c>
      <c r="G14" s="9">
        <v>0.94999998807907104</v>
      </c>
      <c r="H14" s="9">
        <v>0.30000001192092896</v>
      </c>
      <c r="I14">
        <v>1.7846750561147928E-3</v>
      </c>
      <c r="J14"/>
    </row>
    <row r="15" spans="1:10" ht="15" customHeight="1" x14ac:dyDescent="0.15">
      <c r="A15" s="216">
        <v>14</v>
      </c>
      <c r="B15" s="216" t="s">
        <v>205</v>
      </c>
      <c r="C15" s="8">
        <v>3.4783544540405273</v>
      </c>
      <c r="D15" s="9">
        <v>3.6359999179840088</v>
      </c>
      <c r="E15" s="9">
        <v>1.1000000238418579</v>
      </c>
      <c r="F15" s="9">
        <v>2.5</v>
      </c>
      <c r="G15" s="9">
        <v>0.94197696447372437</v>
      </c>
      <c r="H15" s="9">
        <v>0.43999999761581421</v>
      </c>
      <c r="I15">
        <v>4.1173249483108521E-3</v>
      </c>
      <c r="J15"/>
    </row>
    <row r="16" spans="1:10" ht="15" customHeight="1" x14ac:dyDescent="0.15">
      <c r="A16" s="217">
        <v>15</v>
      </c>
      <c r="B16" s="217" t="s">
        <v>206</v>
      </c>
      <c r="C16" s="8">
        <v>3.2687397003173828</v>
      </c>
      <c r="D16" s="9">
        <v>1.7710267305374146</v>
      </c>
      <c r="E16" s="9">
        <v>0.60000002384185791</v>
      </c>
      <c r="F16" s="9">
        <v>2</v>
      </c>
      <c r="G16" s="9">
        <v>0.94999998807907104</v>
      </c>
      <c r="H16" s="9">
        <v>0.30000001192092896</v>
      </c>
      <c r="I16">
        <v>3.0752075836062431E-2</v>
      </c>
      <c r="J16"/>
    </row>
    <row r="17" spans="1:10" ht="15" customHeight="1" x14ac:dyDescent="0.15">
      <c r="A17" s="218">
        <v>16</v>
      </c>
      <c r="B17" s="218" t="s">
        <v>207</v>
      </c>
      <c r="C17" s="8">
        <v>2.6581602096557617</v>
      </c>
      <c r="D17" s="9">
        <v>1.7196398973464966</v>
      </c>
      <c r="E17" s="9">
        <v>0.89999997615814209</v>
      </c>
      <c r="F17" s="9">
        <v>6</v>
      </c>
      <c r="G17" s="9">
        <v>0.9162401556968689</v>
      </c>
      <c r="H17" s="9">
        <v>0.14999999105930328</v>
      </c>
      <c r="I17">
        <v>0.29021844267845154</v>
      </c>
      <c r="J17"/>
    </row>
    <row r="18" spans="1:10" ht="15" customHeight="1" x14ac:dyDescent="0.15">
      <c r="A18" s="219">
        <v>17</v>
      </c>
      <c r="B18" s="219" t="s">
        <v>208</v>
      </c>
      <c r="C18" s="8">
        <v>2.220447301864624</v>
      </c>
      <c r="D18" s="9">
        <v>85</v>
      </c>
      <c r="E18" s="9">
        <v>1.5</v>
      </c>
      <c r="F18" s="9">
        <v>9.75</v>
      </c>
      <c r="G18" s="9">
        <v>0.49851205945014954</v>
      </c>
      <c r="H18" s="9">
        <v>0.15384615957736969</v>
      </c>
      <c r="I18">
        <v>1.341666653752327E-2</v>
      </c>
      <c r="J18"/>
    </row>
    <row r="19" spans="1:10" ht="15" customHeight="1" x14ac:dyDescent="0.15">
      <c r="A19" s="220">
        <v>18</v>
      </c>
      <c r="B19" s="220" t="s">
        <v>209</v>
      </c>
      <c r="C19" s="8">
        <v>3.5943224430084229</v>
      </c>
      <c r="D19" s="9">
        <v>0.37602519989013672</v>
      </c>
      <c r="E19" s="9">
        <v>2.440000057220459</v>
      </c>
      <c r="F19" s="9">
        <v>6</v>
      </c>
      <c r="G19" s="9">
        <v>0.94999998807907104</v>
      </c>
      <c r="H19" s="9">
        <v>0.40666666626930237</v>
      </c>
      <c r="I19">
        <v>9.0138998348265886E-4</v>
      </c>
      <c r="J19"/>
    </row>
    <row r="20" spans="1:10" ht="15" customHeight="1" x14ac:dyDescent="0.15">
      <c r="A20" s="221">
        <v>19</v>
      </c>
      <c r="B20" s="221" t="s">
        <v>210</v>
      </c>
      <c r="C20" s="8">
        <v>2.5896883010864258</v>
      </c>
      <c r="D20" s="9">
        <v>25</v>
      </c>
      <c r="E20" s="9">
        <v>4</v>
      </c>
      <c r="F20" s="9">
        <v>15</v>
      </c>
      <c r="G20" s="9">
        <v>0.71335965394973755</v>
      </c>
      <c r="H20" s="9">
        <v>0.26666668057441711</v>
      </c>
      <c r="I20">
        <v>0</v>
      </c>
      <c r="J20"/>
    </row>
    <row r="21" spans="1:10" ht="15" customHeight="1" x14ac:dyDescent="0.15">
      <c r="A21" s="222">
        <v>20</v>
      </c>
      <c r="B21" s="222" t="s">
        <v>211</v>
      </c>
      <c r="C21" s="8">
        <v>2.0204079151153564</v>
      </c>
      <c r="D21" s="9">
        <v>15</v>
      </c>
      <c r="E21" s="9">
        <v>20</v>
      </c>
      <c r="F21" s="9">
        <v>50</v>
      </c>
      <c r="G21" s="9">
        <v>0.90412944555282593</v>
      </c>
      <c r="H21" s="9">
        <v>0.40000000596046448</v>
      </c>
      <c r="I21">
        <v>0</v>
      </c>
      <c r="J21"/>
    </row>
    <row r="22" spans="1:10" ht="15" customHeight="1" x14ac:dyDescent="0.15">
      <c r="A22" s="223">
        <v>21</v>
      </c>
      <c r="B22" s="223" t="s">
        <v>212</v>
      </c>
      <c r="C22" s="8">
        <v>1</v>
      </c>
      <c r="D22" s="9">
        <v>20</v>
      </c>
      <c r="E22" s="9">
        <v>50</v>
      </c>
      <c r="F22" s="10"/>
      <c r="G22" s="9">
        <v>0.78959089517593384</v>
      </c>
      <c r="H22" s="10"/>
      <c r="I22">
        <v>0</v>
      </c>
      <c r="J22"/>
    </row>
    <row r="23" spans="1:10" ht="15" customHeight="1" x14ac:dyDescent="0.15">
      <c r="A23" s="224">
        <v>22</v>
      </c>
      <c r="B23" s="224" t="s">
        <v>213</v>
      </c>
      <c r="C23" s="8">
        <v>1</v>
      </c>
      <c r="D23" s="10"/>
      <c r="E23" s="10"/>
      <c r="F23" s="10"/>
      <c r="G23" s="9">
        <v>0.90306419134140015</v>
      </c>
      <c r="H23" s="10"/>
      <c r="I23">
        <v>0</v>
      </c>
      <c r="J23"/>
    </row>
    <row r="24" spans="1:10" ht="15" customHeight="1" x14ac:dyDescent="0.15">
      <c r="A24" s="225">
        <v>23</v>
      </c>
      <c r="B24" s="225" t="s">
        <v>214</v>
      </c>
      <c r="C24" s="8">
        <v>1</v>
      </c>
      <c r="D24" s="9">
        <v>5</v>
      </c>
      <c r="E24" s="10"/>
      <c r="F24" s="10"/>
      <c r="G24" s="7">
        <v>0</v>
      </c>
      <c r="H24" s="10"/>
      <c r="I24">
        <v>0</v>
      </c>
      <c r="J24"/>
    </row>
    <row r="25" spans="1:10" ht="15" customHeight="1" x14ac:dyDescent="0.15">
      <c r="A25" s="226">
        <v>24</v>
      </c>
      <c r="B25" s="226" t="s">
        <v>215</v>
      </c>
      <c r="C25" s="8">
        <v>3.8700149059295654</v>
      </c>
      <c r="D25" s="10"/>
      <c r="E25" s="10"/>
      <c r="F25" s="10"/>
      <c r="G25" s="10"/>
      <c r="H25" s="10"/>
      <c r="I25">
        <v>0.37498018145561218</v>
      </c>
      <c r="J25"/>
    </row>
    <row r="26" spans="1:10" ht="15" customHeight="1" x14ac:dyDescent="0.15">
      <c r="A26" s="227">
        <v>25</v>
      </c>
      <c r="B26" s="227" t="s">
        <v>216</v>
      </c>
      <c r="C26" s="8">
        <v>4.6919660568237305</v>
      </c>
      <c r="D26" s="10"/>
      <c r="E26" s="10"/>
      <c r="F26" s="10"/>
      <c r="G26" s="10"/>
      <c r="H26" s="10"/>
      <c r="I26">
        <v>4.4645830988883972E-2</v>
      </c>
      <c r="J26"/>
    </row>
    <row r="27" spans="1:10" ht="15" customHeight="1" x14ac:dyDescent="0.15">
      <c r="A27" s="228">
        <v>26</v>
      </c>
      <c r="B27" s="228" t="s">
        <v>217</v>
      </c>
      <c r="C27" s="8">
        <v>5.1199789047241211</v>
      </c>
      <c r="D27" s="10"/>
      <c r="E27" s="10"/>
      <c r="F27" s="10"/>
      <c r="G27" s="10"/>
      <c r="H27" s="10"/>
      <c r="I27">
        <v>3.5837501287460327E-2</v>
      </c>
      <c r="J27"/>
    </row>
    <row r="28" spans="1:10" ht="15" customHeight="1" x14ac:dyDescent="0.15">
      <c r="A28" s="229">
        <v>27</v>
      </c>
      <c r="B28" s="229" t="s">
        <v>218</v>
      </c>
      <c r="C28" s="8">
        <v>4.8499579429626465</v>
      </c>
      <c r="D28" s="10"/>
      <c r="E28" s="10"/>
      <c r="F28" s="10"/>
      <c r="G28" s="10"/>
      <c r="H28" s="10"/>
      <c r="I28">
        <v>7.1563601493835449E-2</v>
      </c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6" bestFit="1" customWidth="1"/>
    <col min="2" max="4" width="9.5" style="76" bestFit="1" customWidth="1"/>
    <col min="5" max="7" width="9" style="76" bestFit="1" customWidth="1"/>
    <col min="8" max="16" width="12.6640625" style="76" bestFit="1" customWidth="1"/>
    <col min="17" max="17" width="12.33203125" style="76" bestFit="1" customWidth="1"/>
    <col min="18" max="18" width="8.83203125" style="76"/>
    <col min="19" max="21" width="9.33203125" style="76" bestFit="1" customWidth="1"/>
    <col min="22" max="23" width="8.83203125" style="76"/>
    <col min="24" max="24" width="9.33203125" style="76" bestFit="1" customWidth="1"/>
    <col min="25" max="27" width="8.83203125" style="76"/>
    <col min="28" max="58" width="9" style="76" bestFit="1" customWidth="1"/>
    <col min="59" max="59" width="12.33203125" style="76" bestFit="1" customWidth="1"/>
    <col min="60" max="60" width="9" style="76" bestFit="1" customWidth="1"/>
    <col min="61" max="61" width="11.33203125" style="76" bestFit="1" customWidth="1"/>
    <col min="62" max="77" width="9" style="76" bestFit="1" customWidth="1"/>
    <col min="78" max="78" width="12.33203125" style="76" bestFit="1" customWidth="1"/>
    <col min="79" max="79" width="9" style="76" bestFit="1" customWidth="1"/>
    <col min="80" max="80" width="12.33203125" style="76" bestFit="1" customWidth="1"/>
    <col min="81" max="107" width="9" style="76" bestFit="1" customWidth="1"/>
    <col min="108" max="108" width="11.33203125" style="76" bestFit="1" customWidth="1"/>
    <col min="109" max="124" width="9" style="76" bestFit="1" customWidth="1"/>
    <col min="125" max="125" width="10.33203125" style="76" bestFit="1" customWidth="1"/>
    <col min="126" max="129" width="9.33203125" style="76" bestFit="1" customWidth="1"/>
    <col min="130" max="130" width="9" style="76" bestFit="1" customWidth="1"/>
    <col min="131" max="134" width="9.33203125" style="76" bestFit="1" customWidth="1"/>
    <col min="135" max="165" width="9" style="76" bestFit="1" customWidth="1"/>
    <col min="166" max="166" width="12.33203125" style="76" bestFit="1" customWidth="1"/>
    <col min="167" max="170" width="9" style="76" bestFit="1" customWidth="1"/>
    <col min="171" max="176" width="8.83203125" style="76"/>
    <col min="177" max="177" width="13.83203125" style="76" bestFit="1" customWidth="1"/>
    <col min="178" max="16384" width="8.83203125" style="7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223</v>
      </c>
      <c r="E1" t="s">
        <v>224</v>
      </c>
      <c r="F1" t="s">
        <v>225</v>
      </c>
      <c r="G1" t="s">
        <v>226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 t="s">
        <v>209</v>
      </c>
      <c r="Z1" t="s">
        <v>210</v>
      </c>
      <c r="AA1" t="s">
        <v>211</v>
      </c>
      <c r="AB1" t="s">
        <v>212</v>
      </c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2.9999999329447746E-2</v>
      </c>
      <c r="C2">
        <v>1.4443229883909225E-2</v>
      </c>
      <c r="D2"/>
      <c r="E2"/>
      <c r="F2"/>
      <c r="G2" s="168">
        <v>1.5556768514215946E-2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5.9999998658895493E-2</v>
      </c>
      <c r="C3">
        <v>-1.8622468924149871E-3</v>
      </c>
      <c r="D3"/>
      <c r="E3"/>
      <c r="F3"/>
      <c r="G3" s="163">
        <v>6.1862248927354813E-2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7.0000000298023224E-2</v>
      </c>
      <c r="C4">
        <v>-2.329731173813343E-2</v>
      </c>
      <c r="D4"/>
      <c r="E4"/>
      <c r="F4"/>
      <c r="G4" s="163">
        <v>8.367060124874115E-2</v>
      </c>
      <c r="H4"/>
      <c r="I4" s="173">
        <v>9.6267182379961014E-3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</v>
      </c>
      <c r="C5">
        <v>0.78876864910125732</v>
      </c>
      <c r="D5"/>
      <c r="E5"/>
      <c r="F5"/>
      <c r="G5" s="169">
        <v>0.21123136579990387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0.30000001192092896</v>
      </c>
      <c r="C6">
        <v>0.22101065516471863</v>
      </c>
      <c r="D6"/>
      <c r="E6"/>
      <c r="F6"/>
      <c r="G6" s="170">
        <v>7.8989364206790924E-2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0.60000002384185791</v>
      </c>
      <c r="C7">
        <v>0.44501930475234985</v>
      </c>
      <c r="D7"/>
      <c r="E7"/>
      <c r="F7"/>
      <c r="G7"/>
      <c r="H7"/>
      <c r="I7"/>
      <c r="J7"/>
      <c r="K7"/>
      <c r="L7" s="171">
        <v>0.11997614055871964</v>
      </c>
      <c r="M7" s="62">
        <v>3.5004593431949615E-2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0.69999998807907104</v>
      </c>
      <c r="C8">
        <v>0.53839075565338135</v>
      </c>
      <c r="D8"/>
      <c r="E8" s="135">
        <v>4.2832739651203156E-2</v>
      </c>
      <c r="F8" s="167">
        <v>7.6782912015914917E-2</v>
      </c>
      <c r="G8"/>
      <c r="H8"/>
      <c r="I8" s="135">
        <v>4.1993577033281326E-2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0.89999997615814209</v>
      </c>
      <c r="C9">
        <v>0.18175356090068817</v>
      </c>
      <c r="D9" s="22">
        <v>2.8373612090945244E-2</v>
      </c>
      <c r="E9"/>
      <c r="F9"/>
      <c r="G9"/>
      <c r="H9"/>
      <c r="I9" s="176">
        <v>2.9134279116988182E-2</v>
      </c>
      <c r="J9" s="191">
        <v>0.45396101474761963</v>
      </c>
      <c r="K9"/>
      <c r="L9"/>
      <c r="M9"/>
      <c r="N9" s="20">
        <v>4.9938978627324104E-3</v>
      </c>
      <c r="O9" s="165">
        <v>0.17000000178813934</v>
      </c>
      <c r="P9" s="13">
        <v>1.082130242139101E-3</v>
      </c>
      <c r="Q9" s="176">
        <v>3.0701581388711929E-2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1.0950080156326294</v>
      </c>
      <c r="C10">
        <v>5.4750412702560425E-2</v>
      </c>
      <c r="D10" s="100">
        <v>7.3260091245174408E-2</v>
      </c>
      <c r="E10" s="166">
        <v>0.12385530769824982</v>
      </c>
      <c r="F10"/>
      <c r="G10"/>
      <c r="H10"/>
      <c r="I10" s="174">
        <v>0.26923075318336487</v>
      </c>
      <c r="J10" s="175">
        <v>0.41950681805610657</v>
      </c>
      <c r="K10"/>
      <c r="L10" s="134">
        <v>3.2960481941699982E-2</v>
      </c>
      <c r="M10"/>
      <c r="N10" s="172">
        <v>0.12144411355257034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1.9505060911178589</v>
      </c>
      <c r="C11">
        <v>0.20375707745552063</v>
      </c>
      <c r="D11" s="67">
        <v>0.13951274752616882</v>
      </c>
      <c r="E11"/>
      <c r="F11"/>
      <c r="G11"/>
      <c r="H11"/>
      <c r="I11" s="16">
        <v>2.8468510136008263E-2</v>
      </c>
      <c r="J11" s="166">
        <v>0.22179360687732697</v>
      </c>
      <c r="K11"/>
      <c r="L11" s="18">
        <v>3.4140996634960175E-2</v>
      </c>
      <c r="M11" s="20">
        <v>1.0170768015086651E-2</v>
      </c>
      <c r="N11" s="65">
        <v>9.7595579922199249E-2</v>
      </c>
      <c r="O11" s="182">
        <v>0.83057606220245361</v>
      </c>
      <c r="P11" s="19">
        <v>1.586102694272995E-2</v>
      </c>
      <c r="Q11" s="24">
        <v>0.14999999105930328</v>
      </c>
      <c r="R11"/>
      <c r="S11" s="20">
        <v>1.2839879840612411E-2</v>
      </c>
      <c r="T11"/>
      <c r="U11"/>
      <c r="V11" s="177">
        <v>0.20578977465629578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</v>
      </c>
      <c r="C12">
        <v>9.7296774387359619E-2</v>
      </c>
      <c r="D12" s="20">
        <v>5.6611504405736923E-3</v>
      </c>
      <c r="E12"/>
      <c r="F12"/>
      <c r="G12"/>
      <c r="H12"/>
      <c r="I12" s="14">
        <v>9.7498521208763123E-3</v>
      </c>
      <c r="J12" s="194">
        <v>0.74744182825088501</v>
      </c>
      <c r="K12" s="15">
        <v>1.6588363796472549E-2</v>
      </c>
      <c r="L12" s="11">
        <v>4.6765763545408845E-4</v>
      </c>
      <c r="M12"/>
      <c r="N12" s="65">
        <v>5.1807787269353867E-2</v>
      </c>
      <c r="O12" s="183">
        <v>5.6890882551670074E-2</v>
      </c>
      <c r="P12"/>
      <c r="Q12"/>
      <c r="R12"/>
      <c r="S12"/>
      <c r="T12"/>
      <c r="U12"/>
      <c r="V12" s="16">
        <v>1.4095712453126907E-2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0.40000000596046448</v>
      </c>
      <c r="C13">
        <v>0.3239268958568573</v>
      </c>
      <c r="D13" s="164">
        <v>7.6073117554187775E-2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0.60000002384185791</v>
      </c>
      <c r="C14">
        <v>3.0000008642673492E-2</v>
      </c>
      <c r="D14" s="178">
        <v>2.387692965567112E-2</v>
      </c>
      <c r="E14"/>
      <c r="F14"/>
      <c r="G14"/>
      <c r="H14"/>
      <c r="I14"/>
      <c r="J14"/>
      <c r="K14"/>
      <c r="L14" s="21">
        <v>1.6051448881626129E-2</v>
      </c>
      <c r="M14"/>
      <c r="N14" s="230">
        <v>5.6185051798820496E-2</v>
      </c>
      <c r="O14"/>
      <c r="P14"/>
      <c r="Q14"/>
      <c r="R14"/>
      <c r="S14"/>
      <c r="T14"/>
      <c r="U14"/>
      <c r="V14" s="231">
        <v>0.47388660907745361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1.1000000238418579</v>
      </c>
      <c r="C15">
        <v>6.3825339078903198E-2</v>
      </c>
      <c r="D15" s="11">
        <v>9.478800930082798E-4</v>
      </c>
      <c r="E15" s="11">
        <v>1.844975195126608E-4</v>
      </c>
      <c r="F15"/>
      <c r="G15"/>
      <c r="H15" s="64">
        <v>0.10078239440917969</v>
      </c>
      <c r="I15" s="25">
        <v>3.975522518157959E-2</v>
      </c>
      <c r="J15" s="175">
        <v>0.41997838020324707</v>
      </c>
      <c r="K15" s="63">
        <v>6.8785838782787323E-2</v>
      </c>
      <c r="L15" s="19">
        <v>7.7568148262798786E-3</v>
      </c>
      <c r="M15" s="13">
        <v>1.9245615694671869E-3</v>
      </c>
      <c r="N15" s="61">
        <v>4.6199526637792587E-2</v>
      </c>
      <c r="O15" s="192">
        <v>0.15727035701274872</v>
      </c>
      <c r="P15" s="13">
        <v>2.002200111746788E-3</v>
      </c>
      <c r="Q15"/>
      <c r="R15"/>
      <c r="S15"/>
      <c r="T15"/>
      <c r="U15" s="166">
        <v>0.125</v>
      </c>
      <c r="V15" s="14">
        <v>9.7416210919618607E-3</v>
      </c>
      <c r="W15"/>
      <c r="X15"/>
      <c r="Y15" s="65">
        <v>5.5845331400632858E-2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0.60000002384185791</v>
      </c>
      <c r="C16">
        <v>3.0000008642673492E-2</v>
      </c>
      <c r="D16" s="14">
        <v>6.367536261677742E-3</v>
      </c>
      <c r="E16" s="18">
        <v>1.0996446013450623E-2</v>
      </c>
      <c r="F16"/>
      <c r="G16"/>
      <c r="H16" s="100">
        <v>3.9486818015575409E-2</v>
      </c>
      <c r="I16" s="21">
        <v>1.6600539907813072E-2</v>
      </c>
      <c r="J16" s="190">
        <v>0.20262035727500916</v>
      </c>
      <c r="K16"/>
      <c r="L16" s="15">
        <v>9.9579328671097755E-3</v>
      </c>
      <c r="M16" s="20">
        <v>3.6573091056197882E-3</v>
      </c>
      <c r="N16" s="187">
        <v>9.9592253565788269E-2</v>
      </c>
      <c r="O16" s="184">
        <v>8.0720826983451843E-2</v>
      </c>
      <c r="P16"/>
      <c r="Q16"/>
      <c r="R16"/>
      <c r="S16"/>
      <c r="T16"/>
      <c r="U16"/>
      <c r="V16" s="187">
        <v>0.10000000149011612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0.89999997615814209</v>
      </c>
      <c r="C17">
        <v>7.5383856892585754E-2</v>
      </c>
      <c r="D17" s="165">
        <v>0.16876699030399323</v>
      </c>
      <c r="E17"/>
      <c r="F17"/>
      <c r="G17"/>
      <c r="H17"/>
      <c r="I17" s="20">
        <v>5.69886714220047E-3</v>
      </c>
      <c r="J17" s="186">
        <v>8.8797926902770996E-2</v>
      </c>
      <c r="K17"/>
      <c r="L17" s="15">
        <v>1.3673999346792698E-2</v>
      </c>
      <c r="M17" s="13">
        <v>2.0346427336335182E-3</v>
      </c>
      <c r="N17" s="181">
        <v>7.3263078927993774E-2</v>
      </c>
      <c r="O17" s="193">
        <v>0.33253180980682373</v>
      </c>
      <c r="P17" s="17">
        <v>1.0583610273897648E-2</v>
      </c>
      <c r="Q17" s="18">
        <v>1.501360721886158E-2</v>
      </c>
      <c r="R17"/>
      <c r="S17" s="13">
        <v>2.5703057181090117E-3</v>
      </c>
      <c r="T17" s="14">
        <v>8.6930692195892334E-3</v>
      </c>
      <c r="U17"/>
      <c r="V17" s="166">
        <v>0.10298822820186615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1.5</v>
      </c>
      <c r="C18">
        <v>0.7522318959236145</v>
      </c>
      <c r="D18"/>
      <c r="E18"/>
      <c r="F18"/>
      <c r="G18" s="11">
        <v>1.5784314018674195E-4</v>
      </c>
      <c r="H18"/>
      <c r="I18" s="11">
        <v>2.8823528555221856E-4</v>
      </c>
      <c r="J18"/>
      <c r="K18" s="11">
        <v>4.9040251178666949E-4</v>
      </c>
      <c r="L18" s="11">
        <v>1.6460048209410161E-4</v>
      </c>
      <c r="M18" s="11">
        <v>8.438409713562578E-5</v>
      </c>
      <c r="N18" s="13">
        <v>1.4821896329522133E-3</v>
      </c>
      <c r="O18" s="13">
        <v>3.3637352753430605E-3</v>
      </c>
      <c r="P18" s="11">
        <v>5.3529409342445433E-5</v>
      </c>
      <c r="Q18"/>
      <c r="R18"/>
      <c r="S18" s="11">
        <v>2.6000000070780516E-4</v>
      </c>
      <c r="T18" s="11">
        <v>1.1431549210101366E-3</v>
      </c>
      <c r="U18" s="12">
        <v>6.4164702780544758E-3</v>
      </c>
      <c r="V18" s="18">
        <v>2.7086289599537849E-2</v>
      </c>
      <c r="W18" s="15">
        <v>2.4277269840240479E-2</v>
      </c>
      <c r="X18" s="196">
        <v>0.68250000476837158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2.440000057220459</v>
      </c>
      <c r="C19">
        <v>0.12200003117322922</v>
      </c>
      <c r="D19" s="13">
        <v>2.3971530608832836E-3</v>
      </c>
      <c r="E19"/>
      <c r="F19"/>
      <c r="G19"/>
      <c r="H19"/>
      <c r="I19" s="71">
        <v>0.15637248754501343</v>
      </c>
      <c r="J19" s="189">
        <v>0.60913652181625366</v>
      </c>
      <c r="K19" s="179">
        <v>0.11085484176874161</v>
      </c>
      <c r="L19" s="20">
        <v>1.2500837445259094E-2</v>
      </c>
      <c r="M19"/>
      <c r="N19" s="64">
        <v>0.22336465120315552</v>
      </c>
      <c r="O19" s="185">
        <v>0.38018393516540527</v>
      </c>
      <c r="P19" s="13">
        <v>2.4200503248721361E-3</v>
      </c>
      <c r="Q19" s="180">
        <v>0.18309414386749268</v>
      </c>
      <c r="R19"/>
      <c r="S19"/>
      <c r="T19"/>
      <c r="U19" s="188">
        <v>0.48347821831703186</v>
      </c>
      <c r="V19" s="178">
        <v>9.4197236001491547E-2</v>
      </c>
      <c r="W19"/>
      <c r="X19"/>
      <c r="Y19" s="23">
        <v>5.9999998658895493E-2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4</v>
      </c>
      <c r="C20">
        <v>1.1465613842010498</v>
      </c>
      <c r="D20"/>
      <c r="E20"/>
      <c r="F20"/>
      <c r="G20"/>
      <c r="H20" s="19">
        <v>3.4006074070930481E-2</v>
      </c>
      <c r="I20" s="11">
        <v>8.8200002210214734E-4</v>
      </c>
      <c r="J20" s="19">
        <v>3.0540091916918755E-2</v>
      </c>
      <c r="K20" s="12">
        <v>1.6673685982823372E-2</v>
      </c>
      <c r="L20" s="11">
        <v>6.5808824729174376E-4</v>
      </c>
      <c r="M20" s="11">
        <v>2.8009479865431786E-4</v>
      </c>
      <c r="N20"/>
      <c r="O20" s="19">
        <v>2.859175018966198E-2</v>
      </c>
      <c r="P20" s="11">
        <v>1.8927998607978225E-3</v>
      </c>
      <c r="Q20" s="20">
        <v>2.0998639985918999E-2</v>
      </c>
      <c r="R20" s="180">
        <v>0.30154305696487427</v>
      </c>
      <c r="S20" s="11">
        <v>8.8400003733113408E-5</v>
      </c>
      <c r="T20"/>
      <c r="U20" s="60">
        <v>0.2181600034236908</v>
      </c>
      <c r="V20" s="12">
        <v>1.4168214052915573E-2</v>
      </c>
      <c r="W20" s="14">
        <v>4.1271358728408813E-2</v>
      </c>
      <c r="X20" s="195">
        <v>1.3259998559951782</v>
      </c>
      <c r="Y20" s="18">
        <v>6.7684538662433624E-2</v>
      </c>
      <c r="Z20" s="165">
        <v>0.75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20</v>
      </c>
      <c r="C21">
        <v>1.9174110889434814</v>
      </c>
      <c r="D21"/>
      <c r="E21"/>
      <c r="F21"/>
      <c r="G21"/>
      <c r="H21" s="11">
        <v>8.3918655291199684E-3</v>
      </c>
      <c r="I21"/>
      <c r="J21"/>
      <c r="K21"/>
      <c r="L21" s="11">
        <v>1.5676234033890069E-4</v>
      </c>
      <c r="M21" s="11">
        <v>1.1670616368064657E-4</v>
      </c>
      <c r="N21"/>
      <c r="O21"/>
      <c r="P21" s="11">
        <v>6.0666661011055112E-4</v>
      </c>
      <c r="Q21" s="11">
        <v>1.2622132897377014E-2</v>
      </c>
      <c r="R21" s="18">
        <v>0.33504781126976013</v>
      </c>
      <c r="S21"/>
      <c r="T21"/>
      <c r="U21" s="19">
        <v>0.1636199951171875</v>
      </c>
      <c r="V21"/>
      <c r="W21" s="19">
        <v>0.17196398973464966</v>
      </c>
      <c r="X21" s="101">
        <v>3.8675000667572021</v>
      </c>
      <c r="Y21" s="13">
        <v>2.2561512887477875E-2</v>
      </c>
      <c r="Z21" s="198">
        <v>12.5</v>
      </c>
      <c r="AA21" s="65">
        <v>1</v>
      </c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50</v>
      </c>
      <c r="C22">
        <v>10.520455360412598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 s="11">
        <v>2.5794599205255508E-2</v>
      </c>
      <c r="X22" s="15">
        <v>0.82874995470046997</v>
      </c>
      <c r="Y22"/>
      <c r="Z22" s="197">
        <v>7.5</v>
      </c>
      <c r="AA22" s="199">
        <v>31.125</v>
      </c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/>
      <c r="C23">
        <v>0.90306419134140015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 s="9">
        <v>1.3260000385344028E-2</v>
      </c>
      <c r="T23" s="9">
        <v>3.7372373044490814E-2</v>
      </c>
      <c r="U23"/>
      <c r="V23" s="9">
        <v>0.35420534014701843</v>
      </c>
      <c r="W23" s="9">
        <v>4.1271357536315918</v>
      </c>
      <c r="X23" s="9">
        <v>663</v>
      </c>
      <c r="Y23"/>
      <c r="Z23" s="9">
        <v>18.75</v>
      </c>
      <c r="AA23" s="9">
        <v>112.50000762939453</v>
      </c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/>
      <c r="C24">
        <v>0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J29" sqref="J29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8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8" t="s">
        <v>166</v>
      </c>
    </row>
    <row r="2" spans="1:12" x14ac:dyDescent="0.15">
      <c r="A2" s="1" t="s">
        <v>37</v>
      </c>
      <c r="B2" s="35">
        <v>3</v>
      </c>
      <c r="C2" s="33"/>
      <c r="D2" t="s">
        <v>38</v>
      </c>
      <c r="E2">
        <v>1</v>
      </c>
      <c r="F2">
        <v>1</v>
      </c>
      <c r="G2">
        <v>1</v>
      </c>
      <c r="H2" t="s">
        <v>38</v>
      </c>
      <c r="J2" s="51"/>
      <c r="K2" s="52"/>
      <c r="L2" s="58" t="s">
        <v>167</v>
      </c>
    </row>
    <row r="3" spans="1:12" ht="14" thickBot="1" x14ac:dyDescent="0.2">
      <c r="A3" s="1" t="s">
        <v>39</v>
      </c>
      <c r="B3" s="36">
        <v>0</v>
      </c>
      <c r="C3" s="3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3"/>
      <c r="K3" s="5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3"/>
      <c r="K4" s="54"/>
    </row>
    <row r="5" spans="1:12" x14ac:dyDescent="0.15">
      <c r="D5" s="155" t="s">
        <v>192</v>
      </c>
      <c r="E5">
        <v>4</v>
      </c>
      <c r="F5">
        <v>3.16</v>
      </c>
      <c r="G5">
        <v>4</v>
      </c>
      <c r="H5" s="156" t="s">
        <v>192</v>
      </c>
      <c r="J5" s="53"/>
      <c r="K5" s="54"/>
    </row>
    <row r="6" spans="1:12" ht="14" thickBot="1" x14ac:dyDescent="0.2">
      <c r="A6" s="37" t="s">
        <v>121</v>
      </c>
      <c r="D6" s="155" t="s">
        <v>193</v>
      </c>
      <c r="E6">
        <v>5</v>
      </c>
      <c r="F6">
        <v>3.16</v>
      </c>
      <c r="G6">
        <v>5</v>
      </c>
      <c r="H6" s="156" t="s">
        <v>193</v>
      </c>
      <c r="J6" s="53"/>
      <c r="K6" s="54"/>
    </row>
    <row r="7" spans="1:12" x14ac:dyDescent="0.15">
      <c r="A7" s="32" t="s">
        <v>126</v>
      </c>
      <c r="B7" s="39">
        <v>1</v>
      </c>
      <c r="C7" s="34"/>
      <c r="D7" s="155" t="s">
        <v>194</v>
      </c>
      <c r="E7">
        <v>6</v>
      </c>
      <c r="F7">
        <v>3.16</v>
      </c>
      <c r="G7">
        <v>6</v>
      </c>
      <c r="H7" s="156" t="s">
        <v>194</v>
      </c>
      <c r="J7" s="53"/>
      <c r="K7" s="54"/>
    </row>
    <row r="8" spans="1:12" x14ac:dyDescent="0.15">
      <c r="A8" s="32" t="s">
        <v>38</v>
      </c>
      <c r="B8" s="40">
        <v>1</v>
      </c>
      <c r="C8" s="34"/>
      <c r="D8" s="155" t="s">
        <v>195</v>
      </c>
      <c r="E8">
        <v>7</v>
      </c>
      <c r="F8">
        <v>3.16</v>
      </c>
      <c r="G8">
        <v>7</v>
      </c>
      <c r="H8" s="156" t="s">
        <v>195</v>
      </c>
      <c r="J8" s="53"/>
      <c r="K8" s="54"/>
    </row>
    <row r="9" spans="1:12" x14ac:dyDescent="0.15">
      <c r="A9" s="32" t="s">
        <v>40</v>
      </c>
      <c r="B9" s="40">
        <v>1.1000000000000001</v>
      </c>
      <c r="C9" s="34"/>
      <c r="D9" s="155" t="s">
        <v>196</v>
      </c>
      <c r="E9">
        <v>8</v>
      </c>
      <c r="F9">
        <v>3.24</v>
      </c>
      <c r="G9">
        <v>8</v>
      </c>
      <c r="H9" s="156" t="s">
        <v>196</v>
      </c>
      <c r="J9" s="53"/>
      <c r="K9" s="54"/>
    </row>
    <row r="10" spans="1:12" x14ac:dyDescent="0.15">
      <c r="A10" s="32" t="s">
        <v>41</v>
      </c>
      <c r="B10" s="40">
        <v>1.2</v>
      </c>
      <c r="C10" s="34"/>
      <c r="D10" s="155" t="s">
        <v>197</v>
      </c>
      <c r="E10">
        <v>9</v>
      </c>
      <c r="F10">
        <v>3.24</v>
      </c>
      <c r="G10">
        <v>9</v>
      </c>
      <c r="H10" s="156" t="s">
        <v>197</v>
      </c>
      <c r="J10" s="53"/>
      <c r="K10" s="54"/>
    </row>
    <row r="11" spans="1:12" ht="12" customHeight="1" x14ac:dyDescent="0.15">
      <c r="A11" s="38" t="s">
        <v>127</v>
      </c>
      <c r="B11" s="40">
        <v>2</v>
      </c>
      <c r="C11" s="34"/>
      <c r="D11" s="155" t="s">
        <v>198</v>
      </c>
      <c r="E11">
        <v>10</v>
      </c>
      <c r="F11">
        <v>3.24</v>
      </c>
      <c r="G11">
        <v>10</v>
      </c>
      <c r="H11" s="156" t="s">
        <v>198</v>
      </c>
      <c r="J11" s="53"/>
      <c r="K11" s="54"/>
    </row>
    <row r="12" spans="1:12" x14ac:dyDescent="0.15">
      <c r="A12" s="32" t="s">
        <v>42</v>
      </c>
      <c r="B12" s="40">
        <v>2.1</v>
      </c>
      <c r="C12" s="34"/>
      <c r="D12" s="155" t="s">
        <v>199</v>
      </c>
      <c r="E12">
        <v>11</v>
      </c>
      <c r="F12">
        <v>3.24</v>
      </c>
      <c r="G12">
        <v>11</v>
      </c>
      <c r="H12" s="156" t="s">
        <v>199</v>
      </c>
      <c r="J12" s="53"/>
      <c r="K12" s="54"/>
    </row>
    <row r="13" spans="1:12" x14ac:dyDescent="0.15">
      <c r="A13" s="32" t="s">
        <v>43</v>
      </c>
      <c r="B13" s="40">
        <v>2.2000000000000002</v>
      </c>
      <c r="C13" s="34"/>
      <c r="D13" s="155" t="s">
        <v>200</v>
      </c>
      <c r="E13">
        <v>12</v>
      </c>
      <c r="F13">
        <v>3.04</v>
      </c>
      <c r="G13">
        <v>12</v>
      </c>
      <c r="H13" s="156" t="s">
        <v>200</v>
      </c>
      <c r="J13" s="53"/>
      <c r="K13" s="54"/>
    </row>
    <row r="14" spans="1:12" x14ac:dyDescent="0.15">
      <c r="A14" s="32" t="s">
        <v>67</v>
      </c>
      <c r="B14" s="40">
        <v>2.2999999999999998</v>
      </c>
      <c r="C14" s="34"/>
      <c r="D14" s="155" t="s">
        <v>201</v>
      </c>
      <c r="E14">
        <v>13</v>
      </c>
      <c r="F14">
        <v>3.04</v>
      </c>
      <c r="G14">
        <v>13</v>
      </c>
      <c r="H14" s="156" t="s">
        <v>201</v>
      </c>
      <c r="J14" s="53"/>
      <c r="K14" s="54"/>
    </row>
    <row r="15" spans="1:12" x14ac:dyDescent="0.15">
      <c r="A15" s="38" t="s">
        <v>128</v>
      </c>
      <c r="B15" s="40">
        <v>3</v>
      </c>
      <c r="C15" s="34"/>
      <c r="D15" s="155" t="s">
        <v>202</v>
      </c>
      <c r="E15">
        <v>14</v>
      </c>
      <c r="F15">
        <v>3.24</v>
      </c>
      <c r="G15">
        <v>14</v>
      </c>
      <c r="H15" s="156" t="s">
        <v>202</v>
      </c>
      <c r="J15" s="53"/>
      <c r="K15" s="54"/>
    </row>
    <row r="16" spans="1:12" x14ac:dyDescent="0.15">
      <c r="A16" s="32" t="s">
        <v>62</v>
      </c>
      <c r="B16" s="40">
        <v>3.11</v>
      </c>
      <c r="C16" s="34"/>
      <c r="D16" s="155" t="s">
        <v>203</v>
      </c>
      <c r="E16">
        <v>15</v>
      </c>
      <c r="F16">
        <v>3.24</v>
      </c>
      <c r="G16">
        <v>15</v>
      </c>
      <c r="H16" s="156" t="s">
        <v>203</v>
      </c>
      <c r="J16" s="53"/>
      <c r="K16" s="54"/>
    </row>
    <row r="17" spans="1:12" x14ac:dyDescent="0.15">
      <c r="A17" s="32" t="s">
        <v>61</v>
      </c>
      <c r="B17" s="40">
        <v>3.12</v>
      </c>
      <c r="C17" s="34"/>
      <c r="D17" s="155" t="s">
        <v>204</v>
      </c>
      <c r="E17">
        <v>16</v>
      </c>
      <c r="F17">
        <v>3.24</v>
      </c>
      <c r="G17">
        <v>16</v>
      </c>
      <c r="H17" s="156" t="s">
        <v>204</v>
      </c>
      <c r="J17" s="53"/>
      <c r="K17" s="54"/>
    </row>
    <row r="18" spans="1:12" x14ac:dyDescent="0.15">
      <c r="A18" s="32" t="s">
        <v>68</v>
      </c>
      <c r="B18" s="40">
        <v>3.13</v>
      </c>
      <c r="C18" s="34"/>
      <c r="D18" s="155" t="s">
        <v>205</v>
      </c>
      <c r="E18">
        <v>17</v>
      </c>
      <c r="F18">
        <v>3.14</v>
      </c>
      <c r="G18">
        <v>17</v>
      </c>
      <c r="H18" s="156" t="s">
        <v>205</v>
      </c>
      <c r="J18" s="53"/>
      <c r="K18" s="54"/>
    </row>
    <row r="19" spans="1:12" x14ac:dyDescent="0.15">
      <c r="A19" s="32" t="s">
        <v>66</v>
      </c>
      <c r="B19" s="40">
        <v>3.21</v>
      </c>
      <c r="C19" s="34"/>
      <c r="D19" s="155" t="s">
        <v>206</v>
      </c>
      <c r="E19">
        <v>18</v>
      </c>
      <c r="F19">
        <v>3.24</v>
      </c>
      <c r="G19">
        <v>18</v>
      </c>
      <c r="H19" s="156" t="s">
        <v>206</v>
      </c>
      <c r="J19" s="53"/>
      <c r="K19" s="54"/>
    </row>
    <row r="20" spans="1:12" x14ac:dyDescent="0.15">
      <c r="A20" s="32" t="s">
        <v>63</v>
      </c>
      <c r="B20" s="40">
        <v>3.22</v>
      </c>
      <c r="C20" s="34"/>
      <c r="D20" s="155" t="s">
        <v>207</v>
      </c>
      <c r="E20">
        <v>19</v>
      </c>
      <c r="F20">
        <v>3.02</v>
      </c>
      <c r="G20">
        <v>19</v>
      </c>
      <c r="H20" s="156" t="s">
        <v>207</v>
      </c>
      <c r="J20" s="53"/>
      <c r="K20" s="54"/>
    </row>
    <row r="21" spans="1:12" ht="14" thickBot="1" x14ac:dyDescent="0.2">
      <c r="A21" s="32" t="s">
        <v>69</v>
      </c>
      <c r="B21" s="40">
        <v>3.23</v>
      </c>
      <c r="C21" s="34"/>
      <c r="D21" s="155" t="s">
        <v>208</v>
      </c>
      <c r="E21">
        <v>20</v>
      </c>
      <c r="F21">
        <v>3.21</v>
      </c>
      <c r="G21">
        <v>20</v>
      </c>
      <c r="H21" s="156" t="s">
        <v>208</v>
      </c>
      <c r="J21" s="55"/>
      <c r="K21" s="56"/>
      <c r="L21" s="58" t="s">
        <v>152</v>
      </c>
    </row>
    <row r="22" spans="1:12" x14ac:dyDescent="0.15">
      <c r="A22" s="32" t="s">
        <v>64</v>
      </c>
      <c r="B22" s="40">
        <v>8</v>
      </c>
      <c r="C22" s="34"/>
      <c r="D22" s="155" t="s">
        <v>209</v>
      </c>
      <c r="E22">
        <v>21</v>
      </c>
      <c r="F22">
        <v>3.13</v>
      </c>
      <c r="G22">
        <v>21</v>
      </c>
      <c r="H22" s="156" t="s">
        <v>209</v>
      </c>
    </row>
    <row r="23" spans="1:12" x14ac:dyDescent="0.15">
      <c r="A23" s="32" t="s">
        <v>129</v>
      </c>
      <c r="B23" s="40">
        <v>4</v>
      </c>
      <c r="C23" s="34"/>
      <c r="D23" s="155" t="s">
        <v>210</v>
      </c>
      <c r="E23">
        <v>22</v>
      </c>
      <c r="F23">
        <v>3.11</v>
      </c>
      <c r="G23">
        <v>22</v>
      </c>
      <c r="H23" s="156" t="s">
        <v>210</v>
      </c>
    </row>
    <row r="24" spans="1:12" x14ac:dyDescent="0.15">
      <c r="A24" s="32" t="s">
        <v>122</v>
      </c>
      <c r="B24" s="40">
        <v>4.0999999999999996</v>
      </c>
      <c r="C24" s="34"/>
      <c r="D24" s="155" t="s">
        <v>211</v>
      </c>
      <c r="E24">
        <v>23</v>
      </c>
      <c r="F24">
        <v>3.11</v>
      </c>
      <c r="G24">
        <v>23</v>
      </c>
      <c r="H24" s="156" t="s">
        <v>211</v>
      </c>
    </row>
    <row r="25" spans="1:12" x14ac:dyDescent="0.15">
      <c r="A25" s="32" t="s">
        <v>70</v>
      </c>
      <c r="B25" s="40">
        <v>4.2</v>
      </c>
      <c r="C25" s="34"/>
      <c r="D25" s="155" t="s">
        <v>212</v>
      </c>
      <c r="E25">
        <v>24</v>
      </c>
      <c r="F25">
        <v>2.1</v>
      </c>
      <c r="G25">
        <v>24</v>
      </c>
      <c r="H25" s="156" t="s">
        <v>212</v>
      </c>
    </row>
    <row r="26" spans="1:12" x14ac:dyDescent="0.15">
      <c r="A26" s="32" t="s">
        <v>123</v>
      </c>
      <c r="B26" s="40">
        <v>4.3</v>
      </c>
      <c r="C26" s="34"/>
      <c r="D26" s="155" t="s">
        <v>213</v>
      </c>
      <c r="E26">
        <v>25</v>
      </c>
      <c r="F26">
        <v>4.0999999999999996</v>
      </c>
      <c r="G26">
        <v>25</v>
      </c>
      <c r="H26" s="156" t="s">
        <v>213</v>
      </c>
    </row>
    <row r="27" spans="1:12" x14ac:dyDescent="0.15">
      <c r="A27" s="32" t="s">
        <v>125</v>
      </c>
      <c r="B27" s="40">
        <v>6.1</v>
      </c>
      <c r="D27" s="155" t="s">
        <v>214</v>
      </c>
      <c r="E27">
        <v>26</v>
      </c>
      <c r="F27">
        <v>4.3</v>
      </c>
      <c r="G27">
        <v>26</v>
      </c>
      <c r="H27" s="156" t="s">
        <v>214</v>
      </c>
    </row>
    <row r="28" spans="1:12" x14ac:dyDescent="0.15">
      <c r="A28" s="32" t="s">
        <v>124</v>
      </c>
      <c r="B28" s="40">
        <v>6.2</v>
      </c>
      <c r="D28" s="155" t="s">
        <v>215</v>
      </c>
      <c r="E28">
        <v>27</v>
      </c>
      <c r="F28">
        <v>5</v>
      </c>
      <c r="G28">
        <v>27</v>
      </c>
      <c r="H28" s="156" t="s">
        <v>215</v>
      </c>
    </row>
    <row r="29" spans="1:12" x14ac:dyDescent="0.15">
      <c r="A29" s="32" t="s">
        <v>44</v>
      </c>
      <c r="B29" s="40">
        <v>5</v>
      </c>
      <c r="D29" s="155" t="s">
        <v>216</v>
      </c>
      <c r="E29">
        <v>28</v>
      </c>
      <c r="F29">
        <v>5</v>
      </c>
      <c r="G29">
        <v>28</v>
      </c>
      <c r="H29" s="156" t="s">
        <v>216</v>
      </c>
    </row>
    <row r="30" spans="1:12" x14ac:dyDescent="0.15">
      <c r="A30" s="32" t="s">
        <v>73</v>
      </c>
      <c r="B30" s="40">
        <v>7</v>
      </c>
      <c r="D30" s="155" t="s">
        <v>217</v>
      </c>
      <c r="E30">
        <v>29</v>
      </c>
      <c r="F30">
        <v>5</v>
      </c>
      <c r="G30">
        <v>29</v>
      </c>
      <c r="H30" s="156" t="s">
        <v>217</v>
      </c>
    </row>
    <row r="31" spans="1:12" x14ac:dyDescent="0.15">
      <c r="A31" s="32" t="s">
        <v>169</v>
      </c>
      <c r="B31" s="40">
        <v>3.14</v>
      </c>
      <c r="D31" s="155" t="s">
        <v>218</v>
      </c>
      <c r="E31">
        <v>30</v>
      </c>
      <c r="F31">
        <v>5</v>
      </c>
      <c r="G31">
        <v>30</v>
      </c>
      <c r="H31" s="156" t="s">
        <v>218</v>
      </c>
    </row>
    <row r="32" spans="1:12" ht="12" customHeight="1" thickBot="1" x14ac:dyDescent="0.2">
      <c r="A32" s="38" t="s">
        <v>170</v>
      </c>
      <c r="B32" s="41">
        <v>9</v>
      </c>
      <c r="D32" s="155" t="s">
        <v>138</v>
      </c>
      <c r="E32">
        <v>31</v>
      </c>
      <c r="F32">
        <v>6.1</v>
      </c>
      <c r="G32">
        <v>31</v>
      </c>
      <c r="H32" s="156" t="s">
        <v>138</v>
      </c>
    </row>
    <row r="33" spans="4:8" customFormat="1" ht="12" customHeight="1" x14ac:dyDescent="0.15">
      <c r="D33" s="155" t="s">
        <v>45</v>
      </c>
      <c r="E33">
        <v>32</v>
      </c>
      <c r="F33">
        <v>6.2</v>
      </c>
      <c r="G33">
        <v>32</v>
      </c>
      <c r="H33" s="156" t="s">
        <v>45</v>
      </c>
    </row>
    <row r="34" spans="4:8" customFormat="1" ht="12" customHeight="1" x14ac:dyDescent="0.15"/>
    <row r="35" spans="4:8" customFormat="1" x14ac:dyDescent="0.15"/>
    <row r="36" spans="4:8" customFormat="1" x14ac:dyDescent="0.15"/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T27" sqref="T27"/>
    </sheetView>
  </sheetViews>
  <sheetFormatPr baseColWidth="10" defaultColWidth="11.5" defaultRowHeight="15" customHeight="1" x14ac:dyDescent="0.15"/>
  <cols>
    <col min="1" max="1" width="40.1640625" style="77" bestFit="1" customWidth="1"/>
    <col min="2" max="2" width="3.83203125" style="76" customWidth="1"/>
    <col min="3" max="3" width="13.1640625" style="76" customWidth="1"/>
    <col min="4" max="4" width="39.6640625" style="76" customWidth="1"/>
    <col min="5" max="5" width="8.1640625" style="76" customWidth="1"/>
    <col min="6" max="6" width="21.83203125" style="76" bestFit="1" customWidth="1"/>
    <col min="7" max="9" width="2.33203125" style="76" customWidth="1"/>
    <col min="10" max="10" width="2.33203125" style="76" bestFit="1" customWidth="1"/>
    <col min="11" max="15" width="2.33203125" style="76" customWidth="1"/>
    <col min="16" max="16" width="2.33203125" style="68" customWidth="1"/>
    <col min="17" max="17" width="2.33203125" style="76" customWidth="1"/>
    <col min="18" max="18" width="2.33203125" style="69" customWidth="1"/>
    <col min="19" max="16384" width="11.5" style="76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78" t="s">
        <v>48</v>
      </c>
      <c r="L1" s="69"/>
      <c r="M1" s="78" t="s">
        <v>119</v>
      </c>
      <c r="N1" s="69"/>
      <c r="O1" s="78" t="s">
        <v>49</v>
      </c>
      <c r="P1" s="70"/>
      <c r="Q1" s="78" t="s">
        <v>50</v>
      </c>
      <c r="R1" s="66" t="s">
        <v>154</v>
      </c>
    </row>
    <row r="2" spans="1:23" ht="15" customHeight="1" x14ac:dyDescent="0.15">
      <c r="A2" s="78" t="s">
        <v>51</v>
      </c>
      <c r="B2" s="79">
        <v>0.5</v>
      </c>
      <c r="C2" s="77" t="s">
        <v>52</v>
      </c>
      <c r="D2" s="80"/>
      <c r="F2" s="1"/>
      <c r="G2" s="81"/>
      <c r="H2" s="81"/>
      <c r="I2" s="81" t="s">
        <v>133</v>
      </c>
      <c r="J2" s="81" t="s">
        <v>133</v>
      </c>
      <c r="K2" s="81" t="s">
        <v>52</v>
      </c>
      <c r="L2" s="81" t="s">
        <v>53</v>
      </c>
      <c r="M2" s="81" t="s">
        <v>52</v>
      </c>
      <c r="N2" s="81" t="s">
        <v>53</v>
      </c>
      <c r="O2" s="81" t="s">
        <v>52</v>
      </c>
      <c r="P2" s="82" t="s">
        <v>53</v>
      </c>
      <c r="Q2" s="81"/>
      <c r="R2" s="83" t="s">
        <v>155</v>
      </c>
    </row>
    <row r="3" spans="1:23" ht="15" customHeight="1" thickBot="1" x14ac:dyDescent="0.2">
      <c r="A3" s="78" t="s">
        <v>54</v>
      </c>
      <c r="B3" s="84">
        <v>0.5</v>
      </c>
      <c r="C3" s="77" t="s">
        <v>53</v>
      </c>
      <c r="D3" s="8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1">
        <v>0</v>
      </c>
      <c r="R3" s="3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1">
        <v>0</v>
      </c>
      <c r="R4" s="103">
        <v>0</v>
      </c>
    </row>
    <row r="5" spans="1:23" ht="15" customHeight="1" x14ac:dyDescent="0.15">
      <c r="A5" s="78" t="s">
        <v>55</v>
      </c>
      <c r="B5" s="85">
        <v>0.5</v>
      </c>
      <c r="C5" s="77" t="s">
        <v>52</v>
      </c>
      <c r="D5" s="8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1">
        <v>0</v>
      </c>
      <c r="R5" s="103">
        <v>0</v>
      </c>
    </row>
    <row r="6" spans="1:23" ht="15" customHeight="1" thickBot="1" x14ac:dyDescent="0.2">
      <c r="A6" s="78"/>
      <c r="B6" s="86">
        <v>0.5</v>
      </c>
      <c r="C6" s="77" t="s">
        <v>53</v>
      </c>
      <c r="D6" s="80"/>
      <c r="F6" s="157" t="s">
        <v>192</v>
      </c>
      <c r="G6" s="76">
        <v>0</v>
      </c>
      <c r="H6" s="76">
        <v>0</v>
      </c>
      <c r="I6" s="76">
        <v>0</v>
      </c>
      <c r="J6" s="76">
        <v>0</v>
      </c>
      <c r="K6" s="76">
        <v>1</v>
      </c>
      <c r="L6" s="76">
        <v>0</v>
      </c>
      <c r="M6" s="76">
        <v>1</v>
      </c>
      <c r="N6" s="76">
        <v>0</v>
      </c>
      <c r="O6" s="76">
        <v>1</v>
      </c>
      <c r="P6" s="68">
        <v>0</v>
      </c>
      <c r="Q6" s="76">
        <v>0</v>
      </c>
      <c r="R6" s="69">
        <v>1</v>
      </c>
      <c r="S6"/>
      <c r="T6"/>
    </row>
    <row r="7" spans="1:23" ht="15" customHeight="1" thickBot="1" x14ac:dyDescent="0.2">
      <c r="F7" s="157" t="s">
        <v>193</v>
      </c>
      <c r="G7" s="76">
        <v>0</v>
      </c>
      <c r="H7" s="76">
        <v>0</v>
      </c>
      <c r="I7" s="76">
        <v>0</v>
      </c>
      <c r="J7" s="76">
        <v>0</v>
      </c>
      <c r="K7" s="76">
        <v>1</v>
      </c>
      <c r="L7" s="76">
        <v>0</v>
      </c>
      <c r="M7" s="76">
        <v>1</v>
      </c>
      <c r="N7" s="76">
        <v>0</v>
      </c>
      <c r="O7" s="76">
        <v>1</v>
      </c>
      <c r="P7" s="68">
        <v>0</v>
      </c>
      <c r="Q7" s="76">
        <v>0</v>
      </c>
      <c r="R7" s="69">
        <v>1</v>
      </c>
      <c r="S7"/>
      <c r="T7"/>
    </row>
    <row r="8" spans="1:23" ht="15" customHeight="1" x14ac:dyDescent="0.15">
      <c r="A8" s="78" t="s">
        <v>56</v>
      </c>
      <c r="B8" s="85">
        <v>1</v>
      </c>
      <c r="C8" s="158" t="s">
        <v>212</v>
      </c>
      <c r="D8" s="80" t="s">
        <v>160</v>
      </c>
      <c r="F8" s="157" t="s">
        <v>194</v>
      </c>
      <c r="G8" s="76">
        <v>0</v>
      </c>
      <c r="H8" s="76">
        <v>0</v>
      </c>
      <c r="I8" s="76">
        <v>0</v>
      </c>
      <c r="J8" s="76">
        <v>0</v>
      </c>
      <c r="K8" s="76">
        <v>1</v>
      </c>
      <c r="L8" s="76">
        <v>0</v>
      </c>
      <c r="M8" s="76">
        <v>1</v>
      </c>
      <c r="N8" s="76">
        <v>0</v>
      </c>
      <c r="O8" s="76">
        <v>1</v>
      </c>
      <c r="P8" s="68">
        <v>0</v>
      </c>
      <c r="Q8" s="76">
        <v>0</v>
      </c>
      <c r="R8" s="69">
        <v>1</v>
      </c>
      <c r="S8"/>
      <c r="T8"/>
      <c r="W8"/>
    </row>
    <row r="9" spans="1:23" ht="15" customHeight="1" x14ac:dyDescent="0.15">
      <c r="A9" s="117" t="s">
        <v>168</v>
      </c>
      <c r="B9" s="87"/>
      <c r="C9" s="75"/>
      <c r="D9" s="80" t="s">
        <v>160</v>
      </c>
      <c r="F9" s="157" t="s">
        <v>195</v>
      </c>
      <c r="G9" s="76">
        <v>0</v>
      </c>
      <c r="H9" s="76">
        <v>0</v>
      </c>
      <c r="I9" s="76">
        <v>0</v>
      </c>
      <c r="J9" s="76">
        <v>0</v>
      </c>
      <c r="K9" s="76">
        <v>1</v>
      </c>
      <c r="L9" s="76">
        <v>0</v>
      </c>
      <c r="M9" s="76">
        <v>1</v>
      </c>
      <c r="N9" s="76">
        <v>0</v>
      </c>
      <c r="O9" s="76">
        <v>1</v>
      </c>
      <c r="P9" s="68">
        <v>0</v>
      </c>
      <c r="Q9" s="76">
        <v>0</v>
      </c>
      <c r="R9" s="69">
        <v>1</v>
      </c>
      <c r="S9"/>
      <c r="T9"/>
      <c r="W9"/>
    </row>
    <row r="10" spans="1:23" ht="15" customHeight="1" x14ac:dyDescent="0.15">
      <c r="B10" s="87"/>
      <c r="C10" s="75"/>
      <c r="D10" s="80" t="s">
        <v>160</v>
      </c>
      <c r="F10" s="157" t="s">
        <v>196</v>
      </c>
      <c r="G10" s="76">
        <v>0</v>
      </c>
      <c r="H10" s="76">
        <v>0</v>
      </c>
      <c r="I10" s="76">
        <v>0</v>
      </c>
      <c r="J10" s="76">
        <v>0</v>
      </c>
      <c r="K10" s="76">
        <v>1</v>
      </c>
      <c r="L10" s="76">
        <v>0</v>
      </c>
      <c r="M10" s="76">
        <v>1</v>
      </c>
      <c r="N10" s="76">
        <v>0</v>
      </c>
      <c r="O10" s="76">
        <v>1</v>
      </c>
      <c r="P10" s="68">
        <v>0</v>
      </c>
      <c r="Q10" s="76">
        <v>0</v>
      </c>
      <c r="R10" s="69">
        <v>1</v>
      </c>
      <c r="S10"/>
      <c r="T10"/>
      <c r="W10"/>
    </row>
    <row r="11" spans="1:23" ht="15" customHeight="1" x14ac:dyDescent="0.15">
      <c r="A11" s="78"/>
      <c r="B11" s="87"/>
      <c r="C11" s="90"/>
      <c r="D11" s="80" t="s">
        <v>160</v>
      </c>
      <c r="F11" s="157" t="s">
        <v>197</v>
      </c>
      <c r="G11" s="76">
        <v>0</v>
      </c>
      <c r="H11" s="76">
        <v>0</v>
      </c>
      <c r="I11" s="76">
        <v>0</v>
      </c>
      <c r="J11" s="76">
        <v>0</v>
      </c>
      <c r="K11" s="76">
        <v>1</v>
      </c>
      <c r="L11" s="76">
        <v>0</v>
      </c>
      <c r="M11" s="76">
        <v>1</v>
      </c>
      <c r="N11" s="76">
        <v>0</v>
      </c>
      <c r="O11" s="76">
        <v>1</v>
      </c>
      <c r="P11" s="68">
        <v>0</v>
      </c>
      <c r="Q11" s="76">
        <v>0</v>
      </c>
      <c r="R11" s="69">
        <v>1</v>
      </c>
      <c r="S11"/>
      <c r="T11"/>
      <c r="W11"/>
    </row>
    <row r="12" spans="1:23" ht="15" customHeight="1" x14ac:dyDescent="0.15">
      <c r="B12" s="87"/>
      <c r="C12" s="91"/>
      <c r="D12" s="80" t="s">
        <v>160</v>
      </c>
      <c r="F12" s="157" t="s">
        <v>198</v>
      </c>
      <c r="G12" s="76">
        <v>0</v>
      </c>
      <c r="H12" s="76">
        <v>0</v>
      </c>
      <c r="I12" s="76">
        <v>0</v>
      </c>
      <c r="J12" s="76">
        <v>0</v>
      </c>
      <c r="K12" s="76">
        <v>1</v>
      </c>
      <c r="L12" s="76">
        <v>0</v>
      </c>
      <c r="M12" s="76">
        <v>1</v>
      </c>
      <c r="N12" s="76">
        <v>0</v>
      </c>
      <c r="O12" s="76">
        <v>1</v>
      </c>
      <c r="P12" s="68">
        <v>0</v>
      </c>
      <c r="Q12" s="76">
        <v>0</v>
      </c>
      <c r="R12" s="69">
        <v>1</v>
      </c>
      <c r="S12"/>
      <c r="T12"/>
      <c r="W12"/>
    </row>
    <row r="13" spans="1:23" ht="15" customHeight="1" x14ac:dyDescent="0.15">
      <c r="B13" s="87"/>
      <c r="C13" s="91"/>
      <c r="D13" s="80" t="s">
        <v>160</v>
      </c>
      <c r="F13" s="157" t="s">
        <v>199</v>
      </c>
      <c r="G13" s="76">
        <v>0</v>
      </c>
      <c r="H13" s="76">
        <v>0</v>
      </c>
      <c r="I13" s="76">
        <v>0</v>
      </c>
      <c r="J13" s="76">
        <v>0</v>
      </c>
      <c r="K13" s="76">
        <v>1</v>
      </c>
      <c r="L13" s="76">
        <v>0</v>
      </c>
      <c r="M13" s="76">
        <v>1</v>
      </c>
      <c r="N13" s="76">
        <v>0</v>
      </c>
      <c r="O13" s="76">
        <v>1</v>
      </c>
      <c r="P13" s="68">
        <v>0</v>
      </c>
      <c r="Q13" s="76">
        <v>0</v>
      </c>
      <c r="R13" s="69">
        <v>1</v>
      </c>
      <c r="S13"/>
      <c r="T13"/>
      <c r="W13"/>
    </row>
    <row r="14" spans="1:23" ht="15" customHeight="1" x14ac:dyDescent="0.15">
      <c r="B14" s="87"/>
      <c r="C14" s="75"/>
      <c r="D14" s="80" t="s">
        <v>160</v>
      </c>
      <c r="F14" s="157" t="s">
        <v>200</v>
      </c>
      <c r="G14" s="76">
        <v>0</v>
      </c>
      <c r="H14" s="76">
        <v>0</v>
      </c>
      <c r="I14" s="76">
        <v>0</v>
      </c>
      <c r="J14" s="76">
        <v>0</v>
      </c>
      <c r="K14" s="76">
        <v>1</v>
      </c>
      <c r="L14" s="76">
        <v>0</v>
      </c>
      <c r="M14" s="76">
        <v>1</v>
      </c>
      <c r="N14" s="76">
        <v>0</v>
      </c>
      <c r="O14" s="76">
        <v>1</v>
      </c>
      <c r="P14" s="68">
        <v>0</v>
      </c>
      <c r="Q14" s="76">
        <v>0</v>
      </c>
      <c r="R14" s="69">
        <v>1</v>
      </c>
      <c r="S14"/>
      <c r="T14"/>
      <c r="W14"/>
    </row>
    <row r="15" spans="1:23" ht="15" customHeight="1" x14ac:dyDescent="0.15">
      <c r="B15" s="87"/>
      <c r="C15" s="75"/>
      <c r="D15" s="80" t="s">
        <v>160</v>
      </c>
      <c r="F15" s="157" t="s">
        <v>201</v>
      </c>
      <c r="G15" s="76">
        <v>0</v>
      </c>
      <c r="H15" s="76">
        <v>0</v>
      </c>
      <c r="I15" s="76">
        <v>0</v>
      </c>
      <c r="J15" s="76">
        <v>0</v>
      </c>
      <c r="K15" s="76">
        <v>1</v>
      </c>
      <c r="L15" s="76">
        <v>0</v>
      </c>
      <c r="M15" s="76">
        <v>1</v>
      </c>
      <c r="N15" s="76">
        <v>0</v>
      </c>
      <c r="O15" s="76">
        <v>1</v>
      </c>
      <c r="P15" s="68">
        <v>0</v>
      </c>
      <c r="Q15" s="76">
        <v>0</v>
      </c>
      <c r="R15" s="69">
        <v>1</v>
      </c>
      <c r="S15"/>
      <c r="T15"/>
      <c r="W15"/>
    </row>
    <row r="16" spans="1:23" ht="15" customHeight="1" x14ac:dyDescent="0.15">
      <c r="B16" s="87"/>
      <c r="C16" s="75"/>
      <c r="D16" s="80" t="s">
        <v>160</v>
      </c>
      <c r="F16" s="157" t="s">
        <v>202</v>
      </c>
      <c r="G16" s="76">
        <v>0</v>
      </c>
      <c r="H16" s="76">
        <v>0</v>
      </c>
      <c r="I16" s="76">
        <v>0</v>
      </c>
      <c r="J16" s="76">
        <v>0</v>
      </c>
      <c r="K16" s="76">
        <v>1</v>
      </c>
      <c r="L16" s="76">
        <v>0</v>
      </c>
      <c r="M16" s="76">
        <v>1</v>
      </c>
      <c r="N16" s="76">
        <v>0</v>
      </c>
      <c r="O16" s="76">
        <v>1</v>
      </c>
      <c r="P16" s="68">
        <v>0</v>
      </c>
      <c r="Q16" s="76">
        <v>0</v>
      </c>
      <c r="R16" s="69">
        <v>1</v>
      </c>
      <c r="S16"/>
      <c r="T16"/>
    </row>
    <row r="17" spans="1:20" ht="15" customHeight="1" thickBot="1" x14ac:dyDescent="0.2">
      <c r="B17" s="86"/>
      <c r="C17" s="75"/>
      <c r="D17" s="80" t="s">
        <v>160</v>
      </c>
      <c r="F17" s="157" t="s">
        <v>203</v>
      </c>
      <c r="G17" s="76">
        <v>0</v>
      </c>
      <c r="H17" s="76">
        <v>0</v>
      </c>
      <c r="I17" s="76">
        <v>0</v>
      </c>
      <c r="J17" s="76">
        <v>0</v>
      </c>
      <c r="K17" s="76">
        <v>1</v>
      </c>
      <c r="L17" s="76">
        <v>0</v>
      </c>
      <c r="M17" s="76">
        <v>1</v>
      </c>
      <c r="N17" s="76">
        <v>0</v>
      </c>
      <c r="O17" s="76">
        <v>1</v>
      </c>
      <c r="P17" s="68">
        <v>0</v>
      </c>
      <c r="Q17" s="76">
        <v>0</v>
      </c>
      <c r="R17" s="69">
        <v>1</v>
      </c>
      <c r="S17"/>
      <c r="T17"/>
    </row>
    <row r="18" spans="1:20" ht="15" customHeight="1" thickBot="1" x14ac:dyDescent="0.2">
      <c r="B18" s="88"/>
      <c r="F18" s="157" t="s">
        <v>204</v>
      </c>
      <c r="G18" s="76">
        <v>0</v>
      </c>
      <c r="H18" s="76">
        <v>0</v>
      </c>
      <c r="I18" s="76">
        <v>0</v>
      </c>
      <c r="J18" s="76">
        <v>0</v>
      </c>
      <c r="K18" s="76">
        <v>1</v>
      </c>
      <c r="L18" s="76">
        <v>0</v>
      </c>
      <c r="M18" s="76">
        <v>1</v>
      </c>
      <c r="N18" s="76">
        <v>0</v>
      </c>
      <c r="O18" s="76">
        <v>1</v>
      </c>
      <c r="P18" s="68">
        <v>0</v>
      </c>
      <c r="Q18" s="76">
        <v>0</v>
      </c>
      <c r="R18" s="69">
        <v>1</v>
      </c>
      <c r="S18"/>
      <c r="T18"/>
    </row>
    <row r="19" spans="1:20" ht="15" customHeight="1" x14ac:dyDescent="0.15">
      <c r="A19" s="78" t="s">
        <v>57</v>
      </c>
      <c r="B19" s="85">
        <v>1</v>
      </c>
      <c r="C19" s="159" t="s">
        <v>212</v>
      </c>
      <c r="D19" s="80" t="s">
        <v>160</v>
      </c>
      <c r="F19" s="157" t="s">
        <v>205</v>
      </c>
      <c r="G19" s="76">
        <v>0</v>
      </c>
      <c r="H19" s="76">
        <v>0</v>
      </c>
      <c r="I19" s="76">
        <v>0</v>
      </c>
      <c r="J19" s="76">
        <v>0</v>
      </c>
      <c r="K19" s="76">
        <v>1</v>
      </c>
      <c r="L19" s="76">
        <v>0</v>
      </c>
      <c r="M19" s="76">
        <v>1</v>
      </c>
      <c r="N19" s="76">
        <v>0</v>
      </c>
      <c r="O19" s="76">
        <v>1</v>
      </c>
      <c r="P19" s="68">
        <v>0</v>
      </c>
      <c r="Q19" s="76">
        <v>0</v>
      </c>
      <c r="R19" s="69">
        <v>1</v>
      </c>
      <c r="S19"/>
      <c r="T19"/>
    </row>
    <row r="20" spans="1:20" ht="15" customHeight="1" x14ac:dyDescent="0.15">
      <c r="A20" s="117" t="s">
        <v>168</v>
      </c>
      <c r="B20" s="87"/>
      <c r="C20" s="75"/>
      <c r="D20" s="80" t="s">
        <v>160</v>
      </c>
      <c r="F20" s="157" t="s">
        <v>206</v>
      </c>
      <c r="G20" s="76">
        <v>0</v>
      </c>
      <c r="H20" s="76">
        <v>0</v>
      </c>
      <c r="I20" s="76">
        <v>0</v>
      </c>
      <c r="J20" s="76">
        <v>0</v>
      </c>
      <c r="K20" s="76">
        <v>1</v>
      </c>
      <c r="L20" s="76">
        <v>0</v>
      </c>
      <c r="M20" s="76">
        <v>1</v>
      </c>
      <c r="N20" s="76">
        <v>0</v>
      </c>
      <c r="O20" s="76">
        <v>1</v>
      </c>
      <c r="P20" s="68">
        <v>0</v>
      </c>
      <c r="Q20" s="76">
        <v>0</v>
      </c>
      <c r="R20" s="69">
        <v>1</v>
      </c>
      <c r="S20"/>
      <c r="T20"/>
    </row>
    <row r="21" spans="1:20" ht="15" customHeight="1" x14ac:dyDescent="0.15">
      <c r="B21" s="87"/>
      <c r="C21" s="75"/>
      <c r="D21" s="80" t="s">
        <v>160</v>
      </c>
      <c r="F21" s="157" t="s">
        <v>207</v>
      </c>
      <c r="G21" s="76">
        <v>0</v>
      </c>
      <c r="H21" s="76">
        <v>0</v>
      </c>
      <c r="I21" s="76">
        <v>0</v>
      </c>
      <c r="J21" s="76">
        <v>0</v>
      </c>
      <c r="K21" s="76">
        <v>1</v>
      </c>
      <c r="L21" s="76">
        <v>0</v>
      </c>
      <c r="M21" s="76">
        <v>1</v>
      </c>
      <c r="N21" s="76">
        <v>0</v>
      </c>
      <c r="O21" s="76">
        <v>1</v>
      </c>
      <c r="P21" s="68">
        <v>0</v>
      </c>
      <c r="Q21" s="76">
        <v>0</v>
      </c>
      <c r="R21" s="69">
        <v>1</v>
      </c>
      <c r="S21"/>
      <c r="T21"/>
    </row>
    <row r="22" spans="1:20" ht="15" customHeight="1" x14ac:dyDescent="0.15">
      <c r="A22" s="76"/>
      <c r="B22" s="87"/>
      <c r="C22" s="90"/>
      <c r="D22" s="80" t="s">
        <v>160</v>
      </c>
      <c r="F22" s="157" t="s">
        <v>208</v>
      </c>
      <c r="G22" s="76">
        <v>0</v>
      </c>
      <c r="H22" s="76">
        <v>0</v>
      </c>
      <c r="I22" s="76">
        <v>0</v>
      </c>
      <c r="J22" s="76">
        <v>0</v>
      </c>
      <c r="K22" s="76">
        <v>1</v>
      </c>
      <c r="L22" s="76">
        <v>0</v>
      </c>
      <c r="M22" s="76">
        <v>1</v>
      </c>
      <c r="N22" s="76">
        <v>0</v>
      </c>
      <c r="O22" s="76">
        <v>1</v>
      </c>
      <c r="P22" s="68">
        <v>0</v>
      </c>
      <c r="Q22" s="76">
        <v>0</v>
      </c>
      <c r="R22" s="69">
        <v>1</v>
      </c>
      <c r="S22"/>
      <c r="T22"/>
    </row>
    <row r="23" spans="1:20" ht="15" customHeight="1" x14ac:dyDescent="0.15">
      <c r="A23" s="76"/>
      <c r="B23" s="87"/>
      <c r="C23" s="91"/>
      <c r="D23" s="80" t="s">
        <v>160</v>
      </c>
      <c r="F23" s="157" t="s">
        <v>209</v>
      </c>
      <c r="G23" s="76">
        <v>0</v>
      </c>
      <c r="H23" s="76">
        <v>0</v>
      </c>
      <c r="I23" s="76">
        <v>0</v>
      </c>
      <c r="J23" s="76">
        <v>0</v>
      </c>
      <c r="K23" s="76">
        <v>1</v>
      </c>
      <c r="L23" s="76">
        <v>0</v>
      </c>
      <c r="M23" s="76">
        <v>1</v>
      </c>
      <c r="N23" s="76">
        <v>0</v>
      </c>
      <c r="O23" s="76">
        <v>1</v>
      </c>
      <c r="P23" s="68">
        <v>0</v>
      </c>
      <c r="Q23" s="76">
        <v>0</v>
      </c>
      <c r="R23" s="69">
        <v>1</v>
      </c>
      <c r="S23"/>
      <c r="T23"/>
    </row>
    <row r="24" spans="1:20" ht="15" customHeight="1" x14ac:dyDescent="0.15">
      <c r="A24" s="76"/>
      <c r="B24" s="87"/>
      <c r="C24" s="91"/>
      <c r="D24" s="80" t="s">
        <v>160</v>
      </c>
      <c r="F24" s="157" t="s">
        <v>210</v>
      </c>
      <c r="G24" s="76">
        <v>0</v>
      </c>
      <c r="H24" s="76">
        <v>0</v>
      </c>
      <c r="I24" s="76">
        <v>0</v>
      </c>
      <c r="J24" s="76">
        <v>0</v>
      </c>
      <c r="K24" s="76">
        <v>1</v>
      </c>
      <c r="L24" s="76">
        <v>0</v>
      </c>
      <c r="M24" s="76">
        <v>1</v>
      </c>
      <c r="N24" s="76">
        <v>0</v>
      </c>
      <c r="O24" s="76">
        <v>1</v>
      </c>
      <c r="P24" s="68">
        <v>0</v>
      </c>
      <c r="Q24" s="76">
        <v>0</v>
      </c>
      <c r="R24" s="69">
        <v>1</v>
      </c>
      <c r="S24"/>
      <c r="T24"/>
    </row>
    <row r="25" spans="1:20" ht="15" customHeight="1" x14ac:dyDescent="0.15">
      <c r="A25" s="76"/>
      <c r="B25" s="87"/>
      <c r="C25" s="75"/>
      <c r="D25" s="80" t="s">
        <v>160</v>
      </c>
      <c r="F25" s="157" t="s">
        <v>211</v>
      </c>
      <c r="G25" s="76">
        <v>0</v>
      </c>
      <c r="H25" s="76">
        <v>0</v>
      </c>
      <c r="I25" s="76">
        <v>0</v>
      </c>
      <c r="J25" s="76">
        <v>0</v>
      </c>
      <c r="K25" s="76">
        <v>1</v>
      </c>
      <c r="L25" s="76">
        <v>0</v>
      </c>
      <c r="M25" s="76">
        <v>1</v>
      </c>
      <c r="N25" s="76">
        <v>0</v>
      </c>
      <c r="O25" s="76">
        <v>1</v>
      </c>
      <c r="P25" s="68">
        <v>0</v>
      </c>
      <c r="Q25" s="76">
        <v>0</v>
      </c>
      <c r="R25" s="69">
        <v>1</v>
      </c>
      <c r="S25"/>
      <c r="T25"/>
    </row>
    <row r="26" spans="1:20" ht="15" customHeight="1" x14ac:dyDescent="0.15">
      <c r="B26" s="87"/>
      <c r="C26" s="75"/>
      <c r="D26" s="80" t="s">
        <v>160</v>
      </c>
      <c r="F26" s="157" t="s">
        <v>212</v>
      </c>
      <c r="G26" s="76">
        <v>0</v>
      </c>
      <c r="H26" s="76">
        <v>0</v>
      </c>
      <c r="I26" s="76">
        <v>0</v>
      </c>
      <c r="J26" s="76">
        <v>0</v>
      </c>
      <c r="K26" s="76">
        <v>0</v>
      </c>
      <c r="L26" s="76">
        <v>0</v>
      </c>
      <c r="M26" s="76">
        <v>1</v>
      </c>
      <c r="N26" s="76">
        <v>0</v>
      </c>
      <c r="O26" s="76">
        <v>0</v>
      </c>
      <c r="P26" s="68">
        <v>0</v>
      </c>
      <c r="Q26" s="76">
        <v>0</v>
      </c>
      <c r="R26" s="69">
        <v>1</v>
      </c>
      <c r="S26"/>
      <c r="T26"/>
    </row>
    <row r="27" spans="1:20" ht="15" customHeight="1" x14ac:dyDescent="0.15">
      <c r="B27" s="87"/>
      <c r="C27" s="75"/>
      <c r="D27" s="80" t="s">
        <v>160</v>
      </c>
      <c r="F27" s="157" t="s">
        <v>213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1</v>
      </c>
      <c r="M27" s="76">
        <v>0</v>
      </c>
      <c r="N27" s="76">
        <v>1</v>
      </c>
      <c r="O27" s="76">
        <v>0</v>
      </c>
      <c r="P27" s="68">
        <v>1</v>
      </c>
      <c r="Q27" s="76">
        <v>0</v>
      </c>
      <c r="R27" s="69">
        <v>1</v>
      </c>
      <c r="S27"/>
      <c r="T27"/>
    </row>
    <row r="28" spans="1:20" ht="15" customHeight="1" thickBot="1" x14ac:dyDescent="0.2">
      <c r="B28" s="86"/>
      <c r="C28" s="75"/>
      <c r="D28" s="80" t="s">
        <v>160</v>
      </c>
      <c r="F28" s="157" t="s">
        <v>214</v>
      </c>
      <c r="G28" s="76">
        <v>0</v>
      </c>
      <c r="H28" s="76">
        <v>0</v>
      </c>
      <c r="I28" s="76">
        <v>0</v>
      </c>
      <c r="J28" s="76">
        <v>0</v>
      </c>
      <c r="K28" s="76">
        <v>0</v>
      </c>
      <c r="L28" s="76">
        <v>1</v>
      </c>
      <c r="M28" s="76">
        <v>0</v>
      </c>
      <c r="N28" s="76">
        <v>1</v>
      </c>
      <c r="O28" s="76">
        <v>0</v>
      </c>
      <c r="P28" s="68">
        <v>1</v>
      </c>
      <c r="Q28" s="76">
        <v>0</v>
      </c>
      <c r="R28" s="69">
        <v>1</v>
      </c>
      <c r="S28"/>
      <c r="T28"/>
    </row>
    <row r="29" spans="1:20" ht="15" customHeight="1" x14ac:dyDescent="0.15">
      <c r="F29" s="157" t="s">
        <v>215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1</v>
      </c>
      <c r="M29" s="76">
        <v>0</v>
      </c>
      <c r="N29" s="76">
        <v>0</v>
      </c>
      <c r="O29" s="76">
        <v>0</v>
      </c>
      <c r="P29" s="68">
        <v>0</v>
      </c>
      <c r="Q29" s="76">
        <v>0</v>
      </c>
      <c r="R29" s="69">
        <v>1</v>
      </c>
      <c r="S29"/>
      <c r="T29"/>
    </row>
    <row r="30" spans="1:20" ht="15" customHeight="1" x14ac:dyDescent="0.15">
      <c r="F30" s="157" t="s">
        <v>216</v>
      </c>
      <c r="G30" s="76">
        <v>0</v>
      </c>
      <c r="H30" s="76">
        <v>0</v>
      </c>
      <c r="I30" s="76">
        <v>0</v>
      </c>
      <c r="J30" s="76">
        <v>0</v>
      </c>
      <c r="K30" s="76">
        <v>0</v>
      </c>
      <c r="L30" s="76">
        <v>1</v>
      </c>
      <c r="M30" s="76">
        <v>0</v>
      </c>
      <c r="N30" s="76">
        <v>0</v>
      </c>
      <c r="O30" s="76">
        <v>0</v>
      </c>
      <c r="P30" s="68">
        <v>0</v>
      </c>
      <c r="Q30" s="76">
        <v>0</v>
      </c>
      <c r="R30" s="69">
        <v>1</v>
      </c>
      <c r="S30"/>
      <c r="T30"/>
    </row>
    <row r="31" spans="1:20" ht="15" customHeight="1" x14ac:dyDescent="0.15">
      <c r="A31" s="118"/>
      <c r="B31" s="129" t="s">
        <v>17</v>
      </c>
      <c r="C31" s="129" t="s">
        <v>1</v>
      </c>
      <c r="D31" s="129" t="s">
        <v>161</v>
      </c>
      <c r="E31" s="130" t="s">
        <v>163</v>
      </c>
      <c r="F31" s="157" t="s">
        <v>217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1</v>
      </c>
      <c r="M31" s="76">
        <v>0</v>
      </c>
      <c r="N31" s="76">
        <v>0</v>
      </c>
      <c r="O31" s="76">
        <v>0</v>
      </c>
      <c r="P31" s="68">
        <v>0</v>
      </c>
      <c r="Q31" s="76">
        <v>0</v>
      </c>
      <c r="R31" s="69">
        <v>1</v>
      </c>
      <c r="S31"/>
      <c r="T31"/>
    </row>
    <row r="32" spans="1:20" ht="15" customHeight="1" x14ac:dyDescent="0.15">
      <c r="A32" s="160" t="s">
        <v>212</v>
      </c>
      <c r="B32" s="88">
        <v>20</v>
      </c>
      <c r="C32" s="88">
        <v>50</v>
      </c>
      <c r="D32" s="88">
        <v>1000</v>
      </c>
      <c r="E32" s="120">
        <v>1</v>
      </c>
      <c r="F32" s="157" t="s">
        <v>218</v>
      </c>
      <c r="G32" s="76">
        <v>0</v>
      </c>
      <c r="H32" s="76">
        <v>0</v>
      </c>
      <c r="I32" s="76">
        <v>0</v>
      </c>
      <c r="J32" s="76">
        <v>0</v>
      </c>
      <c r="K32" s="76">
        <v>0</v>
      </c>
      <c r="L32" s="76">
        <v>1</v>
      </c>
      <c r="M32" s="76">
        <v>0</v>
      </c>
      <c r="N32" s="76">
        <v>0</v>
      </c>
      <c r="O32" s="76">
        <v>0</v>
      </c>
      <c r="P32" s="68">
        <v>0</v>
      </c>
      <c r="Q32" s="76">
        <v>0</v>
      </c>
      <c r="R32" s="69">
        <v>1</v>
      </c>
      <c r="S32"/>
      <c r="T32"/>
    </row>
    <row r="33" spans="1:20" ht="15" customHeight="1" x14ac:dyDescent="0.15">
      <c r="A33" s="119"/>
      <c r="B33" s="88"/>
      <c r="C33" s="88"/>
      <c r="D33" s="88"/>
      <c r="E33" s="120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1"/>
      <c r="B34" s="88"/>
      <c r="C34" s="88"/>
      <c r="D34" s="88"/>
      <c r="E34" s="120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2"/>
      <c r="B35" s="88"/>
      <c r="C35" s="88"/>
      <c r="D35" s="88"/>
      <c r="E35" s="120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3"/>
      <c r="B36" s="88"/>
      <c r="C36" s="88"/>
      <c r="D36" s="88"/>
      <c r="E36" s="120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3"/>
      <c r="B37" s="88"/>
      <c r="C37" s="88"/>
      <c r="D37" s="88"/>
      <c r="E37" s="120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4"/>
      <c r="B38" s="88"/>
      <c r="C38" s="88"/>
      <c r="D38" s="88"/>
      <c r="E38" s="120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4"/>
      <c r="B39" s="88"/>
      <c r="C39" s="88"/>
      <c r="D39" s="88"/>
      <c r="E39" s="120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4"/>
      <c r="B40" s="88"/>
      <c r="C40" s="88"/>
      <c r="D40" s="88"/>
      <c r="E40" s="12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4"/>
      <c r="B41" s="88"/>
      <c r="C41" s="88"/>
      <c r="D41" s="89"/>
      <c r="E41" s="125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6"/>
      <c r="B42" s="127"/>
      <c r="C42" s="127" t="s">
        <v>162</v>
      </c>
      <c r="D42" s="127">
        <f>SUM(D32:D41)</f>
        <v>1000</v>
      </c>
      <c r="E42" s="128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83203125" bestFit="1" customWidth="1"/>
    <col min="2" max="2" width="2.33203125" style="103" customWidth="1"/>
    <col min="3" max="5" width="7.83203125" style="103" customWidth="1"/>
    <col min="6" max="8" width="8.83203125" style="6"/>
    <col min="9" max="9" width="13.33203125" style="6" customWidth="1"/>
    <col min="10" max="10" width="14.1640625" style="6" customWidth="1"/>
    <col min="11" max="11" width="6" style="6" customWidth="1"/>
    <col min="12" max="12" width="8.5" style="6" customWidth="1"/>
    <col min="13" max="14" width="7.33203125" style="6" customWidth="1"/>
    <col min="15" max="16" width="13" style="6" customWidth="1"/>
    <col min="17" max="17" width="21.83203125" style="6" customWidth="1"/>
    <col min="18" max="18" width="19.33203125" style="6" customWidth="1"/>
    <col min="19" max="19" width="9.1640625" style="6" customWidth="1"/>
    <col min="20" max="20" width="10" style="6" customWidth="1"/>
    <col min="21" max="21" width="14.33203125" style="6" customWidth="1"/>
    <col min="22" max="22" width="12.33203125" style="6" customWidth="1"/>
    <col min="23" max="23" width="12.5" style="6" customWidth="1"/>
    <col min="24" max="24" width="14.5" style="6" customWidth="1"/>
    <col min="25" max="25" width="8.1640625" style="6" customWidth="1"/>
    <col min="26" max="26" width="7" style="6" customWidth="1"/>
    <col min="27" max="28" width="16.5" style="6" customWidth="1"/>
    <col min="29" max="29" width="13.1640625" style="6" customWidth="1"/>
    <col min="30" max="30" width="7.6640625" style="6" customWidth="1"/>
    <col min="31" max="31" width="21.6640625" style="6" customWidth="1"/>
    <col min="32" max="32" width="11.5" style="6" customWidth="1"/>
    <col min="33" max="33" width="10.5" style="6" customWidth="1"/>
    <col min="34" max="34" width="12.1640625" style="6" customWidth="1"/>
    <col min="35" max="35" width="10" style="6" customWidth="1"/>
    <col min="36" max="38" width="8.83203125" style="6"/>
    <col min="81" max="81" width="22.1640625" bestFit="1" customWidth="1"/>
  </cols>
  <sheetData>
    <row r="1" spans="1:38" x14ac:dyDescent="0.15">
      <c r="A1" s="4" t="s">
        <v>156</v>
      </c>
      <c r="B1" s="33" t="s">
        <v>157</v>
      </c>
      <c r="C1" s="33" t="s">
        <v>17</v>
      </c>
      <c r="D1" s="33" t="s">
        <v>158</v>
      </c>
      <c r="E1" s="33" t="s">
        <v>159</v>
      </c>
      <c r="F1" t="s">
        <v>38</v>
      </c>
      <c r="G1" t="s">
        <v>40</v>
      </c>
      <c r="H1" t="s">
        <v>41</v>
      </c>
      <c r="I1" s="162" t="s">
        <v>192</v>
      </c>
      <c r="J1" s="162" t="s">
        <v>193</v>
      </c>
      <c r="K1" s="162" t="s">
        <v>194</v>
      </c>
      <c r="L1" s="162" t="s">
        <v>195</v>
      </c>
      <c r="M1" s="162" t="s">
        <v>196</v>
      </c>
      <c r="N1" s="162" t="s">
        <v>197</v>
      </c>
      <c r="O1" s="162" t="s">
        <v>198</v>
      </c>
      <c r="P1" s="162" t="s">
        <v>199</v>
      </c>
      <c r="Q1" s="162" t="s">
        <v>200</v>
      </c>
      <c r="R1" s="162" t="s">
        <v>201</v>
      </c>
      <c r="S1" s="162" t="s">
        <v>202</v>
      </c>
      <c r="T1" s="162" t="s">
        <v>203</v>
      </c>
      <c r="U1" s="162" t="s">
        <v>204</v>
      </c>
      <c r="V1" s="162" t="s">
        <v>205</v>
      </c>
      <c r="W1" s="162" t="s">
        <v>206</v>
      </c>
      <c r="X1" s="162" t="s">
        <v>207</v>
      </c>
      <c r="Y1" s="162" t="s">
        <v>208</v>
      </c>
      <c r="Z1" s="162" t="s">
        <v>209</v>
      </c>
      <c r="AA1" s="162" t="s">
        <v>210</v>
      </c>
      <c r="AB1" s="162" t="s">
        <v>211</v>
      </c>
      <c r="AC1" s="162" t="s">
        <v>212</v>
      </c>
      <c r="AD1" s="162" t="s">
        <v>213</v>
      </c>
      <c r="AE1" s="162" t="s">
        <v>214</v>
      </c>
      <c r="AF1" s="162" t="s">
        <v>215</v>
      </c>
      <c r="AG1" s="162" t="s">
        <v>216</v>
      </c>
      <c r="AH1" s="162" t="s">
        <v>217</v>
      </c>
      <c r="AI1" s="162" t="s">
        <v>218</v>
      </c>
      <c r="AJ1"/>
      <c r="AK1"/>
      <c r="AL1"/>
    </row>
    <row r="2" spans="1:38" x14ac:dyDescent="0.15">
      <c r="A2" t="s">
        <v>38</v>
      </c>
      <c r="B2" s="10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61" t="s">
        <v>192</v>
      </c>
      <c r="B5" s="10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61" t="s">
        <v>193</v>
      </c>
      <c r="B6" s="10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61" t="s">
        <v>194</v>
      </c>
      <c r="B7" s="10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61" t="s">
        <v>195</v>
      </c>
      <c r="B8" s="10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61" t="s">
        <v>196</v>
      </c>
      <c r="B9" s="10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61" t="s">
        <v>197</v>
      </c>
      <c r="B10" s="10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61" t="s">
        <v>198</v>
      </c>
      <c r="B11" s="10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61" t="s">
        <v>199</v>
      </c>
      <c r="B12" s="10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61" t="s">
        <v>200</v>
      </c>
      <c r="B13" s="10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61" t="s">
        <v>201</v>
      </c>
      <c r="B14" s="10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61" t="s">
        <v>202</v>
      </c>
      <c r="B15" s="10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61" t="s">
        <v>203</v>
      </c>
      <c r="B16" s="10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1" t="s">
        <v>204</v>
      </c>
      <c r="B17" s="10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1" t="s">
        <v>205</v>
      </c>
      <c r="B18" s="10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1" t="s">
        <v>206</v>
      </c>
      <c r="B19" s="10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1" t="s">
        <v>207</v>
      </c>
      <c r="B20" s="10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61" t="s">
        <v>208</v>
      </c>
      <c r="B21" s="10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61" t="s">
        <v>209</v>
      </c>
      <c r="B22" s="10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61" t="s">
        <v>210</v>
      </c>
      <c r="B23" s="10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61" t="s">
        <v>211</v>
      </c>
      <c r="B24" s="10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61" t="s">
        <v>212</v>
      </c>
      <c r="B25" s="10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61" t="s">
        <v>213</v>
      </c>
      <c r="B26" s="10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61" t="s">
        <v>214</v>
      </c>
      <c r="B27" s="10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61" t="s">
        <v>215</v>
      </c>
      <c r="B28" s="10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61" t="s">
        <v>216</v>
      </c>
      <c r="B29" s="10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61" t="s">
        <v>217</v>
      </c>
      <c r="B30" s="10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61" t="s">
        <v>218</v>
      </c>
      <c r="B31" s="10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2023-08-14T23:39:57Z</dcterms:modified>
</cp:coreProperties>
</file>