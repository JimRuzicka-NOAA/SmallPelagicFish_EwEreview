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3EA788C8-7522-8E4F-BE35-F220CE4C514C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Main!$C$2:$N$10</definedName>
    <definedName name="matDetritus">Detritus!$C$2:$E$10</definedName>
    <definedName name="matDiet">Diets!$B$2:$G$10</definedName>
    <definedName name="matDiscards">Discards!$C$2:$C$9</definedName>
    <definedName name="matFishery">Fishing!$C$2:$C$9</definedName>
    <definedName name="matFishing">Fishing!#REF!</definedName>
    <definedName name="matMort">Mortalities!$A$1:$L$9</definedName>
    <definedName name="matOut">MainOutputs!$A$2:$I$10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<sst xmlns="http://schemas.openxmlformats.org/spreadsheetml/2006/main" count="470" uniqueCount="206">
  <si>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</si>
  <si>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</si>
  <si>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</si>
  <si>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</si>
  <si>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</si>
  <si>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</si>
  <si>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</si>
  <si>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</si>
  <si>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</si>
  <si>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</si>
  <si>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</si>
  <si>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</si>
  <si>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</si>
  <si>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</si>
  <si>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</si>
  <si>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</si>
  <si>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</si>
  <si>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</si>
  <si>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</si>
  <si>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</si>
  <si>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</si>
  <si>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</si>
  <si>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</si>
  <si>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</si>
  <si>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</si>
  <si>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</si>
  <si>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</si>
  <si>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</si>
  <si>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</si>
  <si>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</si>
  <si>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</si>
  <si>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</si>
  <si>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</si>
  <si>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</si>
  <si>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</si>
  <si>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</si>
  <si>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</si>
  <si>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</si>
  <si>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</si>
  <si>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</si>
  <si>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</si>
  <si>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</si>
  <si>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</si>
  <si>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</si>
  <si>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</si>
  <si>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</si>
  <si>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</si>
  <si>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</si>
  <si>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</si>
  <si>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</si>
  <si>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</si>
  <si>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</si>
  <si>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</si>
  <si>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</si>
  <si>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</si>
  <si>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</si>
  <si>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</si>
  <si>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</si>
  <si>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</si>
  <si>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</si>
  <si>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</si>
  <si>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</si>
  <si>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</si>
  <si>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</si>
  <si>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</si>
  <si>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</si>
  <si>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</si>
  <si>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</si>
  <si>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</si>
  <si>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</si>
  <si>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</si>
  <si>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</si>
  <si>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</si>
  <si>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</si>
  <si>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</si>
  <si>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</si>
  <si>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</si>
  <si>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</si>
  <si>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</si>
  <si>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</si>
  <si>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</si>
  <si>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</si>
  <si>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</si>
  <si>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</si>
  <si>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</si>
  <si>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</si>
  <si>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</si>
  <si>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</si>
  <si>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</si>
  <si>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</si>
  <si>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</si>
  <si>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</si>
  <si>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</si>
  <si>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</si>
  <si>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</si>
  <si>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</si>
  <si>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</si>
  <si>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</si>
  <si>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</si>
  <si>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</si>
  <si>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</si>
  <si>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</si>
  <si>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</si>
  <si>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</si>
  <si>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</si>
  <si>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</si>
  <si>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</si>
  <si>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</si>
  <si>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</si>
  <si>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</si>
  <si>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</si>
  <si>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</si>
  <si>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</si>
  <si>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</si>
  <si>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</si>
  <si>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</si>
  <si>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</si>
  <si>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</si>
  <si>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</si>
  <si>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</si>
  <si>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</si>
  <si>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</si>
  <si>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</si>
  <si>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</si>
  <si>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</si>
  <si>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</si>
  <si>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</si>
  <si>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</si>
  <si>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</si>
  <si>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</si>
  <si>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</si>
  <si>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</si>
  <si>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</si>
  <si>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</si>
  <si>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</si>
  <si>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</si>
  <si>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</si>
  <si>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</si>
  <si>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</si>
  <si>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</si>
  <si>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</si>
  <si>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</si>
  <si>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</si>
  <si>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</si>
  <si>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</si>
  <si>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</si>
  <si>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</si>
  <si>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</si>
  <si>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</si>
  <si>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</si>
  <si>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</si>
  <si>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</si>
  <si>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</si>
  <si>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</si>
  <si>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</si>
  <si>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</si>
  <si>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</si>
  <si>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</si>
  <si>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</si>
  <si>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</si>
  <si>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</si>
  <si>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</si>
  <si>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</si>
  <si>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</si>
  <si>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</si>
  <si>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</si>
  <si>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</si>
  <si>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</si>
  <si>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</si>
  <si>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</si>
  <si>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</si>
  <si>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</si>
  <si>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</si>
  <si>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</si>
  <si>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</si>
  <si>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</si>
  <si>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</si>
  <si>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</si>
  <si>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</si>
  <si>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</si>
  <si>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</si>
  <si>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</si>
  <si>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</si>
  <si>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</si>
  <si>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</si>
  <si>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BlackSea</t>
  </si>
  <si>
    <t>Not affiliated</t>
  </si>
  <si>
    <t>BOX(27.250671382455 40.6509695827695,41.9668866909385 47.373429193582)</t>
  </si>
  <si>
    <t>continental shelf</t>
  </si>
  <si>
    <t>WetWeight</t>
  </si>
  <si>
    <t>; 27/03/2010 12:08:56; 27/03/2010 12:14:54</t>
  </si>
  <si>
    <t>Gucu A.C.(2002). Can Overfishing be Responsible for the Successful Establishment of Mnemiopsis leidyi in the Black Sea? Estuarine, Coastal and Shelf Science. pp 439-451</t>
  </si>
  <si>
    <t>Large pelagics</t>
  </si>
  <si>
    <t>Small pelagic fish</t>
  </si>
  <si>
    <t>Demersals</t>
  </si>
  <si>
    <t>Gelatinous organisms</t>
  </si>
  <si>
    <t>Mesozooplankton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</si>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</sst>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FF53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0" borderId="2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1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7" borderId="3" xfId="0" applyNumberFormat="1" applyFont="1" applyFill="1" applyBorder="1"/>
    <xf numFmtId="0" fontId="0" fillId="17" borderId="2" xfId="0" applyFont="1" applyFill="1" applyBorder="1"/>
    <xf numFmtId="0" fontId="0" fillId="17" borderId="3" xfId="0" applyFont="1" applyFill="1" applyBorder="1"/>
    <xf numFmtId="0" fontId="0" fillId="1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4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7" t="s">
        <v>164</v>
      </c>
    </row>
    <row r="6" spans="2:4" ht="14" thickBot="1" x14ac:dyDescent="0.2">
      <c r="B6" s="31" t="s">
        <v>141</v>
      </c>
    </row>
    <row r="7" spans="2:4" x14ac:dyDescent="0.15">
      <c r="B7" s="47" t="s">
        <v>143</v>
      </c>
    </row>
    <row r="8" spans="2:4" x14ac:dyDescent="0.15">
      <c r="B8" s="47" t="s">
        <v>142</v>
      </c>
    </row>
    <row r="9" spans="2:4" x14ac:dyDescent="0.15">
      <c r="B9" s="47" t="s">
        <v>144</v>
      </c>
    </row>
    <row r="10" spans="2:4" x14ac:dyDescent="0.15">
      <c r="B10" s="47" t="s">
        <v>147</v>
      </c>
    </row>
    <row r="11" spans="2:4" x14ac:dyDescent="0.15">
      <c r="B11" s="47" t="s">
        <v>151</v>
      </c>
    </row>
    <row r="12" spans="2:4" x14ac:dyDescent="0.15">
      <c r="B12" s="47" t="s">
        <v>153</v>
      </c>
    </row>
    <row r="13" spans="2:4" x14ac:dyDescent="0.15">
      <c r="B13" s="47" t="s">
        <v>165</v>
      </c>
    </row>
    <row r="15" spans="2:4" ht="14" thickBot="1" x14ac:dyDescent="0.2"/>
    <row r="16" spans="2:4" ht="14" thickBot="1" x14ac:dyDescent="0.2">
      <c r="B16" s="32" t="s">
        <v>137</v>
      </c>
      <c r="C16" s="33"/>
      <c r="D16" s="15">
        <v>41373</v>
      </c>
    </row>
    <row r="17" spans="2:4" x14ac:dyDescent="0.15">
      <c r="B17" s="34" t="s">
        <v>58</v>
      </c>
      <c r="C17" s="18">
        <v>0</v>
      </c>
    </row>
    <row r="18" spans="2:4" x14ac:dyDescent="0.15">
      <c r="B18" s="34" t="s">
        <v>59</v>
      </c>
      <c r="C18" s="18">
        <v>1</v>
      </c>
    </row>
    <row r="19" spans="2:4" x14ac:dyDescent="0.15">
      <c r="B19" s="34" t="s">
        <v>60</v>
      </c>
      <c r="C19" s="18">
        <v>2</v>
      </c>
    </row>
    <row r="20" spans="2:4" ht="14" thickBot="1" x14ac:dyDescent="0.2">
      <c r="B20" s="35" t="s">
        <v>44</v>
      </c>
      <c r="C20" s="19">
        <v>3</v>
      </c>
    </row>
    <row r="21" spans="2:4" x14ac:dyDescent="0.15">
      <c r="B21" s="36" t="s">
        <v>140</v>
      </c>
    </row>
    <row r="22" spans="2:4" ht="14" thickBot="1" x14ac:dyDescent="0.2"/>
    <row r="23" spans="2:4" ht="14" thickBot="1" x14ac:dyDescent="0.2">
      <c r="B23" s="32" t="s">
        <v>65</v>
      </c>
      <c r="C23" s="33"/>
      <c r="D23" s="15" t="s">
        <v>148</v>
      </c>
    </row>
    <row r="24" spans="2:4" x14ac:dyDescent="0.15">
      <c r="B24" s="38" t="s">
        <v>38</v>
      </c>
      <c r="C24" s="16">
        <v>1</v>
      </c>
    </row>
    <row r="25" spans="2:4" x14ac:dyDescent="0.15">
      <c r="B25" s="34" t="s">
        <v>40</v>
      </c>
      <c r="C25" s="18">
        <v>1.1000000000000001</v>
      </c>
    </row>
    <row r="26" spans="2:4" x14ac:dyDescent="0.15">
      <c r="B26" s="34" t="s">
        <v>41</v>
      </c>
      <c r="C26" s="18">
        <v>1.2</v>
      </c>
    </row>
    <row r="27" spans="2:4" x14ac:dyDescent="0.15">
      <c r="B27" s="34"/>
      <c r="C27" s="18"/>
    </row>
    <row r="28" spans="2:4" x14ac:dyDescent="0.15">
      <c r="B28" s="34" t="s">
        <v>42</v>
      </c>
      <c r="C28" s="18">
        <v>2.1</v>
      </c>
    </row>
    <row r="29" spans="2:4" x14ac:dyDescent="0.15">
      <c r="B29" s="34" t="s">
        <v>43</v>
      </c>
      <c r="C29" s="18">
        <v>2.2000000000000002</v>
      </c>
    </row>
    <row r="30" spans="2:4" x14ac:dyDescent="0.15">
      <c r="B30" s="34" t="s">
        <v>67</v>
      </c>
      <c r="C30" s="18">
        <v>2.2999999999999998</v>
      </c>
    </row>
    <row r="31" spans="2:4" x14ac:dyDescent="0.15">
      <c r="B31" s="34"/>
      <c r="C31" s="18"/>
    </row>
    <row r="32" spans="2:4" x14ac:dyDescent="0.15">
      <c r="B32" s="34" t="s">
        <v>62</v>
      </c>
      <c r="C32" s="18">
        <v>3.11</v>
      </c>
    </row>
    <row r="33" spans="2:3" x14ac:dyDescent="0.15">
      <c r="B33" s="34" t="s">
        <v>61</v>
      </c>
      <c r="C33" s="18">
        <v>3.12</v>
      </c>
    </row>
    <row r="34" spans="2:3" x14ac:dyDescent="0.15">
      <c r="B34" s="34" t="s">
        <v>68</v>
      </c>
      <c r="C34" s="18">
        <v>3.13</v>
      </c>
    </row>
    <row r="35" spans="2:3" x14ac:dyDescent="0.15">
      <c r="B35" s="34"/>
      <c r="C35" s="18"/>
    </row>
    <row r="36" spans="2:3" x14ac:dyDescent="0.15">
      <c r="B36" s="34" t="s">
        <v>66</v>
      </c>
      <c r="C36" s="18">
        <v>3.21</v>
      </c>
    </row>
    <row r="37" spans="2:3" x14ac:dyDescent="0.15">
      <c r="B37" s="34" t="s">
        <v>63</v>
      </c>
      <c r="C37" s="18">
        <v>3.22</v>
      </c>
    </row>
    <row r="38" spans="2:3" x14ac:dyDescent="0.15">
      <c r="B38" s="34" t="s">
        <v>69</v>
      </c>
      <c r="C38" s="18">
        <v>3.23</v>
      </c>
    </row>
    <row r="39" spans="2:3" x14ac:dyDescent="0.15">
      <c r="B39" s="34"/>
      <c r="C39" s="18"/>
    </row>
    <row r="40" spans="2:3" x14ac:dyDescent="0.15">
      <c r="B40" s="34" t="s">
        <v>64</v>
      </c>
      <c r="C40" s="18">
        <v>8</v>
      </c>
    </row>
    <row r="41" spans="2:3" x14ac:dyDescent="0.15">
      <c r="B41" s="34"/>
      <c r="C41" s="18"/>
    </row>
    <row r="42" spans="2:3" x14ac:dyDescent="0.15">
      <c r="B42" s="34" t="s">
        <v>71</v>
      </c>
      <c r="C42" s="18">
        <v>4.0999999999999996</v>
      </c>
    </row>
    <row r="43" spans="2:3" x14ac:dyDescent="0.15">
      <c r="B43" s="34" t="s">
        <v>70</v>
      </c>
      <c r="C43" s="18">
        <v>4.2</v>
      </c>
    </row>
    <row r="44" spans="2:3" x14ac:dyDescent="0.15">
      <c r="B44" s="34" t="s">
        <v>72</v>
      </c>
      <c r="C44" s="18">
        <v>4.3</v>
      </c>
    </row>
    <row r="45" spans="2:3" x14ac:dyDescent="0.15">
      <c r="B45" s="17"/>
      <c r="C45" s="18"/>
    </row>
    <row r="46" spans="2:3" x14ac:dyDescent="0.15">
      <c r="B46" s="34" t="s">
        <v>138</v>
      </c>
      <c r="C46" s="18">
        <v>6.1</v>
      </c>
    </row>
    <row r="47" spans="2:3" x14ac:dyDescent="0.15">
      <c r="B47" s="34" t="s">
        <v>45</v>
      </c>
      <c r="C47" s="18">
        <v>6.2</v>
      </c>
    </row>
    <row r="48" spans="2:3" x14ac:dyDescent="0.15">
      <c r="B48" s="34"/>
      <c r="C48" s="18"/>
    </row>
    <row r="49" spans="2:4" x14ac:dyDescent="0.15">
      <c r="B49" s="34" t="s">
        <v>44</v>
      </c>
      <c r="C49" s="18">
        <v>5</v>
      </c>
    </row>
    <row r="50" spans="2:4" x14ac:dyDescent="0.15">
      <c r="B50" s="34"/>
      <c r="C50" s="18"/>
    </row>
    <row r="51" spans="2:4" ht="14" thickBot="1" x14ac:dyDescent="0.2">
      <c r="B51" s="35" t="s">
        <v>73</v>
      </c>
      <c r="C51" s="19">
        <v>7</v>
      </c>
    </row>
    <row r="53" spans="2:4" x14ac:dyDescent="0.15">
      <c r="B53" s="123" t="s">
        <v>171</v>
      </c>
      <c r="C53" s="82">
        <v>433</v>
      </c>
      <c r="D53" s="82"/>
    </row>
    <row r="54" spans="2:4" x14ac:dyDescent="0.15">
      <c r="B54" s="123" t="s">
        <v>172</v>
      </c>
      <c r="C54" s="123" t="s">
        <v>185</v>
      </c>
      <c r="D54" s="82"/>
    </row>
    <row r="55" spans="2:4" x14ac:dyDescent="0.15">
      <c r="B55" s="123" t="s">
        <v>173</v>
      </c>
      <c r="C55" s="123" t="s">
        <v>186</v>
      </c>
      <c r="D55" s="82"/>
    </row>
    <row r="56" spans="2:4" x14ac:dyDescent="0.15">
      <c r="B56" s="123" t="s">
        <v>174</v>
      </c>
      <c r="C56" s="82">
        <v>1</v>
      </c>
      <c r="D56" s="82"/>
    </row>
    <row r="57" spans="2:4" x14ac:dyDescent="0.15">
      <c r="B57" s="123" t="s">
        <v>175</v>
      </c>
      <c r="C57" s="123" t="s">
        <v>187</v>
      </c>
      <c r="D57" s="82"/>
    </row>
    <row r="58" spans="2:4" x14ac:dyDescent="0.15">
      <c r="B58" s="123" t="s">
        <v>176</v>
      </c>
      <c r="C58" s="123" t="s">
        <v>188</v>
      </c>
      <c r="D58" s="82"/>
    </row>
    <row r="59" spans="2:4" x14ac:dyDescent="0.15">
      <c r="B59" s="123" t="s">
        <v>177</v>
      </c>
      <c r="C59" s="123" t="s">
        <v>189</v>
      </c>
      <c r="D59" s="82"/>
    </row>
    <row r="60" spans="2:4" x14ac:dyDescent="0.15">
      <c r="B60" s="123" t="s">
        <v>178</v>
      </c>
      <c r="C60" s="123" t="s">
        <v>190</v>
      </c>
      <c r="D60" s="82"/>
    </row>
    <row r="61" spans="2:4" x14ac:dyDescent="0.15">
      <c r="B61" s="123" t="s">
        <v>179</v>
      </c>
      <c r="C61" s="82">
        <v>7</v>
      </c>
      <c r="D61" s="82"/>
    </row>
    <row r="62" spans="2:4" x14ac:dyDescent="0.15">
      <c r="B62" s="123" t="s">
        <v>180</v>
      </c>
      <c r="C62" s="82">
        <v>1</v>
      </c>
      <c r="D62" s="82"/>
    </row>
    <row r="63" spans="2:4" x14ac:dyDescent="0.15">
      <c r="B63" s="123" t="s">
        <v>181</v>
      </c>
      <c r="C63" s="82">
        <v>1955</v>
      </c>
      <c r="D63" s="82"/>
    </row>
    <row r="64" spans="2:4" x14ac:dyDescent="0.15">
      <c r="B64" s="123" t="s">
        <v>182</v>
      </c>
      <c r="C64" s="82">
        <v>10</v>
      </c>
      <c r="D64" s="82"/>
    </row>
    <row r="65" spans="2:4" x14ac:dyDescent="0.15">
      <c r="B65" s="123" t="s">
        <v>183</v>
      </c>
      <c r="C65" s="123" t="s">
        <v>191</v>
      </c>
      <c r="D65" s="82"/>
    </row>
    <row r="66" spans="2:4" x14ac:dyDescent="0.15">
      <c r="B66" s="123" t="s">
        <v>184</v>
      </c>
      <c r="D66" s="82"/>
    </row>
    <row r="67" spans="2:4" x14ac:dyDescent="0.15">
      <c r="B67" s="82"/>
      <c r="C67" s="82"/>
      <c r="D67" s="82"/>
    </row>
    <row r="68" spans="2:4" x14ac:dyDescent="0.15">
      <c r="B68" s="82"/>
      <c r="C68" s="82"/>
      <c r="D68" s="8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58" customWidth="1"/>
    <col min="2" max="3" width="2.33203125" style="58" customWidth="1"/>
    <col min="4" max="4" width="14.33203125" style="58" customWidth="1"/>
    <col min="5" max="5" width="21.6640625" style="58" bestFit="1" customWidth="1"/>
    <col min="6" max="6" width="2.33203125" style="58" bestFit="1" customWidth="1"/>
    <col min="7" max="7" width="12.83203125" style="58" bestFit="1" customWidth="1"/>
    <col min="8" max="8" width="4.33203125" style="58" customWidth="1"/>
    <col min="9" max="9" width="4.83203125" style="58" customWidth="1"/>
    <col min="10" max="11" width="11.83203125" style="58" customWidth="1"/>
    <col min="12" max="12" width="2.33203125" style="58" customWidth="1"/>
    <col min="13" max="13" width="3.83203125" style="58" customWidth="1"/>
    <col min="14" max="14" width="2.33203125" style="58" customWidth="1"/>
    <col min="16" max="25" width="8.83203125" style="5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58"/>
  </cols>
  <sheetData>
    <row r="1" spans="1:46" s="75" customFormat="1" ht="15" customHeight="1" x14ac:dyDescent="0.15">
      <c r="A1" s="54" t="s">
        <v>18</v>
      </c>
      <c r="C1" s="55" t="s">
        <v>8</v>
      </c>
      <c r="D1" s="54" t="s">
        <v>23</v>
      </c>
      <c r="E1" s="54" t="s">
        <v>0</v>
      </c>
      <c r="F1" s="54" t="s">
        <v>7</v>
      </c>
      <c r="G1" s="56" t="s">
        <v>13</v>
      </c>
      <c r="H1" s="54" t="s">
        <v>1</v>
      </c>
      <c r="I1" s="54" t="s">
        <v>2</v>
      </c>
      <c r="J1" s="54" t="s">
        <v>14</v>
      </c>
      <c r="K1" s="54" t="s">
        <v>3</v>
      </c>
      <c r="L1" s="54" t="s">
        <v>4</v>
      </c>
      <c r="M1" s="54" t="s">
        <v>5</v>
      </c>
      <c r="N1" s="5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5">
        <v>1</v>
      </c>
      <c r="D2"/>
      <c r="E2" s="124" t="s">
        <v>192</v>
      </c>
      <c r="F2" s="58">
        <v>0</v>
      </c>
      <c r="G2" s="58">
        <v>5.8169934899999998E-2</v>
      </c>
      <c r="H2" s="58">
        <v>1.7</v>
      </c>
      <c r="I2" s="6">
        <v>8.6999999999999993</v>
      </c>
      <c r="J2" s="6">
        <v>0.9</v>
      </c>
      <c r="K2" s="6">
        <v>0.195402309</v>
      </c>
      <c r="L2" s="6">
        <v>0</v>
      </c>
      <c r="M2" s="58">
        <v>0.2</v>
      </c>
      <c r="N2" s="58">
        <v>0</v>
      </c>
    </row>
    <row r="3" spans="1:46" ht="15" customHeight="1" x14ac:dyDescent="0.15">
      <c r="A3" s="1" t="s">
        <v>9</v>
      </c>
      <c r="B3" s="4">
        <v>6</v>
      </c>
      <c r="C3" s="58">
        <v>2</v>
      </c>
      <c r="D3"/>
      <c r="E3" s="124" t="s">
        <v>193</v>
      </c>
      <c r="F3" s="58">
        <v>0</v>
      </c>
      <c r="G3" s="58">
        <v>1.4279999999999999</v>
      </c>
      <c r="H3" s="58">
        <v>2.5</v>
      </c>
      <c r="I3" s="58">
        <v>9</v>
      </c>
      <c r="J3" s="58">
        <v>0.32077705899999998</v>
      </c>
      <c r="K3" s="58">
        <v>0.27777780000000002</v>
      </c>
      <c r="L3" s="58">
        <v>0</v>
      </c>
      <c r="M3" s="58">
        <v>0.2</v>
      </c>
      <c r="N3" s="58">
        <v>0</v>
      </c>
    </row>
    <row r="4" spans="1:46" ht="15" customHeight="1" x14ac:dyDescent="0.15">
      <c r="A4" s="1" t="s">
        <v>10</v>
      </c>
      <c r="B4" s="4">
        <v>2</v>
      </c>
      <c r="C4" s="58">
        <v>3</v>
      </c>
      <c r="D4"/>
      <c r="E4" s="124" t="s">
        <v>194</v>
      </c>
      <c r="F4" s="58">
        <v>0</v>
      </c>
      <c r="G4" s="58">
        <v>0.14146067200000001</v>
      </c>
      <c r="H4" s="58">
        <v>2.1</v>
      </c>
      <c r="I4" s="58">
        <v>12</v>
      </c>
      <c r="J4" s="58">
        <v>0.9</v>
      </c>
      <c r="K4" s="58">
        <v>0.17499999999999999</v>
      </c>
      <c r="L4" s="58">
        <v>0</v>
      </c>
      <c r="M4" s="58">
        <v>0.2</v>
      </c>
      <c r="N4" s="5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58">
        <v>4</v>
      </c>
      <c r="D5"/>
      <c r="E5" s="124" t="s">
        <v>195</v>
      </c>
      <c r="F5" s="58">
        <v>0</v>
      </c>
      <c r="G5" s="58">
        <v>1.607</v>
      </c>
      <c r="H5" s="58">
        <v>10</v>
      </c>
      <c r="I5" s="58">
        <v>39.200000000000003</v>
      </c>
      <c r="J5" s="58">
        <v>0</v>
      </c>
      <c r="K5" s="58">
        <v>0.25510203799999998</v>
      </c>
      <c r="L5" s="58">
        <v>0</v>
      </c>
      <c r="M5" s="58">
        <v>0.2</v>
      </c>
      <c r="N5" s="58">
        <v>0</v>
      </c>
      <c r="P5" s="51"/>
      <c r="Q5" s="51"/>
      <c r="R5" s="51"/>
    </row>
    <row r="6" spans="1:46" ht="15" customHeight="1" thickBot="1" x14ac:dyDescent="0.2">
      <c r="B6" s="1"/>
      <c r="C6" s="58">
        <v>5</v>
      </c>
      <c r="D6"/>
      <c r="E6" s="124" t="s">
        <v>196</v>
      </c>
      <c r="F6" s="58">
        <v>0</v>
      </c>
      <c r="G6" s="58">
        <v>35</v>
      </c>
      <c r="H6" s="58">
        <v>32</v>
      </c>
      <c r="I6" s="58">
        <v>137</v>
      </c>
      <c r="J6" s="58">
        <v>3.9900629999999999E-2</v>
      </c>
      <c r="K6" s="58">
        <v>0.23357664</v>
      </c>
      <c r="L6" s="58">
        <v>0</v>
      </c>
      <c r="M6" s="58">
        <v>0.2</v>
      </c>
      <c r="N6" s="58">
        <v>0</v>
      </c>
      <c r="P6" s="51"/>
      <c r="Q6" s="51"/>
      <c r="R6" s="51"/>
      <c r="W6" s="21" t="s">
        <v>31</v>
      </c>
      <c r="X6" s="37">
        <f>MAX(MainOutputs!G:G)</f>
        <v>0.95910948514938354</v>
      </c>
    </row>
    <row r="7" spans="1:46" ht="15" customHeight="1" x14ac:dyDescent="0.15">
      <c r="A7" s="2" t="s">
        <v>27</v>
      </c>
      <c r="B7" s="58">
        <f ca="1">COUNTIF(OFFSET(cornerDiets,1,1,NumLiving+NumDead+1,NumLiving+NumDead),"&gt;0")+NumLiving+NumDead+1</f>
        <v>22</v>
      </c>
      <c r="C7" s="58">
        <v>6</v>
      </c>
      <c r="D7"/>
      <c r="E7" s="124" t="s">
        <v>197</v>
      </c>
      <c r="F7" s="58">
        <v>1</v>
      </c>
      <c r="G7" s="58">
        <v>8.8059999999999992</v>
      </c>
      <c r="H7" s="58">
        <v>325</v>
      </c>
      <c r="I7" s="58">
        <v>0</v>
      </c>
      <c r="J7" s="58">
        <v>0.83991669999999996</v>
      </c>
      <c r="K7" s="58">
        <v>0</v>
      </c>
      <c r="L7" s="58">
        <v>0</v>
      </c>
      <c r="M7" s="58">
        <v>0</v>
      </c>
      <c r="N7" s="58">
        <v>0</v>
      </c>
      <c r="P7" s="51"/>
      <c r="Q7" s="51"/>
      <c r="R7" s="51"/>
    </row>
    <row r="8" spans="1:46" ht="15" customHeight="1" x14ac:dyDescent="0.15">
      <c r="A8" s="2" t="s">
        <v>28</v>
      </c>
      <c r="B8" s="58">
        <f ca="1">COUNTIF(OFFSET(cornerFishing,1,2,NumLiving+NumDead,NumGears),"&gt;0")+NumDead*COUNTIF(OFFSET(cornerDiscards,1,2,NumLiving+NumDead,NumGears),"&gt;0")+NumLiving+NumDead+1</f>
        <v>12</v>
      </c>
      <c r="C8" s="58">
        <v>7</v>
      </c>
      <c r="D8"/>
      <c r="E8" s="124" t="s">
        <v>198</v>
      </c>
      <c r="F8" s="58">
        <v>2</v>
      </c>
      <c r="G8" s="58">
        <v>200</v>
      </c>
      <c r="H8" s="58">
        <v>0</v>
      </c>
      <c r="I8" s="58">
        <v>0</v>
      </c>
      <c r="J8" s="58">
        <v>0</v>
      </c>
      <c r="K8" s="58">
        <v>0</v>
      </c>
      <c r="L8" s="58">
        <v>0</v>
      </c>
      <c r="M8" s="58">
        <v>0</v>
      </c>
      <c r="N8" s="58">
        <v>0</v>
      </c>
      <c r="P8" s="51"/>
      <c r="Q8" s="51"/>
      <c r="R8" s="51"/>
    </row>
    <row r="9" spans="1:46" ht="15" customHeight="1" x14ac:dyDescent="0.15">
      <c r="B9" s="1"/>
      <c r="C9" s="58">
        <v>8</v>
      </c>
      <c r="D9"/>
      <c r="E9" s="124" t="s">
        <v>199</v>
      </c>
      <c r="F9" s="58">
        <v>2</v>
      </c>
      <c r="G9" s="58">
        <v>5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P9" s="51"/>
      <c r="Q9" s="51"/>
      <c r="R9" s="51"/>
    </row>
    <row r="10" spans="1:46" ht="15" customHeight="1" x14ac:dyDescent="0.15">
      <c r="B10" s="1"/>
      <c r="C10" s="58">
        <v>9</v>
      </c>
      <c r="D10"/>
      <c r="E10" s="124" t="s">
        <v>200</v>
      </c>
      <c r="F10" s="58">
        <v>3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0</v>
      </c>
      <c r="M10" s="58">
        <v>0</v>
      </c>
      <c r="N10" s="58">
        <v>0</v>
      </c>
    </row>
    <row r="11" spans="1:46" ht="15" customHeight="1" x14ac:dyDescent="0.15">
      <c r="C11"/>
      <c r="D11"/>
      <c r="E11"/>
      <c r="F11"/>
      <c r="G11"/>
      <c r="H11"/>
      <c r="I11"/>
      <c r="J11"/>
      <c r="K11"/>
      <c r="L11"/>
      <c r="M11"/>
      <c r="N11"/>
    </row>
    <row r="12" spans="1:46" ht="15" customHeight="1" x14ac:dyDescent="0.15">
      <c r="C12"/>
      <c r="D12"/>
      <c r="E12"/>
      <c r="F12"/>
      <c r="G12"/>
      <c r="H12"/>
      <c r="I12"/>
      <c r="J12"/>
      <c r="K12"/>
      <c r="L12"/>
      <c r="M12"/>
      <c r="N12"/>
    </row>
    <row r="13" spans="1:46" ht="15" customHeight="1" x14ac:dyDescent="0.15">
      <c r="C13"/>
      <c r="D13"/>
      <c r="E13"/>
      <c r="F13"/>
      <c r="G13"/>
      <c r="H13"/>
      <c r="I13"/>
      <c r="J13"/>
      <c r="K13"/>
      <c r="L13"/>
      <c r="M13"/>
      <c r="N13"/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2" t="s">
        <v>137</v>
      </c>
      <c r="B21" s="76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77" t="s">
        <v>58</v>
      </c>
      <c r="B22" s="78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77" t="s">
        <v>59</v>
      </c>
      <c r="B23" s="78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7" t="s">
        <v>60</v>
      </c>
      <c r="B24" s="78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79" t="s">
        <v>44</v>
      </c>
      <c r="B25" s="80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1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3" bestFit="1" customWidth="1"/>
    <col min="2" max="2" width="3.83203125" style="113" bestFit="1" customWidth="1"/>
    <col min="3" max="3" width="2.33203125" style="113" bestFit="1" customWidth="1"/>
    <col min="4" max="4" width="4.83203125" style="113" bestFit="1" customWidth="1"/>
    <col min="5" max="6" width="3.83203125" style="113" bestFit="1" customWidth="1"/>
    <col min="7" max="9" width="2.33203125" style="113" bestFit="1" customWidth="1"/>
    <col min="10" max="29" width="9" style="113" bestFit="1" customWidth="1"/>
    <col min="30" max="16384" width="8.83203125" style="113"/>
  </cols>
  <sheetData>
    <row r="1" spans="1:34" x14ac:dyDescent="0.15">
      <c r="A1" s="112" t="s">
        <v>19</v>
      </c>
      <c r="B1" s="126" t="s">
        <v>192</v>
      </c>
      <c r="C1" s="126" t="s">
        <v>193</v>
      </c>
      <c r="D1" s="126" t="s">
        <v>194</v>
      </c>
      <c r="E1" s="126" t="s">
        <v>195</v>
      </c>
      <c r="F1" s="126" t="s">
        <v>196</v>
      </c>
      <c r="G1" s="126" t="s">
        <v>197</v>
      </c>
      <c r="H1" s="126" t="s">
        <v>198</v>
      </c>
      <c r="I1" s="126" t="s">
        <v>199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25" t="s">
        <v>192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</row>
    <row r="3" spans="1:34" customFormat="1" x14ac:dyDescent="0.15">
      <c r="A3" s="125" t="s">
        <v>193</v>
      </c>
      <c r="B3" s="113">
        <v>0.5</v>
      </c>
      <c r="C3" s="113">
        <v>0</v>
      </c>
      <c r="D3" s="113">
        <v>0.35000000000000003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</row>
    <row r="4" spans="1:34" customFormat="1" x14ac:dyDescent="0.15">
      <c r="A4" s="125" t="s">
        <v>194</v>
      </c>
      <c r="B4" s="113">
        <v>0.1</v>
      </c>
      <c r="C4" s="113">
        <v>0</v>
      </c>
      <c r="D4" s="113">
        <v>0.10000000000000002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</row>
    <row r="5" spans="1:34" customFormat="1" x14ac:dyDescent="0.15">
      <c r="A5" s="125" t="s">
        <v>195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</row>
    <row r="6" spans="1:34" customFormat="1" x14ac:dyDescent="0.15">
      <c r="A6" s="125" t="s">
        <v>196</v>
      </c>
      <c r="B6" s="113">
        <v>0</v>
      </c>
      <c r="C6" s="113">
        <v>1</v>
      </c>
      <c r="D6" s="113">
        <v>0.20000000000000004</v>
      </c>
      <c r="E6" s="113">
        <v>0.5</v>
      </c>
      <c r="F6" s="113">
        <v>0</v>
      </c>
      <c r="G6" s="113">
        <v>0</v>
      </c>
      <c r="H6" s="113">
        <v>0</v>
      </c>
      <c r="I6" s="113">
        <v>0</v>
      </c>
    </row>
    <row r="7" spans="1:34" customFormat="1" x14ac:dyDescent="0.15">
      <c r="A7" s="125" t="s">
        <v>197</v>
      </c>
      <c r="B7" s="113">
        <v>0</v>
      </c>
      <c r="C7" s="113">
        <v>0</v>
      </c>
      <c r="D7" s="113">
        <v>0</v>
      </c>
      <c r="E7" s="113">
        <v>0.1</v>
      </c>
      <c r="F7" s="113">
        <v>0.5</v>
      </c>
      <c r="G7" s="113">
        <v>0</v>
      </c>
      <c r="H7" s="113">
        <v>0</v>
      </c>
      <c r="I7" s="113">
        <v>0</v>
      </c>
    </row>
    <row r="8" spans="1:34" customFormat="1" x14ac:dyDescent="0.15">
      <c r="A8" s="125" t="s">
        <v>198</v>
      </c>
      <c r="B8" s="113">
        <v>0</v>
      </c>
      <c r="C8" s="113">
        <v>0</v>
      </c>
      <c r="D8" s="113">
        <v>0.35000000000000003</v>
      </c>
      <c r="E8" s="113">
        <v>0.4</v>
      </c>
      <c r="F8" s="113">
        <v>0.5</v>
      </c>
      <c r="G8" s="113">
        <v>0</v>
      </c>
      <c r="H8" s="113">
        <v>0</v>
      </c>
      <c r="I8" s="113">
        <v>0</v>
      </c>
    </row>
    <row r="9" spans="1:34" customFormat="1" x14ac:dyDescent="0.15">
      <c r="A9" s="125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</row>
    <row r="10" spans="1:34" customFormat="1" x14ac:dyDescent="0.15">
      <c r="A10" s="125" t="s">
        <v>201</v>
      </c>
      <c r="B10" s="113">
        <v>0.4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</row>
    <row r="11" spans="1:34" customFormat="1" x14ac:dyDescent="0.15"/>
    <row r="12" spans="1:34" customFormat="1" x14ac:dyDescent="0.15"/>
    <row r="13" spans="1:34" customFormat="1" x14ac:dyDescent="0.15"/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21.6640625" customWidth="1"/>
    <col min="3" max="4" width="2.33203125" style="84" customWidth="1"/>
    <col min="5" max="6" width="2.33203125" style="83" bestFit="1" customWidth="1"/>
    <col min="7" max="8" width="8.83203125" style="84"/>
  </cols>
  <sheetData>
    <row r="1" spans="1:8" ht="140" x14ac:dyDescent="0.15">
      <c r="A1" s="5" t="s">
        <v>20</v>
      </c>
      <c r="B1" s="1" t="s">
        <v>0</v>
      </c>
      <c r="C1" s="128" t="s">
        <v>198</v>
      </c>
      <c r="D1" s="128" t="s">
        <v>199</v>
      </c>
      <c r="E1" s="128" t="s">
        <v>202</v>
      </c>
      <c r="F1" s="128" t="s">
        <v>203</v>
      </c>
      <c r="G1"/>
      <c r="H1"/>
    </row>
    <row r="2" spans="1:8" x14ac:dyDescent="0.15">
      <c r="A2">
        <v>1</v>
      </c>
      <c r="B2" s="127" t="s">
        <v>192</v>
      </c>
      <c r="C2" s="84">
        <v>1</v>
      </c>
      <c r="D2" s="84">
        <v>0</v>
      </c>
      <c r="E2" s="83">
        <v>0</v>
      </c>
      <c r="F2" s="83">
        <v>1</v>
      </c>
      <c r="G2"/>
      <c r="H2"/>
    </row>
    <row r="3" spans="1:8" x14ac:dyDescent="0.15">
      <c r="A3">
        <v>2</v>
      </c>
      <c r="B3" s="127" t="s">
        <v>193</v>
      </c>
      <c r="C3" s="84">
        <v>1</v>
      </c>
      <c r="D3" s="84">
        <v>0</v>
      </c>
      <c r="E3" s="83">
        <v>0</v>
      </c>
      <c r="F3" s="83">
        <v>1</v>
      </c>
      <c r="G3"/>
      <c r="H3"/>
    </row>
    <row r="4" spans="1:8" x14ac:dyDescent="0.15">
      <c r="A4">
        <v>3</v>
      </c>
      <c r="B4" s="127" t="s">
        <v>194</v>
      </c>
      <c r="C4" s="84">
        <v>1</v>
      </c>
      <c r="D4" s="84">
        <v>0</v>
      </c>
      <c r="E4" s="83">
        <v>0</v>
      </c>
      <c r="F4" s="83">
        <v>1</v>
      </c>
      <c r="G4"/>
      <c r="H4"/>
    </row>
    <row r="5" spans="1:8" x14ac:dyDescent="0.15">
      <c r="A5">
        <v>4</v>
      </c>
      <c r="B5" s="127" t="s">
        <v>195</v>
      </c>
      <c r="C5" s="84">
        <v>1</v>
      </c>
      <c r="D5" s="84">
        <v>0</v>
      </c>
      <c r="E5" s="83">
        <v>0</v>
      </c>
      <c r="F5" s="83">
        <v>1</v>
      </c>
      <c r="G5"/>
      <c r="H5"/>
    </row>
    <row r="6" spans="1:8" x14ac:dyDescent="0.15">
      <c r="A6">
        <v>5</v>
      </c>
      <c r="B6" s="127" t="s">
        <v>196</v>
      </c>
      <c r="C6" s="84">
        <v>1</v>
      </c>
      <c r="D6" s="84">
        <v>0</v>
      </c>
      <c r="E6" s="83">
        <v>0</v>
      </c>
      <c r="F6" s="83">
        <v>1</v>
      </c>
      <c r="G6"/>
      <c r="H6"/>
    </row>
    <row r="7" spans="1:8" x14ac:dyDescent="0.15">
      <c r="A7">
        <v>6</v>
      </c>
      <c r="B7" s="127" t="s">
        <v>197</v>
      </c>
      <c r="C7" s="84">
        <v>1</v>
      </c>
      <c r="D7" s="84">
        <v>0</v>
      </c>
      <c r="E7" s="83">
        <v>0</v>
      </c>
      <c r="F7" s="83">
        <v>1</v>
      </c>
      <c r="G7"/>
      <c r="H7"/>
    </row>
    <row r="8" spans="1:8" x14ac:dyDescent="0.15">
      <c r="A8">
        <v>7</v>
      </c>
      <c r="B8" s="127" t="s">
        <v>198</v>
      </c>
      <c r="C8" s="84">
        <v>0</v>
      </c>
      <c r="D8" s="84">
        <v>1</v>
      </c>
      <c r="E8" s="83">
        <v>0</v>
      </c>
      <c r="F8" s="83">
        <v>1</v>
      </c>
      <c r="G8"/>
      <c r="H8"/>
    </row>
    <row r="9" spans="1:8" x14ac:dyDescent="0.15">
      <c r="A9">
        <v>8</v>
      </c>
      <c r="B9" s="127" t="s">
        <v>199</v>
      </c>
      <c r="C9" s="84">
        <v>0</v>
      </c>
      <c r="D9" s="84">
        <v>0</v>
      </c>
      <c r="E9" s="83">
        <v>1</v>
      </c>
      <c r="F9" s="83">
        <v>1</v>
      </c>
      <c r="G9"/>
      <c r="H9"/>
    </row>
    <row r="10" spans="1:8" x14ac:dyDescent="0.15">
      <c r="A10">
        <v>9</v>
      </c>
      <c r="B10" s="127" t="s">
        <v>200</v>
      </c>
      <c r="C10" s="84">
        <v>0</v>
      </c>
      <c r="D10" s="84">
        <v>1</v>
      </c>
      <c r="E10" s="83">
        <v>0</v>
      </c>
      <c r="F10" s="83">
        <v>1</v>
      </c>
      <c r="G10"/>
      <c r="H10"/>
    </row>
    <row r="11" spans="1:8" x14ac:dyDescent="0.15">
      <c r="C11"/>
      <c r="D11"/>
      <c r="E11"/>
      <c r="F11"/>
      <c r="G11"/>
      <c r="H11"/>
    </row>
    <row r="12" spans="1:8" x14ac:dyDescent="0.15">
      <c r="C12"/>
      <c r="D12"/>
      <c r="E12"/>
      <c r="F12"/>
      <c r="G12"/>
      <c r="H12"/>
    </row>
    <row r="13" spans="1:8" x14ac:dyDescent="0.15">
      <c r="C13"/>
      <c r="D13"/>
      <c r="E13"/>
      <c r="F13"/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4"/>
      <c r="F36" s="84"/>
      <c r="G36"/>
      <c r="H36"/>
    </row>
    <row r="37" spans="3:8" ht="15" customHeight="1" x14ac:dyDescent="0.15">
      <c r="C37"/>
      <c r="D37"/>
      <c r="E37" s="84"/>
      <c r="F37" s="84"/>
      <c r="G37"/>
      <c r="H37"/>
    </row>
    <row r="38" spans="3:8" ht="15" customHeight="1" x14ac:dyDescent="0.15">
      <c r="C38"/>
      <c r="D38"/>
      <c r="E38" s="84"/>
      <c r="F38" s="84"/>
      <c r="G38"/>
      <c r="H38"/>
    </row>
    <row r="39" spans="3:8" ht="15" customHeight="1" x14ac:dyDescent="0.15">
      <c r="C39"/>
      <c r="D39"/>
      <c r="E39" s="84"/>
      <c r="F39" s="84"/>
      <c r="G39"/>
      <c r="H39"/>
    </row>
    <row r="40" spans="3:8" ht="15" customHeight="1" x14ac:dyDescent="0.15">
      <c r="C40"/>
      <c r="D40"/>
      <c r="E40" s="84"/>
      <c r="F40" s="84"/>
      <c r="G40"/>
      <c r="H40"/>
    </row>
    <row r="41" spans="3:8" ht="15" customHeight="1" x14ac:dyDescent="0.15">
      <c r="C41"/>
      <c r="D41"/>
      <c r="E41" s="84"/>
      <c r="F41" s="84"/>
      <c r="G41"/>
      <c r="H41"/>
    </row>
    <row r="42" spans="3:8" ht="15" customHeight="1" x14ac:dyDescent="0.15">
      <c r="C42"/>
      <c r="D42"/>
      <c r="E42" s="84"/>
      <c r="F42" s="84"/>
      <c r="G42"/>
      <c r="H42"/>
    </row>
    <row r="43" spans="3:8" ht="15" customHeight="1" x14ac:dyDescent="0.15">
      <c r="C43"/>
      <c r="D43"/>
      <c r="E43" s="84"/>
      <c r="F43" s="8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4"/>
      <c r="F46" s="8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9.33203125" bestFit="1" customWidth="1"/>
    <col min="3" max="4" width="5.83203125" bestFit="1" customWidth="1"/>
    <col min="5" max="5" width="12.1640625" bestFit="1" customWidth="1"/>
  </cols>
  <sheetData>
    <row r="1" spans="1:5" s="85" customFormat="1" ht="224" x14ac:dyDescent="0.15">
      <c r="A1" s="5" t="s">
        <v>21</v>
      </c>
      <c r="B1" s="3" t="s">
        <v>0</v>
      </c>
      <c r="C1" s="130" t="s">
        <v>200</v>
      </c>
      <c r="D1" s="130" t="s">
        <v>204</v>
      </c>
      <c r="E1"/>
    </row>
    <row r="2" spans="1:5" ht="15" customHeight="1" x14ac:dyDescent="0.15">
      <c r="A2">
        <v>1</v>
      </c>
      <c r="B2" s="129" t="s">
        <v>192</v>
      </c>
      <c r="C2">
        <v>8.8999999999999996E-2</v>
      </c>
      <c r="D2">
        <v>8.8999999999999996E-2</v>
      </c>
    </row>
    <row r="3" spans="1:5" ht="15" customHeight="1" x14ac:dyDescent="0.15">
      <c r="A3">
        <v>2</v>
      </c>
      <c r="B3" s="129" t="s">
        <v>193</v>
      </c>
      <c r="C3">
        <v>0.29799999999999999</v>
      </c>
      <c r="D3">
        <v>0.29799999999999999</v>
      </c>
    </row>
    <row r="4" spans="1:5" ht="15" customHeight="1" x14ac:dyDescent="0.15">
      <c r="A4">
        <v>3</v>
      </c>
      <c r="B4" s="129" t="s">
        <v>194</v>
      </c>
      <c r="C4">
        <v>4.7E-2</v>
      </c>
      <c r="D4">
        <v>4.7E-2</v>
      </c>
    </row>
    <row r="5" spans="1:5" ht="15" customHeight="1" x14ac:dyDescent="0.15">
      <c r="A5">
        <v>4</v>
      </c>
      <c r="B5" s="129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29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29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29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29" t="s">
        <v>199</v>
      </c>
      <c r="C9">
        <v>0</v>
      </c>
      <c r="D9">
        <v>0</v>
      </c>
    </row>
    <row r="10" spans="1:5" ht="15" customHeight="1" x14ac:dyDescent="0.15"/>
    <row r="11" spans="1:5" ht="15" customHeight="1" x14ac:dyDescent="0.15"/>
    <row r="12" spans="1:5" ht="15" customHeight="1" x14ac:dyDescent="0.15"/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9.33203125" bestFit="1" customWidth="1"/>
    <col min="3" max="4" width="2.33203125" bestFit="1" customWidth="1"/>
    <col min="5" max="5" width="12.1640625" bestFit="1" customWidth="1"/>
  </cols>
  <sheetData>
    <row r="1" spans="1:4" s="85" customFormat="1" ht="224" x14ac:dyDescent="0.15">
      <c r="A1" s="5" t="s">
        <v>22</v>
      </c>
      <c r="B1" s="3" t="s">
        <v>0</v>
      </c>
      <c r="C1" s="132" t="s">
        <v>200</v>
      </c>
      <c r="D1" s="132" t="s">
        <v>204</v>
      </c>
    </row>
    <row r="2" spans="1:4" x14ac:dyDescent="0.15">
      <c r="A2">
        <v>1</v>
      </c>
      <c r="B2" s="131" t="s">
        <v>192</v>
      </c>
      <c r="C2">
        <v>0</v>
      </c>
      <c r="D2">
        <v>0</v>
      </c>
    </row>
    <row r="3" spans="1:4" x14ac:dyDescent="0.15">
      <c r="A3">
        <v>2</v>
      </c>
      <c r="B3" s="131" t="s">
        <v>193</v>
      </c>
      <c r="C3">
        <v>0</v>
      </c>
      <c r="D3">
        <v>0</v>
      </c>
    </row>
    <row r="4" spans="1:4" x14ac:dyDescent="0.15">
      <c r="A4">
        <v>3</v>
      </c>
      <c r="B4" s="131" t="s">
        <v>194</v>
      </c>
      <c r="C4">
        <v>0</v>
      </c>
      <c r="D4">
        <v>0</v>
      </c>
    </row>
    <row r="5" spans="1:4" x14ac:dyDescent="0.15">
      <c r="A5">
        <v>4</v>
      </c>
      <c r="B5" s="131" t="s">
        <v>195</v>
      </c>
      <c r="C5">
        <v>0</v>
      </c>
      <c r="D5">
        <v>0</v>
      </c>
    </row>
    <row r="6" spans="1:4" x14ac:dyDescent="0.15">
      <c r="A6">
        <v>5</v>
      </c>
      <c r="B6" s="131" t="s">
        <v>196</v>
      </c>
      <c r="C6">
        <v>0</v>
      </c>
      <c r="D6">
        <v>0</v>
      </c>
    </row>
    <row r="7" spans="1:4" x14ac:dyDescent="0.15">
      <c r="A7">
        <v>6</v>
      </c>
      <c r="B7" s="131" t="s">
        <v>197</v>
      </c>
      <c r="C7">
        <v>0</v>
      </c>
      <c r="D7">
        <v>0</v>
      </c>
    </row>
    <row r="8" spans="1:4" x14ac:dyDescent="0.15">
      <c r="A8">
        <v>7</v>
      </c>
      <c r="B8" s="131" t="s">
        <v>198</v>
      </c>
      <c r="C8">
        <v>0</v>
      </c>
      <c r="D8">
        <v>0</v>
      </c>
    </row>
    <row r="9" spans="1:4" x14ac:dyDescent="0.15">
      <c r="A9">
        <v>8</v>
      </c>
      <c r="B9" s="131" t="s">
        <v>199</v>
      </c>
      <c r="C9">
        <v>0</v>
      </c>
      <c r="D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2.33203125" customWidth="1"/>
    <col min="5" max="5" width="19.33203125" bestFit="1" customWidth="1"/>
    <col min="6" max="6" width="4.83203125" bestFit="1" customWidth="1"/>
    <col min="7" max="9" width="3.83203125" bestFit="1" customWidth="1"/>
    <col min="10" max="11" width="4.83203125" style="8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6" customFormat="1" ht="14" thickBot="1" x14ac:dyDescent="0.2">
      <c r="D1" s="87" t="s">
        <v>8</v>
      </c>
      <c r="E1" s="87" t="s">
        <v>0</v>
      </c>
      <c r="F1" s="88" t="s">
        <v>99</v>
      </c>
      <c r="G1" s="89" t="s">
        <v>84</v>
      </c>
      <c r="H1" s="89" t="s">
        <v>85</v>
      </c>
      <c r="I1" s="89" t="s">
        <v>86</v>
      </c>
      <c r="J1" s="89" t="s">
        <v>87</v>
      </c>
      <c r="K1" s="89" t="s">
        <v>88</v>
      </c>
      <c r="L1" s="90" t="s">
        <v>89</v>
      </c>
      <c r="M1" s="90" t="s">
        <v>93</v>
      </c>
      <c r="N1" s="90" t="s">
        <v>92</v>
      </c>
      <c r="O1" s="90" t="s">
        <v>90</v>
      </c>
      <c r="P1" s="90" t="s">
        <v>91</v>
      </c>
      <c r="Q1" s="91" t="s">
        <v>94</v>
      </c>
      <c r="R1" s="91" t="s">
        <v>95</v>
      </c>
      <c r="S1" s="91" t="s">
        <v>96</v>
      </c>
      <c r="T1" s="91" t="s">
        <v>97</v>
      </c>
      <c r="U1" s="91" t="s">
        <v>98</v>
      </c>
      <c r="V1" s="89" t="s">
        <v>100</v>
      </c>
      <c r="W1" s="89" t="s">
        <v>101</v>
      </c>
      <c r="X1" s="89" t="s">
        <v>102</v>
      </c>
      <c r="Y1" s="89" t="s">
        <v>134</v>
      </c>
      <c r="Z1" s="90" t="s">
        <v>103</v>
      </c>
      <c r="AA1" s="90" t="s">
        <v>104</v>
      </c>
      <c r="AB1" s="90" t="s">
        <v>105</v>
      </c>
      <c r="AC1" s="92" t="s">
        <v>135</v>
      </c>
      <c r="AD1" s="91" t="s">
        <v>106</v>
      </c>
      <c r="AE1" s="91" t="s">
        <v>107</v>
      </c>
      <c r="AF1" s="91" t="s">
        <v>108</v>
      </c>
      <c r="AG1" s="91" t="s">
        <v>136</v>
      </c>
      <c r="AH1" s="89" t="s">
        <v>109</v>
      </c>
      <c r="AI1" s="89" t="s">
        <v>111</v>
      </c>
      <c r="AJ1" s="89" t="s">
        <v>110</v>
      </c>
      <c r="AK1" s="90" t="s">
        <v>115</v>
      </c>
      <c r="AL1" s="90" t="s">
        <v>116</v>
      </c>
      <c r="AM1" s="90" t="s">
        <v>117</v>
      </c>
      <c r="AN1" s="91" t="s">
        <v>112</v>
      </c>
      <c r="AO1" s="91" t="s">
        <v>113</v>
      </c>
      <c r="AP1" s="91" t="s">
        <v>114</v>
      </c>
    </row>
    <row r="2" spans="1:42" x14ac:dyDescent="0.15">
      <c r="A2" s="93" t="s">
        <v>74</v>
      </c>
      <c r="B2" s="94">
        <v>1</v>
      </c>
      <c r="D2">
        <v>1</v>
      </c>
      <c r="E2" s="133" t="s">
        <v>192</v>
      </c>
      <c r="F2">
        <v>0.98</v>
      </c>
      <c r="G2">
        <v>0.8</v>
      </c>
      <c r="H2">
        <v>0.8</v>
      </c>
      <c r="I2">
        <v>0.8</v>
      </c>
      <c r="J2" s="84">
        <v>0.25</v>
      </c>
      <c r="K2" s="84">
        <v>0.05</v>
      </c>
    </row>
    <row r="3" spans="1:42" x14ac:dyDescent="0.15">
      <c r="A3" s="93" t="s">
        <v>75</v>
      </c>
      <c r="B3" s="95">
        <v>1</v>
      </c>
      <c r="D3">
        <v>2</v>
      </c>
      <c r="E3" s="133" t="s">
        <v>193</v>
      </c>
      <c r="F3">
        <v>0.98</v>
      </c>
      <c r="G3">
        <v>0.8</v>
      </c>
      <c r="H3">
        <v>0.8</v>
      </c>
      <c r="I3">
        <v>0.8</v>
      </c>
      <c r="J3" s="84">
        <v>0.25</v>
      </c>
      <c r="K3" s="84">
        <v>0.05</v>
      </c>
    </row>
    <row r="4" spans="1:42" x14ac:dyDescent="0.15">
      <c r="A4" s="93" t="s">
        <v>76</v>
      </c>
      <c r="B4" s="95">
        <v>1</v>
      </c>
      <c r="D4">
        <v>3</v>
      </c>
      <c r="E4" s="133" t="s">
        <v>194</v>
      </c>
      <c r="F4">
        <v>0.98</v>
      </c>
      <c r="G4">
        <v>0.8</v>
      </c>
      <c r="H4">
        <v>0.8</v>
      </c>
      <c r="I4">
        <v>0.8</v>
      </c>
      <c r="J4" s="84">
        <v>0.25</v>
      </c>
      <c r="K4" s="84">
        <v>0.05</v>
      </c>
    </row>
    <row r="5" spans="1:42" x14ac:dyDescent="0.15">
      <c r="A5" s="93" t="s">
        <v>77</v>
      </c>
      <c r="B5" s="95">
        <v>1</v>
      </c>
      <c r="D5">
        <v>4</v>
      </c>
      <c r="E5" s="133" t="s">
        <v>195</v>
      </c>
      <c r="F5">
        <v>0.98</v>
      </c>
      <c r="G5">
        <v>0.8</v>
      </c>
      <c r="H5">
        <v>0.8</v>
      </c>
      <c r="I5">
        <v>0.8</v>
      </c>
      <c r="J5" s="84">
        <v>0.25</v>
      </c>
      <c r="K5" s="84">
        <v>0.05</v>
      </c>
    </row>
    <row r="6" spans="1:42" x14ac:dyDescent="0.15">
      <c r="A6" s="93" t="s">
        <v>78</v>
      </c>
      <c r="B6" s="95">
        <v>1</v>
      </c>
      <c r="D6">
        <v>5</v>
      </c>
      <c r="E6" s="133" t="s">
        <v>196</v>
      </c>
      <c r="F6">
        <v>0.98</v>
      </c>
      <c r="G6">
        <v>0.8</v>
      </c>
      <c r="H6">
        <v>0.8</v>
      </c>
      <c r="I6">
        <v>0.8</v>
      </c>
      <c r="J6" s="84">
        <v>0.25</v>
      </c>
      <c r="K6" s="84">
        <v>0.05</v>
      </c>
    </row>
    <row r="7" spans="1:42" x14ac:dyDescent="0.15">
      <c r="A7" s="93" t="s">
        <v>79</v>
      </c>
      <c r="B7" s="95">
        <v>1</v>
      </c>
      <c r="D7">
        <v>6</v>
      </c>
      <c r="E7" s="133" t="s">
        <v>197</v>
      </c>
      <c r="F7">
        <v>0.98</v>
      </c>
      <c r="G7">
        <v>0.8</v>
      </c>
      <c r="H7">
        <v>0.8</v>
      </c>
      <c r="I7">
        <v>0</v>
      </c>
      <c r="J7" s="84">
        <v>0</v>
      </c>
      <c r="K7" s="84">
        <v>0</v>
      </c>
    </row>
    <row r="8" spans="1:42" x14ac:dyDescent="0.15">
      <c r="A8" s="93" t="s">
        <v>80</v>
      </c>
      <c r="B8" s="95">
        <v>1</v>
      </c>
      <c r="D8">
        <v>7</v>
      </c>
      <c r="E8" s="133" t="s">
        <v>198</v>
      </c>
      <c r="F8">
        <v>0.98</v>
      </c>
      <c r="G8">
        <v>0.8</v>
      </c>
      <c r="H8">
        <v>0</v>
      </c>
      <c r="I8">
        <v>0</v>
      </c>
      <c r="J8" s="84">
        <v>0</v>
      </c>
      <c r="K8" s="84">
        <v>0</v>
      </c>
    </row>
    <row r="9" spans="1:42" x14ac:dyDescent="0.15">
      <c r="A9" s="93" t="s">
        <v>81</v>
      </c>
      <c r="B9" s="95">
        <v>0.1</v>
      </c>
      <c r="C9" s="46" t="s">
        <v>150</v>
      </c>
      <c r="D9">
        <v>8</v>
      </c>
      <c r="E9" s="133" t="s">
        <v>199</v>
      </c>
      <c r="F9">
        <v>0.98</v>
      </c>
      <c r="G9">
        <v>0.8</v>
      </c>
      <c r="H9">
        <v>0</v>
      </c>
      <c r="I9">
        <v>0</v>
      </c>
      <c r="J9" s="84">
        <v>0</v>
      </c>
      <c r="K9" s="84">
        <v>0</v>
      </c>
    </row>
    <row r="10" spans="1:42" ht="14" thickBot="1" x14ac:dyDescent="0.2">
      <c r="A10" s="93" t="s">
        <v>149</v>
      </c>
      <c r="B10" s="96">
        <f>1/3</f>
        <v>0.33333333333333331</v>
      </c>
      <c r="C10" s="46" t="s">
        <v>150</v>
      </c>
      <c r="J10"/>
      <c r="K10"/>
    </row>
    <row r="11" spans="1:42" x14ac:dyDescent="0.15">
      <c r="J11"/>
      <c r="K11"/>
    </row>
    <row r="12" spans="1:42" x14ac:dyDescent="0.15">
      <c r="J12"/>
      <c r="K12"/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2" bestFit="1" customWidth="1"/>
    <col min="2" max="6" width="3.83203125" style="82" customWidth="1"/>
    <col min="7" max="9" width="2.33203125" style="82" customWidth="1"/>
    <col min="10" max="16384" width="10.83203125" style="82"/>
  </cols>
  <sheetData>
    <row r="1" spans="1:30" x14ac:dyDescent="0.15">
      <c r="A1" s="48" t="s">
        <v>118</v>
      </c>
      <c r="B1" s="135" t="s">
        <v>192</v>
      </c>
      <c r="C1" s="135" t="s">
        <v>193</v>
      </c>
      <c r="D1" s="135" t="s">
        <v>194</v>
      </c>
      <c r="E1" s="135" t="s">
        <v>195</v>
      </c>
      <c r="F1" s="135" t="s">
        <v>196</v>
      </c>
      <c r="G1" s="135" t="s">
        <v>197</v>
      </c>
      <c r="H1" s="135" t="s">
        <v>198</v>
      </c>
      <c r="I1" s="135" t="s">
        <v>199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4" t="s">
        <v>192</v>
      </c>
      <c r="B2" s="82">
        <v>0</v>
      </c>
      <c r="C2" s="82">
        <v>0</v>
      </c>
      <c r="D2" s="82">
        <v>0</v>
      </c>
      <c r="E2" s="82">
        <v>0</v>
      </c>
      <c r="F2" s="82">
        <v>0</v>
      </c>
      <c r="G2" s="82">
        <v>0</v>
      </c>
      <c r="H2" s="82">
        <v>0</v>
      </c>
      <c r="I2" s="82">
        <v>0</v>
      </c>
    </row>
    <row r="3" spans="1:30" customFormat="1" x14ac:dyDescent="0.15">
      <c r="A3" s="134" t="s">
        <v>193</v>
      </c>
      <c r="B3" s="82">
        <v>0.8</v>
      </c>
      <c r="C3" s="82">
        <v>0</v>
      </c>
      <c r="D3" s="82">
        <v>0.8</v>
      </c>
      <c r="E3" s="82">
        <v>0</v>
      </c>
      <c r="F3" s="82">
        <v>0</v>
      </c>
      <c r="G3" s="82">
        <v>0</v>
      </c>
      <c r="H3" s="82">
        <v>0</v>
      </c>
      <c r="I3" s="82">
        <v>0</v>
      </c>
    </row>
    <row r="4" spans="1:30" customFormat="1" x14ac:dyDescent="0.15">
      <c r="A4" s="134" t="s">
        <v>194</v>
      </c>
      <c r="B4" s="82">
        <v>0.8</v>
      </c>
      <c r="C4" s="82">
        <v>0</v>
      </c>
      <c r="D4" s="82">
        <v>0.8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</row>
    <row r="5" spans="1:30" customFormat="1" x14ac:dyDescent="0.15">
      <c r="A5" s="134" t="s">
        <v>195</v>
      </c>
      <c r="B5" s="82">
        <v>0</v>
      </c>
      <c r="C5" s="82">
        <v>0</v>
      </c>
      <c r="D5" s="82">
        <v>0</v>
      </c>
      <c r="E5" s="82">
        <v>0</v>
      </c>
      <c r="F5" s="82">
        <v>0</v>
      </c>
      <c r="G5" s="82">
        <v>0</v>
      </c>
      <c r="H5" s="82">
        <v>0</v>
      </c>
      <c r="I5" s="82">
        <v>0</v>
      </c>
    </row>
    <row r="6" spans="1:30" customFormat="1" x14ac:dyDescent="0.15">
      <c r="A6" s="134" t="s">
        <v>196</v>
      </c>
      <c r="B6" s="82">
        <v>0</v>
      </c>
      <c r="C6" s="82">
        <v>0.8</v>
      </c>
      <c r="D6" s="82">
        <v>0.8</v>
      </c>
      <c r="E6" s="82">
        <v>0.8</v>
      </c>
      <c r="F6" s="82">
        <v>0</v>
      </c>
      <c r="G6" s="82">
        <v>0</v>
      </c>
      <c r="H6" s="82">
        <v>0</v>
      </c>
      <c r="I6" s="82">
        <v>0</v>
      </c>
    </row>
    <row r="7" spans="1:30" customFormat="1" x14ac:dyDescent="0.15">
      <c r="A7" s="134" t="s">
        <v>197</v>
      </c>
      <c r="B7" s="82">
        <v>0</v>
      </c>
      <c r="C7" s="82">
        <v>0</v>
      </c>
      <c r="D7" s="82">
        <v>0</v>
      </c>
      <c r="E7" s="82">
        <v>0.8</v>
      </c>
      <c r="F7" s="82">
        <v>0.8</v>
      </c>
      <c r="G7" s="82">
        <v>0</v>
      </c>
      <c r="H7" s="82">
        <v>0</v>
      </c>
      <c r="I7" s="82">
        <v>0</v>
      </c>
    </row>
    <row r="8" spans="1:30" customFormat="1" x14ac:dyDescent="0.15">
      <c r="A8" s="134" t="s">
        <v>198</v>
      </c>
      <c r="B8" s="82">
        <v>0</v>
      </c>
      <c r="C8" s="82">
        <v>0</v>
      </c>
      <c r="D8" s="82">
        <v>0.8</v>
      </c>
      <c r="E8" s="82">
        <v>0.8</v>
      </c>
      <c r="F8" s="82">
        <v>0.8</v>
      </c>
      <c r="G8" s="82">
        <v>0</v>
      </c>
      <c r="H8" s="82">
        <v>0</v>
      </c>
      <c r="I8" s="82">
        <v>0</v>
      </c>
    </row>
    <row r="9" spans="1:30" customFormat="1" x14ac:dyDescent="0.15">
      <c r="A9" s="134" t="s">
        <v>199</v>
      </c>
      <c r="B9" s="82">
        <v>0</v>
      </c>
      <c r="C9" s="82">
        <v>0</v>
      </c>
      <c r="D9" s="82">
        <v>0</v>
      </c>
      <c r="E9" s="82">
        <v>0</v>
      </c>
      <c r="F9" s="82">
        <v>0</v>
      </c>
      <c r="G9" s="82">
        <v>0</v>
      </c>
      <c r="H9" s="82">
        <v>0</v>
      </c>
      <c r="I9" s="82">
        <v>0</v>
      </c>
    </row>
    <row r="10" spans="1:30" customFormat="1" x14ac:dyDescent="0.15">
      <c r="A10" s="134" t="s">
        <v>201</v>
      </c>
      <c r="B10" s="82">
        <v>0.8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</row>
    <row r="11" spans="1:30" customFormat="1" x14ac:dyDescent="0.15"/>
    <row r="12" spans="1:30" customFormat="1" x14ac:dyDescent="0.15"/>
    <row r="13" spans="1:30" customFormat="1" x14ac:dyDescent="0.15"/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2" bestFit="1" customWidth="1"/>
    <col min="2" max="9" width="2.33203125" style="82" customWidth="1"/>
    <col min="10" max="16384" width="10.83203125" style="82"/>
  </cols>
  <sheetData>
    <row r="1" spans="1:31" x14ac:dyDescent="0.15">
      <c r="A1" s="48" t="s">
        <v>139</v>
      </c>
      <c r="B1" s="137" t="s">
        <v>192</v>
      </c>
      <c r="C1" s="137" t="s">
        <v>193</v>
      </c>
      <c r="D1" s="137" t="s">
        <v>194</v>
      </c>
      <c r="E1" s="137" t="s">
        <v>195</v>
      </c>
      <c r="F1" s="137" t="s">
        <v>196</v>
      </c>
      <c r="G1" s="137" t="s">
        <v>197</v>
      </c>
      <c r="H1" s="137" t="s">
        <v>198</v>
      </c>
      <c r="I1" s="137" t="s">
        <v>199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36" t="s">
        <v>192</v>
      </c>
      <c r="B2" s="82">
        <v>0</v>
      </c>
      <c r="C2" s="82">
        <v>0</v>
      </c>
      <c r="D2" s="82">
        <v>0</v>
      </c>
      <c r="E2" s="82">
        <v>0</v>
      </c>
      <c r="F2" s="82">
        <v>0</v>
      </c>
      <c r="G2" s="82">
        <v>0</v>
      </c>
      <c r="H2" s="82">
        <v>0</v>
      </c>
      <c r="I2" s="82">
        <v>0</v>
      </c>
    </row>
    <row r="3" spans="1:31" customFormat="1" x14ac:dyDescent="0.15">
      <c r="A3" s="136" t="s">
        <v>193</v>
      </c>
      <c r="B3" s="82">
        <v>1</v>
      </c>
      <c r="C3" s="82">
        <v>0</v>
      </c>
      <c r="D3" s="82">
        <v>1</v>
      </c>
      <c r="E3" s="82">
        <v>0</v>
      </c>
      <c r="F3" s="82">
        <v>0</v>
      </c>
      <c r="G3" s="82">
        <v>0</v>
      </c>
      <c r="H3" s="82">
        <v>0</v>
      </c>
      <c r="I3" s="82">
        <v>0</v>
      </c>
    </row>
    <row r="4" spans="1:31" customFormat="1" x14ac:dyDescent="0.15">
      <c r="A4" s="136" t="s">
        <v>194</v>
      </c>
      <c r="B4" s="82">
        <v>1</v>
      </c>
      <c r="C4" s="82">
        <v>0</v>
      </c>
      <c r="D4" s="82">
        <v>1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</row>
    <row r="5" spans="1:31" customFormat="1" x14ac:dyDescent="0.15">
      <c r="A5" s="136" t="s">
        <v>195</v>
      </c>
      <c r="B5" s="82">
        <v>0</v>
      </c>
      <c r="C5" s="82">
        <v>0</v>
      </c>
      <c r="D5" s="82">
        <v>0</v>
      </c>
      <c r="E5" s="82">
        <v>0</v>
      </c>
      <c r="F5" s="82">
        <v>0</v>
      </c>
      <c r="G5" s="82">
        <v>0</v>
      </c>
      <c r="H5" s="82">
        <v>0</v>
      </c>
      <c r="I5" s="82">
        <v>0</v>
      </c>
    </row>
    <row r="6" spans="1:31" customFormat="1" x14ac:dyDescent="0.15">
      <c r="A6" s="136" t="s">
        <v>196</v>
      </c>
      <c r="B6" s="82">
        <v>0</v>
      </c>
      <c r="C6" s="82">
        <v>1</v>
      </c>
      <c r="D6" s="82">
        <v>1</v>
      </c>
      <c r="E6" s="82">
        <v>1</v>
      </c>
      <c r="F6" s="82">
        <v>0</v>
      </c>
      <c r="G6" s="82">
        <v>0</v>
      </c>
      <c r="H6" s="82">
        <v>0</v>
      </c>
      <c r="I6" s="82">
        <v>0</v>
      </c>
    </row>
    <row r="7" spans="1:31" customFormat="1" x14ac:dyDescent="0.15">
      <c r="A7" s="136" t="s">
        <v>197</v>
      </c>
      <c r="B7" s="82">
        <v>0</v>
      </c>
      <c r="C7" s="82">
        <v>0</v>
      </c>
      <c r="D7" s="82">
        <v>0</v>
      </c>
      <c r="E7" s="82">
        <v>1</v>
      </c>
      <c r="F7" s="82">
        <v>1</v>
      </c>
      <c r="G7" s="82">
        <v>0</v>
      </c>
      <c r="H7" s="82">
        <v>0</v>
      </c>
      <c r="I7" s="82">
        <v>0</v>
      </c>
    </row>
    <row r="8" spans="1:31" customFormat="1" x14ac:dyDescent="0.15">
      <c r="A8" s="136" t="s">
        <v>198</v>
      </c>
      <c r="B8" s="82">
        <v>0</v>
      </c>
      <c r="C8" s="82">
        <v>0</v>
      </c>
      <c r="D8" s="82">
        <v>1</v>
      </c>
      <c r="E8" s="82">
        <v>1</v>
      </c>
      <c r="F8" s="82">
        <v>1</v>
      </c>
      <c r="G8" s="82">
        <v>0</v>
      </c>
      <c r="H8" s="82">
        <v>0</v>
      </c>
      <c r="I8" s="82">
        <v>0</v>
      </c>
    </row>
    <row r="9" spans="1:31" customFormat="1" x14ac:dyDescent="0.15">
      <c r="A9" s="136" t="s">
        <v>199</v>
      </c>
      <c r="B9" s="82">
        <v>0</v>
      </c>
      <c r="C9" s="82">
        <v>0</v>
      </c>
      <c r="D9" s="82">
        <v>0</v>
      </c>
      <c r="E9" s="82">
        <v>0</v>
      </c>
      <c r="F9" s="82">
        <v>0</v>
      </c>
      <c r="G9" s="82">
        <v>0</v>
      </c>
      <c r="H9" s="82">
        <v>0</v>
      </c>
      <c r="I9" s="82">
        <v>0</v>
      </c>
    </row>
    <row r="10" spans="1:31" customFormat="1" x14ac:dyDescent="0.15">
      <c r="A10" s="136" t="s">
        <v>201</v>
      </c>
      <c r="B10" s="82">
        <v>1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</row>
    <row r="11" spans="1:31" customFormat="1" x14ac:dyDescent="0.15"/>
    <row r="12" spans="1:31" customFormat="1" x14ac:dyDescent="0.15"/>
    <row r="13" spans="1:31" customFormat="1" x14ac:dyDescent="0.15"/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9.3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83</v>
      </c>
      <c r="B1" s="3" t="s">
        <v>0</v>
      </c>
      <c r="C1" s="139" t="s">
        <v>200</v>
      </c>
    </row>
    <row r="2" spans="1:3" x14ac:dyDescent="0.15">
      <c r="A2">
        <v>1</v>
      </c>
      <c r="B2" s="138" t="s">
        <v>192</v>
      </c>
      <c r="C2">
        <v>0.8</v>
      </c>
    </row>
    <row r="3" spans="1:3" x14ac:dyDescent="0.15">
      <c r="A3">
        <v>2</v>
      </c>
      <c r="B3" s="138" t="s">
        <v>193</v>
      </c>
      <c r="C3">
        <v>0.8</v>
      </c>
    </row>
    <row r="4" spans="1:3" x14ac:dyDescent="0.15">
      <c r="A4">
        <v>3</v>
      </c>
      <c r="B4" s="138" t="s">
        <v>194</v>
      </c>
      <c r="C4">
        <v>0.8</v>
      </c>
    </row>
    <row r="5" spans="1:3" x14ac:dyDescent="0.15">
      <c r="A5">
        <v>4</v>
      </c>
      <c r="B5" s="138" t="s">
        <v>195</v>
      </c>
      <c r="C5">
        <v>0</v>
      </c>
    </row>
    <row r="6" spans="1:3" x14ac:dyDescent="0.15">
      <c r="A6">
        <v>5</v>
      </c>
      <c r="B6" s="138" t="s">
        <v>196</v>
      </c>
      <c r="C6">
        <v>0</v>
      </c>
    </row>
    <row r="7" spans="1:3" x14ac:dyDescent="0.15">
      <c r="A7">
        <v>6</v>
      </c>
      <c r="B7" s="138" t="s">
        <v>197</v>
      </c>
      <c r="C7">
        <v>0</v>
      </c>
    </row>
    <row r="8" spans="1:3" x14ac:dyDescent="0.15">
      <c r="A8">
        <v>7</v>
      </c>
      <c r="B8" s="138" t="s">
        <v>198</v>
      </c>
      <c r="C8">
        <v>0</v>
      </c>
    </row>
    <row r="9" spans="1:3" x14ac:dyDescent="0.15">
      <c r="A9">
        <v>8</v>
      </c>
      <c r="B9" s="138" t="s">
        <v>199</v>
      </c>
      <c r="C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9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9.3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82</v>
      </c>
      <c r="B1" s="3" t="s">
        <v>0</v>
      </c>
      <c r="C1" s="141" t="s">
        <v>200</v>
      </c>
    </row>
    <row r="2" spans="1:3" x14ac:dyDescent="0.15">
      <c r="A2">
        <v>1</v>
      </c>
      <c r="B2" s="140" t="s">
        <v>192</v>
      </c>
      <c r="C2">
        <v>0.8</v>
      </c>
    </row>
    <row r="3" spans="1:3" x14ac:dyDescent="0.15">
      <c r="A3">
        <v>2</v>
      </c>
      <c r="B3" s="140" t="s">
        <v>193</v>
      </c>
      <c r="C3">
        <v>0.8</v>
      </c>
    </row>
    <row r="4" spans="1:3" x14ac:dyDescent="0.15">
      <c r="A4">
        <v>3</v>
      </c>
      <c r="B4" s="140" t="s">
        <v>194</v>
      </c>
      <c r="C4">
        <v>0.8</v>
      </c>
    </row>
    <row r="5" spans="1:3" x14ac:dyDescent="0.15">
      <c r="A5">
        <v>4</v>
      </c>
      <c r="B5" s="140" t="s">
        <v>195</v>
      </c>
      <c r="C5">
        <v>0</v>
      </c>
    </row>
    <row r="6" spans="1:3" x14ac:dyDescent="0.15">
      <c r="A6">
        <v>5</v>
      </c>
      <c r="B6" s="140" t="s">
        <v>196</v>
      </c>
      <c r="C6">
        <v>0</v>
      </c>
    </row>
    <row r="7" spans="1:3" x14ac:dyDescent="0.15">
      <c r="A7">
        <v>6</v>
      </c>
      <c r="B7" s="140" t="s">
        <v>197</v>
      </c>
      <c r="C7">
        <v>0</v>
      </c>
    </row>
    <row r="8" spans="1:3" x14ac:dyDescent="0.15">
      <c r="A8">
        <v>7</v>
      </c>
      <c r="B8" s="140" t="s">
        <v>198</v>
      </c>
      <c r="C8">
        <v>0</v>
      </c>
    </row>
    <row r="9" spans="1:3" x14ac:dyDescent="0.15">
      <c r="A9">
        <v>8</v>
      </c>
      <c r="B9" s="140" t="s">
        <v>199</v>
      </c>
      <c r="C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58"/>
    <col min="2" max="2" width="41.83203125" style="58" bestFit="1" customWidth="1"/>
    <col min="3" max="3" width="9.33203125" style="58" bestFit="1" customWidth="1"/>
    <col min="4" max="4" width="13" style="58" bestFit="1" customWidth="1"/>
    <col min="5" max="6" width="9.33203125" style="58" bestFit="1" customWidth="1"/>
    <col min="7" max="7" width="9.33203125" style="74" bestFit="1" customWidth="1"/>
    <col min="8" max="8" width="9.33203125" style="58" bestFit="1" customWidth="1"/>
    <col min="9" max="9" width="11" style="58" customWidth="1"/>
    <col min="10" max="10" width="8.83203125" style="58"/>
    <col min="15" max="16384" width="8.83203125" style="5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0" t="s">
        <v>14</v>
      </c>
      <c r="H1" s="1" t="s">
        <v>26</v>
      </c>
      <c r="I1" s="1" t="s">
        <v>24</v>
      </c>
    </row>
    <row r="2" spans="1:10" ht="15" customHeight="1" x14ac:dyDescent="0.15">
      <c r="A2" s="114">
        <v>1</v>
      </c>
      <c r="B2" s="114" t="s">
        <v>192</v>
      </c>
      <c r="C2" s="8">
        <v>4.0185184478759766</v>
      </c>
      <c r="D2" s="9">
        <v>5.8169934898614883E-2</v>
      </c>
      <c r="E2" s="9">
        <v>1.7000000476837158</v>
      </c>
      <c r="F2" s="9">
        <v>8.6999998092651367</v>
      </c>
      <c r="G2" s="9">
        <v>0.89999997615814209</v>
      </c>
      <c r="H2" s="9">
        <v>0.19540230929851532</v>
      </c>
      <c r="I2">
        <v>8.9000001549720764E-2</v>
      </c>
      <c r="J2"/>
    </row>
    <row r="3" spans="1:10" ht="15" customHeight="1" x14ac:dyDescent="0.15">
      <c r="A3" s="115">
        <v>2</v>
      </c>
      <c r="B3" s="115" t="s">
        <v>193</v>
      </c>
      <c r="C3" s="8">
        <v>3</v>
      </c>
      <c r="D3" s="9">
        <v>1.4279999732971191</v>
      </c>
      <c r="E3" s="9">
        <v>2.5</v>
      </c>
      <c r="F3" s="9">
        <v>9</v>
      </c>
      <c r="G3" s="9">
        <v>0.32077705860137939</v>
      </c>
      <c r="H3" s="9">
        <v>0.27777779102325439</v>
      </c>
      <c r="I3">
        <v>0.29800000786781311</v>
      </c>
      <c r="J3"/>
    </row>
    <row r="4" spans="1:10" ht="15" customHeight="1" x14ac:dyDescent="0.15">
      <c r="A4" s="116">
        <v>3</v>
      </c>
      <c r="B4" s="116" t="s">
        <v>194</v>
      </c>
      <c r="C4" s="8">
        <v>3.1111111640930176</v>
      </c>
      <c r="D4" s="9">
        <v>0.14146067202091217</v>
      </c>
      <c r="E4" s="9">
        <v>2.0999999046325684</v>
      </c>
      <c r="F4" s="9">
        <v>12</v>
      </c>
      <c r="G4" s="9">
        <v>0.89999997615814209</v>
      </c>
      <c r="H4" s="9">
        <v>0.17499999701976776</v>
      </c>
      <c r="I4">
        <v>4.6999998390674591E-2</v>
      </c>
      <c r="J4"/>
    </row>
    <row r="5" spans="1:10" ht="15" customHeight="1" x14ac:dyDescent="0.15">
      <c r="A5" s="117">
        <v>4</v>
      </c>
      <c r="B5" s="117" t="s">
        <v>195</v>
      </c>
      <c r="C5" s="8">
        <v>2.5</v>
      </c>
      <c r="D5" s="9">
        <v>1.6069999933242798</v>
      </c>
      <c r="E5" s="9">
        <v>10</v>
      </c>
      <c r="F5" s="9">
        <v>39.200000762939453</v>
      </c>
      <c r="G5" s="7">
        <v>0</v>
      </c>
      <c r="H5" s="9">
        <v>0.25510203838348389</v>
      </c>
      <c r="I5">
        <v>0</v>
      </c>
      <c r="J5"/>
    </row>
    <row r="6" spans="1:10" ht="15" customHeight="1" x14ac:dyDescent="0.15">
      <c r="A6" s="118">
        <v>5</v>
      </c>
      <c r="B6" s="118" t="s">
        <v>196</v>
      </c>
      <c r="C6" s="8">
        <v>2</v>
      </c>
      <c r="D6" s="9">
        <v>35</v>
      </c>
      <c r="E6" s="9">
        <v>32</v>
      </c>
      <c r="F6" s="9">
        <v>137</v>
      </c>
      <c r="G6" s="9">
        <v>3.9900630712509155E-2</v>
      </c>
      <c r="H6" s="9">
        <v>0.23357664048671722</v>
      </c>
      <c r="I6">
        <v>0</v>
      </c>
      <c r="J6"/>
    </row>
    <row r="7" spans="1:10" ht="15" customHeight="1" x14ac:dyDescent="0.15">
      <c r="A7" s="119">
        <v>6</v>
      </c>
      <c r="B7" s="119" t="s">
        <v>197</v>
      </c>
      <c r="C7" s="8">
        <v>1</v>
      </c>
      <c r="D7" s="9">
        <v>8.805999755859375</v>
      </c>
      <c r="E7" s="9">
        <v>325</v>
      </c>
      <c r="F7" s="10"/>
      <c r="G7" s="9">
        <v>0.83991670608520508</v>
      </c>
      <c r="H7" s="10"/>
      <c r="I7">
        <v>0</v>
      </c>
      <c r="J7"/>
    </row>
    <row r="8" spans="1:10" ht="15" customHeight="1" x14ac:dyDescent="0.15">
      <c r="A8" s="120">
        <v>7</v>
      </c>
      <c r="B8" s="120" t="s">
        <v>198</v>
      </c>
      <c r="C8" s="8">
        <v>1</v>
      </c>
      <c r="D8" s="9">
        <v>200</v>
      </c>
      <c r="E8" s="10"/>
      <c r="F8" s="10"/>
      <c r="G8" s="7">
        <v>0.95910948514938354</v>
      </c>
      <c r="H8" s="10"/>
      <c r="I8">
        <v>0</v>
      </c>
      <c r="J8"/>
    </row>
    <row r="9" spans="1:10" ht="15" customHeight="1" x14ac:dyDescent="0.15">
      <c r="A9" s="121">
        <v>8</v>
      </c>
      <c r="B9" s="121" t="s">
        <v>199</v>
      </c>
      <c r="C9" s="8">
        <v>1</v>
      </c>
      <c r="D9" s="9">
        <v>5</v>
      </c>
      <c r="E9" s="10"/>
      <c r="F9" s="10"/>
      <c r="G9" s="7">
        <v>0</v>
      </c>
      <c r="H9" s="10"/>
      <c r="I9">
        <v>0</v>
      </c>
      <c r="J9"/>
    </row>
    <row r="10" spans="1:10" ht="15" customHeight="1" x14ac:dyDescent="0.15">
      <c r="A10" s="122">
        <v>9</v>
      </c>
      <c r="B10" s="122" t="s">
        <v>200</v>
      </c>
      <c r="C10" s="8">
        <v>4.2208995819091797</v>
      </c>
      <c r="D10" s="10"/>
      <c r="E10" s="10"/>
      <c r="F10" s="10"/>
      <c r="G10" s="10"/>
      <c r="H10" s="10"/>
      <c r="I10">
        <v>0.43400001525878906</v>
      </c>
      <c r="J10"/>
    </row>
    <row r="11" spans="1:10" ht="15" customHeight="1" x14ac:dyDescent="0.15">
      <c r="A11"/>
      <c r="B11"/>
      <c r="C11"/>
      <c r="D11"/>
      <c r="E11"/>
      <c r="F11"/>
      <c r="G11"/>
      <c r="H11"/>
      <c r="I11"/>
      <c r="J11"/>
    </row>
    <row r="12" spans="1:10" ht="15" customHeight="1" x14ac:dyDescent="0.15">
      <c r="A12"/>
      <c r="B12"/>
      <c r="C12"/>
      <c r="D12"/>
      <c r="E12"/>
      <c r="F12"/>
      <c r="G12"/>
      <c r="H12"/>
      <c r="I12"/>
      <c r="J12"/>
    </row>
    <row r="13" spans="1:10" ht="15" customHeight="1" x14ac:dyDescent="0.15">
      <c r="A13"/>
      <c r="B13"/>
      <c r="C13"/>
      <c r="D13"/>
      <c r="E13"/>
      <c r="F13"/>
      <c r="G13"/>
      <c r="H13"/>
      <c r="I13"/>
      <c r="J13"/>
    </row>
    <row r="14" spans="1:10" ht="15" customHeight="1" x14ac:dyDescent="0.15">
      <c r="A14"/>
      <c r="B14"/>
      <c r="C14"/>
      <c r="D14"/>
      <c r="E14"/>
      <c r="F14"/>
      <c r="G14"/>
      <c r="H14"/>
      <c r="I14"/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58" bestFit="1" customWidth="1"/>
    <col min="2" max="4" width="9.5" style="58" bestFit="1" customWidth="1"/>
    <col min="5" max="7" width="9" style="58" bestFit="1" customWidth="1"/>
    <col min="8" max="16" width="12.6640625" style="58" bestFit="1" customWidth="1"/>
    <col min="17" max="17" width="12.33203125" style="58" bestFit="1" customWidth="1"/>
    <col min="18" max="18" width="8.83203125" style="58"/>
    <col min="19" max="21" width="9.33203125" style="58" bestFit="1" customWidth="1"/>
    <col min="22" max="23" width="8.83203125" style="58"/>
    <col min="24" max="24" width="9.33203125" style="58" bestFit="1" customWidth="1"/>
    <col min="25" max="27" width="8.83203125" style="58"/>
    <col min="28" max="58" width="9" style="58" bestFit="1" customWidth="1"/>
    <col min="59" max="59" width="12.33203125" style="58" bestFit="1" customWidth="1"/>
    <col min="60" max="60" width="9" style="58" bestFit="1" customWidth="1"/>
    <col min="61" max="61" width="11.33203125" style="58" bestFit="1" customWidth="1"/>
    <col min="62" max="77" width="9" style="58" bestFit="1" customWidth="1"/>
    <col min="78" max="78" width="12.33203125" style="58" bestFit="1" customWidth="1"/>
    <col min="79" max="79" width="9" style="58" bestFit="1" customWidth="1"/>
    <col min="80" max="80" width="12.33203125" style="58" bestFit="1" customWidth="1"/>
    <col min="81" max="107" width="9" style="58" bestFit="1" customWidth="1"/>
    <col min="108" max="108" width="11.33203125" style="58" bestFit="1" customWidth="1"/>
    <col min="109" max="124" width="9" style="58" bestFit="1" customWidth="1"/>
    <col min="125" max="125" width="10.33203125" style="58" bestFit="1" customWidth="1"/>
    <col min="126" max="129" width="9.33203125" style="58" bestFit="1" customWidth="1"/>
    <col min="130" max="130" width="9" style="58" bestFit="1" customWidth="1"/>
    <col min="131" max="134" width="9.33203125" style="58" bestFit="1" customWidth="1"/>
    <col min="135" max="165" width="9" style="58" bestFit="1" customWidth="1"/>
    <col min="166" max="166" width="12.33203125" style="58" bestFit="1" customWidth="1"/>
    <col min="167" max="170" width="9" style="58" bestFit="1" customWidth="1"/>
    <col min="171" max="176" width="8.83203125" style="58"/>
    <col min="177" max="177" width="13.83203125" style="58" bestFit="1" customWidth="1"/>
    <col min="178" max="16384" width="8.83203125" style="5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205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1.7000000476837158</v>
      </c>
      <c r="C2">
        <v>0.17000004649162292</v>
      </c>
      <c r="D2" s="150">
        <v>1.5299999713897705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2.5</v>
      </c>
      <c r="C3">
        <v>1.6980574131011963</v>
      </c>
      <c r="D3" s="151">
        <v>0.20868347585201263</v>
      </c>
      <c r="E3" s="50">
        <v>0.17719833552837372</v>
      </c>
      <c r="F3"/>
      <c r="G3" s="155">
        <v>0.41606080532073975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2.0999999046325684</v>
      </c>
      <c r="C4">
        <v>0.21000003814697266</v>
      </c>
      <c r="D4" s="152">
        <v>0.33224782347679138</v>
      </c>
      <c r="E4" s="153">
        <v>0.35775202512741089</v>
      </c>
      <c r="F4"/>
      <c r="G4" s="154">
        <v>1.2000000476837158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10</v>
      </c>
      <c r="C5">
        <v>10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32</v>
      </c>
      <c r="C6">
        <v>30.723178863525391</v>
      </c>
      <c r="D6"/>
      <c r="E6"/>
      <c r="F6" s="13">
        <v>0.36719998717308044</v>
      </c>
      <c r="G6" s="11">
        <v>9.7001604735851288E-3</v>
      </c>
      <c r="H6" s="14">
        <v>0.89991998672485352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325</v>
      </c>
      <c r="C7">
        <v>52.027069091796875</v>
      </c>
      <c r="D7"/>
      <c r="E7"/>
      <c r="F7"/>
      <c r="G7"/>
      <c r="H7" s="12">
        <v>0.71535778045654297</v>
      </c>
      <c r="I7" s="156">
        <v>272.257568359375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/>
      <c r="C8">
        <v>0.95910948514938354</v>
      </c>
      <c r="D8"/>
      <c r="E8"/>
      <c r="F8"/>
      <c r="G8" s="9">
        <v>0.59413480758666992</v>
      </c>
      <c r="H8" s="9">
        <v>25.197761535644531</v>
      </c>
      <c r="I8" s="9">
        <v>2397.5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/>
      <c r="C9">
        <v>0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3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7" t="s">
        <v>166</v>
      </c>
    </row>
    <row r="2" spans="1:12" x14ac:dyDescent="0.15">
      <c r="A2" s="1" t="s">
        <v>37</v>
      </c>
      <c r="B2" s="24">
        <v>3</v>
      </c>
      <c r="C2" s="22"/>
      <c r="D2" t="s">
        <v>38</v>
      </c>
      <c r="E2">
        <v>1</v>
      </c>
      <c r="F2">
        <v>1</v>
      </c>
      <c r="G2">
        <v>1</v>
      </c>
      <c r="H2" t="s">
        <v>38</v>
      </c>
      <c r="J2" s="40"/>
      <c r="K2" s="41"/>
      <c r="L2" s="47" t="s">
        <v>167</v>
      </c>
    </row>
    <row r="3" spans="1:12" ht="14" thickBot="1" x14ac:dyDescent="0.2">
      <c r="A3" s="1" t="s">
        <v>39</v>
      </c>
      <c r="B3" s="25">
        <v>0</v>
      </c>
      <c r="C3" s="2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2"/>
      <c r="K3" s="4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2"/>
      <c r="K4" s="43"/>
    </row>
    <row r="5" spans="1:12" x14ac:dyDescent="0.15">
      <c r="D5" s="142" t="s">
        <v>192</v>
      </c>
      <c r="E5">
        <v>4</v>
      </c>
      <c r="F5">
        <v>3.1</v>
      </c>
      <c r="G5">
        <v>4</v>
      </c>
      <c r="H5" s="143" t="s">
        <v>192</v>
      </c>
      <c r="J5" s="42"/>
      <c r="K5" s="43"/>
    </row>
    <row r="6" spans="1:12" ht="14" thickBot="1" x14ac:dyDescent="0.2">
      <c r="A6" s="26" t="s">
        <v>121</v>
      </c>
      <c r="D6" s="142" t="s">
        <v>193</v>
      </c>
      <c r="E6">
        <v>5</v>
      </c>
      <c r="F6">
        <v>3.14</v>
      </c>
      <c r="G6">
        <v>5</v>
      </c>
      <c r="H6" s="143" t="s">
        <v>193</v>
      </c>
      <c r="J6" s="42"/>
      <c r="K6" s="43"/>
    </row>
    <row r="7" spans="1:12" x14ac:dyDescent="0.15">
      <c r="A7" s="21" t="s">
        <v>126</v>
      </c>
      <c r="B7" s="28">
        <v>1</v>
      </c>
      <c r="C7" s="23"/>
      <c r="D7" s="142" t="s">
        <v>194</v>
      </c>
      <c r="E7">
        <v>6</v>
      </c>
      <c r="F7">
        <v>3.24</v>
      </c>
      <c r="G7">
        <v>6</v>
      </c>
      <c r="H7" s="143" t="s">
        <v>194</v>
      </c>
      <c r="J7" s="42"/>
      <c r="K7" s="43"/>
    </row>
    <row r="8" spans="1:12" x14ac:dyDescent="0.15">
      <c r="A8" s="21" t="s">
        <v>38</v>
      </c>
      <c r="B8" s="29">
        <v>1</v>
      </c>
      <c r="C8" s="23"/>
      <c r="D8" s="142" t="s">
        <v>195</v>
      </c>
      <c r="E8">
        <v>7</v>
      </c>
      <c r="F8">
        <v>3.11</v>
      </c>
      <c r="G8">
        <v>7</v>
      </c>
      <c r="H8" s="143" t="s">
        <v>195</v>
      </c>
      <c r="J8" s="42"/>
      <c r="K8" s="43"/>
    </row>
    <row r="9" spans="1:12" x14ac:dyDescent="0.15">
      <c r="A9" s="21" t="s">
        <v>40</v>
      </c>
      <c r="B9" s="29">
        <v>1.1000000000000001</v>
      </c>
      <c r="C9" s="23"/>
      <c r="D9" s="142" t="s">
        <v>196</v>
      </c>
      <c r="E9">
        <v>8</v>
      </c>
      <c r="F9">
        <v>3.11</v>
      </c>
      <c r="G9">
        <v>8</v>
      </c>
      <c r="H9" s="143" t="s">
        <v>196</v>
      </c>
      <c r="J9" s="42"/>
      <c r="K9" s="43"/>
    </row>
    <row r="10" spans="1:12" x14ac:dyDescent="0.15">
      <c r="A10" s="21" t="s">
        <v>41</v>
      </c>
      <c r="B10" s="29">
        <v>1.2</v>
      </c>
      <c r="C10" s="23"/>
      <c r="D10" s="142" t="s">
        <v>197</v>
      </c>
      <c r="E10">
        <v>9</v>
      </c>
      <c r="F10">
        <v>2.1</v>
      </c>
      <c r="G10">
        <v>9</v>
      </c>
      <c r="H10" s="143" t="s">
        <v>197</v>
      </c>
      <c r="J10" s="42"/>
      <c r="K10" s="43"/>
    </row>
    <row r="11" spans="1:12" ht="12" customHeight="1" x14ac:dyDescent="0.15">
      <c r="A11" s="27" t="s">
        <v>127</v>
      </c>
      <c r="B11" s="29">
        <v>2</v>
      </c>
      <c r="C11" s="23"/>
      <c r="D11" s="142" t="s">
        <v>198</v>
      </c>
      <c r="E11">
        <v>10</v>
      </c>
      <c r="F11">
        <v>4.0999999999999996</v>
      </c>
      <c r="G11">
        <v>10</v>
      </c>
      <c r="H11" s="143" t="s">
        <v>198</v>
      </c>
      <c r="J11" s="42"/>
      <c r="K11" s="43"/>
    </row>
    <row r="12" spans="1:12" x14ac:dyDescent="0.15">
      <c r="A12" s="21" t="s">
        <v>42</v>
      </c>
      <c r="B12" s="29">
        <v>2.1</v>
      </c>
      <c r="C12" s="23"/>
      <c r="D12" s="142" t="s">
        <v>199</v>
      </c>
      <c r="E12">
        <v>11</v>
      </c>
      <c r="F12">
        <v>4.3</v>
      </c>
      <c r="G12">
        <v>11</v>
      </c>
      <c r="H12" s="143" t="s">
        <v>199</v>
      </c>
      <c r="J12" s="42"/>
      <c r="K12" s="43"/>
    </row>
    <row r="13" spans="1:12" x14ac:dyDescent="0.15">
      <c r="A13" s="21" t="s">
        <v>43</v>
      </c>
      <c r="B13" s="29">
        <v>2.2000000000000002</v>
      </c>
      <c r="C13" s="23"/>
      <c r="D13" s="142" t="s">
        <v>200</v>
      </c>
      <c r="E13">
        <v>12</v>
      </c>
      <c r="F13">
        <v>5</v>
      </c>
      <c r="G13">
        <v>12</v>
      </c>
      <c r="H13" s="143" t="s">
        <v>200</v>
      </c>
      <c r="J13" s="42"/>
      <c r="K13" s="43"/>
    </row>
    <row r="14" spans="1:12" x14ac:dyDescent="0.15">
      <c r="A14" s="21" t="s">
        <v>67</v>
      </c>
      <c r="B14" s="29">
        <v>2.2999999999999998</v>
      </c>
      <c r="C14" s="23"/>
      <c r="D14" s="142" t="s">
        <v>138</v>
      </c>
      <c r="E14">
        <v>13</v>
      </c>
      <c r="F14">
        <v>6.1</v>
      </c>
      <c r="G14">
        <v>13</v>
      </c>
      <c r="H14" s="143" t="s">
        <v>138</v>
      </c>
      <c r="J14" s="42"/>
      <c r="K14" s="43"/>
    </row>
    <row r="15" spans="1:12" x14ac:dyDescent="0.15">
      <c r="A15" s="27" t="s">
        <v>128</v>
      </c>
      <c r="B15" s="29">
        <v>3</v>
      </c>
      <c r="C15" s="23"/>
      <c r="D15" s="142" t="s">
        <v>45</v>
      </c>
      <c r="E15">
        <v>14</v>
      </c>
      <c r="F15">
        <v>6.2</v>
      </c>
      <c r="G15">
        <v>14</v>
      </c>
      <c r="H15" s="143" t="s">
        <v>45</v>
      </c>
      <c r="J15" s="42"/>
      <c r="K15" s="43"/>
    </row>
    <row r="16" spans="1:12" x14ac:dyDescent="0.15">
      <c r="A16" s="21" t="s">
        <v>62</v>
      </c>
      <c r="B16" s="29">
        <v>3.11</v>
      </c>
      <c r="C16" s="23"/>
      <c r="J16" s="42"/>
      <c r="K16" s="43"/>
    </row>
    <row r="17" spans="1:12" x14ac:dyDescent="0.15">
      <c r="A17" s="21" t="s">
        <v>61</v>
      </c>
      <c r="B17" s="29">
        <v>3.12</v>
      </c>
      <c r="C17" s="23"/>
      <c r="J17" s="42"/>
      <c r="K17" s="43"/>
    </row>
    <row r="18" spans="1:12" x14ac:dyDescent="0.15">
      <c r="A18" s="21" t="s">
        <v>68</v>
      </c>
      <c r="B18" s="29">
        <v>3.13</v>
      </c>
      <c r="C18" s="23"/>
      <c r="J18" s="42"/>
      <c r="K18" s="43"/>
    </row>
    <row r="19" spans="1:12" x14ac:dyDescent="0.15">
      <c r="A19" s="21" t="s">
        <v>66</v>
      </c>
      <c r="B19" s="29">
        <v>3.21</v>
      </c>
      <c r="C19" s="23"/>
      <c r="J19" s="42"/>
      <c r="K19" s="43"/>
    </row>
    <row r="20" spans="1:12" x14ac:dyDescent="0.15">
      <c r="A20" s="21" t="s">
        <v>63</v>
      </c>
      <c r="B20" s="29">
        <v>3.22</v>
      </c>
      <c r="C20" s="23"/>
      <c r="J20" s="42"/>
      <c r="K20" s="43"/>
    </row>
    <row r="21" spans="1:12" ht="14" thickBot="1" x14ac:dyDescent="0.2">
      <c r="A21" s="21" t="s">
        <v>69</v>
      </c>
      <c r="B21" s="29">
        <v>3.23</v>
      </c>
      <c r="C21" s="23"/>
      <c r="J21" s="44"/>
      <c r="K21" s="45"/>
      <c r="L21" s="47" t="s">
        <v>152</v>
      </c>
    </row>
    <row r="22" spans="1:12" x14ac:dyDescent="0.15">
      <c r="A22" s="21" t="s">
        <v>64</v>
      </c>
      <c r="B22" s="29">
        <v>8</v>
      </c>
      <c r="C22" s="23"/>
    </row>
    <row r="23" spans="1:12" x14ac:dyDescent="0.15">
      <c r="A23" s="21" t="s">
        <v>129</v>
      </c>
      <c r="B23" s="29">
        <v>4</v>
      </c>
      <c r="C23" s="23"/>
    </row>
    <row r="24" spans="1:12" x14ac:dyDescent="0.15">
      <c r="A24" s="21" t="s">
        <v>122</v>
      </c>
      <c r="B24" s="29">
        <v>4.0999999999999996</v>
      </c>
      <c r="C24" s="23"/>
    </row>
    <row r="25" spans="1:12" x14ac:dyDescent="0.15">
      <c r="A25" s="21" t="s">
        <v>70</v>
      </c>
      <c r="B25" s="29">
        <v>4.2</v>
      </c>
      <c r="C25" s="23"/>
    </row>
    <row r="26" spans="1:12" x14ac:dyDescent="0.15">
      <c r="A26" s="21" t="s">
        <v>123</v>
      </c>
      <c r="B26" s="29">
        <v>4.3</v>
      </c>
      <c r="C26" s="23"/>
    </row>
    <row r="27" spans="1:12" x14ac:dyDescent="0.15">
      <c r="A27" s="21" t="s">
        <v>125</v>
      </c>
      <c r="B27" s="29">
        <v>6.1</v>
      </c>
    </row>
    <row r="28" spans="1:12" x14ac:dyDescent="0.15">
      <c r="A28" s="21" t="s">
        <v>124</v>
      </c>
      <c r="B28" s="29">
        <v>6.2</v>
      </c>
    </row>
    <row r="29" spans="1:12" x14ac:dyDescent="0.15">
      <c r="A29" s="21" t="s">
        <v>44</v>
      </c>
      <c r="B29" s="29">
        <v>5</v>
      </c>
    </row>
    <row r="30" spans="1:12" x14ac:dyDescent="0.15">
      <c r="A30" s="21" t="s">
        <v>73</v>
      </c>
      <c r="B30" s="29">
        <v>7</v>
      </c>
    </row>
    <row r="31" spans="1:12" x14ac:dyDescent="0.15">
      <c r="A31" s="21" t="s">
        <v>169</v>
      </c>
      <c r="B31" s="29">
        <v>3.14</v>
      </c>
    </row>
    <row r="32" spans="1:12" ht="12" customHeight="1" thickBot="1" x14ac:dyDescent="0.2">
      <c r="A32" s="27" t="s">
        <v>170</v>
      </c>
      <c r="B32" s="30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59" bestFit="1" customWidth="1"/>
    <col min="2" max="2" width="5.83203125" style="58" customWidth="1"/>
    <col min="3" max="3" width="13.1640625" style="58" customWidth="1"/>
    <col min="4" max="4" width="39.6640625" style="58" customWidth="1"/>
    <col min="5" max="5" width="8.1640625" style="58" customWidth="1"/>
    <col min="6" max="6" width="21.6640625" style="58" bestFit="1" customWidth="1"/>
    <col min="7" max="9" width="2.33203125" style="58" customWidth="1"/>
    <col min="10" max="10" width="2.33203125" style="58" bestFit="1" customWidth="1"/>
    <col min="11" max="15" width="2.33203125" style="58" customWidth="1"/>
    <col min="16" max="16" width="2.33203125" style="51" customWidth="1"/>
    <col min="17" max="17" width="2.33203125" style="58" customWidth="1"/>
    <col min="18" max="18" width="2.33203125" style="52" customWidth="1"/>
    <col min="19" max="16384" width="11.5" style="58"/>
  </cols>
  <sheetData>
    <row r="1" spans="1:23" ht="15" customHeight="1" thickBot="1" x14ac:dyDescent="0.2">
      <c r="F1" s="1"/>
      <c r="G1" s="49" t="s">
        <v>46</v>
      </c>
      <c r="H1" s="49" t="s">
        <v>47</v>
      </c>
      <c r="I1" s="49" t="s">
        <v>120</v>
      </c>
      <c r="J1" s="49" t="s">
        <v>132</v>
      </c>
      <c r="K1" s="60" t="s">
        <v>48</v>
      </c>
      <c r="L1" s="52"/>
      <c r="M1" s="60" t="s">
        <v>119</v>
      </c>
      <c r="N1" s="52"/>
      <c r="O1" s="60" t="s">
        <v>49</v>
      </c>
      <c r="P1" s="53"/>
      <c r="Q1" s="60" t="s">
        <v>50</v>
      </c>
      <c r="R1" s="49" t="s">
        <v>154</v>
      </c>
    </row>
    <row r="2" spans="1:23" ht="15" customHeight="1" x14ac:dyDescent="0.15">
      <c r="A2" s="60" t="s">
        <v>51</v>
      </c>
      <c r="B2" s="61">
        <v>0.5</v>
      </c>
      <c r="C2" s="59" t="s">
        <v>52</v>
      </c>
      <c r="D2" s="62"/>
      <c r="F2" s="1"/>
      <c r="G2" s="63"/>
      <c r="H2" s="63"/>
      <c r="I2" s="63" t="s">
        <v>133</v>
      </c>
      <c r="J2" s="63" t="s">
        <v>133</v>
      </c>
      <c r="K2" s="63" t="s">
        <v>52</v>
      </c>
      <c r="L2" s="63" t="s">
        <v>53</v>
      </c>
      <c r="M2" s="63" t="s">
        <v>52</v>
      </c>
      <c r="N2" s="63" t="s">
        <v>53</v>
      </c>
      <c r="O2" s="63" t="s">
        <v>52</v>
      </c>
      <c r="P2" s="64" t="s">
        <v>53</v>
      </c>
      <c r="Q2" s="63"/>
      <c r="R2" s="65" t="s">
        <v>155</v>
      </c>
    </row>
    <row r="3" spans="1:23" ht="15" customHeight="1" thickBot="1" x14ac:dyDescent="0.2">
      <c r="A3" s="60" t="s">
        <v>54</v>
      </c>
      <c r="B3" s="66">
        <v>0.5</v>
      </c>
      <c r="C3" s="59" t="s">
        <v>53</v>
      </c>
      <c r="D3" s="6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1">
        <v>0</v>
      </c>
      <c r="R3" s="2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1">
        <v>0</v>
      </c>
      <c r="R4" s="83">
        <v>0</v>
      </c>
    </row>
    <row r="5" spans="1:23" ht="15" customHeight="1" x14ac:dyDescent="0.15">
      <c r="A5" s="60" t="s">
        <v>55</v>
      </c>
      <c r="B5" s="67">
        <v>0.5</v>
      </c>
      <c r="C5" s="59" t="s">
        <v>52</v>
      </c>
      <c r="D5" s="6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1">
        <v>0</v>
      </c>
      <c r="R5" s="83">
        <v>0</v>
      </c>
    </row>
    <row r="6" spans="1:23" ht="15" customHeight="1" thickBot="1" x14ac:dyDescent="0.2">
      <c r="A6" s="60"/>
      <c r="B6" s="68">
        <v>0.5</v>
      </c>
      <c r="C6" s="59" t="s">
        <v>53</v>
      </c>
      <c r="D6" s="62"/>
      <c r="F6" s="144" t="s">
        <v>192</v>
      </c>
      <c r="G6" s="58">
        <v>0</v>
      </c>
      <c r="H6" s="58">
        <v>0</v>
      </c>
      <c r="I6" s="58">
        <v>0</v>
      </c>
      <c r="J6" s="58">
        <v>0</v>
      </c>
      <c r="K6" s="58">
        <v>1</v>
      </c>
      <c r="L6" s="58">
        <v>0</v>
      </c>
      <c r="M6" s="58">
        <v>1</v>
      </c>
      <c r="N6" s="58">
        <v>0</v>
      </c>
      <c r="O6" s="58">
        <v>1</v>
      </c>
      <c r="P6" s="51">
        <v>0</v>
      </c>
      <c r="Q6" s="58">
        <v>0</v>
      </c>
      <c r="R6" s="52">
        <v>1</v>
      </c>
      <c r="S6"/>
      <c r="T6"/>
    </row>
    <row r="7" spans="1:23" ht="15" customHeight="1" thickBot="1" x14ac:dyDescent="0.2">
      <c r="F7" s="144" t="s">
        <v>193</v>
      </c>
      <c r="G7" s="58">
        <v>0</v>
      </c>
      <c r="H7" s="58">
        <v>0</v>
      </c>
      <c r="I7" s="58">
        <v>0</v>
      </c>
      <c r="J7" s="58">
        <v>0</v>
      </c>
      <c r="K7" s="58">
        <v>1</v>
      </c>
      <c r="L7" s="58">
        <v>0</v>
      </c>
      <c r="M7" s="58">
        <v>1</v>
      </c>
      <c r="N7" s="58">
        <v>0</v>
      </c>
      <c r="O7" s="58">
        <v>1</v>
      </c>
      <c r="P7" s="51">
        <v>0</v>
      </c>
      <c r="Q7" s="58">
        <v>0</v>
      </c>
      <c r="R7" s="52">
        <v>1</v>
      </c>
      <c r="S7"/>
      <c r="T7"/>
    </row>
    <row r="8" spans="1:23" ht="15" customHeight="1" x14ac:dyDescent="0.15">
      <c r="A8" s="60" t="s">
        <v>56</v>
      </c>
      <c r="B8" s="67">
        <v>1</v>
      </c>
      <c r="C8" s="145" t="s">
        <v>197</v>
      </c>
      <c r="D8" s="62" t="s">
        <v>160</v>
      </c>
      <c r="F8" s="144" t="s">
        <v>194</v>
      </c>
      <c r="G8" s="58">
        <v>0</v>
      </c>
      <c r="H8" s="58">
        <v>0</v>
      </c>
      <c r="I8" s="58">
        <v>0</v>
      </c>
      <c r="J8" s="58">
        <v>0</v>
      </c>
      <c r="K8" s="58">
        <v>1</v>
      </c>
      <c r="L8" s="58">
        <v>0</v>
      </c>
      <c r="M8" s="58">
        <v>1</v>
      </c>
      <c r="N8" s="58">
        <v>0</v>
      </c>
      <c r="O8" s="58">
        <v>1</v>
      </c>
      <c r="P8" s="51">
        <v>0</v>
      </c>
      <c r="Q8" s="58">
        <v>0</v>
      </c>
      <c r="R8" s="52">
        <v>1</v>
      </c>
      <c r="S8"/>
      <c r="T8"/>
      <c r="W8"/>
    </row>
    <row r="9" spans="1:23" ht="15" customHeight="1" x14ac:dyDescent="0.15">
      <c r="A9" s="97" t="s">
        <v>168</v>
      </c>
      <c r="B9" s="69"/>
      <c r="C9" s="57"/>
      <c r="D9" s="62" t="s">
        <v>160</v>
      </c>
      <c r="F9" s="144" t="s">
        <v>195</v>
      </c>
      <c r="G9" s="58">
        <v>0</v>
      </c>
      <c r="H9" s="58">
        <v>0</v>
      </c>
      <c r="I9" s="58">
        <v>0</v>
      </c>
      <c r="J9" s="58">
        <v>0</v>
      </c>
      <c r="K9" s="58">
        <v>1</v>
      </c>
      <c r="L9" s="58">
        <v>0</v>
      </c>
      <c r="M9" s="58">
        <v>1</v>
      </c>
      <c r="N9" s="58">
        <v>0</v>
      </c>
      <c r="O9" s="58">
        <v>1</v>
      </c>
      <c r="P9" s="51">
        <v>0</v>
      </c>
      <c r="Q9" s="58">
        <v>0</v>
      </c>
      <c r="R9" s="52">
        <v>1</v>
      </c>
      <c r="S9"/>
      <c r="T9"/>
      <c r="W9"/>
    </row>
    <row r="10" spans="1:23" ht="15" customHeight="1" x14ac:dyDescent="0.15">
      <c r="B10" s="69"/>
      <c r="C10" s="57"/>
      <c r="D10" s="62" t="s">
        <v>160</v>
      </c>
      <c r="F10" s="144" t="s">
        <v>196</v>
      </c>
      <c r="G10" s="58">
        <v>0</v>
      </c>
      <c r="H10" s="58">
        <v>0</v>
      </c>
      <c r="I10" s="58">
        <v>0</v>
      </c>
      <c r="J10" s="58">
        <v>0</v>
      </c>
      <c r="K10" s="58">
        <v>1</v>
      </c>
      <c r="L10" s="58">
        <v>0</v>
      </c>
      <c r="M10" s="58">
        <v>1</v>
      </c>
      <c r="N10" s="58">
        <v>0</v>
      </c>
      <c r="O10" s="58">
        <v>1</v>
      </c>
      <c r="P10" s="51">
        <v>0</v>
      </c>
      <c r="Q10" s="58">
        <v>0</v>
      </c>
      <c r="R10" s="52">
        <v>1</v>
      </c>
      <c r="S10"/>
      <c r="T10"/>
      <c r="W10"/>
    </row>
    <row r="11" spans="1:23" ht="15" customHeight="1" x14ac:dyDescent="0.15">
      <c r="A11" s="60"/>
      <c r="B11" s="69"/>
      <c r="C11" s="72"/>
      <c r="D11" s="62" t="s">
        <v>160</v>
      </c>
      <c r="F11" s="144" t="s">
        <v>197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0</v>
      </c>
      <c r="M11" s="58">
        <v>1</v>
      </c>
      <c r="N11" s="58">
        <v>0</v>
      </c>
      <c r="O11" s="58">
        <v>0</v>
      </c>
      <c r="P11" s="51">
        <v>0</v>
      </c>
      <c r="Q11" s="58">
        <v>0</v>
      </c>
      <c r="R11" s="52">
        <v>1</v>
      </c>
      <c r="S11"/>
      <c r="T11"/>
      <c r="W11"/>
    </row>
    <row r="12" spans="1:23" ht="15" customHeight="1" x14ac:dyDescent="0.15">
      <c r="B12" s="69"/>
      <c r="C12" s="73"/>
      <c r="D12" s="62" t="s">
        <v>160</v>
      </c>
      <c r="F12" s="144" t="s">
        <v>198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1</v>
      </c>
      <c r="M12" s="58">
        <v>0</v>
      </c>
      <c r="N12" s="58">
        <v>1</v>
      </c>
      <c r="O12" s="58">
        <v>0</v>
      </c>
      <c r="P12" s="51">
        <v>1</v>
      </c>
      <c r="Q12" s="58">
        <v>0</v>
      </c>
      <c r="R12" s="52">
        <v>1</v>
      </c>
      <c r="S12"/>
      <c r="T12"/>
      <c r="W12"/>
    </row>
    <row r="13" spans="1:23" ht="15" customHeight="1" x14ac:dyDescent="0.15">
      <c r="B13" s="69"/>
      <c r="C13" s="73"/>
      <c r="D13" s="62" t="s">
        <v>160</v>
      </c>
      <c r="F13" s="144" t="s">
        <v>199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1</v>
      </c>
      <c r="M13" s="58">
        <v>0</v>
      </c>
      <c r="N13" s="58">
        <v>1</v>
      </c>
      <c r="O13" s="58">
        <v>0</v>
      </c>
      <c r="P13" s="51">
        <v>1</v>
      </c>
      <c r="Q13" s="58">
        <v>0</v>
      </c>
      <c r="R13" s="52">
        <v>1</v>
      </c>
      <c r="S13"/>
      <c r="T13"/>
      <c r="W13"/>
    </row>
    <row r="14" spans="1:23" ht="15" customHeight="1" x14ac:dyDescent="0.15">
      <c r="B14" s="69"/>
      <c r="C14" s="57"/>
      <c r="D14" s="62" t="s">
        <v>160</v>
      </c>
      <c r="F14" s="144" t="s">
        <v>200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1</v>
      </c>
      <c r="M14" s="58">
        <v>0</v>
      </c>
      <c r="N14" s="58">
        <v>0</v>
      </c>
      <c r="O14" s="58">
        <v>0</v>
      </c>
      <c r="P14" s="51">
        <v>0</v>
      </c>
      <c r="Q14" s="58">
        <v>0</v>
      </c>
      <c r="R14" s="52">
        <v>1</v>
      </c>
      <c r="S14"/>
      <c r="T14"/>
      <c r="W14"/>
    </row>
    <row r="15" spans="1:23" ht="15" customHeight="1" x14ac:dyDescent="0.15">
      <c r="B15" s="69"/>
      <c r="C15" s="57"/>
      <c r="D15" s="62" t="s">
        <v>160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W15"/>
    </row>
    <row r="16" spans="1:23" ht="15" customHeight="1" x14ac:dyDescent="0.15">
      <c r="B16" s="69"/>
      <c r="C16" s="57"/>
      <c r="D16" s="62" t="s">
        <v>160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5" customHeight="1" thickBot="1" x14ac:dyDescent="0.2">
      <c r="B17" s="68"/>
      <c r="C17" s="57"/>
      <c r="D17" s="62" t="s">
        <v>160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 customHeight="1" thickBot="1" x14ac:dyDescent="0.2">
      <c r="B18" s="70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60" t="s">
        <v>57</v>
      </c>
      <c r="B19" s="67">
        <v>1</v>
      </c>
      <c r="C19" s="146" t="s">
        <v>197</v>
      </c>
      <c r="D19" s="62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97" t="s">
        <v>168</v>
      </c>
      <c r="B20" s="69"/>
      <c r="C20" s="57"/>
      <c r="D20" s="62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69"/>
      <c r="C21" s="57"/>
      <c r="D21" s="62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58"/>
      <c r="B22" s="69"/>
      <c r="C22" s="72"/>
      <c r="D22" s="62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58"/>
      <c r="B23" s="69"/>
      <c r="C23" s="73"/>
      <c r="D23" s="62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58"/>
      <c r="B24" s="69"/>
      <c r="C24" s="73"/>
      <c r="D24" s="62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58"/>
      <c r="B25" s="69"/>
      <c r="C25" s="57"/>
      <c r="D25" s="62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69"/>
      <c r="C26" s="57"/>
      <c r="D26" s="62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69"/>
      <c r="C27" s="57"/>
      <c r="D27" s="62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68"/>
      <c r="C28" s="57"/>
      <c r="D28" s="62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98"/>
      <c r="B31" s="109" t="s">
        <v>17</v>
      </c>
      <c r="C31" s="109" t="s">
        <v>1</v>
      </c>
      <c r="D31" s="109" t="s">
        <v>161</v>
      </c>
      <c r="E31" s="110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47" t="s">
        <v>197</v>
      </c>
      <c r="B32" s="70">
        <v>8.8059999999999992</v>
      </c>
      <c r="C32" s="70">
        <v>325</v>
      </c>
      <c r="D32" s="70">
        <v>2861.95</v>
      </c>
      <c r="E32" s="100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99"/>
      <c r="B33" s="70"/>
      <c r="C33" s="70"/>
      <c r="D33" s="70"/>
      <c r="E33" s="100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1"/>
      <c r="B34" s="70"/>
      <c r="C34" s="70"/>
      <c r="D34" s="70"/>
      <c r="E34" s="100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2"/>
      <c r="B35" s="70"/>
      <c r="C35" s="70"/>
      <c r="D35" s="70"/>
      <c r="E35" s="10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3"/>
      <c r="B36" s="70"/>
      <c r="C36" s="70"/>
      <c r="D36" s="70"/>
      <c r="E36" s="10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3"/>
      <c r="B37" s="70"/>
      <c r="C37" s="70"/>
      <c r="D37" s="70"/>
      <c r="E37" s="10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4"/>
      <c r="B38" s="70"/>
      <c r="C38" s="70"/>
      <c r="D38" s="70"/>
      <c r="E38" s="10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4"/>
      <c r="B39" s="70"/>
      <c r="C39" s="70"/>
      <c r="D39" s="70"/>
      <c r="E39" s="10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4"/>
      <c r="B40" s="70"/>
      <c r="C40" s="70"/>
      <c r="D40" s="70"/>
      <c r="E40" s="10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4"/>
      <c r="B41" s="70"/>
      <c r="C41" s="70"/>
      <c r="D41" s="71"/>
      <c r="E41" s="10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6"/>
      <c r="B42" s="107"/>
      <c r="C42" s="107" t="s">
        <v>162</v>
      </c>
      <c r="D42" s="107">
        <f>SUM(D32:D41)</f>
        <v>2861.95</v>
      </c>
      <c r="E42" s="10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5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5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5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5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5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5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5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5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5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5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5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5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5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5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5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5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5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5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5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5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5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5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5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5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5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5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5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5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5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5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5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5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5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5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5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5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5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5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5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5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5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5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5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5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5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5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5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5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5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5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5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5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5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5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5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5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5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5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5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5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5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5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5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5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5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5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5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5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5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5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5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5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5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5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5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5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5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5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5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5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5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5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5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5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5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5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5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5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5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5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5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5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5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5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5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5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5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5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5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5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5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5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5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5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5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5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5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5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5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5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5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5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5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5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5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5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5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5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5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5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5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5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5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5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5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5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5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5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3" customWidth="1"/>
    <col min="3" max="5" width="7.83203125" style="83" customWidth="1"/>
    <col min="6" max="8" width="8.83203125" style="6"/>
    <col min="9" max="9" width="13.33203125" style="6" customWidth="1"/>
    <col min="10" max="10" width="15.83203125" style="6" customWidth="1"/>
    <col min="11" max="11" width="10.1640625" style="6" customWidth="1"/>
    <col min="12" max="12" width="19.33203125" style="6" customWidth="1"/>
    <col min="13" max="13" width="15.83203125" style="6" customWidth="1"/>
    <col min="14" max="14" width="13.1640625" style="6" customWidth="1"/>
    <col min="15" max="15" width="7.6640625" style="6" customWidth="1"/>
    <col min="16" max="16" width="21.6640625" style="6" customWidth="1"/>
    <col min="17" max="17" width="6.5" style="6" customWidth="1"/>
    <col min="18" max="38" width="8.83203125" style="6"/>
    <col min="81" max="81" width="22.1640625" bestFit="1" customWidth="1"/>
  </cols>
  <sheetData>
    <row r="1" spans="1:38" x14ac:dyDescent="0.15">
      <c r="A1" s="4" t="s">
        <v>156</v>
      </c>
      <c r="B1" s="22" t="s">
        <v>157</v>
      </c>
      <c r="C1" s="22" t="s">
        <v>17</v>
      </c>
      <c r="D1" s="22" t="s">
        <v>158</v>
      </c>
      <c r="E1" s="22" t="s">
        <v>159</v>
      </c>
      <c r="F1" t="s">
        <v>38</v>
      </c>
      <c r="G1" t="s">
        <v>40</v>
      </c>
      <c r="H1" t="s">
        <v>41</v>
      </c>
      <c r="I1" s="149" t="s">
        <v>192</v>
      </c>
      <c r="J1" s="149" t="s">
        <v>193</v>
      </c>
      <c r="K1" s="149" t="s">
        <v>194</v>
      </c>
      <c r="L1" s="149" t="s">
        <v>195</v>
      </c>
      <c r="M1" s="149" t="s">
        <v>196</v>
      </c>
      <c r="N1" s="149" t="s">
        <v>197</v>
      </c>
      <c r="O1" s="149" t="s">
        <v>198</v>
      </c>
      <c r="P1" s="149" t="s">
        <v>199</v>
      </c>
      <c r="Q1" s="149" t="s">
        <v>200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48" t="s">
        <v>192</v>
      </c>
      <c r="B5" s="8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48" t="s">
        <v>193</v>
      </c>
      <c r="B6" s="8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48" t="s">
        <v>194</v>
      </c>
      <c r="B7" s="8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48" t="s">
        <v>195</v>
      </c>
      <c r="B8" s="8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48" t="s">
        <v>196</v>
      </c>
      <c r="B9" s="8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48" t="s">
        <v>197</v>
      </c>
      <c r="B10" s="8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48" t="s">
        <v>198</v>
      </c>
      <c r="B11" s="8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48" t="s">
        <v>199</v>
      </c>
      <c r="B12" s="8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48" t="s">
        <v>200</v>
      </c>
      <c r="B13" s="8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2022-10-23T22:06:26Z</dcterms:modified>
</cp:coreProperties>
</file>